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42A78440-2E61-694E-A632-A4D54C5EAECE}" xr6:coauthVersionLast="45" xr6:coauthVersionMax="45" xr10:uidLastSave="{00000000-0000-0000-0000-000000000000}"/>
  <bookViews>
    <workbookView xWindow="1160" yWindow="460" windowWidth="23060" windowHeight="14320" tabRatio="728" firstSheet="9" activeTab="14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Main!$C$2:$N$82</definedName>
    <definedName name="matDetritus">Detritus!$C$2:$F$82</definedName>
    <definedName name="matDiet">Diets!$B$2:$BO$71</definedName>
    <definedName name="matDiscards">Discards!$C$2:$N$70</definedName>
    <definedName name="matFishery">Fishing!$C$2:$N$70</definedName>
    <definedName name="matFishing">Fishing!#REF!</definedName>
    <definedName name="matMort">Mortalities!$A$1:$CF$70</definedName>
    <definedName name="matOut">MainOutputs!$A$2:$I$82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<sst xmlns="http://schemas.openxmlformats.org/spreadsheetml/2006/main" count="1952" uniqueCount="313">
  <si>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</si>
  <si>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</si>
  <si>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</si>
  <si>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</si>
  <si>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</si>
  <si>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</si>
  <si>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</si>
  <si>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</si>
  <si>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</si>
  <si>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</si>
  <si>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</si>
  <si>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</si>
  <si>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</si>
  <si>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</si>
  <si>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</si>
  <si>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</si>
  <si>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</si>
  <si>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</si>
  <si>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</si>
  <si>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</si>
  <si>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</si>
  <si>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</si>
  <si>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</si>
  <si>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</si>
  <si>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</si>
  <si>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</si>
  <si>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</si>
  <si>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</si>
  <si>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</si>
  <si>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</si>
  <si>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</si>
  <si>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</si>
  <si>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</si>
  <si>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</si>
  <si>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</si>
  <si>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</si>
  <si>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</si>
  <si>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</si>
  <si>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</si>
  <si>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</si>
  <si>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</si>
  <si>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</si>
  <si>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</si>
  <si>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</si>
  <si>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</si>
  <si>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</si>
  <si>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</si>
  <si>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</si>
  <si>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</si>
  <si>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</si>
  <si>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</si>
  <si>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</si>
  <si>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</si>
  <si>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</si>
  <si>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</si>
  <si>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</si>
  <si>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</si>
  <si>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</si>
  <si>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</si>
  <si>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</si>
  <si>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</si>
  <si>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</si>
  <si>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</si>
  <si>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</si>
  <si>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</si>
  <si>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</si>
  <si>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</si>
  <si>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</si>
  <si>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</si>
  <si>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</si>
  <si>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</si>
  <si>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</si>
  <si>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</si>
  <si>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</si>
  <si>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</si>
  <si>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</si>
  <si>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</si>
  <si>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</si>
  <si>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</si>
  <si>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</si>
  <si>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</si>
  <si>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</si>
  <si>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</si>
  <si>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</si>
  <si>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</si>
  <si>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</si>
  <si>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</si>
  <si>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</si>
  <si>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</si>
  <si>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</si>
  <si>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</si>
  <si>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</si>
  <si>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</si>
  <si>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</si>
  <si>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</si>
  <si>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</si>
  <si>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</si>
  <si>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</si>
  <si>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</si>
  <si>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</si>
  <si>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</si>
  <si>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</si>
  <si>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</si>
  <si>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</si>
  <si>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</si>
  <si>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</si>
  <si>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</si>
  <si>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</si>
  <si>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</si>
  <si>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</si>
  <si>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</si>
  <si>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</si>
  <si>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</si>
  <si>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</si>
  <si>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</si>
  <si>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</si>
  <si>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</si>
  <si>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</si>
  <si>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</si>
  <si>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</si>
  <si>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</si>
  <si>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</si>
  <si>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</si>
  <si>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</si>
  <si>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</si>
  <si>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</si>
  <si>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</si>
  <si>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</si>
  <si>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</si>
  <si>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</si>
  <si>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</si>
  <si>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</si>
  <si>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</si>
  <si>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</si>
  <si>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</si>
  <si>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</si>
  <si>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</si>
  <si>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</si>
  <si>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</si>
  <si>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</si>
  <si>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</si>
  <si>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</si>
  <si>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</si>
  <si>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</si>
  <si>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</si>
  <si>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</si>
  <si>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</si>
  <si>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</si>
  <si>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</si>
  <si>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</si>
  <si>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</si>
  <si>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</si>
  <si>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</si>
  <si>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</si>
  <si>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</si>
  <si>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</si>
  <si>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</si>
  <si>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</si>
  <si>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</si>
  <si>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</si>
  <si>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</si>
  <si>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</si>
  <si>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</si>
  <si>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</si>
  <si>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</si>
  <si>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</si>
  <si>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</si>
  <si>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</si>
  <si>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</si>
  <si>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</si>
  <si>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</si>
  <si>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</si>
  <si>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</si>
  <si>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</si>
  <si>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source notes</t>
  </si>
  <si>
    <t>Discards</t>
  </si>
  <si>
    <t>import</t>
  </si>
  <si>
    <t>export</t>
  </si>
  <si>
    <t>&lt;-NOTE: every model must have a terminal pelagic &amp; benthic detritus group</t>
  </si>
  <si>
    <t>&lt;-NOTE: fisheries FOLLOW terminal detritus groups</t>
  </si>
  <si>
    <t>&lt;-NOTE: BA &amp; EM at very end</t>
  </si>
  <si>
    <t>Baleen whales</t>
  </si>
  <si>
    <t>Toothed whales</t>
  </si>
  <si>
    <t>Seals</t>
  </si>
  <si>
    <t>Seabirds</t>
  </si>
  <si>
    <t>Juvenile sharks</t>
  </si>
  <si>
    <t>Spurdog</t>
  </si>
  <si>
    <t>Large piscivorous sharks</t>
  </si>
  <si>
    <t>Small sharks</t>
  </si>
  <si>
    <t>Juvenile rays</t>
  </si>
  <si>
    <t>Starry ray + others</t>
  </si>
  <si>
    <t>Thornback &amp; Spotted ray</t>
  </si>
  <si>
    <t>Skate + cuckoo ray</t>
  </si>
  <si>
    <t>Juvenile Cod(0-2/ 0-40cm)</t>
  </si>
  <si>
    <t>Cod (adult)</t>
  </si>
  <si>
    <t>Juvenile Whiting (0-1/ 0-20cm)</t>
  </si>
  <si>
    <t>Whiting (adult)</t>
  </si>
  <si>
    <t>Juvenile Haddock (0-1/ 0-20cm)</t>
  </si>
  <si>
    <t>Haddock (adult)</t>
  </si>
  <si>
    <t>Juvenile Saithe (0-3/ 0-40cm)</t>
  </si>
  <si>
    <t>Saithe (adult)</t>
  </si>
  <si>
    <t>Hake</t>
  </si>
  <si>
    <t>Blue whiting</t>
  </si>
  <si>
    <t>Norway pout</t>
  </si>
  <si>
    <t>Other gadoids (large)</t>
  </si>
  <si>
    <t>Other gadoids (small)</t>
  </si>
  <si>
    <t>Monkfish</t>
  </si>
  <si>
    <t>Gurnards</t>
  </si>
  <si>
    <t>Herring (juvenile 0/ 1)</t>
  </si>
  <si>
    <t>Herring (adult)</t>
  </si>
  <si>
    <t>Sprat</t>
  </si>
  <si>
    <t>Mackerel</t>
  </si>
  <si>
    <t>Horse mackerel</t>
  </si>
  <si>
    <t>Sandeels</t>
  </si>
  <si>
    <t>Plaice</t>
  </si>
  <si>
    <t>Dab</t>
  </si>
  <si>
    <t>Long-rough dab</t>
  </si>
  <si>
    <t>Flounder</t>
  </si>
  <si>
    <t>Sole</t>
  </si>
  <si>
    <t>Lemon sole</t>
  </si>
  <si>
    <t>Witch</t>
  </si>
  <si>
    <t>Turbot and brill</t>
  </si>
  <si>
    <t>Megrim</t>
  </si>
  <si>
    <t>Halibut</t>
  </si>
  <si>
    <t>Dragonets</t>
  </si>
  <si>
    <t>Catfish (Wolf-fish)</t>
  </si>
  <si>
    <t>Large demersal fish</t>
  </si>
  <si>
    <t>Small demersal fish</t>
  </si>
  <si>
    <t>Miscellaneous filterfeeding pelagic fish</t>
  </si>
  <si>
    <t>Squid &amp; cuttlefish</t>
  </si>
  <si>
    <t>Fish larvae</t>
  </si>
  <si>
    <t>Pre-settlement juvenile fish</t>
  </si>
  <si>
    <t>&lt;&lt;--PB is guesstimate (similar to NCC, lower than larv fish in NorSea_FullRes); PQ similar to NCC, note that that makes it &lt; than planktivore fish in NorSea</t>
  </si>
  <si>
    <t>Carnivorous zooplankton</t>
  </si>
  <si>
    <t>Herbivorous &amp; Omnivorous zooplankton (copepods)</t>
  </si>
  <si>
    <t>Gelatinous zooplankton</t>
  </si>
  <si>
    <t>&lt;&lt;- PQ from NCC assumption; Mackinson QB value was clearly wrong</t>
  </si>
  <si>
    <t>Large crabs</t>
  </si>
  <si>
    <t>Nephrops</t>
  </si>
  <si>
    <t>Epifaunal macrobenthos (mobile grazers)</t>
  </si>
  <si>
    <t>Infaunal macrobenthos</t>
  </si>
  <si>
    <t>Shrimp</t>
  </si>
  <si>
    <t>Small mobile epifauna (swarming crustaceans)</t>
  </si>
  <si>
    <t>Small infauna (polychaetes)</t>
  </si>
  <si>
    <t>Sessile epifauna</t>
  </si>
  <si>
    <t>Meiofauna</t>
  </si>
  <si>
    <t>Benthic microflora (incl. Bacteria/ protozoa))</t>
  </si>
  <si>
    <t>Planktonic microflora (incl. Bacteria/ protozoa)</t>
  </si>
  <si>
    <t>Phytoplankton</t>
  </si>
  <si>
    <t>Detritus - DOM -water column</t>
  </si>
  <si>
    <t>Detritus - POM - sediment</t>
  </si>
  <si>
    <t>demersal trawl &amp; seine</t>
  </si>
  <si>
    <t>beam trawl</t>
  </si>
  <si>
    <t>sandeel trawl</t>
  </si>
  <si>
    <t>pelagic trawl</t>
  </si>
  <si>
    <t>drift &amp; fixed nets</t>
  </si>
  <si>
    <t>Nephrops trawl</t>
  </si>
  <si>
    <t>hooks</t>
  </si>
  <si>
    <t>shrimp trawlers</t>
  </si>
  <si>
    <t>dredges</t>
  </si>
  <si>
    <t>shellfish picking</t>
  </si>
  <si>
    <t>pots</t>
  </si>
  <si>
    <t>other gear</t>
  </si>
  <si>
    <t>balancing act:</t>
  </si>
  <si>
    <t>NorSea_A_5-28-2014</t>
  </si>
  <si>
    <t>initial model</t>
  </si>
  <si>
    <t>NorSea_B_5-28-2014</t>
  </si>
  <si>
    <t xml:space="preserve">taking pressure off DOM: </t>
  </si>
  <si>
    <t>added predation by micro-grazers upon phytoplankton (0 becomes 0.3) and reduced grazing by micro-grazers upon pelagic detritus (0.65 become 0.35)</t>
  </si>
  <si>
    <t>taking pressure off Small mobile epifauna (swarming crustaceans) and Nephrops:</t>
  </si>
  <si>
    <t xml:space="preserve">adjusted diets of other gadoids small, </t>
  </si>
  <si>
    <t>[predation on small juv fish set similar to predation on juv herring, &amp; fish cannbalism put onto juv fish]</t>
  </si>
  <si>
    <t>1 - sum</t>
  </si>
  <si>
    <t>NOTES--&gt;&gt;</t>
  </si>
  <si>
    <t>[juv fish added, offset from sandeels]</t>
  </si>
  <si>
    <t>[juv fish added, offset normailzed from total fish diet]</t>
  </si>
  <si>
    <t>[canibalism put onto juv fish]</t>
  </si>
  <si>
    <t>[canibalism put onto juv fish; more juv fish added similar to other small pelagics, offset normailzed from total fish diet]</t>
  </si>
  <si>
    <t>[assumed diet, all pelagic, similar to ichthyoplankton &amp; juvenile herring; added trace of gelatinous zoop &amp; trace of pelagic microbes]</t>
  </si>
  <si>
    <r>
      <t>[</t>
    </r>
    <r>
      <rPr>
        <b/>
        <sz val="12"/>
        <color rgb="FFFF0000"/>
        <rFont val="Calibri"/>
        <family val="2"/>
        <scheme val="minor"/>
      </rPr>
      <t>NOTE: original model has NO direct grazing on phytoplankton by micro-grazers, this should change to include micro-grazers in this group</t>
    </r>
    <r>
      <rPr>
        <sz val="10"/>
        <rFont val="Arial"/>
        <family val="2"/>
      </rPr>
      <t>]</t>
    </r>
  </si>
  <si>
    <t>Nephrops was: 0.0667320902876209</t>
  </si>
  <si>
    <t>Nephrops was: 0.121878121878122</t>
  </si>
  <si>
    <t>Small mobile epifauna (swarming crustaceans) was: 0.05</t>
  </si>
  <si>
    <t>Meiofauna was: 0.15</t>
  </si>
  <si>
    <t>Phytoplankton row was 0</t>
  </si>
  <si>
    <t>Small mobile epifauna (swarming crustaceans) was: 0.0274779195301968</t>
  </si>
  <si>
    <t>Small mobile epifauna (swarming crustaceans) was: 0.152847152847153</t>
  </si>
  <si>
    <t>Meiofauna was: 0.05</t>
  </si>
  <si>
    <t>Small infauna (polychaetes) was: 0.165848871450117</t>
  </si>
  <si>
    <t>Large crabs was: 0.0489510489510489</t>
  </si>
  <si>
    <t>Small infauna (polychaetes) was: 0.1</t>
  </si>
  <si>
    <t>Detritus - POM - sediment was: 0.2</t>
  </si>
  <si>
    <t>Detritus - DOM -water column was 0.65</t>
  </si>
  <si>
    <t>Epifaunal macrobenthos (mobile grazers) was: 0.0981354268935601</t>
  </si>
  <si>
    <t>Infaunal macrobenthos was: 0.0709290709290709</t>
  </si>
  <si>
    <t>Detritus - POM - sediment was: 0.3</t>
  </si>
  <si>
    <t>Shrimp was: 0.00699300699300699</t>
  </si>
  <si>
    <t>I'm assuming the fates shown in red (JR)</t>
  </si>
  <si>
    <t>TOTAL</t>
  </si>
  <si>
    <t>small pelagic juvenile fish</t>
  </si>
  <si>
    <t>DIET PEDIGREE Preference rules</t>
  </si>
  <si>
    <t>F demersal trawl &amp; seine</t>
  </si>
  <si>
    <t>F beam trawl</t>
  </si>
  <si>
    <t>F sandeel trawl</t>
  </si>
  <si>
    <t>F pelagic trawl</t>
  </si>
  <si>
    <t>F drift &amp; fixed nets</t>
  </si>
  <si>
    <t>F Nephrops trawl</t>
  </si>
  <si>
    <t>F hooks</t>
  </si>
  <si>
    <t>F shrimp trawlers</t>
  </si>
  <si>
    <t>F dredges</t>
  </si>
  <si>
    <t>F shellfish picking</t>
  </si>
  <si>
    <t>F pots</t>
  </si>
  <si>
    <t>F other gear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</si>
</sst>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2"/>
      <name val="Arial"/>
      <family val="2"/>
    </font>
    <font>
      <sz val="12"/>
      <color theme="6" tint="-0.24994659260842"/>
      <name val="Arial"/>
      <family val="2"/>
    </font>
    <font>
      <b/>
      <sz val="10"/>
      <name val="Verdana"/>
      <family val="2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FF00"/>
      <name val="Arial"/>
      <family val="2"/>
    </font>
    <font>
      <sz val="12"/>
      <color rgb="FFFFFF00"/>
      <name val="Calibri"/>
      <family val="2"/>
      <scheme val="minor"/>
    </font>
  </fonts>
  <fills count="22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4659260842"/>
        <bgColor indexed="64"/>
      </patternFill>
    </fill>
    <fill>
      <patternFill patternType="solid">
        <fgColor theme="7" tint="0.59996337778863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BAFF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/>
    <border/>
    <border/>
    <border/>
  </borders>
  <cellStyleXfs count="3654">
    <xf numFmtId="0" fontId="0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3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</cellStyleXfs>
  <cellXfs count="353">
    <xf numFmtId="0" fontId="0" fillId="0" borderId="0" xfId="0"/>
    <xf numFmtId="0" fontId="1" fillId="0" borderId="0" xfId="0" applyFont="true"/>
    <xf numFmtId="0" fontId="1" fillId="2" borderId="0" xfId="0" applyFont="true" applyFill="true"/>
    <xf numFmtId="0" fontId="0" fillId="0" borderId="0" xfId="0" applyFill="true"/>
    <xf numFmtId="0" fontId="0" fillId="4" borderId="0" xfId="0" applyFill="true"/>
    <xf numFmtId="2" fontId="0" fillId="4" borderId="0" xfId="0" applyNumberFormat="true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0" fontId="0" fillId="15" borderId="0" xfId="0" applyFill="true"/>
    <xf numFmtId="0" fontId="0" fillId="16" borderId="0" xfId="0" applyFill="true"/>
    <xf numFmtId="0" fontId="0" fillId="17" borderId="0" xfId="0" applyFill="true"/>
    <xf numFmtId="0" fontId="0" fillId="18" borderId="0" xfId="0" applyFill="true"/>
    <xf numFmtId="0" fontId="0" fillId="19" borderId="0" xfId="0" applyFill="true"/>
    <xf numFmtId="0" fontId="0" fillId="20" borderId="0" xfId="0" applyFill="true"/>
    <xf numFmtId="0" fontId="0" fillId="21" borderId="0" xfId="0" applyFill="true"/>
    <xf numFmtId="0" fontId="0" fillId="22" borderId="0" xfId="0" applyFill="true"/>
    <xf numFmtId="0" fontId="0" fillId="23" borderId="0" xfId="0" applyFill="true"/>
    <xf numFmtId="0" fontId="0" fillId="24" borderId="0" xfId="0" applyFill="true"/>
    <xf numFmtId="0" fontId="0" fillId="25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1" fillId="0" borderId="0" xfId="0" applyNumberFormat="true" applyFont="true"/>
    <xf numFmtId="0" fontId="1" fillId="0" borderId="0" xfId="0" applyFont="true" applyAlignment="true">
      <alignment horizontal="right"/>
    </xf>
    <xf numFmtId="0" fontId="1" fillId="0" borderId="0" xfId="0" applyFont="true" applyFill="true" applyAlignment="true">
      <alignment horizontal="center"/>
    </xf>
    <xf numFmtId="0" fontId="0" fillId="0" borderId="0" xfId="0" applyFill="true" applyBorder="true" applyAlignment="true">
      <alignment horizontal="center"/>
    </xf>
    <xf numFmtId="0" fontId="1" fillId="2" borderId="2" xfId="0" applyFont="true" applyFill="true" applyBorder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6" fillId="0" borderId="0" xfId="0" applyFont="true" applyAlignment="true">
      <alignment horizontal="right"/>
    </xf>
    <xf numFmtId="0" fontId="1" fillId="0" borderId="0" xfId="0" applyFont="true" applyFill="true" applyBorder="true" applyAlignment="true">
      <alignment horizontal="right"/>
    </xf>
    <xf numFmtId="0" fontId="1" fillId="26" borderId="2" xfId="0" applyFont="true" applyFill="true" applyBorder="true" applyAlignment="true">
      <alignment horizontal="center"/>
    </xf>
    <xf numFmtId="0" fontId="1" fillId="26" borderId="4" xfId="0" applyFont="true" applyFill="true" applyBorder="true" applyAlignment="true">
      <alignment horizontal="center"/>
    </xf>
    <xf numFmtId="0" fontId="1" fillId="26" borderId="3" xfId="0" applyFont="true" applyFill="true" applyBorder="true" applyAlignment="true">
      <alignment horizontal="center"/>
    </xf>
    <xf numFmtId="0" fontId="1" fillId="0" borderId="10" xfId="0" applyFont="true" applyBorder="true" applyAlignment="true">
      <alignment horizontal="center"/>
    </xf>
    <xf numFmtId="0" fontId="1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0" fontId="0" fillId="0" borderId="5" xfId="0" applyBorder="true" applyAlignment="true">
      <alignment horizontal="right"/>
    </xf>
    <xf numFmtId="0" fontId="1" fillId="0" borderId="0" xfId="0" applyFont="true" applyFill="true"/>
    <xf numFmtId="0" fontId="0" fillId="26" borderId="5" xfId="0" applyFill="true" applyBorder="true"/>
    <xf numFmtId="0" fontId="0" fillId="26" borderId="7" xfId="0" applyFill="true" applyBorder="true"/>
    <xf numFmtId="0" fontId="0" fillId="26" borderId="8" xfId="0" applyFill="true" applyBorder="true"/>
    <xf numFmtId="0" fontId="0" fillId="26" borderId="9" xfId="0" applyFill="true" applyBorder="true"/>
    <xf numFmtId="0" fontId="0" fillId="26" borderId="11" xfId="0" applyFill="true" applyBorder="true"/>
    <xf numFmtId="0" fontId="8" fillId="0" borderId="0" xfId="0" applyFont="true"/>
    <xf numFmtId="0" fontId="0" fillId="33" borderId="0" xfId="0" applyFill="true"/>
    <xf numFmtId="0" fontId="0" fillId="35" borderId="0" xfId="0" applyFill="true"/>
    <xf numFmtId="0" fontId="0" fillId="36" borderId="0" xfId="0" applyFill="true"/>
    <xf numFmtId="0" fontId="0" fillId="37" borderId="0" xfId="0" applyFill="true"/>
    <xf numFmtId="0" fontId="0" fillId="0" borderId="0" xfId="0" applyFont="true"/>
    <xf numFmtId="2" fontId="0" fillId="0" borderId="0" xfId="0" applyNumberFormat="true" applyFont="true"/>
    <xf numFmtId="0" fontId="0" fillId="38" borderId="0" xfId="0" applyFill="true"/>
    <xf numFmtId="0" fontId="0" fillId="39" borderId="0" xfId="0" applyFill="true"/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0" fillId="44" borderId="0" xfId="0" applyFill="true"/>
    <xf numFmtId="0" fontId="0" fillId="45" borderId="0" xfId="0" applyFill="true"/>
    <xf numFmtId="0" fontId="0" fillId="46" borderId="0" xfId="0" applyFill="true"/>
    <xf numFmtId="0" fontId="0" fillId="47" borderId="0" xfId="0" applyFill="true"/>
    <xf numFmtId="0" fontId="0" fillId="48" borderId="0" xfId="0" applyFill="true"/>
    <xf numFmtId="0" fontId="0" fillId="49" borderId="0" xfId="0" applyFill="true"/>
    <xf numFmtId="0" fontId="0" fillId="50" borderId="0" xfId="0" applyFill="true"/>
    <xf numFmtId="0" fontId="11" fillId="2" borderId="0" xfId="0" applyFont="true" applyFill="true"/>
    <xf numFmtId="0" fontId="12" fillId="0" borderId="0" xfId="0" applyFont="true"/>
    <xf numFmtId="0" fontId="0" fillId="51" borderId="0" xfId="0" applyFill="true"/>
    <xf numFmtId="0" fontId="0" fillId="52" borderId="0" xfId="0" applyFill="true"/>
    <xf numFmtId="0" fontId="0" fillId="53" borderId="0" xfId="0" applyFill="true"/>
    <xf numFmtId="0" fontId="0" fillId="54" borderId="0" xfId="0" applyFill="true"/>
    <xf numFmtId="0" fontId="14" fillId="0" borderId="0" xfId="0" applyFont="true"/>
    <xf numFmtId="0" fontId="13" fillId="0" borderId="0" xfId="0" applyFont="true"/>
    <xf numFmtId="0" fontId="9" fillId="26" borderId="6" xfId="0" applyFont="true" applyFill="true" applyBorder="true"/>
    <xf numFmtId="0" fontId="12" fillId="0" borderId="0" xfId="0" applyFont="true" applyFill="true"/>
    <xf numFmtId="0" fontId="15" fillId="0" borderId="0" xfId="0" applyFont="true" applyFill="true"/>
    <xf numFmtId="0" fontId="10" fillId="0" borderId="0" xfId="0" applyFont="true" applyFill="true" applyAlignment="true">
      <alignment horizontal="right"/>
    </xf>
    <xf numFmtId="0" fontId="11" fillId="0" borderId="0" xfId="0" applyFont="true" applyAlignment="true"/>
    <xf numFmtId="0" fontId="12" fillId="0" borderId="0" xfId="0" applyFont="true" applyAlignment="true"/>
    <xf numFmtId="0" fontId="11" fillId="2" borderId="0" xfId="0" applyFont="true" applyFill="true" applyAlignment="true"/>
    <xf numFmtId="0" fontId="11" fillId="0" borderId="0" xfId="0" applyFont="true" applyFill="true" applyAlignment="true"/>
    <xf numFmtId="0" fontId="11" fillId="0" borderId="0" xfId="0" applyFont="true"/>
    <xf numFmtId="0" fontId="11" fillId="0" borderId="0" xfId="0" applyFont="true" applyAlignment="true">
      <alignment horizontal="right"/>
    </xf>
    <xf numFmtId="2" fontId="11" fillId="0" borderId="12" xfId="0" applyNumberFormat="true" applyFont="true" applyBorder="true" applyAlignment="true">
      <alignment horizontal="center"/>
    </xf>
    <xf numFmtId="0" fontId="16" fillId="0" borderId="0" xfId="0" applyFont="true"/>
    <xf numFmtId="0" fontId="11" fillId="0" borderId="13" xfId="0" applyFont="true" applyBorder="true" applyAlignment="true">
      <alignment horizontal="center"/>
    </xf>
    <xf numFmtId="0" fontId="12" fillId="0" borderId="14" xfId="0" applyFont="true" applyBorder="true"/>
    <xf numFmtId="0" fontId="12" fillId="0" borderId="7" xfId="0" applyFont="true" applyBorder="true" applyAlignment="true">
      <alignment horizontal="right"/>
    </xf>
    <xf numFmtId="0" fontId="12" fillId="0" borderId="8" xfId="0" applyFont="true" applyBorder="true"/>
    <xf numFmtId="0" fontId="12" fillId="0" borderId="9" xfId="0" applyFont="true" applyBorder="true" applyAlignment="true">
      <alignment horizontal="right"/>
    </xf>
    <xf numFmtId="0" fontId="12" fillId="0" borderId="11" xfId="0" applyFont="true" applyBorder="true"/>
    <xf numFmtId="0" fontId="12" fillId="0" borderId="7" xfId="0" applyFont="true" applyFill="true" applyBorder="true" applyAlignment="true">
      <alignment horizontal="left"/>
    </xf>
    <xf numFmtId="0" fontId="10" fillId="0" borderId="0" xfId="0" applyFont="true" applyFill="true" applyAlignment="true">
      <alignment horizontal="left"/>
    </xf>
    <xf numFmtId="0" fontId="12" fillId="0" borderId="0" xfId="0" applyFont="true" applyAlignment="true">
      <alignment horizontal="center"/>
    </xf>
    <xf numFmtId="0" fontId="11" fillId="0" borderId="0" xfId="0" applyFont="true" applyAlignment="true">
      <alignment horizontal="center"/>
    </xf>
    <xf numFmtId="0" fontId="12" fillId="0" borderId="0" xfId="0" applyFont="true" applyBorder="true"/>
    <xf numFmtId="0" fontId="12" fillId="0" borderId="0" xfId="0" applyFont="true" applyAlignment="true">
      <alignment horizontal="left"/>
    </xf>
    <xf numFmtId="0" fontId="11" fillId="0" borderId="0" xfId="0" applyFont="true" applyAlignment="true">
      <alignment horizontal="left"/>
    </xf>
    <xf numFmtId="0" fontId="12" fillId="34" borderId="2" xfId="0" applyNumberFormat="true" applyFont="true" applyFill="true" applyBorder="true"/>
    <xf numFmtId="0" fontId="18" fillId="0" borderId="0" xfId="0" applyFont="true"/>
    <xf numFmtId="0" fontId="12" fillId="0" borderId="1" xfId="0" applyFont="true" applyBorder="true" applyAlignment="true">
      <alignment horizontal="center"/>
    </xf>
    <xf numFmtId="0" fontId="12" fillId="0" borderId="0" xfId="0" applyFont="true" applyFill="true" applyBorder="true" applyAlignment="true">
      <alignment horizontal="center"/>
    </xf>
    <xf numFmtId="0" fontId="12" fillId="34" borderId="3" xfId="0" applyNumberFormat="true" applyFont="true" applyFill="true" applyBorder="true"/>
    <xf numFmtId="0" fontId="12" fillId="34" borderId="2" xfId="0" applyFont="true" applyFill="true" applyBorder="true"/>
    <xf numFmtId="0" fontId="12" fillId="34" borderId="3" xfId="0" applyFont="true" applyFill="true" applyBorder="true"/>
    <xf numFmtId="0" fontId="17" fillId="0" borderId="0" xfId="0" applyFont="true" applyAlignment="true">
      <alignment horizontal="left"/>
    </xf>
    <xf numFmtId="0" fontId="12" fillId="34" borderId="4" xfId="0" applyFont="true" applyFill="true" applyBorder="true"/>
    <xf numFmtId="0" fontId="12" fillId="0" borderId="15" xfId="0" applyFont="true" applyBorder="true"/>
    <xf numFmtId="0" fontId="11" fillId="0" borderId="23" xfId="0" applyFont="true" applyBorder="true" applyAlignment="true">
      <alignment horizontal="center"/>
    </xf>
    <xf numFmtId="0" fontId="11" fillId="0" borderId="22" xfId="0" applyFont="true" applyBorder="true" applyAlignment="true">
      <alignment horizontal="center"/>
    </xf>
    <xf numFmtId="0" fontId="12" fillId="0" borderId="17" xfId="0" applyFont="true" applyBorder="true"/>
    <xf numFmtId="0" fontId="19" fillId="0" borderId="18" xfId="0" applyFont="true" applyFill="true" applyBorder="true" applyAlignment="true">
      <alignment horizontal="right" wrapText="true"/>
    </xf>
    <xf numFmtId="0" fontId="12" fillId="0" borderId="16" xfId="0" applyFont="true" applyFill="true" applyBorder="true" applyAlignment="true">
      <alignment horizontal="right"/>
    </xf>
    <xf numFmtId="0" fontId="12" fillId="0" borderId="10" xfId="0" applyFont="true" applyBorder="true"/>
    <xf numFmtId="0" fontId="12" fillId="0" borderId="19" xfId="0" applyFont="true" applyBorder="true"/>
    <xf numFmtId="0" fontId="12" fillId="0" borderId="20" xfId="0" applyFont="true" applyBorder="true"/>
    <xf numFmtId="0" fontId="12" fillId="0" borderId="1" xfId="0" applyFont="true" applyBorder="true"/>
    <xf numFmtId="0" fontId="12" fillId="0" borderId="21" xfId="0" applyFont="true" applyBorder="true"/>
    <xf numFmtId="0" fontId="20" fillId="0" borderId="0" xfId="0" applyFont="true" applyAlignment="true">
      <alignment horizontal="center"/>
    </xf>
    <xf numFmtId="0" fontId="20" fillId="0" borderId="1" xfId="0" applyFont="true" applyBorder="true" applyAlignment="true">
      <alignment horizontal="center"/>
    </xf>
    <xf numFmtId="0" fontId="20" fillId="0" borderId="0" xfId="0" applyFont="true"/>
    <xf numFmtId="0" fontId="20" fillId="0" borderId="0" xfId="0" applyFont="true" applyFill="true" applyAlignment="true">
      <alignment horizontal="center"/>
    </xf>
    <xf numFmtId="0" fontId="20" fillId="0" borderId="1" xfId="0" applyFont="true" applyFill="true" applyBorder="true" applyAlignment="true">
      <alignment horizontal="center"/>
    </xf>
    <xf numFmtId="0" fontId="20" fillId="0" borderId="0" xfId="0" applyFont="true" applyFill="true"/>
    <xf numFmtId="0" fontId="21" fillId="0" borderId="0" xfId="0" applyFont="true" applyAlignment="true">
      <alignment horizontal="left"/>
    </xf>
    <xf numFmtId="0" fontId="22" fillId="0" borderId="1" xfId="0" applyFont="true" applyBorder="true" applyAlignment="true">
      <alignment horizontal="center"/>
    </xf>
    <xf numFmtId="0" fontId="22" fillId="0" borderId="0" xfId="0" applyFont="true"/>
    <xf numFmtId="0" fontId="1" fillId="2" borderId="0" xfId="0" applyFont="true" applyFill="true" applyAlignment="true">
      <alignment wrapText="true"/>
    </xf>
    <xf numFmtId="0" fontId="0" fillId="0" borderId="0" xfId="0" applyAlignment="true">
      <alignment wrapText="true"/>
    </xf>
    <xf numFmtId="0" fontId="7" fillId="0" borderId="0" xfId="0" applyFont="true"/>
    <xf numFmtId="0" fontId="1" fillId="0" borderId="0" xfId="0" applyFont="true" applyAlignment="true">
      <alignment wrapText="true"/>
    </xf>
    <xf numFmtId="0" fontId="23" fillId="0" borderId="0" xfId="0" applyFont="true" applyAlignment="true">
      <alignment horizontal="center"/>
    </xf>
    <xf numFmtId="0" fontId="23" fillId="0" borderId="0" xfId="0" applyFont="true" applyFill="true" applyAlignment="true">
      <alignment horizontal="center"/>
    </xf>
    <xf numFmtId="0" fontId="23" fillId="31" borderId="0" xfId="0" applyFont="true" applyFill="true" applyAlignment="true">
      <alignment horizontal="center"/>
    </xf>
    <xf numFmtId="0" fontId="23" fillId="29" borderId="0" xfId="0" applyFont="true" applyFill="true" applyAlignment="true">
      <alignment horizontal="center"/>
    </xf>
    <xf numFmtId="0" fontId="23" fillId="30" borderId="0" xfId="0" applyFont="true" applyFill="true" applyAlignment="true">
      <alignment horizontal="center"/>
    </xf>
    <xf numFmtId="0" fontId="23" fillId="27" borderId="0" xfId="0" applyFont="true" applyFill="true" applyAlignment="true">
      <alignment horizontal="center"/>
    </xf>
    <xf numFmtId="0" fontId="23" fillId="28" borderId="0" xfId="0" applyFont="true" applyFill="true" applyAlignment="true">
      <alignment horizontal="center"/>
    </xf>
    <xf numFmtId="0" fontId="23" fillId="0" borderId="0" xfId="0" applyFont="true" applyFill="true" applyAlignment="true">
      <alignment horizontal="right"/>
    </xf>
    <xf numFmtId="0" fontId="0" fillId="26" borderId="2" xfId="0" applyFill="true" applyBorder="true" applyAlignment="true">
      <alignment horizontal="center"/>
    </xf>
    <xf numFmtId="0" fontId="0" fillId="26" borderId="4" xfId="0" applyFill="true" applyBorder="true" applyAlignment="true">
      <alignment horizontal="center"/>
    </xf>
    <xf numFmtId="0" fontId="0" fillId="26" borderId="3" xfId="0" applyFill="true" applyBorder="true"/>
    <xf numFmtId="0" fontId="0" fillId="0" borderId="0" xfId="0" applyAlignment="true">
      <alignment horizontal="center"/>
    </xf>
    <xf numFmtId="0" fontId="0" fillId="0" borderId="0" xfId="0" applyFill="true" applyAlignment="true">
      <alignment horizontal="center"/>
    </xf>
    <xf numFmtId="0" fontId="0" fillId="0" borderId="0" xfId="0" applyAlignment="true">
      <alignment horizontal="right"/>
    </xf>
    <xf numFmtId="0" fontId="0" fillId="55" borderId="0" xfId="0" applyFill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0" fillId="59" borderId="0" xfId="0" applyFill="true"/>
    <xf numFmtId="0" fontId="0" fillId="60" borderId="0" xfId="0" applyFill="true"/>
    <xf numFmtId="0" fontId="0" fillId="61" borderId="0" xfId="0" applyFill="true"/>
    <xf numFmtId="0" fontId="0" fillId="62" borderId="0" xfId="0" applyFill="true"/>
    <xf numFmtId="0" fontId="0" fillId="63" borderId="0" xfId="0" applyFill="true"/>
    <xf numFmtId="0" fontId="0" fillId="64" borderId="0" xfId="0" applyFill="true"/>
    <xf numFmtId="0" fontId="0" fillId="65" borderId="0" xfId="0" applyFill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0" fillId="69" borderId="0" xfId="0" applyFill="true"/>
    <xf numFmtId="0" fontId="0" fillId="70" borderId="0" xfId="0" applyFill="true"/>
    <xf numFmtId="0" fontId="0" fillId="71" borderId="0" xfId="0" applyFill="true"/>
    <xf numFmtId="0" fontId="0" fillId="72" borderId="0" xfId="0" applyFill="true"/>
    <xf numFmtId="0" fontId="0" fillId="73" borderId="0" xfId="0" applyFill="true"/>
    <xf numFmtId="0" fontId="0" fillId="74" borderId="0" xfId="0" applyFill="true"/>
    <xf numFmtId="0" fontId="0" fillId="75" borderId="0" xfId="0" applyFill="true"/>
    <xf numFmtId="0" fontId="0" fillId="76" borderId="0" xfId="0" applyFill="true"/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0" fontId="0" fillId="82" borderId="0" xfId="0" applyFill="true"/>
    <xf numFmtId="0" fontId="0" fillId="83" borderId="0" xfId="0" applyFill="true"/>
    <xf numFmtId="0" fontId="0" fillId="84" borderId="0" xfId="0" applyFill="true"/>
    <xf numFmtId="0" fontId="0" fillId="85" borderId="0" xfId="0" applyFill="true"/>
    <xf numFmtId="0" fontId="0" fillId="86" borderId="0" xfId="0" applyFill="true"/>
    <xf numFmtId="0" fontId="0" fillId="87" borderId="0" xfId="0" applyFill="true"/>
    <xf numFmtId="0" fontId="0" fillId="88" borderId="0" xfId="0" applyFill="true"/>
    <xf numFmtId="0" fontId="0" fillId="89" borderId="0" xfId="0" applyFill="true"/>
    <xf numFmtId="0" fontId="0" fillId="90" borderId="0" xfId="0" applyFill="true"/>
    <xf numFmtId="0" fontId="0" fillId="91" borderId="0" xfId="0" applyFill="true"/>
    <xf numFmtId="0" fontId="0" fillId="92" borderId="0" xfId="0" applyFill="true"/>
    <xf numFmtId="0" fontId="0" fillId="93" borderId="0" xfId="0" applyFill="true"/>
    <xf numFmtId="0" fontId="0" fillId="94" borderId="0" xfId="0" applyFill="true"/>
    <xf numFmtId="0" fontId="0" fillId="95" borderId="0" xfId="0" applyFill="true"/>
    <xf numFmtId="0" fontId="0" fillId="96" borderId="0" xfId="0" applyFill="true"/>
    <xf numFmtId="0" fontId="0" fillId="97" borderId="0" xfId="0" applyFill="true"/>
    <xf numFmtId="0" fontId="0" fillId="98" borderId="0" xfId="0" applyFill="true"/>
    <xf numFmtId="0" fontId="0" fillId="99" borderId="0" xfId="0" applyFill="true"/>
    <xf numFmtId="0" fontId="0" fillId="100" borderId="0" xfId="0" applyFill="true"/>
    <xf numFmtId="0" fontId="0" fillId="101" borderId="0" xfId="0" applyFill="true"/>
    <xf numFmtId="0" fontId="0" fillId="102" borderId="0" xfId="0" applyFill="true"/>
    <xf numFmtId="0" fontId="0" fillId="103" borderId="0" xfId="0" applyFill="true"/>
    <xf numFmtId="0" fontId="0" fillId="103" borderId="0" xfId="0" applyFill="true" applyAlignment="true">
      <alignment horizontal="center"/>
    </xf>
    <xf numFmtId="0" fontId="24" fillId="0" borderId="0" xfId="0" applyFont="true"/>
    <xf numFmtId="0" fontId="0" fillId="26" borderId="0" xfId="0" applyFill="true"/>
    <xf numFmtId="0" fontId="13" fillId="104" borderId="0" xfId="0" applyFont="true" applyFill="true"/>
    <xf numFmtId="0" fontId="0" fillId="105" borderId="0" xfId="0" applyFill="true"/>
    <xf numFmtId="0" fontId="6" fillId="0" borderId="0" xfId="0" applyFont="true"/>
    <xf numFmtId="0" fontId="0" fillId="27" borderId="0" xfId="0" applyFill="true"/>
    <xf numFmtId="0" fontId="0" fillId="28" borderId="0" xfId="0" applyFill="true"/>
    <xf numFmtId="0" fontId="0" fillId="106" borderId="0" xfId="0" applyFill="true"/>
    <xf numFmtId="0" fontId="26" fillId="103" borderId="0" xfId="0" applyFont="true" applyFill="true"/>
    <xf numFmtId="0" fontId="27" fillId="103" borderId="0" xfId="0" applyFont="true" applyFill="true" applyAlignment="true">
      <alignment horizontal="center"/>
    </xf>
    <xf numFmtId="0" fontId="0" fillId="26" borderId="0" xfId="0" applyFill="true" applyAlignment="true">
      <alignment horizontal="right"/>
    </xf>
    <xf numFmtId="0" fontId="13" fillId="103" borderId="0" xfId="0" applyFont="true" applyFill="true" applyAlignment="true">
      <alignment horizontal="center"/>
    </xf>
    <xf numFmtId="0" fontId="0" fillId="107" borderId="0" xfId="0" applyFill="true"/>
    <xf numFmtId="0" fontId="0" fillId="3" borderId="0" xfId="0" applyFill="true"/>
    <xf numFmtId="0" fontId="0" fillId="0" borderId="0" xfId="0" applyFill="true" applyAlignment="true">
      <alignment horizontal="right"/>
    </xf>
    <xf numFmtId="0" fontId="0" fillId="108" borderId="13" xfId="0" applyFill="true" applyBorder="true"/>
    <xf numFmtId="0" fontId="0" fillId="108" borderId="14" xfId="0" applyFill="true" applyBorder="true"/>
    <xf numFmtId="0" fontId="0" fillId="32" borderId="5" xfId="0" applyFill="true" applyBorder="true"/>
    <xf numFmtId="0" fontId="0" fillId="32" borderId="6" xfId="0" applyFill="true" applyBorder="true"/>
    <xf numFmtId="0" fontId="0" fillId="0" borderId="0" xfId="0" applyFill="true" applyBorder="true"/>
    <xf numFmtId="0" fontId="0" fillId="32" borderId="7" xfId="0" applyFill="true" applyBorder="true"/>
    <xf numFmtId="0" fontId="0" fillId="32" borderId="8" xfId="0" applyFill="true" applyBorder="true"/>
    <xf numFmtId="0" fontId="0" fillId="32" borderId="9" xfId="0" applyFill="true" applyBorder="true"/>
    <xf numFmtId="0" fontId="0" fillId="32" borderId="11" xfId="0" applyFill="true" applyBorder="true"/>
    <xf numFmtId="0" fontId="0" fillId="109" borderId="0" xfId="0" applyFill="true"/>
    <xf numFmtId="0" fontId="0" fillId="110" borderId="0" xfId="0" applyFill="true"/>
    <xf numFmtId="0" fontId="0" fillId="111" borderId="0" xfId="0" applyFill="true"/>
    <xf numFmtId="0" fontId="0" fillId="112" borderId="0" xfId="0" applyFill="true"/>
    <xf numFmtId="0" fontId="0" fillId="113" borderId="0" xfId="0" applyFill="true"/>
    <xf numFmtId="0" fontId="0" fillId="114" borderId="0" xfId="0" applyFill="true"/>
    <xf numFmtId="0" fontId="0" fillId="115" borderId="0" xfId="0" applyFill="true"/>
    <xf numFmtId="0" fontId="0" fillId="116" borderId="0" xfId="0" applyFill="true"/>
    <xf numFmtId="0" fontId="0" fillId="117" borderId="0" xfId="0" applyFill="true"/>
    <xf numFmtId="0" fontId="0" fillId="118" borderId="0" xfId="0" applyFill="true"/>
    <xf numFmtId="0" fontId="0" fillId="119" borderId="0" xfId="0" applyFill="true"/>
    <xf numFmtId="0" fontId="0" fillId="120" borderId="0" xfId="0" applyFill="true"/>
    <xf numFmtId="0" fontId="0" fillId="121" borderId="0" xfId="0" applyFill="true"/>
    <xf numFmtId="0" fontId="0" fillId="122" borderId="0" xfId="0" applyFill="true"/>
    <xf numFmtId="0" fontId="0" fillId="123" borderId="0" xfId="0" applyFill="true"/>
    <xf numFmtId="0" fontId="0" fillId="124" borderId="0" xfId="0" applyFill="true"/>
    <xf numFmtId="0" fontId="0" fillId="125" borderId="0" xfId="0" applyFill="true"/>
    <xf numFmtId="0" fontId="0" fillId="126" borderId="0" xfId="0" applyFill="true"/>
    <xf numFmtId="0" fontId="0" fillId="127" borderId="0" xfId="0" applyFill="true"/>
    <xf numFmtId="0" fontId="0" fillId="128" borderId="0" xfId="0" applyFill="true"/>
    <xf numFmtId="0" fontId="0" fillId="129" borderId="0" xfId="0" applyFill="true"/>
    <xf numFmtId="0" fontId="0" fillId="130" borderId="0" xfId="0" applyFill="true"/>
    <xf numFmtId="0" fontId="0" fillId="131" borderId="0" xfId="0" applyFill="true"/>
    <xf numFmtId="0" fontId="0" fillId="132" borderId="0" xfId="0" applyFill="true"/>
    <xf numFmtId="0" fontId="0" fillId="133" borderId="0" xfId="0" applyFill="true"/>
    <xf numFmtId="0" fontId="0" fillId="134" borderId="0" xfId="0" applyFill="true"/>
    <xf numFmtId="0" fontId="0" fillId="135" borderId="0" xfId="0" applyFill="true"/>
    <xf numFmtId="0" fontId="0" fillId="136" borderId="0" xfId="0" applyFill="true"/>
    <xf numFmtId="0" fontId="0" fillId="137" borderId="0" xfId="0" applyFill="true"/>
    <xf numFmtId="0" fontId="0" fillId="138" borderId="0" xfId="0" applyFill="true"/>
    <xf numFmtId="0" fontId="0" fillId="139" borderId="0" xfId="0" applyFill="true"/>
    <xf numFmtId="0" fontId="0" fillId="140" borderId="0" xfId="0" applyFill="true"/>
    <xf numFmtId="0" fontId="0" fillId="141" borderId="0" xfId="0" applyFill="true"/>
    <xf numFmtId="0" fontId="0" fillId="142" borderId="0" xfId="0" applyFill="true"/>
    <xf numFmtId="0" fontId="0" fillId="143" borderId="0" xfId="0" applyFill="true"/>
    <xf numFmtId="0" fontId="0" fillId="144" borderId="0" xfId="0" applyFill="true"/>
    <xf numFmtId="0" fontId="0" fillId="145" borderId="0" xfId="0" applyFill="true"/>
    <xf numFmtId="0" fontId="0" fillId="146" borderId="0" xfId="0" applyFill="true"/>
    <xf numFmtId="0" fontId="0" fillId="147" borderId="0" xfId="0" applyFill="true"/>
    <xf numFmtId="0" fontId="0" fillId="148" borderId="0" xfId="0" applyFill="true"/>
    <xf numFmtId="0" fontId="0" fillId="149" borderId="0" xfId="0" applyFill="true"/>
    <xf numFmtId="0" fontId="0" fillId="150" borderId="0" xfId="0" applyFill="true"/>
    <xf numFmtId="0" fontId="0" fillId="151" borderId="0" xfId="0" applyFill="true"/>
    <xf numFmtId="0" fontId="0" fillId="152" borderId="0" xfId="0" applyFill="true"/>
    <xf numFmtId="0" fontId="0" fillId="153" borderId="0" xfId="0" applyFill="true"/>
    <xf numFmtId="0" fontId="0" fillId="154" borderId="0" xfId="0" applyFill="true"/>
    <xf numFmtId="0" fontId="0" fillId="155" borderId="0" xfId="0" applyFill="true"/>
    <xf numFmtId="0" fontId="0" fillId="156" borderId="0" xfId="0" applyFill="true"/>
    <xf numFmtId="0" fontId="0" fillId="157" borderId="0" xfId="0" applyFill="true"/>
    <xf numFmtId="0" fontId="0" fillId="158" borderId="0" xfId="0" applyFill="true"/>
    <xf numFmtId="0" fontId="0" fillId="159" borderId="0" xfId="0" applyFill="true"/>
    <xf numFmtId="0" fontId="0" fillId="160" borderId="0" xfId="0" applyFill="true"/>
    <xf numFmtId="0" fontId="0" fillId="161" borderId="0" xfId="0" applyFill="true"/>
    <xf numFmtId="0" fontId="0" fillId="162" borderId="0" xfId="0" applyFill="true"/>
    <xf numFmtId="0" fontId="0" fillId="163" borderId="0" xfId="0" applyFill="true"/>
    <xf numFmtId="0" fontId="0" fillId="164" borderId="0" xfId="0" applyFill="true"/>
    <xf numFmtId="0" fontId="0" fillId="165" borderId="0" xfId="0" applyFill="true"/>
    <xf numFmtId="0" fontId="0" fillId="166" borderId="0" xfId="0" applyFill="true"/>
    <xf numFmtId="0" fontId="0" fillId="167" borderId="0" xfId="0" applyFill="true"/>
    <xf numFmtId="0" fontId="0" fillId="168" borderId="0" xfId="0" applyFill="true"/>
    <xf numFmtId="0" fontId="0" fillId="169" borderId="0" xfId="0" applyFill="true"/>
    <xf numFmtId="0" fontId="0" fillId="170" borderId="0" xfId="0" applyFill="true"/>
    <xf numFmtId="0" fontId="0" fillId="171" borderId="0" xfId="0" applyFill="true"/>
    <xf numFmtId="0" fontId="0" fillId="172" borderId="0" xfId="0" applyFill="true"/>
    <xf numFmtId="0" fontId="0" fillId="173" borderId="0" xfId="0" applyFill="true"/>
    <xf numFmtId="0" fontId="0" fillId="174" borderId="0" xfId="0" applyFill="true"/>
    <xf numFmtId="0" fontId="0" fillId="175" borderId="0" xfId="0" applyFill="true"/>
    <xf numFmtId="0" fontId="0" fillId="176" borderId="0" xfId="0" applyFill="true"/>
    <xf numFmtId="0" fontId="0" fillId="177" borderId="0" xfId="0" applyFill="true"/>
    <xf numFmtId="0" fontId="0" fillId="178" borderId="0" xfId="0" applyFill="true"/>
    <xf numFmtId="0" fontId="0" fillId="179" borderId="0" xfId="0" applyFill="true"/>
    <xf numFmtId="0" fontId="0" fillId="180" borderId="0" xfId="0" applyFill="true"/>
    <xf numFmtId="0" fontId="0" fillId="181" borderId="0" xfId="0" applyFill="true"/>
    <xf numFmtId="0" fontId="0" fillId="182" borderId="0" xfId="0" applyFill="true"/>
    <xf numFmtId="0" fontId="0" fillId="183" borderId="0" xfId="0" applyFill="true"/>
    <xf numFmtId="0" fontId="0" fillId="184" borderId="0" xfId="0" applyFill="true"/>
    <xf numFmtId="0" fontId="0" fillId="185" borderId="0" xfId="0" applyFill="true"/>
    <xf numFmtId="0" fontId="0" fillId="186" borderId="0" xfId="0" applyFill="true"/>
    <xf numFmtId="0" fontId="0" fillId="187" borderId="0" xfId="0" applyFill="true"/>
    <xf numFmtId="0" fontId="0" fillId="188" borderId="0" xfId="0" applyFill="true"/>
    <xf numFmtId="0" fontId="0" fillId="189" borderId="0" xfId="0" applyFill="true"/>
    <xf numFmtId="0" fontId="0" fillId="190" borderId="0" xfId="0" applyFill="true"/>
    <xf numFmtId="0" fontId="0" fillId="191" borderId="0" xfId="0" applyFill="true"/>
    <xf numFmtId="0" fontId="0" fillId="192" borderId="0" xfId="0" applyFill="true"/>
    <xf numFmtId="0" fontId="0" fillId="193" borderId="0" xfId="0" applyFill="true"/>
    <xf numFmtId="0" fontId="0" fillId="194" borderId="0" xfId="0" applyFill="true"/>
    <xf numFmtId="0" fontId="0" fillId="195" borderId="0" xfId="0" applyFill="true"/>
    <xf numFmtId="0" fontId="0" fillId="196" borderId="0" xfId="0" applyFill="true"/>
    <xf numFmtId="0" fontId="0" fillId="197" borderId="0" xfId="0" applyFill="true"/>
    <xf numFmtId="0" fontId="0" fillId="198" borderId="0" xfId="0" applyFill="true"/>
    <xf numFmtId="0" fontId="0" fillId="199" borderId="0" xfId="0" applyFill="true"/>
    <xf numFmtId="0" fontId="0" fillId="200" borderId="0" xfId="0" applyFill="true"/>
    <xf numFmtId="0" fontId="0" fillId="201" borderId="0" xfId="0" applyFill="true"/>
    <xf numFmtId="0" fontId="0" fillId="202" borderId="0" xfId="0" applyFill="true"/>
    <xf numFmtId="0" fontId="0" fillId="203" borderId="0" xfId="0" applyFill="true"/>
    <xf numFmtId="0" fontId="0" fillId="204" borderId="0" xfId="0" applyFill="true"/>
    <xf numFmtId="0" fontId="0" fillId="205" borderId="0" xfId="0" applyFill="true"/>
    <xf numFmtId="0" fontId="0" fillId="206" borderId="0" xfId="0" applyFill="true"/>
    <xf numFmtId="0" fontId="0" fillId="207" borderId="0" xfId="0" applyFill="true"/>
    <xf numFmtId="0" fontId="0" fillId="208" borderId="0" xfId="0" applyFill="true"/>
    <xf numFmtId="0" fontId="0" fillId="209" borderId="0" xfId="0" applyFill="true"/>
    <xf numFmtId="0" fontId="0" fillId="210" borderId="0" xfId="0" applyFill="true"/>
    <xf numFmtId="0" fontId="0" fillId="211" borderId="0" xfId="0" applyFill="true"/>
    <xf numFmtId="0" fontId="0" fillId="212" borderId="0" xfId="0" applyFill="true"/>
    <xf numFmtId="0" fontId="0" fillId="213" borderId="0" xfId="0" applyFill="true"/>
    <xf numFmtId="0" fontId="0" fillId="214" borderId="0" xfId="0" applyFill="true"/>
    <xf numFmtId="0" fontId="0" fillId="215" borderId="0" xfId="0" applyFill="true"/>
    <xf numFmtId="0" fontId="0" fillId="216" borderId="0" xfId="0" applyFill="true"/>
    <xf numFmtId="0" fontId="0" fillId="217" borderId="0" xfId="0" applyFill="true"/>
    <xf numFmtId="0" fontId="0" fillId="218" borderId="0" xfId="0" applyFill="true"/>
    <xf numFmtId="0" fontId="0" fillId="219" borderId="0" xfId="0" applyFill="true"/>
    <xf numFmtId="0" fontId="0" fillId="220" borderId="0" xfId="0" applyFill="true"/>
    <xf numFmtId="0" fontId="0" fillId="221" borderId="0" xfId="0" applyFill="true"/>
    <xf numFmtId="0" fontId="0" fillId="222" borderId="0" xfId="0" applyFill="true"/>
    <xf numFmtId="0" fontId="0" fillId="223" borderId="0" xfId="0" applyFill="true"/>
    <xf numFmtId="0" fontId="0" fillId="224" borderId="0" xfId="0" applyFill="true"/>
    <xf numFmtId="0" fontId="0" fillId="225" borderId="0" xfId="0" applyFill="true"/>
    <xf numFmtId="0" fontId="0" fillId="226" borderId="0" xfId="0" applyFill="true"/>
    <xf numFmtId="0" fontId="0" fillId="227" borderId="0" xfId="0" applyFill="true"/>
    <xf numFmtId="49" fontId="0" fillId="0" borderId="24" xfId="0" applyNumberFormat="true"/>
    <xf numFmtId="22" fontId="0" fillId="0" borderId="25" xfId="0" applyNumberFormat="true"/>
    <xf numFmtId="49" fontId="0" fillId="0" borderId="26" xfId="0" applyNumberFormat="true"/>
    <xf numFmtId="22" fontId="0" fillId="0" borderId="27" xfId="0" applyNumberFormat="true"/>
  </cellXfs>
  <cellStyles count="3654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true"/>
  </cols>
  <sheetData>
    <row r="2" x14ac:dyDescent="0.15">
      <c r="B2" t="s">
        <v>145</v>
      </c>
    </row>
    <row r="3" x14ac:dyDescent="0.15">
      <c r="B3" t="s">
        <v>146</v>
      </c>
    </row>
    <row r="4" x14ac:dyDescent="0.15">
      <c r="B4" s="56" t="s">
        <v>167</v>
      </c>
    </row>
    <row r="6" ht="14" thickBot="true" x14ac:dyDescent="0.2">
      <c r="B6" s="43" t="s">
        <v>141</v>
      </c>
    </row>
    <row r="7" x14ac:dyDescent="0.15">
      <c r="B7" s="56" t="s">
        <v>143</v>
      </c>
    </row>
    <row r="8" x14ac:dyDescent="0.15">
      <c r="B8" s="56" t="s">
        <v>142</v>
      </c>
    </row>
    <row r="9" x14ac:dyDescent="0.15">
      <c r="B9" s="56" t="s">
        <v>144</v>
      </c>
    </row>
    <row r="10" x14ac:dyDescent="0.15">
      <c r="B10" s="56" t="s">
        <v>147</v>
      </c>
    </row>
    <row r="11" x14ac:dyDescent="0.15">
      <c r="B11" s="56" t="s">
        <v>151</v>
      </c>
    </row>
    <row r="12" x14ac:dyDescent="0.15">
      <c r="B12" s="56" t="s">
        <v>153</v>
      </c>
    </row>
    <row r="13" x14ac:dyDescent="0.15">
      <c r="B13" s="56" t="s">
        <v>168</v>
      </c>
    </row>
    <row r="15" ht="14" thickBot="true" x14ac:dyDescent="0.2"/>
    <row r="16" ht="14" thickBot="true" x14ac:dyDescent="0.2">
      <c r="B16" s="44" t="s">
        <v>138</v>
      </c>
      <c r="C16" s="45"/>
      <c r="D16" s="27">
        <v>41373</v>
      </c>
    </row>
    <row r="17" x14ac:dyDescent="0.15">
      <c r="B17" s="46" t="s">
        <v>58</v>
      </c>
      <c r="C17" s="30">
        <v>0</v>
      </c>
    </row>
    <row r="18" x14ac:dyDescent="0.15">
      <c r="B18" s="46" t="s">
        <v>59</v>
      </c>
      <c r="C18" s="30">
        <v>1</v>
      </c>
    </row>
    <row r="19" x14ac:dyDescent="0.15">
      <c r="B19" s="46" t="s">
        <v>60</v>
      </c>
      <c r="C19" s="30">
        <v>2</v>
      </c>
    </row>
    <row r="20" ht="14" thickBot="true" x14ac:dyDescent="0.2">
      <c r="B20" s="47" t="s">
        <v>44</v>
      </c>
      <c r="C20" s="31">
        <v>3</v>
      </c>
    </row>
    <row r="21" x14ac:dyDescent="0.15">
      <c r="B21" s="48" t="s">
        <v>140</v>
      </c>
    </row>
    <row r="22" ht="14" thickBot="true" x14ac:dyDescent="0.2"/>
    <row r="23" ht="14" thickBot="true" x14ac:dyDescent="0.2">
      <c r="B23" s="44" t="s">
        <v>66</v>
      </c>
      <c r="C23" s="45"/>
      <c r="D23" s="27" t="s">
        <v>148</v>
      </c>
    </row>
    <row r="24" x14ac:dyDescent="0.15">
      <c r="B24" s="49" t="s">
        <v>38</v>
      </c>
      <c r="C24" s="28">
        <v>1</v>
      </c>
    </row>
    <row r="25" x14ac:dyDescent="0.15">
      <c r="B25" s="46" t="s">
        <v>40</v>
      </c>
      <c r="C25" s="30">
        <v>1.1000000000000001</v>
      </c>
    </row>
    <row r="26" x14ac:dyDescent="0.15">
      <c r="B26" s="46" t="s">
        <v>41</v>
      </c>
      <c r="C26" s="30">
        <v>1.2</v>
      </c>
    </row>
    <row r="27" x14ac:dyDescent="0.15">
      <c r="B27" s="46"/>
      <c r="C27" s="30"/>
    </row>
    <row r="28" x14ac:dyDescent="0.15">
      <c r="B28" s="46" t="s">
        <v>42</v>
      </c>
      <c r="C28" s="30">
        <v>2.1</v>
      </c>
    </row>
    <row r="29" x14ac:dyDescent="0.15">
      <c r="B29" s="46" t="s">
        <v>43</v>
      </c>
      <c r="C29" s="30">
        <v>2.2000000000000002</v>
      </c>
    </row>
    <row r="30" x14ac:dyDescent="0.15">
      <c r="B30" s="46" t="s">
        <v>68</v>
      </c>
      <c r="C30" s="30">
        <v>2.2999999999999998</v>
      </c>
    </row>
    <row r="31" x14ac:dyDescent="0.15">
      <c r="B31" s="46"/>
      <c r="C31" s="30"/>
    </row>
    <row r="32" x14ac:dyDescent="0.15">
      <c r="B32" s="46" t="s">
        <v>63</v>
      </c>
      <c r="C32" s="30">
        <v>3.11</v>
      </c>
    </row>
    <row r="33" x14ac:dyDescent="0.15">
      <c r="B33" s="46" t="s">
        <v>62</v>
      </c>
      <c r="C33" s="30">
        <v>3.12</v>
      </c>
    </row>
    <row r="34" x14ac:dyDescent="0.15">
      <c r="B34" s="46" t="s">
        <v>69</v>
      </c>
      <c r="C34" s="30">
        <v>3.13</v>
      </c>
    </row>
    <row r="35" x14ac:dyDescent="0.15">
      <c r="B35" s="46"/>
      <c r="C35" s="30"/>
    </row>
    <row r="36" x14ac:dyDescent="0.15">
      <c r="B36" s="46" t="s">
        <v>67</v>
      </c>
      <c r="C36" s="30">
        <v>3.21</v>
      </c>
    </row>
    <row r="37" x14ac:dyDescent="0.15">
      <c r="B37" s="46" t="s">
        <v>64</v>
      </c>
      <c r="C37" s="30">
        <v>3.22</v>
      </c>
    </row>
    <row r="38" x14ac:dyDescent="0.15">
      <c r="B38" s="46" t="s">
        <v>70</v>
      </c>
      <c r="C38" s="30">
        <v>3.23</v>
      </c>
    </row>
    <row r="39" x14ac:dyDescent="0.15">
      <c r="B39" s="46"/>
      <c r="C39" s="30"/>
    </row>
    <row r="40" x14ac:dyDescent="0.15">
      <c r="B40" s="46" t="s">
        <v>65</v>
      </c>
      <c r="C40" s="30">
        <v>8</v>
      </c>
    </row>
    <row r="41" x14ac:dyDescent="0.15">
      <c r="B41" s="46"/>
      <c r="C41" s="30"/>
    </row>
    <row r="42" x14ac:dyDescent="0.15">
      <c r="B42" s="46" t="s">
        <v>72</v>
      </c>
      <c r="C42" s="30">
        <v>4.0999999999999996</v>
      </c>
    </row>
    <row r="43" x14ac:dyDescent="0.15">
      <c r="B43" s="46" t="s">
        <v>71</v>
      </c>
      <c r="C43" s="30">
        <v>4.2</v>
      </c>
    </row>
    <row r="44" x14ac:dyDescent="0.15">
      <c r="B44" s="46" t="s">
        <v>73</v>
      </c>
      <c r="C44" s="30">
        <v>4.3</v>
      </c>
    </row>
    <row r="45" x14ac:dyDescent="0.15">
      <c r="B45" s="29"/>
      <c r="C45" s="30"/>
    </row>
    <row r="46" x14ac:dyDescent="0.15">
      <c r="B46" s="46" t="s">
        <v>139</v>
      </c>
      <c r="C46" s="30">
        <v>6.1</v>
      </c>
    </row>
    <row r="47" x14ac:dyDescent="0.15">
      <c r="B47" s="46" t="s">
        <v>45</v>
      </c>
      <c r="C47" s="30">
        <v>6.2</v>
      </c>
    </row>
    <row r="48" x14ac:dyDescent="0.15">
      <c r="B48" s="46"/>
      <c r="C48" s="30"/>
    </row>
    <row r="49" x14ac:dyDescent="0.15">
      <c r="B49" s="46" t="s">
        <v>44</v>
      </c>
      <c r="C49" s="30">
        <v>5</v>
      </c>
    </row>
    <row r="50" x14ac:dyDescent="0.15">
      <c r="B50" s="46"/>
      <c r="C50" s="30"/>
    </row>
    <row r="51" ht="14" thickBot="true" x14ac:dyDescent="0.2">
      <c r="B51" s="47" t="s">
        <v>74</v>
      </c>
      <c r="C51" s="31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W206"/>
  <sheetViews>
    <sheetView topLeftCell="D1" workbookViewId="0">
      <selection activeCell="Q9" sqref="Q9"/>
    </sheetView>
  </sheetViews>
  <sheetFormatPr baseColWidth="10" defaultColWidth="8.83203125" defaultRowHeight="15" customHeight="true" x14ac:dyDescent="0.2"/>
  <cols>
    <col min="1" max="1" width="22.5" style="77" customWidth="true"/>
    <col min="2" max="2" width="7.6640625" style="77" customWidth="true"/>
    <col min="3" max="3" width="8.83203125" style="77"/>
    <col min="4" max="4" width="14.33203125" style="77" customWidth="true"/>
    <col min="5" max="5" width="41.83203125" style="77" bestFit="true" customWidth="true"/>
    <col min="6" max="6" width="9.5" style="77" bestFit="true" customWidth="true"/>
    <col min="7" max="7" width="8.1640625" style="77" bestFit="true" customWidth="true"/>
    <col min="8" max="9" width="8.83203125" style="77"/>
    <col min="10" max="10" width="9.1640625" style="77" bestFit="true" customWidth="true"/>
    <col min="11" max="25" width="8.83203125" style="77"/>
    <col min="26" max="26" width="16.1640625" bestFit="true" customWidth="true"/>
    <col min="27" max="27" width="23.6640625" customWidth="true"/>
    <col min="28" max="28" width="18.83203125" bestFit="true" customWidth="true"/>
    <col min="29" max="29" width="18.83203125" customWidth="true"/>
    <col min="30" max="30" width="16.33203125" customWidth="true"/>
    <col min="32" max="32" width="8.83203125" customWidth="true"/>
    <col min="39" max="39" width="8.83203125" customWidth="true"/>
    <col min="50" max="16384" width="8.83203125" style="77"/>
  </cols>
  <sheetData>
    <row r="1" s="89" customFormat="true" ht="15" customHeight="true" x14ac:dyDescent="0.2">
      <c r="A1" s="88" t="s">
        <v>18</v>
      </c>
      <c r="C1" s="90" t="s">
        <v>8</v>
      </c>
      <c r="D1" s="88" t="s">
        <v>23</v>
      </c>
      <c r="E1" s="88" t="s">
        <v>0</v>
      </c>
      <c r="F1" s="88" t="s">
        <v>7</v>
      </c>
      <c r="G1" s="91" t="s">
        <v>13</v>
      </c>
      <c r="H1" s="88" t="s">
        <v>1</v>
      </c>
      <c r="I1" s="88" t="s">
        <v>2</v>
      </c>
      <c r="J1" s="88" t="s">
        <v>14</v>
      </c>
      <c r="K1" s="88" t="s">
        <v>3</v>
      </c>
      <c r="L1" s="88" t="s">
        <v>4</v>
      </c>
      <c r="M1" s="88" t="s">
        <v>5</v>
      </c>
      <c r="N1" s="88" t="s">
        <v>6</v>
      </c>
      <c r="O1" s="77"/>
      <c r="P1" s="86" t="s">
        <v>174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ht="15" customHeight="true" x14ac:dyDescent="0.2">
      <c r="C2">
        <v>1</v>
      </c>
      <c r="D2"/>
      <c r="E2" t="s">
        <v>181</v>
      </c>
      <c r="F2">
        <v>0</v>
      </c>
      <c r="G2">
        <v>6.7000000000000004E-2</v>
      </c>
      <c r="H2">
        <v>0.02</v>
      </c>
      <c r="I2">
        <v>9.9</v>
      </c>
      <c r="J2"/>
      <c r="K2"/>
      <c r="L2">
        <v>0</v>
      </c>
      <c r="M2">
        <v>0.2</v>
      </c>
      <c r="N2">
        <v>0</v>
      </c>
      <c r="O2"/>
      <c r="P2"/>
      <c r="Q2"/>
    </row>
    <row r="3" ht="15" customHeight="true" x14ac:dyDescent="0.2">
      <c r="A3" s="92" t="s">
        <v>9</v>
      </c>
      <c r="B3" s="76">
        <v>66</v>
      </c>
      <c r="C3">
        <f>C2+1</f>
        <v>2</v>
      </c>
      <c r="D3"/>
      <c r="E3" t="s">
        <v>182</v>
      </c>
      <c r="F3">
        <v>0</v>
      </c>
      <c r="G3">
        <v>1.7000000000000001E-2</v>
      </c>
      <c r="H3">
        <v>0.02</v>
      </c>
      <c r="I3">
        <v>17.63</v>
      </c>
      <c r="J3"/>
      <c r="K3"/>
      <c r="L3">
        <v>0</v>
      </c>
      <c r="M3">
        <v>0.2</v>
      </c>
      <c r="N3">
        <v>0</v>
      </c>
      <c r="O3"/>
      <c r="P3"/>
      <c r="Q3"/>
    </row>
    <row r="4" ht="15" customHeight="true" x14ac:dyDescent="0.2">
      <c r="A4" s="92" t="s">
        <v>10</v>
      </c>
      <c r="B4" s="76">
        <v>3</v>
      </c>
      <c r="C4">
        <f t="shared" ref="C4:C67" si="0">C3+1</f>
        <v>3</v>
      </c>
      <c r="D4"/>
      <c r="E4" t="s">
        <v>183</v>
      </c>
      <c r="F4">
        <v>0</v>
      </c>
      <c r="G4">
        <v>8.0000000000000002E-3</v>
      </c>
      <c r="H4">
        <v>0.09</v>
      </c>
      <c r="I4">
        <v>26.841999999999999</v>
      </c>
      <c r="J4"/>
      <c r="K4"/>
      <c r="L4">
        <v>0</v>
      </c>
      <c r="M4">
        <v>0.2</v>
      </c>
      <c r="N4">
        <v>0</v>
      </c>
      <c r="O4"/>
      <c r="P4"/>
      <c r="Q4"/>
      <c r="V4" s="92" t="s">
        <v>29</v>
      </c>
    </row>
    <row r="5" ht="15" customHeight="true" thickBot="true" x14ac:dyDescent="0.25">
      <c r="A5" s="92" t="s">
        <v>11</v>
      </c>
      <c r="B5" s="76">
        <v>12</v>
      </c>
      <c r="C5">
        <f t="shared" si="0"/>
        <v>4</v>
      </c>
      <c r="D5"/>
      <c r="E5" t="s">
        <v>184</v>
      </c>
      <c r="F5">
        <v>0</v>
      </c>
      <c r="G5">
        <v>3.0000000000000001E-3</v>
      </c>
      <c r="H5">
        <v>0.28000000000000003</v>
      </c>
      <c r="I5">
        <v>216.56</v>
      </c>
      <c r="J5"/>
      <c r="K5"/>
      <c r="L5">
        <v>0</v>
      </c>
      <c r="M5">
        <v>0.2</v>
      </c>
      <c r="N5">
        <v>0</v>
      </c>
      <c r="O5"/>
      <c r="P5"/>
      <c r="Q5"/>
      <c r="R5" s="85"/>
    </row>
    <row r="6" ht="15" customHeight="true" thickBot="true" x14ac:dyDescent="0.25">
      <c r="B6" s="92"/>
      <c r="C6">
        <f t="shared" si="0"/>
        <v>5</v>
      </c>
      <c r="D6"/>
      <c r="E6" t="s">
        <v>185</v>
      </c>
      <c r="F6">
        <v>0</v>
      </c>
      <c r="G6">
        <v>1E-3</v>
      </c>
      <c r="H6">
        <v>0.5</v>
      </c>
      <c r="I6">
        <v>2.5</v>
      </c>
      <c r="J6"/>
      <c r="K6"/>
      <c r="L6">
        <v>0</v>
      </c>
      <c r="M6">
        <v>0.2</v>
      </c>
      <c r="N6">
        <v>0</v>
      </c>
      <c r="O6"/>
      <c r="P6"/>
      <c r="Q6"/>
      <c r="R6" s="85"/>
      <c r="W6" s="93" t="s">
        <v>31</v>
      </c>
      <c r="X6" s="94">
        <f>MAX(MainOutputs!G:G)</f>
        <v>0.99000000953674316</v>
      </c>
    </row>
    <row r="7" ht="15" customHeight="true" x14ac:dyDescent="0.2">
      <c r="A7" s="95" t="s">
        <v>27</v>
      </c>
      <c r="B7" s="77">
        <f ca="true">COUNTIF(OFFSET(cornerDiets,1,1,NumLiving+NumDead+1,NumLiving+NumDead),"&gt;0")+NumLiving+NumDead+1</f>
        <v>963</v>
      </c>
      <c r="C7">
        <f t="shared" si="0"/>
        <v>6</v>
      </c>
      <c r="D7"/>
      <c r="E7" t="s">
        <v>186</v>
      </c>
      <c r="F7">
        <v>0</v>
      </c>
      <c r="G7" s="206"/>
      <c r="H7">
        <v>0.6</v>
      </c>
      <c r="I7">
        <v>2</v>
      </c>
      <c r="J7">
        <v>0.95</v>
      </c>
      <c r="K7"/>
      <c r="L7">
        <v>0</v>
      </c>
      <c r="M7">
        <v>0.2</v>
      </c>
      <c r="N7">
        <v>0</v>
      </c>
      <c r="O7"/>
      <c r="P7"/>
      <c r="Q7"/>
      <c r="R7" s="85"/>
    </row>
    <row r="8" ht="15" customHeight="true" x14ac:dyDescent="0.2">
      <c r="A8" s="95" t="s">
        <v>28</v>
      </c>
      <c r="B8" s="77">
        <f ca="true">COUNTIF(OFFSET(cornerFishing,1,2,NumLiving+NumDead,NumGears),"&gt;0")+NumDead*COUNTIF(OFFSET(cornerDiscards,1,2,NumLiving+NumDead,NumGears),"&gt;0")+NumLiving+NumDead+1</f>
        <v>721</v>
      </c>
      <c r="C8">
        <f t="shared" si="0"/>
        <v>7</v>
      </c>
      <c r="D8"/>
      <c r="E8" t="s">
        <v>187</v>
      </c>
      <c r="F8">
        <v>0</v>
      </c>
      <c r="G8">
        <v>2E-3</v>
      </c>
      <c r="H8">
        <v>0.48</v>
      </c>
      <c r="I8">
        <v>1.6</v>
      </c>
      <c r="J8"/>
      <c r="K8"/>
      <c r="L8">
        <v>0</v>
      </c>
      <c r="M8">
        <v>0.2</v>
      </c>
      <c r="N8">
        <v>0</v>
      </c>
      <c r="O8"/>
      <c r="P8"/>
      <c r="Q8"/>
      <c r="R8" s="85"/>
    </row>
    <row r="9" ht="15" customHeight="true" x14ac:dyDescent="0.2">
      <c r="B9" s="92"/>
      <c r="C9">
        <f t="shared" si="0"/>
        <v>8</v>
      </c>
      <c r="D9"/>
      <c r="E9" t="s">
        <v>188</v>
      </c>
      <c r="F9">
        <v>0</v>
      </c>
      <c r="G9">
        <v>2E-3</v>
      </c>
      <c r="H9">
        <v>0.51</v>
      </c>
      <c r="I9">
        <v>2.96</v>
      </c>
      <c r="J9"/>
      <c r="K9"/>
      <c r="L9">
        <v>0</v>
      </c>
      <c r="M9">
        <v>0.2</v>
      </c>
      <c r="N9">
        <v>0</v>
      </c>
      <c r="O9"/>
      <c r="P9"/>
      <c r="Q9"/>
      <c r="R9" s="85"/>
    </row>
    <row r="10" ht="15" customHeight="true" x14ac:dyDescent="0.2">
      <c r="B10" s="92"/>
      <c r="C10">
        <f t="shared" si="0"/>
        <v>9</v>
      </c>
      <c r="D10"/>
      <c r="E10" t="s">
        <v>189</v>
      </c>
      <c r="F10">
        <v>0</v>
      </c>
      <c r="G10">
        <v>0.26800000000000002</v>
      </c>
      <c r="H10">
        <v>0.66</v>
      </c>
      <c r="I10">
        <v>1.7</v>
      </c>
      <c r="J10"/>
      <c r="K10"/>
      <c r="L10">
        <v>0</v>
      </c>
      <c r="M10">
        <v>0.2</v>
      </c>
      <c r="N10">
        <v>0</v>
      </c>
      <c r="O10"/>
      <c r="P10"/>
      <c r="Q10"/>
    </row>
    <row r="11" ht="15" customHeight="true" x14ac:dyDescent="0.2">
      <c r="C11">
        <f t="shared" si="0"/>
        <v>10</v>
      </c>
      <c r="D11"/>
      <c r="E11" t="s">
        <v>190</v>
      </c>
      <c r="F11">
        <v>0</v>
      </c>
      <c r="G11">
        <v>0.109</v>
      </c>
      <c r="H11">
        <v>0.66</v>
      </c>
      <c r="I11">
        <v>1.7</v>
      </c>
      <c r="J11"/>
      <c r="K11"/>
      <c r="L11">
        <v>0</v>
      </c>
      <c r="M11">
        <v>0.2</v>
      </c>
      <c r="N11">
        <v>0</v>
      </c>
      <c r="O11"/>
      <c r="P11"/>
      <c r="Q11"/>
    </row>
    <row r="12" ht="15" customHeight="true" x14ac:dyDescent="0.2">
      <c r="C12">
        <f t="shared" si="0"/>
        <v>11</v>
      </c>
      <c r="D12"/>
      <c r="E12" t="s">
        <v>191</v>
      </c>
      <c r="F12">
        <v>0</v>
      </c>
      <c r="G12">
        <v>6.6000000000000003E-2</v>
      </c>
      <c r="H12">
        <v>0.78</v>
      </c>
      <c r="I12">
        <v>2.2999999999999998</v>
      </c>
      <c r="J12"/>
      <c r="K12"/>
      <c r="L12">
        <v>0</v>
      </c>
      <c r="M12">
        <v>0.2</v>
      </c>
      <c r="N12">
        <v>0</v>
      </c>
      <c r="O12"/>
      <c r="P12"/>
      <c r="Q12"/>
    </row>
    <row r="13" ht="15" customHeight="true" x14ac:dyDescent="0.2">
      <c r="C13">
        <f t="shared" si="0"/>
        <v>12</v>
      </c>
      <c r="D13"/>
      <c r="E13" t="s">
        <v>192</v>
      </c>
      <c r="F13">
        <v>0</v>
      </c>
      <c r="G13">
        <v>0.05</v>
      </c>
      <c r="H13">
        <v>0.35</v>
      </c>
      <c r="I13">
        <v>1.8</v>
      </c>
      <c r="J13"/>
      <c r="K13"/>
      <c r="L13">
        <v>0</v>
      </c>
      <c r="M13">
        <v>0.2</v>
      </c>
      <c r="N13">
        <v>0</v>
      </c>
      <c r="O13"/>
      <c r="P13"/>
      <c r="Q13"/>
    </row>
    <row r="14" ht="15" customHeight="true" x14ac:dyDescent="0.2">
      <c r="C14">
        <f t="shared" si="0"/>
        <v>13</v>
      </c>
      <c r="D14"/>
      <c r="E14" t="s">
        <v>193</v>
      </c>
      <c r="F14">
        <v>0</v>
      </c>
      <c r="G14">
        <v>7.9000000000000001E-2</v>
      </c>
      <c r="H14">
        <v>1.79</v>
      </c>
      <c r="I14">
        <v>5.96</v>
      </c>
      <c r="J14"/>
      <c r="K14"/>
      <c r="L14">
        <v>0</v>
      </c>
      <c r="M14">
        <v>0.2</v>
      </c>
      <c r="N14">
        <v>0</v>
      </c>
      <c r="O14"/>
      <c r="P14"/>
      <c r="Q14"/>
    </row>
    <row r="15" ht="15" customHeight="true" x14ac:dyDescent="0.2">
      <c r="C15">
        <f t="shared" si="0"/>
        <v>14</v>
      </c>
      <c r="D15"/>
      <c r="E15" t="s">
        <v>194</v>
      </c>
      <c r="F15">
        <v>0</v>
      </c>
      <c r="G15">
        <v>0.161</v>
      </c>
      <c r="H15">
        <v>1.19</v>
      </c>
      <c r="I15">
        <v>3.5</v>
      </c>
      <c r="J15"/>
      <c r="K15"/>
      <c r="L15">
        <v>0</v>
      </c>
      <c r="M15">
        <v>0.2</v>
      </c>
      <c r="N15">
        <v>0</v>
      </c>
      <c r="O15"/>
      <c r="P15"/>
      <c r="Q15"/>
    </row>
    <row r="16" ht="15" customHeight="true" x14ac:dyDescent="0.2">
      <c r="C16">
        <f t="shared" si="0"/>
        <v>15</v>
      </c>
      <c r="D16"/>
      <c r="E16" t="s">
        <v>195</v>
      </c>
      <c r="F16">
        <v>0</v>
      </c>
      <c r="G16">
        <v>0.222</v>
      </c>
      <c r="H16">
        <v>2.36</v>
      </c>
      <c r="I16">
        <v>6.58</v>
      </c>
      <c r="J16"/>
      <c r="K16"/>
      <c r="L16">
        <v>0</v>
      </c>
      <c r="M16">
        <v>0.2</v>
      </c>
      <c r="N16">
        <v>0</v>
      </c>
      <c r="O16"/>
      <c r="P16"/>
      <c r="Q16"/>
    </row>
    <row r="17" ht="15" customHeight="true" x14ac:dyDescent="0.2">
      <c r="C17">
        <f t="shared" si="0"/>
        <v>16</v>
      </c>
      <c r="D17"/>
      <c r="E17" t="s">
        <v>196</v>
      </c>
      <c r="F17">
        <v>0</v>
      </c>
      <c r="G17">
        <v>0.35199999999999998</v>
      </c>
      <c r="H17">
        <v>0.89</v>
      </c>
      <c r="I17">
        <v>5.46</v>
      </c>
      <c r="J17"/>
      <c r="K17"/>
      <c r="L17">
        <v>0</v>
      </c>
      <c r="M17">
        <v>0.2</v>
      </c>
      <c r="N17">
        <v>0</v>
      </c>
      <c r="O17"/>
      <c r="P17"/>
      <c r="Q17"/>
      <c r="V17" s="92" t="s">
        <v>30</v>
      </c>
    </row>
    <row r="18" ht="15" customHeight="true" x14ac:dyDescent="0.2">
      <c r="C18">
        <f t="shared" si="0"/>
        <v>17</v>
      </c>
      <c r="D18"/>
      <c r="E18" t="s">
        <v>197</v>
      </c>
      <c r="F18">
        <v>0</v>
      </c>
      <c r="G18">
        <v>0.28399999999999997</v>
      </c>
      <c r="H18">
        <v>2</v>
      </c>
      <c r="I18">
        <v>5.39</v>
      </c>
      <c r="J18"/>
      <c r="K18"/>
      <c r="L18">
        <v>0</v>
      </c>
      <c r="M18">
        <v>0.2</v>
      </c>
      <c r="N18">
        <v>0</v>
      </c>
      <c r="O18"/>
      <c r="P18"/>
      <c r="Q18"/>
      <c r="V18" s="92"/>
    </row>
    <row r="19" ht="15" customHeight="true" x14ac:dyDescent="0.2">
      <c r="C19">
        <f t="shared" si="0"/>
        <v>18</v>
      </c>
      <c r="D19"/>
      <c r="E19" t="s">
        <v>198</v>
      </c>
      <c r="F19">
        <v>0</v>
      </c>
      <c r="G19">
        <v>0.104</v>
      </c>
      <c r="H19">
        <v>1.1399999999999999</v>
      </c>
      <c r="I19">
        <v>4.4000000000000004</v>
      </c>
      <c r="J19"/>
      <c r="K19"/>
      <c r="L19">
        <v>0</v>
      </c>
      <c r="M19">
        <v>0.2</v>
      </c>
      <c r="N19">
        <v>0</v>
      </c>
      <c r="O19"/>
      <c r="P19"/>
      <c r="Q19"/>
    </row>
    <row r="20" ht="15" customHeight="true" thickBot="true" x14ac:dyDescent="0.25">
      <c r="C20">
        <f t="shared" si="0"/>
        <v>19</v>
      </c>
      <c r="D20"/>
      <c r="E20" t="s">
        <v>199</v>
      </c>
      <c r="F20">
        <v>0</v>
      </c>
      <c r="G20">
        <v>0.28100000000000003</v>
      </c>
      <c r="H20">
        <v>1</v>
      </c>
      <c r="I20">
        <v>4.9400000000000004</v>
      </c>
      <c r="J20"/>
      <c r="K20"/>
      <c r="L20">
        <v>0</v>
      </c>
      <c r="M20">
        <v>0.2</v>
      </c>
      <c r="N20">
        <v>0</v>
      </c>
      <c r="O20"/>
      <c r="P20"/>
      <c r="Q20"/>
    </row>
    <row r="21" ht="15" customHeight="true" thickBot="true" x14ac:dyDescent="0.25">
      <c r="A21" s="96" t="s">
        <v>138</v>
      </c>
      <c r="B21" s="97"/>
      <c r="C21">
        <f t="shared" si="0"/>
        <v>20</v>
      </c>
      <c r="D21"/>
      <c r="E21" t="s">
        <v>200</v>
      </c>
      <c r="F21">
        <v>0</v>
      </c>
      <c r="G21">
        <v>0.22</v>
      </c>
      <c r="H21">
        <v>0.95</v>
      </c>
      <c r="I21">
        <v>3.6</v>
      </c>
      <c r="J21"/>
      <c r="K21"/>
      <c r="L21">
        <v>0</v>
      </c>
      <c r="M21">
        <v>0.2</v>
      </c>
      <c r="N21">
        <v>0</v>
      </c>
      <c r="O21"/>
      <c r="P21"/>
      <c r="Q21"/>
    </row>
    <row r="22" ht="15" customHeight="true" x14ac:dyDescent="0.2">
      <c r="A22" s="98" t="s">
        <v>58</v>
      </c>
      <c r="B22" s="99">
        <v>0</v>
      </c>
      <c r="C22">
        <f t="shared" si="0"/>
        <v>21</v>
      </c>
      <c r="D22"/>
      <c r="E22" t="s">
        <v>201</v>
      </c>
      <c r="F22">
        <v>0</v>
      </c>
      <c r="G22">
        <v>1.4E-2</v>
      </c>
      <c r="H22">
        <v>0.82</v>
      </c>
      <c r="I22">
        <v>2.2000000000000002</v>
      </c>
      <c r="J22"/>
      <c r="K22"/>
      <c r="L22">
        <v>0</v>
      </c>
      <c r="M22">
        <v>0.2</v>
      </c>
      <c r="N22">
        <v>0</v>
      </c>
      <c r="O22"/>
      <c r="P22"/>
      <c r="Q22"/>
    </row>
    <row r="23" ht="15" customHeight="true" x14ac:dyDescent="0.2">
      <c r="A23" s="98" t="s">
        <v>59</v>
      </c>
      <c r="B23" s="99">
        <v>1</v>
      </c>
      <c r="C23">
        <f t="shared" si="0"/>
        <v>22</v>
      </c>
      <c r="D23"/>
      <c r="E23" t="s">
        <v>202</v>
      </c>
      <c r="F23">
        <v>0</v>
      </c>
      <c r="G23">
        <v>0.08</v>
      </c>
      <c r="H23">
        <v>2.5</v>
      </c>
      <c r="I23">
        <v>9.06</v>
      </c>
      <c r="J23"/>
      <c r="K23"/>
      <c r="L23">
        <v>0</v>
      </c>
      <c r="M23">
        <v>0.2</v>
      </c>
      <c r="N23">
        <v>0</v>
      </c>
      <c r="O23"/>
      <c r="P23"/>
      <c r="Q23"/>
    </row>
    <row r="24" ht="15" customHeight="true" x14ac:dyDescent="0.2">
      <c r="A24" s="98" t="s">
        <v>60</v>
      </c>
      <c r="B24" s="99">
        <v>2</v>
      </c>
      <c r="C24">
        <f t="shared" si="0"/>
        <v>23</v>
      </c>
      <c r="D24"/>
      <c r="E24" t="s">
        <v>203</v>
      </c>
      <c r="F24">
        <v>0</v>
      </c>
      <c r="G24">
        <v>1.3939999999999999</v>
      </c>
      <c r="H24">
        <v>2.2000000000000002</v>
      </c>
      <c r="I24">
        <v>5.05</v>
      </c>
      <c r="J24"/>
      <c r="K24"/>
      <c r="L24">
        <v>0</v>
      </c>
      <c r="M24">
        <v>0.2</v>
      </c>
      <c r="N24">
        <v>0</v>
      </c>
      <c r="O24"/>
      <c r="P24"/>
      <c r="Q24"/>
    </row>
    <row r="25" ht="15" customHeight="true" thickBot="true" x14ac:dyDescent="0.25">
      <c r="A25" s="100" t="s">
        <v>44</v>
      </c>
      <c r="B25" s="101">
        <v>3</v>
      </c>
      <c r="C25">
        <f t="shared" si="0"/>
        <v>24</v>
      </c>
      <c r="D25"/>
      <c r="E25" t="s">
        <v>204</v>
      </c>
      <c r="F25">
        <v>0</v>
      </c>
      <c r="G25" s="206"/>
      <c r="H25">
        <v>1.27</v>
      </c>
      <c r="I25">
        <v>3.2</v>
      </c>
      <c r="J25">
        <v>0.95</v>
      </c>
      <c r="K25"/>
      <c r="L25">
        <v>0</v>
      </c>
      <c r="M25">
        <v>0.2</v>
      </c>
      <c r="N25">
        <v>0</v>
      </c>
      <c r="O25"/>
      <c r="P25"/>
      <c r="Q25"/>
    </row>
    <row r="26" ht="15" customHeight="true" x14ac:dyDescent="0.2">
      <c r="A26" s="102" t="s">
        <v>140</v>
      </c>
      <c r="C26">
        <f t="shared" si="0"/>
        <v>25</v>
      </c>
      <c r="D26"/>
      <c r="E26" t="s">
        <v>205</v>
      </c>
      <c r="F26">
        <v>0</v>
      </c>
      <c r="G26" s="206"/>
      <c r="H26">
        <v>2.2999999999999998</v>
      </c>
      <c r="I26">
        <v>6</v>
      </c>
      <c r="J26">
        <v>0.95</v>
      </c>
      <c r="K26"/>
      <c r="L26">
        <v>0</v>
      </c>
      <c r="M26">
        <v>0.2</v>
      </c>
      <c r="N26">
        <v>0</v>
      </c>
      <c r="O26"/>
      <c r="P26"/>
      <c r="Q26"/>
    </row>
    <row r="27" ht="15" customHeight="true" x14ac:dyDescent="0.2">
      <c r="C27">
        <f t="shared" si="0"/>
        <v>26</v>
      </c>
      <c r="D27"/>
      <c r="E27" t="s">
        <v>206</v>
      </c>
      <c r="F27">
        <v>0</v>
      </c>
      <c r="G27">
        <v>4.2000000000000003E-2</v>
      </c>
      <c r="H27">
        <v>0.7</v>
      </c>
      <c r="I27">
        <v>1.9</v>
      </c>
      <c r="J27"/>
      <c r="K27"/>
      <c r="L27">
        <v>0</v>
      </c>
      <c r="M27">
        <v>0.2</v>
      </c>
      <c r="N27">
        <v>0</v>
      </c>
      <c r="O27"/>
      <c r="P27"/>
      <c r="Q27"/>
    </row>
    <row r="28" ht="15" customHeight="true" x14ac:dyDescent="0.2">
      <c r="C28">
        <f t="shared" si="0"/>
        <v>27</v>
      </c>
      <c r="D28"/>
      <c r="E28" t="s">
        <v>207</v>
      </c>
      <c r="F28">
        <v>0</v>
      </c>
      <c r="G28">
        <v>7.6999999999999999E-2</v>
      </c>
      <c r="H28">
        <v>0.82</v>
      </c>
      <c r="I28">
        <v>3.2</v>
      </c>
      <c r="J28"/>
      <c r="K28"/>
      <c r="L28">
        <v>0</v>
      </c>
      <c r="M28">
        <v>0.2</v>
      </c>
      <c r="N28">
        <v>0</v>
      </c>
      <c r="O28"/>
      <c r="P28"/>
      <c r="Q28"/>
    </row>
    <row r="29" ht="15" customHeight="true" x14ac:dyDescent="0.2">
      <c r="C29">
        <f t="shared" si="0"/>
        <v>28</v>
      </c>
      <c r="D29"/>
      <c r="E29" t="s">
        <v>208</v>
      </c>
      <c r="F29">
        <v>0</v>
      </c>
      <c r="G29">
        <v>0.63</v>
      </c>
      <c r="H29">
        <v>1.31</v>
      </c>
      <c r="I29">
        <v>5.63</v>
      </c>
      <c r="J29"/>
      <c r="K29"/>
      <c r="L29">
        <v>0</v>
      </c>
      <c r="M29">
        <v>0.2</v>
      </c>
      <c r="N29">
        <v>0</v>
      </c>
      <c r="O29"/>
      <c r="P29"/>
      <c r="Q29"/>
    </row>
    <row r="30" ht="15" customHeight="true" x14ac:dyDescent="0.2">
      <c r="C30">
        <f t="shared" si="0"/>
        <v>29</v>
      </c>
      <c r="D30"/>
      <c r="E30" t="s">
        <v>209</v>
      </c>
      <c r="F30">
        <v>0</v>
      </c>
      <c r="G30">
        <v>1.966</v>
      </c>
      <c r="H30">
        <v>0.8</v>
      </c>
      <c r="I30">
        <v>4.34</v>
      </c>
      <c r="J30"/>
      <c r="K30"/>
      <c r="L30">
        <v>0</v>
      </c>
      <c r="M30">
        <v>0.2</v>
      </c>
      <c r="N30">
        <v>0</v>
      </c>
      <c r="O30"/>
      <c r="P30"/>
      <c r="Q30"/>
    </row>
    <row r="31" ht="15" customHeight="true" x14ac:dyDescent="0.2">
      <c r="C31">
        <f t="shared" si="0"/>
        <v>30</v>
      </c>
      <c r="D31"/>
      <c r="E31" t="s">
        <v>210</v>
      </c>
      <c r="F31">
        <v>0</v>
      </c>
      <c r="G31">
        <v>0.57899999999999996</v>
      </c>
      <c r="H31">
        <v>2.2799999999999998</v>
      </c>
      <c r="I31">
        <v>6</v>
      </c>
      <c r="J31"/>
      <c r="K31"/>
      <c r="L31">
        <v>0</v>
      </c>
      <c r="M31">
        <v>0.2</v>
      </c>
      <c r="N31">
        <v>0</v>
      </c>
      <c r="O31"/>
      <c r="P31"/>
      <c r="Q31"/>
    </row>
    <row r="32" ht="15" customHeight="true" x14ac:dyDescent="0.2">
      <c r="C32">
        <f t="shared" si="0"/>
        <v>31</v>
      </c>
      <c r="D32"/>
      <c r="E32" t="s">
        <v>211</v>
      </c>
      <c r="F32">
        <v>0</v>
      </c>
      <c r="G32">
        <v>1.72</v>
      </c>
      <c r="H32">
        <v>0.6</v>
      </c>
      <c r="I32">
        <v>1.73</v>
      </c>
      <c r="J32"/>
      <c r="K32"/>
      <c r="L32">
        <v>0</v>
      </c>
      <c r="M32">
        <v>0.2</v>
      </c>
      <c r="N32">
        <v>0</v>
      </c>
      <c r="O32"/>
      <c r="P32"/>
      <c r="Q32"/>
    </row>
    <row r="33" ht="15" customHeight="true" x14ac:dyDescent="0.2">
      <c r="C33">
        <f t="shared" si="0"/>
        <v>32</v>
      </c>
      <c r="D33"/>
      <c r="E33" t="s">
        <v>212</v>
      </c>
      <c r="F33">
        <v>0</v>
      </c>
      <c r="G33">
        <v>0.57899999999999996</v>
      </c>
      <c r="H33">
        <v>1.2</v>
      </c>
      <c r="I33">
        <v>3.51</v>
      </c>
      <c r="J33"/>
      <c r="K33"/>
      <c r="L33">
        <v>0</v>
      </c>
      <c r="M33">
        <v>0.2</v>
      </c>
      <c r="N33">
        <v>0</v>
      </c>
      <c r="O33"/>
      <c r="P33"/>
      <c r="Q33"/>
    </row>
    <row r="34" ht="15" customHeight="true" x14ac:dyDescent="0.2">
      <c r="C34">
        <f t="shared" si="0"/>
        <v>33</v>
      </c>
      <c r="D34"/>
      <c r="E34" t="s">
        <v>213</v>
      </c>
      <c r="F34">
        <v>0</v>
      </c>
      <c r="G34">
        <v>3.1219999999999999</v>
      </c>
      <c r="H34">
        <v>2.2799999999999998</v>
      </c>
      <c r="I34">
        <v>10.1</v>
      </c>
      <c r="J34"/>
      <c r="K34"/>
      <c r="L34">
        <v>0</v>
      </c>
      <c r="M34">
        <v>0.2</v>
      </c>
      <c r="N34">
        <v>0</v>
      </c>
      <c r="O34"/>
      <c r="P34"/>
      <c r="Q34"/>
    </row>
    <row r="35" ht="15" customHeight="true" x14ac:dyDescent="0.2">
      <c r="C35">
        <f t="shared" si="0"/>
        <v>34</v>
      </c>
      <c r="D35"/>
      <c r="E35" t="s">
        <v>214</v>
      </c>
      <c r="F35">
        <v>0</v>
      </c>
      <c r="G35">
        <v>0.70299999999999996</v>
      </c>
      <c r="H35">
        <v>0.85</v>
      </c>
      <c r="I35">
        <v>3.42</v>
      </c>
      <c r="J35"/>
      <c r="K35"/>
      <c r="L35">
        <v>0</v>
      </c>
      <c r="M35">
        <v>0.2</v>
      </c>
      <c r="N35">
        <v>0</v>
      </c>
      <c r="O35"/>
      <c r="P35"/>
      <c r="Q35"/>
    </row>
    <row r="36" ht="15" customHeight="true" x14ac:dyDescent="0.2">
      <c r="C36">
        <f t="shared" si="0"/>
        <v>35</v>
      </c>
      <c r="D36"/>
      <c r="E36" t="s">
        <v>215</v>
      </c>
      <c r="F36">
        <v>0</v>
      </c>
      <c r="G36">
        <v>3</v>
      </c>
      <c r="H36">
        <v>0.67200000000000004</v>
      </c>
      <c r="I36">
        <v>3.36</v>
      </c>
      <c r="J36"/>
      <c r="K36"/>
      <c r="L36">
        <v>0</v>
      </c>
      <c r="M36">
        <v>0.2</v>
      </c>
      <c r="N36">
        <v>0</v>
      </c>
      <c r="O36"/>
      <c r="P36"/>
      <c r="Q36"/>
    </row>
    <row r="37" ht="15" customHeight="true" x14ac:dyDescent="0.2">
      <c r="C37">
        <f t="shared" si="0"/>
        <v>36</v>
      </c>
      <c r="D37"/>
      <c r="E37" t="s">
        <v>216</v>
      </c>
      <c r="F37">
        <v>0</v>
      </c>
      <c r="G37">
        <v>0.35</v>
      </c>
      <c r="H37">
        <v>0.7</v>
      </c>
      <c r="I37">
        <v>3.4</v>
      </c>
      <c r="J37"/>
      <c r="K37"/>
      <c r="L37">
        <v>0</v>
      </c>
      <c r="M37">
        <v>0.2</v>
      </c>
      <c r="N37">
        <v>0</v>
      </c>
      <c r="O37"/>
      <c r="P37"/>
      <c r="Q37"/>
    </row>
    <row r="38" ht="15" customHeight="true" x14ac:dyDescent="0.2">
      <c r="C38">
        <f t="shared" si="0"/>
        <v>37</v>
      </c>
      <c r="D38"/>
      <c r="E38" t="s">
        <v>217</v>
      </c>
      <c r="F38">
        <v>0</v>
      </c>
      <c r="G38">
        <v>0.25</v>
      </c>
      <c r="H38">
        <v>1.1000000000000001</v>
      </c>
      <c r="I38">
        <v>3.2</v>
      </c>
      <c r="J38"/>
      <c r="K38"/>
      <c r="L38">
        <v>0</v>
      </c>
      <c r="M38">
        <v>0.2</v>
      </c>
      <c r="N38">
        <v>0</v>
      </c>
      <c r="O38"/>
      <c r="P38"/>
      <c r="Q38"/>
    </row>
    <row r="39" ht="15" customHeight="true" x14ac:dyDescent="0.2">
      <c r="C39">
        <f t="shared" si="0"/>
        <v>38</v>
      </c>
      <c r="D39"/>
      <c r="E39" t="s">
        <v>218</v>
      </c>
      <c r="F39">
        <v>0</v>
      </c>
      <c r="G39">
        <v>0.158</v>
      </c>
      <c r="H39">
        <v>0.8</v>
      </c>
      <c r="I39">
        <v>3.1</v>
      </c>
      <c r="J39"/>
      <c r="K39"/>
      <c r="L39">
        <v>0</v>
      </c>
      <c r="M39">
        <v>0.2</v>
      </c>
      <c r="N39">
        <v>0</v>
      </c>
      <c r="O39"/>
      <c r="P39"/>
      <c r="Q39"/>
    </row>
    <row r="40" ht="15" customHeight="true" x14ac:dyDescent="0.2">
      <c r="C40">
        <f t="shared" si="0"/>
        <v>39</v>
      </c>
      <c r="D40"/>
      <c r="E40" t="s">
        <v>219</v>
      </c>
      <c r="F40">
        <v>0</v>
      </c>
      <c r="G40">
        <v>0.30499999999999999</v>
      </c>
      <c r="H40">
        <v>0.86399999999999999</v>
      </c>
      <c r="I40">
        <v>4.32</v>
      </c>
      <c r="J40"/>
      <c r="K40"/>
      <c r="L40">
        <v>0</v>
      </c>
      <c r="M40">
        <v>0.2</v>
      </c>
      <c r="N40">
        <v>0</v>
      </c>
      <c r="O40"/>
      <c r="P40"/>
      <c r="Q40"/>
    </row>
    <row r="41" customFormat="true" ht="15" customHeight="true" x14ac:dyDescent="0.15">
      <c r="C41">
        <f t="shared" si="0"/>
        <v>40</v>
      </c>
      <c r="E41" t="s">
        <v>220</v>
      </c>
      <c r="F41">
        <v>0</v>
      </c>
      <c r="G41">
        <v>8.2000000000000003E-2</v>
      </c>
      <c r="H41">
        <v>0.9</v>
      </c>
      <c r="I41">
        <v>3</v>
      </c>
      <c r="L41">
        <v>0</v>
      </c>
      <c r="M41">
        <v>0.2</v>
      </c>
      <c r="N41">
        <v>0</v>
      </c>
    </row>
    <row r="42" customFormat="true" ht="15" customHeight="true" x14ac:dyDescent="0.15">
      <c r="C42">
        <f t="shared" si="0"/>
        <v>41</v>
      </c>
      <c r="E42" t="s">
        <v>221</v>
      </c>
      <c r="F42">
        <v>0</v>
      </c>
      <c r="G42">
        <v>5.3999999999999999E-2</v>
      </c>
      <c r="H42">
        <v>0.86</v>
      </c>
      <c r="I42">
        <v>2.2999999999999998</v>
      </c>
      <c r="L42">
        <v>0</v>
      </c>
      <c r="M42">
        <v>0.2</v>
      </c>
      <c r="N42">
        <v>0</v>
      </c>
    </row>
    <row r="43" customFormat="true" ht="15" customHeight="true" x14ac:dyDescent="0.15">
      <c r="C43">
        <f t="shared" si="0"/>
        <v>42</v>
      </c>
      <c r="E43" t="s">
        <v>222</v>
      </c>
      <c r="F43">
        <v>0</v>
      </c>
      <c r="G43">
        <v>3.4000000000000002E-2</v>
      </c>
      <c r="H43">
        <v>0.72</v>
      </c>
      <c r="I43">
        <v>3.1</v>
      </c>
      <c r="L43">
        <v>0</v>
      </c>
      <c r="M43">
        <v>0.2</v>
      </c>
      <c r="N43">
        <v>0</v>
      </c>
    </row>
    <row r="44" customFormat="true" ht="15" customHeight="true" x14ac:dyDescent="0.15">
      <c r="C44">
        <f t="shared" si="0"/>
        <v>43</v>
      </c>
      <c r="E44" t="s">
        <v>223</v>
      </c>
      <c r="F44">
        <v>0</v>
      </c>
      <c r="G44">
        <v>3.3000000000000002E-2</v>
      </c>
      <c r="H44">
        <v>0.16</v>
      </c>
      <c r="I44">
        <v>3.14</v>
      </c>
      <c r="L44">
        <v>0</v>
      </c>
      <c r="M44">
        <v>0.2</v>
      </c>
      <c r="N44">
        <v>0</v>
      </c>
    </row>
    <row r="45" customFormat="true" ht="15" customHeight="true" x14ac:dyDescent="0.15">
      <c r="C45">
        <f t="shared" si="0"/>
        <v>44</v>
      </c>
      <c r="E45" t="s">
        <v>224</v>
      </c>
      <c r="F45">
        <v>0</v>
      </c>
      <c r="G45">
        <v>4.4999999999999998E-2</v>
      </c>
      <c r="H45">
        <v>1.5</v>
      </c>
      <c r="I45">
        <v>6</v>
      </c>
      <c r="L45">
        <v>0</v>
      </c>
      <c r="M45">
        <v>0.2</v>
      </c>
      <c r="N45">
        <v>0</v>
      </c>
    </row>
    <row r="46" customFormat="true" ht="15" customHeight="true" x14ac:dyDescent="0.15">
      <c r="C46">
        <f t="shared" si="0"/>
        <v>45</v>
      </c>
      <c r="E46" t="s">
        <v>225</v>
      </c>
      <c r="F46">
        <v>0</v>
      </c>
      <c r="G46">
        <v>1.4E-2</v>
      </c>
      <c r="H46">
        <v>0.48</v>
      </c>
      <c r="I46">
        <v>1.7</v>
      </c>
      <c r="L46">
        <v>0</v>
      </c>
      <c r="M46">
        <v>0.2</v>
      </c>
      <c r="N46">
        <v>0</v>
      </c>
    </row>
    <row r="47" customFormat="true" ht="15" customHeight="true" x14ac:dyDescent="0.2">
      <c r="C47">
        <f t="shared" si="0"/>
        <v>46</v>
      </c>
      <c r="E47" t="s">
        <v>226</v>
      </c>
      <c r="F47">
        <v>0</v>
      </c>
      <c r="G47" s="206"/>
      <c r="H47">
        <v>0.55000000000000004</v>
      </c>
      <c r="I47">
        <v>2.54</v>
      </c>
      <c r="J47">
        <v>0.9</v>
      </c>
      <c r="L47">
        <v>0</v>
      </c>
      <c r="M47">
        <v>0.2</v>
      </c>
      <c r="N47">
        <v>0</v>
      </c>
    </row>
    <row r="48" customFormat="true" ht="15" customHeight="true" x14ac:dyDescent="0.2">
      <c r="C48">
        <f t="shared" si="0"/>
        <v>47</v>
      </c>
      <c r="E48" t="s">
        <v>227</v>
      </c>
      <c r="F48">
        <v>0</v>
      </c>
      <c r="G48" s="206"/>
      <c r="H48">
        <v>1.42</v>
      </c>
      <c r="I48">
        <v>3.7</v>
      </c>
      <c r="J48">
        <v>0.98</v>
      </c>
      <c r="L48">
        <v>0</v>
      </c>
      <c r="M48">
        <v>0.2</v>
      </c>
      <c r="N48">
        <v>0</v>
      </c>
    </row>
    <row r="49" customFormat="true" ht="15" customHeight="true" x14ac:dyDescent="0.2">
      <c r="C49">
        <f t="shared" si="0"/>
        <v>48</v>
      </c>
      <c r="E49" t="s">
        <v>228</v>
      </c>
      <c r="F49">
        <v>0</v>
      </c>
      <c r="G49" s="206"/>
      <c r="H49">
        <v>4</v>
      </c>
      <c r="I49">
        <v>10.19</v>
      </c>
      <c r="J49">
        <v>0.98</v>
      </c>
      <c r="L49">
        <v>0</v>
      </c>
      <c r="M49">
        <v>0.2</v>
      </c>
      <c r="N49">
        <v>0</v>
      </c>
    </row>
    <row r="50" customFormat="true" ht="15" customHeight="true" x14ac:dyDescent="0.2">
      <c r="C50">
        <f t="shared" si="0"/>
        <v>49</v>
      </c>
      <c r="E50" t="s">
        <v>229</v>
      </c>
      <c r="F50">
        <v>0</v>
      </c>
      <c r="G50">
        <v>0.08</v>
      </c>
      <c r="H50">
        <v>4.5</v>
      </c>
      <c r="I50">
        <v>20</v>
      </c>
      <c r="J50" s="206"/>
      <c r="L50">
        <v>0</v>
      </c>
      <c r="M50">
        <v>0.2</v>
      </c>
      <c r="N50">
        <v>0</v>
      </c>
    </row>
    <row r="51" customFormat="true" ht="15" customHeight="true" x14ac:dyDescent="0.2">
      <c r="C51">
        <f t="shared" si="0"/>
        <v>50</v>
      </c>
      <c r="E51" t="s">
        <v>230</v>
      </c>
      <c r="F51">
        <v>0</v>
      </c>
      <c r="G51" s="206"/>
      <c r="H51">
        <v>4</v>
      </c>
      <c r="I51">
        <v>20</v>
      </c>
      <c r="J51">
        <v>0.99</v>
      </c>
      <c r="L51">
        <v>0</v>
      </c>
      <c r="M51">
        <v>0.2</v>
      </c>
      <c r="N51">
        <v>0</v>
      </c>
    </row>
    <row r="52" customFormat="true" ht="15" customHeight="true" x14ac:dyDescent="0.15">
      <c r="C52">
        <f t="shared" si="0"/>
        <v>51</v>
      </c>
      <c r="E52" s="3" t="s">
        <v>231</v>
      </c>
      <c r="F52" s="207">
        <v>0</v>
      </c>
      <c r="G52" s="207"/>
      <c r="H52" s="207">
        <v>2.75</v>
      </c>
      <c r="I52" s="207"/>
      <c r="J52" s="207">
        <v>0.95</v>
      </c>
      <c r="K52" s="207">
        <v>0.25</v>
      </c>
      <c r="L52" s="207">
        <v>0</v>
      </c>
      <c r="M52" s="207">
        <v>0.2</v>
      </c>
      <c r="N52" s="207">
        <v>0</v>
      </c>
      <c r="P52" s="56" t="s">
        <v>232</v>
      </c>
    </row>
    <row r="53" customFormat="true" ht="15" customHeight="true" x14ac:dyDescent="0.2">
      <c r="C53">
        <f t="shared" si="0"/>
        <v>52</v>
      </c>
      <c r="E53" t="s">
        <v>233</v>
      </c>
      <c r="F53">
        <v>0</v>
      </c>
      <c r="G53" s="206"/>
      <c r="H53">
        <v>4</v>
      </c>
      <c r="I53" s="206"/>
      <c r="J53">
        <v>0.99</v>
      </c>
      <c r="K53">
        <v>0.32</v>
      </c>
      <c r="L53">
        <v>0</v>
      </c>
      <c r="M53">
        <v>0.2</v>
      </c>
      <c r="N53">
        <v>0</v>
      </c>
    </row>
    <row r="54" customFormat="true" ht="15" customHeight="true" x14ac:dyDescent="0.2">
      <c r="C54">
        <f t="shared" si="0"/>
        <v>53</v>
      </c>
      <c r="E54" t="s">
        <v>234</v>
      </c>
      <c r="F54">
        <v>0</v>
      </c>
      <c r="G54">
        <v>16</v>
      </c>
      <c r="H54">
        <v>9.1999999999999993</v>
      </c>
      <c r="I54">
        <v>30</v>
      </c>
      <c r="K54" s="206"/>
      <c r="L54">
        <v>0</v>
      </c>
      <c r="M54">
        <v>0.38</v>
      </c>
      <c r="N54">
        <v>0</v>
      </c>
    </row>
    <row r="55" customFormat="true" ht="15" customHeight="true" x14ac:dyDescent="0.2">
      <c r="C55">
        <f t="shared" si="0"/>
        <v>54</v>
      </c>
      <c r="E55" t="s">
        <v>235</v>
      </c>
      <c r="F55">
        <v>0</v>
      </c>
      <c r="G55">
        <v>6.6000000000000003E-2</v>
      </c>
      <c r="H55">
        <v>2.8580000000000001</v>
      </c>
      <c r="K55" s="208">
        <v>0.3</v>
      </c>
      <c r="L55">
        <v>0</v>
      </c>
      <c r="M55">
        <v>0.2</v>
      </c>
      <c r="N55">
        <v>0</v>
      </c>
      <c r="P55" s="56" t="s">
        <v>236</v>
      </c>
    </row>
    <row r="56" customFormat="true" ht="15" customHeight="true" x14ac:dyDescent="0.2">
      <c r="C56">
        <f t="shared" si="0"/>
        <v>55</v>
      </c>
      <c r="E56" t="s">
        <v>237</v>
      </c>
      <c r="F56">
        <v>0</v>
      </c>
      <c r="G56">
        <v>1.3540000000000001</v>
      </c>
      <c r="H56">
        <v>0.55410000000000004</v>
      </c>
      <c r="I56" s="206"/>
      <c r="K56">
        <v>0.2</v>
      </c>
      <c r="L56">
        <v>0</v>
      </c>
      <c r="M56">
        <v>0.2</v>
      </c>
      <c r="N56">
        <v>0</v>
      </c>
    </row>
    <row r="57" customFormat="true" ht="15" customHeight="true" x14ac:dyDescent="0.2">
      <c r="C57">
        <f t="shared" si="0"/>
        <v>56</v>
      </c>
      <c r="E57" t="s">
        <v>238</v>
      </c>
      <c r="F57">
        <v>0</v>
      </c>
      <c r="G57">
        <v>1.1000000000000001</v>
      </c>
      <c r="H57">
        <v>0.37</v>
      </c>
      <c r="I57" s="206"/>
      <c r="K57">
        <v>0.2</v>
      </c>
      <c r="L57">
        <v>0</v>
      </c>
      <c r="M57">
        <v>0.2</v>
      </c>
      <c r="N57">
        <v>0</v>
      </c>
    </row>
    <row r="58" customFormat="true" ht="15" customHeight="true" x14ac:dyDescent="0.2">
      <c r="C58">
        <f t="shared" si="0"/>
        <v>57</v>
      </c>
      <c r="E58" t="s">
        <v>239</v>
      </c>
      <c r="F58">
        <v>0</v>
      </c>
      <c r="G58">
        <v>78</v>
      </c>
      <c r="H58">
        <v>0.38840000000000002</v>
      </c>
      <c r="I58" s="206"/>
      <c r="K58">
        <v>0.2</v>
      </c>
      <c r="L58">
        <v>0</v>
      </c>
      <c r="M58">
        <v>0.2</v>
      </c>
      <c r="N58">
        <v>0</v>
      </c>
    </row>
    <row r="59" customFormat="true" ht="15" customHeight="true" x14ac:dyDescent="0.2">
      <c r="C59">
        <f t="shared" si="0"/>
        <v>58</v>
      </c>
      <c r="E59" t="s">
        <v>240</v>
      </c>
      <c r="F59">
        <v>0</v>
      </c>
      <c r="G59">
        <v>136</v>
      </c>
      <c r="H59">
        <v>1</v>
      </c>
      <c r="I59" s="206"/>
      <c r="K59">
        <v>0.3</v>
      </c>
      <c r="L59">
        <v>0</v>
      </c>
      <c r="M59">
        <v>0.2</v>
      </c>
      <c r="N59">
        <v>0</v>
      </c>
    </row>
    <row r="60" customFormat="true" ht="15" customHeight="true" x14ac:dyDescent="0.2">
      <c r="C60">
        <f t="shared" si="0"/>
        <v>59</v>
      </c>
      <c r="E60" t="s">
        <v>241</v>
      </c>
      <c r="F60">
        <v>0</v>
      </c>
      <c r="G60">
        <v>0.5</v>
      </c>
      <c r="H60">
        <v>3</v>
      </c>
      <c r="I60" s="206"/>
      <c r="K60">
        <v>0.3</v>
      </c>
      <c r="L60">
        <v>0</v>
      </c>
      <c r="M60">
        <v>0.2</v>
      </c>
      <c r="N60">
        <v>0</v>
      </c>
    </row>
    <row r="61" customFormat="true" ht="15" customHeight="true" x14ac:dyDescent="0.2">
      <c r="C61">
        <f t="shared" si="0"/>
        <v>60</v>
      </c>
      <c r="E61" t="s">
        <v>242</v>
      </c>
      <c r="F61">
        <v>0</v>
      </c>
      <c r="G61">
        <v>30</v>
      </c>
      <c r="H61">
        <v>1.9</v>
      </c>
      <c r="I61" s="206"/>
      <c r="K61">
        <v>0.35</v>
      </c>
      <c r="L61">
        <v>0</v>
      </c>
      <c r="M61">
        <v>0.2</v>
      </c>
      <c r="N61">
        <v>0</v>
      </c>
    </row>
    <row r="62" customFormat="true" ht="15" customHeight="true" x14ac:dyDescent="0.2">
      <c r="C62">
        <f t="shared" si="0"/>
        <v>61</v>
      </c>
      <c r="E62" t="s">
        <v>243</v>
      </c>
      <c r="F62">
        <v>0</v>
      </c>
      <c r="G62">
        <v>150</v>
      </c>
      <c r="H62">
        <v>0.9</v>
      </c>
      <c r="I62" s="206"/>
      <c r="K62">
        <v>0.3</v>
      </c>
      <c r="L62">
        <v>0</v>
      </c>
      <c r="M62">
        <v>0.2</v>
      </c>
      <c r="N62">
        <v>0</v>
      </c>
    </row>
    <row r="63" customFormat="true" ht="15" customHeight="true" x14ac:dyDescent="0.2">
      <c r="C63">
        <f t="shared" si="0"/>
        <v>62</v>
      </c>
      <c r="E63" t="s">
        <v>244</v>
      </c>
      <c r="F63">
        <v>0</v>
      </c>
      <c r="G63">
        <v>105</v>
      </c>
      <c r="H63">
        <v>0.26</v>
      </c>
      <c r="I63" s="206"/>
      <c r="K63">
        <v>0.2</v>
      </c>
      <c r="L63">
        <v>0</v>
      </c>
      <c r="M63">
        <v>0.2</v>
      </c>
      <c r="N63">
        <v>0</v>
      </c>
    </row>
    <row r="64" customFormat="true" ht="15" customHeight="true" x14ac:dyDescent="0.2">
      <c r="C64">
        <f t="shared" si="0"/>
        <v>63</v>
      </c>
      <c r="E64" t="s">
        <v>245</v>
      </c>
      <c r="F64">
        <v>0</v>
      </c>
      <c r="G64" s="206"/>
      <c r="H64">
        <v>35</v>
      </c>
      <c r="I64">
        <v>125</v>
      </c>
      <c r="J64">
        <v>0.99</v>
      </c>
      <c r="K64" s="206"/>
      <c r="L64">
        <v>0</v>
      </c>
      <c r="M64">
        <v>0.2</v>
      </c>
      <c r="N64">
        <v>0</v>
      </c>
    </row>
    <row r="65" customFormat="true" ht="15" customHeight="true" x14ac:dyDescent="0.2">
      <c r="C65">
        <f t="shared" si="0"/>
        <v>64</v>
      </c>
      <c r="E65" t="s">
        <v>246</v>
      </c>
      <c r="F65">
        <v>0</v>
      </c>
      <c r="G65">
        <v>0.105</v>
      </c>
      <c r="H65">
        <v>9470</v>
      </c>
      <c r="J65" s="206"/>
      <c r="K65">
        <v>0.5</v>
      </c>
      <c r="L65">
        <v>0</v>
      </c>
      <c r="M65">
        <v>0.3</v>
      </c>
      <c r="N65">
        <v>0</v>
      </c>
    </row>
    <row r="66" customFormat="true" ht="15" customHeight="true" x14ac:dyDescent="0.2">
      <c r="C66">
        <f t="shared" si="0"/>
        <v>65</v>
      </c>
      <c r="E66" t="s">
        <v>247</v>
      </c>
      <c r="F66">
        <v>0</v>
      </c>
      <c r="G66">
        <v>1.46</v>
      </c>
      <c r="H66">
        <v>571</v>
      </c>
      <c r="J66" s="206"/>
      <c r="K66">
        <v>0.5</v>
      </c>
      <c r="L66">
        <v>0</v>
      </c>
      <c r="M66">
        <v>0.3</v>
      </c>
      <c r="N66">
        <v>0</v>
      </c>
    </row>
    <row r="67" customFormat="true" ht="15" customHeight="true" x14ac:dyDescent="0.2">
      <c r="C67">
        <f t="shared" si="0"/>
        <v>66</v>
      </c>
      <c r="E67" t="s">
        <v>248</v>
      </c>
      <c r="F67">
        <v>1</v>
      </c>
      <c r="G67">
        <v>7.5</v>
      </c>
      <c r="H67">
        <v>286</v>
      </c>
      <c r="I67" s="209"/>
      <c r="J67" s="206"/>
      <c r="K67" s="209"/>
      <c r="L67">
        <v>0</v>
      </c>
      <c r="M67" s="209"/>
      <c r="N67">
        <v>0</v>
      </c>
    </row>
    <row r="68" customFormat="true" ht="15" customHeight="true" x14ac:dyDescent="0.2">
      <c r="C68">
        <f t="shared" ref="C68:C82" si="1">C67+1</f>
        <v>67</v>
      </c>
      <c r="E68" t="s">
        <v>249</v>
      </c>
      <c r="F68">
        <v>2</v>
      </c>
      <c r="G68">
        <v>25</v>
      </c>
      <c r="H68" s="209"/>
      <c r="I68" s="209"/>
      <c r="J68" s="206"/>
      <c r="K68" s="209"/>
      <c r="L68">
        <v>0</v>
      </c>
      <c r="M68" s="209"/>
      <c r="N68">
        <v>0</v>
      </c>
    </row>
    <row r="69" customFormat="true" ht="15" customHeight="true" x14ac:dyDescent="0.2">
      <c r="C69">
        <f t="shared" si="1"/>
        <v>68</v>
      </c>
      <c r="E69" t="s">
        <v>250</v>
      </c>
      <c r="F69">
        <v>2</v>
      </c>
      <c r="G69">
        <v>25</v>
      </c>
      <c r="H69" s="209"/>
      <c r="I69" s="209"/>
      <c r="J69" s="206"/>
      <c r="K69" s="209"/>
      <c r="L69">
        <v>0</v>
      </c>
      <c r="M69" s="209"/>
      <c r="N69">
        <v>0</v>
      </c>
    </row>
    <row r="70" customFormat="true" ht="15" customHeight="true" x14ac:dyDescent="0.2">
      <c r="C70">
        <f t="shared" si="1"/>
        <v>69</v>
      </c>
      <c r="E70" t="s">
        <v>175</v>
      </c>
      <c r="F70">
        <v>2</v>
      </c>
      <c r="G70">
        <v>50</v>
      </c>
      <c r="H70" s="209"/>
      <c r="I70" s="209"/>
      <c r="J70" s="206"/>
      <c r="K70" s="209"/>
      <c r="L70">
        <v>0</v>
      </c>
      <c r="M70" s="209"/>
      <c r="N70">
        <v>0</v>
      </c>
    </row>
    <row r="71" customFormat="true" ht="15" customHeight="true" x14ac:dyDescent="0.15">
      <c r="C71">
        <f t="shared" si="1"/>
        <v>70</v>
      </c>
      <c r="E71" t="s">
        <v>251</v>
      </c>
      <c r="F71">
        <v>3</v>
      </c>
      <c r="G71" s="209"/>
      <c r="H71" s="209"/>
      <c r="I71" s="209"/>
      <c r="J71" s="209"/>
      <c r="K71" s="209"/>
      <c r="L71" s="209"/>
      <c r="M71" s="209"/>
      <c r="N71" s="209"/>
    </row>
    <row r="72" customFormat="true" ht="15" customHeight="true" x14ac:dyDescent="0.15">
      <c r="C72">
        <f t="shared" si="1"/>
        <v>71</v>
      </c>
      <c r="E72" t="s">
        <v>252</v>
      </c>
      <c r="F72">
        <v>3</v>
      </c>
      <c r="G72" s="209"/>
      <c r="H72" s="209"/>
      <c r="I72" s="209"/>
      <c r="J72" s="209"/>
      <c r="K72" s="209"/>
      <c r="L72" s="209"/>
      <c r="M72" s="209"/>
      <c r="N72" s="209"/>
    </row>
    <row r="73" customFormat="true" ht="15" customHeight="true" x14ac:dyDescent="0.15">
      <c r="C73">
        <f t="shared" si="1"/>
        <v>72</v>
      </c>
      <c r="E73" t="s">
        <v>253</v>
      </c>
      <c r="F73">
        <v>3</v>
      </c>
      <c r="G73" s="209"/>
      <c r="H73" s="209"/>
      <c r="I73" s="209"/>
      <c r="J73" s="209"/>
      <c r="K73" s="209"/>
      <c r="L73" s="209"/>
      <c r="M73" s="209"/>
      <c r="N73" s="209"/>
    </row>
    <row r="74" customFormat="true" ht="15" customHeight="true" x14ac:dyDescent="0.15">
      <c r="C74">
        <f t="shared" si="1"/>
        <v>73</v>
      </c>
      <c r="E74" t="s">
        <v>254</v>
      </c>
      <c r="F74">
        <v>3</v>
      </c>
      <c r="G74" s="209"/>
      <c r="H74" s="209"/>
      <c r="I74" s="209"/>
      <c r="J74" s="209"/>
      <c r="K74" s="209"/>
      <c r="L74" s="209"/>
      <c r="M74" s="209"/>
      <c r="N74" s="209"/>
    </row>
    <row r="75" customFormat="true" ht="15" customHeight="true" x14ac:dyDescent="0.15">
      <c r="C75">
        <f t="shared" si="1"/>
        <v>74</v>
      </c>
      <c r="E75" t="s">
        <v>255</v>
      </c>
      <c r="F75">
        <v>3</v>
      </c>
      <c r="G75" s="209"/>
      <c r="H75" s="209"/>
      <c r="I75" s="209"/>
      <c r="J75" s="209"/>
      <c r="K75" s="209"/>
      <c r="L75" s="209"/>
      <c r="M75" s="209"/>
      <c r="N75" s="209"/>
    </row>
    <row r="76" customFormat="true" ht="15" customHeight="true" x14ac:dyDescent="0.15">
      <c r="C76">
        <f t="shared" si="1"/>
        <v>75</v>
      </c>
      <c r="E76" t="s">
        <v>256</v>
      </c>
      <c r="F76">
        <v>3</v>
      </c>
      <c r="G76" s="209"/>
      <c r="H76" s="209"/>
      <c r="I76" s="209"/>
      <c r="J76" s="209"/>
      <c r="K76" s="209"/>
      <c r="L76" s="209"/>
      <c r="M76" s="209"/>
      <c r="N76" s="209"/>
    </row>
    <row r="77" customFormat="true" ht="15" customHeight="true" x14ac:dyDescent="0.15">
      <c r="C77">
        <f t="shared" si="1"/>
        <v>76</v>
      </c>
      <c r="E77" t="s">
        <v>257</v>
      </c>
      <c r="F77">
        <v>3</v>
      </c>
      <c r="G77" s="209"/>
      <c r="H77" s="209"/>
      <c r="I77" s="209"/>
      <c r="J77" s="209"/>
      <c r="K77" s="209"/>
      <c r="L77" s="209"/>
      <c r="M77" s="209"/>
      <c r="N77" s="209"/>
    </row>
    <row r="78" customFormat="true" ht="15" customHeight="true" x14ac:dyDescent="0.15">
      <c r="C78">
        <f t="shared" si="1"/>
        <v>77</v>
      </c>
      <c r="E78" t="s">
        <v>258</v>
      </c>
      <c r="F78">
        <v>3</v>
      </c>
      <c r="G78" s="209"/>
      <c r="H78" s="209"/>
      <c r="I78" s="209"/>
      <c r="J78" s="209"/>
      <c r="K78" s="209"/>
      <c r="L78" s="209"/>
      <c r="M78" s="209"/>
      <c r="N78" s="209"/>
    </row>
    <row r="79" customFormat="true" ht="15" customHeight="true" x14ac:dyDescent="0.15">
      <c r="C79">
        <f t="shared" si="1"/>
        <v>78</v>
      </c>
      <c r="E79" t="s">
        <v>259</v>
      </c>
      <c r="F79">
        <v>3</v>
      </c>
      <c r="G79" s="209"/>
      <c r="H79" s="209"/>
      <c r="I79" s="209"/>
      <c r="J79" s="209"/>
      <c r="K79" s="209"/>
      <c r="L79" s="209"/>
      <c r="M79" s="209"/>
      <c r="N79" s="209"/>
    </row>
    <row r="80" customFormat="true" ht="15" customHeight="true" x14ac:dyDescent="0.15">
      <c r="C80">
        <f t="shared" si="1"/>
        <v>79</v>
      </c>
      <c r="E80" t="s">
        <v>260</v>
      </c>
      <c r="F80">
        <v>3</v>
      </c>
      <c r="G80" s="209"/>
      <c r="H80" s="209"/>
      <c r="I80" s="209"/>
      <c r="J80" s="209"/>
      <c r="K80" s="209"/>
      <c r="L80" s="209"/>
      <c r="M80" s="209"/>
      <c r="N80" s="209"/>
    </row>
    <row r="81" customFormat="true" ht="15" customHeight="true" x14ac:dyDescent="0.15">
      <c r="C81">
        <f t="shared" si="1"/>
        <v>80</v>
      </c>
      <c r="E81" t="s">
        <v>261</v>
      </c>
      <c r="F81">
        <v>3</v>
      </c>
      <c r="G81" s="209"/>
      <c r="H81" s="209"/>
      <c r="I81" s="209"/>
      <c r="J81" s="209"/>
      <c r="K81" s="209"/>
      <c r="L81" s="209"/>
      <c r="M81" s="209"/>
      <c r="N81" s="209"/>
    </row>
    <row r="82" customFormat="true" ht="15" customHeight="true" x14ac:dyDescent="0.15">
      <c r="C82">
        <f t="shared" si="1"/>
        <v>81</v>
      </c>
      <c r="E82" t="s">
        <v>262</v>
      </c>
      <c r="F82">
        <v>3</v>
      </c>
      <c r="G82" s="209"/>
      <c r="H82" s="209"/>
      <c r="I82" s="209"/>
      <c r="J82" s="209"/>
      <c r="K82" s="209"/>
      <c r="L82" s="209"/>
      <c r="M82" s="209"/>
      <c r="N82" s="209"/>
    </row>
    <row r="83" customFormat="true" ht="15" customHeight="true" x14ac:dyDescent="0.15"/>
    <row r="84" customFormat="true" ht="15" customHeight="true" x14ac:dyDescent="0.15"/>
    <row r="85" customFormat="true" ht="15" customHeight="true" x14ac:dyDescent="0.15"/>
    <row r="86" customFormat="true" ht="15" customHeight="true" x14ac:dyDescent="0.15">
      <c r="D86" s="210" t="s">
        <v>263</v>
      </c>
    </row>
    <row r="87" customFormat="true" ht="15" customHeight="true" x14ac:dyDescent="0.15"/>
    <row r="88" customFormat="true" ht="15" customHeight="true" x14ac:dyDescent="0.15">
      <c r="D88" t="s">
        <v>264</v>
      </c>
    </row>
    <row r="89" customFormat="true" ht="15" customHeight="true" x14ac:dyDescent="0.15">
      <c r="E89" t="s">
        <v>265</v>
      </c>
    </row>
    <row r="90" customFormat="true" ht="15" customHeight="true" x14ac:dyDescent="0.15"/>
    <row r="91" customFormat="true" ht="15" customHeight="true" x14ac:dyDescent="0.15">
      <c r="D91" t="s">
        <v>266</v>
      </c>
    </row>
    <row r="92" customFormat="true" ht="15" customHeight="true" x14ac:dyDescent="0.15">
      <c r="E92" t="s">
        <v>267</v>
      </c>
    </row>
    <row r="93" customFormat="true" ht="15" customHeight="true" x14ac:dyDescent="0.15">
      <c r="F93" t="s">
        <v>268</v>
      </c>
    </row>
    <row r="94" customFormat="true" ht="15" customHeight="true" x14ac:dyDescent="0.15">
      <c r="E94" t="s">
        <v>269</v>
      </c>
    </row>
    <row r="95" customFormat="true" ht="15" customHeight="true" x14ac:dyDescent="0.15">
      <c r="F95" t="s">
        <v>270</v>
      </c>
    </row>
    <row r="96" customFormat="true" ht="15" customHeight="true" x14ac:dyDescent="0.15"/>
    <row r="97" customFormat="true" ht="15" customHeight="true" x14ac:dyDescent="0.15"/>
    <row r="98" customFormat="true" ht="15" customHeight="true" x14ac:dyDescent="0.15"/>
    <row r="99" customFormat="true" ht="15" customHeight="true" x14ac:dyDescent="0.15"/>
    <row r="100" customFormat="true" ht="15" customHeight="true" x14ac:dyDescent="0.15"/>
    <row r="101" customFormat="true" ht="15" customHeight="true" x14ac:dyDescent="0.15"/>
    <row r="102" customFormat="true" ht="15" customHeight="true" x14ac:dyDescent="0.15"/>
    <row r="103" customFormat="true" ht="15" customHeight="true" x14ac:dyDescent="0.15"/>
    <row r="104" customFormat="true" ht="15" customHeight="true" x14ac:dyDescent="0.15"/>
    <row r="105" customFormat="true" ht="15" customHeight="true" x14ac:dyDescent="0.15"/>
    <row r="106" customFormat="true" ht="15" customHeight="true" x14ac:dyDescent="0.15"/>
    <row r="107" customFormat="true" ht="15" customHeight="true" x14ac:dyDescent="0.15"/>
    <row r="108" customFormat="true" ht="15" customHeight="true" x14ac:dyDescent="0.15"/>
    <row r="109" customFormat="true" ht="15" customHeight="true" x14ac:dyDescent="0.15"/>
    <row r="110" customFormat="true" ht="15" customHeight="true" x14ac:dyDescent="0.15"/>
    <row r="111" customFormat="true" ht="15" customHeight="true" x14ac:dyDescent="0.15"/>
    <row r="112" customFormat="true" ht="15" customHeight="true" x14ac:dyDescent="0.15"/>
    <row r="113" customFormat="true" ht="15" customHeight="true" x14ac:dyDescent="0.15"/>
    <row r="114" customFormat="true" ht="15" customHeight="true" x14ac:dyDescent="0.15"/>
    <row r="115" customFormat="true" ht="15" customHeight="true" x14ac:dyDescent="0.15"/>
    <row r="116" customFormat="true" ht="15" customHeight="true" x14ac:dyDescent="0.15"/>
    <row r="117" customFormat="true" ht="15" customHeight="true" x14ac:dyDescent="0.15"/>
    <row r="118" customFormat="true" ht="15" customHeight="true" x14ac:dyDescent="0.15"/>
    <row r="119" customFormat="true" ht="15" customHeight="true" x14ac:dyDescent="0.15"/>
    <row r="120" customFormat="true" ht="15" customHeight="true" x14ac:dyDescent="0.15"/>
    <row r="121" customFormat="true" ht="15" customHeight="true" x14ac:dyDescent="0.15"/>
    <row r="122" customFormat="true" ht="15" customHeight="true" x14ac:dyDescent="0.15"/>
    <row r="123" customFormat="true" ht="15" customHeight="true" x14ac:dyDescent="0.15"/>
    <row r="124" customFormat="true" ht="15" customHeight="true" x14ac:dyDescent="0.15"/>
    <row r="125" customFormat="true" ht="15" customHeight="true" x14ac:dyDescent="0.15"/>
    <row r="126" customFormat="true" ht="15" customHeight="true" x14ac:dyDescent="0.15"/>
    <row r="127" customFormat="true" ht="15" customHeight="true" x14ac:dyDescent="0.15"/>
    <row r="128" customFormat="true" ht="15" customHeight="true" x14ac:dyDescent="0.15"/>
    <row r="129" customFormat="true" ht="15" customHeight="true" x14ac:dyDescent="0.15"/>
    <row r="130" customFormat="true" ht="15" customHeight="true" x14ac:dyDescent="0.15"/>
    <row r="131" customFormat="true" ht="15" customHeight="true" x14ac:dyDescent="0.15"/>
    <row r="132" customFormat="true" ht="15" customHeight="true" x14ac:dyDescent="0.15"/>
    <row r="133" customFormat="true" ht="15" customHeight="true" x14ac:dyDescent="0.15"/>
    <row r="134" customFormat="true" ht="15" customHeight="true" x14ac:dyDescent="0.15"/>
    <row r="135" customFormat="true" ht="15" customHeight="true" x14ac:dyDescent="0.15"/>
    <row r="136" customFormat="true" ht="15" customHeight="true" x14ac:dyDescent="0.15"/>
    <row r="137" customFormat="true" ht="15" customHeight="true" x14ac:dyDescent="0.15"/>
    <row r="138" customFormat="true" ht="15" customHeight="true" x14ac:dyDescent="0.15"/>
    <row r="139" customFormat="true" ht="15" customHeight="true" x14ac:dyDescent="0.15"/>
    <row r="140" customFormat="true" ht="15" customHeight="true" x14ac:dyDescent="0.15"/>
    <row r="141" customFormat="true" ht="15" customHeight="true" x14ac:dyDescent="0.15"/>
    <row r="142" customFormat="true" ht="15" customHeight="true" x14ac:dyDescent="0.15"/>
    <row r="143" customFormat="true" ht="15" customHeight="true" x14ac:dyDescent="0.15"/>
    <row r="144" customFormat="true" ht="15" customHeight="true" x14ac:dyDescent="0.15"/>
    <row r="145" customFormat="true" ht="15" customHeight="true" x14ac:dyDescent="0.15"/>
    <row r="146" customFormat="true" ht="15" customHeight="true" x14ac:dyDescent="0.15"/>
    <row r="147" customFormat="true" ht="15" customHeight="true" x14ac:dyDescent="0.15"/>
    <row r="148" customFormat="true" ht="15" customHeight="true" x14ac:dyDescent="0.15"/>
    <row r="149" customFormat="true" ht="15" customHeight="true" x14ac:dyDescent="0.15"/>
    <row r="150" customFormat="true" ht="15" customHeight="true" x14ac:dyDescent="0.15"/>
    <row r="151" customFormat="true" ht="15" customHeight="true" x14ac:dyDescent="0.15"/>
    <row r="152" customFormat="true" ht="15" customHeight="true" x14ac:dyDescent="0.15"/>
    <row r="153" customFormat="true" ht="15" customHeight="true" x14ac:dyDescent="0.15"/>
    <row r="154" customFormat="true" ht="15" customHeight="true" x14ac:dyDescent="0.15"/>
    <row r="155" customFormat="true" ht="15" customHeight="true" x14ac:dyDescent="0.15"/>
    <row r="156" customFormat="true" ht="15" customHeight="true" x14ac:dyDescent="0.15"/>
    <row r="157" customFormat="true" ht="15" customHeight="true" x14ac:dyDescent="0.15"/>
    <row r="158" customFormat="true" ht="15" customHeight="true" x14ac:dyDescent="0.15"/>
    <row r="159" customFormat="true" ht="15" customHeight="true" x14ac:dyDescent="0.15"/>
    <row r="160" customFormat="true" ht="15" customHeight="true" x14ac:dyDescent="0.15"/>
    <row r="161" customFormat="true" ht="15" customHeight="true" x14ac:dyDescent="0.15"/>
    <row r="162" customFormat="true" ht="15" customHeight="true" x14ac:dyDescent="0.15"/>
    <row r="163" customFormat="true" ht="15" customHeight="true" x14ac:dyDescent="0.15"/>
    <row r="164" customFormat="true" ht="15" customHeight="true" x14ac:dyDescent="0.15"/>
    <row r="165" customFormat="true" ht="15" customHeight="true" x14ac:dyDescent="0.15"/>
    <row r="166" customFormat="true" ht="15" customHeight="true" x14ac:dyDescent="0.15"/>
    <row r="167" customFormat="true" ht="15" customHeight="true" x14ac:dyDescent="0.15"/>
    <row r="168" customFormat="true" ht="15" customHeight="true" x14ac:dyDescent="0.15"/>
    <row r="169" customFormat="true" ht="15" customHeight="true" x14ac:dyDescent="0.15"/>
    <row r="170" customFormat="true" ht="15" customHeight="true" x14ac:dyDescent="0.15"/>
    <row r="171" customFormat="true" ht="15" customHeight="true" x14ac:dyDescent="0.15"/>
    <row r="172" customFormat="true" ht="15" customHeight="true" x14ac:dyDescent="0.15"/>
    <row r="173" customFormat="true" ht="15" customHeight="true" x14ac:dyDescent="0.15"/>
    <row r="174" customFormat="true" ht="15" customHeight="true" x14ac:dyDescent="0.15"/>
    <row r="175" customFormat="true" ht="15" customHeight="true" x14ac:dyDescent="0.15"/>
    <row r="176" customFormat="true" ht="15" customHeight="true" x14ac:dyDescent="0.15"/>
    <row r="177" customFormat="true" ht="15" customHeight="true" x14ac:dyDescent="0.15"/>
    <row r="178" customFormat="true" ht="15" customHeight="true" x14ac:dyDescent="0.15"/>
    <row r="179" customFormat="true" ht="15" customHeight="true" x14ac:dyDescent="0.15"/>
    <row r="180" customFormat="true" ht="15" customHeight="true" x14ac:dyDescent="0.15"/>
    <row r="181" customFormat="true" ht="15" customHeight="true" x14ac:dyDescent="0.15"/>
    <row r="182" customFormat="true" ht="15" customHeight="true" x14ac:dyDescent="0.15"/>
    <row r="183" customFormat="true" ht="15" customHeight="true" x14ac:dyDescent="0.15"/>
    <row r="184" customFormat="true" ht="15" customHeight="true" x14ac:dyDescent="0.15"/>
    <row r="185" customFormat="true" ht="15" customHeight="true" x14ac:dyDescent="0.15"/>
    <row r="186" customFormat="true" ht="15" customHeight="true" x14ac:dyDescent="0.15"/>
    <row r="187" customFormat="true" ht="15" customHeight="true" x14ac:dyDescent="0.15"/>
    <row r="188" customFormat="true" ht="15" customHeight="true" x14ac:dyDescent="0.15"/>
    <row r="189" customFormat="true" ht="15" customHeight="true" x14ac:dyDescent="0.15"/>
    <row r="190" customFormat="true" ht="15" customHeight="true" x14ac:dyDescent="0.15"/>
    <row r="191" customFormat="true" ht="15" customHeight="true" x14ac:dyDescent="0.15"/>
    <row r="192" customFormat="true" ht="15" customHeight="true" x14ac:dyDescent="0.15"/>
    <row r="193" customFormat="true" ht="15" customHeight="true" x14ac:dyDescent="0.15"/>
    <row r="194" customFormat="true" ht="15" customHeight="true" x14ac:dyDescent="0.15"/>
    <row r="195" customFormat="true" ht="15" customHeight="true" x14ac:dyDescent="0.15"/>
    <row r="196" customFormat="true" ht="15" customHeight="true" x14ac:dyDescent="0.15"/>
    <row r="197" customFormat="true" ht="15" customHeight="true" x14ac:dyDescent="0.15"/>
    <row r="198" customFormat="true" ht="15" customHeight="true" x14ac:dyDescent="0.15"/>
    <row r="199" customFormat="true" ht="15" customHeight="true" x14ac:dyDescent="0.15"/>
    <row r="200" customFormat="true" ht="15" customHeight="true" x14ac:dyDescent="0.15"/>
    <row r="201" customFormat="true" ht="15" customHeight="true" x14ac:dyDescent="0.15"/>
    <row r="202" customFormat="true" ht="15" customHeight="true" x14ac:dyDescent="0.15"/>
    <row r="203" customFormat="true" ht="15" customHeight="true" x14ac:dyDescent="0.15"/>
    <row r="204" customFormat="true" ht="15" customHeight="true" x14ac:dyDescent="0.15"/>
    <row r="205" customFormat="true" ht="15" customHeight="true" x14ac:dyDescent="0.15"/>
    <row r="206" customFormat="true" ht="15" customHeight="true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T1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"/>
    </sheetView>
  </sheetViews>
  <sheetFormatPr baseColWidth="10" defaultColWidth="8.83203125" defaultRowHeight="13" x14ac:dyDescent="0.15"/>
  <cols>
    <col min="1" max="1" width="40.1640625" bestFit="true" customWidth="true"/>
    <col min="53" max="61" width="8.83203125" style="3"/>
  </cols>
  <sheetData>
    <row r="1" x14ac:dyDescent="0.15">
      <c r="A1" s="2" t="s">
        <v>19</v>
      </c>
      <c r="B1" t="s">
        <v>181</v>
      </c>
      <c r="C1" t="s">
        <v>182</v>
      </c>
      <c r="D1" t="s">
        <v>183</v>
      </c>
      <c r="E1" t="s">
        <v>184</v>
      </c>
      <c r="F1" t="s">
        <v>185</v>
      </c>
      <c r="G1" t="s">
        <v>186</v>
      </c>
      <c r="H1" t="s">
        <v>187</v>
      </c>
      <c r="I1" t="s">
        <v>188</v>
      </c>
      <c r="J1" t="s">
        <v>189</v>
      </c>
      <c r="K1" t="s">
        <v>190</v>
      </c>
      <c r="L1" t="s">
        <v>191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 t="s">
        <v>225</v>
      </c>
      <c r="AU1" t="s">
        <v>226</v>
      </c>
      <c r="AV1" t="s">
        <v>227</v>
      </c>
      <c r="AW1" t="s">
        <v>228</v>
      </c>
      <c r="AX1" t="s">
        <v>229</v>
      </c>
      <c r="AY1" t="s">
        <v>230</v>
      </c>
      <c r="AZ1" s="207" t="s">
        <v>231</v>
      </c>
      <c r="BA1" s="3" t="s">
        <v>233</v>
      </c>
      <c r="BB1" s="3" t="s">
        <v>234</v>
      </c>
      <c r="BC1" s="3" t="s">
        <v>235</v>
      </c>
      <c r="BD1" s="3" t="s">
        <v>237</v>
      </c>
      <c r="BE1" s="3" t="s">
        <v>238</v>
      </c>
      <c r="BF1" s="3" t="s">
        <v>239</v>
      </c>
      <c r="BG1" s="3" t="s">
        <v>240</v>
      </c>
      <c r="BH1" s="3" t="s">
        <v>241</v>
      </c>
      <c r="BI1" s="3" t="s">
        <v>242</v>
      </c>
      <c r="BJ1" t="s">
        <v>243</v>
      </c>
      <c r="BK1" t="s">
        <v>244</v>
      </c>
      <c r="BL1" t="s">
        <v>245</v>
      </c>
      <c r="BM1" t="s">
        <v>246</v>
      </c>
      <c r="BN1" t="s">
        <v>247</v>
      </c>
      <c r="BO1" t="s">
        <v>248</v>
      </c>
      <c r="BP1" t="s">
        <v>249</v>
      </c>
      <c r="BQ1" t="s">
        <v>250</v>
      </c>
      <c r="BR1" t="s">
        <v>175</v>
      </c>
    </row>
    <row r="2" x14ac:dyDescent="0.15">
      <c r="A2" t="s">
        <v>181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203">
        <v>0</v>
      </c>
      <c r="BP2" s="203">
        <v>0</v>
      </c>
      <c r="BQ2" s="203">
        <v>0</v>
      </c>
      <c r="BR2" s="203">
        <v>0</v>
      </c>
    </row>
    <row r="3" x14ac:dyDescent="0.15">
      <c r="A3" t="s">
        <v>182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203">
        <v>0</v>
      </c>
      <c r="BP3" s="203">
        <v>0</v>
      </c>
      <c r="BQ3" s="203">
        <v>0</v>
      </c>
      <c r="BR3" s="203">
        <v>0</v>
      </c>
    </row>
    <row r="4" x14ac:dyDescent="0.15">
      <c r="A4" t="s">
        <v>183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203">
        <v>0</v>
      </c>
      <c r="BP4" s="203">
        <v>0</v>
      </c>
      <c r="BQ4" s="203">
        <v>0</v>
      </c>
      <c r="BR4" s="203">
        <v>0</v>
      </c>
    </row>
    <row r="5" x14ac:dyDescent="0.15">
      <c r="A5" t="s">
        <v>184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203">
        <v>0</v>
      </c>
      <c r="BP5" s="203">
        <v>0</v>
      </c>
      <c r="BQ5" s="203">
        <v>0</v>
      </c>
      <c r="BR5" s="203">
        <v>0</v>
      </c>
    </row>
    <row r="6" x14ac:dyDescent="0.15">
      <c r="A6" t="s">
        <v>185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5.9250000000000011E-2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203">
        <v>0</v>
      </c>
      <c r="BP6" s="203">
        <v>0</v>
      </c>
      <c r="BQ6" s="203">
        <v>0</v>
      </c>
      <c r="BR6" s="203">
        <v>0</v>
      </c>
    </row>
    <row r="7" x14ac:dyDescent="0.15">
      <c r="A7" t="s">
        <v>186</v>
      </c>
      <c r="B7" s="3">
        <v>0</v>
      </c>
      <c r="C7" s="3">
        <v>0</v>
      </c>
      <c r="D7" s="3">
        <v>0</v>
      </c>
      <c r="E7" s="3">
        <v>0</v>
      </c>
      <c r="F7" s="3">
        <v>1.9178753776566321E-2</v>
      </c>
      <c r="G7" s="3">
        <v>0</v>
      </c>
      <c r="H7" s="3">
        <v>9.8750000000000018E-3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203">
        <v>0</v>
      </c>
      <c r="BP7" s="203">
        <v>0</v>
      </c>
      <c r="BQ7" s="203">
        <v>0</v>
      </c>
      <c r="BR7" s="203">
        <v>0</v>
      </c>
    </row>
    <row r="8" x14ac:dyDescent="0.15">
      <c r="A8" t="s">
        <v>187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203">
        <v>0</v>
      </c>
      <c r="BP8" s="203">
        <v>0</v>
      </c>
      <c r="BQ8" s="203">
        <v>0</v>
      </c>
      <c r="BR8" s="203">
        <v>0</v>
      </c>
    </row>
    <row r="9" x14ac:dyDescent="0.15">
      <c r="A9" t="s">
        <v>188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4.9375000000000016E-2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203">
        <v>0</v>
      </c>
      <c r="BP9" s="203">
        <v>0</v>
      </c>
      <c r="BQ9" s="203">
        <v>0</v>
      </c>
      <c r="BR9" s="203">
        <v>0</v>
      </c>
    </row>
    <row r="10" x14ac:dyDescent="0.15">
      <c r="A10" t="s">
        <v>189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5.9250000000000011E-2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5.6558245711043429E-3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203">
        <v>0</v>
      </c>
      <c r="BP10" s="203">
        <v>0</v>
      </c>
      <c r="BQ10" s="203">
        <v>0</v>
      </c>
      <c r="BR10" s="203">
        <v>0</v>
      </c>
    </row>
    <row r="11" x14ac:dyDescent="0.15">
      <c r="A11" t="s">
        <v>190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203">
        <v>0</v>
      </c>
      <c r="BP11" s="203">
        <v>0</v>
      </c>
      <c r="BQ11" s="203">
        <v>0</v>
      </c>
      <c r="BR11" s="203">
        <v>0</v>
      </c>
    </row>
    <row r="12" x14ac:dyDescent="0.15">
      <c r="A12" t="s">
        <v>191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203">
        <v>0</v>
      </c>
      <c r="BP12" s="203">
        <v>0</v>
      </c>
      <c r="BQ12" s="203">
        <v>0</v>
      </c>
      <c r="BR12" s="203">
        <v>0</v>
      </c>
    </row>
    <row r="13" x14ac:dyDescent="0.15">
      <c r="A13" t="s">
        <v>192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203">
        <v>0</v>
      </c>
      <c r="BP13" s="203">
        <v>0</v>
      </c>
      <c r="BQ13" s="203">
        <v>0</v>
      </c>
      <c r="BR13" s="203">
        <v>0</v>
      </c>
    </row>
    <row r="14" x14ac:dyDescent="0.15">
      <c r="A14" t="s">
        <v>193</v>
      </c>
      <c r="B14" s="3">
        <v>0</v>
      </c>
      <c r="C14" s="3">
        <v>1.998001998001998E-2</v>
      </c>
      <c r="D14" s="3">
        <v>3.003003003003003E-2</v>
      </c>
      <c r="E14" s="3">
        <v>2.8324022346368715E-3</v>
      </c>
      <c r="F14" s="3">
        <v>0</v>
      </c>
      <c r="G14" s="3">
        <v>0</v>
      </c>
      <c r="H14" s="3">
        <v>0</v>
      </c>
      <c r="I14" s="3">
        <v>0</v>
      </c>
      <c r="J14" s="3">
        <v>1.998001998001998E-3</v>
      </c>
      <c r="K14" s="3">
        <v>2.6973026973026969E-2</v>
      </c>
      <c r="L14" s="3">
        <v>0</v>
      </c>
      <c r="M14" s="3">
        <v>0</v>
      </c>
      <c r="N14" s="3">
        <v>0</v>
      </c>
      <c r="O14" s="3">
        <v>8.7767449505816945E-3</v>
      </c>
      <c r="P14" s="3">
        <v>3.9536875080952247E-3</v>
      </c>
      <c r="Q14" s="3">
        <v>1.8834080515918953E-3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1.7654775770631584E-2</v>
      </c>
      <c r="Z14" s="3">
        <v>0</v>
      </c>
      <c r="AA14" s="3">
        <v>8.4837368566565135E-3</v>
      </c>
      <c r="AB14" s="3">
        <v>2.596514745308311E-2</v>
      </c>
      <c r="AC14" s="3">
        <v>0</v>
      </c>
      <c r="AD14" s="3">
        <v>0</v>
      </c>
      <c r="AE14" s="3">
        <v>0</v>
      </c>
      <c r="AF14" s="3">
        <v>0</v>
      </c>
      <c r="AG14" s="3">
        <v>5.516129032258065E-3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5.0303811853694071E-2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9.9782256973056233E-3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203">
        <v>0</v>
      </c>
      <c r="BP14" s="203">
        <v>0</v>
      </c>
      <c r="BQ14" s="203">
        <v>0</v>
      </c>
      <c r="BR14" s="203">
        <v>0</v>
      </c>
    </row>
    <row r="15" x14ac:dyDescent="0.15">
      <c r="A15" t="s">
        <v>194</v>
      </c>
      <c r="B15" s="3">
        <v>0</v>
      </c>
      <c r="C15" s="3">
        <v>0</v>
      </c>
      <c r="D15" s="3">
        <v>6.006006006006006E-2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9.751938833979663E-3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8.4837368566565135E-3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203">
        <v>0</v>
      </c>
      <c r="BP15" s="203">
        <v>0</v>
      </c>
      <c r="BQ15" s="203">
        <v>0</v>
      </c>
      <c r="BR15" s="203">
        <v>0</v>
      </c>
    </row>
    <row r="16" x14ac:dyDescent="0.15">
      <c r="A16" t="s">
        <v>195</v>
      </c>
      <c r="B16" s="3">
        <v>2.3455290167771509E-2</v>
      </c>
      <c r="C16" s="3">
        <v>0.19580419580419584</v>
      </c>
      <c r="D16" s="3">
        <v>4.9049049049049054E-2</v>
      </c>
      <c r="E16" s="3">
        <v>8.497206703910614E-3</v>
      </c>
      <c r="F16" s="3">
        <v>4.7946884441415804E-3</v>
      </c>
      <c r="G16" s="3">
        <v>2.7903486496217249E-2</v>
      </c>
      <c r="H16" s="3">
        <v>0</v>
      </c>
      <c r="I16" s="3">
        <v>9.8918918918918918E-4</v>
      </c>
      <c r="J16" s="3">
        <v>0</v>
      </c>
      <c r="K16" s="3">
        <v>3.1968031968031968E-2</v>
      </c>
      <c r="L16" s="3">
        <v>1.7999999999999999E-2</v>
      </c>
      <c r="M16" s="3">
        <v>1.492537313432836E-2</v>
      </c>
      <c r="N16" s="3">
        <v>2.297702297702298E-2</v>
      </c>
      <c r="O16" s="3">
        <v>4.5834112519704408E-2</v>
      </c>
      <c r="P16" s="3">
        <v>6.9189531391666429E-3</v>
      </c>
      <c r="Q16" s="3">
        <v>4.6143497264001437E-2</v>
      </c>
      <c r="R16" s="3">
        <v>0</v>
      </c>
      <c r="S16" s="3">
        <v>0</v>
      </c>
      <c r="T16" s="3">
        <v>6.8366865612540691E-3</v>
      </c>
      <c r="U16" s="3">
        <v>3.7772277227722775E-3</v>
      </c>
      <c r="V16" s="3">
        <v>2.9181173922693794E-2</v>
      </c>
      <c r="W16" s="3">
        <v>0</v>
      </c>
      <c r="X16" s="3">
        <v>0</v>
      </c>
      <c r="Y16" s="3">
        <v>3.5309551541263168E-2</v>
      </c>
      <c r="Z16" s="3">
        <v>3.925417065065274E-3</v>
      </c>
      <c r="AA16" s="3">
        <v>8.6722643423599921E-2</v>
      </c>
      <c r="AB16" s="3">
        <v>8.6883378016085783E-2</v>
      </c>
      <c r="AC16" s="3">
        <v>0</v>
      </c>
      <c r="AD16" s="3">
        <v>0</v>
      </c>
      <c r="AE16" s="3">
        <v>0</v>
      </c>
      <c r="AF16" s="3">
        <v>0</v>
      </c>
      <c r="AG16" s="3">
        <v>3.2177419354838713E-2</v>
      </c>
      <c r="AH16" s="3">
        <v>0</v>
      </c>
      <c r="AI16" s="3">
        <v>0</v>
      </c>
      <c r="AJ16" s="3">
        <v>0</v>
      </c>
      <c r="AK16" s="3">
        <v>5.0000000000000001E-3</v>
      </c>
      <c r="AL16" s="3">
        <v>0</v>
      </c>
      <c r="AM16" s="3">
        <v>0</v>
      </c>
      <c r="AN16" s="3">
        <v>0</v>
      </c>
      <c r="AO16" s="3">
        <v>0</v>
      </c>
      <c r="AP16" s="3">
        <v>0.11737556099195283</v>
      </c>
      <c r="AQ16" s="3">
        <v>0</v>
      </c>
      <c r="AR16" s="3">
        <v>0.30069930069930068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9.9782256973056233E-3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203">
        <v>0</v>
      </c>
      <c r="BP16" s="203">
        <v>0</v>
      </c>
      <c r="BQ16" s="203">
        <v>0</v>
      </c>
      <c r="BR16" s="203">
        <v>0</v>
      </c>
    </row>
    <row r="17" x14ac:dyDescent="0.15">
      <c r="A17" t="s">
        <v>196</v>
      </c>
      <c r="B17" s="3">
        <v>0</v>
      </c>
      <c r="C17" s="3">
        <v>4.9950049950049959E-2</v>
      </c>
      <c r="D17" s="3">
        <v>6.506506506506507E-2</v>
      </c>
      <c r="E17" s="3">
        <v>0</v>
      </c>
      <c r="F17" s="3">
        <v>1.8219816087738001E-2</v>
      </c>
      <c r="G17" s="3">
        <v>0.11261049907401961</v>
      </c>
      <c r="H17" s="3">
        <v>0</v>
      </c>
      <c r="I17" s="3">
        <v>5.9351351351351351E-3</v>
      </c>
      <c r="J17" s="3">
        <v>0</v>
      </c>
      <c r="K17" s="3">
        <v>3.996003996003996E-3</v>
      </c>
      <c r="L17" s="3">
        <v>0</v>
      </c>
      <c r="M17" s="3">
        <v>0</v>
      </c>
      <c r="N17" s="3">
        <v>0</v>
      </c>
      <c r="O17" s="3">
        <v>8.874264338921492E-2</v>
      </c>
      <c r="P17" s="3">
        <v>0</v>
      </c>
      <c r="Q17" s="3">
        <v>1.8834080515918953E-3</v>
      </c>
      <c r="R17" s="3">
        <v>0</v>
      </c>
      <c r="S17" s="3">
        <v>0</v>
      </c>
      <c r="T17" s="3">
        <v>0</v>
      </c>
      <c r="U17" s="3">
        <v>1.8886138613861389E-2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8.6722643423599921E-2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203">
        <v>0</v>
      </c>
      <c r="BP17" s="203">
        <v>0</v>
      </c>
      <c r="BQ17" s="203">
        <v>0</v>
      </c>
      <c r="BR17" s="203">
        <v>0</v>
      </c>
    </row>
    <row r="18" x14ac:dyDescent="0.15">
      <c r="A18" t="s">
        <v>197</v>
      </c>
      <c r="B18" s="3">
        <v>0</v>
      </c>
      <c r="C18" s="3">
        <v>2.5974025974025976E-2</v>
      </c>
      <c r="D18" s="3">
        <v>6.0060060060060068E-3</v>
      </c>
      <c r="E18" s="3">
        <v>1.0385474860335194E-2</v>
      </c>
      <c r="F18" s="3">
        <v>0</v>
      </c>
      <c r="G18" s="3">
        <v>5.9793185349036959E-3</v>
      </c>
      <c r="H18" s="3">
        <v>0</v>
      </c>
      <c r="I18" s="3">
        <v>0</v>
      </c>
      <c r="J18" s="3">
        <v>0</v>
      </c>
      <c r="K18" s="3">
        <v>1.2987012987012984E-2</v>
      </c>
      <c r="L18" s="3">
        <v>3.0000000000000001E-3</v>
      </c>
      <c r="M18" s="3">
        <v>5.9701492537313442E-3</v>
      </c>
      <c r="N18" s="3">
        <v>2.3976023976023979E-2</v>
      </c>
      <c r="O18" s="3">
        <v>1.9503877667959326E-2</v>
      </c>
      <c r="P18" s="3">
        <v>8.8957968932142535E-3</v>
      </c>
      <c r="Q18" s="3">
        <v>1.4125560386939216E-2</v>
      </c>
      <c r="R18" s="3">
        <v>0</v>
      </c>
      <c r="S18" s="3">
        <v>1.0753393736601773E-2</v>
      </c>
      <c r="T18" s="3">
        <v>1.953339017501163E-3</v>
      </c>
      <c r="U18" s="3">
        <v>1.510891089108911E-2</v>
      </c>
      <c r="V18" s="3">
        <v>0</v>
      </c>
      <c r="W18" s="3">
        <v>0</v>
      </c>
      <c r="X18" s="3">
        <v>0</v>
      </c>
      <c r="Y18" s="3">
        <v>2.6482163655947378E-3</v>
      </c>
      <c r="Z18" s="3">
        <v>0</v>
      </c>
      <c r="AA18" s="3">
        <v>4.9017146282904302E-2</v>
      </c>
      <c r="AB18" s="3">
        <v>6.9906166219839147E-3</v>
      </c>
      <c r="AC18" s="3">
        <v>0</v>
      </c>
      <c r="AD18" s="3">
        <v>0</v>
      </c>
      <c r="AE18" s="3">
        <v>0</v>
      </c>
      <c r="AF18" s="3">
        <v>0</v>
      </c>
      <c r="AG18" s="3">
        <v>2.1145161290322581E-2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0.24175824175824173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9.9782256973056233E-3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203">
        <v>0</v>
      </c>
      <c r="BP18" s="203">
        <v>0</v>
      </c>
      <c r="BQ18" s="203">
        <v>0</v>
      </c>
      <c r="BR18" s="203">
        <v>0</v>
      </c>
    </row>
    <row r="19" x14ac:dyDescent="0.15">
      <c r="A19" t="s">
        <v>198</v>
      </c>
      <c r="B19" s="3">
        <v>0</v>
      </c>
      <c r="C19" s="3">
        <v>2.9970029970029974E-3</v>
      </c>
      <c r="D19" s="3">
        <v>1.1011011011011009E-2</v>
      </c>
      <c r="E19" s="3">
        <v>0</v>
      </c>
      <c r="F19" s="3">
        <v>0</v>
      </c>
      <c r="G19" s="3">
        <v>5.9793185349036959E-3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1.8528683784561358E-2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1.8886138613861388E-3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4.9017146282904302E-2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203">
        <v>0</v>
      </c>
      <c r="BP19" s="203">
        <v>0</v>
      </c>
      <c r="BQ19" s="203">
        <v>0</v>
      </c>
      <c r="BR19" s="203">
        <v>0</v>
      </c>
    </row>
    <row r="20" x14ac:dyDescent="0.15">
      <c r="A20" t="s">
        <v>199</v>
      </c>
      <c r="B20" s="3">
        <v>0</v>
      </c>
      <c r="C20" s="3">
        <v>4.3956043956043953E-2</v>
      </c>
      <c r="D20" s="3">
        <v>3.0030030030030034E-3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2.8279122855521715E-3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9.1935483870967749E-4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9.9782256973056233E-3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203">
        <v>0</v>
      </c>
      <c r="BP20" s="203">
        <v>0</v>
      </c>
      <c r="BQ20" s="203">
        <v>0</v>
      </c>
      <c r="BR20" s="203">
        <v>0</v>
      </c>
    </row>
    <row r="21" x14ac:dyDescent="0.15">
      <c r="A21" t="s">
        <v>200</v>
      </c>
      <c r="B21" s="3">
        <v>0</v>
      </c>
      <c r="C21" s="3">
        <v>9.99000999000999E-3</v>
      </c>
      <c r="D21" s="3">
        <v>3.003003003003003E-2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1.7654775770631584E-2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203">
        <v>0</v>
      </c>
      <c r="BP21" s="203">
        <v>0</v>
      </c>
      <c r="BQ21" s="203">
        <v>0</v>
      </c>
      <c r="BR21" s="203">
        <v>0</v>
      </c>
    </row>
    <row r="22" x14ac:dyDescent="0.15">
      <c r="A22" t="s">
        <v>201</v>
      </c>
      <c r="B22" s="3">
        <v>0</v>
      </c>
      <c r="C22" s="3">
        <v>3.9960039960039969E-3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9.950248756218907E-4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6.8089405819618852E-3</v>
      </c>
      <c r="W22" s="3">
        <v>0</v>
      </c>
      <c r="X22" s="3">
        <v>0</v>
      </c>
      <c r="Y22" s="3">
        <v>0</v>
      </c>
      <c r="Z22" s="3">
        <v>0</v>
      </c>
      <c r="AA22" s="3">
        <v>5.6558245711043429E-3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203">
        <v>0</v>
      </c>
      <c r="BP22" s="203">
        <v>0</v>
      </c>
      <c r="BQ22" s="203">
        <v>0</v>
      </c>
      <c r="BR22" s="203">
        <v>0</v>
      </c>
    </row>
    <row r="23" x14ac:dyDescent="0.15">
      <c r="A23" t="s">
        <v>202</v>
      </c>
      <c r="B23" s="3">
        <v>0</v>
      </c>
      <c r="C23" s="3">
        <v>1.9980019980019984E-3</v>
      </c>
      <c r="D23" s="3">
        <v>0</v>
      </c>
      <c r="E23" s="3">
        <v>0</v>
      </c>
      <c r="F23" s="3">
        <v>3.8357507553132631E-3</v>
      </c>
      <c r="G23" s="3">
        <v>1.9931061783012318E-2</v>
      </c>
      <c r="H23" s="3">
        <v>0</v>
      </c>
      <c r="I23" s="3">
        <v>7.3200000000000001E-2</v>
      </c>
      <c r="J23" s="3">
        <v>0</v>
      </c>
      <c r="K23" s="3">
        <v>0</v>
      </c>
      <c r="L23" s="3">
        <v>0</v>
      </c>
      <c r="M23" s="3">
        <v>1.9900497512437814E-3</v>
      </c>
      <c r="N23" s="3">
        <v>0</v>
      </c>
      <c r="O23" s="3">
        <v>1.8528683784561358E-2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3.2106435643564364E-2</v>
      </c>
      <c r="V23" s="3">
        <v>0.30056609140374613</v>
      </c>
      <c r="W23" s="3">
        <v>0</v>
      </c>
      <c r="X23" s="3">
        <v>0</v>
      </c>
      <c r="Y23" s="3">
        <v>2.6482163655947379E-2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9.7304582210242592E-4</v>
      </c>
      <c r="AG23" s="3">
        <v>1.5629032258064519E-2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5.3380614840704256E-2</v>
      </c>
      <c r="AR23" s="3">
        <v>0</v>
      </c>
      <c r="AS23" s="3">
        <v>0</v>
      </c>
      <c r="AT23" s="3">
        <v>0</v>
      </c>
      <c r="AU23" s="3">
        <v>7.8920953933436407E-3</v>
      </c>
      <c r="AV23" s="3">
        <v>0</v>
      </c>
      <c r="AW23" s="3">
        <v>0</v>
      </c>
      <c r="AX23" s="3">
        <v>9.0711142702778417E-3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203">
        <v>0</v>
      </c>
      <c r="BP23" s="203">
        <v>0</v>
      </c>
      <c r="BQ23" s="203">
        <v>0</v>
      </c>
      <c r="BR23" s="203">
        <v>0</v>
      </c>
    </row>
    <row r="24" x14ac:dyDescent="0.15">
      <c r="A24" t="s">
        <v>203</v>
      </c>
      <c r="B24" s="3">
        <v>4.8865187849523976E-3</v>
      </c>
      <c r="C24" s="3">
        <v>0.17582417582417581</v>
      </c>
      <c r="D24" s="3">
        <v>0</v>
      </c>
      <c r="E24" s="3">
        <v>0</v>
      </c>
      <c r="F24" s="3">
        <v>6.9043513595638747E-2</v>
      </c>
      <c r="G24" s="3">
        <v>9.3675990380157892E-2</v>
      </c>
      <c r="H24" s="3">
        <v>9.8750000000000032E-2</v>
      </c>
      <c r="I24" s="3">
        <v>2.0772972972972974E-2</v>
      </c>
      <c r="J24" s="3">
        <v>1.0989010989010986E-2</v>
      </c>
      <c r="K24" s="3">
        <v>0.10589410589410587</v>
      </c>
      <c r="L24" s="3">
        <v>1E-3</v>
      </c>
      <c r="M24" s="3">
        <v>4.6766169154228862E-2</v>
      </c>
      <c r="N24" s="3">
        <v>0.12087912087912089</v>
      </c>
      <c r="O24" s="3">
        <v>6.5337990187663744E-2</v>
      </c>
      <c r="P24" s="3">
        <v>0.13343695339821385</v>
      </c>
      <c r="Q24" s="3">
        <v>0.17233183672065844</v>
      </c>
      <c r="R24" s="3">
        <v>1.001001001001001E-2</v>
      </c>
      <c r="S24" s="3">
        <v>8.7004731141596167E-2</v>
      </c>
      <c r="T24" s="3">
        <v>0.23147067357388776</v>
      </c>
      <c r="U24" s="3">
        <v>0.30406683168316834</v>
      </c>
      <c r="V24" s="3">
        <v>0.10018869713458202</v>
      </c>
      <c r="W24" s="3">
        <v>8.651283754114629E-2</v>
      </c>
      <c r="X24" s="3">
        <v>0</v>
      </c>
      <c r="Y24" s="3">
        <v>7.0619103082526336E-2</v>
      </c>
      <c r="Z24" s="3">
        <v>0</v>
      </c>
      <c r="AA24" s="3">
        <v>9.7091655137291205E-2</v>
      </c>
      <c r="AB24" s="3">
        <v>6.4912868632707774E-2</v>
      </c>
      <c r="AC24" s="3">
        <v>0</v>
      </c>
      <c r="AD24" s="3">
        <v>0</v>
      </c>
      <c r="AE24" s="3">
        <v>0</v>
      </c>
      <c r="AF24" s="3">
        <v>8.7574123989218322E-3</v>
      </c>
      <c r="AG24" s="3">
        <v>0.21053225806451614</v>
      </c>
      <c r="AH24" s="3">
        <v>0</v>
      </c>
      <c r="AI24" s="3">
        <v>0</v>
      </c>
      <c r="AJ24" s="3">
        <v>0</v>
      </c>
      <c r="AK24" s="3">
        <v>5.0000000000000001E-3</v>
      </c>
      <c r="AL24" s="3">
        <v>4.3956043956043953E-2</v>
      </c>
      <c r="AM24" s="3">
        <v>0</v>
      </c>
      <c r="AN24" s="3">
        <v>0</v>
      </c>
      <c r="AO24" s="3">
        <v>0</v>
      </c>
      <c r="AP24" s="3">
        <v>9.8634925203321719E-2</v>
      </c>
      <c r="AQ24" s="3">
        <v>0.2372471770697967</v>
      </c>
      <c r="AR24" s="3">
        <v>9.990009990009989E-2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9.0711142702778417E-3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203">
        <v>0</v>
      </c>
      <c r="BP24" s="203">
        <v>0</v>
      </c>
      <c r="BQ24" s="203">
        <v>0</v>
      </c>
      <c r="BR24" s="203">
        <v>0</v>
      </c>
    </row>
    <row r="25" x14ac:dyDescent="0.15">
      <c r="A25" t="s">
        <v>204</v>
      </c>
      <c r="B25" s="3">
        <v>0</v>
      </c>
      <c r="C25" s="3">
        <v>1.0989010989010988E-2</v>
      </c>
      <c r="D25" s="3">
        <v>6.6066066066066062E-2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3.9103249951279182E-3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1.6772036982100006E-2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203">
        <v>0</v>
      </c>
      <c r="BP25" s="203">
        <v>0</v>
      </c>
      <c r="BQ25" s="203">
        <v>0</v>
      </c>
      <c r="BR25" s="203">
        <v>0</v>
      </c>
    </row>
    <row r="26" x14ac:dyDescent="0.15">
      <c r="A26" t="s">
        <v>205</v>
      </c>
      <c r="B26" s="3">
        <v>0</v>
      </c>
      <c r="C26" s="3">
        <v>3.6963036963036967E-2</v>
      </c>
      <c r="D26" s="3">
        <v>2.6026026026026026E-2</v>
      </c>
      <c r="E26" s="3">
        <v>1.888268156424581E-3</v>
      </c>
      <c r="F26" s="3">
        <v>2.8768130664849475E-3</v>
      </c>
      <c r="G26" s="3">
        <v>0.12456913614382699</v>
      </c>
      <c r="H26" s="3">
        <v>9.8750000000000018E-3</v>
      </c>
      <c r="I26" s="3">
        <v>9.8918918918918918E-3</v>
      </c>
      <c r="J26" s="3">
        <v>1.4985014985014982E-2</v>
      </c>
      <c r="K26" s="3">
        <v>4.4955044955044952E-2</v>
      </c>
      <c r="L26" s="3">
        <v>3.1E-2</v>
      </c>
      <c r="M26" s="3">
        <v>5.6716417910447771E-2</v>
      </c>
      <c r="N26" s="3">
        <v>3.4965034965034975E-2</v>
      </c>
      <c r="O26" s="3">
        <v>2.0479071551357291E-2</v>
      </c>
      <c r="P26" s="3">
        <v>1.284948440130948E-2</v>
      </c>
      <c r="Q26" s="3">
        <v>1.7892376490123006E-2</v>
      </c>
      <c r="R26" s="3">
        <v>1.001001001001001E-3</v>
      </c>
      <c r="S26" s="3">
        <v>3.9103249951279182E-3</v>
      </c>
      <c r="T26" s="3">
        <v>2.0510059683762207E-2</v>
      </c>
      <c r="U26" s="3">
        <v>3.3995049504950497E-2</v>
      </c>
      <c r="V26" s="3">
        <v>4.5717172478886944E-2</v>
      </c>
      <c r="W26" s="3">
        <v>0</v>
      </c>
      <c r="X26" s="3">
        <v>0</v>
      </c>
      <c r="Y26" s="3">
        <v>9.7101266738473715E-3</v>
      </c>
      <c r="Z26" s="3">
        <v>1.6683022526527418E-2</v>
      </c>
      <c r="AA26" s="3">
        <v>0</v>
      </c>
      <c r="AB26" s="3">
        <v>6.8907506702412871E-2</v>
      </c>
      <c r="AC26" s="3">
        <v>0</v>
      </c>
      <c r="AD26" s="3">
        <v>0</v>
      </c>
      <c r="AE26" s="3">
        <v>0</v>
      </c>
      <c r="AF26" s="3">
        <v>1.0703504043126684E-2</v>
      </c>
      <c r="AG26" s="3">
        <v>3.2177419354838713E-2</v>
      </c>
      <c r="AH26" s="3">
        <v>0</v>
      </c>
      <c r="AI26" s="3">
        <v>0</v>
      </c>
      <c r="AJ26" s="3">
        <v>0</v>
      </c>
      <c r="AK26" s="3">
        <v>2.7E-2</v>
      </c>
      <c r="AL26" s="3">
        <v>0</v>
      </c>
      <c r="AM26" s="3">
        <v>0</v>
      </c>
      <c r="AN26" s="3">
        <v>0</v>
      </c>
      <c r="AO26" s="3">
        <v>0</v>
      </c>
      <c r="AP26" s="3">
        <v>2.9590477560996514E-2</v>
      </c>
      <c r="AQ26" s="3">
        <v>0.22439628831184938</v>
      </c>
      <c r="AR26" s="3">
        <v>1.4985014985014982E-2</v>
      </c>
      <c r="AS26" s="3">
        <v>0</v>
      </c>
      <c r="AT26" s="3">
        <v>0</v>
      </c>
      <c r="AU26" s="3">
        <v>2.5649310028366831E-2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203">
        <v>0</v>
      </c>
      <c r="BP26" s="203">
        <v>0</v>
      </c>
      <c r="BQ26" s="203">
        <v>0</v>
      </c>
      <c r="BR26" s="203">
        <v>0</v>
      </c>
    </row>
    <row r="27" x14ac:dyDescent="0.15">
      <c r="A27" t="s">
        <v>206</v>
      </c>
      <c r="B27" s="3">
        <v>0</v>
      </c>
      <c r="C27" s="3">
        <v>0</v>
      </c>
      <c r="D27" s="3">
        <v>1.001001001001001E-2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9.950248756218907E-4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2.8279122855521715E-3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</v>
      </c>
      <c r="BO27" s="203">
        <v>0</v>
      </c>
      <c r="BP27" s="203">
        <v>0</v>
      </c>
      <c r="BQ27" s="203">
        <v>0</v>
      </c>
      <c r="BR27" s="203">
        <v>0</v>
      </c>
    </row>
    <row r="28" x14ac:dyDescent="0.15">
      <c r="A28" t="s">
        <v>207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4.7400000000000019E-2</v>
      </c>
      <c r="I28" s="3">
        <v>0</v>
      </c>
      <c r="J28" s="3">
        <v>0</v>
      </c>
      <c r="K28" s="3">
        <v>0</v>
      </c>
      <c r="L28" s="3">
        <v>0</v>
      </c>
      <c r="M28" s="3">
        <v>1.9900497512437814E-3</v>
      </c>
      <c r="N28" s="3">
        <v>1.9980019980019984E-3</v>
      </c>
      <c r="O28" s="3">
        <v>5.8511633003877966E-3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2.9181173922693798E-3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4.5967741935483879E-3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5.9311794267449171E-3</v>
      </c>
      <c r="AR28" s="3">
        <v>0</v>
      </c>
      <c r="AS28" s="3">
        <v>0</v>
      </c>
      <c r="AT28" s="3">
        <v>0</v>
      </c>
      <c r="AU28" s="3">
        <v>0</v>
      </c>
      <c r="AV28" s="3">
        <v>9.9999999999999985E-3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203">
        <v>0</v>
      </c>
      <c r="BP28" s="203">
        <v>0</v>
      </c>
      <c r="BQ28" s="203">
        <v>0</v>
      </c>
      <c r="BR28" s="203">
        <v>0</v>
      </c>
    </row>
    <row r="29" x14ac:dyDescent="0.15">
      <c r="A29" t="s">
        <v>208</v>
      </c>
      <c r="B29" s="3">
        <v>1.0750341326895273E-2</v>
      </c>
      <c r="C29" s="3">
        <v>1.0989010989010988E-2</v>
      </c>
      <c r="D29" s="3">
        <v>0</v>
      </c>
      <c r="E29" s="3">
        <v>1.8882681564245808E-2</v>
      </c>
      <c r="F29" s="3">
        <v>5.753626132969895E-3</v>
      </c>
      <c r="G29" s="3">
        <v>1.9931061783012318E-2</v>
      </c>
      <c r="H29" s="3">
        <v>1.0862500000000002E-2</v>
      </c>
      <c r="I29" s="3">
        <v>0</v>
      </c>
      <c r="J29" s="3">
        <v>0</v>
      </c>
      <c r="K29" s="3">
        <v>2.9970029970029966E-3</v>
      </c>
      <c r="L29" s="3">
        <v>3.6999999999999998E-2</v>
      </c>
      <c r="M29" s="3">
        <v>0.13830845771144282</v>
      </c>
      <c r="N29" s="3">
        <v>3.9960039960039969E-3</v>
      </c>
      <c r="O29" s="3">
        <v>2.3404653201551186E-2</v>
      </c>
      <c r="P29" s="3">
        <v>2.9652656310714186E-3</v>
      </c>
      <c r="Q29" s="3">
        <v>4.8968609341389281E-2</v>
      </c>
      <c r="R29" s="3">
        <v>0</v>
      </c>
      <c r="S29" s="3">
        <v>1.466371873172969E-2</v>
      </c>
      <c r="T29" s="3">
        <v>0</v>
      </c>
      <c r="U29" s="3">
        <v>4.4382425742574262E-2</v>
      </c>
      <c r="V29" s="3">
        <v>2.5290350733001288E-2</v>
      </c>
      <c r="W29" s="3">
        <v>0</v>
      </c>
      <c r="X29" s="3">
        <v>0</v>
      </c>
      <c r="Y29" s="3">
        <v>0.2277466074411475</v>
      </c>
      <c r="Z29" s="3">
        <v>0</v>
      </c>
      <c r="AA29" s="3">
        <v>8.7665280852117319E-2</v>
      </c>
      <c r="AB29" s="3">
        <v>9.9865951742627353E-4</v>
      </c>
      <c r="AC29" s="3">
        <v>0</v>
      </c>
      <c r="AD29" s="3">
        <v>0</v>
      </c>
      <c r="AE29" s="3">
        <v>0</v>
      </c>
      <c r="AF29" s="3">
        <v>1.0703504043126684E-2</v>
      </c>
      <c r="AG29" s="3">
        <v>4.5048387096774202E-2</v>
      </c>
      <c r="AH29" s="3">
        <v>0</v>
      </c>
      <c r="AI29" s="3">
        <v>2.6220498661443542E-3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1.4795238780498257E-2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9.9782256973056233E-3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203">
        <v>0</v>
      </c>
      <c r="BP29" s="203">
        <v>0</v>
      </c>
      <c r="BQ29" s="203">
        <v>0</v>
      </c>
      <c r="BR29" s="203">
        <v>0</v>
      </c>
    </row>
    <row r="30" x14ac:dyDescent="0.15">
      <c r="A30" t="s">
        <v>209</v>
      </c>
      <c r="B30" s="3">
        <v>0</v>
      </c>
      <c r="C30" s="3">
        <v>2.9970029970029974E-3</v>
      </c>
      <c r="D30" s="3">
        <v>6.0060060060060068E-3</v>
      </c>
      <c r="E30" s="3">
        <v>1.4162011173184356E-2</v>
      </c>
      <c r="F30" s="3">
        <v>5.9454136707355582E-2</v>
      </c>
      <c r="G30" s="3">
        <v>0.17738644986880961</v>
      </c>
      <c r="H30" s="3">
        <v>9.9737500000000034E-2</v>
      </c>
      <c r="I30" s="3">
        <v>4.9459459459459459E-3</v>
      </c>
      <c r="J30" s="3">
        <v>0</v>
      </c>
      <c r="K30" s="3">
        <v>7.992007992007992E-3</v>
      </c>
      <c r="L30" s="3">
        <v>0</v>
      </c>
      <c r="M30" s="3">
        <v>0</v>
      </c>
      <c r="N30" s="3">
        <v>1.9980019980019984E-3</v>
      </c>
      <c r="O30" s="3">
        <v>5.4610857470286107E-2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0.17941831683168319</v>
      </c>
      <c r="V30" s="3">
        <v>0</v>
      </c>
      <c r="W30" s="3">
        <v>0</v>
      </c>
      <c r="X30" s="3">
        <v>0</v>
      </c>
      <c r="Y30" s="3">
        <v>9.9749483104068476E-2</v>
      </c>
      <c r="Z30" s="3">
        <v>0</v>
      </c>
      <c r="AA30" s="3">
        <v>8.7665280852117319E-2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203">
        <v>0</v>
      </c>
      <c r="BP30" s="203">
        <v>0</v>
      </c>
      <c r="BQ30" s="203">
        <v>0</v>
      </c>
      <c r="BR30" s="203">
        <v>0</v>
      </c>
    </row>
    <row r="31" x14ac:dyDescent="0.15">
      <c r="A31" t="s">
        <v>210</v>
      </c>
      <c r="B31" s="3">
        <v>9.7730375699047953E-3</v>
      </c>
      <c r="C31" s="3">
        <v>8.191808191808192E-2</v>
      </c>
      <c r="D31" s="3">
        <v>3.0030030030030034E-3</v>
      </c>
      <c r="E31" s="3">
        <v>3.2100558659217876E-2</v>
      </c>
      <c r="F31" s="3">
        <v>2.2055566843051266E-2</v>
      </c>
      <c r="G31" s="3">
        <v>3.8865570476874021E-2</v>
      </c>
      <c r="H31" s="3">
        <v>0</v>
      </c>
      <c r="I31" s="3">
        <v>1.3848648648648649E-2</v>
      </c>
      <c r="J31" s="3">
        <v>0</v>
      </c>
      <c r="K31" s="3">
        <v>0</v>
      </c>
      <c r="L31" s="3">
        <v>1.7999999999999999E-2</v>
      </c>
      <c r="M31" s="3">
        <v>0</v>
      </c>
      <c r="N31" s="3">
        <v>9.9900099900099917E-3</v>
      </c>
      <c r="O31" s="3">
        <v>1.2677520484173562E-2</v>
      </c>
      <c r="P31" s="3">
        <v>1.3837906278333286E-2</v>
      </c>
      <c r="Q31" s="3">
        <v>0.14784753204996379</v>
      </c>
      <c r="R31" s="3">
        <v>0</v>
      </c>
      <c r="S31" s="3">
        <v>9.7758124878197955E-4</v>
      </c>
      <c r="T31" s="3">
        <v>0.11134032399756627</v>
      </c>
      <c r="U31" s="3">
        <v>5.3825495049504957E-2</v>
      </c>
      <c r="V31" s="3">
        <v>0.10018869713458202</v>
      </c>
      <c r="W31" s="3">
        <v>9.2034933554410933E-3</v>
      </c>
      <c r="X31" s="3">
        <v>0</v>
      </c>
      <c r="Y31" s="3">
        <v>0</v>
      </c>
      <c r="Z31" s="3">
        <v>3.925417065065274E-3</v>
      </c>
      <c r="AA31" s="3">
        <v>2.8279122855521715E-3</v>
      </c>
      <c r="AB31" s="3">
        <v>1.3981233243967829E-2</v>
      </c>
      <c r="AC31" s="3">
        <v>0</v>
      </c>
      <c r="AD31" s="3">
        <v>0</v>
      </c>
      <c r="AE31" s="3">
        <v>0</v>
      </c>
      <c r="AF31" s="3">
        <v>5.8382749326145546E-2</v>
      </c>
      <c r="AG31" s="3">
        <v>5.516129032258065E-3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0.14795238780498254</v>
      </c>
      <c r="AQ31" s="3">
        <v>0.3341231077066304</v>
      </c>
      <c r="AR31" s="3">
        <v>4.9950049950049945E-2</v>
      </c>
      <c r="AS31" s="3">
        <v>0</v>
      </c>
      <c r="AT31" s="3">
        <v>0</v>
      </c>
      <c r="AU31" s="3">
        <v>9.8651192416795508E-4</v>
      </c>
      <c r="AV31" s="3">
        <v>9.999999999999998E-4</v>
      </c>
      <c r="AW31" s="3">
        <v>0</v>
      </c>
      <c r="AX31" s="3">
        <v>9.9782256973056233E-3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203">
        <v>0</v>
      </c>
      <c r="BP31" s="203">
        <v>0</v>
      </c>
      <c r="BQ31" s="203">
        <v>0</v>
      </c>
      <c r="BR31" s="203">
        <v>0</v>
      </c>
    </row>
    <row r="32" x14ac:dyDescent="0.15">
      <c r="A32" t="s">
        <v>211</v>
      </c>
      <c r="B32" s="3">
        <v>9.1866553157105069E-2</v>
      </c>
      <c r="C32" s="3">
        <v>1.4985014985014986E-2</v>
      </c>
      <c r="D32" s="3">
        <v>0</v>
      </c>
      <c r="E32" s="3">
        <v>1.4162011173184356E-2</v>
      </c>
      <c r="F32" s="3">
        <v>1.3425127643596425E-2</v>
      </c>
      <c r="G32" s="3">
        <v>7.7731140953748043E-2</v>
      </c>
      <c r="H32" s="3">
        <v>0.15108750000000004</v>
      </c>
      <c r="I32" s="3">
        <v>4.9459459459459459E-3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1.1702326600775593E-2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3.7772277227722775E-3</v>
      </c>
      <c r="V32" s="3">
        <v>0.15952375077739275</v>
      </c>
      <c r="W32" s="3">
        <v>0</v>
      </c>
      <c r="X32" s="3">
        <v>0</v>
      </c>
      <c r="Y32" s="3">
        <v>0</v>
      </c>
      <c r="Z32" s="3">
        <v>0</v>
      </c>
      <c r="AA32" s="3">
        <v>4.9959783711421693E-2</v>
      </c>
      <c r="AB32" s="3">
        <v>9.9865951742627353E-4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203">
        <v>0</v>
      </c>
      <c r="BP32" s="203">
        <v>0</v>
      </c>
      <c r="BQ32" s="203">
        <v>0</v>
      </c>
      <c r="BR32" s="203">
        <v>0</v>
      </c>
    </row>
    <row r="33" x14ac:dyDescent="0.15">
      <c r="A33" t="s">
        <v>212</v>
      </c>
      <c r="B33" s="3">
        <v>0</v>
      </c>
      <c r="C33" s="3">
        <v>9.99000999000999E-3</v>
      </c>
      <c r="D33" s="3">
        <v>1.2012012012012014E-2</v>
      </c>
      <c r="E33" s="3">
        <v>6.608938547486033E-3</v>
      </c>
      <c r="F33" s="3">
        <v>0</v>
      </c>
      <c r="G33" s="3">
        <v>1.7937955604711085E-2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9.9900099900099922E-4</v>
      </c>
      <c r="O33" s="3">
        <v>2.9255816501938983E-3</v>
      </c>
      <c r="P33" s="3">
        <v>1.9768437540476124E-3</v>
      </c>
      <c r="Q33" s="3">
        <v>9.4170402579594765E-3</v>
      </c>
      <c r="R33" s="3">
        <v>0</v>
      </c>
      <c r="S33" s="3">
        <v>0</v>
      </c>
      <c r="T33" s="3">
        <v>0</v>
      </c>
      <c r="U33" s="3">
        <v>0</v>
      </c>
      <c r="V33" s="3">
        <v>0.17508704353616275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9.9865951742627353E-4</v>
      </c>
      <c r="AC33" s="3">
        <v>0</v>
      </c>
      <c r="AD33" s="3">
        <v>0</v>
      </c>
      <c r="AE33" s="3">
        <v>0</v>
      </c>
      <c r="AF33" s="3">
        <v>5.8382749326145551E-3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5.9190715450077296E-3</v>
      </c>
      <c r="AV33" s="3">
        <v>0</v>
      </c>
      <c r="AW33" s="3">
        <v>0</v>
      </c>
      <c r="AX33" s="3">
        <v>9.9782256973056233E-3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203">
        <v>0</v>
      </c>
      <c r="BP33" s="203">
        <v>0</v>
      </c>
      <c r="BQ33" s="203">
        <v>0</v>
      </c>
      <c r="BR33" s="203">
        <v>0</v>
      </c>
    </row>
    <row r="34" x14ac:dyDescent="0.15">
      <c r="A34" t="s">
        <v>213</v>
      </c>
      <c r="B34" s="3">
        <v>0.64013396082876406</v>
      </c>
      <c r="C34" s="3">
        <v>0.21478521478521481</v>
      </c>
      <c r="D34" s="3">
        <v>0.28628628628628627</v>
      </c>
      <c r="E34" s="3">
        <v>0.20959776536312849</v>
      </c>
      <c r="F34" s="3">
        <v>1.3425127643596425E-2</v>
      </c>
      <c r="G34" s="3">
        <v>3.6872464298572785E-2</v>
      </c>
      <c r="H34" s="3">
        <v>0</v>
      </c>
      <c r="I34" s="3">
        <v>1.088108108108108E-2</v>
      </c>
      <c r="J34" s="3">
        <v>0.39560439560439559</v>
      </c>
      <c r="K34" s="3">
        <v>0.47152847152847144</v>
      </c>
      <c r="L34" s="3">
        <v>3.4000000000000002E-2</v>
      </c>
      <c r="M34" s="3">
        <v>0.33134328358208959</v>
      </c>
      <c r="N34" s="3">
        <v>0.1358641358641359</v>
      </c>
      <c r="O34" s="3">
        <v>4.7784500286500352E-2</v>
      </c>
      <c r="P34" s="3">
        <v>0.29949182873821323</v>
      </c>
      <c r="Q34" s="3">
        <v>0.30511210435788705</v>
      </c>
      <c r="R34" s="3">
        <v>0.12912912912912913</v>
      </c>
      <c r="S34" s="3">
        <v>0.28154339964921005</v>
      </c>
      <c r="T34" s="3">
        <v>8.7900255787552312E-3</v>
      </c>
      <c r="U34" s="3">
        <v>1.8886138613861389E-2</v>
      </c>
      <c r="V34" s="3">
        <v>0</v>
      </c>
      <c r="W34" s="3">
        <v>0</v>
      </c>
      <c r="X34" s="3">
        <v>0</v>
      </c>
      <c r="Y34" s="3">
        <v>0.24451864442324753</v>
      </c>
      <c r="Z34" s="3">
        <v>9.8135426626631849E-4</v>
      </c>
      <c r="AA34" s="3">
        <v>0.12537077799281293</v>
      </c>
      <c r="AB34" s="3">
        <v>0.41144772117962464</v>
      </c>
      <c r="AC34" s="3">
        <v>0</v>
      </c>
      <c r="AD34" s="3">
        <v>0</v>
      </c>
      <c r="AE34" s="3">
        <v>0</v>
      </c>
      <c r="AF34" s="3">
        <v>0.255911051212938</v>
      </c>
      <c r="AG34" s="3">
        <v>3.9532258064516129E-2</v>
      </c>
      <c r="AH34" s="3">
        <v>0</v>
      </c>
      <c r="AI34" s="3">
        <v>6.9921329763849458E-3</v>
      </c>
      <c r="AJ34" s="3">
        <v>0</v>
      </c>
      <c r="AK34" s="3">
        <v>2.3E-2</v>
      </c>
      <c r="AL34" s="3">
        <v>0</v>
      </c>
      <c r="AM34" s="3">
        <v>0</v>
      </c>
      <c r="AN34" s="3">
        <v>0</v>
      </c>
      <c r="AO34" s="3">
        <v>0</v>
      </c>
      <c r="AP34" s="3">
        <v>0.15682953107328151</v>
      </c>
      <c r="AQ34" s="3">
        <v>1.7793538280234753E-2</v>
      </c>
      <c r="AR34" s="3">
        <v>0.20079920079920077</v>
      </c>
      <c r="AS34" s="3">
        <v>0</v>
      </c>
      <c r="AT34" s="3">
        <v>0</v>
      </c>
      <c r="AU34" s="3">
        <v>0</v>
      </c>
      <c r="AV34" s="3">
        <v>0.32899999999999996</v>
      </c>
      <c r="AW34" s="3">
        <v>0</v>
      </c>
      <c r="AX34" s="3">
        <v>3.8098679935166933E-2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</v>
      </c>
      <c r="BO34" s="203">
        <v>0</v>
      </c>
      <c r="BP34" s="203">
        <v>0</v>
      </c>
      <c r="BQ34" s="203">
        <v>0</v>
      </c>
      <c r="BR34" s="203">
        <v>0</v>
      </c>
    </row>
    <row r="35" x14ac:dyDescent="0.15">
      <c r="A35" t="s">
        <v>214</v>
      </c>
      <c r="B35" s="3">
        <v>0</v>
      </c>
      <c r="C35" s="3">
        <v>0</v>
      </c>
      <c r="D35" s="3">
        <v>5.8058058058058061E-2</v>
      </c>
      <c r="E35" s="3">
        <v>0</v>
      </c>
      <c r="F35" s="3">
        <v>0</v>
      </c>
      <c r="G35" s="3">
        <v>4.484488901177771E-2</v>
      </c>
      <c r="H35" s="3">
        <v>6.0237500000000013E-2</v>
      </c>
      <c r="I35" s="3">
        <v>1.9783783783783784E-3</v>
      </c>
      <c r="J35" s="3">
        <v>0</v>
      </c>
      <c r="K35" s="3">
        <v>0</v>
      </c>
      <c r="L35" s="3">
        <v>8.9999999999999993E-3</v>
      </c>
      <c r="M35" s="3">
        <v>0</v>
      </c>
      <c r="N35" s="3">
        <v>0</v>
      </c>
      <c r="O35" s="3">
        <v>1.7553489901163389E-2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2.8279122855521715E-3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4.5355571351389208E-3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203">
        <v>0</v>
      </c>
      <c r="BP35" s="203">
        <v>0</v>
      </c>
      <c r="BQ35" s="203">
        <v>0</v>
      </c>
      <c r="BR35" s="203">
        <v>0</v>
      </c>
    </row>
    <row r="36" x14ac:dyDescent="0.15">
      <c r="A36" t="s">
        <v>215</v>
      </c>
      <c r="B36" s="3">
        <v>0</v>
      </c>
      <c r="C36" s="3">
        <v>0</v>
      </c>
      <c r="D36" s="3">
        <v>4.7047047047047048E-2</v>
      </c>
      <c r="E36" s="3">
        <v>0</v>
      </c>
      <c r="F36" s="3">
        <v>6.7125638217982123E-3</v>
      </c>
      <c r="G36" s="3">
        <v>6.9758716240543124E-3</v>
      </c>
      <c r="H36" s="3">
        <v>6.0237500000000013E-2</v>
      </c>
      <c r="I36" s="3">
        <v>5.9351351351351351E-3</v>
      </c>
      <c r="J36" s="3">
        <v>2.9970029970029966E-3</v>
      </c>
      <c r="K36" s="3">
        <v>2.6973026973026969E-2</v>
      </c>
      <c r="L36" s="3">
        <v>0</v>
      </c>
      <c r="M36" s="3">
        <v>2.9850746268656721E-3</v>
      </c>
      <c r="N36" s="3">
        <v>5.9940059940059949E-3</v>
      </c>
      <c r="O36" s="3">
        <v>0.16578296017765426</v>
      </c>
      <c r="P36" s="3">
        <v>0</v>
      </c>
      <c r="Q36" s="3">
        <v>0</v>
      </c>
      <c r="R36" s="3">
        <v>2.1021021021021023E-2</v>
      </c>
      <c r="S36" s="3">
        <v>2.932743746345938E-3</v>
      </c>
      <c r="T36" s="3">
        <v>0</v>
      </c>
      <c r="U36" s="3">
        <v>9.4430693069306939E-4</v>
      </c>
      <c r="V36" s="3">
        <v>0</v>
      </c>
      <c r="W36" s="3">
        <v>0</v>
      </c>
      <c r="X36" s="3">
        <v>0</v>
      </c>
      <c r="Y36" s="3">
        <v>0</v>
      </c>
      <c r="Z36" s="3">
        <v>4.9067713313315931E-3</v>
      </c>
      <c r="AA36" s="3">
        <v>2.2623298284417372E-2</v>
      </c>
      <c r="AB36" s="3">
        <v>8.9879356568364609E-3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3.7999999999999999E-2</v>
      </c>
      <c r="AL36" s="3">
        <v>6.0939060939060929E-2</v>
      </c>
      <c r="AM36" s="3">
        <v>0</v>
      </c>
      <c r="AN36" s="3">
        <v>0</v>
      </c>
      <c r="AO36" s="3">
        <v>0</v>
      </c>
      <c r="AP36" s="3">
        <v>6.0167304374026245E-2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3.6999999999999991E-2</v>
      </c>
      <c r="AW36" s="3">
        <v>0</v>
      </c>
      <c r="AX36" s="3">
        <v>4.5355571351389208E-3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203">
        <v>0</v>
      </c>
      <c r="BP36" s="203">
        <v>0</v>
      </c>
      <c r="BQ36" s="203">
        <v>0</v>
      </c>
      <c r="BR36" s="203">
        <v>0</v>
      </c>
    </row>
    <row r="37" x14ac:dyDescent="0.15">
      <c r="A37" t="s">
        <v>216</v>
      </c>
      <c r="B37" s="3">
        <v>0</v>
      </c>
      <c r="C37" s="3">
        <v>0</v>
      </c>
      <c r="D37" s="3">
        <v>1.001001001001001E-2</v>
      </c>
      <c r="E37" s="3">
        <v>0</v>
      </c>
      <c r="F37" s="3">
        <v>0</v>
      </c>
      <c r="G37" s="3">
        <v>0</v>
      </c>
      <c r="H37" s="3">
        <v>0</v>
      </c>
      <c r="I37" s="3">
        <v>1.9783783783783784E-3</v>
      </c>
      <c r="J37" s="3">
        <v>9.99000999000999E-4</v>
      </c>
      <c r="K37" s="3">
        <v>1.898101898101898E-2</v>
      </c>
      <c r="L37" s="3">
        <v>0</v>
      </c>
      <c r="M37" s="3">
        <v>1.9900497512437814E-3</v>
      </c>
      <c r="N37" s="3">
        <v>2.197802197802198E-2</v>
      </c>
      <c r="O37" s="3">
        <v>4.9734888053296282E-2</v>
      </c>
      <c r="P37" s="3">
        <v>3.9536875080952247E-3</v>
      </c>
      <c r="Q37" s="3">
        <v>5.6502241547756868E-3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1.0592865462378951E-2</v>
      </c>
      <c r="Z37" s="3">
        <v>0</v>
      </c>
      <c r="AA37" s="3">
        <v>3.299230999810867E-2</v>
      </c>
      <c r="AB37" s="3">
        <v>1.4979892761394102E-2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4.3956043956043953E-2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4.5355571351389208E-3</v>
      </c>
      <c r="AY37" s="3">
        <v>0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</v>
      </c>
      <c r="BO37" s="203">
        <v>0</v>
      </c>
      <c r="BP37" s="203">
        <v>0</v>
      </c>
      <c r="BQ37" s="203">
        <v>0</v>
      </c>
      <c r="BR37" s="203">
        <v>0</v>
      </c>
    </row>
    <row r="38" x14ac:dyDescent="0.15">
      <c r="A38" t="s">
        <v>217</v>
      </c>
      <c r="B38" s="3">
        <v>0</v>
      </c>
      <c r="C38" s="3">
        <v>0</v>
      </c>
      <c r="D38" s="3">
        <v>1.1011011011011009E-2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2.9255816501938983E-3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4.5355571351389208E-3</v>
      </c>
      <c r="AY38" s="3">
        <v>0</v>
      </c>
      <c r="AZ38" s="3">
        <v>0</v>
      </c>
      <c r="BA38" s="3">
        <v>0</v>
      </c>
      <c r="BB38" s="3">
        <v>0</v>
      </c>
      <c r="BC38" s="3">
        <v>0</v>
      </c>
      <c r="BD38" s="3">
        <v>0</v>
      </c>
      <c r="BE38" s="3">
        <v>0</v>
      </c>
      <c r="BF38" s="3">
        <v>0</v>
      </c>
      <c r="BG38" s="3">
        <v>0</v>
      </c>
      <c r="BH38" s="3">
        <v>0</v>
      </c>
      <c r="BI38" s="3">
        <v>0</v>
      </c>
      <c r="BJ38" s="3">
        <v>0</v>
      </c>
      <c r="BK38" s="3">
        <v>0</v>
      </c>
      <c r="BL38" s="3">
        <v>0</v>
      </c>
      <c r="BM38" s="3">
        <v>0</v>
      </c>
      <c r="BN38" s="3">
        <v>0</v>
      </c>
      <c r="BO38" s="203">
        <v>0</v>
      </c>
      <c r="BP38" s="203">
        <v>0</v>
      </c>
      <c r="BQ38" s="203">
        <v>0</v>
      </c>
      <c r="BR38" s="203">
        <v>0</v>
      </c>
    </row>
    <row r="39" x14ac:dyDescent="0.15">
      <c r="A39" t="s">
        <v>218</v>
      </c>
      <c r="B39" s="3">
        <v>0</v>
      </c>
      <c r="C39" s="3">
        <v>0</v>
      </c>
      <c r="D39" s="3">
        <v>3.5035035035035036E-2</v>
      </c>
      <c r="E39" s="3">
        <v>0</v>
      </c>
      <c r="F39" s="3">
        <v>0</v>
      </c>
      <c r="G39" s="3">
        <v>0</v>
      </c>
      <c r="H39" s="3">
        <v>0</v>
      </c>
      <c r="I39" s="3">
        <v>1.9783783783783784E-3</v>
      </c>
      <c r="J39" s="3">
        <v>0</v>
      </c>
      <c r="K39" s="3">
        <v>9.99000999000999E-4</v>
      </c>
      <c r="L39" s="3">
        <v>4.0000000000000001E-3</v>
      </c>
      <c r="M39" s="3">
        <v>2.3880597014925377E-2</v>
      </c>
      <c r="N39" s="3">
        <v>3.9960039960039969E-3</v>
      </c>
      <c r="O39" s="3">
        <v>1.6578296017765424E-2</v>
      </c>
      <c r="P39" s="3">
        <v>1.9768437540476124E-3</v>
      </c>
      <c r="Q39" s="3">
        <v>2.8251120773878434E-3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2.6220498661443542E-3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9.999999999999998E-4</v>
      </c>
      <c r="AW39" s="3">
        <v>0</v>
      </c>
      <c r="AX39" s="3">
        <v>4.5355571351389208E-3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0</v>
      </c>
      <c r="BM39" s="3">
        <v>0</v>
      </c>
      <c r="BN39" s="3">
        <v>0</v>
      </c>
      <c r="BO39" s="203">
        <v>0</v>
      </c>
      <c r="BP39" s="203">
        <v>0</v>
      </c>
      <c r="BQ39" s="203">
        <v>0</v>
      </c>
      <c r="BR39" s="203">
        <v>0</v>
      </c>
    </row>
    <row r="40" x14ac:dyDescent="0.15">
      <c r="A40" t="s">
        <v>219</v>
      </c>
      <c r="B40" s="3">
        <v>0</v>
      </c>
      <c r="C40" s="3">
        <v>0</v>
      </c>
      <c r="D40" s="3">
        <v>2.3023023023023021E-2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8.4837368566565135E-3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4.3956043956043953E-2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4.5355571351389208E-3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203">
        <v>0</v>
      </c>
      <c r="BP40" s="203">
        <v>0</v>
      </c>
      <c r="BQ40" s="203">
        <v>0</v>
      </c>
      <c r="BR40" s="203">
        <v>0</v>
      </c>
    </row>
    <row r="41" x14ac:dyDescent="0.15">
      <c r="A41" t="s">
        <v>220</v>
      </c>
      <c r="B41" s="3">
        <v>0</v>
      </c>
      <c r="C41" s="3">
        <v>0</v>
      </c>
      <c r="D41" s="3">
        <v>2.4024024024024027E-2</v>
      </c>
      <c r="E41" s="3">
        <v>0</v>
      </c>
      <c r="F41" s="3">
        <v>0</v>
      </c>
      <c r="G41" s="3">
        <v>6.9758716240543124E-3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9.950248756218907E-4</v>
      </c>
      <c r="N41" s="3">
        <v>0</v>
      </c>
      <c r="O41" s="3">
        <v>9.7519388339796628E-4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2.8279122855521715E-3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4.5355571351389208E-3</v>
      </c>
      <c r="AY41" s="3">
        <v>0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</v>
      </c>
      <c r="BM41" s="3">
        <v>0</v>
      </c>
      <c r="BN41" s="3">
        <v>0</v>
      </c>
      <c r="BO41" s="203">
        <v>0</v>
      </c>
      <c r="BP41" s="203">
        <v>0</v>
      </c>
      <c r="BQ41" s="203">
        <v>0</v>
      </c>
      <c r="BR41" s="203">
        <v>0</v>
      </c>
    </row>
    <row r="42" x14ac:dyDescent="0.15">
      <c r="A42" t="s">
        <v>221</v>
      </c>
      <c r="B42" s="3">
        <v>0</v>
      </c>
      <c r="C42" s="3">
        <v>0</v>
      </c>
      <c r="D42" s="3">
        <v>1.001001001001001E-2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203">
        <v>0</v>
      </c>
      <c r="BP42" s="203">
        <v>0</v>
      </c>
      <c r="BQ42" s="203">
        <v>0</v>
      </c>
      <c r="BR42" s="203">
        <v>0</v>
      </c>
    </row>
    <row r="43" x14ac:dyDescent="0.15">
      <c r="A43" t="s">
        <v>222</v>
      </c>
      <c r="B43" s="3">
        <v>0</v>
      </c>
      <c r="C43" s="3">
        <v>0</v>
      </c>
      <c r="D43" s="3">
        <v>1.001001001001001E-2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2.8279122855521715E-3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3">
        <v>0</v>
      </c>
      <c r="BK43" s="3">
        <v>0</v>
      </c>
      <c r="BL43" s="3">
        <v>0</v>
      </c>
      <c r="BM43" s="3">
        <v>0</v>
      </c>
      <c r="BN43" s="3">
        <v>0</v>
      </c>
      <c r="BO43" s="203">
        <v>0</v>
      </c>
      <c r="BP43" s="203">
        <v>0</v>
      </c>
      <c r="BQ43" s="203">
        <v>0</v>
      </c>
      <c r="BR43" s="203">
        <v>0</v>
      </c>
    </row>
    <row r="44" x14ac:dyDescent="0.15">
      <c r="A44" t="s">
        <v>223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</v>
      </c>
      <c r="BK44" s="3">
        <v>0</v>
      </c>
      <c r="BL44" s="3">
        <v>0</v>
      </c>
      <c r="BM44" s="3">
        <v>0</v>
      </c>
      <c r="BN44" s="3">
        <v>0</v>
      </c>
      <c r="BO44" s="203">
        <v>0</v>
      </c>
      <c r="BP44" s="203">
        <v>0</v>
      </c>
      <c r="BQ44" s="203">
        <v>0</v>
      </c>
      <c r="BR44" s="203">
        <v>0</v>
      </c>
    </row>
    <row r="45" x14ac:dyDescent="0.15">
      <c r="A45" t="s">
        <v>224</v>
      </c>
      <c r="B45" s="3">
        <v>0</v>
      </c>
      <c r="C45" s="3">
        <v>0</v>
      </c>
      <c r="D45" s="3">
        <v>1.001001001001001E-2</v>
      </c>
      <c r="E45" s="3">
        <v>0</v>
      </c>
      <c r="F45" s="3">
        <v>9.5893768882831577E-4</v>
      </c>
      <c r="G45" s="3">
        <v>2.5910380317916013E-2</v>
      </c>
      <c r="H45" s="3">
        <v>5.3325000000000018E-2</v>
      </c>
      <c r="I45" s="3">
        <v>1.6816216216216217E-2</v>
      </c>
      <c r="J45" s="3">
        <v>0</v>
      </c>
      <c r="K45" s="3">
        <v>4.995004995004995E-3</v>
      </c>
      <c r="L45" s="3">
        <v>0</v>
      </c>
      <c r="M45" s="3">
        <v>6.8656716417910463E-2</v>
      </c>
      <c r="N45" s="3">
        <v>4.9950049950049959E-3</v>
      </c>
      <c r="O45" s="3">
        <v>1.3652714367571527E-2</v>
      </c>
      <c r="P45" s="3">
        <v>0</v>
      </c>
      <c r="Q45" s="3">
        <v>0</v>
      </c>
      <c r="R45" s="3">
        <v>0</v>
      </c>
      <c r="S45" s="3">
        <v>9.7758124878197955E-4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4.9067713313315931E-3</v>
      </c>
      <c r="AA45" s="3">
        <v>2.8279122855521715E-3</v>
      </c>
      <c r="AB45" s="3">
        <v>2.0971849865951745E-2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6.2140002878092675E-2</v>
      </c>
      <c r="AQ45" s="3">
        <v>3.0644427038182074E-2</v>
      </c>
      <c r="AR45" s="3">
        <v>0</v>
      </c>
      <c r="AS45" s="3">
        <v>0</v>
      </c>
      <c r="AT45" s="3">
        <v>0</v>
      </c>
      <c r="AU45" s="3">
        <v>9.8651192416795508E-4</v>
      </c>
      <c r="AV45" s="3">
        <v>4.9999999999999992E-3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203">
        <v>0</v>
      </c>
      <c r="BP45" s="203">
        <v>0</v>
      </c>
      <c r="BQ45" s="203">
        <v>0</v>
      </c>
      <c r="BR45" s="203">
        <v>0</v>
      </c>
    </row>
    <row r="46" x14ac:dyDescent="0.15">
      <c r="A46" t="s">
        <v>225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0</v>
      </c>
      <c r="BL46" s="3">
        <v>0</v>
      </c>
      <c r="BM46" s="3">
        <v>0</v>
      </c>
      <c r="BN46" s="3">
        <v>0</v>
      </c>
      <c r="BO46" s="203">
        <v>0</v>
      </c>
      <c r="BP46" s="203">
        <v>0</v>
      </c>
      <c r="BQ46" s="203">
        <v>0</v>
      </c>
      <c r="BR46" s="203">
        <v>0</v>
      </c>
    </row>
    <row r="47" x14ac:dyDescent="0.15">
      <c r="A47" t="s">
        <v>226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1.9900497512437814E-3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1.9730238483359102E-3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</v>
      </c>
      <c r="BL47" s="3">
        <v>0</v>
      </c>
      <c r="BM47" s="3">
        <v>0</v>
      </c>
      <c r="BN47" s="3">
        <v>0</v>
      </c>
      <c r="BO47" s="203">
        <v>0</v>
      </c>
      <c r="BP47" s="203">
        <v>0</v>
      </c>
      <c r="BQ47" s="203">
        <v>0</v>
      </c>
      <c r="BR47" s="203">
        <v>0</v>
      </c>
    </row>
    <row r="48" x14ac:dyDescent="0.15">
      <c r="A48" t="s">
        <v>227</v>
      </c>
      <c r="B48" s="3">
        <v>0</v>
      </c>
      <c r="C48" s="3">
        <v>0</v>
      </c>
      <c r="D48" s="3">
        <v>9.8098098098098108E-2</v>
      </c>
      <c r="E48" s="3">
        <v>0</v>
      </c>
      <c r="F48" s="3">
        <v>9.5893768882831607E-3</v>
      </c>
      <c r="G48" s="3">
        <v>9.965530891506159E-3</v>
      </c>
      <c r="H48" s="3">
        <v>1.0862500000000002E-2</v>
      </c>
      <c r="I48" s="3">
        <v>2.9675675675675675E-3</v>
      </c>
      <c r="J48" s="3">
        <v>9.99000999000999E-4</v>
      </c>
      <c r="K48" s="3">
        <v>8.9910089910089901E-3</v>
      </c>
      <c r="L48" s="3">
        <v>6.6000000000000003E-2</v>
      </c>
      <c r="M48" s="3">
        <v>1.0945273631840797E-2</v>
      </c>
      <c r="N48" s="3">
        <v>4.295704295704296E-2</v>
      </c>
      <c r="O48" s="3">
        <v>1.4627908250969494E-2</v>
      </c>
      <c r="P48" s="3">
        <v>2.6687390679642767E-2</v>
      </c>
      <c r="Q48" s="3">
        <v>1.224215233534732E-2</v>
      </c>
      <c r="R48" s="3">
        <v>2.002002002002002E-3</v>
      </c>
      <c r="S48" s="3">
        <v>9.7758124878197955E-4</v>
      </c>
      <c r="T48" s="3">
        <v>0</v>
      </c>
      <c r="U48" s="3">
        <v>0</v>
      </c>
      <c r="V48" s="3">
        <v>1.5563292758770025E-2</v>
      </c>
      <c r="W48" s="3">
        <v>0</v>
      </c>
      <c r="X48" s="3">
        <v>0</v>
      </c>
      <c r="Y48" s="3">
        <v>4.413693942657896E-3</v>
      </c>
      <c r="Z48" s="3">
        <v>1.3738959727728459E-2</v>
      </c>
      <c r="AA48" s="3">
        <v>3.0164397712556495E-2</v>
      </c>
      <c r="AB48" s="3">
        <v>1.6977211796246651E-2</v>
      </c>
      <c r="AC48" s="3">
        <v>0</v>
      </c>
      <c r="AD48" s="3">
        <v>0</v>
      </c>
      <c r="AE48" s="3">
        <v>0</v>
      </c>
      <c r="AF48" s="3">
        <v>0</v>
      </c>
      <c r="AG48" s="3">
        <v>6.4354838709677429E-3</v>
      </c>
      <c r="AH48" s="3">
        <v>0</v>
      </c>
      <c r="AI48" s="3">
        <v>0</v>
      </c>
      <c r="AJ48" s="3">
        <v>0</v>
      </c>
      <c r="AK48" s="3">
        <v>3.6999999999999998E-2</v>
      </c>
      <c r="AL48" s="3">
        <v>9.99000999000999E-3</v>
      </c>
      <c r="AM48" s="3">
        <v>1.2999999999999999E-2</v>
      </c>
      <c r="AN48" s="3">
        <v>7.0000000000000001E-3</v>
      </c>
      <c r="AO48" s="3">
        <v>8.0080080080080097E-3</v>
      </c>
      <c r="AP48" s="3">
        <v>9.8634925203321719E-2</v>
      </c>
      <c r="AQ48" s="3">
        <v>5.9311794267449171E-3</v>
      </c>
      <c r="AR48" s="3">
        <v>0</v>
      </c>
      <c r="AS48" s="3">
        <v>0</v>
      </c>
      <c r="AT48" s="3">
        <v>0</v>
      </c>
      <c r="AU48" s="3">
        <v>6.5109786995085045E-2</v>
      </c>
      <c r="AV48" s="3">
        <v>0</v>
      </c>
      <c r="AW48" s="3">
        <v>0</v>
      </c>
      <c r="AX48" s="3">
        <v>4.5355571351389208E-3</v>
      </c>
      <c r="AY48" s="3">
        <v>0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">
        <v>0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203">
        <v>0</v>
      </c>
      <c r="BP48" s="203">
        <v>0</v>
      </c>
      <c r="BQ48" s="203">
        <v>0</v>
      </c>
      <c r="BR48" s="203">
        <v>0</v>
      </c>
    </row>
    <row r="49" x14ac:dyDescent="0.15">
      <c r="A49" t="s">
        <v>228</v>
      </c>
      <c r="B49" s="3">
        <v>2.4432593924761988E-2</v>
      </c>
      <c r="C49" s="3">
        <v>0</v>
      </c>
      <c r="D49" s="3">
        <v>0</v>
      </c>
      <c r="E49" s="3">
        <v>0</v>
      </c>
      <c r="F49" s="3">
        <v>3.8357507553132631E-3</v>
      </c>
      <c r="G49" s="3">
        <v>0</v>
      </c>
      <c r="H49" s="3">
        <v>0</v>
      </c>
      <c r="I49" s="3">
        <v>3.9567567567567567E-3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9.8842187702380619E-4</v>
      </c>
      <c r="Q49" s="3">
        <v>2.8251120773878434E-3</v>
      </c>
      <c r="R49" s="3">
        <v>0</v>
      </c>
      <c r="S49" s="3">
        <v>0</v>
      </c>
      <c r="T49" s="3">
        <v>1.0743364596256393E-2</v>
      </c>
      <c r="U49" s="3">
        <v>9.4430693069306945E-3</v>
      </c>
      <c r="V49" s="3">
        <v>1.0699763771654392E-2</v>
      </c>
      <c r="W49" s="3">
        <v>9.2034933554410933E-3</v>
      </c>
      <c r="X49" s="3">
        <v>0</v>
      </c>
      <c r="Y49" s="3">
        <v>0</v>
      </c>
      <c r="Z49" s="3">
        <v>0</v>
      </c>
      <c r="AA49" s="3">
        <v>2.8279122855521715E-3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2.4713247611437159E-2</v>
      </c>
      <c r="AR49" s="3">
        <v>0</v>
      </c>
      <c r="AS49" s="3">
        <v>0</v>
      </c>
      <c r="AT49" s="3">
        <v>0</v>
      </c>
      <c r="AU49" s="3">
        <v>5.9190715450077296E-3</v>
      </c>
      <c r="AV49" s="3">
        <v>0</v>
      </c>
      <c r="AW49" s="3">
        <v>0</v>
      </c>
      <c r="AX49" s="3">
        <v>1.9049339967583467E-2</v>
      </c>
      <c r="AY49" s="3">
        <v>0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">
        <v>0</v>
      </c>
      <c r="BG49" s="3">
        <v>0</v>
      </c>
      <c r="BH49" s="3">
        <v>0</v>
      </c>
      <c r="BI49" s="3">
        <v>0</v>
      </c>
      <c r="BJ49" s="3">
        <v>0</v>
      </c>
      <c r="BK49" s="3">
        <v>0</v>
      </c>
      <c r="BL49" s="3">
        <v>0</v>
      </c>
      <c r="BM49" s="3">
        <v>0</v>
      </c>
      <c r="BN49" s="3">
        <v>0</v>
      </c>
      <c r="BO49" s="203">
        <v>0</v>
      </c>
      <c r="BP49" s="203">
        <v>0</v>
      </c>
      <c r="BQ49" s="203">
        <v>0</v>
      </c>
      <c r="BR49" s="203">
        <v>0</v>
      </c>
    </row>
    <row r="50" x14ac:dyDescent="0.15">
      <c r="A50" t="s">
        <v>229</v>
      </c>
      <c r="B50" s="3">
        <v>2.502502502502503E-2</v>
      </c>
      <c r="C50" s="3">
        <v>8.5914085914085905E-2</v>
      </c>
      <c r="D50" s="3">
        <v>0</v>
      </c>
      <c r="E50" s="3">
        <v>0</v>
      </c>
      <c r="F50" s="3">
        <v>1.1730205278592374E-2</v>
      </c>
      <c r="G50" s="3">
        <v>2.2426095820591227E-2</v>
      </c>
      <c r="H50" s="3">
        <v>0.20300000000000007</v>
      </c>
      <c r="I50" s="3">
        <v>2.5999999999999999E-2</v>
      </c>
      <c r="J50" s="3">
        <v>9.99000999000999E-4</v>
      </c>
      <c r="K50" s="3">
        <v>1.998001998001998E-3</v>
      </c>
      <c r="L50" s="3">
        <v>5.0000000000000001E-3</v>
      </c>
      <c r="M50" s="3">
        <v>7.9601990049751256E-3</v>
      </c>
      <c r="N50" s="3">
        <v>3.9960039960039969E-3</v>
      </c>
      <c r="O50" s="3">
        <v>2.0020020020020024E-3</v>
      </c>
      <c r="P50" s="3">
        <v>2.0875577561639148E-2</v>
      </c>
      <c r="Q50" s="3">
        <v>7.9840319361277438E-3</v>
      </c>
      <c r="R50" s="3">
        <v>1.3013013013013013E-2</v>
      </c>
      <c r="S50" s="3">
        <v>2.002002002002002E-3</v>
      </c>
      <c r="T50" s="3">
        <v>6.006006006006006E-3</v>
      </c>
      <c r="U50" s="3">
        <v>2.0000000000000005E-3</v>
      </c>
      <c r="V50" s="3">
        <v>9.9219886055748065E-4</v>
      </c>
      <c r="W50" s="3">
        <v>0</v>
      </c>
      <c r="X50" s="3">
        <v>0</v>
      </c>
      <c r="Y50" s="3">
        <v>3.6343091539502229E-2</v>
      </c>
      <c r="Z50" s="3">
        <v>9.8135426893560126E-4</v>
      </c>
      <c r="AA50" s="3">
        <v>7.0587455860145351E-2</v>
      </c>
      <c r="AB50" s="3">
        <v>1.4999999999999999E-2</v>
      </c>
      <c r="AC50" s="3">
        <v>0</v>
      </c>
      <c r="AD50" s="3">
        <v>0</v>
      </c>
      <c r="AE50" s="3">
        <v>0</v>
      </c>
      <c r="AF50" s="3">
        <v>1.7000000000000001E-2</v>
      </c>
      <c r="AG50" s="3">
        <v>0</v>
      </c>
      <c r="AH50" s="3">
        <v>0</v>
      </c>
      <c r="AI50" s="3">
        <v>0</v>
      </c>
      <c r="AJ50" s="3">
        <v>0</v>
      </c>
      <c r="AK50" s="3">
        <v>3.0000000000000001E-3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3.996003996003996E-2</v>
      </c>
      <c r="AS50" s="3">
        <v>0</v>
      </c>
      <c r="AT50" s="3">
        <v>0</v>
      </c>
      <c r="AU50" s="3">
        <v>0</v>
      </c>
      <c r="AV50" s="3">
        <v>2.5999999999999992E-2</v>
      </c>
      <c r="AW50" s="3">
        <v>6.0000000000000001E-3</v>
      </c>
      <c r="AX50" s="3">
        <v>5.1896207584830337E-2</v>
      </c>
      <c r="AY50" s="3">
        <v>0</v>
      </c>
      <c r="AZ50" s="3">
        <v>0</v>
      </c>
      <c r="BA50" s="3">
        <v>0</v>
      </c>
      <c r="BB50" s="3">
        <v>0</v>
      </c>
      <c r="BC50" s="3">
        <v>5.9940059940059949E-3</v>
      </c>
      <c r="BD50" s="3">
        <v>0</v>
      </c>
      <c r="BE50" s="3">
        <v>0</v>
      </c>
      <c r="BF50" s="3">
        <v>0</v>
      </c>
      <c r="BG50" s="3">
        <v>0</v>
      </c>
      <c r="BH50" s="3">
        <v>0</v>
      </c>
      <c r="BI50" s="3">
        <v>0</v>
      </c>
      <c r="BJ50" s="3">
        <v>0</v>
      </c>
      <c r="BK50" s="3">
        <v>0</v>
      </c>
      <c r="BL50" s="3">
        <v>0</v>
      </c>
      <c r="BM50" s="3">
        <v>0</v>
      </c>
      <c r="BN50" s="3">
        <v>0</v>
      </c>
      <c r="BO50" s="203">
        <v>0</v>
      </c>
      <c r="BP50" s="203">
        <v>0</v>
      </c>
      <c r="BQ50" s="203">
        <v>0</v>
      </c>
      <c r="BR50" s="203">
        <v>0</v>
      </c>
    </row>
    <row r="51" x14ac:dyDescent="0.15">
      <c r="A51" t="s">
        <v>230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0.111</v>
      </c>
      <c r="AD51" s="3">
        <v>5.2947052947052937E-2</v>
      </c>
      <c r="AE51" s="3">
        <v>0.01</v>
      </c>
      <c r="AF51" s="3">
        <v>0</v>
      </c>
      <c r="AG51" s="3">
        <v>0</v>
      </c>
      <c r="AH51" s="3">
        <v>4.9950049950049941E-3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5.0000000000000001E-3</v>
      </c>
      <c r="AX51" s="3">
        <v>4.9900199600798403E-3</v>
      </c>
      <c r="AY51" s="3">
        <v>0</v>
      </c>
      <c r="AZ51" s="3">
        <v>0</v>
      </c>
      <c r="BA51" s="3">
        <v>4.995004995004995E-3</v>
      </c>
      <c r="BB51" s="3">
        <v>0</v>
      </c>
      <c r="BC51" s="3">
        <v>5.5944055944055951E-2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</v>
      </c>
      <c r="BN51" s="3">
        <v>0</v>
      </c>
      <c r="BO51" s="203">
        <v>0</v>
      </c>
      <c r="BP51" s="203">
        <v>0</v>
      </c>
      <c r="BQ51" s="203">
        <v>0</v>
      </c>
      <c r="BR51" s="203">
        <v>0</v>
      </c>
    </row>
    <row r="52" x14ac:dyDescent="0.15">
      <c r="A52" s="3" t="s">
        <v>231</v>
      </c>
      <c r="B52" s="3">
        <v>1.9526529064669781E-2</v>
      </c>
      <c r="C52" s="3">
        <v>0</v>
      </c>
      <c r="D52" s="3">
        <v>0</v>
      </c>
      <c r="E52" s="3">
        <v>1.8882681564245808E-2</v>
      </c>
      <c r="F52" s="3">
        <v>4.9049662783568343E-3</v>
      </c>
      <c r="G52" s="3">
        <v>1.9552371609135089E-2</v>
      </c>
      <c r="H52" s="3">
        <v>9.8750000000000018E-3</v>
      </c>
      <c r="I52" s="3">
        <v>1.9783783783783784E-3</v>
      </c>
      <c r="J52" s="3">
        <v>0</v>
      </c>
      <c r="K52" s="3">
        <v>0</v>
      </c>
      <c r="L52" s="3">
        <v>0</v>
      </c>
      <c r="M52" s="3">
        <v>0</v>
      </c>
      <c r="N52" s="3">
        <v>4.9950049950049959E-3</v>
      </c>
      <c r="O52" s="3">
        <v>1.9484373790291366E-2</v>
      </c>
      <c r="P52" s="3">
        <v>9.8812534976880379E-3</v>
      </c>
      <c r="Q52" s="3">
        <v>4.7179371692376987E-2</v>
      </c>
      <c r="R52" s="3">
        <v>0</v>
      </c>
      <c r="S52" s="3">
        <v>9.7660366753319749E-3</v>
      </c>
      <c r="T52" s="3">
        <v>9.7569283924183094E-3</v>
      </c>
      <c r="U52" s="3">
        <v>4.2493811881188122E-2</v>
      </c>
      <c r="V52" s="3">
        <v>2.6282510653181816E-2</v>
      </c>
      <c r="W52" s="3">
        <v>9.1942898620856525E-3</v>
      </c>
      <c r="X52" s="3">
        <v>0</v>
      </c>
      <c r="Y52" s="3">
        <v>0.10513418973088316</v>
      </c>
      <c r="Z52" s="3">
        <v>1.6683022659991598E-2</v>
      </c>
      <c r="AA52" s="3">
        <v>5.0101179402052942E-2</v>
      </c>
      <c r="AB52" s="3">
        <v>9.9865951742627353E-4</v>
      </c>
      <c r="AC52" s="3">
        <v>0</v>
      </c>
      <c r="AD52" s="3">
        <v>0</v>
      </c>
      <c r="AE52" s="3">
        <v>0</v>
      </c>
      <c r="AF52" s="3">
        <v>9.7304582210242588E-3</v>
      </c>
      <c r="AG52" s="3">
        <v>3.6774193548387103E-2</v>
      </c>
      <c r="AH52" s="3">
        <v>0</v>
      </c>
      <c r="AI52" s="3">
        <v>1.7497812773403327E-3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9.883219505372836E-3</v>
      </c>
      <c r="AQ52" s="3">
        <v>9.8951843436194363E-3</v>
      </c>
      <c r="AR52" s="3">
        <v>0</v>
      </c>
      <c r="AS52" s="3">
        <v>0</v>
      </c>
      <c r="AT52" s="3">
        <v>0</v>
      </c>
      <c r="AU52" s="3">
        <v>2.9624953615480132E-3</v>
      </c>
      <c r="AV52" s="3">
        <v>3.6999999999999998E-2</v>
      </c>
      <c r="AW52" s="3">
        <v>5.2999999999999999E-2</v>
      </c>
      <c r="AX52" s="3">
        <v>1.8178512997636793E-2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">
        <v>0</v>
      </c>
      <c r="BH52" s="3">
        <v>0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203">
        <v>0</v>
      </c>
      <c r="BP52" s="203">
        <v>0</v>
      </c>
      <c r="BQ52" s="203">
        <v>0</v>
      </c>
      <c r="BR52" s="203">
        <v>0</v>
      </c>
      <c r="BT52" s="211" t="s">
        <v>271</v>
      </c>
    </row>
    <row r="53" x14ac:dyDescent="0.15">
      <c r="A53" t="s">
        <v>233</v>
      </c>
      <c r="B53" s="3">
        <v>0.15015015015015015</v>
      </c>
      <c r="C53" s="3">
        <v>0</v>
      </c>
      <c r="D53" s="3">
        <v>0</v>
      </c>
      <c r="E53" s="3">
        <v>4.7E-2</v>
      </c>
      <c r="F53" s="3">
        <v>1.9550342130987289E-2</v>
      </c>
      <c r="G53" s="3">
        <v>5.0968399592252796E-3</v>
      </c>
      <c r="H53" s="3">
        <v>0</v>
      </c>
      <c r="I53" s="3">
        <v>1E-3</v>
      </c>
      <c r="J53" s="3">
        <v>7.992007992007992E-3</v>
      </c>
      <c r="K53" s="3">
        <v>0</v>
      </c>
      <c r="L53" s="3">
        <v>2E-3</v>
      </c>
      <c r="M53" s="3">
        <v>2.9850746268656721E-3</v>
      </c>
      <c r="N53" s="3">
        <v>4.9950049950049959E-3</v>
      </c>
      <c r="O53" s="3">
        <v>1.0010010010010012E-3</v>
      </c>
      <c r="P53" s="3">
        <v>9.9407512198281658E-2</v>
      </c>
      <c r="Q53" s="3">
        <v>4.4910179640718563E-2</v>
      </c>
      <c r="R53" s="3">
        <v>0.10010010010010011</v>
      </c>
      <c r="S53" s="3">
        <v>5.8058058058058054E-2</v>
      </c>
      <c r="T53" s="3">
        <v>0.33433433433433435</v>
      </c>
      <c r="U53" s="3">
        <v>0.12400000000000001</v>
      </c>
      <c r="V53" s="3">
        <v>0</v>
      </c>
      <c r="W53" s="3">
        <v>0.60560560560560561</v>
      </c>
      <c r="X53" s="3">
        <v>0.2857142857142857</v>
      </c>
      <c r="Y53" s="3">
        <v>7.8579657382707516E-3</v>
      </c>
      <c r="Z53" s="3">
        <v>9.8135426893560126E-2</v>
      </c>
      <c r="AA53" s="3">
        <v>0</v>
      </c>
      <c r="AB53" s="3">
        <v>0.01</v>
      </c>
      <c r="AC53" s="3">
        <v>0.221</v>
      </c>
      <c r="AD53" s="3">
        <v>0.29170829170829166</v>
      </c>
      <c r="AE53" s="3">
        <v>0</v>
      </c>
      <c r="AF53" s="3">
        <v>0.17</v>
      </c>
      <c r="AG53" s="3">
        <v>0.44700000000000001</v>
      </c>
      <c r="AH53" s="3">
        <v>6.2937062937062929E-2</v>
      </c>
      <c r="AI53" s="3">
        <v>0</v>
      </c>
      <c r="AJ53" s="3">
        <v>0</v>
      </c>
      <c r="AK53" s="3">
        <v>0</v>
      </c>
      <c r="AL53" s="3">
        <v>5.1948051948051938E-2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1.4999999999999999E-2</v>
      </c>
      <c r="AU53" s="3">
        <v>0.67364333282015121</v>
      </c>
      <c r="AV53" s="3">
        <v>0</v>
      </c>
      <c r="AW53" s="3">
        <v>0.14799999999999999</v>
      </c>
      <c r="AX53" s="3">
        <v>0.21257485029940118</v>
      </c>
      <c r="AY53" s="3">
        <v>0</v>
      </c>
      <c r="AZ53" s="3">
        <v>0.25</v>
      </c>
      <c r="BA53" s="3">
        <v>5.1948051948051951E-2</v>
      </c>
      <c r="BB53" s="3">
        <v>0</v>
      </c>
      <c r="BC53" s="3">
        <v>0.25674325674325676</v>
      </c>
      <c r="BD53" s="3">
        <v>0</v>
      </c>
      <c r="BE53" s="3">
        <v>0</v>
      </c>
      <c r="BF53" s="3">
        <v>0</v>
      </c>
      <c r="BG53" s="3">
        <v>0</v>
      </c>
      <c r="BH53" s="3">
        <v>0.05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203">
        <v>0</v>
      </c>
      <c r="BP53" s="203">
        <v>0</v>
      </c>
      <c r="BQ53" s="203">
        <v>0</v>
      </c>
      <c r="BR53" s="203">
        <v>0</v>
      </c>
    </row>
    <row r="54" x14ac:dyDescent="0.15">
      <c r="A54" t="s">
        <v>234</v>
      </c>
      <c r="B54" s="3">
        <v>0</v>
      </c>
      <c r="C54" s="3">
        <v>0</v>
      </c>
      <c r="D54" s="3">
        <v>0</v>
      </c>
      <c r="E54" s="3">
        <v>8.7999999999999995E-2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7.0929070929070928E-2</v>
      </c>
      <c r="O54" s="3">
        <v>0</v>
      </c>
      <c r="P54" s="3">
        <v>6.9585258538797171E-2</v>
      </c>
      <c r="Q54" s="3">
        <v>0</v>
      </c>
      <c r="R54" s="3">
        <v>5.0050050050050053E-2</v>
      </c>
      <c r="S54" s="3">
        <v>0</v>
      </c>
      <c r="T54" s="3">
        <v>0.23123123123123124</v>
      </c>
      <c r="U54" s="3">
        <v>0.10400000000000001</v>
      </c>
      <c r="V54" s="3">
        <v>0</v>
      </c>
      <c r="W54" s="3">
        <v>0.13113113113113115</v>
      </c>
      <c r="X54" s="3">
        <v>0.47552447552447552</v>
      </c>
      <c r="Y54" s="3">
        <v>1.3751440041973815E-2</v>
      </c>
      <c r="Z54" s="3">
        <v>0.29342492641174478</v>
      </c>
      <c r="AA54" s="3">
        <v>0</v>
      </c>
      <c r="AB54" s="3">
        <v>0</v>
      </c>
      <c r="AC54" s="3">
        <v>0.62</v>
      </c>
      <c r="AD54" s="3">
        <v>0.63536463536463539</v>
      </c>
      <c r="AE54" s="3">
        <v>0.79200000000000004</v>
      </c>
      <c r="AF54" s="3">
        <v>0.113</v>
      </c>
      <c r="AG54" s="3">
        <v>0</v>
      </c>
      <c r="AH54" s="3">
        <v>0.60639360639360629</v>
      </c>
      <c r="AI54" s="3">
        <v>0</v>
      </c>
      <c r="AJ54" s="3">
        <v>1.298701298701299E-2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2.9970029970029966E-3</v>
      </c>
      <c r="AR54" s="3">
        <v>0</v>
      </c>
      <c r="AS54" s="3">
        <v>4.9850448654037887E-3</v>
      </c>
      <c r="AT54" s="3">
        <v>0</v>
      </c>
      <c r="AU54" s="3">
        <v>7.6618222492099916E-2</v>
      </c>
      <c r="AV54" s="3">
        <v>9.0999999999999984E-2</v>
      </c>
      <c r="AW54" s="3">
        <v>0.69099999999999995</v>
      </c>
      <c r="AX54" s="3">
        <v>0.28143712574850299</v>
      </c>
      <c r="AY54" s="3">
        <v>0.8</v>
      </c>
      <c r="AZ54" s="3">
        <v>0.64</v>
      </c>
      <c r="BA54" s="3">
        <v>0.73626373626373631</v>
      </c>
      <c r="BB54" s="3">
        <v>0</v>
      </c>
      <c r="BC54" s="3">
        <v>0.25674325674325676</v>
      </c>
      <c r="BD54" s="3">
        <v>0</v>
      </c>
      <c r="BE54" s="3">
        <v>0</v>
      </c>
      <c r="BF54" s="3">
        <v>0</v>
      </c>
      <c r="BG54" s="3">
        <v>0</v>
      </c>
      <c r="BH54" s="3">
        <v>0.1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203">
        <v>0</v>
      </c>
      <c r="BP54" s="203">
        <v>0</v>
      </c>
      <c r="BQ54" s="203">
        <v>0</v>
      </c>
      <c r="BR54" s="203">
        <v>0</v>
      </c>
    </row>
    <row r="55" x14ac:dyDescent="0.15">
      <c r="A55" t="s">
        <v>235</v>
      </c>
      <c r="B55" s="3">
        <v>0</v>
      </c>
      <c r="C55" s="3">
        <v>0</v>
      </c>
      <c r="D55" s="3">
        <v>0</v>
      </c>
      <c r="E55" s="3">
        <v>0</v>
      </c>
      <c r="F55" s="3">
        <v>2.6392961876832842E-2</v>
      </c>
      <c r="G55" s="3">
        <v>3.6697247706422013E-2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2.9970029970029974E-3</v>
      </c>
      <c r="AJ55" s="3">
        <v>0</v>
      </c>
      <c r="AK55" s="3">
        <v>0</v>
      </c>
      <c r="AL55" s="3">
        <v>7.0929070929070914E-2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9.9504185054675228E-4</v>
      </c>
      <c r="AV55" s="3">
        <v>0</v>
      </c>
      <c r="AW55" s="3">
        <v>3.3000000000000002E-2</v>
      </c>
      <c r="AX55" s="3">
        <v>0</v>
      </c>
      <c r="AY55" s="3">
        <v>0</v>
      </c>
      <c r="AZ55" s="3">
        <v>5.0000000000000001E-3</v>
      </c>
      <c r="BA55" s="3">
        <v>0</v>
      </c>
      <c r="BB55" s="3">
        <v>0</v>
      </c>
      <c r="BC55" s="3">
        <v>0</v>
      </c>
      <c r="BD55" s="3">
        <v>0</v>
      </c>
      <c r="BE55" s="3">
        <v>0</v>
      </c>
      <c r="BF55" s="3">
        <v>0</v>
      </c>
      <c r="BG55" s="3">
        <v>0</v>
      </c>
      <c r="BH55" s="3">
        <v>0</v>
      </c>
      <c r="BI55" s="3">
        <v>0</v>
      </c>
      <c r="BJ55" s="3">
        <v>0</v>
      </c>
      <c r="BK55" s="3">
        <v>0</v>
      </c>
      <c r="BL55" s="3">
        <v>0</v>
      </c>
      <c r="BM55" s="3">
        <v>0</v>
      </c>
      <c r="BN55" s="3">
        <v>0</v>
      </c>
      <c r="BO55" s="203">
        <v>0</v>
      </c>
      <c r="BP55" s="203">
        <v>0</v>
      </c>
      <c r="BQ55" s="203">
        <v>0</v>
      </c>
      <c r="BR55" s="203">
        <v>0</v>
      </c>
    </row>
    <row r="56" x14ac:dyDescent="0.15">
      <c r="A56" t="s">
        <v>237</v>
      </c>
      <c r="B56" s="3">
        <v>0</v>
      </c>
      <c r="C56" s="3">
        <v>0</v>
      </c>
      <c r="D56" s="3">
        <v>0</v>
      </c>
      <c r="E56" s="3">
        <v>0</v>
      </c>
      <c r="F56" s="3">
        <v>2.7370478983382206E-2</v>
      </c>
      <c r="G56" s="3">
        <v>1.3251783893985727E-2</v>
      </c>
      <c r="H56" s="3">
        <v>0</v>
      </c>
      <c r="I56" s="3">
        <v>0.114</v>
      </c>
      <c r="J56" s="3">
        <v>9.590409590409589E-2</v>
      </c>
      <c r="K56" s="3">
        <v>6.1938061938061929E-2</v>
      </c>
      <c r="L56" s="3">
        <v>0.36199999999999999</v>
      </c>
      <c r="M56" s="3">
        <v>5.4726368159203988E-2</v>
      </c>
      <c r="N56" s="3">
        <v>0.2237762237762238</v>
      </c>
      <c r="O56" s="3">
        <v>9.4094094094094111E-2</v>
      </c>
      <c r="P56" s="3">
        <v>1.9881502439656331E-2</v>
      </c>
      <c r="Q56" s="3">
        <v>1.3972055888223553E-2</v>
      </c>
      <c r="R56" s="3">
        <v>4.004004004004004E-3</v>
      </c>
      <c r="S56" s="3">
        <v>2.002002002002002E-2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7.8579657382707516E-3</v>
      </c>
      <c r="Z56" s="3">
        <v>1.570166830296962E-2</v>
      </c>
      <c r="AA56" s="3">
        <v>0</v>
      </c>
      <c r="AB56" s="3">
        <v>6.2E-2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1.5984015984015987E-2</v>
      </c>
      <c r="AJ56" s="3">
        <v>9.9900099900099935E-3</v>
      </c>
      <c r="AK56" s="3">
        <v>4.2000000000000003E-2</v>
      </c>
      <c r="AL56" s="212">
        <v>5.8951048951048898E-2</v>
      </c>
      <c r="AM56" s="3">
        <v>0</v>
      </c>
      <c r="AN56" s="3">
        <v>0</v>
      </c>
      <c r="AO56" s="3">
        <v>0</v>
      </c>
      <c r="AP56" s="3">
        <v>0</v>
      </c>
      <c r="AQ56" s="3">
        <v>2.7972027972027969E-2</v>
      </c>
      <c r="AR56" s="3">
        <v>4.8951048951048945E-2</v>
      </c>
      <c r="AS56" s="3">
        <v>7.9760717846460629E-3</v>
      </c>
      <c r="AT56" s="3">
        <v>5.0999999999999997E-2</v>
      </c>
      <c r="AU56" s="3">
        <v>0</v>
      </c>
      <c r="AV56" s="3">
        <v>4.9999999999999989E-2</v>
      </c>
      <c r="AW56" s="3">
        <v>0</v>
      </c>
      <c r="AX56" s="3">
        <v>0</v>
      </c>
      <c r="AY56" s="3">
        <v>0</v>
      </c>
      <c r="AZ56" s="3">
        <v>0</v>
      </c>
      <c r="BA56" s="3">
        <v>0</v>
      </c>
      <c r="BB56" s="3">
        <v>0</v>
      </c>
      <c r="BC56" s="3">
        <v>0</v>
      </c>
      <c r="BD56" s="3">
        <v>9.9900099900099922E-4</v>
      </c>
      <c r="BE56" s="3">
        <v>0</v>
      </c>
      <c r="BF56" s="3">
        <v>0</v>
      </c>
      <c r="BG56" s="3">
        <v>0</v>
      </c>
      <c r="BH56" s="3">
        <v>0</v>
      </c>
      <c r="BI56" s="3">
        <v>0</v>
      </c>
      <c r="BJ56" s="3">
        <v>0</v>
      </c>
      <c r="BK56" s="3">
        <v>0</v>
      </c>
      <c r="BL56" s="3">
        <v>0</v>
      </c>
      <c r="BM56" s="3">
        <v>0</v>
      </c>
      <c r="BN56" s="3">
        <v>0</v>
      </c>
      <c r="BO56" s="203">
        <v>0</v>
      </c>
      <c r="BP56" s="203">
        <v>0</v>
      </c>
      <c r="BQ56" s="203">
        <v>0</v>
      </c>
      <c r="BR56" s="203">
        <v>0</v>
      </c>
    </row>
    <row r="57" x14ac:dyDescent="0.15">
      <c r="A57" t="s">
        <v>238</v>
      </c>
      <c r="B57" s="3">
        <v>0</v>
      </c>
      <c r="C57" s="3">
        <v>0</v>
      </c>
      <c r="D57" s="3">
        <v>0</v>
      </c>
      <c r="E57" s="3">
        <v>0</v>
      </c>
      <c r="F57" s="3">
        <v>6.8426197458455514E-3</v>
      </c>
      <c r="G57" s="3">
        <v>1.0193679918450559E-2</v>
      </c>
      <c r="H57" s="3">
        <v>0</v>
      </c>
      <c r="I57" s="3">
        <v>1.9E-2</v>
      </c>
      <c r="J57" s="3">
        <v>0</v>
      </c>
      <c r="K57" s="3">
        <v>0</v>
      </c>
      <c r="L57" s="3">
        <v>0</v>
      </c>
      <c r="M57" s="3">
        <v>1.9900497512437814E-3</v>
      </c>
      <c r="N57" s="3">
        <v>1.2987012987012988E-2</v>
      </c>
      <c r="O57" s="3">
        <v>4.7047047047047055E-2</v>
      </c>
      <c r="P57" s="3">
        <v>0</v>
      </c>
      <c r="Q57" s="3">
        <v>9.9800399201596798E-4</v>
      </c>
      <c r="R57" s="3">
        <v>0</v>
      </c>
      <c r="S57" s="3">
        <v>4.9049049049049047E-2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204">
        <v>5.6732090287620898E-2</v>
      </c>
      <c r="AA57" s="3">
        <v>5.9651371149418613E-3</v>
      </c>
      <c r="AB57" s="3">
        <v>1E-3</v>
      </c>
      <c r="AC57" s="3">
        <v>0</v>
      </c>
      <c r="AD57" s="3">
        <v>0</v>
      </c>
      <c r="AE57" s="3">
        <v>0</v>
      </c>
      <c r="AF57" s="3">
        <v>0</v>
      </c>
      <c r="AG57" s="3">
        <v>3.4000000000000002E-2</v>
      </c>
      <c r="AH57" s="3">
        <v>0</v>
      </c>
      <c r="AI57" s="3">
        <v>0</v>
      </c>
      <c r="AJ57" s="3">
        <v>0</v>
      </c>
      <c r="AK57" s="3">
        <v>1.4E-2</v>
      </c>
      <c r="AL57" s="204">
        <v>0.111878121878122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">
        <v>0</v>
      </c>
      <c r="BC57" s="3">
        <v>0</v>
      </c>
      <c r="BD57" s="3">
        <v>1.998001998001998E-2</v>
      </c>
      <c r="BE57" s="3">
        <v>0</v>
      </c>
      <c r="BF57" s="3">
        <v>0</v>
      </c>
      <c r="BG57" s="3">
        <v>0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203">
        <v>0</v>
      </c>
      <c r="BP57" s="203">
        <v>0</v>
      </c>
      <c r="BQ57" s="203">
        <v>0</v>
      </c>
      <c r="BR57" s="203">
        <v>0</v>
      </c>
    </row>
    <row r="58" x14ac:dyDescent="0.15">
      <c r="A58" t="s">
        <v>239</v>
      </c>
      <c r="B58" s="3">
        <v>0</v>
      </c>
      <c r="C58" s="3">
        <v>0</v>
      </c>
      <c r="D58" s="3">
        <v>0</v>
      </c>
      <c r="E58" s="3">
        <v>0</v>
      </c>
      <c r="F58" s="3">
        <v>0.32355816226783962</v>
      </c>
      <c r="G58" s="3">
        <v>9.1743119266055034E-3</v>
      </c>
      <c r="H58" s="3">
        <v>7.0000000000000019E-3</v>
      </c>
      <c r="I58" s="3">
        <v>0.30299999999999999</v>
      </c>
      <c r="J58" s="3">
        <v>6.5934065934065936E-2</v>
      </c>
      <c r="K58" s="3">
        <v>4.4955044955044952E-2</v>
      </c>
      <c r="L58" s="3">
        <v>0.19500000000000001</v>
      </c>
      <c r="M58" s="3">
        <v>1.7910447761194031E-2</v>
      </c>
      <c r="N58" s="3">
        <v>7.5924075924075934E-2</v>
      </c>
      <c r="O58" s="3">
        <v>6.6066066066066076E-2</v>
      </c>
      <c r="P58" s="3">
        <v>9.9407512198281658E-2</v>
      </c>
      <c r="Q58" s="3">
        <v>2.0958083832335331E-2</v>
      </c>
      <c r="R58" s="3">
        <v>0.11311311311311312</v>
      </c>
      <c r="S58" s="3">
        <v>0.19719719719719719</v>
      </c>
      <c r="T58" s="3">
        <v>0</v>
      </c>
      <c r="U58" s="3">
        <v>0</v>
      </c>
      <c r="V58" s="3">
        <v>9.9219886055748065E-4</v>
      </c>
      <c r="W58" s="3">
        <v>4.8048048048048048E-2</v>
      </c>
      <c r="X58" s="3">
        <v>0</v>
      </c>
      <c r="Y58" s="3">
        <v>0</v>
      </c>
      <c r="Z58" s="212">
        <v>0.10813542689356</v>
      </c>
      <c r="AA58" s="3">
        <v>8.9477056724127924E-3</v>
      </c>
      <c r="AB58" s="3">
        <v>8.9999999999999993E-3</v>
      </c>
      <c r="AC58" s="3">
        <v>0</v>
      </c>
      <c r="AD58" s="3">
        <v>0</v>
      </c>
      <c r="AE58" s="3">
        <v>0</v>
      </c>
      <c r="AF58" s="3">
        <v>5.0000000000000001E-3</v>
      </c>
      <c r="AG58" s="3">
        <v>0</v>
      </c>
      <c r="AH58" s="3">
        <v>9.99000999000999E-4</v>
      </c>
      <c r="AI58" s="3">
        <v>0.10289710289710291</v>
      </c>
      <c r="AJ58" s="3">
        <v>0.25774225774225784</v>
      </c>
      <c r="AK58" s="3">
        <v>0.21</v>
      </c>
      <c r="AL58">
        <v>0.22377622377622375</v>
      </c>
      <c r="AM58" s="3">
        <v>1.2999999999999999E-2</v>
      </c>
      <c r="AN58" s="3">
        <v>4.1000000000000002E-2</v>
      </c>
      <c r="AO58" s="3">
        <v>0.24724724724724725</v>
      </c>
      <c r="AP58" s="3">
        <v>5.9880239520958084E-2</v>
      </c>
      <c r="AQ58" s="3">
        <v>2.9970029970029966E-3</v>
      </c>
      <c r="AR58" s="3">
        <v>1.998001998001998E-3</v>
      </c>
      <c r="AS58" s="3">
        <v>9.2721834496510475E-2</v>
      </c>
      <c r="AT58" s="3">
        <v>0.78300000000000003</v>
      </c>
      <c r="AU58" s="3">
        <v>1.2935544057107777E-2</v>
      </c>
      <c r="AV58" s="3">
        <v>0.13399999999999998</v>
      </c>
      <c r="AW58" s="3">
        <v>2.7E-2</v>
      </c>
      <c r="AX58" s="3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>
        <v>0.28671328671328672</v>
      </c>
      <c r="BE58" s="3">
        <v>0</v>
      </c>
      <c r="BF58" s="3">
        <v>0.05</v>
      </c>
      <c r="BG58" s="3">
        <v>0</v>
      </c>
      <c r="BH58" s="3">
        <v>0</v>
      </c>
      <c r="BI58" s="3">
        <v>0</v>
      </c>
      <c r="BJ58" s="3">
        <v>0</v>
      </c>
      <c r="BK58" s="3">
        <v>0</v>
      </c>
      <c r="BL58" s="3">
        <v>0</v>
      </c>
      <c r="BM58" s="3">
        <v>0</v>
      </c>
      <c r="BN58" s="3">
        <v>0</v>
      </c>
      <c r="BO58" s="203">
        <v>0</v>
      </c>
      <c r="BP58" s="203">
        <v>0</v>
      </c>
      <c r="BQ58" s="203">
        <v>0</v>
      </c>
      <c r="BR58" s="203">
        <v>0</v>
      </c>
    </row>
    <row r="59" x14ac:dyDescent="0.15">
      <c r="A59" t="s">
        <v>240</v>
      </c>
      <c r="B59" s="3">
        <v>0</v>
      </c>
      <c r="C59" s="3">
        <v>0</v>
      </c>
      <c r="D59" s="3">
        <v>0</v>
      </c>
      <c r="E59" s="3">
        <v>0</v>
      </c>
      <c r="F59" s="3">
        <v>5.7673509286412496E-2</v>
      </c>
      <c r="G59" s="3">
        <v>8.1549439347604474E-3</v>
      </c>
      <c r="H59" s="3">
        <v>0</v>
      </c>
      <c r="I59" s="3">
        <v>0.182</v>
      </c>
      <c r="J59" s="3">
        <v>2.9970029970029966E-3</v>
      </c>
      <c r="K59" s="3">
        <v>1.998001998001998E-3</v>
      </c>
      <c r="L59" s="3">
        <v>2E-3</v>
      </c>
      <c r="M59" s="3">
        <v>9.950248756218907E-4</v>
      </c>
      <c r="N59" s="3">
        <v>6.6933066933066943E-2</v>
      </c>
      <c r="O59" s="3">
        <v>2.4024024024024027E-2</v>
      </c>
      <c r="P59" s="3">
        <v>7.9526009758625324E-2</v>
      </c>
      <c r="Q59" s="3">
        <v>3.4930139720558882E-2</v>
      </c>
      <c r="R59" s="3">
        <v>0.25125125125125125</v>
      </c>
      <c r="S59" s="3">
        <v>0.14714714714714713</v>
      </c>
      <c r="T59" s="3">
        <v>7.0070070070070069E-3</v>
      </c>
      <c r="U59" s="3">
        <v>0</v>
      </c>
      <c r="V59" s="3">
        <v>0</v>
      </c>
      <c r="W59" s="3">
        <v>0</v>
      </c>
      <c r="X59" s="3">
        <v>0.19080919080919082</v>
      </c>
      <c r="Y59" s="3">
        <v>0</v>
      </c>
      <c r="Z59" s="3">
        <v>0.16683022571905223</v>
      </c>
      <c r="AA59" s="3">
        <v>0</v>
      </c>
      <c r="AB59" s="3">
        <v>3.0000000000000001E-3</v>
      </c>
      <c r="AC59" s="3">
        <v>0</v>
      </c>
      <c r="AD59" s="3">
        <v>0</v>
      </c>
      <c r="AE59" s="3">
        <v>0</v>
      </c>
      <c r="AF59" s="3">
        <v>0</v>
      </c>
      <c r="AG59" s="3">
        <v>1.4E-2</v>
      </c>
      <c r="AH59" s="3">
        <v>5.9940059940059931E-3</v>
      </c>
      <c r="AI59" s="3">
        <v>0.17082917082917085</v>
      </c>
      <c r="AJ59" s="3">
        <v>0.2397602397602398</v>
      </c>
      <c r="AK59" s="3">
        <v>0.27100000000000002</v>
      </c>
      <c r="AL59" s="212">
        <v>7.5929070929070905E-2</v>
      </c>
      <c r="AM59" s="3">
        <v>0.115</v>
      </c>
      <c r="AN59" s="3">
        <v>9.9000000000000005E-2</v>
      </c>
      <c r="AO59" s="3">
        <v>3.5035035035035043E-2</v>
      </c>
      <c r="AP59" s="3">
        <v>4.9900199600798403E-2</v>
      </c>
      <c r="AQ59" s="3">
        <v>0</v>
      </c>
      <c r="AR59" s="3">
        <v>0</v>
      </c>
      <c r="AS59" s="3">
        <v>0.1375872382851446</v>
      </c>
      <c r="AT59" s="3">
        <v>0.113</v>
      </c>
      <c r="AU59" s="3">
        <v>2.5871088114215554E-2</v>
      </c>
      <c r="AV59" s="3">
        <v>5.9999999999999984E-2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>
        <v>0.29270729270729273</v>
      </c>
      <c r="BE59" s="3">
        <v>0.25</v>
      </c>
      <c r="BF59" s="3">
        <v>0.2</v>
      </c>
      <c r="BG59" s="3">
        <v>0</v>
      </c>
      <c r="BH59" s="3">
        <v>0</v>
      </c>
      <c r="BI59" s="3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203">
        <v>0</v>
      </c>
      <c r="BP59" s="203">
        <v>0</v>
      </c>
      <c r="BQ59" s="203">
        <v>0</v>
      </c>
      <c r="BR59" s="203">
        <v>0</v>
      </c>
    </row>
    <row r="60" x14ac:dyDescent="0.15">
      <c r="A60" t="s">
        <v>241</v>
      </c>
      <c r="B60" s="3">
        <v>0</v>
      </c>
      <c r="C60" s="3">
        <v>0</v>
      </c>
      <c r="D60" s="3">
        <v>0</v>
      </c>
      <c r="E60" s="3">
        <v>0</v>
      </c>
      <c r="F60" s="3">
        <v>7.5268817204301064E-2</v>
      </c>
      <c r="G60" s="3">
        <v>1.9367991845056061E-2</v>
      </c>
      <c r="H60" s="3">
        <v>0</v>
      </c>
      <c r="I60" s="3">
        <v>3.6999999999999998E-2</v>
      </c>
      <c r="J60" s="3">
        <v>5.2947052947052937E-2</v>
      </c>
      <c r="K60" s="3">
        <v>9.99000999000999E-3</v>
      </c>
      <c r="L60" s="3">
        <v>0.11</v>
      </c>
      <c r="M60" s="3">
        <v>8.3582089552238822E-2</v>
      </c>
      <c r="N60" s="3">
        <v>5.0949050949050952E-2</v>
      </c>
      <c r="O60" s="3">
        <v>8.0080080080080097E-3</v>
      </c>
      <c r="P60" s="3">
        <v>2.9822253659484495E-2</v>
      </c>
      <c r="Q60" s="3">
        <v>2.4950099800399202E-2</v>
      </c>
      <c r="R60" s="3">
        <v>4.004004004004004E-2</v>
      </c>
      <c r="S60" s="3">
        <v>9.0090090090090072E-3</v>
      </c>
      <c r="T60" s="3">
        <v>5.0050050050050058E-3</v>
      </c>
      <c r="U60" s="3">
        <v>1.0000000000000002E-3</v>
      </c>
      <c r="V60" s="3">
        <v>0</v>
      </c>
      <c r="W60" s="3">
        <v>0.10110110110110111</v>
      </c>
      <c r="X60" s="3">
        <v>0</v>
      </c>
      <c r="Y60" s="3">
        <v>3.044961723579916E-2</v>
      </c>
      <c r="Z60" s="3">
        <v>9.8135426893560126E-4</v>
      </c>
      <c r="AA60" s="3">
        <v>0</v>
      </c>
      <c r="AB60" s="3">
        <v>2.7E-2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0</v>
      </c>
      <c r="AI60" s="3">
        <v>1.4985014985014986E-2</v>
      </c>
      <c r="AJ60" s="3">
        <v>9.9900099900099943E-4</v>
      </c>
      <c r="AK60" s="3">
        <v>0.04</v>
      </c>
      <c r="AL60" s="212">
        <v>1.1993006993006899E-2</v>
      </c>
      <c r="AM60" s="3">
        <v>0</v>
      </c>
      <c r="AN60" s="3">
        <v>0</v>
      </c>
      <c r="AO60" s="3">
        <v>0</v>
      </c>
      <c r="AP60" s="3">
        <v>4.3912175648702589E-2</v>
      </c>
      <c r="AQ60" s="3">
        <v>2.097902097902098E-2</v>
      </c>
      <c r="AR60" s="3">
        <v>9.99000999000999E-4</v>
      </c>
      <c r="AS60" s="3">
        <v>8.0757726819541381E-2</v>
      </c>
      <c r="AT60" s="3">
        <v>3.6999999999999998E-2</v>
      </c>
      <c r="AU60" s="3">
        <v>6.1692594733898633E-2</v>
      </c>
      <c r="AV60" s="3">
        <v>1.9999999999999997E-2</v>
      </c>
      <c r="AW60" s="3">
        <v>1.4E-2</v>
      </c>
      <c r="AX60" s="3">
        <v>1.9960079840319361E-2</v>
      </c>
      <c r="AY60" s="3">
        <v>0</v>
      </c>
      <c r="AZ60" s="3">
        <v>0</v>
      </c>
      <c r="BA60" s="3">
        <v>0</v>
      </c>
      <c r="BB60" s="3">
        <v>0</v>
      </c>
      <c r="BC60" s="3">
        <v>6.393606393606395E-2</v>
      </c>
      <c r="BD60" s="3">
        <v>9.9900099900099922E-4</v>
      </c>
      <c r="BE60" s="3">
        <v>0</v>
      </c>
      <c r="BF60" s="3">
        <v>0</v>
      </c>
      <c r="BG60" s="3">
        <v>0</v>
      </c>
      <c r="BH60" s="3">
        <v>0.01</v>
      </c>
      <c r="BI60" s="3">
        <v>0</v>
      </c>
      <c r="BJ60" s="3">
        <v>0</v>
      </c>
      <c r="BK60" s="3">
        <v>0</v>
      </c>
      <c r="BL60" s="3">
        <v>0</v>
      </c>
      <c r="BM60" s="3">
        <v>0</v>
      </c>
      <c r="BN60" s="3">
        <v>0</v>
      </c>
      <c r="BO60" s="203">
        <v>0</v>
      </c>
      <c r="BP60" s="203">
        <v>0</v>
      </c>
      <c r="BQ60" s="203">
        <v>0</v>
      </c>
      <c r="BR60" s="203">
        <v>0</v>
      </c>
    </row>
    <row r="61" x14ac:dyDescent="0.15">
      <c r="A61" t="s">
        <v>242</v>
      </c>
      <c r="B61" s="3">
        <v>0</v>
      </c>
      <c r="C61" s="3">
        <v>0</v>
      </c>
      <c r="D61" s="3">
        <v>0</v>
      </c>
      <c r="E61" s="3">
        <v>0</v>
      </c>
      <c r="F61" s="3">
        <v>6.647116324535679E-2</v>
      </c>
      <c r="G61" s="3">
        <v>0</v>
      </c>
      <c r="H61" s="3">
        <v>0</v>
      </c>
      <c r="I61" s="3">
        <v>4.1000000000000002E-2</v>
      </c>
      <c r="J61" s="3">
        <v>0.23876123876123873</v>
      </c>
      <c r="K61" s="3">
        <v>7.792207792207792E-2</v>
      </c>
      <c r="L61" s="3">
        <v>9.0999999999999998E-2</v>
      </c>
      <c r="M61" s="3">
        <v>7.3631840796019907E-2</v>
      </c>
      <c r="N61" s="3">
        <v>2.297702297702298E-2</v>
      </c>
      <c r="O61" s="3">
        <v>1.0010010010010012E-3</v>
      </c>
      <c r="P61" s="3">
        <v>2.0875577561639148E-2</v>
      </c>
      <c r="Q61" s="3">
        <v>2.9940119760479044E-3</v>
      </c>
      <c r="R61" s="3">
        <v>4.1041041041041046E-2</v>
      </c>
      <c r="S61" s="3">
        <v>9.0090090090090072E-3</v>
      </c>
      <c r="T61" s="3">
        <v>1.4014014014014014E-2</v>
      </c>
      <c r="U61" s="3">
        <v>6.000000000000001E-3</v>
      </c>
      <c r="V61" s="3">
        <v>0</v>
      </c>
      <c r="W61" s="3">
        <v>0</v>
      </c>
      <c r="X61" s="3">
        <v>4.7952047952047952E-2</v>
      </c>
      <c r="Y61" s="3">
        <v>5.8934743037030628E-3</v>
      </c>
      <c r="Z61" s="204">
        <v>1.7477919530196801E-2</v>
      </c>
      <c r="AA61" s="3">
        <v>0</v>
      </c>
      <c r="AB61" s="3">
        <v>0.128</v>
      </c>
      <c r="AC61" s="3">
        <v>4.8000000000000001E-2</v>
      </c>
      <c r="AD61" s="3">
        <v>1.998001998001998E-2</v>
      </c>
      <c r="AE61" s="3">
        <v>0</v>
      </c>
      <c r="AF61" s="3">
        <v>3.2000000000000001E-2</v>
      </c>
      <c r="AG61" s="3">
        <v>0</v>
      </c>
      <c r="AH61" s="3">
        <v>1.4985014985014982E-2</v>
      </c>
      <c r="AI61" s="3">
        <v>0.19280719280719286</v>
      </c>
      <c r="AJ61" s="3">
        <v>0.32867132867132876</v>
      </c>
      <c r="AK61" s="3">
        <v>3.0000000000000001E-3</v>
      </c>
      <c r="AL61" s="204">
        <v>0.14284715284715299</v>
      </c>
      <c r="AM61" s="3">
        <v>0</v>
      </c>
      <c r="AN61" s="3">
        <v>0</v>
      </c>
      <c r="AO61" s="3">
        <v>0</v>
      </c>
      <c r="AP61" s="3">
        <v>0</v>
      </c>
      <c r="AQ61" s="3">
        <v>9.99000999000999E-4</v>
      </c>
      <c r="AR61" s="3">
        <v>0</v>
      </c>
      <c r="AS61" s="3">
        <v>0.22033898305084745</v>
      </c>
      <c r="AT61" s="3">
        <v>0</v>
      </c>
      <c r="AU61" s="3">
        <v>3.9801674021870091E-3</v>
      </c>
      <c r="AV61" s="3">
        <v>0.13099999999999998</v>
      </c>
      <c r="AW61" s="3">
        <v>1.2E-2</v>
      </c>
      <c r="AX61" s="3">
        <v>0.15668662674650699</v>
      </c>
      <c r="AY61" s="3">
        <v>0</v>
      </c>
      <c r="AZ61" s="3">
        <v>0</v>
      </c>
      <c r="BA61" s="3">
        <v>0.10289710289710291</v>
      </c>
      <c r="BB61" s="3">
        <v>0</v>
      </c>
      <c r="BC61" s="3">
        <v>0.10289710289710291</v>
      </c>
      <c r="BD61" s="3">
        <v>1.998001998001998E-2</v>
      </c>
      <c r="BE61" s="3">
        <v>0.15</v>
      </c>
      <c r="BF61" s="3">
        <v>0.05</v>
      </c>
      <c r="BG61" s="204">
        <v>0.04</v>
      </c>
      <c r="BH61" s="3">
        <v>0.05</v>
      </c>
      <c r="BI61" s="3">
        <v>0.1</v>
      </c>
      <c r="BJ61" s="3">
        <v>0</v>
      </c>
      <c r="BK61" s="3">
        <v>0</v>
      </c>
      <c r="BL61" s="3">
        <v>0</v>
      </c>
      <c r="BM61" s="3">
        <v>0</v>
      </c>
      <c r="BN61" s="3">
        <v>0</v>
      </c>
      <c r="BO61" s="203">
        <v>0</v>
      </c>
      <c r="BP61" s="203">
        <v>0</v>
      </c>
      <c r="BQ61" s="203">
        <v>0</v>
      </c>
      <c r="BR61" s="203">
        <v>0</v>
      </c>
    </row>
    <row r="62" x14ac:dyDescent="0.15">
      <c r="A62" t="s">
        <v>243</v>
      </c>
      <c r="B62" s="3">
        <v>0</v>
      </c>
      <c r="C62" s="3">
        <v>0</v>
      </c>
      <c r="D62" s="3">
        <v>0</v>
      </c>
      <c r="E62" s="3">
        <v>0</v>
      </c>
      <c r="F62" s="3">
        <v>0.11730205278592373</v>
      </c>
      <c r="G62" s="3">
        <v>2.0387359836901119E-3</v>
      </c>
      <c r="H62" s="3">
        <v>0</v>
      </c>
      <c r="I62" s="3">
        <v>7.4999999999999997E-2</v>
      </c>
      <c r="J62" s="3">
        <v>0.10189810189810188</v>
      </c>
      <c r="K62" s="3">
        <v>3.0969030969030965E-2</v>
      </c>
      <c r="L62" s="3">
        <v>1.2E-2</v>
      </c>
      <c r="M62" s="3">
        <v>4.4776119402985079E-2</v>
      </c>
      <c r="N62" s="3">
        <v>2.297702297702298E-2</v>
      </c>
      <c r="O62" s="3">
        <v>1.0010010010010012E-3</v>
      </c>
      <c r="P62" s="3">
        <v>3.2804479025432945E-2</v>
      </c>
      <c r="Q62" s="3">
        <v>1.1976047904191617E-2</v>
      </c>
      <c r="R62" s="3">
        <v>0.21921921921921922</v>
      </c>
      <c r="S62" s="3">
        <v>8.3083083083083084E-2</v>
      </c>
      <c r="T62" s="3">
        <v>1.0010010010010012E-3</v>
      </c>
      <c r="U62" s="3">
        <v>0</v>
      </c>
      <c r="V62" s="3">
        <v>0</v>
      </c>
      <c r="W62" s="3">
        <v>0</v>
      </c>
      <c r="X62" s="3">
        <v>0</v>
      </c>
      <c r="Y62" s="3">
        <v>8.8402114555545946E-3</v>
      </c>
      <c r="Z62" s="212">
        <v>0.17584887145011699</v>
      </c>
      <c r="AA62" s="3">
        <v>0</v>
      </c>
      <c r="AB62" s="3">
        <v>0</v>
      </c>
      <c r="AC62" s="3">
        <v>0</v>
      </c>
      <c r="AD62" s="3">
        <v>0</v>
      </c>
      <c r="AE62" s="3">
        <v>0</v>
      </c>
      <c r="AF62" s="3">
        <v>0.11899999999999999</v>
      </c>
      <c r="AG62" s="3">
        <v>0</v>
      </c>
      <c r="AH62" s="3">
        <v>0.18681318681318679</v>
      </c>
      <c r="AI62" s="3">
        <v>0.46853146853146854</v>
      </c>
      <c r="AJ62" s="3">
        <v>0.13786213786213791</v>
      </c>
      <c r="AK62" s="3">
        <v>0.28199999999999997</v>
      </c>
      <c r="AL62" s="3">
        <v>0</v>
      </c>
      <c r="AM62" s="3">
        <v>0.42299999999999999</v>
      </c>
      <c r="AN62" s="3">
        <v>0.65800000000000003</v>
      </c>
      <c r="AO62" s="3">
        <v>0.68568568568568578</v>
      </c>
      <c r="AP62" s="3">
        <v>0</v>
      </c>
      <c r="AQ62" s="3">
        <v>0</v>
      </c>
      <c r="AR62" s="3">
        <v>0</v>
      </c>
      <c r="AS62" s="3">
        <v>0.43768693918245266</v>
      </c>
      <c r="AT62" s="3">
        <v>1E-3</v>
      </c>
      <c r="AU62" s="3">
        <v>2.0895878861481799E-2</v>
      </c>
      <c r="AV62" s="3">
        <v>3.8999999999999993E-2</v>
      </c>
      <c r="AW62" s="3">
        <v>1.0999999999999999E-2</v>
      </c>
      <c r="AX62" s="3">
        <v>2.0958083832335331E-2</v>
      </c>
      <c r="AY62" s="3">
        <v>0</v>
      </c>
      <c r="AZ62" s="3">
        <v>0</v>
      </c>
      <c r="BA62" s="3">
        <v>0</v>
      </c>
      <c r="BB62" s="3">
        <v>0</v>
      </c>
      <c r="BC62" s="3">
        <v>0</v>
      </c>
      <c r="BD62" s="3">
        <v>0.10389610389610389</v>
      </c>
      <c r="BE62" s="3">
        <v>0.2</v>
      </c>
      <c r="BF62" s="3">
        <v>0.25</v>
      </c>
      <c r="BG62" s="213">
        <v>0.11</v>
      </c>
      <c r="BH62" s="3">
        <v>0.1</v>
      </c>
      <c r="BI62" s="3">
        <v>0</v>
      </c>
      <c r="BJ62" s="3">
        <v>0.05</v>
      </c>
      <c r="BK62" s="3">
        <v>0</v>
      </c>
      <c r="BL62" s="3">
        <v>0</v>
      </c>
      <c r="BM62" s="3">
        <v>0</v>
      </c>
      <c r="BN62" s="3">
        <v>0</v>
      </c>
      <c r="BO62" s="203">
        <v>0</v>
      </c>
      <c r="BP62" s="203">
        <v>0</v>
      </c>
      <c r="BQ62" s="203">
        <v>0</v>
      </c>
      <c r="BR62" s="203">
        <v>0</v>
      </c>
    </row>
    <row r="63" x14ac:dyDescent="0.15">
      <c r="A63" t="s">
        <v>244</v>
      </c>
      <c r="B63" s="3">
        <v>0</v>
      </c>
      <c r="C63" s="3">
        <v>0</v>
      </c>
      <c r="D63" s="3">
        <v>0</v>
      </c>
      <c r="E63" s="3">
        <v>0</v>
      </c>
      <c r="F63" s="3">
        <v>8.7976539589442806E-3</v>
      </c>
      <c r="G63" s="3">
        <v>0</v>
      </c>
      <c r="H63" s="3">
        <v>0</v>
      </c>
      <c r="I63" s="3">
        <v>8.9999999999999993E-3</v>
      </c>
      <c r="J63" s="3">
        <v>0</v>
      </c>
      <c r="K63" s="3">
        <v>0</v>
      </c>
      <c r="L63" s="3">
        <v>0</v>
      </c>
      <c r="M63" s="3">
        <v>0</v>
      </c>
      <c r="N63" s="3">
        <v>9.9900099900099922E-4</v>
      </c>
      <c r="O63" s="3">
        <v>0</v>
      </c>
      <c r="P63" s="3">
        <v>0</v>
      </c>
      <c r="Q63" s="3">
        <v>0</v>
      </c>
      <c r="R63" s="3">
        <v>5.005005005005005E-3</v>
      </c>
      <c r="S63" s="3">
        <v>7.0070070070070061E-3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  <c r="AC63" s="3">
        <v>0</v>
      </c>
      <c r="AD63" s="3">
        <v>0</v>
      </c>
      <c r="AE63" s="3">
        <v>0</v>
      </c>
      <c r="AF63" s="3">
        <v>3.0000000000000001E-3</v>
      </c>
      <c r="AG63" s="3">
        <v>0</v>
      </c>
      <c r="AH63" s="3">
        <v>0</v>
      </c>
      <c r="AI63" s="3">
        <v>1.3986013986013988E-2</v>
      </c>
      <c r="AJ63" s="3">
        <v>1.0989010989010992E-2</v>
      </c>
      <c r="AK63" s="3">
        <v>0</v>
      </c>
      <c r="AL63" s="3">
        <v>4.8951048951048945E-2</v>
      </c>
      <c r="AM63" s="3">
        <v>0</v>
      </c>
      <c r="AN63" s="3">
        <v>0.19500000000000001</v>
      </c>
      <c r="AO63" s="3">
        <v>2.4024024024024024E-2</v>
      </c>
      <c r="AP63" s="3">
        <v>0</v>
      </c>
      <c r="AQ63" s="3">
        <v>0</v>
      </c>
      <c r="AR63" s="3">
        <v>0</v>
      </c>
      <c r="AS63" s="3">
        <v>0</v>
      </c>
      <c r="AT63" s="3">
        <v>0</v>
      </c>
      <c r="AU63" s="3">
        <v>4.9752092527337614E-3</v>
      </c>
      <c r="AV63" s="3">
        <v>0</v>
      </c>
      <c r="AW63" s="3">
        <v>0</v>
      </c>
      <c r="AX63" s="3">
        <v>0</v>
      </c>
      <c r="AY63" s="3">
        <v>0</v>
      </c>
      <c r="AZ63" s="3">
        <v>0</v>
      </c>
      <c r="BA63" s="3">
        <v>0</v>
      </c>
      <c r="BB63" s="3">
        <v>0</v>
      </c>
      <c r="BC63" s="3">
        <v>0</v>
      </c>
      <c r="BD63" s="3">
        <v>4.8951048951048952E-2</v>
      </c>
      <c r="BE63" s="3">
        <v>0.1</v>
      </c>
      <c r="BF63" s="3">
        <v>0</v>
      </c>
      <c r="BG63" s="3">
        <v>0</v>
      </c>
      <c r="BH63" s="3">
        <v>0</v>
      </c>
      <c r="BI63" s="3">
        <v>0</v>
      </c>
      <c r="BJ63" s="3">
        <v>0</v>
      </c>
      <c r="BK63" s="3">
        <v>0</v>
      </c>
      <c r="BL63" s="3">
        <v>0</v>
      </c>
      <c r="BM63" s="3">
        <v>0</v>
      </c>
      <c r="BN63" s="3">
        <v>0</v>
      </c>
      <c r="BO63" s="203">
        <v>0</v>
      </c>
      <c r="BP63" s="203">
        <v>0</v>
      </c>
      <c r="BQ63" s="203">
        <v>0</v>
      </c>
      <c r="BR63" s="203">
        <v>0</v>
      </c>
    </row>
    <row r="64" x14ac:dyDescent="0.15">
      <c r="A64" t="s">
        <v>245</v>
      </c>
      <c r="B64" s="3">
        <v>0</v>
      </c>
      <c r="C64" s="3">
        <v>0</v>
      </c>
      <c r="D64" s="3">
        <v>0</v>
      </c>
      <c r="E64" s="3">
        <v>0</v>
      </c>
      <c r="F64" s="3">
        <v>9.775171065493644E-4</v>
      </c>
      <c r="G64" s="3">
        <v>0</v>
      </c>
      <c r="H64" s="3">
        <v>0</v>
      </c>
      <c r="I64" s="3">
        <v>0.01</v>
      </c>
      <c r="J64" s="3">
        <v>3.996003996003996E-3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3">
        <v>1.001001001001001E-3</v>
      </c>
      <c r="T64" s="3"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3">
        <v>0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4.7952047952047945E-2</v>
      </c>
      <c r="AI64" s="3">
        <v>2.9970029970029974E-3</v>
      </c>
      <c r="AJ64" s="3">
        <v>9.9900099900099943E-4</v>
      </c>
      <c r="AK64" s="3">
        <v>0</v>
      </c>
      <c r="AL64" s="3">
        <v>0</v>
      </c>
      <c r="AM64" s="3">
        <v>0.436</v>
      </c>
      <c r="AN64" s="3">
        <v>0</v>
      </c>
      <c r="AO64" s="3">
        <v>0</v>
      </c>
      <c r="AP64" s="3">
        <v>0</v>
      </c>
      <c r="AQ64" s="3">
        <v>0</v>
      </c>
      <c r="AR64" s="3">
        <v>0</v>
      </c>
      <c r="AS64" s="3">
        <v>1.794616151545364E-2</v>
      </c>
      <c r="AT64" s="3">
        <v>0</v>
      </c>
      <c r="AU64" s="3">
        <v>9.9504185054675228E-4</v>
      </c>
      <c r="AV64" s="3">
        <v>2.8999999999999995E-2</v>
      </c>
      <c r="AW64" s="3">
        <v>0</v>
      </c>
      <c r="AX64" s="3">
        <v>0</v>
      </c>
      <c r="AY64" s="3">
        <v>0</v>
      </c>
      <c r="AZ64" s="3">
        <v>0</v>
      </c>
      <c r="BA64" s="3">
        <v>0</v>
      </c>
      <c r="BB64" s="3">
        <v>0</v>
      </c>
      <c r="BC64" s="3">
        <v>0</v>
      </c>
      <c r="BD64" s="3">
        <v>0</v>
      </c>
      <c r="BE64" s="3">
        <v>0</v>
      </c>
      <c r="BF64" s="3">
        <v>0</v>
      </c>
      <c r="BG64" s="204">
        <v>4.4999999999999998E-2</v>
      </c>
      <c r="BH64" s="3">
        <v>0.1</v>
      </c>
      <c r="BI64" s="3">
        <v>0.15</v>
      </c>
      <c r="BJ64" s="204">
        <v>0.14000000000000001</v>
      </c>
      <c r="BK64" s="3">
        <v>0</v>
      </c>
      <c r="BL64" s="3">
        <v>0.05</v>
      </c>
      <c r="BM64" s="3">
        <v>0</v>
      </c>
      <c r="BN64" s="3">
        <v>0</v>
      </c>
      <c r="BO64" s="203">
        <v>0</v>
      </c>
      <c r="BP64" s="203">
        <v>0</v>
      </c>
      <c r="BQ64" s="203">
        <v>0</v>
      </c>
      <c r="BR64" s="203">
        <v>0</v>
      </c>
    </row>
    <row r="65" x14ac:dyDescent="0.15">
      <c r="A65" t="s">
        <v>246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0</v>
      </c>
      <c r="AI65" s="3">
        <v>0</v>
      </c>
      <c r="AJ65" s="3">
        <v>0</v>
      </c>
      <c r="AK65" s="3">
        <v>0</v>
      </c>
      <c r="AL65" s="3">
        <v>0</v>
      </c>
      <c r="AM65" s="3">
        <v>0</v>
      </c>
      <c r="AN65" s="3">
        <v>0</v>
      </c>
      <c r="AO65" s="3">
        <v>0</v>
      </c>
      <c r="AP65" s="3">
        <v>0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3">
        <v>0</v>
      </c>
      <c r="AW65" s="3">
        <v>0</v>
      </c>
      <c r="AX65" s="3">
        <v>0</v>
      </c>
      <c r="AY65" s="3">
        <v>0</v>
      </c>
      <c r="AZ65" s="3">
        <v>0</v>
      </c>
      <c r="BA65" s="3">
        <v>0</v>
      </c>
      <c r="BB65" s="3">
        <v>0</v>
      </c>
      <c r="BC65" s="3">
        <v>0</v>
      </c>
      <c r="BD65" s="3">
        <v>4.8951048951048952E-2</v>
      </c>
      <c r="BE65" s="3">
        <v>0.1</v>
      </c>
      <c r="BF65" s="3">
        <v>0.1</v>
      </c>
      <c r="BG65" s="3">
        <v>0.3</v>
      </c>
      <c r="BH65" s="3">
        <v>0.15</v>
      </c>
      <c r="BI65" s="3">
        <v>0.2</v>
      </c>
      <c r="BJ65" s="3">
        <v>0.4</v>
      </c>
      <c r="BK65" s="3">
        <v>0</v>
      </c>
      <c r="BL65" s="3">
        <v>0.75</v>
      </c>
      <c r="BM65" s="3">
        <v>0.1</v>
      </c>
      <c r="BN65" s="3">
        <v>0.02</v>
      </c>
      <c r="BO65" s="203">
        <v>0</v>
      </c>
      <c r="BP65" s="203">
        <v>0</v>
      </c>
      <c r="BQ65" s="203">
        <v>0</v>
      </c>
      <c r="BR65" s="203">
        <v>0</v>
      </c>
    </row>
    <row r="66" x14ac:dyDescent="0.15">
      <c r="A66" t="s">
        <v>247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3">
        <v>0</v>
      </c>
      <c r="AC66" s="3">
        <v>0</v>
      </c>
      <c r="AD66" s="3">
        <v>0</v>
      </c>
      <c r="AE66" s="3">
        <v>9.9000000000000005E-2</v>
      </c>
      <c r="AF66" s="3">
        <v>0.18</v>
      </c>
      <c r="AG66" s="3">
        <v>4.9000000000000002E-2</v>
      </c>
      <c r="AH66" s="3">
        <v>4.6953046953046945E-2</v>
      </c>
      <c r="AI66" s="3">
        <v>0</v>
      </c>
      <c r="AJ66" s="3">
        <v>0</v>
      </c>
      <c r="AK66" s="3">
        <v>0</v>
      </c>
      <c r="AL66" s="3">
        <v>0</v>
      </c>
      <c r="AM66" s="3">
        <v>0</v>
      </c>
      <c r="AN66" s="3">
        <v>0</v>
      </c>
      <c r="AO66" s="3">
        <v>0</v>
      </c>
      <c r="AP66" s="3">
        <v>0</v>
      </c>
      <c r="AQ66" s="3">
        <v>0</v>
      </c>
      <c r="AR66" s="3">
        <v>0</v>
      </c>
      <c r="AS66" s="3">
        <v>0</v>
      </c>
      <c r="AT66" s="3">
        <v>0</v>
      </c>
      <c r="AU66" s="3">
        <v>0</v>
      </c>
      <c r="AV66" s="3">
        <v>0</v>
      </c>
      <c r="AW66" s="3">
        <v>0</v>
      </c>
      <c r="AX66" s="3">
        <v>0</v>
      </c>
      <c r="AY66" s="3">
        <v>0</v>
      </c>
      <c r="AZ66" s="3">
        <v>5.0000000000000001E-3</v>
      </c>
      <c r="BA66" s="3">
        <v>0.1038961038961039</v>
      </c>
      <c r="BB66" s="3">
        <v>0.05</v>
      </c>
      <c r="BC66" s="3">
        <v>0.12887112887112889</v>
      </c>
      <c r="BD66" s="3">
        <v>4.8951048951048952E-2</v>
      </c>
      <c r="BE66" s="3">
        <v>0.05</v>
      </c>
      <c r="BF66" s="3">
        <v>0.1</v>
      </c>
      <c r="BG66" s="3">
        <v>0.1</v>
      </c>
      <c r="BH66" s="3">
        <v>0.12</v>
      </c>
      <c r="BI66" s="3">
        <v>0.15</v>
      </c>
      <c r="BJ66" s="3">
        <v>0.05</v>
      </c>
      <c r="BK66" s="3">
        <v>0.7</v>
      </c>
      <c r="BL66" s="3">
        <v>0</v>
      </c>
      <c r="BM66" s="3">
        <v>0.1</v>
      </c>
      <c r="BN66" s="3">
        <v>0.1</v>
      </c>
      <c r="BO66" s="203">
        <v>0</v>
      </c>
      <c r="BP66" s="203">
        <v>0</v>
      </c>
      <c r="BQ66" s="203">
        <v>0</v>
      </c>
      <c r="BR66" s="203">
        <v>0</v>
      </c>
    </row>
    <row r="67" x14ac:dyDescent="0.15">
      <c r="A67" t="s">
        <v>248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3">
        <v>0</v>
      </c>
      <c r="AE67" s="3">
        <v>9.9000000000000005E-2</v>
      </c>
      <c r="AF67" s="3">
        <v>0</v>
      </c>
      <c r="AG67" s="3">
        <v>0</v>
      </c>
      <c r="AH67" s="3">
        <v>2.1978021978021973E-2</v>
      </c>
      <c r="AI67" s="3">
        <v>0</v>
      </c>
      <c r="AJ67" s="3">
        <v>0</v>
      </c>
      <c r="AK67" s="3">
        <v>0</v>
      </c>
      <c r="AL67" s="3">
        <v>0</v>
      </c>
      <c r="AM67" s="3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3">
        <v>0</v>
      </c>
      <c r="AU67" s="3">
        <v>0</v>
      </c>
      <c r="AV67" s="3">
        <v>0</v>
      </c>
      <c r="AW67" s="3">
        <v>0</v>
      </c>
      <c r="AX67" s="3">
        <v>5.1896207584830337E-2</v>
      </c>
      <c r="AY67" s="3">
        <v>0.2</v>
      </c>
      <c r="AZ67" s="3">
        <v>0.1</v>
      </c>
      <c r="BA67" s="3">
        <v>0</v>
      </c>
      <c r="BB67" s="3">
        <v>0.9</v>
      </c>
      <c r="BC67" s="3">
        <v>0.12887112887112889</v>
      </c>
      <c r="BD67" s="3">
        <v>0</v>
      </c>
      <c r="BE67" s="3">
        <v>0.1</v>
      </c>
      <c r="BF67" s="3">
        <v>0.05</v>
      </c>
      <c r="BG67" s="3">
        <v>0</v>
      </c>
      <c r="BH67" s="3">
        <v>0</v>
      </c>
      <c r="BI67" s="3">
        <v>0</v>
      </c>
      <c r="BJ67" s="3">
        <v>0</v>
      </c>
      <c r="BK67" s="3">
        <v>0.1</v>
      </c>
      <c r="BL67" s="3">
        <v>0</v>
      </c>
      <c r="BM67" s="3">
        <v>0</v>
      </c>
      <c r="BN67" s="212">
        <v>0.32</v>
      </c>
      <c r="BO67" s="203">
        <v>0</v>
      </c>
      <c r="BP67" s="203">
        <v>0</v>
      </c>
      <c r="BQ67" s="203">
        <v>0</v>
      </c>
      <c r="BR67" s="203">
        <v>0</v>
      </c>
    </row>
    <row r="68" x14ac:dyDescent="0.15">
      <c r="A68" t="s">
        <v>249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v>0</v>
      </c>
      <c r="AD68" s="3">
        <v>0</v>
      </c>
      <c r="AE68" s="3">
        <v>0</v>
      </c>
      <c r="AF68" s="3">
        <v>0</v>
      </c>
      <c r="AG68" s="3">
        <v>0</v>
      </c>
      <c r="AH68" s="3">
        <v>0</v>
      </c>
      <c r="AI68" s="3">
        <v>0</v>
      </c>
      <c r="AJ68" s="3">
        <v>0</v>
      </c>
      <c r="AK68" s="3">
        <v>0</v>
      </c>
      <c r="AL68" s="3">
        <v>0</v>
      </c>
      <c r="AM68" s="3">
        <v>0</v>
      </c>
      <c r="AN68" s="3">
        <v>0</v>
      </c>
      <c r="AO68" s="3">
        <v>0</v>
      </c>
      <c r="AP68" s="3">
        <v>0</v>
      </c>
      <c r="AQ68" s="3">
        <v>0</v>
      </c>
      <c r="AR68" s="3">
        <v>0</v>
      </c>
      <c r="AS68" s="3">
        <v>0</v>
      </c>
      <c r="AT68" s="3">
        <v>0</v>
      </c>
      <c r="AU68" s="3">
        <v>0</v>
      </c>
      <c r="AV68" s="3">
        <v>0</v>
      </c>
      <c r="AW68" s="3">
        <v>0</v>
      </c>
      <c r="AX68" s="3">
        <v>0</v>
      </c>
      <c r="AY68" s="3">
        <v>0</v>
      </c>
      <c r="AZ68" s="3">
        <v>0</v>
      </c>
      <c r="BA68" s="3">
        <v>0</v>
      </c>
      <c r="BB68" s="3">
        <v>0.05</v>
      </c>
      <c r="BC68" s="3">
        <v>0</v>
      </c>
      <c r="BD68" s="3">
        <v>0</v>
      </c>
      <c r="BE68" s="3">
        <v>0.03</v>
      </c>
      <c r="BF68" s="3">
        <v>0.05</v>
      </c>
      <c r="BG68" s="3">
        <v>0.1</v>
      </c>
      <c r="BH68" s="3">
        <v>0.1</v>
      </c>
      <c r="BI68" s="3">
        <v>0.1</v>
      </c>
      <c r="BJ68" s="3">
        <v>0.15</v>
      </c>
      <c r="BK68" s="3">
        <v>0</v>
      </c>
      <c r="BL68" s="3">
        <v>0</v>
      </c>
      <c r="BM68" s="3">
        <v>0.2</v>
      </c>
      <c r="BN68" s="204">
        <v>0.33</v>
      </c>
      <c r="BO68" s="203">
        <v>0</v>
      </c>
      <c r="BP68" s="203">
        <v>0</v>
      </c>
      <c r="BQ68" s="203">
        <v>0</v>
      </c>
      <c r="BR68" s="203">
        <v>0</v>
      </c>
    </row>
    <row r="69" x14ac:dyDescent="0.15">
      <c r="A69" t="s">
        <v>250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v>0</v>
      </c>
      <c r="AD69" s="3">
        <v>0</v>
      </c>
      <c r="AE69" s="3">
        <v>0</v>
      </c>
      <c r="AF69" s="3">
        <v>0</v>
      </c>
      <c r="AG69" s="3">
        <v>0</v>
      </c>
      <c r="AH69" s="3">
        <v>0</v>
      </c>
      <c r="AI69" s="3">
        <v>0</v>
      </c>
      <c r="AJ69" s="3">
        <v>0</v>
      </c>
      <c r="AK69" s="3">
        <v>0</v>
      </c>
      <c r="AL69" s="3">
        <v>0</v>
      </c>
      <c r="AM69" s="3">
        <v>0</v>
      </c>
      <c r="AN69" s="3">
        <v>0</v>
      </c>
      <c r="AO69" s="3">
        <v>0</v>
      </c>
      <c r="AP69" s="3">
        <v>0</v>
      </c>
      <c r="AQ69" s="3">
        <v>0</v>
      </c>
      <c r="AR69" s="3">
        <v>0</v>
      </c>
      <c r="AS69" s="3">
        <v>0</v>
      </c>
      <c r="AT69" s="3">
        <v>0</v>
      </c>
      <c r="AU69" s="3">
        <v>0</v>
      </c>
      <c r="AV69" s="3">
        <v>0</v>
      </c>
      <c r="AW69" s="3">
        <v>0</v>
      </c>
      <c r="AX69" s="3">
        <v>0</v>
      </c>
      <c r="AY69" s="3">
        <v>0</v>
      </c>
      <c r="AZ69" s="3">
        <v>0</v>
      </c>
      <c r="BA69" s="3">
        <v>0</v>
      </c>
      <c r="BB69" s="3">
        <v>0</v>
      </c>
      <c r="BC69" s="3">
        <v>0</v>
      </c>
      <c r="BD69" s="3">
        <v>0</v>
      </c>
      <c r="BE69" s="3">
        <v>0.02</v>
      </c>
      <c r="BF69" s="3">
        <v>0.15</v>
      </c>
      <c r="BG69" s="213">
        <v>0.30499999999999999</v>
      </c>
      <c r="BH69" s="3">
        <v>0.17</v>
      </c>
      <c r="BI69" s="3">
        <v>0.3</v>
      </c>
      <c r="BJ69" s="212">
        <v>0.21</v>
      </c>
      <c r="BK69" s="3">
        <v>0.2</v>
      </c>
      <c r="BL69" s="3">
        <v>0.2</v>
      </c>
      <c r="BM69" s="3">
        <v>0.6</v>
      </c>
      <c r="BN69" s="3">
        <v>0.23</v>
      </c>
      <c r="BO69" s="203">
        <v>0</v>
      </c>
      <c r="BP69" s="203">
        <v>0</v>
      </c>
      <c r="BQ69" s="203">
        <v>0</v>
      </c>
      <c r="BR69" s="203">
        <v>0</v>
      </c>
    </row>
    <row r="70" x14ac:dyDescent="0.15">
      <c r="A70" t="s">
        <v>175</v>
      </c>
      <c r="B70" s="3">
        <v>0</v>
      </c>
      <c r="C70" s="3">
        <v>0</v>
      </c>
      <c r="D70" s="3">
        <v>0</v>
      </c>
      <c r="E70" s="3">
        <v>0.20300000000000001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v>0</v>
      </c>
      <c r="AD70" s="3">
        <v>0</v>
      </c>
      <c r="AE70" s="3">
        <v>0</v>
      </c>
      <c r="AF70" s="3">
        <v>0</v>
      </c>
      <c r="AG70" s="3">
        <v>0</v>
      </c>
      <c r="AH70" s="3">
        <v>0</v>
      </c>
      <c r="AI70" s="3">
        <v>0</v>
      </c>
      <c r="AJ70" s="3">
        <v>0</v>
      </c>
      <c r="AK70" s="3">
        <v>0</v>
      </c>
      <c r="AL70" s="3">
        <v>0</v>
      </c>
      <c r="AM70" s="3">
        <v>0</v>
      </c>
      <c r="AN70" s="3">
        <v>0</v>
      </c>
      <c r="AO70" s="3">
        <v>0</v>
      </c>
      <c r="AP70" s="3">
        <v>0</v>
      </c>
      <c r="AQ70" s="3">
        <v>0</v>
      </c>
      <c r="AR70" s="3">
        <v>0</v>
      </c>
      <c r="AS70" s="3">
        <v>0</v>
      </c>
      <c r="AT70" s="3">
        <v>0</v>
      </c>
      <c r="AU70" s="3">
        <v>0</v>
      </c>
      <c r="AV70" s="3">
        <v>0</v>
      </c>
      <c r="AW70" s="3">
        <v>0</v>
      </c>
      <c r="AX70" s="3">
        <v>0</v>
      </c>
      <c r="AY70" s="3">
        <v>0</v>
      </c>
      <c r="AZ70" s="3">
        <v>0</v>
      </c>
      <c r="BA70" s="3">
        <v>0</v>
      </c>
      <c r="BB70" s="3">
        <v>0</v>
      </c>
      <c r="BC70" s="3">
        <v>0</v>
      </c>
      <c r="BD70" s="3">
        <v>0.1278721278721279</v>
      </c>
      <c r="BE70" s="3">
        <v>0</v>
      </c>
      <c r="BF70" s="3">
        <v>0</v>
      </c>
      <c r="BG70" s="3">
        <v>0</v>
      </c>
      <c r="BH70" s="3">
        <v>0.05</v>
      </c>
      <c r="BI70" s="3">
        <v>0</v>
      </c>
      <c r="BJ70" s="3">
        <v>0</v>
      </c>
      <c r="BK70" s="3">
        <v>0</v>
      </c>
      <c r="BL70" s="3">
        <v>0</v>
      </c>
      <c r="BM70" s="3">
        <v>0</v>
      </c>
      <c r="BN70" s="3">
        <v>0</v>
      </c>
      <c r="BO70" s="203">
        <v>0</v>
      </c>
      <c r="BP70" s="203">
        <v>0</v>
      </c>
      <c r="BQ70" s="203">
        <v>0</v>
      </c>
      <c r="BR70" s="203">
        <v>0</v>
      </c>
    </row>
    <row r="71" x14ac:dyDescent="0.15">
      <c r="A71" t="s">
        <v>176</v>
      </c>
      <c r="B71" s="3">
        <v>0</v>
      </c>
      <c r="C71" s="3">
        <v>0</v>
      </c>
      <c r="D71" s="3">
        <v>0</v>
      </c>
      <c r="E71" s="3">
        <v>0.32400000000000001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  <c r="AH71" s="3">
        <v>0</v>
      </c>
      <c r="AI71" s="3">
        <v>0</v>
      </c>
      <c r="AJ71" s="3">
        <v>0</v>
      </c>
      <c r="AK71" s="3">
        <v>0</v>
      </c>
      <c r="AL71" s="3">
        <v>0</v>
      </c>
      <c r="AM71" s="3">
        <v>0</v>
      </c>
      <c r="AN71" s="3">
        <v>0</v>
      </c>
      <c r="AO71" s="3">
        <v>0</v>
      </c>
      <c r="AP71" s="3">
        <v>0</v>
      </c>
      <c r="AQ71" s="3">
        <v>0</v>
      </c>
      <c r="AR71" s="3">
        <v>0</v>
      </c>
      <c r="AS71" s="3">
        <v>0</v>
      </c>
      <c r="AT71" s="3">
        <v>0</v>
      </c>
      <c r="AU71" s="3">
        <v>0</v>
      </c>
      <c r="AV71" s="3">
        <v>0</v>
      </c>
      <c r="AW71" s="3">
        <v>0</v>
      </c>
      <c r="AX71" s="3">
        <v>0</v>
      </c>
      <c r="AY71" s="3">
        <v>0</v>
      </c>
      <c r="AZ71" s="3">
        <v>0</v>
      </c>
      <c r="BA71" s="3">
        <v>0</v>
      </c>
      <c r="BB71" s="3">
        <v>0</v>
      </c>
      <c r="BC71" s="3">
        <v>0</v>
      </c>
      <c r="BD71" s="3">
        <v>0</v>
      </c>
      <c r="BE71" s="3">
        <v>0</v>
      </c>
      <c r="BF71" s="3">
        <v>0</v>
      </c>
      <c r="BG71" s="3">
        <v>0</v>
      </c>
      <c r="BH71" s="3">
        <v>0</v>
      </c>
      <c r="BI71" s="3">
        <v>0</v>
      </c>
      <c r="BJ71" s="3">
        <v>0</v>
      </c>
      <c r="BK71" s="3">
        <v>0</v>
      </c>
      <c r="BL71" s="3">
        <v>0</v>
      </c>
      <c r="BM71" s="3">
        <v>0</v>
      </c>
      <c r="BN71" s="3">
        <v>0</v>
      </c>
      <c r="BO71" s="203">
        <v>0</v>
      </c>
      <c r="BP71" s="203">
        <v>0</v>
      </c>
      <c r="BQ71" s="203">
        <v>0</v>
      </c>
      <c r="BR71" s="203">
        <v>0</v>
      </c>
    </row>
    <row r="72" x14ac:dyDescent="0.15">
      <c r="BA72"/>
      <c r="BB72"/>
      <c r="BC72"/>
      <c r="BD72"/>
      <c r="BE72"/>
      <c r="BF72"/>
      <c r="BG72"/>
      <c r="BH72"/>
      <c r="BI72"/>
    </row>
    <row r="73" x14ac:dyDescent="0.15">
      <c r="BA73"/>
      <c r="BB73"/>
      <c r="BC73"/>
      <c r="BD73"/>
      <c r="BE73"/>
      <c r="BF73"/>
      <c r="BG73"/>
      <c r="BH73"/>
      <c r="BI73"/>
    </row>
    <row r="76" x14ac:dyDescent="0.15">
      <c r="A76" t="s">
        <v>61</v>
      </c>
      <c r="B76">
        <f>SUM(B2:B71)</f>
        <v>1</v>
      </c>
      <c r="C76">
        <f t="shared" ref="C76:BN76" si="0">SUM(C2:C71)</f>
        <v>1</v>
      </c>
      <c r="D76">
        <f t="shared" si="0"/>
        <v>1</v>
      </c>
      <c r="E76">
        <f t="shared" si="0"/>
        <v>1</v>
      </c>
      <c r="F76">
        <f t="shared" si="0"/>
        <v>0.99999999999999967</v>
      </c>
      <c r="G76">
        <f t="shared" si="0"/>
        <v>1</v>
      </c>
      <c r="H76">
        <f t="shared" si="0"/>
        <v>1.0000000000000004</v>
      </c>
      <c r="I76">
        <f t="shared" si="0"/>
        <v>1</v>
      </c>
      <c r="J76">
        <f t="shared" si="0"/>
        <v>1</v>
      </c>
      <c r="K76">
        <f t="shared" si="0"/>
        <v>1</v>
      </c>
      <c r="L76">
        <f t="shared" si="0"/>
        <v>1</v>
      </c>
      <c r="M76">
        <f t="shared" si="0"/>
        <v>1</v>
      </c>
      <c r="N76">
        <f t="shared" si="0"/>
        <v>1</v>
      </c>
      <c r="O76">
        <f t="shared" si="0"/>
        <v>0.99999999999999989</v>
      </c>
      <c r="P76">
        <f t="shared" si="0"/>
        <v>1.0000000000000007</v>
      </c>
      <c r="Q76">
        <f t="shared" si="0"/>
        <v>1</v>
      </c>
      <c r="R76">
        <f t="shared" si="0"/>
        <v>1</v>
      </c>
      <c r="S76">
        <f t="shared" si="0"/>
        <v>1</v>
      </c>
      <c r="T76">
        <f t="shared" si="0"/>
        <v>1</v>
      </c>
      <c r="U76">
        <f t="shared" si="0"/>
        <v>1</v>
      </c>
      <c r="V76">
        <f t="shared" si="0"/>
        <v>1.0000000000000002</v>
      </c>
      <c r="W76">
        <f t="shared" si="0"/>
        <v>1</v>
      </c>
      <c r="X76">
        <f t="shared" si="0"/>
        <v>1</v>
      </c>
      <c r="Y76">
        <f t="shared" si="0"/>
        <v>1.0000000000000002</v>
      </c>
      <c r="Z76">
        <f t="shared" si="0"/>
        <v>1.0000000000000004</v>
      </c>
      <c r="AA76">
        <f t="shared" si="0"/>
        <v>0.99999999999999967</v>
      </c>
      <c r="AB76">
        <f t="shared" si="0"/>
        <v>1</v>
      </c>
      <c r="AC76">
        <f t="shared" si="0"/>
        <v>1</v>
      </c>
      <c r="AD76">
        <f t="shared" si="0"/>
        <v>1</v>
      </c>
      <c r="AE76">
        <f t="shared" si="0"/>
        <v>1</v>
      </c>
      <c r="AF76">
        <f t="shared" si="0"/>
        <v>1</v>
      </c>
      <c r="AG76">
        <f t="shared" si="0"/>
        <v>1</v>
      </c>
      <c r="AH76">
        <f t="shared" si="0"/>
        <v>1</v>
      </c>
      <c r="AI76">
        <f t="shared" si="0"/>
        <v>1</v>
      </c>
      <c r="AJ76">
        <f t="shared" si="0"/>
        <v>1.0000000000000002</v>
      </c>
      <c r="AK76">
        <f t="shared" si="0"/>
        <v>1</v>
      </c>
      <c r="AL76">
        <f t="shared" si="0"/>
        <v>0.99999999999999989</v>
      </c>
      <c r="AM76">
        <f t="shared" si="0"/>
        <v>1</v>
      </c>
      <c r="AN76">
        <f t="shared" si="0"/>
        <v>1</v>
      </c>
      <c r="AO76">
        <f t="shared" si="0"/>
        <v>1</v>
      </c>
      <c r="AP76">
        <f t="shared" si="0"/>
        <v>1</v>
      </c>
      <c r="AQ76">
        <f t="shared" si="0"/>
        <v>0.99999999999999978</v>
      </c>
      <c r="AR76">
        <f t="shared" si="0"/>
        <v>0.99999999999999989</v>
      </c>
      <c r="AS76">
        <f t="shared" si="0"/>
        <v>1</v>
      </c>
      <c r="AT76">
        <f t="shared" si="0"/>
        <v>1</v>
      </c>
      <c r="AU76">
        <f t="shared" si="0"/>
        <v>1</v>
      </c>
      <c r="AV76">
        <f t="shared" si="0"/>
        <v>1</v>
      </c>
      <c r="AW76">
        <f t="shared" si="0"/>
        <v>1</v>
      </c>
      <c r="AX76">
        <f t="shared" si="0"/>
        <v>1</v>
      </c>
      <c r="AY76">
        <f t="shared" si="0"/>
        <v>1</v>
      </c>
      <c r="AZ76">
        <f t="shared" si="0"/>
        <v>1</v>
      </c>
      <c r="BA76">
        <f t="shared" si="0"/>
        <v>1</v>
      </c>
      <c r="BB76">
        <f t="shared" si="0"/>
        <v>1</v>
      </c>
      <c r="BC76">
        <f t="shared" si="0"/>
        <v>1</v>
      </c>
      <c r="BD76">
        <f t="shared" si="0"/>
        <v>1</v>
      </c>
      <c r="BE76">
        <f t="shared" si="0"/>
        <v>1</v>
      </c>
      <c r="BF76">
        <f t="shared" si="0"/>
        <v>1</v>
      </c>
      <c r="BG76">
        <f t="shared" si="0"/>
        <v>1</v>
      </c>
      <c r="BH76">
        <f t="shared" si="0"/>
        <v>1</v>
      </c>
      <c r="BI76">
        <f t="shared" si="0"/>
        <v>1</v>
      </c>
      <c r="BJ76">
        <f t="shared" si="0"/>
        <v>1.0000000000000002</v>
      </c>
      <c r="BK76">
        <f t="shared" si="0"/>
        <v>1</v>
      </c>
      <c r="BL76">
        <f t="shared" si="0"/>
        <v>1</v>
      </c>
      <c r="BM76">
        <f t="shared" si="0"/>
        <v>1</v>
      </c>
      <c r="BN76">
        <f t="shared" si="0"/>
        <v>1</v>
      </c>
    </row>
    <row r="77" x14ac:dyDescent="0.15">
      <c r="A77" t="s">
        <v>272</v>
      </c>
      <c r="B77">
        <f>1-B76</f>
        <v>0</v>
      </c>
      <c r="C77">
        <f t="shared" ref="C77:BN77" si="1">1-C76</f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1"/>
        <v>0</v>
      </c>
      <c r="S77">
        <f t="shared" si="1"/>
        <v>0</v>
      </c>
      <c r="T77">
        <f t="shared" si="1"/>
        <v>0</v>
      </c>
      <c r="U77">
        <f t="shared" si="1"/>
        <v>0</v>
      </c>
      <c r="V77">
        <f t="shared" si="1"/>
        <v>0</v>
      </c>
      <c r="W77">
        <f t="shared" si="1"/>
        <v>0</v>
      </c>
      <c r="X77">
        <f t="shared" si="1"/>
        <v>0</v>
      </c>
      <c r="Y77">
        <f t="shared" si="1"/>
        <v>0</v>
      </c>
      <c r="Z77">
        <f t="shared" si="1"/>
        <v>0</v>
      </c>
      <c r="AA77">
        <f t="shared" si="1"/>
        <v>0</v>
      </c>
      <c r="AB77">
        <f t="shared" si="1"/>
        <v>0</v>
      </c>
      <c r="AC77">
        <f t="shared" si="1"/>
        <v>0</v>
      </c>
      <c r="AD77">
        <f t="shared" si="1"/>
        <v>0</v>
      </c>
      <c r="AE77">
        <f t="shared" si="1"/>
        <v>0</v>
      </c>
      <c r="AF77">
        <f t="shared" si="1"/>
        <v>0</v>
      </c>
      <c r="AG77">
        <f t="shared" si="1"/>
        <v>0</v>
      </c>
      <c r="AH77">
        <f t="shared" si="1"/>
        <v>0</v>
      </c>
      <c r="AI77">
        <f t="shared" si="1"/>
        <v>0</v>
      </c>
      <c r="AJ77">
        <f t="shared" si="1"/>
        <v>0</v>
      </c>
      <c r="AK77">
        <f t="shared" si="1"/>
        <v>0</v>
      </c>
      <c r="AL77">
        <f t="shared" si="1"/>
        <v>0</v>
      </c>
      <c r="AM77">
        <f t="shared" si="1"/>
        <v>0</v>
      </c>
      <c r="AN77">
        <f t="shared" si="1"/>
        <v>0</v>
      </c>
      <c r="AO77">
        <f t="shared" si="1"/>
        <v>0</v>
      </c>
      <c r="AP77">
        <f t="shared" si="1"/>
        <v>0</v>
      </c>
      <c r="AQ77">
        <f t="shared" si="1"/>
        <v>0</v>
      </c>
      <c r="AR77">
        <f t="shared" si="1"/>
        <v>0</v>
      </c>
      <c r="AS77">
        <f t="shared" si="1"/>
        <v>0</v>
      </c>
      <c r="AT77">
        <f t="shared" si="1"/>
        <v>0</v>
      </c>
      <c r="AU77">
        <f t="shared" si="1"/>
        <v>0</v>
      </c>
      <c r="AV77">
        <f t="shared" si="1"/>
        <v>0</v>
      </c>
      <c r="AW77">
        <f t="shared" si="1"/>
        <v>0</v>
      </c>
      <c r="AX77">
        <f t="shared" si="1"/>
        <v>0</v>
      </c>
      <c r="AY77">
        <f t="shared" si="1"/>
        <v>0</v>
      </c>
      <c r="AZ77">
        <f t="shared" si="1"/>
        <v>0</v>
      </c>
      <c r="BA77">
        <f t="shared" si="1"/>
        <v>0</v>
      </c>
      <c r="BB77">
        <f t="shared" si="1"/>
        <v>0</v>
      </c>
      <c r="BC77">
        <f t="shared" si="1"/>
        <v>0</v>
      </c>
      <c r="BD77">
        <f t="shared" si="1"/>
        <v>0</v>
      </c>
      <c r="BE77">
        <f t="shared" si="1"/>
        <v>0</v>
      </c>
      <c r="BF77">
        <f t="shared" si="1"/>
        <v>0</v>
      </c>
      <c r="BG77">
        <f t="shared" si="1"/>
        <v>0</v>
      </c>
      <c r="BH77">
        <f t="shared" si="1"/>
        <v>0</v>
      </c>
      <c r="BI77">
        <f t="shared" si="1"/>
        <v>0</v>
      </c>
      <c r="BJ77">
        <f t="shared" si="1"/>
        <v>0</v>
      </c>
      <c r="BK77">
        <f t="shared" si="1"/>
        <v>0</v>
      </c>
      <c r="BL77">
        <f t="shared" si="1"/>
        <v>0</v>
      </c>
      <c r="BM77">
        <f t="shared" si="1"/>
        <v>0</v>
      </c>
      <c r="BN77">
        <f t="shared" si="1"/>
        <v>0</v>
      </c>
    </row>
    <row r="80" ht="16" x14ac:dyDescent="0.2">
      <c r="A80" s="3" t="s">
        <v>273</v>
      </c>
      <c r="B80" s="3" t="s">
        <v>274</v>
      </c>
      <c r="C80" s="3"/>
      <c r="D80" s="3"/>
      <c r="E80" s="3" t="s">
        <v>275</v>
      </c>
      <c r="F80" s="3" t="s">
        <v>275</v>
      </c>
      <c r="G80" s="3" t="s">
        <v>275</v>
      </c>
      <c r="H80" s="3" t="s">
        <v>275</v>
      </c>
      <c r="I80" s="3" t="s">
        <v>275</v>
      </c>
      <c r="J80" s="3"/>
      <c r="K80" s="3"/>
      <c r="L80" s="3"/>
      <c r="M80" s="3"/>
      <c r="N80" s="3" t="s">
        <v>276</v>
      </c>
      <c r="O80" s="3" t="s">
        <v>275</v>
      </c>
      <c r="P80" s="3" t="s">
        <v>277</v>
      </c>
      <c r="Q80" s="3" t="s">
        <v>275</v>
      </c>
      <c r="R80" s="3"/>
      <c r="S80" s="3" t="s">
        <v>275</v>
      </c>
      <c r="T80" s="3" t="s">
        <v>275</v>
      </c>
      <c r="U80" s="3" t="s">
        <v>275</v>
      </c>
      <c r="V80" s="3" t="s">
        <v>277</v>
      </c>
      <c r="W80" s="3" t="s">
        <v>275</v>
      </c>
      <c r="X80" s="3"/>
      <c r="Y80" s="3" t="s">
        <v>277</v>
      </c>
      <c r="Z80" s="3" t="s">
        <v>277</v>
      </c>
      <c r="AA80" s="3" t="s">
        <v>277</v>
      </c>
      <c r="AB80" s="3" t="s">
        <v>275</v>
      </c>
      <c r="AC80" s="3"/>
      <c r="AD80" s="3"/>
      <c r="AE80" s="3"/>
      <c r="AF80" s="3" t="s">
        <v>275</v>
      </c>
      <c r="AG80" s="3" t="s">
        <v>275</v>
      </c>
      <c r="AH80" s="3"/>
      <c r="AI80" s="3" t="s">
        <v>275</v>
      </c>
      <c r="AJ80" s="3"/>
      <c r="AK80" s="3"/>
      <c r="AL80" s="3"/>
      <c r="AM80" s="3"/>
      <c r="AN80" s="3"/>
      <c r="AO80" s="3"/>
      <c r="AP80" s="3" t="s">
        <v>275</v>
      </c>
      <c r="AQ80" s="3" t="s">
        <v>275</v>
      </c>
      <c r="AR80" s="3"/>
      <c r="AS80" s="3"/>
      <c r="AT80" s="3"/>
      <c r="AU80" s="3" t="s">
        <v>275</v>
      </c>
      <c r="AV80" s="3" t="s">
        <v>276</v>
      </c>
      <c r="AW80" s="3" t="s">
        <v>276</v>
      </c>
      <c r="AX80" s="3" t="s">
        <v>275</v>
      </c>
      <c r="AY80" s="3"/>
      <c r="AZ80" t="s">
        <v>278</v>
      </c>
      <c r="BJ80" s="3"/>
      <c r="BK80" s="3"/>
      <c r="BL80" s="3"/>
      <c r="BM80" s="3"/>
      <c r="BN80" s="3" t="s">
        <v>279</v>
      </c>
    </row>
    <row r="82" x14ac:dyDescent="0.15">
      <c r="BA82"/>
      <c r="BB82"/>
      <c r="BC82"/>
      <c r="BD82"/>
      <c r="BE82"/>
      <c r="BF82"/>
      <c r="BG82"/>
      <c r="BH82"/>
      <c r="BI82"/>
    </row>
    <row r="83" x14ac:dyDescent="0.15">
      <c r="Z83" t="s">
        <v>280</v>
      </c>
      <c r="AL83" t="s">
        <v>281</v>
      </c>
      <c r="BA83"/>
      <c r="BB83"/>
      <c r="BC83"/>
      <c r="BD83"/>
      <c r="BE83"/>
      <c r="BF83"/>
      <c r="BG83" t="s">
        <v>282</v>
      </c>
      <c r="BH83"/>
      <c r="BI83"/>
      <c r="BJ83" t="s">
        <v>283</v>
      </c>
      <c r="BN83" t="s">
        <v>284</v>
      </c>
    </row>
    <row r="84" x14ac:dyDescent="0.15">
      <c r="Z84" t="s">
        <v>285</v>
      </c>
      <c r="AL84" t="s">
        <v>286</v>
      </c>
      <c r="BA84"/>
      <c r="BB84"/>
      <c r="BC84"/>
      <c r="BD84"/>
      <c r="BE84"/>
      <c r="BF84"/>
      <c r="BG84" s="3" t="s">
        <v>287</v>
      </c>
      <c r="BH84"/>
      <c r="BI84"/>
    </row>
    <row r="85" x14ac:dyDescent="0.15">
      <c r="BA85"/>
      <c r="BB85"/>
      <c r="BC85"/>
      <c r="BD85"/>
      <c r="BE85"/>
      <c r="BF85"/>
      <c r="BH85"/>
      <c r="BI85"/>
    </row>
    <row r="86" x14ac:dyDescent="0.15">
      <c r="Z86" t="s">
        <v>288</v>
      </c>
      <c r="AL86" t="s">
        <v>289</v>
      </c>
      <c r="BA86"/>
      <c r="BB86"/>
      <c r="BC86"/>
      <c r="BD86"/>
      <c r="BE86"/>
      <c r="BF86"/>
      <c r="BG86" s="3" t="s">
        <v>290</v>
      </c>
      <c r="BH86"/>
      <c r="BI86"/>
      <c r="BJ86" t="s">
        <v>291</v>
      </c>
      <c r="BN86" t="s">
        <v>292</v>
      </c>
    </row>
    <row r="87" x14ac:dyDescent="0.15">
      <c r="Z87" t="s">
        <v>293</v>
      </c>
      <c r="AL87" t="s">
        <v>294</v>
      </c>
      <c r="BA87"/>
      <c r="BB87"/>
      <c r="BC87"/>
      <c r="BD87"/>
      <c r="BE87"/>
      <c r="BF87"/>
      <c r="BG87" t="s">
        <v>295</v>
      </c>
      <c r="BH87"/>
      <c r="BI87"/>
    </row>
    <row r="88" x14ac:dyDescent="0.15">
      <c r="AL88" t="s">
        <v>296</v>
      </c>
      <c r="BA88"/>
      <c r="BB88"/>
      <c r="BC88"/>
      <c r="BD88"/>
      <c r="BE88"/>
      <c r="BF88"/>
      <c r="BG88"/>
      <c r="BH88"/>
      <c r="BI88"/>
    </row>
    <row r="89" x14ac:dyDescent="0.15">
      <c r="BA89"/>
      <c r="BB89"/>
      <c r="BC89"/>
      <c r="BD89"/>
      <c r="BE89"/>
      <c r="BF89"/>
      <c r="BG89"/>
      <c r="BH89"/>
      <c r="BI89"/>
    </row>
    <row r="90" x14ac:dyDescent="0.15">
      <c r="BA90"/>
      <c r="BB90"/>
      <c r="BC90"/>
      <c r="BD90"/>
      <c r="BE90"/>
      <c r="BF90"/>
      <c r="BG90"/>
      <c r="BH90"/>
      <c r="BI90"/>
    </row>
    <row r="91" x14ac:dyDescent="0.15">
      <c r="BA91"/>
      <c r="BB91"/>
      <c r="BC91"/>
      <c r="BD91"/>
      <c r="BE91"/>
      <c r="BF91"/>
      <c r="BG91"/>
      <c r="BH91"/>
      <c r="BI91"/>
    </row>
    <row r="92" x14ac:dyDescent="0.15">
      <c r="BA92"/>
      <c r="BB92"/>
      <c r="BC92"/>
      <c r="BD92"/>
      <c r="BE92"/>
      <c r="BF92"/>
      <c r="BG92"/>
      <c r="BH92"/>
      <c r="BI92"/>
    </row>
    <row r="93" x14ac:dyDescent="0.15">
      <c r="BA93"/>
      <c r="BB93"/>
      <c r="BC93"/>
      <c r="BD93"/>
      <c r="BE93"/>
      <c r="BF93"/>
      <c r="BG93"/>
      <c r="BH93"/>
      <c r="BI93"/>
    </row>
    <row r="94" x14ac:dyDescent="0.15">
      <c r="BA94"/>
      <c r="BB94"/>
      <c r="BC94"/>
      <c r="BD94"/>
      <c r="BE94"/>
      <c r="BF94"/>
      <c r="BG94"/>
      <c r="BH94"/>
      <c r="BI94"/>
    </row>
    <row r="95" x14ac:dyDescent="0.15">
      <c r="BA95"/>
      <c r="BB95"/>
      <c r="BC95"/>
      <c r="BD95"/>
      <c r="BE95"/>
      <c r="BF95"/>
      <c r="BG95"/>
      <c r="BH95"/>
      <c r="BI95"/>
    </row>
    <row r="96" x14ac:dyDescent="0.15">
      <c r="BA96"/>
      <c r="BB96"/>
      <c r="BC96"/>
      <c r="BD96"/>
      <c r="BE96"/>
      <c r="BF96"/>
      <c r="BG96"/>
      <c r="BH96"/>
      <c r="BI96"/>
    </row>
    <row r="97" x14ac:dyDescent="0.15">
      <c r="BA97"/>
      <c r="BB97"/>
      <c r="BC97"/>
      <c r="BD97"/>
      <c r="BE97"/>
      <c r="BF97"/>
      <c r="BG97"/>
      <c r="BH97"/>
      <c r="BI97"/>
    </row>
    <row r="98" x14ac:dyDescent="0.15">
      <c r="BA98"/>
      <c r="BB98"/>
      <c r="BC98"/>
      <c r="BD98"/>
      <c r="BE98"/>
      <c r="BF98"/>
      <c r="BG98"/>
      <c r="BH98"/>
      <c r="BI98"/>
    </row>
    <row r="99" x14ac:dyDescent="0.15">
      <c r="BA99"/>
      <c r="BB99"/>
      <c r="BC99"/>
      <c r="BD99"/>
      <c r="BE99"/>
      <c r="BF99"/>
      <c r="BG99"/>
      <c r="BH99"/>
      <c r="BI99"/>
    </row>
    <row r="100" x14ac:dyDescent="0.15">
      <c r="BA100"/>
      <c r="BB100"/>
      <c r="BC100"/>
      <c r="BD100"/>
      <c r="BE100"/>
      <c r="BF100"/>
      <c r="BG100"/>
      <c r="BH100"/>
      <c r="BI100"/>
    </row>
    <row r="101" x14ac:dyDescent="0.15">
      <c r="BA101"/>
      <c r="BB101"/>
      <c r="BC101"/>
      <c r="BD101"/>
      <c r="BE101"/>
      <c r="BF101"/>
      <c r="BG101"/>
      <c r="BH101"/>
      <c r="BI101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L1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12.83203125" customWidth="true"/>
    <col min="2" max="2" width="21.6640625" customWidth="true"/>
    <col min="3" max="3" width="13.33203125" bestFit="true" customWidth="true"/>
    <col min="4" max="4" width="14.33203125" bestFit="true" customWidth="true"/>
    <col min="5" max="5" width="17.5" bestFit="true" customWidth="true"/>
  </cols>
  <sheetData>
    <row r="1" ht="14" x14ac:dyDescent="0.15">
      <c r="A1" s="138" t="s">
        <v>20</v>
      </c>
      <c r="B1" s="1" t="s">
        <v>0</v>
      </c>
      <c r="C1" t="s">
        <v>249</v>
      </c>
      <c r="D1" t="s">
        <v>250</v>
      </c>
      <c r="E1" t="s">
        <v>175</v>
      </c>
      <c r="F1" t="s">
        <v>177</v>
      </c>
      <c r="G1" s="139" t="s">
        <v>61</v>
      </c>
    </row>
    <row r="2" x14ac:dyDescent="0.15">
      <c r="A2">
        <v>1</v>
      </c>
      <c r="B2" s="155" t="s">
        <v>181</v>
      </c>
      <c r="C2" s="205">
        <v>0</v>
      </c>
      <c r="D2" s="205">
        <v>1</v>
      </c>
      <c r="E2">
        <v>0</v>
      </c>
      <c r="F2">
        <v>0</v>
      </c>
      <c r="G2">
        <f>SUM(C2:F2)</f>
        <v>1</v>
      </c>
    </row>
    <row r="3" x14ac:dyDescent="0.15">
      <c r="A3">
        <v>2</v>
      </c>
      <c r="B3" s="155" t="s">
        <v>182</v>
      </c>
      <c r="C3" s="205">
        <v>0</v>
      </c>
      <c r="D3" s="205">
        <v>1</v>
      </c>
      <c r="E3">
        <v>0</v>
      </c>
      <c r="F3">
        <v>0</v>
      </c>
      <c r="G3">
        <f t="shared" ref="G3:G67" si="0">SUM(C3:F3)</f>
        <v>1</v>
      </c>
      <c r="I3" s="214" t="s">
        <v>297</v>
      </c>
      <c r="J3" s="204"/>
      <c r="K3" s="204"/>
      <c r="L3" s="204"/>
    </row>
    <row r="4" x14ac:dyDescent="0.15">
      <c r="A4">
        <v>3</v>
      </c>
      <c r="B4" s="155" t="s">
        <v>183</v>
      </c>
      <c r="C4" s="205">
        <v>0</v>
      </c>
      <c r="D4" s="205">
        <v>1</v>
      </c>
      <c r="E4">
        <v>0</v>
      </c>
      <c r="F4">
        <v>0</v>
      </c>
      <c r="G4">
        <f t="shared" si="0"/>
        <v>1</v>
      </c>
    </row>
    <row r="5" x14ac:dyDescent="0.15">
      <c r="A5">
        <v>4</v>
      </c>
      <c r="B5" s="155" t="s">
        <v>184</v>
      </c>
      <c r="C5" s="205">
        <v>0</v>
      </c>
      <c r="D5" s="205">
        <v>1</v>
      </c>
      <c r="E5">
        <v>0</v>
      </c>
      <c r="F5">
        <v>0</v>
      </c>
      <c r="G5">
        <f t="shared" si="0"/>
        <v>1</v>
      </c>
    </row>
    <row r="6" x14ac:dyDescent="0.15">
      <c r="A6">
        <v>5</v>
      </c>
      <c r="B6" s="155" t="s">
        <v>185</v>
      </c>
      <c r="C6" s="205">
        <v>0</v>
      </c>
      <c r="D6" s="205">
        <v>1</v>
      </c>
      <c r="E6">
        <v>0</v>
      </c>
      <c r="F6">
        <v>0</v>
      </c>
      <c r="G6">
        <f t="shared" si="0"/>
        <v>1</v>
      </c>
    </row>
    <row r="7" x14ac:dyDescent="0.15">
      <c r="A7">
        <v>6</v>
      </c>
      <c r="B7" s="155" t="s">
        <v>186</v>
      </c>
      <c r="C7" s="205">
        <v>0</v>
      </c>
      <c r="D7" s="205">
        <v>1</v>
      </c>
      <c r="E7">
        <v>0</v>
      </c>
      <c r="F7">
        <v>0</v>
      </c>
      <c r="G7">
        <f t="shared" si="0"/>
        <v>1</v>
      </c>
    </row>
    <row r="8" x14ac:dyDescent="0.15">
      <c r="A8">
        <v>7</v>
      </c>
      <c r="B8" s="155" t="s">
        <v>187</v>
      </c>
      <c r="C8" s="205">
        <v>0</v>
      </c>
      <c r="D8" s="205">
        <v>1</v>
      </c>
      <c r="E8">
        <v>0</v>
      </c>
      <c r="F8">
        <v>0</v>
      </c>
      <c r="G8">
        <f t="shared" si="0"/>
        <v>1</v>
      </c>
    </row>
    <row r="9" x14ac:dyDescent="0.15">
      <c r="A9">
        <v>8</v>
      </c>
      <c r="B9" s="155" t="s">
        <v>188</v>
      </c>
      <c r="C9" s="205">
        <v>0</v>
      </c>
      <c r="D9" s="205">
        <v>1</v>
      </c>
      <c r="E9">
        <v>0</v>
      </c>
      <c r="F9">
        <v>0</v>
      </c>
      <c r="G9">
        <f t="shared" si="0"/>
        <v>1</v>
      </c>
    </row>
    <row r="10" x14ac:dyDescent="0.15">
      <c r="A10">
        <v>9</v>
      </c>
      <c r="B10" s="155" t="s">
        <v>189</v>
      </c>
      <c r="C10" s="205">
        <v>0</v>
      </c>
      <c r="D10" s="205">
        <v>1</v>
      </c>
      <c r="E10">
        <v>0</v>
      </c>
      <c r="F10">
        <v>0</v>
      </c>
      <c r="G10">
        <f t="shared" si="0"/>
        <v>1</v>
      </c>
    </row>
    <row r="11" x14ac:dyDescent="0.15">
      <c r="A11">
        <v>10</v>
      </c>
      <c r="B11" s="155" t="s">
        <v>190</v>
      </c>
      <c r="C11" s="205">
        <v>0</v>
      </c>
      <c r="D11" s="205">
        <v>1</v>
      </c>
      <c r="E11">
        <v>0</v>
      </c>
      <c r="F11">
        <v>0</v>
      </c>
      <c r="G11">
        <f t="shared" si="0"/>
        <v>1</v>
      </c>
    </row>
    <row r="12" x14ac:dyDescent="0.15">
      <c r="A12">
        <v>11</v>
      </c>
      <c r="B12" s="155" t="s">
        <v>191</v>
      </c>
      <c r="C12" s="205">
        <v>0</v>
      </c>
      <c r="D12" s="205">
        <v>1</v>
      </c>
      <c r="E12">
        <v>0</v>
      </c>
      <c r="F12">
        <v>0</v>
      </c>
      <c r="G12">
        <f t="shared" si="0"/>
        <v>1</v>
      </c>
    </row>
    <row r="13" x14ac:dyDescent="0.15">
      <c r="A13">
        <v>12</v>
      </c>
      <c r="B13" s="155" t="s">
        <v>192</v>
      </c>
      <c r="C13" s="205">
        <v>0</v>
      </c>
      <c r="D13" s="205">
        <v>1</v>
      </c>
      <c r="E13">
        <v>0</v>
      </c>
      <c r="F13">
        <v>0</v>
      </c>
      <c r="G13">
        <f t="shared" si="0"/>
        <v>1</v>
      </c>
    </row>
    <row r="14" x14ac:dyDescent="0.15">
      <c r="A14">
        <v>13</v>
      </c>
      <c r="B14" s="155" t="s">
        <v>193</v>
      </c>
      <c r="C14" s="205">
        <v>0</v>
      </c>
      <c r="D14" s="205">
        <v>1</v>
      </c>
      <c r="E14">
        <v>0</v>
      </c>
      <c r="F14">
        <v>0</v>
      </c>
      <c r="G14">
        <f t="shared" si="0"/>
        <v>1</v>
      </c>
    </row>
    <row r="15" x14ac:dyDescent="0.15">
      <c r="A15">
        <v>14</v>
      </c>
      <c r="B15" s="155" t="s">
        <v>194</v>
      </c>
      <c r="C15" s="205">
        <v>0</v>
      </c>
      <c r="D15" s="205">
        <v>1</v>
      </c>
      <c r="E15">
        <v>0</v>
      </c>
      <c r="F15">
        <v>0</v>
      </c>
      <c r="G15">
        <f t="shared" si="0"/>
        <v>1</v>
      </c>
    </row>
    <row r="16" x14ac:dyDescent="0.15">
      <c r="A16">
        <v>15</v>
      </c>
      <c r="B16" s="155" t="s">
        <v>195</v>
      </c>
      <c r="C16" s="205">
        <v>0</v>
      </c>
      <c r="D16" s="205">
        <v>1</v>
      </c>
      <c r="E16">
        <v>0</v>
      </c>
      <c r="F16">
        <v>0</v>
      </c>
      <c r="G16">
        <f t="shared" si="0"/>
        <v>1</v>
      </c>
    </row>
    <row r="17" x14ac:dyDescent="0.15">
      <c r="A17">
        <v>16</v>
      </c>
      <c r="B17" s="155" t="s">
        <v>196</v>
      </c>
      <c r="C17" s="205">
        <v>0</v>
      </c>
      <c r="D17" s="205">
        <v>1</v>
      </c>
      <c r="E17">
        <v>0</v>
      </c>
      <c r="F17">
        <v>0</v>
      </c>
      <c r="G17">
        <f t="shared" si="0"/>
        <v>1</v>
      </c>
    </row>
    <row r="18" x14ac:dyDescent="0.15">
      <c r="A18">
        <v>17</v>
      </c>
      <c r="B18" s="155" t="s">
        <v>197</v>
      </c>
      <c r="C18" s="205">
        <v>0</v>
      </c>
      <c r="D18" s="205">
        <v>1</v>
      </c>
      <c r="E18">
        <v>0</v>
      </c>
      <c r="F18">
        <v>0</v>
      </c>
      <c r="G18">
        <f t="shared" si="0"/>
        <v>1</v>
      </c>
    </row>
    <row r="19" x14ac:dyDescent="0.15">
      <c r="A19">
        <v>18</v>
      </c>
      <c r="B19" s="155" t="s">
        <v>198</v>
      </c>
      <c r="C19" s="205">
        <v>0</v>
      </c>
      <c r="D19" s="205">
        <v>1</v>
      </c>
      <c r="E19">
        <v>0</v>
      </c>
      <c r="F19">
        <v>0</v>
      </c>
      <c r="G19">
        <f t="shared" si="0"/>
        <v>1</v>
      </c>
    </row>
    <row r="20" x14ac:dyDescent="0.15">
      <c r="A20">
        <v>19</v>
      </c>
      <c r="B20" s="155" t="s">
        <v>199</v>
      </c>
      <c r="C20" s="205">
        <v>0</v>
      </c>
      <c r="D20" s="205">
        <v>1</v>
      </c>
      <c r="E20">
        <v>0</v>
      </c>
      <c r="F20">
        <v>0</v>
      </c>
      <c r="G20">
        <f t="shared" si="0"/>
        <v>1</v>
      </c>
    </row>
    <row r="21" x14ac:dyDescent="0.15">
      <c r="A21">
        <v>20</v>
      </c>
      <c r="B21" s="155" t="s">
        <v>200</v>
      </c>
      <c r="C21" s="205">
        <v>0</v>
      </c>
      <c r="D21" s="205">
        <v>1</v>
      </c>
      <c r="E21">
        <v>0</v>
      </c>
      <c r="F21">
        <v>0</v>
      </c>
      <c r="G21">
        <f t="shared" si="0"/>
        <v>1</v>
      </c>
    </row>
    <row r="22" x14ac:dyDescent="0.15">
      <c r="A22">
        <v>21</v>
      </c>
      <c r="B22" s="155" t="s">
        <v>201</v>
      </c>
      <c r="C22" s="205">
        <v>0</v>
      </c>
      <c r="D22" s="205">
        <v>1</v>
      </c>
      <c r="E22">
        <v>0</v>
      </c>
      <c r="F22">
        <v>0</v>
      </c>
      <c r="G22">
        <f t="shared" si="0"/>
        <v>1</v>
      </c>
    </row>
    <row r="23" x14ac:dyDescent="0.15">
      <c r="A23">
        <v>22</v>
      </c>
      <c r="B23" s="155" t="s">
        <v>202</v>
      </c>
      <c r="C23" s="205">
        <v>0</v>
      </c>
      <c r="D23" s="205">
        <v>1</v>
      </c>
      <c r="E23">
        <v>0</v>
      </c>
      <c r="F23">
        <v>0</v>
      </c>
      <c r="G23">
        <f t="shared" si="0"/>
        <v>1</v>
      </c>
    </row>
    <row r="24" x14ac:dyDescent="0.15">
      <c r="A24">
        <v>23</v>
      </c>
      <c r="B24" s="155" t="s">
        <v>203</v>
      </c>
      <c r="C24" s="205">
        <v>0</v>
      </c>
      <c r="D24" s="205">
        <v>1</v>
      </c>
      <c r="E24">
        <v>0</v>
      </c>
      <c r="F24">
        <v>0</v>
      </c>
      <c r="G24">
        <f t="shared" si="0"/>
        <v>1</v>
      </c>
    </row>
    <row r="25" x14ac:dyDescent="0.15">
      <c r="A25">
        <v>24</v>
      </c>
      <c r="B25" s="155" t="s">
        <v>204</v>
      </c>
      <c r="C25" s="205">
        <v>0</v>
      </c>
      <c r="D25" s="205">
        <v>1</v>
      </c>
      <c r="E25">
        <v>0</v>
      </c>
      <c r="F25">
        <v>0</v>
      </c>
      <c r="G25">
        <f t="shared" si="0"/>
        <v>1</v>
      </c>
    </row>
    <row r="26" x14ac:dyDescent="0.15">
      <c r="A26">
        <v>25</v>
      </c>
      <c r="B26" s="155" t="s">
        <v>205</v>
      </c>
      <c r="C26" s="205">
        <v>0</v>
      </c>
      <c r="D26" s="205">
        <v>1</v>
      </c>
      <c r="E26">
        <v>0</v>
      </c>
      <c r="F26">
        <v>0</v>
      </c>
      <c r="G26">
        <f t="shared" si="0"/>
        <v>1</v>
      </c>
    </row>
    <row r="27" x14ac:dyDescent="0.15">
      <c r="A27">
        <v>26</v>
      </c>
      <c r="B27" s="155" t="s">
        <v>206</v>
      </c>
      <c r="C27" s="205">
        <v>0</v>
      </c>
      <c r="D27" s="205">
        <v>1</v>
      </c>
      <c r="E27">
        <v>0</v>
      </c>
      <c r="F27">
        <v>0</v>
      </c>
      <c r="G27">
        <f t="shared" si="0"/>
        <v>1</v>
      </c>
    </row>
    <row r="28" x14ac:dyDescent="0.15">
      <c r="A28">
        <v>27</v>
      </c>
      <c r="B28" s="155" t="s">
        <v>207</v>
      </c>
      <c r="C28" s="205">
        <v>0</v>
      </c>
      <c r="D28" s="205">
        <v>1</v>
      </c>
      <c r="E28">
        <v>0</v>
      </c>
      <c r="F28">
        <v>0</v>
      </c>
      <c r="G28">
        <f t="shared" si="0"/>
        <v>1</v>
      </c>
    </row>
    <row r="29" x14ac:dyDescent="0.15">
      <c r="A29">
        <v>28</v>
      </c>
      <c r="B29" s="155" t="s">
        <v>208</v>
      </c>
      <c r="C29" s="205">
        <v>0</v>
      </c>
      <c r="D29" s="205">
        <v>1</v>
      </c>
      <c r="E29">
        <v>0</v>
      </c>
      <c r="F29">
        <v>0</v>
      </c>
      <c r="G29">
        <f t="shared" si="0"/>
        <v>1</v>
      </c>
    </row>
    <row r="30" x14ac:dyDescent="0.15">
      <c r="A30">
        <v>29</v>
      </c>
      <c r="B30" s="155" t="s">
        <v>209</v>
      </c>
      <c r="C30" s="205">
        <v>0</v>
      </c>
      <c r="D30" s="205">
        <v>1</v>
      </c>
      <c r="E30">
        <v>0</v>
      </c>
      <c r="F30">
        <v>0</v>
      </c>
      <c r="G30">
        <f t="shared" si="0"/>
        <v>1</v>
      </c>
    </row>
    <row r="31" x14ac:dyDescent="0.15">
      <c r="A31">
        <v>30</v>
      </c>
      <c r="B31" s="155" t="s">
        <v>210</v>
      </c>
      <c r="C31" s="205">
        <v>0</v>
      </c>
      <c r="D31" s="205">
        <v>1</v>
      </c>
      <c r="E31">
        <v>0</v>
      </c>
      <c r="F31">
        <v>0</v>
      </c>
      <c r="G31">
        <f t="shared" si="0"/>
        <v>1</v>
      </c>
    </row>
    <row r="32" x14ac:dyDescent="0.15">
      <c r="A32">
        <v>31</v>
      </c>
      <c r="B32" s="155" t="s">
        <v>211</v>
      </c>
      <c r="C32" s="205">
        <v>0</v>
      </c>
      <c r="D32" s="205">
        <v>1</v>
      </c>
      <c r="E32">
        <v>0</v>
      </c>
      <c r="F32">
        <v>0</v>
      </c>
      <c r="G32">
        <f t="shared" si="0"/>
        <v>1</v>
      </c>
    </row>
    <row r="33" x14ac:dyDescent="0.15">
      <c r="A33">
        <v>32</v>
      </c>
      <c r="B33" s="155" t="s">
        <v>212</v>
      </c>
      <c r="C33" s="205">
        <v>0</v>
      </c>
      <c r="D33" s="205">
        <v>1</v>
      </c>
      <c r="E33">
        <v>0</v>
      </c>
      <c r="F33">
        <v>0</v>
      </c>
      <c r="G33">
        <f t="shared" si="0"/>
        <v>1</v>
      </c>
    </row>
    <row r="34" x14ac:dyDescent="0.15">
      <c r="A34">
        <v>33</v>
      </c>
      <c r="B34" s="155" t="s">
        <v>213</v>
      </c>
      <c r="C34" s="205">
        <v>0</v>
      </c>
      <c r="D34" s="205">
        <v>1</v>
      </c>
      <c r="E34">
        <v>0</v>
      </c>
      <c r="F34">
        <v>0</v>
      </c>
      <c r="G34">
        <f t="shared" si="0"/>
        <v>1</v>
      </c>
    </row>
    <row r="35" x14ac:dyDescent="0.15">
      <c r="A35">
        <v>34</v>
      </c>
      <c r="B35" s="155" t="s">
        <v>214</v>
      </c>
      <c r="C35" s="205">
        <v>0</v>
      </c>
      <c r="D35" s="205">
        <v>1</v>
      </c>
      <c r="E35">
        <v>0</v>
      </c>
      <c r="F35">
        <v>0</v>
      </c>
      <c r="G35">
        <f t="shared" si="0"/>
        <v>1</v>
      </c>
    </row>
    <row r="36" x14ac:dyDescent="0.15">
      <c r="A36">
        <v>35</v>
      </c>
      <c r="B36" s="155" t="s">
        <v>215</v>
      </c>
      <c r="C36" s="205">
        <v>0</v>
      </c>
      <c r="D36" s="205">
        <v>1</v>
      </c>
      <c r="E36">
        <v>0</v>
      </c>
      <c r="F36">
        <v>0</v>
      </c>
      <c r="G36">
        <f t="shared" si="0"/>
        <v>1</v>
      </c>
    </row>
    <row r="37" x14ac:dyDescent="0.15">
      <c r="A37">
        <v>36</v>
      </c>
      <c r="B37" s="155" t="s">
        <v>216</v>
      </c>
      <c r="C37" s="205">
        <v>0</v>
      </c>
      <c r="D37" s="205">
        <v>1</v>
      </c>
      <c r="E37">
        <v>0</v>
      </c>
      <c r="F37">
        <v>0</v>
      </c>
      <c r="G37">
        <f t="shared" si="0"/>
        <v>1</v>
      </c>
    </row>
    <row r="38" x14ac:dyDescent="0.15">
      <c r="A38">
        <v>37</v>
      </c>
      <c r="B38" s="155" t="s">
        <v>217</v>
      </c>
      <c r="C38" s="205">
        <v>0</v>
      </c>
      <c r="D38" s="205">
        <v>1</v>
      </c>
      <c r="E38">
        <v>0</v>
      </c>
      <c r="F38">
        <v>0</v>
      </c>
      <c r="G38">
        <f t="shared" si="0"/>
        <v>1</v>
      </c>
    </row>
    <row r="39" x14ac:dyDescent="0.15">
      <c r="A39">
        <v>38</v>
      </c>
      <c r="B39" s="155" t="s">
        <v>218</v>
      </c>
      <c r="C39" s="205">
        <v>0</v>
      </c>
      <c r="D39" s="205">
        <v>1</v>
      </c>
      <c r="E39">
        <v>0</v>
      </c>
      <c r="F39">
        <v>0</v>
      </c>
      <c r="G39">
        <f t="shared" si="0"/>
        <v>1</v>
      </c>
    </row>
    <row r="40" x14ac:dyDescent="0.15">
      <c r="A40">
        <v>39</v>
      </c>
      <c r="B40" s="155" t="s">
        <v>219</v>
      </c>
      <c r="C40" s="205">
        <v>0</v>
      </c>
      <c r="D40" s="205">
        <v>1</v>
      </c>
      <c r="E40">
        <v>0</v>
      </c>
      <c r="F40">
        <v>0</v>
      </c>
      <c r="G40">
        <f t="shared" si="0"/>
        <v>1</v>
      </c>
    </row>
    <row r="41" x14ac:dyDescent="0.15">
      <c r="A41">
        <v>40</v>
      </c>
      <c r="B41" s="155" t="s">
        <v>220</v>
      </c>
      <c r="C41" s="205">
        <v>0</v>
      </c>
      <c r="D41" s="205">
        <v>1</v>
      </c>
      <c r="E41">
        <v>0</v>
      </c>
      <c r="F41">
        <v>0</v>
      </c>
      <c r="G41">
        <f t="shared" si="0"/>
        <v>1</v>
      </c>
    </row>
    <row r="42" x14ac:dyDescent="0.15">
      <c r="A42">
        <v>41</v>
      </c>
      <c r="B42" s="155" t="s">
        <v>221</v>
      </c>
      <c r="C42" s="205">
        <v>0</v>
      </c>
      <c r="D42" s="205">
        <v>1</v>
      </c>
      <c r="E42">
        <v>0</v>
      </c>
      <c r="F42">
        <v>0</v>
      </c>
      <c r="G42">
        <f t="shared" si="0"/>
        <v>1</v>
      </c>
    </row>
    <row r="43" x14ac:dyDescent="0.15">
      <c r="A43">
        <v>42</v>
      </c>
      <c r="B43" s="155" t="s">
        <v>222</v>
      </c>
      <c r="C43" s="205">
        <v>0</v>
      </c>
      <c r="D43" s="205">
        <v>1</v>
      </c>
      <c r="E43">
        <v>0</v>
      </c>
      <c r="F43">
        <v>0</v>
      </c>
      <c r="G43">
        <f t="shared" si="0"/>
        <v>1</v>
      </c>
    </row>
    <row r="44" x14ac:dyDescent="0.15">
      <c r="A44">
        <v>43</v>
      </c>
      <c r="B44" s="155" t="s">
        <v>223</v>
      </c>
      <c r="C44" s="205">
        <v>0</v>
      </c>
      <c r="D44" s="205">
        <v>1</v>
      </c>
      <c r="E44">
        <v>0</v>
      </c>
      <c r="F44">
        <v>0</v>
      </c>
      <c r="G44">
        <f t="shared" si="0"/>
        <v>1</v>
      </c>
    </row>
    <row r="45" x14ac:dyDescent="0.15">
      <c r="A45">
        <v>44</v>
      </c>
      <c r="B45" s="155" t="s">
        <v>224</v>
      </c>
      <c r="C45" s="205">
        <v>0</v>
      </c>
      <c r="D45" s="205">
        <v>1</v>
      </c>
      <c r="E45">
        <v>0</v>
      </c>
      <c r="F45">
        <v>0</v>
      </c>
      <c r="G45">
        <f t="shared" si="0"/>
        <v>1</v>
      </c>
    </row>
    <row r="46" x14ac:dyDescent="0.15">
      <c r="A46">
        <v>45</v>
      </c>
      <c r="B46" s="155" t="s">
        <v>225</v>
      </c>
      <c r="C46" s="205">
        <v>0</v>
      </c>
      <c r="D46" s="205">
        <v>1</v>
      </c>
      <c r="E46">
        <v>0</v>
      </c>
      <c r="F46">
        <v>0</v>
      </c>
      <c r="G46">
        <f t="shared" si="0"/>
        <v>1</v>
      </c>
    </row>
    <row r="47" x14ac:dyDescent="0.15">
      <c r="A47">
        <v>46</v>
      </c>
      <c r="B47" s="155" t="s">
        <v>226</v>
      </c>
      <c r="C47" s="205">
        <v>0</v>
      </c>
      <c r="D47" s="205">
        <v>1</v>
      </c>
      <c r="E47">
        <v>0</v>
      </c>
      <c r="F47">
        <v>0</v>
      </c>
      <c r="G47">
        <f t="shared" si="0"/>
        <v>1</v>
      </c>
    </row>
    <row r="48" x14ac:dyDescent="0.15">
      <c r="A48">
        <v>47</v>
      </c>
      <c r="B48" s="155" t="s">
        <v>227</v>
      </c>
      <c r="C48" s="205">
        <v>0</v>
      </c>
      <c r="D48" s="205">
        <v>1</v>
      </c>
      <c r="E48">
        <v>0</v>
      </c>
      <c r="F48">
        <v>0</v>
      </c>
      <c r="G48">
        <f t="shared" si="0"/>
        <v>1</v>
      </c>
    </row>
    <row r="49" x14ac:dyDescent="0.15">
      <c r="A49">
        <v>48</v>
      </c>
      <c r="B49" s="155" t="s">
        <v>228</v>
      </c>
      <c r="C49" s="205">
        <v>0</v>
      </c>
      <c r="D49" s="205">
        <v>1</v>
      </c>
      <c r="E49">
        <v>0</v>
      </c>
      <c r="F49">
        <v>0</v>
      </c>
      <c r="G49">
        <f t="shared" si="0"/>
        <v>1</v>
      </c>
    </row>
    <row r="50" x14ac:dyDescent="0.15">
      <c r="A50">
        <v>49</v>
      </c>
      <c r="B50" s="155" t="s">
        <v>229</v>
      </c>
      <c r="C50" s="205">
        <v>0</v>
      </c>
      <c r="D50" s="205">
        <v>1</v>
      </c>
      <c r="E50">
        <v>0</v>
      </c>
      <c r="F50">
        <v>0</v>
      </c>
      <c r="G50">
        <f t="shared" si="0"/>
        <v>1</v>
      </c>
    </row>
    <row r="51" ht="16" x14ac:dyDescent="0.2">
      <c r="A51">
        <v>50</v>
      </c>
      <c r="B51" s="155" t="s">
        <v>230</v>
      </c>
      <c r="C51" s="215">
        <v>0.05</v>
      </c>
      <c r="D51" s="215">
        <v>0.95</v>
      </c>
      <c r="E51">
        <v>0</v>
      </c>
      <c r="F51">
        <v>0</v>
      </c>
      <c r="G51">
        <f t="shared" si="0"/>
        <v>1</v>
      </c>
    </row>
    <row r="52" ht="16" x14ac:dyDescent="0.2">
      <c r="A52">
        <v>51</v>
      </c>
      <c r="B52" s="216" t="s">
        <v>231</v>
      </c>
      <c r="C52" s="217">
        <v>0</v>
      </c>
      <c r="D52" s="217">
        <v>1</v>
      </c>
      <c r="E52">
        <v>0</v>
      </c>
      <c r="F52">
        <v>0</v>
      </c>
      <c r="G52">
        <f t="shared" si="0"/>
        <v>1</v>
      </c>
    </row>
    <row r="53" ht="16" x14ac:dyDescent="0.2">
      <c r="A53">
        <v>52</v>
      </c>
      <c r="B53" s="155" t="s">
        <v>233</v>
      </c>
      <c r="C53" s="215">
        <v>0.05</v>
      </c>
      <c r="D53" s="215">
        <v>0.95</v>
      </c>
      <c r="E53">
        <v>0</v>
      </c>
      <c r="F53">
        <v>0</v>
      </c>
      <c r="G53">
        <f t="shared" si="0"/>
        <v>1</v>
      </c>
    </row>
    <row r="54" ht="16" x14ac:dyDescent="0.2">
      <c r="A54">
        <v>53</v>
      </c>
      <c r="B54" s="155" t="s">
        <v>234</v>
      </c>
      <c r="C54" s="215">
        <v>0.2</v>
      </c>
      <c r="D54" s="215">
        <v>0.8</v>
      </c>
      <c r="E54">
        <v>0</v>
      </c>
      <c r="F54">
        <v>0</v>
      </c>
      <c r="G54">
        <f t="shared" si="0"/>
        <v>1</v>
      </c>
    </row>
    <row r="55" ht="16" x14ac:dyDescent="0.2">
      <c r="A55">
        <v>54</v>
      </c>
      <c r="B55" s="155" t="s">
        <v>235</v>
      </c>
      <c r="C55" s="215">
        <v>0.3</v>
      </c>
      <c r="D55" s="215">
        <v>0.7</v>
      </c>
      <c r="E55">
        <v>0</v>
      </c>
      <c r="F55">
        <v>0</v>
      </c>
      <c r="G55">
        <f t="shared" si="0"/>
        <v>1</v>
      </c>
    </row>
    <row r="56" ht="16" x14ac:dyDescent="0.2">
      <c r="A56">
        <v>55</v>
      </c>
      <c r="B56" s="155" t="s">
        <v>237</v>
      </c>
      <c r="C56" s="217">
        <v>0</v>
      </c>
      <c r="D56" s="217">
        <v>1</v>
      </c>
      <c r="E56">
        <v>0</v>
      </c>
      <c r="F56">
        <v>0</v>
      </c>
      <c r="G56">
        <f t="shared" si="0"/>
        <v>1</v>
      </c>
    </row>
    <row r="57" ht="16" x14ac:dyDescent="0.2">
      <c r="A57">
        <v>56</v>
      </c>
      <c r="B57" s="155" t="s">
        <v>238</v>
      </c>
      <c r="C57" s="217">
        <v>0</v>
      </c>
      <c r="D57" s="217">
        <v>1</v>
      </c>
      <c r="E57">
        <v>0</v>
      </c>
      <c r="F57">
        <v>0</v>
      </c>
      <c r="G57">
        <f t="shared" si="0"/>
        <v>1</v>
      </c>
    </row>
    <row r="58" ht="16" x14ac:dyDescent="0.2">
      <c r="A58">
        <v>57</v>
      </c>
      <c r="B58" s="155" t="s">
        <v>239</v>
      </c>
      <c r="C58" s="217">
        <v>0</v>
      </c>
      <c r="D58" s="217">
        <v>1</v>
      </c>
      <c r="E58">
        <v>0</v>
      </c>
      <c r="F58">
        <v>0</v>
      </c>
      <c r="G58">
        <f t="shared" si="0"/>
        <v>1</v>
      </c>
    </row>
    <row r="59" ht="16" x14ac:dyDescent="0.2">
      <c r="A59">
        <v>58</v>
      </c>
      <c r="B59" s="155" t="s">
        <v>240</v>
      </c>
      <c r="C59" s="217">
        <v>0</v>
      </c>
      <c r="D59" s="217">
        <v>1</v>
      </c>
      <c r="E59">
        <v>0</v>
      </c>
      <c r="F59">
        <v>0</v>
      </c>
      <c r="G59">
        <f t="shared" si="0"/>
        <v>1</v>
      </c>
    </row>
    <row r="60" ht="16" x14ac:dyDescent="0.2">
      <c r="A60">
        <v>59</v>
      </c>
      <c r="B60" s="155" t="s">
        <v>241</v>
      </c>
      <c r="C60" s="215">
        <v>0.05</v>
      </c>
      <c r="D60" s="215">
        <v>0.95</v>
      </c>
      <c r="E60">
        <v>0</v>
      </c>
      <c r="F60">
        <v>0</v>
      </c>
      <c r="G60">
        <f t="shared" si="0"/>
        <v>1</v>
      </c>
    </row>
    <row r="61" ht="16" x14ac:dyDescent="0.2">
      <c r="A61">
        <v>60</v>
      </c>
      <c r="B61" s="155" t="s">
        <v>242</v>
      </c>
      <c r="C61" s="217">
        <v>0</v>
      </c>
      <c r="D61" s="217">
        <v>1</v>
      </c>
      <c r="E61">
        <v>0</v>
      </c>
      <c r="F61">
        <v>0</v>
      </c>
      <c r="G61">
        <f t="shared" si="0"/>
        <v>1</v>
      </c>
    </row>
    <row r="62" ht="16" x14ac:dyDescent="0.2">
      <c r="A62">
        <v>61</v>
      </c>
      <c r="B62" s="155" t="s">
        <v>243</v>
      </c>
      <c r="C62" s="217">
        <v>0</v>
      </c>
      <c r="D62" s="217">
        <v>1</v>
      </c>
      <c r="E62">
        <v>0</v>
      </c>
      <c r="F62">
        <v>0</v>
      </c>
      <c r="G62">
        <f t="shared" si="0"/>
        <v>1</v>
      </c>
    </row>
    <row r="63" ht="16" x14ac:dyDescent="0.2">
      <c r="A63">
        <v>62</v>
      </c>
      <c r="B63" s="155" t="s">
        <v>244</v>
      </c>
      <c r="C63" s="217">
        <v>0</v>
      </c>
      <c r="D63" s="217">
        <v>1</v>
      </c>
      <c r="E63">
        <v>0</v>
      </c>
      <c r="F63">
        <v>0</v>
      </c>
      <c r="G63">
        <f t="shared" si="0"/>
        <v>1</v>
      </c>
    </row>
    <row r="64" ht="16" x14ac:dyDescent="0.2">
      <c r="A64">
        <v>63</v>
      </c>
      <c r="B64" s="155" t="s">
        <v>245</v>
      </c>
      <c r="C64" s="217">
        <v>0</v>
      </c>
      <c r="D64" s="217">
        <v>1</v>
      </c>
      <c r="E64">
        <v>0</v>
      </c>
      <c r="F64">
        <v>0</v>
      </c>
      <c r="G64">
        <f t="shared" si="0"/>
        <v>1</v>
      </c>
    </row>
    <row r="65" ht="16" x14ac:dyDescent="0.2">
      <c r="A65">
        <v>64</v>
      </c>
      <c r="B65" s="155" t="s">
        <v>246</v>
      </c>
      <c r="C65" s="217">
        <v>0</v>
      </c>
      <c r="D65" s="217">
        <v>1</v>
      </c>
      <c r="E65">
        <v>0</v>
      </c>
      <c r="F65">
        <v>0</v>
      </c>
      <c r="G65">
        <f t="shared" si="0"/>
        <v>1</v>
      </c>
    </row>
    <row r="66" ht="16" x14ac:dyDescent="0.2">
      <c r="A66">
        <v>65</v>
      </c>
      <c r="B66" s="155" t="s">
        <v>247</v>
      </c>
      <c r="C66" s="215">
        <v>1</v>
      </c>
      <c r="D66" s="215">
        <v>0</v>
      </c>
      <c r="E66">
        <v>0</v>
      </c>
      <c r="F66">
        <v>0</v>
      </c>
      <c r="G66">
        <f t="shared" si="0"/>
        <v>1</v>
      </c>
    </row>
    <row r="67" x14ac:dyDescent="0.15">
      <c r="A67">
        <v>66</v>
      </c>
      <c r="B67" s="155" t="s">
        <v>248</v>
      </c>
      <c r="C67" s="153">
        <v>0.3</v>
      </c>
      <c r="D67" s="153">
        <v>0.7</v>
      </c>
      <c r="E67">
        <v>0</v>
      </c>
      <c r="F67">
        <v>0</v>
      </c>
      <c r="G67">
        <f t="shared" si="0"/>
        <v>1</v>
      </c>
    </row>
    <row r="68" x14ac:dyDescent="0.15">
      <c r="A68">
        <v>67</v>
      </c>
      <c r="B68" s="155" t="s">
        <v>249</v>
      </c>
      <c r="C68" s="153">
        <v>0</v>
      </c>
      <c r="D68" s="153">
        <v>1</v>
      </c>
      <c r="E68">
        <v>0</v>
      </c>
      <c r="F68">
        <v>0</v>
      </c>
      <c r="G68">
        <f t="shared" ref="G68:G82" si="1">SUM(C68:F68)</f>
        <v>1</v>
      </c>
    </row>
    <row r="69" x14ac:dyDescent="0.15">
      <c r="A69">
        <v>68</v>
      </c>
      <c r="B69" s="155" t="s">
        <v>250</v>
      </c>
      <c r="C69" s="153">
        <v>0</v>
      </c>
      <c r="D69" s="153">
        <v>0</v>
      </c>
      <c r="E69">
        <v>0</v>
      </c>
      <c r="F69">
        <v>1</v>
      </c>
      <c r="G69">
        <f t="shared" si="1"/>
        <v>1</v>
      </c>
    </row>
    <row r="70" x14ac:dyDescent="0.15">
      <c r="A70">
        <v>69</v>
      </c>
      <c r="B70" s="155" t="s">
        <v>175</v>
      </c>
      <c r="C70" s="153">
        <v>0</v>
      </c>
      <c r="D70" s="153">
        <v>1</v>
      </c>
      <c r="E70">
        <v>0</v>
      </c>
      <c r="F70">
        <v>0</v>
      </c>
      <c r="G70">
        <f t="shared" si="1"/>
        <v>1</v>
      </c>
    </row>
    <row r="71" x14ac:dyDescent="0.15">
      <c r="A71">
        <v>70</v>
      </c>
      <c r="B71" s="155" t="s">
        <v>251</v>
      </c>
      <c r="C71" s="153">
        <v>0</v>
      </c>
      <c r="D71" s="153">
        <v>0</v>
      </c>
      <c r="E71">
        <v>1</v>
      </c>
      <c r="F71">
        <v>0</v>
      </c>
      <c r="G71">
        <f t="shared" si="1"/>
        <v>1</v>
      </c>
    </row>
    <row r="72" x14ac:dyDescent="0.15">
      <c r="A72">
        <f>A71+1</f>
        <v>71</v>
      </c>
      <c r="B72" s="155" t="s">
        <v>252</v>
      </c>
      <c r="C72" s="153">
        <v>0</v>
      </c>
      <c r="D72" s="153">
        <v>0</v>
      </c>
      <c r="E72">
        <v>1</v>
      </c>
      <c r="F72">
        <v>0</v>
      </c>
      <c r="G72">
        <f t="shared" si="1"/>
        <v>1</v>
      </c>
    </row>
    <row r="73" x14ac:dyDescent="0.15">
      <c r="A73">
        <f t="shared" ref="A73:A82" si="2">A72+1</f>
        <v>72</v>
      </c>
      <c r="B73" s="155" t="s">
        <v>253</v>
      </c>
      <c r="C73" s="153">
        <v>0</v>
      </c>
      <c r="D73" s="153">
        <v>0</v>
      </c>
      <c r="E73">
        <v>1</v>
      </c>
      <c r="F73">
        <v>0</v>
      </c>
      <c r="G73">
        <f t="shared" si="1"/>
        <v>1</v>
      </c>
    </row>
    <row r="74" x14ac:dyDescent="0.15">
      <c r="A74">
        <f t="shared" si="2"/>
        <v>73</v>
      </c>
      <c r="B74" s="155" t="s">
        <v>254</v>
      </c>
      <c r="C74" s="153">
        <v>0</v>
      </c>
      <c r="D74" s="153">
        <v>0</v>
      </c>
      <c r="E74">
        <v>1</v>
      </c>
      <c r="F74">
        <v>0</v>
      </c>
      <c r="G74">
        <f t="shared" si="1"/>
        <v>1</v>
      </c>
    </row>
    <row r="75" x14ac:dyDescent="0.15">
      <c r="A75">
        <f t="shared" si="2"/>
        <v>74</v>
      </c>
      <c r="B75" s="155" t="s">
        <v>255</v>
      </c>
      <c r="C75" s="153">
        <v>0</v>
      </c>
      <c r="D75" s="153">
        <v>0</v>
      </c>
      <c r="E75">
        <v>1</v>
      </c>
      <c r="F75">
        <v>0</v>
      </c>
      <c r="G75">
        <f t="shared" si="1"/>
        <v>1</v>
      </c>
    </row>
    <row r="76" x14ac:dyDescent="0.15">
      <c r="A76">
        <f t="shared" si="2"/>
        <v>75</v>
      </c>
      <c r="B76" s="155" t="s">
        <v>256</v>
      </c>
      <c r="C76" s="153">
        <v>0</v>
      </c>
      <c r="D76" s="153">
        <v>0</v>
      </c>
      <c r="E76">
        <v>1</v>
      </c>
      <c r="F76">
        <v>0</v>
      </c>
      <c r="G76">
        <f t="shared" si="1"/>
        <v>1</v>
      </c>
    </row>
    <row r="77" x14ac:dyDescent="0.15">
      <c r="A77">
        <f t="shared" si="2"/>
        <v>76</v>
      </c>
      <c r="B77" s="155" t="s">
        <v>257</v>
      </c>
      <c r="C77" s="153">
        <v>0</v>
      </c>
      <c r="D77" s="153">
        <v>0</v>
      </c>
      <c r="E77">
        <v>1</v>
      </c>
      <c r="F77">
        <v>0</v>
      </c>
      <c r="G77">
        <f t="shared" si="1"/>
        <v>1</v>
      </c>
    </row>
    <row r="78" x14ac:dyDescent="0.15">
      <c r="A78">
        <f t="shared" si="2"/>
        <v>77</v>
      </c>
      <c r="B78" s="155" t="s">
        <v>258</v>
      </c>
      <c r="C78" s="153">
        <v>0</v>
      </c>
      <c r="D78" s="153">
        <v>0</v>
      </c>
      <c r="E78">
        <v>1</v>
      </c>
      <c r="F78">
        <v>0</v>
      </c>
      <c r="G78">
        <f t="shared" si="1"/>
        <v>1</v>
      </c>
    </row>
    <row r="79" x14ac:dyDescent="0.15">
      <c r="A79">
        <f t="shared" si="2"/>
        <v>78</v>
      </c>
      <c r="B79" s="155" t="s">
        <v>259</v>
      </c>
      <c r="C79" s="153">
        <v>0</v>
      </c>
      <c r="D79" s="153">
        <v>0</v>
      </c>
      <c r="E79">
        <v>1</v>
      </c>
      <c r="F79">
        <v>0</v>
      </c>
      <c r="G79">
        <f t="shared" si="1"/>
        <v>1</v>
      </c>
    </row>
    <row r="80" x14ac:dyDescent="0.15">
      <c r="A80">
        <f t="shared" si="2"/>
        <v>79</v>
      </c>
      <c r="B80" s="155" t="s">
        <v>260</v>
      </c>
      <c r="C80" s="153">
        <v>0</v>
      </c>
      <c r="D80" s="153">
        <v>0</v>
      </c>
      <c r="E80">
        <v>1</v>
      </c>
      <c r="F80">
        <v>0</v>
      </c>
      <c r="G80">
        <f t="shared" si="1"/>
        <v>1</v>
      </c>
    </row>
    <row r="81" x14ac:dyDescent="0.15">
      <c r="A81">
        <f t="shared" si="2"/>
        <v>80</v>
      </c>
      <c r="B81" s="155" t="s">
        <v>261</v>
      </c>
      <c r="C81" s="153">
        <v>0</v>
      </c>
      <c r="D81" s="153">
        <v>0</v>
      </c>
      <c r="E81">
        <v>1</v>
      </c>
      <c r="F81">
        <v>0</v>
      </c>
      <c r="G81">
        <f t="shared" si="1"/>
        <v>1</v>
      </c>
    </row>
    <row r="82" x14ac:dyDescent="0.15">
      <c r="A82">
        <f t="shared" si="2"/>
        <v>81</v>
      </c>
      <c r="B82" s="155" t="s">
        <v>262</v>
      </c>
      <c r="C82" s="153">
        <v>0</v>
      </c>
      <c r="D82" s="153">
        <v>0</v>
      </c>
      <c r="E82">
        <v>1</v>
      </c>
      <c r="F82">
        <v>0</v>
      </c>
      <c r="G82">
        <f t="shared" si="1"/>
        <v>1</v>
      </c>
    </row>
    <row r="83" ht="12" customHeight="true" x14ac:dyDescent="0.15"/>
    <row r="84" ht="12" customHeight="true" x14ac:dyDescent="0.15"/>
    <row r="85" ht="12" customHeight="true" x14ac:dyDescent="0.15"/>
    <row r="86" ht="12" customHeight="true" x14ac:dyDescent="0.15"/>
    <row r="87" ht="12" customHeight="true" x14ac:dyDescent="0.15"/>
    <row r="88" ht="12" customHeight="true" x14ac:dyDescent="0.15"/>
    <row r="89" ht="12" customHeight="true" x14ac:dyDescent="0.15"/>
    <row r="90" ht="12" customHeight="true" x14ac:dyDescent="0.15"/>
    <row r="91" ht="12" customHeight="true" x14ac:dyDescent="0.15"/>
    <row r="92" ht="12" customHeight="true" x14ac:dyDescent="0.15"/>
    <row r="93" ht="12" customHeight="true" x14ac:dyDescent="0.15"/>
    <row r="94" ht="12" customHeight="true" x14ac:dyDescent="0.15"/>
    <row r="95" ht="12" customHeight="true" x14ac:dyDescent="0.15"/>
    <row r="96" ht="12" customHeight="true" x14ac:dyDescent="0.15"/>
    <row r="97" ht="12" customHeight="true" x14ac:dyDescent="0.15"/>
    <row r="98" ht="12" customHeight="true" x14ac:dyDescent="0.15"/>
    <row r="99" ht="12" customHeight="true" x14ac:dyDescent="0.15"/>
    <row r="100" ht="12" customHeight="true" x14ac:dyDescent="0.15"/>
    <row r="101" ht="12" customHeight="true" x14ac:dyDescent="0.15"/>
    <row r="102" ht="12" customHeight="true" x14ac:dyDescent="0.15"/>
    <row r="103" ht="12" customHeight="true" x14ac:dyDescent="0.15"/>
    <row r="104" ht="12" customHeight="true" x14ac:dyDescent="0.15"/>
    <row r="105" ht="12" customHeight="true" x14ac:dyDescent="0.15"/>
    <row r="106" ht="12" customHeight="true" x14ac:dyDescent="0.15"/>
    <row r="107" ht="12" customHeight="true" x14ac:dyDescent="0.15"/>
    <row r="108" ht="12" customHeight="true" x14ac:dyDescent="0.15"/>
    <row r="109" ht="12" customHeight="true" x14ac:dyDescent="0.15"/>
    <row r="110" ht="12" customHeight="true" x14ac:dyDescent="0.15"/>
    <row r="111" ht="12" customHeight="true" x14ac:dyDescent="0.15"/>
    <row r="112" ht="12" customHeight="true" x14ac:dyDescent="0.15"/>
    <row r="113" ht="12" customHeight="true" x14ac:dyDescent="0.15"/>
    <row r="114" ht="12" customHeight="true" x14ac:dyDescent="0.15"/>
    <row r="115" ht="12" customHeight="true" x14ac:dyDescent="0.15"/>
    <row r="116" ht="12" customHeight="true" x14ac:dyDescent="0.15"/>
    <row r="117" ht="12" customHeight="true" x14ac:dyDescent="0.15"/>
    <row r="118" ht="12" customHeight="true" x14ac:dyDescent="0.15"/>
    <row r="119" ht="12" customHeight="true" x14ac:dyDescent="0.15"/>
    <row r="120" ht="12" customHeight="true" x14ac:dyDescent="0.15"/>
    <row r="121" ht="12" customHeight="true" x14ac:dyDescent="0.15"/>
    <row r="122" ht="12" customHeight="true" x14ac:dyDescent="0.15"/>
    <row r="123" ht="12" customHeight="true" x14ac:dyDescent="0.15"/>
    <row r="124" ht="12" customHeight="true" x14ac:dyDescent="0.15"/>
    <row r="125" ht="12" customHeight="true" x14ac:dyDescent="0.15"/>
    <row r="126" ht="12" customHeight="true" x14ac:dyDescent="0.15"/>
    <row r="127" ht="12" customHeight="true" x14ac:dyDescent="0.15"/>
    <row r="128" ht="12" customHeight="true" x14ac:dyDescent="0.15"/>
    <row r="129" ht="12" customHeight="true" x14ac:dyDescent="0.15"/>
    <row r="130" ht="12" customHeight="true" x14ac:dyDescent="0.15"/>
    <row r="131" ht="12" customHeight="true" x14ac:dyDescent="0.15"/>
    <row r="132" ht="12" customHeight="true" x14ac:dyDescent="0.15"/>
    <row r="133" ht="12" customHeight="true" x14ac:dyDescent="0.15"/>
    <row r="134" ht="12" customHeight="true" x14ac:dyDescent="0.15"/>
    <row r="135" ht="12" customHeight="true" x14ac:dyDescent="0.15"/>
    <row r="136" ht="12" customHeight="true" x14ac:dyDescent="0.15"/>
    <row r="137" ht="12" customHeight="true" x14ac:dyDescent="0.15"/>
    <row r="138" ht="12" customHeight="true" x14ac:dyDescent="0.15"/>
    <row r="139" ht="12" customHeight="true" x14ac:dyDescent="0.15"/>
    <row r="140" ht="12" customHeight="true" x14ac:dyDescent="0.15"/>
    <row r="141" ht="12" customHeight="true" x14ac:dyDescent="0.15"/>
    <row r="142" ht="12" customHeight="true" x14ac:dyDescent="0.15"/>
    <row r="143" ht="12" customHeight="true" x14ac:dyDescent="0.15"/>
    <row r="144" ht="12" customHeight="true" x14ac:dyDescent="0.15"/>
    <row r="145" ht="12" customHeight="true" x14ac:dyDescent="0.15"/>
    <row r="146" ht="12" customHeight="true" x14ac:dyDescent="0.15"/>
    <row r="147" ht="12" customHeight="true" x14ac:dyDescent="0.15"/>
    <row r="148" ht="12" customHeight="true" x14ac:dyDescent="0.15"/>
    <row r="149" ht="12" customHeight="true" x14ac:dyDescent="0.15"/>
    <row r="150" ht="12" customHeight="true" x14ac:dyDescent="0.15"/>
    <row r="151" ht="12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O17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/>
    </sheetView>
  </sheetViews>
  <sheetFormatPr baseColWidth="10" defaultColWidth="8.83203125" defaultRowHeight="13" x14ac:dyDescent="0.15"/>
  <cols>
    <col min="1" max="1" width="12.6640625" customWidth="true"/>
    <col min="2" max="2" width="22" bestFit="true" customWidth="true"/>
    <col min="3" max="14" width="10.6640625" customWidth="true"/>
  </cols>
  <sheetData>
    <row r="1" s="139" customFormat="true" ht="28" x14ac:dyDescent="0.15">
      <c r="A1" s="138" t="s">
        <v>21</v>
      </c>
      <c r="B1" s="141" t="s">
        <v>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I1" t="s">
        <v>257</v>
      </c>
      <c r="J1" t="s">
        <v>258</v>
      </c>
      <c r="K1" t="s">
        <v>259</v>
      </c>
      <c r="L1" t="s">
        <v>260</v>
      </c>
      <c r="M1" t="s">
        <v>261</v>
      </c>
      <c r="N1" t="s">
        <v>262</v>
      </c>
      <c r="O1" s="139" t="s">
        <v>298</v>
      </c>
    </row>
    <row r="2" x14ac:dyDescent="0.15">
      <c r="A2">
        <v>1</v>
      </c>
      <c r="B2" t="s">
        <v>181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s="218">
        <f>SUM(C2:N2)</f>
        <v>0</v>
      </c>
    </row>
    <row r="3" x14ac:dyDescent="0.15">
      <c r="A3">
        <v>2</v>
      </c>
      <c r="B3" t="s">
        <v>182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218">
        <f t="shared" ref="O3:O66" si="0">SUM(C3:N3)</f>
        <v>0</v>
      </c>
    </row>
    <row r="4" x14ac:dyDescent="0.15">
      <c r="A4">
        <v>3</v>
      </c>
      <c r="B4" t="s">
        <v>183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s="218">
        <f t="shared" si="0"/>
        <v>0</v>
      </c>
    </row>
    <row r="5" x14ac:dyDescent="0.15">
      <c r="A5">
        <v>4</v>
      </c>
      <c r="B5" t="s">
        <v>184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218">
        <f t="shared" si="0"/>
        <v>0</v>
      </c>
    </row>
    <row r="6" x14ac:dyDescent="0.15">
      <c r="A6">
        <v>5</v>
      </c>
      <c r="B6" t="s">
        <v>185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s="218">
        <f t="shared" si="0"/>
        <v>0</v>
      </c>
    </row>
    <row r="7" x14ac:dyDescent="0.15">
      <c r="A7">
        <v>6</v>
      </c>
      <c r="B7" t="s">
        <v>186</v>
      </c>
      <c r="C7">
        <v>4.7686956521739128E-3</v>
      </c>
      <c r="D7">
        <v>2.4347826086956523E-5</v>
      </c>
      <c r="E7">
        <v>4.6086956521739132E-4</v>
      </c>
      <c r="F7">
        <v>2.111304347826087E-3</v>
      </c>
      <c r="G7">
        <v>1.1008695652173913E-3</v>
      </c>
      <c r="H7">
        <v>8.5217391304347832E-5</v>
      </c>
      <c r="I7">
        <v>0</v>
      </c>
      <c r="J7">
        <v>0</v>
      </c>
      <c r="K7">
        <v>0</v>
      </c>
      <c r="L7">
        <v>0</v>
      </c>
      <c r="M7">
        <v>0</v>
      </c>
      <c r="N7">
        <v>1.7391304347826085E-5</v>
      </c>
      <c r="O7" s="218">
        <f t="shared" si="0"/>
        <v>8.568695652173915E-3</v>
      </c>
    </row>
    <row r="8" x14ac:dyDescent="0.15">
      <c r="A8">
        <v>7</v>
      </c>
      <c r="B8" t="s">
        <v>187</v>
      </c>
      <c r="C8">
        <v>6.956521739130435E-6</v>
      </c>
      <c r="D8">
        <v>1.7391304347826088E-9</v>
      </c>
      <c r="E8">
        <v>0</v>
      </c>
      <c r="F8">
        <v>0</v>
      </c>
      <c r="G8">
        <v>1.9130434782608694E-5</v>
      </c>
      <c r="H8">
        <v>0</v>
      </c>
      <c r="I8">
        <v>2.4347826086956522E-4</v>
      </c>
      <c r="J8">
        <v>0</v>
      </c>
      <c r="K8">
        <v>0</v>
      </c>
      <c r="L8">
        <v>0</v>
      </c>
      <c r="M8">
        <v>0</v>
      </c>
      <c r="N8">
        <v>0</v>
      </c>
      <c r="O8" s="218">
        <f t="shared" si="0"/>
        <v>2.6956695652173915E-4</v>
      </c>
    </row>
    <row r="9" x14ac:dyDescent="0.15">
      <c r="A9">
        <v>8</v>
      </c>
      <c r="B9" t="s">
        <v>188</v>
      </c>
      <c r="C9">
        <v>1.6000000000000001E-4</v>
      </c>
      <c r="D9">
        <v>1.0434782608695653E-5</v>
      </c>
      <c r="E9">
        <v>1.7391304347826088E-6</v>
      </c>
      <c r="F9">
        <v>0</v>
      </c>
      <c r="G9">
        <v>7.4782608695652167E-5</v>
      </c>
      <c r="H9">
        <v>0</v>
      </c>
      <c r="I9">
        <v>1.5652173913043477E-5</v>
      </c>
      <c r="J9">
        <v>0</v>
      </c>
      <c r="K9">
        <v>0</v>
      </c>
      <c r="L9">
        <v>0</v>
      </c>
      <c r="M9">
        <v>0</v>
      </c>
      <c r="N9">
        <v>0</v>
      </c>
      <c r="O9" s="218">
        <f t="shared" si="0"/>
        <v>2.6260869565217389E-4</v>
      </c>
    </row>
    <row r="10" x14ac:dyDescent="0.15">
      <c r="A10">
        <v>9</v>
      </c>
      <c r="B10" t="s">
        <v>189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s="218">
        <f t="shared" si="0"/>
        <v>0</v>
      </c>
    </row>
    <row r="11" x14ac:dyDescent="0.15">
      <c r="A11">
        <v>10</v>
      </c>
      <c r="B11" t="s">
        <v>190</v>
      </c>
      <c r="C11">
        <v>6.7304347826086953E-3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s="218">
        <f t="shared" si="0"/>
        <v>6.7304347826086953E-3</v>
      </c>
    </row>
    <row r="12" x14ac:dyDescent="0.15">
      <c r="A12">
        <v>11</v>
      </c>
      <c r="B12" t="s">
        <v>191</v>
      </c>
      <c r="C12">
        <v>1.2295652173913043E-3</v>
      </c>
      <c r="D12">
        <v>1.6173913043478262E-4</v>
      </c>
      <c r="E12">
        <v>5.2173913043478265E-6</v>
      </c>
      <c r="F12">
        <v>1.9130434782608694E-5</v>
      </c>
      <c r="G12">
        <v>9.5304347826086959E-4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2.8556521739130434E-3</v>
      </c>
      <c r="O12" s="218">
        <f t="shared" si="0"/>
        <v>5.2243478260869565E-3</v>
      </c>
    </row>
    <row r="13" x14ac:dyDescent="0.15">
      <c r="A13">
        <v>12</v>
      </c>
      <c r="B13" t="s">
        <v>192</v>
      </c>
      <c r="C13">
        <v>6.7826086956521733E-5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s="218">
        <f t="shared" si="0"/>
        <v>6.7826086956521733E-5</v>
      </c>
    </row>
    <row r="14" x14ac:dyDescent="0.15">
      <c r="A14">
        <v>13</v>
      </c>
      <c r="B14" t="s">
        <v>193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s="218">
        <f t="shared" si="0"/>
        <v>0</v>
      </c>
    </row>
    <row r="15" x14ac:dyDescent="0.15">
      <c r="A15">
        <v>14</v>
      </c>
      <c r="B15" t="s">
        <v>194</v>
      </c>
      <c r="C15">
        <v>6.1857391304347829E-2</v>
      </c>
      <c r="D15">
        <v>8.9721739130434776E-3</v>
      </c>
      <c r="E15">
        <v>2.0921739130434782E-3</v>
      </c>
      <c r="F15">
        <v>2.4485217391304347E-2</v>
      </c>
      <c r="G15">
        <v>1.8537391304347825E-2</v>
      </c>
      <c r="H15">
        <v>1.3582608695652174E-3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s="218">
        <f t="shared" si="0"/>
        <v>0.11730260869565218</v>
      </c>
    </row>
    <row r="16" x14ac:dyDescent="0.15">
      <c r="A16">
        <v>15</v>
      </c>
      <c r="B16" t="s">
        <v>195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s="218">
        <f t="shared" si="0"/>
        <v>0</v>
      </c>
    </row>
    <row r="17" x14ac:dyDescent="0.15">
      <c r="A17">
        <v>16</v>
      </c>
      <c r="B17" t="s">
        <v>196</v>
      </c>
      <c r="C17">
        <v>4.3914782608695649E-2</v>
      </c>
      <c r="D17">
        <v>3.2817391304347824E-3</v>
      </c>
      <c r="E17">
        <v>5.5413913043478258E-2</v>
      </c>
      <c r="F17">
        <v>3.9057391304347829E-2</v>
      </c>
      <c r="G17">
        <v>1.582608695652174E-4</v>
      </c>
      <c r="H17">
        <v>2.0521739130434781E-3</v>
      </c>
      <c r="I17">
        <v>0</v>
      </c>
      <c r="J17">
        <v>0</v>
      </c>
      <c r="K17">
        <v>0</v>
      </c>
      <c r="L17">
        <v>0</v>
      </c>
      <c r="M17">
        <v>0</v>
      </c>
      <c r="N17">
        <v>2.2504347826086957E-3</v>
      </c>
      <c r="O17" s="218">
        <f t="shared" si="0"/>
        <v>0.1461286956521739</v>
      </c>
    </row>
    <row r="18" x14ac:dyDescent="0.15">
      <c r="A18">
        <v>17</v>
      </c>
      <c r="B18" t="s">
        <v>197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s="218">
        <f t="shared" si="0"/>
        <v>0</v>
      </c>
    </row>
    <row r="19" x14ac:dyDescent="0.15">
      <c r="A19">
        <v>18</v>
      </c>
      <c r="B19" t="s">
        <v>198</v>
      </c>
      <c r="C19">
        <v>3.6281739130434781E-2</v>
      </c>
      <c r="D19">
        <v>1.4956521739130433E-4</v>
      </c>
      <c r="E19">
        <v>7.7913043478260871E-3</v>
      </c>
      <c r="F19">
        <v>3.5389565217391304E-2</v>
      </c>
      <c r="G19">
        <v>2.9217391304347824E-4</v>
      </c>
      <c r="H19">
        <v>6.7652173913043483E-4</v>
      </c>
      <c r="I19">
        <v>0</v>
      </c>
      <c r="J19">
        <v>0</v>
      </c>
      <c r="K19">
        <v>0</v>
      </c>
      <c r="L19">
        <v>0</v>
      </c>
      <c r="M19">
        <v>0</v>
      </c>
      <c r="N19">
        <v>6.4539130434782613E-3</v>
      </c>
      <c r="O19" s="218">
        <f t="shared" si="0"/>
        <v>8.7034782608695654E-2</v>
      </c>
    </row>
    <row r="20" x14ac:dyDescent="0.15">
      <c r="A20">
        <v>19</v>
      </c>
      <c r="B20" t="s">
        <v>199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s="218">
        <f t="shared" si="0"/>
        <v>0</v>
      </c>
    </row>
    <row r="21" x14ac:dyDescent="0.15">
      <c r="A21">
        <v>20</v>
      </c>
      <c r="B21" t="s">
        <v>200</v>
      </c>
      <c r="C21">
        <v>9.1794782608695655E-2</v>
      </c>
      <c r="D21">
        <v>1.391304347826087E-5</v>
      </c>
      <c r="E21">
        <v>2.4382608695652174E-3</v>
      </c>
      <c r="F21">
        <v>2.1412173913043477E-2</v>
      </c>
      <c r="G21">
        <v>5.2173913043478256E-4</v>
      </c>
      <c r="H21">
        <v>1.3217391304347825E-4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s="218">
        <f t="shared" si="0"/>
        <v>0.11631304347826088</v>
      </c>
    </row>
    <row r="22" x14ac:dyDescent="0.15">
      <c r="A22">
        <v>21</v>
      </c>
      <c r="B22" t="s">
        <v>201</v>
      </c>
      <c r="C22">
        <v>1.8539130434782609E-3</v>
      </c>
      <c r="D22">
        <v>2.0869565217391306E-5</v>
      </c>
      <c r="E22">
        <v>2.8869565217391302E-4</v>
      </c>
      <c r="F22">
        <v>7.4086956521739135E-4</v>
      </c>
      <c r="G22">
        <v>1.16E-3</v>
      </c>
      <c r="H22">
        <v>8.6956521739130427E-6</v>
      </c>
      <c r="I22">
        <v>0</v>
      </c>
      <c r="J22">
        <v>0</v>
      </c>
      <c r="K22">
        <v>0</v>
      </c>
      <c r="L22">
        <v>0</v>
      </c>
      <c r="M22">
        <v>0</v>
      </c>
      <c r="N22">
        <v>1.7391304347826085E-5</v>
      </c>
      <c r="O22" s="218">
        <f t="shared" si="0"/>
        <v>4.0904347826086962E-3</v>
      </c>
    </row>
    <row r="23" x14ac:dyDescent="0.15">
      <c r="A23">
        <v>22</v>
      </c>
      <c r="B23" t="s">
        <v>202</v>
      </c>
      <c r="C23">
        <v>0</v>
      </c>
      <c r="D23">
        <v>0</v>
      </c>
      <c r="E23">
        <v>0</v>
      </c>
      <c r="F23">
        <v>5.9874782608695651E-2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5.8260869565217386E-4</v>
      </c>
      <c r="O23" s="218">
        <f t="shared" si="0"/>
        <v>6.0457391304347824E-2</v>
      </c>
    </row>
    <row r="24" x14ac:dyDescent="0.15">
      <c r="A24">
        <v>23</v>
      </c>
      <c r="B24" t="s">
        <v>203</v>
      </c>
      <c r="C24">
        <v>6.4347826086956516E-5</v>
      </c>
      <c r="D24">
        <v>0</v>
      </c>
      <c r="E24">
        <v>0.14879478260869566</v>
      </c>
      <c r="F24">
        <v>0.12014608695652174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2.0921739130434782E-3</v>
      </c>
      <c r="O24" s="218">
        <f t="shared" si="0"/>
        <v>0.27109739130434785</v>
      </c>
    </row>
    <row r="25" x14ac:dyDescent="0.15">
      <c r="A25">
        <v>24</v>
      </c>
      <c r="B25" t="s">
        <v>204</v>
      </c>
      <c r="C25">
        <v>2.9045217391304348E-2</v>
      </c>
      <c r="D25">
        <v>9.4608695652173916E-4</v>
      </c>
      <c r="E25">
        <v>0</v>
      </c>
      <c r="F25">
        <v>0</v>
      </c>
      <c r="G25">
        <v>2.3895652173913044E-3</v>
      </c>
      <c r="H25">
        <v>0</v>
      </c>
      <c r="I25">
        <v>4.4173913043478262E-4</v>
      </c>
      <c r="J25">
        <v>0</v>
      </c>
      <c r="K25">
        <v>0</v>
      </c>
      <c r="L25">
        <v>0</v>
      </c>
      <c r="M25">
        <v>0</v>
      </c>
      <c r="N25">
        <v>0</v>
      </c>
      <c r="O25" s="218">
        <f t="shared" si="0"/>
        <v>3.2822608695652178E-2</v>
      </c>
    </row>
    <row r="26" x14ac:dyDescent="0.15">
      <c r="A26">
        <v>25</v>
      </c>
      <c r="B26" t="s">
        <v>205</v>
      </c>
      <c r="C26">
        <v>2.7359999999999999E-2</v>
      </c>
      <c r="D26">
        <v>4.9739130434782604E-4</v>
      </c>
      <c r="E26">
        <v>1.7391304347826088E-9</v>
      </c>
      <c r="F26">
        <v>0</v>
      </c>
      <c r="G26">
        <v>6.7826086956521733E-5</v>
      </c>
      <c r="H26">
        <v>0</v>
      </c>
      <c r="I26">
        <v>1.1826086956521739E-4</v>
      </c>
      <c r="J26">
        <v>0</v>
      </c>
      <c r="K26">
        <v>0</v>
      </c>
      <c r="L26">
        <v>1.7391304347826088E-9</v>
      </c>
      <c r="M26">
        <v>0</v>
      </c>
      <c r="N26">
        <v>0</v>
      </c>
      <c r="O26" s="218">
        <f t="shared" si="0"/>
        <v>2.8043481739130429E-2</v>
      </c>
    </row>
    <row r="27" x14ac:dyDescent="0.15">
      <c r="A27">
        <v>26</v>
      </c>
      <c r="B27" t="s">
        <v>206</v>
      </c>
      <c r="C27">
        <v>1.3184347826086957E-2</v>
      </c>
      <c r="D27">
        <v>7.0782608695652179E-4</v>
      </c>
      <c r="E27">
        <v>5.4782608695652169E-4</v>
      </c>
      <c r="F27">
        <v>1.902608695652174E-3</v>
      </c>
      <c r="G27">
        <v>2.191304347826087E-4</v>
      </c>
      <c r="H27">
        <v>1.6556521739130436E-3</v>
      </c>
      <c r="I27">
        <v>0</v>
      </c>
      <c r="J27">
        <v>0</v>
      </c>
      <c r="K27">
        <v>0</v>
      </c>
      <c r="L27">
        <v>0</v>
      </c>
      <c r="M27">
        <v>0</v>
      </c>
      <c r="N27">
        <v>9.6869565217391307E-4</v>
      </c>
      <c r="O27" s="218">
        <f t="shared" si="0"/>
        <v>1.9186086956521738E-2</v>
      </c>
    </row>
    <row r="28" x14ac:dyDescent="0.15">
      <c r="A28">
        <v>27</v>
      </c>
      <c r="B28" t="s">
        <v>207</v>
      </c>
      <c r="C28">
        <v>6.5739130434782614E-4</v>
      </c>
      <c r="D28">
        <v>1.4608695652173912E-4</v>
      </c>
      <c r="E28">
        <v>0</v>
      </c>
      <c r="F28">
        <v>1.7391304347826088E-6</v>
      </c>
      <c r="G28">
        <v>1.7391304347826088E-9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s="218">
        <f t="shared" si="0"/>
        <v>8.0521913043478269E-4</v>
      </c>
    </row>
    <row r="29" x14ac:dyDescent="0.15">
      <c r="A29">
        <v>28</v>
      </c>
      <c r="B29" t="s">
        <v>208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s="218">
        <f t="shared" si="0"/>
        <v>0</v>
      </c>
    </row>
    <row r="30" x14ac:dyDescent="0.15">
      <c r="A30">
        <v>29</v>
      </c>
      <c r="B30" t="s">
        <v>209</v>
      </c>
      <c r="C30">
        <v>9.4074782608695659E-2</v>
      </c>
      <c r="D30">
        <v>3.4782608695652175E-6</v>
      </c>
      <c r="E30">
        <v>0.21015652173913044</v>
      </c>
      <c r="F30">
        <v>0.36698086956521742</v>
      </c>
      <c r="G30">
        <v>7.0086956521739135E-4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0.1766504347826087</v>
      </c>
      <c r="O30" s="218">
        <f t="shared" si="0"/>
        <v>0.84856695652173908</v>
      </c>
    </row>
    <row r="31" x14ac:dyDescent="0.15">
      <c r="A31">
        <v>30</v>
      </c>
      <c r="B31" t="s">
        <v>210</v>
      </c>
      <c r="C31">
        <v>3.2313043478260869E-3</v>
      </c>
      <c r="D31">
        <v>5.2173913043478265E-6</v>
      </c>
      <c r="E31">
        <v>0.12430956521739131</v>
      </c>
      <c r="F31">
        <v>5.9478260869565217E-3</v>
      </c>
      <c r="G31">
        <v>8.5217391304347832E-5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3.9553043478260871E-2</v>
      </c>
      <c r="O31" s="218">
        <f t="shared" si="0"/>
        <v>0.17313217391304347</v>
      </c>
    </row>
    <row r="32" x14ac:dyDescent="0.15">
      <c r="A32">
        <v>31</v>
      </c>
      <c r="B32" t="s">
        <v>211</v>
      </c>
      <c r="C32">
        <v>1.6653913043478262E-2</v>
      </c>
      <c r="D32">
        <v>3.4782608695652175E-6</v>
      </c>
      <c r="E32">
        <v>1.209391304347826E-2</v>
      </c>
      <c r="F32">
        <v>0.24544695652173912</v>
      </c>
      <c r="G32">
        <v>1.391304347826087E-5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6.8697391304347821E-2</v>
      </c>
      <c r="O32" s="218">
        <f t="shared" si="0"/>
        <v>0.3429095652173913</v>
      </c>
    </row>
    <row r="33" x14ac:dyDescent="0.15">
      <c r="A33">
        <v>32</v>
      </c>
      <c r="B33" t="s">
        <v>212</v>
      </c>
      <c r="C33">
        <v>1.5761739130434781E-2</v>
      </c>
      <c r="D33">
        <v>4.5913043478260871E-4</v>
      </c>
      <c r="E33">
        <v>1.7304347826086956E-3</v>
      </c>
      <c r="F33">
        <v>4.3205217391304347E-2</v>
      </c>
      <c r="G33">
        <v>7.3043478260869559E-5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0.10961913043478261</v>
      </c>
      <c r="O33" s="218">
        <f t="shared" si="0"/>
        <v>0.17084869565217392</v>
      </c>
    </row>
    <row r="34" x14ac:dyDescent="0.15">
      <c r="A34">
        <v>33</v>
      </c>
      <c r="B34" t="s">
        <v>213</v>
      </c>
      <c r="C34">
        <v>1.7391304347826088E-6</v>
      </c>
      <c r="D34">
        <v>0</v>
      </c>
      <c r="E34">
        <v>1.4360034782608695</v>
      </c>
      <c r="F34">
        <v>1.9530434782608695E-3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2.7359999999999999E-2</v>
      </c>
      <c r="O34" s="218">
        <f t="shared" si="0"/>
        <v>1.4653182608695652</v>
      </c>
    </row>
    <row r="35" x14ac:dyDescent="0.15">
      <c r="A35">
        <v>34</v>
      </c>
      <c r="B35" t="s">
        <v>214</v>
      </c>
      <c r="C35">
        <v>4.0544347826086957E-2</v>
      </c>
      <c r="D35">
        <v>0.18725739130434782</v>
      </c>
      <c r="E35">
        <v>1.3217391304347825E-4</v>
      </c>
      <c r="F35">
        <v>2.7652173913043478E-3</v>
      </c>
      <c r="G35">
        <v>6.7704347826086954E-3</v>
      </c>
      <c r="H35">
        <v>2.7652173913043476E-4</v>
      </c>
      <c r="I35">
        <v>0</v>
      </c>
      <c r="J35">
        <v>0</v>
      </c>
      <c r="K35">
        <v>0</v>
      </c>
      <c r="L35">
        <v>0</v>
      </c>
      <c r="M35">
        <v>0</v>
      </c>
      <c r="N35">
        <v>3.6083478260869564E-2</v>
      </c>
      <c r="O35" s="218">
        <f t="shared" si="0"/>
        <v>0.27382956521739127</v>
      </c>
    </row>
    <row r="36" x14ac:dyDescent="0.15">
      <c r="A36">
        <v>35</v>
      </c>
      <c r="B36" t="s">
        <v>215</v>
      </c>
      <c r="C36">
        <v>2.7060869565217393E-3</v>
      </c>
      <c r="D36">
        <v>4.2260869565217393E-4</v>
      </c>
      <c r="E36">
        <v>1.9130434782608694E-5</v>
      </c>
      <c r="F36">
        <v>5.3565217391304343E-4</v>
      </c>
      <c r="G36">
        <v>2.0869565217391305E-4</v>
      </c>
      <c r="H36">
        <v>5.7391304347826089E-5</v>
      </c>
      <c r="I36">
        <v>0</v>
      </c>
      <c r="J36">
        <v>0</v>
      </c>
      <c r="K36">
        <v>0</v>
      </c>
      <c r="L36">
        <v>0</v>
      </c>
      <c r="M36">
        <v>0</v>
      </c>
      <c r="N36">
        <v>2.2434782608695653E-4</v>
      </c>
      <c r="O36" s="218">
        <f t="shared" si="0"/>
        <v>4.1739130434782614E-3</v>
      </c>
    </row>
    <row r="37" x14ac:dyDescent="0.15">
      <c r="A37">
        <v>36</v>
      </c>
      <c r="B37" t="s">
        <v>216</v>
      </c>
      <c r="C37">
        <v>0</v>
      </c>
      <c r="D37">
        <v>0</v>
      </c>
      <c r="E37">
        <v>0</v>
      </c>
      <c r="F37">
        <v>0</v>
      </c>
      <c r="G37">
        <v>5.2173913043478265E-6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218">
        <f t="shared" si="0"/>
        <v>5.2173913043478265E-6</v>
      </c>
    </row>
    <row r="38" x14ac:dyDescent="0.15">
      <c r="A38">
        <v>37</v>
      </c>
      <c r="B38" t="s">
        <v>217</v>
      </c>
      <c r="C38">
        <v>1.2591304347826088E-3</v>
      </c>
      <c r="D38">
        <v>1.4765217391304348E-3</v>
      </c>
      <c r="E38">
        <v>0</v>
      </c>
      <c r="F38">
        <v>0</v>
      </c>
      <c r="G38">
        <v>1.4608695652173912E-4</v>
      </c>
      <c r="H38">
        <v>0</v>
      </c>
      <c r="I38">
        <v>1.7391304347826088E-6</v>
      </c>
      <c r="J38">
        <v>0</v>
      </c>
      <c r="K38">
        <v>0</v>
      </c>
      <c r="L38">
        <v>0</v>
      </c>
      <c r="M38">
        <v>0</v>
      </c>
      <c r="N38">
        <v>0</v>
      </c>
      <c r="O38" s="218">
        <f t="shared" si="0"/>
        <v>2.8834782608695652E-3</v>
      </c>
    </row>
    <row r="39" x14ac:dyDescent="0.15">
      <c r="A39">
        <v>38</v>
      </c>
      <c r="B39" t="s">
        <v>218</v>
      </c>
      <c r="C39">
        <v>1.6747826086956521E-3</v>
      </c>
      <c r="D39">
        <v>4.9565217391304345E-2</v>
      </c>
      <c r="E39">
        <v>1.7391304347826088E-6</v>
      </c>
      <c r="F39">
        <v>1.7391304347826088E-9</v>
      </c>
      <c r="G39">
        <v>1.9930434782608696E-3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1.3481739130434782E-2</v>
      </c>
      <c r="O39" s="218">
        <f t="shared" si="0"/>
        <v>6.6716523478260861E-2</v>
      </c>
    </row>
    <row r="40" x14ac:dyDescent="0.15">
      <c r="A40">
        <v>39</v>
      </c>
      <c r="B40" t="s">
        <v>219</v>
      </c>
      <c r="C40">
        <v>6.8399999999999997E-3</v>
      </c>
      <c r="D40">
        <v>5.704347826086956E-4</v>
      </c>
      <c r="E40">
        <v>2.0869565217391306E-5</v>
      </c>
      <c r="F40">
        <v>2.2504347826086957E-3</v>
      </c>
      <c r="G40">
        <v>1.2521739130434782E-4</v>
      </c>
      <c r="H40">
        <v>1.3217391304347825E-4</v>
      </c>
      <c r="I40">
        <v>0</v>
      </c>
      <c r="J40">
        <v>0</v>
      </c>
      <c r="K40">
        <v>0</v>
      </c>
      <c r="L40">
        <v>0</v>
      </c>
      <c r="M40">
        <v>0</v>
      </c>
      <c r="N40">
        <v>3.6000000000000002E-4</v>
      </c>
      <c r="O40" s="218">
        <f t="shared" si="0"/>
        <v>1.0299130434782608E-2</v>
      </c>
    </row>
    <row r="41" x14ac:dyDescent="0.15">
      <c r="A41">
        <v>40</v>
      </c>
      <c r="B41" t="s">
        <v>220</v>
      </c>
      <c r="C41">
        <v>3.0834782608695653E-3</v>
      </c>
      <c r="D41">
        <v>9.4086956521739133E-4</v>
      </c>
      <c r="E41">
        <v>0</v>
      </c>
      <c r="F41">
        <v>1.7391304347826088E-9</v>
      </c>
      <c r="G41">
        <v>1.7391304347826088E-9</v>
      </c>
      <c r="H41">
        <v>0</v>
      </c>
      <c r="I41">
        <v>2.782608695652174E-5</v>
      </c>
      <c r="J41">
        <v>0</v>
      </c>
      <c r="K41">
        <v>0</v>
      </c>
      <c r="L41">
        <v>0</v>
      </c>
      <c r="M41">
        <v>0</v>
      </c>
      <c r="N41">
        <v>0</v>
      </c>
      <c r="O41" s="218">
        <f t="shared" si="0"/>
        <v>4.0521773913043489E-3</v>
      </c>
    </row>
    <row r="42" x14ac:dyDescent="0.15">
      <c r="A42">
        <v>41</v>
      </c>
      <c r="B42" t="s">
        <v>221</v>
      </c>
      <c r="C42">
        <v>6.8173913043478266E-4</v>
      </c>
      <c r="D42">
        <v>1.0208695652173913E-3</v>
      </c>
      <c r="E42">
        <v>1.0434782608695653E-5</v>
      </c>
      <c r="F42">
        <v>1.7391304347826088E-9</v>
      </c>
      <c r="G42">
        <v>1.4382608695652174E-3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3.7217391304347828E-4</v>
      </c>
      <c r="O42" s="218">
        <f t="shared" si="0"/>
        <v>3.5234799999999998E-3</v>
      </c>
    </row>
    <row r="43" x14ac:dyDescent="0.15">
      <c r="A43">
        <v>42</v>
      </c>
      <c r="B43" t="s">
        <v>222</v>
      </c>
      <c r="C43">
        <v>1.6852173913043478E-3</v>
      </c>
      <c r="D43">
        <v>1.7391304347826088E-9</v>
      </c>
      <c r="E43">
        <v>0</v>
      </c>
      <c r="F43">
        <v>5.0260869565217387E-4</v>
      </c>
      <c r="G43">
        <v>1.7391304347826088E-6</v>
      </c>
      <c r="H43">
        <v>8.0000000000000007E-5</v>
      </c>
      <c r="I43">
        <v>0</v>
      </c>
      <c r="J43">
        <v>0</v>
      </c>
      <c r="K43">
        <v>0</v>
      </c>
      <c r="L43">
        <v>0</v>
      </c>
      <c r="M43">
        <v>0</v>
      </c>
      <c r="N43">
        <v>6.956521739130435E-6</v>
      </c>
      <c r="O43" s="218">
        <f t="shared" si="0"/>
        <v>2.2765234782608696E-3</v>
      </c>
    </row>
    <row r="44" x14ac:dyDescent="0.15">
      <c r="A44">
        <v>43</v>
      </c>
      <c r="B44" t="s">
        <v>223</v>
      </c>
      <c r="C44">
        <v>1.24E-3</v>
      </c>
      <c r="D44">
        <v>6.2608695652173908E-5</v>
      </c>
      <c r="E44">
        <v>0</v>
      </c>
      <c r="F44">
        <v>0</v>
      </c>
      <c r="G44">
        <v>1.7391304347826088E-6</v>
      </c>
      <c r="H44">
        <v>0</v>
      </c>
      <c r="I44">
        <v>1.391304347826087E-5</v>
      </c>
      <c r="J44">
        <v>0</v>
      </c>
      <c r="K44">
        <v>0</v>
      </c>
      <c r="L44">
        <v>0</v>
      </c>
      <c r="M44">
        <v>0</v>
      </c>
      <c r="N44">
        <v>0</v>
      </c>
      <c r="O44" s="218">
        <f t="shared" si="0"/>
        <v>1.3182608695652175E-3</v>
      </c>
    </row>
    <row r="45" x14ac:dyDescent="0.15">
      <c r="A45">
        <v>44</v>
      </c>
      <c r="B45" t="s">
        <v>224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218">
        <f t="shared" si="0"/>
        <v>0</v>
      </c>
    </row>
    <row r="46" x14ac:dyDescent="0.15">
      <c r="A46">
        <v>45</v>
      </c>
      <c r="B46" t="s">
        <v>225</v>
      </c>
      <c r="C46">
        <v>4.7182608695652177E-3</v>
      </c>
      <c r="D46">
        <v>4.9043478260869561E-4</v>
      </c>
      <c r="E46">
        <v>0</v>
      </c>
      <c r="F46">
        <v>1.7391304347826088E-9</v>
      </c>
      <c r="G46">
        <v>1.9130434782608694E-5</v>
      </c>
      <c r="H46">
        <v>0</v>
      </c>
      <c r="I46">
        <v>5.2173913043478263E-5</v>
      </c>
      <c r="J46">
        <v>0</v>
      </c>
      <c r="K46">
        <v>0</v>
      </c>
      <c r="L46">
        <v>0</v>
      </c>
      <c r="M46">
        <v>0</v>
      </c>
      <c r="N46">
        <v>0</v>
      </c>
      <c r="O46" s="218">
        <f t="shared" si="0"/>
        <v>5.2800017391304351E-3</v>
      </c>
    </row>
    <row r="47" x14ac:dyDescent="0.15">
      <c r="A47">
        <v>46</v>
      </c>
      <c r="B47" t="s">
        <v>226</v>
      </c>
      <c r="C47">
        <v>5.4330434782608695E-3</v>
      </c>
      <c r="D47">
        <v>1.0086956521739131E-4</v>
      </c>
      <c r="E47">
        <v>1.7391304347826088E-9</v>
      </c>
      <c r="F47">
        <v>3.4782608695652171E-5</v>
      </c>
      <c r="G47">
        <v>3.0260869565217389E-4</v>
      </c>
      <c r="H47">
        <v>0</v>
      </c>
      <c r="I47">
        <v>3.1304347826086954E-5</v>
      </c>
      <c r="J47">
        <v>0</v>
      </c>
      <c r="K47">
        <v>0</v>
      </c>
      <c r="L47">
        <v>3.4782608695652175E-6</v>
      </c>
      <c r="M47">
        <v>1.7391304347826088E-9</v>
      </c>
      <c r="N47">
        <v>0</v>
      </c>
      <c r="O47" s="218">
        <f t="shared" si="0"/>
        <v>5.9060904347826085E-3</v>
      </c>
    </row>
    <row r="48" x14ac:dyDescent="0.15">
      <c r="A48">
        <v>47</v>
      </c>
      <c r="B48" t="s">
        <v>227</v>
      </c>
      <c r="C48">
        <v>2.3493913043478261E-2</v>
      </c>
      <c r="D48">
        <v>1.9234782608695653E-3</v>
      </c>
      <c r="E48">
        <v>4.5798260869565219E-2</v>
      </c>
      <c r="F48">
        <v>7.8208695652173914E-3</v>
      </c>
      <c r="G48">
        <v>7.7222608695652173E-2</v>
      </c>
      <c r="H48">
        <v>0</v>
      </c>
      <c r="I48">
        <v>1.7391304347826088E-9</v>
      </c>
      <c r="J48">
        <v>0</v>
      </c>
      <c r="K48">
        <v>0</v>
      </c>
      <c r="L48">
        <v>0</v>
      </c>
      <c r="M48">
        <v>0</v>
      </c>
      <c r="N48">
        <v>1.1598260869565218E-2</v>
      </c>
      <c r="O48" s="218">
        <f t="shared" si="0"/>
        <v>0.16785739304347827</v>
      </c>
    </row>
    <row r="49" x14ac:dyDescent="0.15">
      <c r="A49">
        <v>48</v>
      </c>
      <c r="B49" t="s">
        <v>228</v>
      </c>
      <c r="C49">
        <v>6.0869565217391306E-5</v>
      </c>
      <c r="D49">
        <v>0</v>
      </c>
      <c r="E49">
        <v>0</v>
      </c>
      <c r="F49">
        <v>9.91304347826087E-3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218">
        <f t="shared" si="0"/>
        <v>9.9739130434782618E-3</v>
      </c>
    </row>
    <row r="50" x14ac:dyDescent="0.15">
      <c r="A50">
        <v>49</v>
      </c>
      <c r="B50" t="s">
        <v>229</v>
      </c>
      <c r="C50">
        <v>1.6556521739130436E-3</v>
      </c>
      <c r="D50">
        <v>8.3478260869565224E-5</v>
      </c>
      <c r="E50">
        <v>0</v>
      </c>
      <c r="F50">
        <v>0</v>
      </c>
      <c r="G50">
        <v>1.7391304347826088E-9</v>
      </c>
      <c r="H50">
        <v>0</v>
      </c>
      <c r="I50">
        <v>0</v>
      </c>
      <c r="J50">
        <v>0</v>
      </c>
      <c r="K50">
        <v>3.4782608695652175E-6</v>
      </c>
      <c r="L50">
        <v>0</v>
      </c>
      <c r="M50">
        <v>0</v>
      </c>
      <c r="N50">
        <v>0</v>
      </c>
      <c r="O50" s="218">
        <f t="shared" si="0"/>
        <v>1.7426104347826087E-3</v>
      </c>
    </row>
    <row r="51" x14ac:dyDescent="0.15">
      <c r="A51">
        <v>50</v>
      </c>
      <c r="B51" t="s">
        <v>230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218">
        <f t="shared" si="0"/>
        <v>0</v>
      </c>
    </row>
    <row r="52" x14ac:dyDescent="0.15">
      <c r="A52">
        <v>51</v>
      </c>
      <c r="B52" s="207" t="s">
        <v>299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218">
        <f t="shared" si="0"/>
        <v>0</v>
      </c>
    </row>
    <row r="53" x14ac:dyDescent="0.15">
      <c r="A53">
        <v>52</v>
      </c>
      <c r="B53" t="s">
        <v>233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218">
        <f t="shared" si="0"/>
        <v>0</v>
      </c>
    </row>
    <row r="54" x14ac:dyDescent="0.15">
      <c r="A54">
        <v>53</v>
      </c>
      <c r="B54" t="s">
        <v>234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218">
        <f t="shared" si="0"/>
        <v>0</v>
      </c>
    </row>
    <row r="55" x14ac:dyDescent="0.15">
      <c r="A55">
        <v>54</v>
      </c>
      <c r="B55" t="s">
        <v>235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218">
        <f t="shared" si="0"/>
        <v>0</v>
      </c>
    </row>
    <row r="56" x14ac:dyDescent="0.15">
      <c r="A56">
        <v>55</v>
      </c>
      <c r="B56" t="s">
        <v>237</v>
      </c>
      <c r="C56">
        <v>6.4347826086956516E-5</v>
      </c>
      <c r="D56">
        <v>8.6956521739130427E-6</v>
      </c>
      <c r="E56">
        <v>6.3634782608695652E-3</v>
      </c>
      <c r="F56">
        <v>0</v>
      </c>
      <c r="G56">
        <v>6.2608695652173908E-5</v>
      </c>
      <c r="H56">
        <v>0</v>
      </c>
      <c r="I56">
        <v>1.7391304347826088E-6</v>
      </c>
      <c r="J56">
        <v>0</v>
      </c>
      <c r="K56">
        <v>0</v>
      </c>
      <c r="L56">
        <v>0</v>
      </c>
      <c r="M56">
        <v>4.8573913043478264E-3</v>
      </c>
      <c r="N56">
        <v>0</v>
      </c>
      <c r="O56" s="218">
        <f t="shared" si="0"/>
        <v>1.1358260869565217E-2</v>
      </c>
    </row>
    <row r="57" x14ac:dyDescent="0.15">
      <c r="A57">
        <v>56</v>
      </c>
      <c r="B57" t="s">
        <v>238</v>
      </c>
      <c r="C57">
        <v>7.0086956521739126E-3</v>
      </c>
      <c r="D57">
        <v>6.956521739130435E-6</v>
      </c>
      <c r="E57">
        <v>3.4782608695652175E-6</v>
      </c>
      <c r="F57">
        <v>3.8260869565217388E-5</v>
      </c>
      <c r="G57">
        <v>1.7391304347826088E-6</v>
      </c>
      <c r="H57">
        <v>1.0805217391304347E-2</v>
      </c>
      <c r="I57">
        <v>0</v>
      </c>
      <c r="J57">
        <v>0</v>
      </c>
      <c r="K57">
        <v>0</v>
      </c>
      <c r="L57">
        <v>0</v>
      </c>
      <c r="M57">
        <v>0</v>
      </c>
      <c r="N57">
        <v>2.782608695652174E-5</v>
      </c>
      <c r="O57" s="218">
        <f t="shared" si="0"/>
        <v>1.7892173913043478E-2</v>
      </c>
    </row>
    <row r="58" x14ac:dyDescent="0.15">
      <c r="A58">
        <v>57</v>
      </c>
      <c r="B58" t="s">
        <v>239</v>
      </c>
      <c r="C58">
        <v>1.1495652173913044E-3</v>
      </c>
      <c r="D58">
        <v>1.9130434782608694E-5</v>
      </c>
      <c r="E58">
        <v>5.3391304347826082E-4</v>
      </c>
      <c r="F58">
        <v>0</v>
      </c>
      <c r="G58">
        <v>2.0869565217391306E-5</v>
      </c>
      <c r="H58">
        <v>0</v>
      </c>
      <c r="I58">
        <v>1.7391304347826088E-9</v>
      </c>
      <c r="J58">
        <v>0</v>
      </c>
      <c r="K58">
        <v>2.7165217391304348E-3</v>
      </c>
      <c r="L58">
        <v>0</v>
      </c>
      <c r="M58">
        <v>2.1321739130434783E-3</v>
      </c>
      <c r="N58">
        <v>0</v>
      </c>
      <c r="O58" s="218">
        <f t="shared" si="0"/>
        <v>6.5721756521739134E-3</v>
      </c>
    </row>
    <row r="59" x14ac:dyDescent="0.15">
      <c r="A59">
        <v>58</v>
      </c>
      <c r="B59" t="s">
        <v>240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7.1076521739130441E-2</v>
      </c>
      <c r="L59">
        <v>1.8933913043478259E-2</v>
      </c>
      <c r="M59">
        <v>0</v>
      </c>
      <c r="N59">
        <v>0</v>
      </c>
      <c r="O59" s="218">
        <f t="shared" si="0"/>
        <v>9.00104347826087E-2</v>
      </c>
    </row>
    <row r="60" x14ac:dyDescent="0.15">
      <c r="A60">
        <v>59</v>
      </c>
      <c r="B60" t="s">
        <v>241</v>
      </c>
      <c r="C60">
        <v>1.2295652173913043E-3</v>
      </c>
      <c r="D60">
        <v>3.8760000000000003E-2</v>
      </c>
      <c r="E60">
        <v>5.704347826086956E-4</v>
      </c>
      <c r="F60">
        <v>8.6956521739130427E-6</v>
      </c>
      <c r="G60">
        <v>1.7391304347826088E-9</v>
      </c>
      <c r="H60">
        <v>0</v>
      </c>
      <c r="I60">
        <v>0</v>
      </c>
      <c r="J60">
        <v>2.4486956521739128E-3</v>
      </c>
      <c r="K60">
        <v>5.2173913043478265E-6</v>
      </c>
      <c r="L60">
        <v>0</v>
      </c>
      <c r="M60">
        <v>0</v>
      </c>
      <c r="N60">
        <v>0</v>
      </c>
      <c r="O60" s="218">
        <f t="shared" si="0"/>
        <v>4.3022610434782609E-2</v>
      </c>
    </row>
    <row r="61" x14ac:dyDescent="0.15">
      <c r="A61">
        <v>60</v>
      </c>
      <c r="B61" t="s">
        <v>242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218">
        <f t="shared" si="0"/>
        <v>0</v>
      </c>
    </row>
    <row r="62" x14ac:dyDescent="0.15">
      <c r="A62">
        <v>61</v>
      </c>
      <c r="B62" t="s">
        <v>243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218">
        <f t="shared" si="0"/>
        <v>0</v>
      </c>
    </row>
    <row r="63" x14ac:dyDescent="0.15">
      <c r="A63">
        <v>62</v>
      </c>
      <c r="B63" t="s">
        <v>244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0.18170608695652174</v>
      </c>
      <c r="L63">
        <v>2.7459130434782607E-2</v>
      </c>
      <c r="M63">
        <v>0</v>
      </c>
      <c r="N63">
        <v>0</v>
      </c>
      <c r="O63" s="218">
        <f>SUM(C63:N63)</f>
        <v>0.20916521739130434</v>
      </c>
    </row>
    <row r="64" x14ac:dyDescent="0.15">
      <c r="A64">
        <v>63</v>
      </c>
      <c r="B64" t="s">
        <v>245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218">
        <f t="shared" si="0"/>
        <v>0</v>
      </c>
    </row>
    <row r="65" x14ac:dyDescent="0.15">
      <c r="A65">
        <v>64</v>
      </c>
      <c r="B65" t="s">
        <v>246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218">
        <f t="shared" si="0"/>
        <v>0</v>
      </c>
    </row>
    <row r="66" x14ac:dyDescent="0.15">
      <c r="A66">
        <v>65</v>
      </c>
      <c r="B66" t="s">
        <v>247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218">
        <f t="shared" si="0"/>
        <v>0</v>
      </c>
    </row>
    <row r="67" x14ac:dyDescent="0.15">
      <c r="A67">
        <v>66</v>
      </c>
      <c r="B67" t="s">
        <v>248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218">
        <f t="shared" ref="O67:O70" si="1">SUM(C67:N67)</f>
        <v>0</v>
      </c>
    </row>
    <row r="68" x14ac:dyDescent="0.15">
      <c r="A68">
        <v>67</v>
      </c>
      <c r="B68" t="s">
        <v>249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218">
        <f t="shared" si="1"/>
        <v>0</v>
      </c>
    </row>
    <row r="69" x14ac:dyDescent="0.15">
      <c r="A69">
        <v>68</v>
      </c>
      <c r="B69" t="s">
        <v>250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218">
        <f t="shared" si="1"/>
        <v>0</v>
      </c>
    </row>
    <row r="70" x14ac:dyDescent="0.15">
      <c r="A70">
        <v>69</v>
      </c>
      <c r="B70" t="s">
        <v>175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218">
        <f t="shared" si="1"/>
        <v>0</v>
      </c>
    </row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5" ht="15" customHeight="true" x14ac:dyDescent="0.15"/>
    <row r="176" ht="15" customHeight="true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O7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8" sqref="B8"/>
    </sheetView>
  </sheetViews>
  <sheetFormatPr baseColWidth="10" defaultColWidth="8.83203125" defaultRowHeight="13" x14ac:dyDescent="0.15"/>
  <cols>
    <col min="1" max="1" width="12.6640625" customWidth="true"/>
    <col min="2" max="2" width="22" bestFit="true" customWidth="true"/>
    <col min="3" max="14" width="10.6640625" customWidth="true"/>
    <col min="15" max="15" width="10.83203125" customWidth="true"/>
  </cols>
  <sheetData>
    <row r="1" s="139" customFormat="true" ht="28" x14ac:dyDescent="0.15">
      <c r="A1" s="138" t="s">
        <v>22</v>
      </c>
      <c r="B1" s="141" t="s">
        <v>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I1" t="s">
        <v>257</v>
      </c>
      <c r="J1" t="s">
        <v>258</v>
      </c>
      <c r="K1" t="s">
        <v>259</v>
      </c>
      <c r="L1" t="s">
        <v>260</v>
      </c>
      <c r="M1" t="s">
        <v>261</v>
      </c>
      <c r="N1" t="s">
        <v>262</v>
      </c>
      <c r="O1" s="139" t="s">
        <v>298</v>
      </c>
    </row>
    <row r="2" x14ac:dyDescent="0.15">
      <c r="A2">
        <v>1</v>
      </c>
      <c r="B2" t="s">
        <v>181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s="219">
        <f t="shared" ref="O2:O65" si="0">SUM(C2:J2)</f>
        <v>0</v>
      </c>
    </row>
    <row r="3" x14ac:dyDescent="0.15">
      <c r="A3">
        <v>2</v>
      </c>
      <c r="B3" t="s">
        <v>182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219">
        <f t="shared" si="0"/>
        <v>0</v>
      </c>
    </row>
    <row r="4" x14ac:dyDescent="0.15">
      <c r="A4">
        <v>3</v>
      </c>
      <c r="B4" t="s">
        <v>183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s="219">
        <f t="shared" si="0"/>
        <v>0</v>
      </c>
    </row>
    <row r="5" x14ac:dyDescent="0.15">
      <c r="A5">
        <v>4</v>
      </c>
      <c r="B5" t="s">
        <v>184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219">
        <f t="shared" si="0"/>
        <v>0</v>
      </c>
    </row>
    <row r="6" x14ac:dyDescent="0.15">
      <c r="A6">
        <v>5</v>
      </c>
      <c r="B6" t="s">
        <v>185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s="219">
        <f t="shared" si="0"/>
        <v>0</v>
      </c>
    </row>
    <row r="7" x14ac:dyDescent="0.15">
      <c r="A7">
        <v>6</v>
      </c>
      <c r="B7" t="s">
        <v>186</v>
      </c>
      <c r="C7">
        <v>1.7391304347826088E-7</v>
      </c>
      <c r="D7">
        <v>2.1391304347826088E-5</v>
      </c>
      <c r="E7">
        <v>0</v>
      </c>
      <c r="F7">
        <v>0</v>
      </c>
      <c r="G7">
        <v>7.8608695652173917E-5</v>
      </c>
      <c r="H7">
        <v>2.8000000000000003E-5</v>
      </c>
      <c r="I7">
        <v>1.7391304347826088E-9</v>
      </c>
      <c r="J7">
        <v>0</v>
      </c>
      <c r="K7">
        <v>0</v>
      </c>
      <c r="L7">
        <v>0</v>
      </c>
      <c r="M7">
        <v>0</v>
      </c>
      <c r="N7">
        <v>0</v>
      </c>
      <c r="O7" s="219">
        <f t="shared" si="0"/>
        <v>1.2817565217391303E-4</v>
      </c>
    </row>
    <row r="8" x14ac:dyDescent="0.15">
      <c r="A8">
        <v>7</v>
      </c>
      <c r="B8" t="s">
        <v>187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s="219">
        <f t="shared" si="0"/>
        <v>0</v>
      </c>
    </row>
    <row r="9" x14ac:dyDescent="0.15">
      <c r="A9">
        <v>8</v>
      </c>
      <c r="B9" t="s">
        <v>188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s="219">
        <f t="shared" si="0"/>
        <v>0</v>
      </c>
    </row>
    <row r="10" x14ac:dyDescent="0.15">
      <c r="A10">
        <v>9</v>
      </c>
      <c r="B10" t="s">
        <v>189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s="219">
        <f t="shared" si="0"/>
        <v>0</v>
      </c>
    </row>
    <row r="11" x14ac:dyDescent="0.15">
      <c r="A11">
        <v>10</v>
      </c>
      <c r="B11" t="s">
        <v>190</v>
      </c>
      <c r="C11">
        <v>1.7391304347826088E-9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s="219">
        <f t="shared" si="0"/>
        <v>1.7391304347826088E-9</v>
      </c>
    </row>
    <row r="12" x14ac:dyDescent="0.15">
      <c r="A12">
        <v>11</v>
      </c>
      <c r="B12" t="s">
        <v>191</v>
      </c>
      <c r="C12">
        <v>1.7391304347826088E-9</v>
      </c>
      <c r="D12">
        <v>3.1426086956521737E-4</v>
      </c>
      <c r="E12">
        <v>0</v>
      </c>
      <c r="F12">
        <v>0</v>
      </c>
      <c r="G12">
        <v>1.7391304347826088E-9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s="219">
        <f t="shared" si="0"/>
        <v>3.1426434782608691E-4</v>
      </c>
    </row>
    <row r="13" x14ac:dyDescent="0.15">
      <c r="A13">
        <v>12</v>
      </c>
      <c r="B13" t="s">
        <v>192</v>
      </c>
      <c r="C13">
        <v>1.7391304347826088E-9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s="219">
        <f t="shared" si="0"/>
        <v>1.7391304347826088E-9</v>
      </c>
    </row>
    <row r="14" x14ac:dyDescent="0.15">
      <c r="A14">
        <v>13</v>
      </c>
      <c r="B14" t="s">
        <v>193</v>
      </c>
      <c r="C14">
        <v>1.9826086956521737E-3</v>
      </c>
      <c r="D14">
        <v>8.0800000000000002E-4</v>
      </c>
      <c r="E14">
        <v>0</v>
      </c>
      <c r="F14">
        <v>2.5575652173913041E-3</v>
      </c>
      <c r="G14">
        <v>3.4782608695652175E-7</v>
      </c>
      <c r="H14">
        <v>1.3478260869565216E-4</v>
      </c>
      <c r="I14">
        <v>0</v>
      </c>
      <c r="J14">
        <v>0</v>
      </c>
      <c r="K14">
        <v>0</v>
      </c>
      <c r="L14">
        <v>0</v>
      </c>
      <c r="M14">
        <v>0</v>
      </c>
      <c r="N14">
        <v>4.6095652173913045E-2</v>
      </c>
      <c r="O14" s="219">
        <f t="shared" si="0"/>
        <v>5.4833043478260861E-3</v>
      </c>
    </row>
    <row r="15" x14ac:dyDescent="0.15">
      <c r="A15">
        <v>14</v>
      </c>
      <c r="B15" t="s">
        <v>194</v>
      </c>
      <c r="C15">
        <v>2.3493913043478262E-3</v>
      </c>
      <c r="D15">
        <v>8.0800000000000002E-4</v>
      </c>
      <c r="E15">
        <v>0</v>
      </c>
      <c r="F15">
        <v>2.5575652173913041E-3</v>
      </c>
      <c r="G15">
        <v>3.4782608695652175E-7</v>
      </c>
      <c r="H15">
        <v>1.3478260869565216E-4</v>
      </c>
      <c r="I15">
        <v>0</v>
      </c>
      <c r="J15">
        <v>0</v>
      </c>
      <c r="K15">
        <v>0</v>
      </c>
      <c r="L15">
        <v>0</v>
      </c>
      <c r="M15">
        <v>0</v>
      </c>
      <c r="N15">
        <v>4.5217391304347826E-6</v>
      </c>
      <c r="O15" s="219">
        <f t="shared" si="0"/>
        <v>5.8500869565217386E-3</v>
      </c>
    </row>
    <row r="16" x14ac:dyDescent="0.15">
      <c r="A16">
        <v>15</v>
      </c>
      <c r="B16" t="s">
        <v>195</v>
      </c>
      <c r="C16">
        <v>9.91304347826087E-3</v>
      </c>
      <c r="D16">
        <v>9.9130434782608687E-4</v>
      </c>
      <c r="E16">
        <v>2.9739130434782606E-4</v>
      </c>
      <c r="F16">
        <v>9.91304347826087E-3</v>
      </c>
      <c r="G16">
        <v>5.5130434782608695E-5</v>
      </c>
      <c r="H16">
        <v>2.2700869565217391E-3</v>
      </c>
      <c r="I16">
        <v>0</v>
      </c>
      <c r="J16">
        <v>0</v>
      </c>
      <c r="K16">
        <v>0</v>
      </c>
      <c r="L16">
        <v>0</v>
      </c>
      <c r="M16">
        <v>0</v>
      </c>
      <c r="N16">
        <v>7.0973913043478269E-4</v>
      </c>
      <c r="O16" s="219">
        <f t="shared" si="0"/>
        <v>2.3440000000000003E-2</v>
      </c>
    </row>
    <row r="17" x14ac:dyDescent="0.15">
      <c r="A17">
        <v>16</v>
      </c>
      <c r="B17" t="s">
        <v>196</v>
      </c>
      <c r="C17">
        <v>1.8537391304347825E-2</v>
      </c>
      <c r="D17">
        <v>1.5365217391304347E-3</v>
      </c>
      <c r="E17">
        <v>3.48E-4</v>
      </c>
      <c r="F17">
        <v>1.0309565217391304E-2</v>
      </c>
      <c r="G17">
        <v>5.5130434782608695E-5</v>
      </c>
      <c r="H17">
        <v>2.2700869565217391E-3</v>
      </c>
      <c r="I17">
        <v>0</v>
      </c>
      <c r="J17">
        <v>0</v>
      </c>
      <c r="K17">
        <v>0</v>
      </c>
      <c r="L17">
        <v>0</v>
      </c>
      <c r="M17">
        <v>0</v>
      </c>
      <c r="N17">
        <v>7.0973913043478269E-4</v>
      </c>
      <c r="O17" s="219">
        <f t="shared" si="0"/>
        <v>3.3056695652173916E-2</v>
      </c>
    </row>
    <row r="18" x14ac:dyDescent="0.15">
      <c r="A18">
        <v>17</v>
      </c>
      <c r="B18" t="s">
        <v>197</v>
      </c>
      <c r="C18">
        <v>3.4200000000000001E-2</v>
      </c>
      <c r="D18">
        <v>7.4782608695652167E-5</v>
      </c>
      <c r="E18">
        <v>1.3478260869565216E-4</v>
      </c>
      <c r="F18">
        <v>2.2998260869565218E-2</v>
      </c>
      <c r="G18">
        <v>1.3182608695652174E-4</v>
      </c>
      <c r="H18">
        <v>2.1907826086956521E-3</v>
      </c>
      <c r="I18">
        <v>0</v>
      </c>
      <c r="J18">
        <v>0</v>
      </c>
      <c r="K18">
        <v>0</v>
      </c>
      <c r="L18">
        <v>0</v>
      </c>
      <c r="M18">
        <v>0</v>
      </c>
      <c r="N18">
        <v>2.864869565217391E-3</v>
      </c>
      <c r="O18" s="219">
        <f t="shared" si="0"/>
        <v>5.9730434782608692E-2</v>
      </c>
    </row>
    <row r="19" x14ac:dyDescent="0.15">
      <c r="A19">
        <v>18</v>
      </c>
      <c r="B19" t="s">
        <v>198</v>
      </c>
      <c r="C19">
        <v>9.9130434782608687E-4</v>
      </c>
      <c r="D19">
        <v>7.4782608695652167E-5</v>
      </c>
      <c r="E19">
        <v>1.3478260869565216E-4</v>
      </c>
      <c r="F19">
        <v>9.9130434782608687E-4</v>
      </c>
      <c r="G19">
        <v>1.3182608695652174E-4</v>
      </c>
      <c r="H19">
        <v>2.1907826086956521E-3</v>
      </c>
      <c r="I19">
        <v>0</v>
      </c>
      <c r="J19">
        <v>0</v>
      </c>
      <c r="K19">
        <v>0</v>
      </c>
      <c r="L19">
        <v>0</v>
      </c>
      <c r="M19">
        <v>0</v>
      </c>
      <c r="N19">
        <v>2.864869565217391E-3</v>
      </c>
      <c r="O19" s="219">
        <f t="shared" si="0"/>
        <v>4.5147826086956513E-3</v>
      </c>
    </row>
    <row r="20" x14ac:dyDescent="0.15">
      <c r="A20">
        <v>19</v>
      </c>
      <c r="B20" t="s">
        <v>199</v>
      </c>
      <c r="C20">
        <v>1.9033043478260871E-3</v>
      </c>
      <c r="D20">
        <v>3.3565217391304348E-5</v>
      </c>
      <c r="E20">
        <v>0</v>
      </c>
      <c r="F20">
        <v>3.1523478260869564E-3</v>
      </c>
      <c r="G20">
        <v>4.1565217391304346E-5</v>
      </c>
      <c r="H20">
        <v>9.2695652173913038E-5</v>
      </c>
      <c r="I20">
        <v>1.7391304347826088E-7</v>
      </c>
      <c r="J20">
        <v>0</v>
      </c>
      <c r="K20">
        <v>0</v>
      </c>
      <c r="L20">
        <v>0</v>
      </c>
      <c r="M20">
        <v>0</v>
      </c>
      <c r="N20">
        <v>4.9565217391304345E-2</v>
      </c>
      <c r="O20" s="219">
        <f t="shared" si="0"/>
        <v>5.2236521739130442E-3</v>
      </c>
    </row>
    <row r="21" x14ac:dyDescent="0.15">
      <c r="A21">
        <v>20</v>
      </c>
      <c r="B21" t="s">
        <v>200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1.7391304347826088E-7</v>
      </c>
      <c r="J21">
        <v>0</v>
      </c>
      <c r="K21">
        <v>0</v>
      </c>
      <c r="L21">
        <v>0</v>
      </c>
      <c r="M21">
        <v>0</v>
      </c>
      <c r="N21">
        <v>0</v>
      </c>
      <c r="O21" s="219">
        <f t="shared" si="0"/>
        <v>1.7391304347826088E-7</v>
      </c>
    </row>
    <row r="22" x14ac:dyDescent="0.15">
      <c r="A22">
        <v>21</v>
      </c>
      <c r="B22" t="s">
        <v>201</v>
      </c>
      <c r="C22">
        <v>1.7391304347826088E-9</v>
      </c>
      <c r="D22">
        <v>3.1304347826086954E-5</v>
      </c>
      <c r="E22">
        <v>0</v>
      </c>
      <c r="F22">
        <v>1.7391304347826088E-9</v>
      </c>
      <c r="G22">
        <v>1.1201739130434782E-3</v>
      </c>
      <c r="H22">
        <v>1.7391304347826088E-9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s="219">
        <f t="shared" si="0"/>
        <v>1.1514834782608695E-3</v>
      </c>
    </row>
    <row r="23" x14ac:dyDescent="0.15">
      <c r="A23">
        <v>22</v>
      </c>
      <c r="B23" t="s">
        <v>202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s="219">
        <f t="shared" si="0"/>
        <v>0</v>
      </c>
    </row>
    <row r="24" x14ac:dyDescent="0.15">
      <c r="A24">
        <v>23</v>
      </c>
      <c r="B24" t="s">
        <v>203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s="219">
        <f t="shared" si="0"/>
        <v>0</v>
      </c>
    </row>
    <row r="25" x14ac:dyDescent="0.15">
      <c r="A25">
        <v>24</v>
      </c>
      <c r="B25" t="s">
        <v>204</v>
      </c>
      <c r="C25">
        <v>1.7391304347826088E-9</v>
      </c>
      <c r="D25">
        <v>2.6434782608695651E-5</v>
      </c>
      <c r="E25">
        <v>0</v>
      </c>
      <c r="F25">
        <v>0</v>
      </c>
      <c r="G25">
        <v>3.1523478260869564E-3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s="219">
        <f t="shared" si="0"/>
        <v>3.178784347826087E-3</v>
      </c>
    </row>
    <row r="26" x14ac:dyDescent="0.15">
      <c r="A26">
        <v>25</v>
      </c>
      <c r="B26" t="s">
        <v>205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s="219">
        <f t="shared" si="0"/>
        <v>0</v>
      </c>
    </row>
    <row r="27" x14ac:dyDescent="0.15">
      <c r="A27">
        <v>26</v>
      </c>
      <c r="B27" t="s">
        <v>206</v>
      </c>
      <c r="C27">
        <v>1.1499130434782609E-3</v>
      </c>
      <c r="D27">
        <v>1.9132173913043477E-3</v>
      </c>
      <c r="E27">
        <v>0</v>
      </c>
      <c r="F27">
        <v>0</v>
      </c>
      <c r="G27">
        <v>1.4608695652173913E-5</v>
      </c>
      <c r="H27">
        <v>4.5217391304347829E-5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s="219">
        <f t="shared" si="0"/>
        <v>3.1229565217391307E-3</v>
      </c>
    </row>
    <row r="28" x14ac:dyDescent="0.15">
      <c r="A28">
        <v>27</v>
      </c>
      <c r="B28" t="s">
        <v>207</v>
      </c>
      <c r="C28">
        <v>1.7391304347826088E-7</v>
      </c>
      <c r="D28">
        <v>7.1671304347826091E-3</v>
      </c>
      <c r="E28">
        <v>0</v>
      </c>
      <c r="F28">
        <v>0</v>
      </c>
      <c r="G28">
        <v>0</v>
      </c>
      <c r="H28">
        <v>1.7391304347826088E-7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s="219">
        <f t="shared" si="0"/>
        <v>7.1674782608695661E-3</v>
      </c>
    </row>
    <row r="29" x14ac:dyDescent="0.15">
      <c r="A29">
        <v>28</v>
      </c>
      <c r="B29" t="s">
        <v>208</v>
      </c>
      <c r="C29">
        <v>1.7391304347826088E-7</v>
      </c>
      <c r="D29">
        <v>8.1739130434782615E-5</v>
      </c>
      <c r="E29">
        <v>0</v>
      </c>
      <c r="F29">
        <v>3.1424347826086957E-3</v>
      </c>
      <c r="G29">
        <v>0</v>
      </c>
      <c r="H29">
        <v>1.7391304347826088E-9</v>
      </c>
      <c r="I29">
        <v>0</v>
      </c>
      <c r="J29">
        <v>0</v>
      </c>
      <c r="K29">
        <v>0</v>
      </c>
      <c r="L29">
        <v>0</v>
      </c>
      <c r="M29">
        <v>0</v>
      </c>
      <c r="N29">
        <v>0.14671304347826086</v>
      </c>
      <c r="O29" s="219">
        <f t="shared" si="0"/>
        <v>3.2243495652173912E-3</v>
      </c>
    </row>
    <row r="30" x14ac:dyDescent="0.15">
      <c r="A30">
        <v>29</v>
      </c>
      <c r="B30" t="s">
        <v>209</v>
      </c>
      <c r="C30">
        <v>1.7391304347826088E-7</v>
      </c>
      <c r="D30">
        <v>8.1739130434782615E-5</v>
      </c>
      <c r="E30">
        <v>0</v>
      </c>
      <c r="F30">
        <v>3.1424347826086957E-3</v>
      </c>
      <c r="G30">
        <v>0</v>
      </c>
      <c r="H30">
        <v>1.7391304347826088E-9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s="219">
        <f t="shared" si="0"/>
        <v>3.2243495652173912E-3</v>
      </c>
    </row>
    <row r="31" x14ac:dyDescent="0.15">
      <c r="A31">
        <v>30</v>
      </c>
      <c r="B31" t="s">
        <v>210</v>
      </c>
      <c r="C31">
        <v>6.956521739130435E-7</v>
      </c>
      <c r="D31">
        <v>7.3356521739130435E-3</v>
      </c>
      <c r="E31">
        <v>0</v>
      </c>
      <c r="F31">
        <v>0</v>
      </c>
      <c r="G31">
        <v>1.7391304347826088E-9</v>
      </c>
      <c r="H31">
        <v>1.7391304347826088E-9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s="219">
        <f t="shared" si="0"/>
        <v>7.336351304347827E-3</v>
      </c>
    </row>
    <row r="32" x14ac:dyDescent="0.15">
      <c r="A32">
        <v>31</v>
      </c>
      <c r="B32" t="s">
        <v>211</v>
      </c>
      <c r="C32">
        <v>1.7391304347826088E-9</v>
      </c>
      <c r="D32">
        <v>5.2173913043478263E-7</v>
      </c>
      <c r="E32">
        <v>0</v>
      </c>
      <c r="F32">
        <v>0.20510086956521739</v>
      </c>
      <c r="G32">
        <v>1.3565217391304348E-5</v>
      </c>
      <c r="H32">
        <v>1.7391304347826088E-9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s="219">
        <f t="shared" si="0"/>
        <v>0.20511495999999999</v>
      </c>
    </row>
    <row r="33" x14ac:dyDescent="0.15">
      <c r="A33">
        <v>32</v>
      </c>
      <c r="B33" t="s">
        <v>212</v>
      </c>
      <c r="C33">
        <v>6.956521739130435E-7</v>
      </c>
      <c r="D33">
        <v>1.217391304347826E-6</v>
      </c>
      <c r="E33">
        <v>0</v>
      </c>
      <c r="F33">
        <v>8.347826086956522E-6</v>
      </c>
      <c r="G33">
        <v>1.7391304347826088E-9</v>
      </c>
      <c r="H33">
        <v>1.7391304347826088E-9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s="219">
        <f t="shared" si="0"/>
        <v>1.0264347826086955E-5</v>
      </c>
    </row>
    <row r="34" x14ac:dyDescent="0.15">
      <c r="A34">
        <v>33</v>
      </c>
      <c r="B34" t="s">
        <v>213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s="219">
        <f t="shared" si="0"/>
        <v>0</v>
      </c>
    </row>
    <row r="35" x14ac:dyDescent="0.15">
      <c r="A35">
        <v>34</v>
      </c>
      <c r="B35" t="s">
        <v>214</v>
      </c>
      <c r="C35">
        <v>3.1919999999999997E-2</v>
      </c>
      <c r="D35">
        <v>7.1671304347826092E-2</v>
      </c>
      <c r="E35">
        <v>0</v>
      </c>
      <c r="F35">
        <v>0</v>
      </c>
      <c r="G35">
        <v>1.7391304347826088E-9</v>
      </c>
      <c r="H35">
        <v>2.9930434782608696E-4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s="219">
        <f t="shared" si="0"/>
        <v>0.10389061043478262</v>
      </c>
    </row>
    <row r="36" x14ac:dyDescent="0.15">
      <c r="A36">
        <v>35</v>
      </c>
      <c r="B36" t="s">
        <v>215</v>
      </c>
      <c r="C36">
        <v>0.12193043478260869</v>
      </c>
      <c r="D36">
        <v>2.805391304347826E-3</v>
      </c>
      <c r="E36">
        <v>0</v>
      </c>
      <c r="F36">
        <v>0</v>
      </c>
      <c r="G36">
        <v>1.7391304347826088E-9</v>
      </c>
      <c r="H36">
        <v>7.5339130434782606E-3</v>
      </c>
      <c r="I36">
        <v>1.7391304347826088E-9</v>
      </c>
      <c r="J36">
        <v>0</v>
      </c>
      <c r="K36">
        <v>1.7391304347826088E-9</v>
      </c>
      <c r="L36">
        <v>0</v>
      </c>
      <c r="M36">
        <v>0</v>
      </c>
      <c r="N36">
        <v>0</v>
      </c>
      <c r="O36" s="219">
        <f t="shared" si="0"/>
        <v>0.13226974260869565</v>
      </c>
    </row>
    <row r="37" x14ac:dyDescent="0.15">
      <c r="A37">
        <v>36</v>
      </c>
      <c r="B37" t="s">
        <v>216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219">
        <f t="shared" si="0"/>
        <v>0</v>
      </c>
    </row>
    <row r="38" x14ac:dyDescent="0.15">
      <c r="A38">
        <v>37</v>
      </c>
      <c r="B38" t="s">
        <v>217</v>
      </c>
      <c r="C38">
        <v>1.7391304347826088E-9</v>
      </c>
      <c r="D38">
        <v>6.0568695652173911E-2</v>
      </c>
      <c r="E38">
        <v>0</v>
      </c>
      <c r="F38">
        <v>0</v>
      </c>
      <c r="G38">
        <v>0</v>
      </c>
      <c r="H38">
        <v>8.6956521739130438E-7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219">
        <f t="shared" si="0"/>
        <v>6.0569566956521742E-2</v>
      </c>
    </row>
    <row r="39" x14ac:dyDescent="0.15">
      <c r="A39">
        <v>38</v>
      </c>
      <c r="B39" t="s">
        <v>218</v>
      </c>
      <c r="C39">
        <v>0</v>
      </c>
      <c r="D39">
        <v>0</v>
      </c>
      <c r="E39">
        <v>0</v>
      </c>
      <c r="F39">
        <v>0</v>
      </c>
      <c r="G39">
        <v>1.7391304347826088E-9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219">
        <f t="shared" si="0"/>
        <v>1.7391304347826088E-9</v>
      </c>
    </row>
    <row r="40" x14ac:dyDescent="0.15">
      <c r="A40">
        <v>39</v>
      </c>
      <c r="B40" t="s">
        <v>219</v>
      </c>
      <c r="C40">
        <v>3.9255652173913044E-3</v>
      </c>
      <c r="D40">
        <v>2.3095652173913046E-4</v>
      </c>
      <c r="E40">
        <v>0</v>
      </c>
      <c r="F40">
        <v>0</v>
      </c>
      <c r="G40">
        <v>1.7391304347826088E-9</v>
      </c>
      <c r="H40">
        <v>1.0504347826086956E-4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219">
        <f t="shared" si="0"/>
        <v>4.261566956521739E-3</v>
      </c>
    </row>
    <row r="41" x14ac:dyDescent="0.15">
      <c r="A41">
        <v>40</v>
      </c>
      <c r="B41" t="s">
        <v>220</v>
      </c>
      <c r="C41">
        <v>3.4782608695652171E-5</v>
      </c>
      <c r="D41">
        <v>1.209391304347826E-2</v>
      </c>
      <c r="E41">
        <v>0</v>
      </c>
      <c r="F41">
        <v>1.217391304347826E-6</v>
      </c>
      <c r="G41">
        <v>3.4782608695652175E-7</v>
      </c>
      <c r="H41">
        <v>0</v>
      </c>
      <c r="I41">
        <v>1.7391304347826088E-9</v>
      </c>
      <c r="J41">
        <v>0</v>
      </c>
      <c r="K41">
        <v>0</v>
      </c>
      <c r="L41">
        <v>0</v>
      </c>
      <c r="M41">
        <v>0</v>
      </c>
      <c r="N41">
        <v>0</v>
      </c>
      <c r="O41" s="219">
        <f t="shared" si="0"/>
        <v>1.2130262608695652E-2</v>
      </c>
    </row>
    <row r="42" x14ac:dyDescent="0.15">
      <c r="A42">
        <v>41</v>
      </c>
      <c r="B42" t="s">
        <v>221</v>
      </c>
      <c r="C42">
        <v>2.2400000000000002E-4</v>
      </c>
      <c r="D42">
        <v>3.6678260869565216E-4</v>
      </c>
      <c r="E42">
        <v>0</v>
      </c>
      <c r="F42">
        <v>0</v>
      </c>
      <c r="G42">
        <v>1.1704347826086956E-4</v>
      </c>
      <c r="H42">
        <v>0</v>
      </c>
      <c r="I42">
        <v>1.7391304347826088E-9</v>
      </c>
      <c r="J42">
        <v>0</v>
      </c>
      <c r="K42">
        <v>0</v>
      </c>
      <c r="L42">
        <v>0</v>
      </c>
      <c r="M42">
        <v>0</v>
      </c>
      <c r="N42">
        <v>0</v>
      </c>
      <c r="O42" s="219">
        <f t="shared" si="0"/>
        <v>7.0782782608695661E-4</v>
      </c>
    </row>
    <row r="43" x14ac:dyDescent="0.15">
      <c r="A43">
        <v>42</v>
      </c>
      <c r="B43" t="s">
        <v>222</v>
      </c>
      <c r="C43">
        <v>1.1697391304347827E-3</v>
      </c>
      <c r="D43">
        <v>1.7391304347826088E-9</v>
      </c>
      <c r="E43">
        <v>0</v>
      </c>
      <c r="F43">
        <v>0</v>
      </c>
      <c r="G43">
        <v>3.4782608695652175E-7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219">
        <f t="shared" si="0"/>
        <v>1.170088695652174E-3</v>
      </c>
    </row>
    <row r="44" x14ac:dyDescent="0.15">
      <c r="A44">
        <v>43</v>
      </c>
      <c r="B44" t="s">
        <v>223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219">
        <f t="shared" si="0"/>
        <v>0</v>
      </c>
    </row>
    <row r="45" x14ac:dyDescent="0.15">
      <c r="A45">
        <v>44</v>
      </c>
      <c r="B45" t="s">
        <v>224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219">
        <f t="shared" si="0"/>
        <v>0</v>
      </c>
    </row>
    <row r="46" x14ac:dyDescent="0.15">
      <c r="A46">
        <v>45</v>
      </c>
      <c r="B46" t="s">
        <v>225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219">
        <f t="shared" si="0"/>
        <v>0</v>
      </c>
    </row>
    <row r="47" x14ac:dyDescent="0.15">
      <c r="A47">
        <v>46</v>
      </c>
      <c r="B47" t="s">
        <v>226</v>
      </c>
      <c r="C47">
        <v>1.1598260869565217E-3</v>
      </c>
      <c r="D47">
        <v>2.1565217391304347E-5</v>
      </c>
      <c r="E47">
        <v>0</v>
      </c>
      <c r="F47">
        <v>4.3478260869565214E-6</v>
      </c>
      <c r="G47">
        <v>3.7043478260869565E-5</v>
      </c>
      <c r="H47">
        <v>0</v>
      </c>
      <c r="I47">
        <v>0</v>
      </c>
      <c r="J47">
        <v>0</v>
      </c>
      <c r="K47">
        <v>1.7391304347826088E-9</v>
      </c>
      <c r="L47">
        <v>0</v>
      </c>
      <c r="M47">
        <v>0</v>
      </c>
      <c r="N47">
        <v>0</v>
      </c>
      <c r="O47" s="219">
        <f t="shared" si="0"/>
        <v>1.222782608695652E-3</v>
      </c>
    </row>
    <row r="48" x14ac:dyDescent="0.15">
      <c r="A48">
        <v>47</v>
      </c>
      <c r="B48" t="s">
        <v>227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219">
        <f t="shared" si="0"/>
        <v>0</v>
      </c>
    </row>
    <row r="49" x14ac:dyDescent="0.15">
      <c r="A49">
        <v>48</v>
      </c>
      <c r="B49" t="s">
        <v>228</v>
      </c>
      <c r="C49">
        <v>1.7391304347826088E-9</v>
      </c>
      <c r="D49">
        <v>0</v>
      </c>
      <c r="E49">
        <v>0</v>
      </c>
      <c r="F49">
        <v>1.5669565217391304E-4</v>
      </c>
      <c r="G49">
        <v>1.7391304347826088E-9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219">
        <f t="shared" si="0"/>
        <v>1.5669913043478258E-4</v>
      </c>
    </row>
    <row r="50" x14ac:dyDescent="0.15">
      <c r="A50">
        <v>49</v>
      </c>
      <c r="B50" t="s">
        <v>229</v>
      </c>
      <c r="C50">
        <v>3.6869565217391307E-4</v>
      </c>
      <c r="D50">
        <v>2.5043478260869564E-5</v>
      </c>
      <c r="E50">
        <v>0</v>
      </c>
      <c r="F50">
        <v>1.7391304347826088E-7</v>
      </c>
      <c r="G50">
        <v>0</v>
      </c>
      <c r="H50">
        <v>1.7391304347826088E-9</v>
      </c>
      <c r="I50">
        <v>0</v>
      </c>
      <c r="J50">
        <v>0</v>
      </c>
      <c r="K50">
        <v>1.7391304347826088E-9</v>
      </c>
      <c r="L50">
        <v>0</v>
      </c>
      <c r="M50">
        <v>0</v>
      </c>
      <c r="N50">
        <v>0</v>
      </c>
      <c r="O50" s="219">
        <f t="shared" si="0"/>
        <v>3.9391478260869566E-4</v>
      </c>
    </row>
    <row r="51" x14ac:dyDescent="0.15">
      <c r="A51">
        <v>50</v>
      </c>
      <c r="B51" t="s">
        <v>230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219">
        <f t="shared" si="0"/>
        <v>0</v>
      </c>
    </row>
    <row r="52" x14ac:dyDescent="0.15">
      <c r="A52">
        <v>51</v>
      </c>
      <c r="B52" s="207" t="s">
        <v>299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219">
        <f t="shared" si="0"/>
        <v>0</v>
      </c>
    </row>
    <row r="53" x14ac:dyDescent="0.15">
      <c r="A53">
        <v>52</v>
      </c>
      <c r="B53" t="s">
        <v>233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219">
        <f t="shared" si="0"/>
        <v>0</v>
      </c>
    </row>
    <row r="54" x14ac:dyDescent="0.15">
      <c r="A54">
        <v>53</v>
      </c>
      <c r="B54" t="s">
        <v>234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219">
        <f t="shared" si="0"/>
        <v>0</v>
      </c>
    </row>
    <row r="55" x14ac:dyDescent="0.15">
      <c r="A55">
        <v>54</v>
      </c>
      <c r="B55" t="s">
        <v>235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219">
        <f t="shared" si="0"/>
        <v>0</v>
      </c>
    </row>
    <row r="56" x14ac:dyDescent="0.15">
      <c r="A56">
        <v>55</v>
      </c>
      <c r="B56" t="s">
        <v>237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219">
        <f t="shared" si="0"/>
        <v>0</v>
      </c>
    </row>
    <row r="57" x14ac:dyDescent="0.15">
      <c r="A57">
        <v>56</v>
      </c>
      <c r="B57" t="s">
        <v>238</v>
      </c>
      <c r="C57">
        <v>2.111304347826087E-4</v>
      </c>
      <c r="D57">
        <v>0</v>
      </c>
      <c r="E57">
        <v>0</v>
      </c>
      <c r="F57">
        <v>0</v>
      </c>
      <c r="G57">
        <v>0</v>
      </c>
      <c r="H57">
        <v>7.8504347826086952E-4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219">
        <f t="shared" si="0"/>
        <v>9.9617391304347822E-4</v>
      </c>
    </row>
    <row r="58" x14ac:dyDescent="0.15">
      <c r="A58">
        <v>57</v>
      </c>
      <c r="B58" t="s">
        <v>239</v>
      </c>
      <c r="C58">
        <v>0</v>
      </c>
      <c r="D58">
        <v>1.7217391304347826E-5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219">
        <f t="shared" si="0"/>
        <v>1.7217391304347826E-5</v>
      </c>
    </row>
    <row r="59" x14ac:dyDescent="0.15">
      <c r="A59">
        <v>58</v>
      </c>
      <c r="B59" t="s">
        <v>240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219">
        <f t="shared" si="0"/>
        <v>0</v>
      </c>
    </row>
    <row r="60" x14ac:dyDescent="0.15">
      <c r="A60">
        <v>59</v>
      </c>
      <c r="B60" t="s">
        <v>241</v>
      </c>
      <c r="C60">
        <v>0</v>
      </c>
      <c r="D60">
        <v>4.9466086956521736E-2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219">
        <f t="shared" si="0"/>
        <v>4.9466086956521736E-2</v>
      </c>
    </row>
    <row r="61" x14ac:dyDescent="0.15">
      <c r="A61">
        <v>60</v>
      </c>
      <c r="B61" t="s">
        <v>242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219">
        <f t="shared" si="0"/>
        <v>0</v>
      </c>
    </row>
    <row r="62" x14ac:dyDescent="0.15">
      <c r="A62">
        <v>61</v>
      </c>
      <c r="B62" t="s">
        <v>243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219">
        <f t="shared" si="0"/>
        <v>0</v>
      </c>
    </row>
    <row r="63" x14ac:dyDescent="0.15">
      <c r="A63">
        <v>62</v>
      </c>
      <c r="B63" t="s">
        <v>244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219">
        <f t="shared" si="0"/>
        <v>0</v>
      </c>
    </row>
    <row r="64" x14ac:dyDescent="0.15">
      <c r="A64">
        <v>63</v>
      </c>
      <c r="B64" t="s">
        <v>245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219">
        <f t="shared" si="0"/>
        <v>0</v>
      </c>
    </row>
    <row r="65" x14ac:dyDescent="0.15">
      <c r="A65">
        <v>64</v>
      </c>
      <c r="B65" t="s">
        <v>246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219">
        <f t="shared" si="0"/>
        <v>0</v>
      </c>
    </row>
    <row r="66" x14ac:dyDescent="0.15">
      <c r="A66">
        <v>65</v>
      </c>
      <c r="B66" t="s">
        <v>247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s="219">
        <f t="shared" ref="O66:O70" si="1">SUM(C66:J66)</f>
        <v>0</v>
      </c>
    </row>
    <row r="67" x14ac:dyDescent="0.15">
      <c r="A67">
        <v>66</v>
      </c>
      <c r="B67" t="s">
        <v>248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 s="219">
        <f t="shared" si="1"/>
        <v>0</v>
      </c>
    </row>
    <row r="68" x14ac:dyDescent="0.15">
      <c r="A68">
        <v>67</v>
      </c>
      <c r="B68" t="s">
        <v>249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s="219">
        <f t="shared" si="1"/>
        <v>0</v>
      </c>
    </row>
    <row r="69" x14ac:dyDescent="0.15">
      <c r="A69">
        <v>68</v>
      </c>
      <c r="B69" t="s">
        <v>250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 s="219">
        <f t="shared" si="1"/>
        <v>0</v>
      </c>
    </row>
    <row r="70" x14ac:dyDescent="0.15">
      <c r="A70">
        <v>69</v>
      </c>
      <c r="B70" t="s">
        <v>175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 s="219">
        <f t="shared" si="1"/>
        <v>0</v>
      </c>
    </row>
    <row r="71" x14ac:dyDescent="0.15">
      <c r="O71" s="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workbookViewId="0">
      <selection activeCell="A15" sqref="A15"/>
    </sheetView>
  </sheetViews>
  <sheetFormatPr baseColWidth="10" defaultRowHeight="13" x14ac:dyDescent="0.15"/>
  <cols>
    <col min="1" max="1" width="17.33203125" bestFit="true" customWidth="true"/>
    <col min="5" max="5" width="39.83203125" bestFit="true" customWidth="true"/>
    <col min="6" max="6" width="8.1640625" bestFit="true" customWidth="true"/>
    <col min="7" max="7" width="7.5" bestFit="true" customWidth="true"/>
    <col min="8" max="8" width="8.6640625" bestFit="true" customWidth="true"/>
    <col min="9" max="9" width="8.83203125" bestFit="true" customWidth="true"/>
    <col min="10" max="10" width="8.83203125" style="153" bestFit="true" customWidth="true"/>
    <col min="11" max="11" width="8.6640625" style="153" bestFit="true" customWidth="true"/>
    <col min="12" max="12" width="12.33203125" bestFit="true" customWidth="true"/>
    <col min="13" max="13" width="13.5" bestFit="true" customWidth="true"/>
    <col min="14" max="14" width="13.83203125" bestFit="true" customWidth="true"/>
    <col min="15" max="15" width="13.6640625" bestFit="true" customWidth="true"/>
    <col min="16" max="16" width="13.5" bestFit="true" customWidth="true"/>
    <col min="17" max="17" width="12.83203125" bestFit="true" customWidth="true"/>
    <col min="18" max="18" width="14" bestFit="true" customWidth="true"/>
    <col min="19" max="20" width="14.1640625" bestFit="true" customWidth="true"/>
    <col min="21" max="21" width="14" bestFit="true" customWidth="true"/>
    <col min="22" max="22" width="8.6640625" bestFit="true" customWidth="true"/>
    <col min="23" max="23" width="8.83203125" bestFit="true" customWidth="true"/>
    <col min="24" max="24" width="14" bestFit="true" customWidth="true"/>
    <col min="25" max="25" width="21.33203125" style="3" bestFit="true" customWidth="true"/>
    <col min="26" max="26" width="13.6640625" bestFit="true" customWidth="true"/>
    <col min="27" max="27" width="13.83203125" bestFit="true" customWidth="true"/>
    <col min="28" max="28" width="19" bestFit="true" customWidth="true"/>
    <col min="29" max="29" width="26.33203125" style="3" bestFit="true" customWidth="true"/>
    <col min="30" max="30" width="14.1640625" bestFit="true" customWidth="true"/>
    <col min="31" max="31" width="14.33203125" bestFit="true" customWidth="true"/>
    <col min="32" max="32" width="19.5" bestFit="true" customWidth="true"/>
    <col min="33" max="33" width="26.83203125" style="3" bestFit="true" customWidth="true"/>
    <col min="34" max="34" width="24" bestFit="true" customWidth="true"/>
    <col min="35" max="35" width="30" bestFit="true" customWidth="true"/>
    <col min="36" max="36" width="19.1640625" bestFit="true" customWidth="true"/>
    <col min="37" max="37" width="25.5" bestFit="true" customWidth="true"/>
    <col min="38" max="38" width="31.5" bestFit="true" customWidth="true"/>
    <col min="39" max="39" width="20.6640625" bestFit="true" customWidth="true"/>
    <col min="40" max="40" width="25" bestFit="true" customWidth="true"/>
    <col min="41" max="41" width="31" bestFit="true" customWidth="true"/>
    <col min="42" max="42" width="20.1640625" bestFit="true" customWidth="true"/>
  </cols>
  <sheetData>
    <row r="1" s="142" customFormat="true" ht="14" thickBot="true" x14ac:dyDescent="0.2">
      <c r="D1" s="143" t="s">
        <v>8</v>
      </c>
      <c r="E1" s="143" t="s">
        <v>0</v>
      </c>
      <c r="F1" s="144" t="s">
        <v>100</v>
      </c>
      <c r="G1" s="145" t="s">
        <v>85</v>
      </c>
      <c r="H1" s="145" t="s">
        <v>86</v>
      </c>
      <c r="I1" s="145" t="s">
        <v>87</v>
      </c>
      <c r="J1" s="145" t="s">
        <v>88</v>
      </c>
      <c r="K1" s="145" t="s">
        <v>89</v>
      </c>
      <c r="L1" s="146" t="s">
        <v>90</v>
      </c>
      <c r="M1" s="146" t="s">
        <v>94</v>
      </c>
      <c r="N1" s="146" t="s">
        <v>93</v>
      </c>
      <c r="O1" s="146" t="s">
        <v>91</v>
      </c>
      <c r="P1" s="146" t="s">
        <v>92</v>
      </c>
      <c r="Q1" s="147" t="s">
        <v>95</v>
      </c>
      <c r="R1" s="147" t="s">
        <v>96</v>
      </c>
      <c r="S1" s="147" t="s">
        <v>97</v>
      </c>
      <c r="T1" s="147" t="s">
        <v>98</v>
      </c>
      <c r="U1" s="147" t="s">
        <v>99</v>
      </c>
      <c r="V1" s="145" t="s">
        <v>101</v>
      </c>
      <c r="W1" s="145" t="s">
        <v>102</v>
      </c>
      <c r="X1" s="145" t="s">
        <v>103</v>
      </c>
      <c r="Y1" s="145" t="s">
        <v>135</v>
      </c>
      <c r="Z1" s="146" t="s">
        <v>104</v>
      </c>
      <c r="AA1" s="146" t="s">
        <v>105</v>
      </c>
      <c r="AB1" s="146" t="s">
        <v>106</v>
      </c>
      <c r="AC1" s="148" t="s">
        <v>136</v>
      </c>
      <c r="AD1" s="147" t="s">
        <v>107</v>
      </c>
      <c r="AE1" s="147" t="s">
        <v>108</v>
      </c>
      <c r="AF1" s="147" t="s">
        <v>109</v>
      </c>
      <c r="AG1" s="147" t="s">
        <v>137</v>
      </c>
      <c r="AH1" s="145" t="s">
        <v>110</v>
      </c>
      <c r="AI1" s="145" t="s">
        <v>112</v>
      </c>
      <c r="AJ1" s="145" t="s">
        <v>111</v>
      </c>
      <c r="AK1" s="146" t="s">
        <v>116</v>
      </c>
      <c r="AL1" s="146" t="s">
        <v>117</v>
      </c>
      <c r="AM1" s="146" t="s">
        <v>118</v>
      </c>
      <c r="AN1" s="147" t="s">
        <v>113</v>
      </c>
      <c r="AO1" s="147" t="s">
        <v>114</v>
      </c>
      <c r="AP1" s="147" t="s">
        <v>115</v>
      </c>
    </row>
    <row r="2" x14ac:dyDescent="0.15">
      <c r="A2" s="149" t="s">
        <v>75</v>
      </c>
      <c r="B2" s="150">
        <v>1</v>
      </c>
      <c r="D2">
        <v>1</v>
      </c>
      <c r="E2" s="155" t="s">
        <v>181</v>
      </c>
      <c r="F2">
        <v>0.995</v>
      </c>
      <c r="G2">
        <v>0</v>
      </c>
      <c r="H2">
        <v>0.6</v>
      </c>
      <c r="J2">
        <v>0.25</v>
      </c>
      <c r="K2">
        <v>0.05</v>
      </c>
      <c r="V2">
        <v>0</v>
      </c>
      <c r="W2">
        <v>0</v>
      </c>
    </row>
    <row r="3" x14ac:dyDescent="0.15">
      <c r="A3" s="149" t="s">
        <v>76</v>
      </c>
      <c r="B3" s="151">
        <v>1</v>
      </c>
      <c r="D3">
        <v>2</v>
      </c>
      <c r="E3" s="155" t="s">
        <v>182</v>
      </c>
      <c r="F3">
        <v>0.995</v>
      </c>
      <c r="G3">
        <v>0.4</v>
      </c>
      <c r="H3">
        <v>0.6</v>
      </c>
      <c r="J3">
        <v>0.25</v>
      </c>
      <c r="K3">
        <v>0.05</v>
      </c>
      <c r="V3">
        <v>0</v>
      </c>
      <c r="W3">
        <v>0</v>
      </c>
    </row>
    <row r="4" x14ac:dyDescent="0.15">
      <c r="A4" s="149" t="s">
        <v>77</v>
      </c>
      <c r="B4" s="151">
        <v>1</v>
      </c>
      <c r="D4">
        <v>3</v>
      </c>
      <c r="E4" s="155" t="s">
        <v>183</v>
      </c>
      <c r="F4">
        <v>0.995</v>
      </c>
      <c r="G4">
        <v>0.7</v>
      </c>
      <c r="H4">
        <v>0.6</v>
      </c>
      <c r="J4">
        <v>0.25</v>
      </c>
      <c r="K4">
        <v>0.05</v>
      </c>
      <c r="V4">
        <v>0</v>
      </c>
      <c r="W4">
        <v>0</v>
      </c>
    </row>
    <row r="5" x14ac:dyDescent="0.15">
      <c r="A5" s="149" t="s">
        <v>78</v>
      </c>
      <c r="B5" s="151">
        <v>1</v>
      </c>
      <c r="D5">
        <v>4</v>
      </c>
      <c r="E5" s="155" t="s">
        <v>184</v>
      </c>
      <c r="F5">
        <v>0.995</v>
      </c>
      <c r="G5">
        <v>0.7</v>
      </c>
      <c r="H5">
        <v>0.6</v>
      </c>
      <c r="J5">
        <v>0.25</v>
      </c>
      <c r="K5">
        <v>0.05</v>
      </c>
      <c r="V5">
        <v>0</v>
      </c>
      <c r="W5">
        <v>0</v>
      </c>
    </row>
    <row r="6" x14ac:dyDescent="0.15">
      <c r="A6" s="149" t="s">
        <v>79</v>
      </c>
      <c r="B6" s="151">
        <v>0</v>
      </c>
      <c r="D6">
        <v>5</v>
      </c>
      <c r="E6" s="155" t="s">
        <v>185</v>
      </c>
      <c r="F6">
        <v>0.995</v>
      </c>
      <c r="G6">
        <v>0.7</v>
      </c>
      <c r="H6">
        <v>0.5</v>
      </c>
      <c r="J6">
        <v>0.25</v>
      </c>
      <c r="K6">
        <v>0.05</v>
      </c>
      <c r="V6">
        <v>0</v>
      </c>
      <c r="W6">
        <v>0</v>
      </c>
    </row>
    <row r="7" x14ac:dyDescent="0.15">
      <c r="A7" s="149" t="s">
        <v>80</v>
      </c>
      <c r="B7" s="151">
        <v>0</v>
      </c>
      <c r="D7">
        <v>6</v>
      </c>
      <c r="E7" s="155" t="s">
        <v>186</v>
      </c>
      <c r="F7">
        <v>0.995</v>
      </c>
      <c r="G7">
        <v>1</v>
      </c>
      <c r="H7">
        <v>1</v>
      </c>
      <c r="J7">
        <v>0.25</v>
      </c>
      <c r="K7">
        <v>0.05</v>
      </c>
      <c r="V7">
        <v>0</v>
      </c>
      <c r="W7">
        <v>0</v>
      </c>
    </row>
    <row r="8" x14ac:dyDescent="0.15">
      <c r="A8" s="149" t="s">
        <v>81</v>
      </c>
      <c r="B8" s="151">
        <v>1</v>
      </c>
      <c r="D8">
        <v>7</v>
      </c>
      <c r="E8" s="155" t="s">
        <v>187</v>
      </c>
      <c r="F8">
        <v>0.995</v>
      </c>
      <c r="G8">
        <v>0.4</v>
      </c>
      <c r="H8">
        <v>0.5</v>
      </c>
      <c r="J8">
        <v>0.25</v>
      </c>
      <c r="K8">
        <v>0.05</v>
      </c>
      <c r="V8">
        <v>0</v>
      </c>
      <c r="W8">
        <v>0</v>
      </c>
    </row>
    <row r="9" x14ac:dyDescent="0.15">
      <c r="A9" s="149" t="s">
        <v>82</v>
      </c>
      <c r="B9" s="151">
        <v>0.1</v>
      </c>
      <c r="C9" s="140" t="s">
        <v>150</v>
      </c>
      <c r="D9">
        <v>8</v>
      </c>
      <c r="E9" s="155" t="s">
        <v>188</v>
      </c>
      <c r="F9">
        <v>0.995</v>
      </c>
      <c r="G9">
        <v>0.7</v>
      </c>
      <c r="H9">
        <v>0.5</v>
      </c>
      <c r="J9">
        <v>0.25</v>
      </c>
      <c r="K9">
        <v>0.05</v>
      </c>
      <c r="V9">
        <v>0</v>
      </c>
      <c r="W9">
        <v>0</v>
      </c>
    </row>
    <row r="10" ht="14" thickBot="true" x14ac:dyDescent="0.2">
      <c r="A10" s="149" t="s">
        <v>149</v>
      </c>
      <c r="B10" s="152">
        <f>1/3</f>
        <v>0.33333333333333331</v>
      </c>
      <c r="C10" s="140" t="s">
        <v>150</v>
      </c>
      <c r="D10">
        <v>9</v>
      </c>
      <c r="E10" s="155" t="s">
        <v>189</v>
      </c>
      <c r="F10">
        <v>0.995</v>
      </c>
      <c r="G10">
        <v>0.7</v>
      </c>
      <c r="H10">
        <v>0.5</v>
      </c>
      <c r="J10">
        <v>0.25</v>
      </c>
      <c r="K10">
        <v>0.05</v>
      </c>
      <c r="V10">
        <v>0</v>
      </c>
      <c r="W10">
        <v>0</v>
      </c>
    </row>
    <row r="11" x14ac:dyDescent="0.15">
      <c r="D11">
        <v>10</v>
      </c>
      <c r="E11" s="155" t="s">
        <v>190</v>
      </c>
      <c r="F11">
        <v>0.995</v>
      </c>
      <c r="G11">
        <v>1</v>
      </c>
      <c r="H11">
        <v>1</v>
      </c>
      <c r="J11">
        <v>0.25</v>
      </c>
      <c r="K11">
        <v>0.05</v>
      </c>
      <c r="V11">
        <v>0</v>
      </c>
      <c r="W11">
        <v>0</v>
      </c>
    </row>
    <row r="12" x14ac:dyDescent="0.15">
      <c r="D12">
        <v>11</v>
      </c>
      <c r="E12" s="155" t="s">
        <v>191</v>
      </c>
      <c r="F12">
        <v>0.995</v>
      </c>
      <c r="G12">
        <v>1</v>
      </c>
      <c r="H12">
        <v>1</v>
      </c>
      <c r="J12">
        <v>0.25</v>
      </c>
      <c r="K12">
        <v>0.05</v>
      </c>
      <c r="V12">
        <v>0</v>
      </c>
      <c r="W12">
        <v>0</v>
      </c>
    </row>
    <row r="13" x14ac:dyDescent="0.15">
      <c r="D13">
        <v>12</v>
      </c>
      <c r="E13" s="155" t="s">
        <v>192</v>
      </c>
      <c r="F13">
        <v>0.995</v>
      </c>
      <c r="G13">
        <v>0.7</v>
      </c>
      <c r="H13">
        <v>0.5</v>
      </c>
      <c r="J13">
        <v>0.25</v>
      </c>
      <c r="K13">
        <v>0.05</v>
      </c>
      <c r="V13">
        <v>0</v>
      </c>
      <c r="W13">
        <v>0</v>
      </c>
    </row>
    <row r="14" x14ac:dyDescent="0.15">
      <c r="D14">
        <v>13</v>
      </c>
      <c r="E14" s="155" t="s">
        <v>193</v>
      </c>
      <c r="F14">
        <v>0.995</v>
      </c>
      <c r="G14">
        <v>1</v>
      </c>
      <c r="H14">
        <v>1</v>
      </c>
      <c r="J14">
        <v>0.25</v>
      </c>
      <c r="K14">
        <v>0.05</v>
      </c>
      <c r="V14">
        <v>0</v>
      </c>
      <c r="W14">
        <v>0</v>
      </c>
    </row>
    <row r="15" x14ac:dyDescent="0.15">
      <c r="D15">
        <v>14</v>
      </c>
      <c r="E15" s="155" t="s">
        <v>194</v>
      </c>
      <c r="F15">
        <v>0.995</v>
      </c>
      <c r="G15">
        <v>1</v>
      </c>
      <c r="H15">
        <v>1</v>
      </c>
      <c r="J15">
        <v>0.25</v>
      </c>
      <c r="K15">
        <v>0.05</v>
      </c>
      <c r="V15">
        <v>0</v>
      </c>
      <c r="W15">
        <v>0</v>
      </c>
    </row>
    <row r="16" x14ac:dyDescent="0.15">
      <c r="D16">
        <v>15</v>
      </c>
      <c r="E16" s="155" t="s">
        <v>195</v>
      </c>
      <c r="F16">
        <v>0.995</v>
      </c>
      <c r="G16">
        <v>1</v>
      </c>
      <c r="H16">
        <v>1</v>
      </c>
      <c r="J16">
        <v>0.25</v>
      </c>
      <c r="K16">
        <v>0.05</v>
      </c>
      <c r="V16">
        <v>0</v>
      </c>
      <c r="W16">
        <v>0</v>
      </c>
    </row>
    <row r="17" x14ac:dyDescent="0.15">
      <c r="D17">
        <v>16</v>
      </c>
      <c r="E17" s="155" t="s">
        <v>196</v>
      </c>
      <c r="F17">
        <v>0.995</v>
      </c>
      <c r="G17">
        <v>1</v>
      </c>
      <c r="H17">
        <v>1</v>
      </c>
      <c r="J17">
        <v>0.25</v>
      </c>
      <c r="K17">
        <v>0.05</v>
      </c>
      <c r="V17">
        <v>0</v>
      </c>
      <c r="W17">
        <v>0</v>
      </c>
    </row>
    <row r="18" x14ac:dyDescent="0.15">
      <c r="D18">
        <v>17</v>
      </c>
      <c r="E18" s="155" t="s">
        <v>197</v>
      </c>
      <c r="F18">
        <v>0.995</v>
      </c>
      <c r="G18">
        <v>1</v>
      </c>
      <c r="H18">
        <v>1</v>
      </c>
      <c r="J18">
        <v>0.25</v>
      </c>
      <c r="K18">
        <v>0.05</v>
      </c>
      <c r="V18">
        <v>0</v>
      </c>
      <c r="W18">
        <v>0</v>
      </c>
    </row>
    <row r="19" x14ac:dyDescent="0.15">
      <c r="D19">
        <v>18</v>
      </c>
      <c r="E19" s="155" t="s">
        <v>198</v>
      </c>
      <c r="F19">
        <v>0.995</v>
      </c>
      <c r="G19">
        <v>1</v>
      </c>
      <c r="H19">
        <v>1</v>
      </c>
      <c r="J19">
        <v>0.25</v>
      </c>
      <c r="K19">
        <v>0.05</v>
      </c>
      <c r="V19">
        <v>0</v>
      </c>
      <c r="W19">
        <v>0</v>
      </c>
    </row>
    <row r="20" x14ac:dyDescent="0.15">
      <c r="D20">
        <v>19</v>
      </c>
      <c r="E20" s="155" t="s">
        <v>199</v>
      </c>
      <c r="F20">
        <v>0.995</v>
      </c>
      <c r="G20">
        <v>1</v>
      </c>
      <c r="H20">
        <v>1</v>
      </c>
      <c r="J20">
        <v>0.25</v>
      </c>
      <c r="K20">
        <v>0.05</v>
      </c>
      <c r="V20">
        <v>0</v>
      </c>
      <c r="W20">
        <v>0</v>
      </c>
    </row>
    <row r="21" x14ac:dyDescent="0.15">
      <c r="D21">
        <v>20</v>
      </c>
      <c r="E21" s="155" t="s">
        <v>200</v>
      </c>
      <c r="F21">
        <v>0.995</v>
      </c>
      <c r="G21">
        <v>1</v>
      </c>
      <c r="H21">
        <v>1</v>
      </c>
      <c r="J21">
        <v>0.25</v>
      </c>
      <c r="K21">
        <v>0.05</v>
      </c>
      <c r="V21">
        <v>0</v>
      </c>
      <c r="W21">
        <v>0</v>
      </c>
    </row>
    <row r="22" x14ac:dyDescent="0.15">
      <c r="D22">
        <v>21</v>
      </c>
      <c r="E22" s="155" t="s">
        <v>201</v>
      </c>
      <c r="F22">
        <v>0.995</v>
      </c>
      <c r="G22">
        <v>0.7</v>
      </c>
      <c r="H22">
        <v>0.5</v>
      </c>
      <c r="J22">
        <v>0.25</v>
      </c>
      <c r="K22">
        <v>0.05</v>
      </c>
      <c r="V22">
        <v>0</v>
      </c>
      <c r="W22">
        <v>0</v>
      </c>
    </row>
    <row r="23" x14ac:dyDescent="0.15">
      <c r="D23">
        <v>22</v>
      </c>
      <c r="E23" s="155" t="s">
        <v>202</v>
      </c>
      <c r="F23">
        <v>0.995</v>
      </c>
      <c r="G23">
        <v>0.7</v>
      </c>
      <c r="H23">
        <v>0.5</v>
      </c>
      <c r="J23">
        <v>0.25</v>
      </c>
      <c r="K23">
        <v>0.05</v>
      </c>
      <c r="V23">
        <v>0</v>
      </c>
      <c r="W23">
        <v>0</v>
      </c>
    </row>
    <row r="24" x14ac:dyDescent="0.15">
      <c r="D24">
        <v>23</v>
      </c>
      <c r="E24" s="155" t="s">
        <v>203</v>
      </c>
      <c r="F24">
        <v>0.995</v>
      </c>
      <c r="G24">
        <v>0.7</v>
      </c>
      <c r="H24">
        <v>0.5</v>
      </c>
      <c r="J24">
        <v>0.25</v>
      </c>
      <c r="K24">
        <v>0.05</v>
      </c>
      <c r="V24">
        <v>0</v>
      </c>
      <c r="W24">
        <v>0</v>
      </c>
    </row>
    <row r="25" x14ac:dyDescent="0.15">
      <c r="D25">
        <v>24</v>
      </c>
      <c r="E25" s="155" t="s">
        <v>204</v>
      </c>
      <c r="F25">
        <v>0.995</v>
      </c>
      <c r="G25">
        <v>0.4</v>
      </c>
      <c r="H25">
        <v>0.5</v>
      </c>
      <c r="J25">
        <v>0.25</v>
      </c>
      <c r="K25">
        <v>0.05</v>
      </c>
      <c r="V25">
        <v>0</v>
      </c>
      <c r="W25">
        <v>0</v>
      </c>
    </row>
    <row r="26" x14ac:dyDescent="0.15">
      <c r="D26">
        <v>25</v>
      </c>
      <c r="E26" s="155" t="s">
        <v>205</v>
      </c>
      <c r="F26">
        <v>0.995</v>
      </c>
      <c r="G26">
        <v>0.4</v>
      </c>
      <c r="H26">
        <v>0.5</v>
      </c>
      <c r="J26">
        <v>0.25</v>
      </c>
      <c r="K26">
        <v>0.05</v>
      </c>
      <c r="V26">
        <v>0</v>
      </c>
      <c r="W26">
        <v>0</v>
      </c>
    </row>
    <row r="27" x14ac:dyDescent="0.15">
      <c r="D27">
        <v>26</v>
      </c>
      <c r="E27" s="155" t="s">
        <v>206</v>
      </c>
      <c r="F27">
        <v>0.995</v>
      </c>
      <c r="G27">
        <v>0.7</v>
      </c>
      <c r="H27">
        <v>0.5</v>
      </c>
      <c r="J27">
        <v>0.25</v>
      </c>
      <c r="K27">
        <v>0.05</v>
      </c>
      <c r="V27">
        <v>0</v>
      </c>
      <c r="W27">
        <v>0</v>
      </c>
      <c r="Y27"/>
      <c r="AC27"/>
      <c r="AG27"/>
    </row>
    <row r="28" x14ac:dyDescent="0.15">
      <c r="D28">
        <v>27</v>
      </c>
      <c r="E28" s="155" t="s">
        <v>207</v>
      </c>
      <c r="F28">
        <v>0.995</v>
      </c>
      <c r="G28">
        <v>0.7</v>
      </c>
      <c r="H28">
        <v>0.5</v>
      </c>
      <c r="J28">
        <v>0.25</v>
      </c>
      <c r="K28">
        <v>0.05</v>
      </c>
      <c r="V28">
        <v>0</v>
      </c>
      <c r="W28">
        <v>0</v>
      </c>
      <c r="Y28"/>
      <c r="AC28"/>
      <c r="AG28"/>
    </row>
    <row r="29" x14ac:dyDescent="0.15">
      <c r="D29">
        <v>28</v>
      </c>
      <c r="E29" s="155" t="s">
        <v>208</v>
      </c>
      <c r="F29">
        <v>0.995</v>
      </c>
      <c r="G29">
        <v>1</v>
      </c>
      <c r="H29">
        <v>1</v>
      </c>
      <c r="J29">
        <v>0.25</v>
      </c>
      <c r="K29">
        <v>0.05</v>
      </c>
      <c r="V29">
        <v>0</v>
      </c>
      <c r="W29">
        <v>0</v>
      </c>
      <c r="Y29"/>
      <c r="AC29"/>
      <c r="AG29"/>
    </row>
    <row r="30" x14ac:dyDescent="0.15">
      <c r="D30">
        <v>29</v>
      </c>
      <c r="E30" s="155" t="s">
        <v>209</v>
      </c>
      <c r="F30">
        <v>0.995</v>
      </c>
      <c r="G30">
        <v>1</v>
      </c>
      <c r="H30">
        <v>1</v>
      </c>
      <c r="J30">
        <v>0.25</v>
      </c>
      <c r="K30">
        <v>0.05</v>
      </c>
      <c r="V30">
        <v>0</v>
      </c>
      <c r="W30">
        <v>0</v>
      </c>
      <c r="Y30"/>
      <c r="AC30"/>
      <c r="AG30"/>
    </row>
    <row r="31" x14ac:dyDescent="0.15">
      <c r="D31">
        <v>30</v>
      </c>
      <c r="E31" s="155" t="s">
        <v>210</v>
      </c>
      <c r="F31">
        <v>0.995</v>
      </c>
      <c r="G31">
        <v>0.7</v>
      </c>
      <c r="H31">
        <v>0.5</v>
      </c>
      <c r="J31">
        <v>0.25</v>
      </c>
      <c r="K31">
        <v>0.05</v>
      </c>
      <c r="V31">
        <v>0</v>
      </c>
      <c r="W31">
        <v>0</v>
      </c>
      <c r="Y31"/>
      <c r="AC31"/>
      <c r="AG31"/>
    </row>
    <row r="32" x14ac:dyDescent="0.15">
      <c r="D32">
        <v>31</v>
      </c>
      <c r="E32" s="155" t="s">
        <v>211</v>
      </c>
      <c r="F32">
        <v>0.995</v>
      </c>
      <c r="G32">
        <v>0.7</v>
      </c>
      <c r="H32">
        <v>0.5</v>
      </c>
      <c r="J32">
        <v>0.25</v>
      </c>
      <c r="K32">
        <v>0.05</v>
      </c>
      <c r="V32">
        <v>0</v>
      </c>
      <c r="W32">
        <v>0</v>
      </c>
      <c r="Y32"/>
      <c r="AC32"/>
      <c r="AG32"/>
    </row>
    <row r="33" x14ac:dyDescent="0.15">
      <c r="D33">
        <v>32</v>
      </c>
      <c r="E33" s="155" t="s">
        <v>212</v>
      </c>
      <c r="F33">
        <v>0.995</v>
      </c>
      <c r="G33">
        <v>0.7</v>
      </c>
      <c r="H33">
        <v>0.5</v>
      </c>
      <c r="J33">
        <v>0.25</v>
      </c>
      <c r="K33">
        <v>0.05</v>
      </c>
      <c r="V33">
        <v>0</v>
      </c>
      <c r="W33">
        <v>0</v>
      </c>
      <c r="Y33"/>
      <c r="AC33"/>
      <c r="AG33"/>
    </row>
    <row r="34" x14ac:dyDescent="0.15">
      <c r="D34">
        <v>33</v>
      </c>
      <c r="E34" s="155" t="s">
        <v>213</v>
      </c>
      <c r="F34">
        <v>0.995</v>
      </c>
      <c r="G34">
        <v>0.7</v>
      </c>
      <c r="H34">
        <v>0.5</v>
      </c>
      <c r="J34">
        <v>0.25</v>
      </c>
      <c r="K34">
        <v>0.05</v>
      </c>
      <c r="V34">
        <v>0</v>
      </c>
      <c r="W34">
        <v>0</v>
      </c>
      <c r="Y34"/>
      <c r="AC34"/>
      <c r="AG34"/>
    </row>
    <row r="35" x14ac:dyDescent="0.15">
      <c r="D35">
        <v>34</v>
      </c>
      <c r="E35" s="155" t="s">
        <v>214</v>
      </c>
      <c r="F35">
        <v>0.995</v>
      </c>
      <c r="G35">
        <v>0.7</v>
      </c>
      <c r="H35">
        <v>0.5</v>
      </c>
      <c r="J35">
        <v>0.25</v>
      </c>
      <c r="K35">
        <v>0.05</v>
      </c>
      <c r="V35">
        <v>0</v>
      </c>
      <c r="W35">
        <v>0</v>
      </c>
      <c r="Y35"/>
      <c r="AC35"/>
      <c r="AG35"/>
    </row>
    <row r="36" x14ac:dyDescent="0.15">
      <c r="D36">
        <v>35</v>
      </c>
      <c r="E36" s="155" t="s">
        <v>215</v>
      </c>
      <c r="F36">
        <v>0.995</v>
      </c>
      <c r="G36">
        <v>0.7</v>
      </c>
      <c r="H36">
        <v>0.5</v>
      </c>
      <c r="J36">
        <v>0.25</v>
      </c>
      <c r="K36">
        <v>0.05</v>
      </c>
      <c r="V36">
        <v>0</v>
      </c>
      <c r="W36">
        <v>0</v>
      </c>
      <c r="Y36"/>
      <c r="AC36"/>
      <c r="AG36"/>
    </row>
    <row r="37" x14ac:dyDescent="0.15">
      <c r="D37">
        <v>36</v>
      </c>
      <c r="E37" s="155" t="s">
        <v>216</v>
      </c>
      <c r="F37">
        <v>0.995</v>
      </c>
      <c r="G37">
        <v>0.7</v>
      </c>
      <c r="H37">
        <v>0.5</v>
      </c>
      <c r="J37">
        <v>0.25</v>
      </c>
      <c r="K37">
        <v>0.05</v>
      </c>
      <c r="V37">
        <v>0</v>
      </c>
      <c r="W37">
        <v>0</v>
      </c>
    </row>
    <row r="38" x14ac:dyDescent="0.15">
      <c r="D38">
        <v>37</v>
      </c>
      <c r="E38" s="155" t="s">
        <v>217</v>
      </c>
      <c r="F38">
        <v>0.995</v>
      </c>
      <c r="G38">
        <v>0.7</v>
      </c>
      <c r="H38">
        <v>0.5</v>
      </c>
      <c r="J38">
        <v>0.25</v>
      </c>
      <c r="K38">
        <v>0.05</v>
      </c>
      <c r="V38">
        <v>0</v>
      </c>
      <c r="W38">
        <v>0</v>
      </c>
      <c r="Y38"/>
      <c r="AC38"/>
      <c r="AG38"/>
    </row>
    <row r="39" x14ac:dyDescent="0.15">
      <c r="D39">
        <v>38</v>
      </c>
      <c r="E39" s="155" t="s">
        <v>218</v>
      </c>
      <c r="F39">
        <v>0.995</v>
      </c>
      <c r="G39">
        <v>0.7</v>
      </c>
      <c r="H39">
        <v>0.5</v>
      </c>
      <c r="J39">
        <v>0.25</v>
      </c>
      <c r="K39">
        <v>0.05</v>
      </c>
      <c r="V39">
        <v>0</v>
      </c>
      <c r="W39">
        <v>0</v>
      </c>
      <c r="Y39"/>
      <c r="AC39"/>
      <c r="AG39"/>
    </row>
    <row r="40" x14ac:dyDescent="0.15">
      <c r="D40">
        <v>39</v>
      </c>
      <c r="E40" s="155" t="s">
        <v>219</v>
      </c>
      <c r="F40">
        <v>0.995</v>
      </c>
      <c r="G40">
        <v>0.7</v>
      </c>
      <c r="H40">
        <v>0.5</v>
      </c>
      <c r="J40">
        <v>0.25</v>
      </c>
      <c r="K40">
        <v>0.05</v>
      </c>
      <c r="V40">
        <v>0</v>
      </c>
      <c r="W40">
        <v>0</v>
      </c>
      <c r="Y40"/>
      <c r="AC40"/>
      <c r="AG40"/>
    </row>
    <row r="41" x14ac:dyDescent="0.15">
      <c r="D41">
        <v>40</v>
      </c>
      <c r="E41" s="155" t="s">
        <v>220</v>
      </c>
      <c r="F41">
        <v>0.995</v>
      </c>
      <c r="G41">
        <v>0.7</v>
      </c>
      <c r="H41">
        <v>0.5</v>
      </c>
      <c r="J41">
        <v>0.25</v>
      </c>
      <c r="K41">
        <v>0.05</v>
      </c>
      <c r="V41">
        <v>0</v>
      </c>
      <c r="W41">
        <v>0</v>
      </c>
      <c r="Y41"/>
      <c r="AC41"/>
      <c r="AG41"/>
    </row>
    <row r="42" x14ac:dyDescent="0.15">
      <c r="D42">
        <v>41</v>
      </c>
      <c r="E42" s="155" t="s">
        <v>221</v>
      </c>
      <c r="F42">
        <v>0.995</v>
      </c>
      <c r="G42">
        <v>0.7</v>
      </c>
      <c r="H42">
        <v>0.5</v>
      </c>
      <c r="J42">
        <v>0.25</v>
      </c>
      <c r="K42">
        <v>0.05</v>
      </c>
      <c r="V42">
        <v>0</v>
      </c>
      <c r="W42">
        <v>0</v>
      </c>
      <c r="Y42"/>
      <c r="AC42"/>
      <c r="AG42"/>
    </row>
    <row r="43" x14ac:dyDescent="0.15">
      <c r="D43">
        <v>42</v>
      </c>
      <c r="E43" s="155" t="s">
        <v>222</v>
      </c>
      <c r="F43">
        <v>0.995</v>
      </c>
      <c r="G43">
        <v>0.7</v>
      </c>
      <c r="H43">
        <v>0.5</v>
      </c>
      <c r="J43">
        <v>0.25</v>
      </c>
      <c r="K43">
        <v>0.05</v>
      </c>
      <c r="V43">
        <v>0</v>
      </c>
      <c r="W43">
        <v>0</v>
      </c>
      <c r="Y43"/>
      <c r="AC43"/>
      <c r="AG43"/>
    </row>
    <row r="44" x14ac:dyDescent="0.15">
      <c r="D44">
        <v>43</v>
      </c>
      <c r="E44" s="155" t="s">
        <v>223</v>
      </c>
      <c r="F44">
        <v>0.995</v>
      </c>
      <c r="G44">
        <v>0.7</v>
      </c>
      <c r="H44">
        <v>0.5</v>
      </c>
      <c r="J44">
        <v>0.25</v>
      </c>
      <c r="K44">
        <v>0.05</v>
      </c>
      <c r="V44">
        <v>0</v>
      </c>
      <c r="W44">
        <v>0</v>
      </c>
      <c r="Y44"/>
      <c r="AC44"/>
      <c r="AG44"/>
    </row>
    <row r="45" x14ac:dyDescent="0.15">
      <c r="D45">
        <v>44</v>
      </c>
      <c r="E45" s="155" t="s">
        <v>224</v>
      </c>
      <c r="F45">
        <v>0.995</v>
      </c>
      <c r="G45">
        <v>0.7</v>
      </c>
      <c r="H45">
        <v>0.5</v>
      </c>
      <c r="J45">
        <v>0.25</v>
      </c>
      <c r="K45">
        <v>0.05</v>
      </c>
      <c r="V45">
        <v>0</v>
      </c>
      <c r="W45">
        <v>0</v>
      </c>
      <c r="Y45"/>
      <c r="AC45"/>
      <c r="AG45"/>
    </row>
    <row r="46" x14ac:dyDescent="0.15">
      <c r="D46">
        <v>45</v>
      </c>
      <c r="E46" s="155" t="s">
        <v>225</v>
      </c>
      <c r="F46">
        <v>0.995</v>
      </c>
      <c r="G46">
        <v>0.7</v>
      </c>
      <c r="H46">
        <v>0.5</v>
      </c>
      <c r="J46">
        <v>0.25</v>
      </c>
      <c r="K46">
        <v>0.05</v>
      </c>
      <c r="V46">
        <v>0</v>
      </c>
      <c r="W46">
        <v>0</v>
      </c>
      <c r="Y46"/>
      <c r="AC46"/>
      <c r="AG46"/>
    </row>
    <row r="47" x14ac:dyDescent="0.15">
      <c r="D47">
        <v>46</v>
      </c>
      <c r="E47" s="155" t="s">
        <v>226</v>
      </c>
      <c r="F47">
        <v>0.995</v>
      </c>
      <c r="G47">
        <v>0.4</v>
      </c>
      <c r="H47">
        <v>0.5</v>
      </c>
      <c r="J47">
        <v>0.25</v>
      </c>
      <c r="K47">
        <v>0.05</v>
      </c>
      <c r="V47">
        <v>0</v>
      </c>
      <c r="W47">
        <v>0</v>
      </c>
      <c r="Y47"/>
      <c r="AC47"/>
      <c r="AG47"/>
    </row>
    <row r="48" x14ac:dyDescent="0.15">
      <c r="D48">
        <v>47</v>
      </c>
      <c r="E48" s="155" t="s">
        <v>227</v>
      </c>
      <c r="F48">
        <v>0.995</v>
      </c>
      <c r="G48">
        <v>0.4</v>
      </c>
      <c r="H48">
        <v>0.5</v>
      </c>
      <c r="J48">
        <v>0.25</v>
      </c>
      <c r="K48">
        <v>0.05</v>
      </c>
      <c r="V48">
        <v>0</v>
      </c>
      <c r="W48">
        <v>0</v>
      </c>
      <c r="Y48"/>
      <c r="AC48"/>
      <c r="AG48"/>
    </row>
    <row r="49" x14ac:dyDescent="0.15">
      <c r="D49">
        <v>48</v>
      </c>
      <c r="E49" s="155" t="s">
        <v>228</v>
      </c>
      <c r="F49">
        <v>0.995</v>
      </c>
      <c r="G49">
        <v>0.4</v>
      </c>
      <c r="H49">
        <v>0.5</v>
      </c>
      <c r="J49">
        <v>0.25</v>
      </c>
      <c r="K49">
        <v>0.05</v>
      </c>
      <c r="V49">
        <v>0</v>
      </c>
      <c r="W49">
        <v>0</v>
      </c>
      <c r="Y49"/>
      <c r="AC49"/>
      <c r="AG49"/>
    </row>
    <row r="50" x14ac:dyDescent="0.15">
      <c r="D50">
        <v>49</v>
      </c>
      <c r="E50" s="155" t="s">
        <v>229</v>
      </c>
      <c r="F50">
        <v>0.995</v>
      </c>
      <c r="G50">
        <v>0.7</v>
      </c>
      <c r="H50">
        <v>0.1</v>
      </c>
      <c r="J50">
        <v>0.25</v>
      </c>
      <c r="K50">
        <v>0.05</v>
      </c>
      <c r="V50">
        <v>0</v>
      </c>
      <c r="W50">
        <v>0</v>
      </c>
      <c r="Y50"/>
      <c r="AC50"/>
      <c r="AG50"/>
    </row>
    <row r="51" x14ac:dyDescent="0.15">
      <c r="D51">
        <v>50</v>
      </c>
      <c r="E51" s="155" t="s">
        <v>230</v>
      </c>
      <c r="F51">
        <v>0.995</v>
      </c>
      <c r="G51">
        <v>0</v>
      </c>
      <c r="H51">
        <v>0.1</v>
      </c>
      <c r="J51">
        <v>0.25</v>
      </c>
      <c r="K51">
        <v>0.05</v>
      </c>
      <c r="V51">
        <v>0</v>
      </c>
      <c r="W51">
        <v>0</v>
      </c>
      <c r="Y51"/>
      <c r="AC51"/>
      <c r="AG51"/>
    </row>
    <row r="52" x14ac:dyDescent="0.15">
      <c r="D52">
        <v>51</v>
      </c>
      <c r="E52" s="220" t="s">
        <v>299</v>
      </c>
      <c r="F52">
        <v>0.995</v>
      </c>
      <c r="G52">
        <v>0.8</v>
      </c>
      <c r="H52">
        <v>0.7</v>
      </c>
      <c r="J52">
        <v>0.25</v>
      </c>
      <c r="K52">
        <v>0.05</v>
      </c>
      <c r="V52">
        <v>0</v>
      </c>
      <c r="W52">
        <v>0</v>
      </c>
      <c r="Y52"/>
      <c r="AC52"/>
      <c r="AG52"/>
    </row>
    <row r="53" x14ac:dyDescent="0.15">
      <c r="D53">
        <v>52</v>
      </c>
      <c r="E53" s="155" t="s">
        <v>233</v>
      </c>
      <c r="F53">
        <v>0.995</v>
      </c>
      <c r="G53">
        <v>0.7</v>
      </c>
      <c r="H53">
        <v>1</v>
      </c>
      <c r="J53">
        <v>0.25</v>
      </c>
      <c r="K53">
        <v>0.05</v>
      </c>
      <c r="V53">
        <v>0</v>
      </c>
      <c r="W53">
        <v>0</v>
      </c>
      <c r="Y53"/>
      <c r="AC53"/>
      <c r="AG53"/>
    </row>
    <row r="54" x14ac:dyDescent="0.15">
      <c r="D54">
        <v>53</v>
      </c>
      <c r="E54" s="155" t="s">
        <v>234</v>
      </c>
      <c r="F54">
        <v>0.995</v>
      </c>
      <c r="G54">
        <v>1</v>
      </c>
      <c r="H54">
        <v>1</v>
      </c>
      <c r="J54">
        <v>0.25</v>
      </c>
      <c r="K54">
        <v>0.05</v>
      </c>
      <c r="V54">
        <v>0</v>
      </c>
      <c r="W54">
        <v>0</v>
      </c>
      <c r="Y54"/>
      <c r="AC54"/>
      <c r="AG54"/>
    </row>
    <row r="55" x14ac:dyDescent="0.15">
      <c r="D55">
        <v>54</v>
      </c>
      <c r="E55" s="155" t="s">
        <v>235</v>
      </c>
      <c r="F55">
        <v>0.995</v>
      </c>
      <c r="G55">
        <v>0.4</v>
      </c>
      <c r="H55">
        <v>0.1</v>
      </c>
      <c r="J55">
        <v>0.25</v>
      </c>
      <c r="K55">
        <v>0.05</v>
      </c>
      <c r="V55">
        <v>0</v>
      </c>
      <c r="W55">
        <v>0</v>
      </c>
      <c r="Y55"/>
      <c r="AC55"/>
      <c r="AG55"/>
    </row>
    <row r="56" x14ac:dyDescent="0.15">
      <c r="D56">
        <v>55</v>
      </c>
      <c r="E56" s="155" t="s">
        <v>237</v>
      </c>
      <c r="F56">
        <v>0.995</v>
      </c>
      <c r="G56">
        <v>0</v>
      </c>
      <c r="H56">
        <v>0.5</v>
      </c>
      <c r="J56">
        <v>0.25</v>
      </c>
      <c r="K56">
        <v>0.05</v>
      </c>
      <c r="V56">
        <v>0</v>
      </c>
      <c r="W56">
        <v>0</v>
      </c>
      <c r="Y56"/>
      <c r="AC56"/>
      <c r="AG56"/>
    </row>
    <row r="57" x14ac:dyDescent="0.15">
      <c r="D57">
        <v>56</v>
      </c>
      <c r="E57" s="155" t="s">
        <v>238</v>
      </c>
      <c r="F57">
        <v>0.995</v>
      </c>
      <c r="G57">
        <v>0.7</v>
      </c>
      <c r="H57">
        <v>0.5</v>
      </c>
      <c r="J57">
        <v>0.25</v>
      </c>
      <c r="K57">
        <v>0.05</v>
      </c>
      <c r="V57">
        <v>0</v>
      </c>
      <c r="W57">
        <v>0</v>
      </c>
      <c r="Y57"/>
      <c r="AC57"/>
      <c r="AG57"/>
    </row>
    <row r="58" x14ac:dyDescent="0.15">
      <c r="D58">
        <v>57</v>
      </c>
      <c r="E58" s="155" t="s">
        <v>239</v>
      </c>
      <c r="F58">
        <v>0.995</v>
      </c>
      <c r="G58">
        <v>0.7</v>
      </c>
      <c r="H58">
        <v>0.5</v>
      </c>
      <c r="J58">
        <v>0.25</v>
      </c>
      <c r="K58">
        <v>0.05</v>
      </c>
      <c r="V58">
        <v>0</v>
      </c>
      <c r="W58">
        <v>0</v>
      </c>
      <c r="Y58"/>
      <c r="AC58"/>
      <c r="AG58"/>
    </row>
    <row r="59" x14ac:dyDescent="0.15">
      <c r="D59">
        <v>58</v>
      </c>
      <c r="E59" s="155" t="s">
        <v>240</v>
      </c>
      <c r="F59">
        <v>0.995</v>
      </c>
      <c r="G59">
        <v>0.7</v>
      </c>
      <c r="H59">
        <v>0.5</v>
      </c>
      <c r="J59">
        <v>0.25</v>
      </c>
      <c r="K59">
        <v>0.05</v>
      </c>
      <c r="V59">
        <v>0</v>
      </c>
      <c r="W59">
        <v>0</v>
      </c>
      <c r="Y59"/>
      <c r="AC59"/>
      <c r="AG59"/>
    </row>
    <row r="60" x14ac:dyDescent="0.15">
      <c r="D60">
        <v>59</v>
      </c>
      <c r="E60" s="155" t="s">
        <v>241</v>
      </c>
      <c r="F60">
        <v>0.995</v>
      </c>
      <c r="G60">
        <v>0.7</v>
      </c>
      <c r="H60">
        <v>1</v>
      </c>
      <c r="J60">
        <v>0.25</v>
      </c>
      <c r="K60">
        <v>0.05</v>
      </c>
      <c r="V60">
        <v>0</v>
      </c>
      <c r="W60">
        <v>0</v>
      </c>
      <c r="Y60"/>
      <c r="AC60"/>
      <c r="AG60"/>
    </row>
    <row r="61" x14ac:dyDescent="0.15">
      <c r="D61">
        <v>60</v>
      </c>
      <c r="E61" s="155" t="s">
        <v>242</v>
      </c>
      <c r="F61">
        <v>0.995</v>
      </c>
      <c r="G61">
        <v>0.7</v>
      </c>
      <c r="H61">
        <v>0.5</v>
      </c>
      <c r="J61">
        <v>0.25</v>
      </c>
      <c r="K61">
        <v>0.05</v>
      </c>
      <c r="V61">
        <v>0</v>
      </c>
      <c r="W61">
        <v>0</v>
      </c>
      <c r="Y61"/>
      <c r="AC61"/>
      <c r="AG61"/>
    </row>
    <row r="62" x14ac:dyDescent="0.15">
      <c r="D62">
        <v>61</v>
      </c>
      <c r="E62" s="155" t="s">
        <v>243</v>
      </c>
      <c r="F62">
        <v>0.995</v>
      </c>
      <c r="G62">
        <v>0.7</v>
      </c>
      <c r="H62">
        <v>0.5</v>
      </c>
      <c r="J62">
        <v>0.25</v>
      </c>
      <c r="K62">
        <v>0.05</v>
      </c>
      <c r="V62">
        <v>0</v>
      </c>
      <c r="W62">
        <v>0</v>
      </c>
      <c r="Y62"/>
      <c r="AC62"/>
      <c r="AG62"/>
    </row>
    <row r="63" x14ac:dyDescent="0.15">
      <c r="D63">
        <v>62</v>
      </c>
      <c r="E63" s="155" t="s">
        <v>244</v>
      </c>
      <c r="F63">
        <v>0.995</v>
      </c>
      <c r="G63">
        <v>0.7</v>
      </c>
      <c r="H63">
        <v>0.5</v>
      </c>
      <c r="J63">
        <v>0.25</v>
      </c>
      <c r="K63">
        <v>0.05</v>
      </c>
      <c r="V63">
        <v>0</v>
      </c>
      <c r="W63">
        <v>0</v>
      </c>
      <c r="Y63"/>
      <c r="AC63"/>
      <c r="AG63"/>
    </row>
    <row r="64" x14ac:dyDescent="0.15">
      <c r="D64">
        <v>63</v>
      </c>
      <c r="E64" s="155" t="s">
        <v>245</v>
      </c>
      <c r="F64">
        <v>0.995</v>
      </c>
      <c r="G64">
        <v>0.7</v>
      </c>
      <c r="H64">
        <v>0.5</v>
      </c>
      <c r="J64">
        <v>0.25</v>
      </c>
      <c r="K64">
        <v>0.05</v>
      </c>
      <c r="V64">
        <v>0</v>
      </c>
      <c r="W64">
        <v>0</v>
      </c>
      <c r="Y64"/>
      <c r="AC64"/>
      <c r="AG64"/>
    </row>
    <row r="65" x14ac:dyDescent="0.15">
      <c r="D65">
        <v>64</v>
      </c>
      <c r="E65" s="155" t="s">
        <v>246</v>
      </c>
      <c r="F65">
        <v>0.995</v>
      </c>
      <c r="G65">
        <v>0.4</v>
      </c>
      <c r="H65">
        <v>1</v>
      </c>
      <c r="J65">
        <v>0.25</v>
      </c>
      <c r="K65">
        <v>0.05</v>
      </c>
      <c r="V65">
        <v>0</v>
      </c>
      <c r="W65">
        <v>0</v>
      </c>
      <c r="Y65"/>
      <c r="AC65"/>
      <c r="AG65"/>
    </row>
    <row r="66" x14ac:dyDescent="0.15">
      <c r="D66">
        <v>65</v>
      </c>
      <c r="E66" s="155" t="s">
        <v>247</v>
      </c>
      <c r="F66">
        <v>0.995</v>
      </c>
      <c r="G66">
        <v>0.4</v>
      </c>
      <c r="H66">
        <v>1</v>
      </c>
      <c r="J66">
        <v>0.25</v>
      </c>
      <c r="K66">
        <v>0.05</v>
      </c>
      <c r="V66">
        <v>0</v>
      </c>
      <c r="W66">
        <v>0</v>
      </c>
      <c r="Y66"/>
      <c r="AC66"/>
      <c r="AG66"/>
    </row>
    <row r="67" x14ac:dyDescent="0.15">
      <c r="D67">
        <v>66</v>
      </c>
      <c r="E67" s="155" t="s">
        <v>248</v>
      </c>
      <c r="F67">
        <v>0.995</v>
      </c>
      <c r="G67">
        <v>1</v>
      </c>
      <c r="H67">
        <v>1</v>
      </c>
      <c r="J67">
        <v>0.25</v>
      </c>
      <c r="K67">
        <v>0.05</v>
      </c>
      <c r="V67">
        <v>0</v>
      </c>
      <c r="W67">
        <v>0</v>
      </c>
      <c r="Y67"/>
      <c r="AC67"/>
      <c r="AG67"/>
    </row>
    <row r="68" x14ac:dyDescent="0.15">
      <c r="D68">
        <v>67</v>
      </c>
      <c r="E68" s="155" t="s">
        <v>249</v>
      </c>
      <c r="F68">
        <v>0.995</v>
      </c>
      <c r="G68">
        <v>0</v>
      </c>
      <c r="H68">
        <v>0</v>
      </c>
      <c r="J68">
        <v>0</v>
      </c>
      <c r="K68">
        <v>0</v>
      </c>
      <c r="V68">
        <v>0</v>
      </c>
      <c r="W68">
        <v>0</v>
      </c>
      <c r="Y68"/>
      <c r="AC68"/>
      <c r="AG68"/>
    </row>
    <row r="69" x14ac:dyDescent="0.15">
      <c r="D69">
        <v>68</v>
      </c>
      <c r="E69" s="155" t="s">
        <v>250</v>
      </c>
      <c r="F69">
        <v>0.995</v>
      </c>
      <c r="G69">
        <v>0</v>
      </c>
      <c r="H69">
        <v>0</v>
      </c>
      <c r="J69">
        <v>0</v>
      </c>
      <c r="K69">
        <v>0</v>
      </c>
      <c r="V69">
        <v>0</v>
      </c>
      <c r="W69">
        <v>0</v>
      </c>
      <c r="Y69"/>
      <c r="AC69"/>
      <c r="AG69"/>
    </row>
    <row r="70" x14ac:dyDescent="0.15">
      <c r="D70">
        <v>69</v>
      </c>
      <c r="E70" s="155" t="s">
        <v>175</v>
      </c>
      <c r="F70">
        <v>0.995</v>
      </c>
      <c r="G70">
        <v>0</v>
      </c>
      <c r="H70">
        <v>0</v>
      </c>
      <c r="J70">
        <v>0</v>
      </c>
      <c r="K70">
        <v>0</v>
      </c>
      <c r="V70">
        <v>0</v>
      </c>
      <c r="W70">
        <v>0</v>
      </c>
      <c r="Y70"/>
      <c r="AC70"/>
      <c r="AG70"/>
    </row>
    <row r="71" x14ac:dyDescent="0.15">
      <c r="J71"/>
      <c r="K71"/>
      <c r="Y71"/>
      <c r="AC71"/>
      <c r="AG71"/>
    </row>
    <row r="72" x14ac:dyDescent="0.15">
      <c r="J72"/>
      <c r="K72"/>
      <c r="Y72"/>
      <c r="AC72"/>
      <c r="AG72"/>
    </row>
    <row r="73" x14ac:dyDescent="0.15">
      <c r="J73"/>
      <c r="K73"/>
      <c r="Y73"/>
      <c r="AC73"/>
      <c r="AG73"/>
    </row>
    <row r="74" x14ac:dyDescent="0.15">
      <c r="J74"/>
      <c r="K74"/>
      <c r="Y74"/>
      <c r="AC74"/>
      <c r="AG74"/>
    </row>
    <row r="75" x14ac:dyDescent="0.15">
      <c r="J75"/>
      <c r="K75"/>
      <c r="Y75"/>
      <c r="AC75"/>
      <c r="AG75"/>
    </row>
    <row r="76" x14ac:dyDescent="0.15">
      <c r="J76"/>
      <c r="K76"/>
      <c r="Y76"/>
      <c r="AC76"/>
      <c r="AG76"/>
    </row>
    <row r="77" x14ac:dyDescent="0.15">
      <c r="J77"/>
      <c r="K77"/>
      <c r="Y77"/>
      <c r="AC77"/>
      <c r="AG77"/>
    </row>
    <row r="78" x14ac:dyDescent="0.15">
      <c r="J78"/>
      <c r="K78"/>
      <c r="Y78"/>
      <c r="AC78"/>
      <c r="AG78"/>
    </row>
    <row r="79" x14ac:dyDescent="0.15">
      <c r="J79"/>
      <c r="K79"/>
      <c r="Y79"/>
      <c r="AC79"/>
      <c r="AG79"/>
    </row>
    <row r="80" x14ac:dyDescent="0.15">
      <c r="J80"/>
      <c r="K80"/>
      <c r="Y80"/>
      <c r="AC80"/>
      <c r="AG80"/>
    </row>
    <row r="81" x14ac:dyDescent="0.15">
      <c r="J81"/>
      <c r="K81"/>
      <c r="Y81"/>
      <c r="AC81"/>
      <c r="AG81"/>
    </row>
    <row r="82" x14ac:dyDescent="0.15">
      <c r="J82"/>
      <c r="K82"/>
      <c r="Y82"/>
      <c r="AC82"/>
      <c r="AG82"/>
    </row>
    <row r="83" x14ac:dyDescent="0.15">
      <c r="J83"/>
      <c r="K83"/>
      <c r="Y83"/>
      <c r="AC83"/>
      <c r="AG83"/>
    </row>
    <row r="84" x14ac:dyDescent="0.15">
      <c r="J84"/>
      <c r="K84"/>
      <c r="Y84"/>
      <c r="AC84"/>
      <c r="AG84"/>
    </row>
    <row r="85" x14ac:dyDescent="0.15">
      <c r="J85"/>
      <c r="K85"/>
      <c r="Y85"/>
      <c r="AC85"/>
      <c r="AG85"/>
    </row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S71"/>
  <sheetViews>
    <sheetView workbookViewId="0">
      <selection activeCell="A6" sqref="A6"/>
    </sheetView>
  </sheetViews>
  <sheetFormatPr baseColWidth="10" defaultRowHeight="13" x14ac:dyDescent="0.15"/>
  <cols>
    <col min="1" max="1" width="39.83203125" bestFit="true" customWidth="true"/>
  </cols>
  <sheetData>
    <row r="1" x14ac:dyDescent="0.15">
      <c r="A1" s="2" t="s">
        <v>119</v>
      </c>
      <c r="B1" s="3" t="s">
        <v>181</v>
      </c>
      <c r="C1" s="3" t="s">
        <v>182</v>
      </c>
      <c r="D1" s="3" t="s">
        <v>183</v>
      </c>
      <c r="E1" s="3" t="s">
        <v>184</v>
      </c>
      <c r="F1" s="3" t="s">
        <v>185</v>
      </c>
      <c r="G1" s="3" t="s">
        <v>186</v>
      </c>
      <c r="H1" s="3" t="s">
        <v>187</v>
      </c>
      <c r="I1" s="3" t="s">
        <v>188</v>
      </c>
      <c r="J1" s="3" t="s">
        <v>189</v>
      </c>
      <c r="K1" s="3" t="s">
        <v>190</v>
      </c>
      <c r="L1" s="3" t="s">
        <v>191</v>
      </c>
      <c r="M1" s="3" t="s">
        <v>192</v>
      </c>
      <c r="N1" s="3" t="s">
        <v>193</v>
      </c>
      <c r="O1" s="3" t="s">
        <v>194</v>
      </c>
      <c r="P1" s="3" t="s">
        <v>195</v>
      </c>
      <c r="Q1" s="3" t="s">
        <v>196</v>
      </c>
      <c r="R1" s="3" t="s">
        <v>197</v>
      </c>
      <c r="S1" s="3" t="s">
        <v>198</v>
      </c>
      <c r="T1" s="3" t="s">
        <v>199</v>
      </c>
      <c r="U1" s="3" t="s">
        <v>200</v>
      </c>
      <c r="V1" s="3" t="s">
        <v>201</v>
      </c>
      <c r="W1" s="3" t="s">
        <v>202</v>
      </c>
      <c r="X1" s="3" t="s">
        <v>203</v>
      </c>
      <c r="Y1" s="3" t="s">
        <v>204</v>
      </c>
      <c r="Z1" s="3" t="s">
        <v>205</v>
      </c>
      <c r="AA1" s="3" t="s">
        <v>206</v>
      </c>
      <c r="AB1" s="3" t="s">
        <v>207</v>
      </c>
      <c r="AC1" s="3" t="s">
        <v>208</v>
      </c>
      <c r="AD1" s="3" t="s">
        <v>209</v>
      </c>
      <c r="AE1" s="3" t="s">
        <v>210</v>
      </c>
      <c r="AF1" s="3" t="s">
        <v>211</v>
      </c>
      <c r="AG1" s="3" t="s">
        <v>212</v>
      </c>
      <c r="AH1" s="3" t="s">
        <v>213</v>
      </c>
      <c r="AI1" s="3" t="s">
        <v>214</v>
      </c>
      <c r="AJ1" s="3" t="s">
        <v>215</v>
      </c>
      <c r="AK1" s="3" t="s">
        <v>216</v>
      </c>
      <c r="AL1" s="3" t="s">
        <v>217</v>
      </c>
      <c r="AM1" s="3" t="s">
        <v>218</v>
      </c>
      <c r="AN1" s="3" t="s">
        <v>219</v>
      </c>
      <c r="AO1" s="3" t="s">
        <v>220</v>
      </c>
      <c r="AP1" s="3" t="s">
        <v>221</v>
      </c>
      <c r="AQ1" s="3" t="s">
        <v>222</v>
      </c>
      <c r="AR1" s="3" t="s">
        <v>223</v>
      </c>
      <c r="AS1" s="3" t="s">
        <v>224</v>
      </c>
      <c r="AT1" s="3" t="s">
        <v>225</v>
      </c>
      <c r="AU1" s="3" t="s">
        <v>226</v>
      </c>
      <c r="AV1" s="3" t="s">
        <v>227</v>
      </c>
      <c r="AW1" s="3" t="s">
        <v>228</v>
      </c>
      <c r="AX1" s="3" t="s">
        <v>229</v>
      </c>
      <c r="AY1" s="3" t="s">
        <v>230</v>
      </c>
      <c r="AZ1" s="3" t="s">
        <v>231</v>
      </c>
      <c r="BA1" s="3" t="s">
        <v>233</v>
      </c>
      <c r="BB1" s="3" t="s">
        <v>234</v>
      </c>
      <c r="BC1" s="3" t="s">
        <v>235</v>
      </c>
      <c r="BD1" s="3" t="s">
        <v>237</v>
      </c>
      <c r="BE1" s="3" t="s">
        <v>238</v>
      </c>
      <c r="BF1" s="3" t="s">
        <v>239</v>
      </c>
      <c r="BG1" s="3" t="s">
        <v>240</v>
      </c>
      <c r="BH1" s="3" t="s">
        <v>241</v>
      </c>
      <c r="BI1" s="3" t="s">
        <v>242</v>
      </c>
      <c r="BJ1" s="3" t="s">
        <v>243</v>
      </c>
      <c r="BK1" s="3" t="s">
        <v>244</v>
      </c>
      <c r="BL1" s="3" t="s">
        <v>245</v>
      </c>
      <c r="BM1" s="3" t="s">
        <v>246</v>
      </c>
      <c r="BN1" s="3" t="s">
        <v>247</v>
      </c>
      <c r="BO1" s="3" t="s">
        <v>248</v>
      </c>
      <c r="BP1" s="3" t="s">
        <v>249</v>
      </c>
      <c r="BQ1" s="3" t="s">
        <v>250</v>
      </c>
      <c r="BR1" s="3" t="s">
        <v>175</v>
      </c>
      <c r="BS1" s="3"/>
    </row>
    <row r="2" x14ac:dyDescent="0.15">
      <c r="A2" t="s">
        <v>181</v>
      </c>
      <c r="B2">
        <v>0.5</v>
      </c>
      <c r="C2">
        <v>0.5</v>
      </c>
      <c r="D2">
        <v>0.5</v>
      </c>
      <c r="E2">
        <v>0.5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0.2</v>
      </c>
      <c r="Z2">
        <v>0.2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0.2</v>
      </c>
      <c r="AV2">
        <v>0.2</v>
      </c>
      <c r="AW2">
        <v>0.2</v>
      </c>
      <c r="AX2">
        <v>0.2</v>
      </c>
      <c r="AY2">
        <v>0</v>
      </c>
      <c r="AZ2">
        <v>0.8</v>
      </c>
      <c r="BA2">
        <v>0.5</v>
      </c>
      <c r="BB2">
        <v>0.5</v>
      </c>
      <c r="BC2">
        <v>0.2</v>
      </c>
      <c r="BD2">
        <v>0.2</v>
      </c>
      <c r="BE2">
        <v>0.2</v>
      </c>
      <c r="BF2">
        <v>0.2</v>
      </c>
      <c r="BG2">
        <v>0.2</v>
      </c>
      <c r="BH2">
        <v>0.7</v>
      </c>
      <c r="BI2">
        <v>0.2</v>
      </c>
      <c r="BJ2">
        <v>0.2</v>
      </c>
      <c r="BK2">
        <v>0.2</v>
      </c>
      <c r="BL2">
        <v>0.5</v>
      </c>
      <c r="BM2">
        <v>0.2</v>
      </c>
      <c r="BN2">
        <v>0.2</v>
      </c>
      <c r="BO2">
        <v>0</v>
      </c>
      <c r="BP2">
        <v>0</v>
      </c>
      <c r="BQ2">
        <v>0</v>
      </c>
      <c r="BR2">
        <v>0</v>
      </c>
    </row>
    <row r="3" x14ac:dyDescent="0.15">
      <c r="A3" t="s">
        <v>182</v>
      </c>
      <c r="B3">
        <v>0.5</v>
      </c>
      <c r="C3">
        <v>0.5</v>
      </c>
      <c r="D3">
        <v>0.5</v>
      </c>
      <c r="E3">
        <v>0.5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0.2</v>
      </c>
      <c r="Z3">
        <v>0.2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0.2</v>
      </c>
      <c r="AV3">
        <v>0.2</v>
      </c>
      <c r="AW3">
        <v>0.2</v>
      </c>
      <c r="AX3">
        <v>0.2</v>
      </c>
      <c r="AY3">
        <v>0</v>
      </c>
      <c r="AZ3">
        <v>0.8</v>
      </c>
      <c r="BA3">
        <v>0.5</v>
      </c>
      <c r="BB3">
        <v>0.5</v>
      </c>
      <c r="BC3">
        <v>0.2</v>
      </c>
      <c r="BD3">
        <v>0.2</v>
      </c>
      <c r="BE3">
        <v>0.2</v>
      </c>
      <c r="BF3">
        <v>0.2</v>
      </c>
      <c r="BG3">
        <v>0.2</v>
      </c>
      <c r="BH3">
        <v>0.7</v>
      </c>
      <c r="BI3">
        <v>0.2</v>
      </c>
      <c r="BJ3">
        <v>0.2</v>
      </c>
      <c r="BK3">
        <v>0.2</v>
      </c>
      <c r="BL3">
        <v>0.5</v>
      </c>
      <c r="BM3">
        <v>0.2</v>
      </c>
      <c r="BN3">
        <v>0.2</v>
      </c>
      <c r="BO3">
        <v>0</v>
      </c>
      <c r="BP3">
        <v>0</v>
      </c>
      <c r="BQ3">
        <v>0</v>
      </c>
      <c r="BR3">
        <v>0</v>
      </c>
    </row>
    <row r="4" x14ac:dyDescent="0.15">
      <c r="A4" t="s">
        <v>183</v>
      </c>
      <c r="B4">
        <v>0.5</v>
      </c>
      <c r="C4">
        <v>0.5</v>
      </c>
      <c r="D4">
        <v>0.5</v>
      </c>
      <c r="E4">
        <v>0.5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0.2</v>
      </c>
      <c r="Z4">
        <v>0.2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0.2</v>
      </c>
      <c r="AV4">
        <v>0.2</v>
      </c>
      <c r="AW4">
        <v>0.2</v>
      </c>
      <c r="AX4">
        <v>0.2</v>
      </c>
      <c r="AY4">
        <v>0</v>
      </c>
      <c r="AZ4">
        <v>0.8</v>
      </c>
      <c r="BA4">
        <v>0.5</v>
      </c>
      <c r="BB4">
        <v>0.5</v>
      </c>
      <c r="BC4">
        <v>0.2</v>
      </c>
      <c r="BD4">
        <v>0.2</v>
      </c>
      <c r="BE4">
        <v>0.2</v>
      </c>
      <c r="BF4">
        <v>0.2</v>
      </c>
      <c r="BG4">
        <v>0.2</v>
      </c>
      <c r="BH4">
        <v>0.7</v>
      </c>
      <c r="BI4">
        <v>0.2</v>
      </c>
      <c r="BJ4">
        <v>0.2</v>
      </c>
      <c r="BK4">
        <v>0.2</v>
      </c>
      <c r="BL4">
        <v>0.5</v>
      </c>
      <c r="BM4">
        <v>0.2</v>
      </c>
      <c r="BN4">
        <v>0.2</v>
      </c>
      <c r="BO4">
        <v>0</v>
      </c>
      <c r="BP4">
        <v>0</v>
      </c>
      <c r="BQ4">
        <v>0</v>
      </c>
      <c r="BR4">
        <v>0</v>
      </c>
    </row>
    <row r="5" x14ac:dyDescent="0.15">
      <c r="A5" t="s">
        <v>184</v>
      </c>
      <c r="B5">
        <v>0.5</v>
      </c>
      <c r="C5">
        <v>0.5</v>
      </c>
      <c r="D5">
        <v>0.5</v>
      </c>
      <c r="E5">
        <v>0.5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0.2</v>
      </c>
      <c r="Z5">
        <v>0.2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0.2</v>
      </c>
      <c r="AV5">
        <v>0.2</v>
      </c>
      <c r="AW5">
        <v>0.2</v>
      </c>
      <c r="AX5">
        <v>0.2</v>
      </c>
      <c r="AY5">
        <v>0</v>
      </c>
      <c r="AZ5">
        <v>0.8</v>
      </c>
      <c r="BA5">
        <v>0.5</v>
      </c>
      <c r="BB5">
        <v>0.5</v>
      </c>
      <c r="BC5">
        <v>0.2</v>
      </c>
      <c r="BD5">
        <v>0.2</v>
      </c>
      <c r="BE5">
        <v>0.2</v>
      </c>
      <c r="BF5">
        <v>0.2</v>
      </c>
      <c r="BG5">
        <v>0.2</v>
      </c>
      <c r="BH5">
        <v>0.7</v>
      </c>
      <c r="BI5">
        <v>0.2</v>
      </c>
      <c r="BJ5">
        <v>0.2</v>
      </c>
      <c r="BK5">
        <v>0.2</v>
      </c>
      <c r="BL5">
        <v>0.5</v>
      </c>
      <c r="BM5">
        <v>0.2</v>
      </c>
      <c r="BN5">
        <v>0.2</v>
      </c>
      <c r="BO5">
        <v>0</v>
      </c>
      <c r="BP5">
        <v>0</v>
      </c>
      <c r="BQ5">
        <v>0</v>
      </c>
      <c r="BR5">
        <v>0</v>
      </c>
    </row>
    <row r="6" x14ac:dyDescent="0.15">
      <c r="A6" t="s">
        <v>185</v>
      </c>
      <c r="B6">
        <v>0.5</v>
      </c>
      <c r="C6">
        <v>0.5</v>
      </c>
      <c r="D6">
        <v>0.5</v>
      </c>
      <c r="E6">
        <v>0.5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0.2</v>
      </c>
      <c r="Z6">
        <v>0.2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0.2</v>
      </c>
      <c r="AV6">
        <v>0.2</v>
      </c>
      <c r="AW6">
        <v>0.2</v>
      </c>
      <c r="AX6">
        <v>0.2</v>
      </c>
      <c r="AY6">
        <v>0</v>
      </c>
      <c r="AZ6">
        <v>0.8</v>
      </c>
      <c r="BA6">
        <v>0.5</v>
      </c>
      <c r="BB6">
        <v>0.5</v>
      </c>
      <c r="BC6">
        <v>0.2</v>
      </c>
      <c r="BD6">
        <v>0.2</v>
      </c>
      <c r="BE6">
        <v>0.2</v>
      </c>
      <c r="BF6">
        <v>0.2</v>
      </c>
      <c r="BG6">
        <v>0.2</v>
      </c>
      <c r="BH6">
        <v>0.7</v>
      </c>
      <c r="BI6">
        <v>0.2</v>
      </c>
      <c r="BJ6">
        <v>0.2</v>
      </c>
      <c r="BK6">
        <v>0.2</v>
      </c>
      <c r="BL6">
        <v>0.5</v>
      </c>
      <c r="BM6">
        <v>0.2</v>
      </c>
      <c r="BN6">
        <v>0.2</v>
      </c>
      <c r="BO6">
        <v>0</v>
      </c>
      <c r="BP6">
        <v>0</v>
      </c>
      <c r="BQ6">
        <v>0</v>
      </c>
      <c r="BR6">
        <v>0</v>
      </c>
    </row>
    <row r="7" x14ac:dyDescent="0.15">
      <c r="A7" t="s">
        <v>186</v>
      </c>
      <c r="B7">
        <v>0.5</v>
      </c>
      <c r="C7">
        <v>0.5</v>
      </c>
      <c r="D7">
        <v>0.5</v>
      </c>
      <c r="E7">
        <v>0.5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0.2</v>
      </c>
      <c r="Z7">
        <v>0.2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0.2</v>
      </c>
      <c r="AV7">
        <v>0.2</v>
      </c>
      <c r="AW7">
        <v>0.2</v>
      </c>
      <c r="AX7">
        <v>0.2</v>
      </c>
      <c r="AY7">
        <v>0</v>
      </c>
      <c r="AZ7">
        <v>0.8</v>
      </c>
      <c r="BA7">
        <v>0.5</v>
      </c>
      <c r="BB7">
        <v>0.5</v>
      </c>
      <c r="BC7">
        <v>0.2</v>
      </c>
      <c r="BD7">
        <v>0.2</v>
      </c>
      <c r="BE7">
        <v>0.2</v>
      </c>
      <c r="BF7">
        <v>0.2</v>
      </c>
      <c r="BG7">
        <v>0.2</v>
      </c>
      <c r="BH7">
        <v>0.7</v>
      </c>
      <c r="BI7">
        <v>0.2</v>
      </c>
      <c r="BJ7">
        <v>0.2</v>
      </c>
      <c r="BK7">
        <v>0.2</v>
      </c>
      <c r="BL7">
        <v>0.5</v>
      </c>
      <c r="BM7">
        <v>0.2</v>
      </c>
      <c r="BN7">
        <v>0.2</v>
      </c>
      <c r="BO7">
        <v>0</v>
      </c>
      <c r="BP7">
        <v>0</v>
      </c>
      <c r="BQ7">
        <v>0</v>
      </c>
      <c r="BR7">
        <v>0</v>
      </c>
    </row>
    <row r="8" x14ac:dyDescent="0.15">
      <c r="A8" t="s">
        <v>187</v>
      </c>
      <c r="B8">
        <v>0.5</v>
      </c>
      <c r="C8">
        <v>0.5</v>
      </c>
      <c r="D8">
        <v>0.5</v>
      </c>
      <c r="E8">
        <v>0.5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0.2</v>
      </c>
      <c r="Z8">
        <v>0.2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0.2</v>
      </c>
      <c r="AV8">
        <v>0.2</v>
      </c>
      <c r="AW8">
        <v>0.2</v>
      </c>
      <c r="AX8">
        <v>0.2</v>
      </c>
      <c r="AY8">
        <v>0</v>
      </c>
      <c r="AZ8">
        <v>0.8</v>
      </c>
      <c r="BA8">
        <v>0.5</v>
      </c>
      <c r="BB8">
        <v>0.5</v>
      </c>
      <c r="BC8">
        <v>0.2</v>
      </c>
      <c r="BD8">
        <v>0.2</v>
      </c>
      <c r="BE8">
        <v>0.2</v>
      </c>
      <c r="BF8">
        <v>0.2</v>
      </c>
      <c r="BG8">
        <v>0.2</v>
      </c>
      <c r="BH8">
        <v>0.7</v>
      </c>
      <c r="BI8">
        <v>0.2</v>
      </c>
      <c r="BJ8">
        <v>0.2</v>
      </c>
      <c r="BK8">
        <v>0.2</v>
      </c>
      <c r="BL8">
        <v>0.5</v>
      </c>
      <c r="BM8">
        <v>0.2</v>
      </c>
      <c r="BN8">
        <v>0.2</v>
      </c>
      <c r="BO8">
        <v>0</v>
      </c>
      <c r="BP8">
        <v>0</v>
      </c>
      <c r="BQ8">
        <v>0</v>
      </c>
      <c r="BR8">
        <v>0</v>
      </c>
    </row>
    <row r="9" x14ac:dyDescent="0.15">
      <c r="A9" t="s">
        <v>188</v>
      </c>
      <c r="B9">
        <v>0.5</v>
      </c>
      <c r="C9">
        <v>0.5</v>
      </c>
      <c r="D9">
        <v>0.5</v>
      </c>
      <c r="E9">
        <v>0.5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0.2</v>
      </c>
      <c r="Z9">
        <v>0.2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0.2</v>
      </c>
      <c r="AV9">
        <v>0.2</v>
      </c>
      <c r="AW9">
        <v>0.2</v>
      </c>
      <c r="AX9">
        <v>0.2</v>
      </c>
      <c r="AY9">
        <v>0</v>
      </c>
      <c r="AZ9">
        <v>0.8</v>
      </c>
      <c r="BA9">
        <v>0.5</v>
      </c>
      <c r="BB9">
        <v>0.5</v>
      </c>
      <c r="BC9">
        <v>0.2</v>
      </c>
      <c r="BD9">
        <v>0.2</v>
      </c>
      <c r="BE9">
        <v>0.2</v>
      </c>
      <c r="BF9">
        <v>0.2</v>
      </c>
      <c r="BG9">
        <v>0.2</v>
      </c>
      <c r="BH9">
        <v>0.7</v>
      </c>
      <c r="BI9">
        <v>0.2</v>
      </c>
      <c r="BJ9">
        <v>0.2</v>
      </c>
      <c r="BK9">
        <v>0.2</v>
      </c>
      <c r="BL9">
        <v>0.5</v>
      </c>
      <c r="BM9">
        <v>0.2</v>
      </c>
      <c r="BN9">
        <v>0.2</v>
      </c>
      <c r="BO9">
        <v>0</v>
      </c>
      <c r="BP9">
        <v>0</v>
      </c>
      <c r="BQ9">
        <v>0</v>
      </c>
      <c r="BR9">
        <v>0</v>
      </c>
    </row>
    <row r="10" x14ac:dyDescent="0.15">
      <c r="A10" t="s">
        <v>189</v>
      </c>
      <c r="B10">
        <v>0.5</v>
      </c>
      <c r="C10">
        <v>0.5</v>
      </c>
      <c r="D10">
        <v>0.5</v>
      </c>
      <c r="E10">
        <v>0.5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0.2</v>
      </c>
      <c r="Z10">
        <v>0.2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0.2</v>
      </c>
      <c r="AV10">
        <v>0.2</v>
      </c>
      <c r="AW10">
        <v>0.2</v>
      </c>
      <c r="AX10">
        <v>0.2</v>
      </c>
      <c r="AY10">
        <v>0</v>
      </c>
      <c r="AZ10">
        <v>0.8</v>
      </c>
      <c r="BA10">
        <v>0.5</v>
      </c>
      <c r="BB10">
        <v>0.5</v>
      </c>
      <c r="BC10">
        <v>0.2</v>
      </c>
      <c r="BD10">
        <v>0.2</v>
      </c>
      <c r="BE10">
        <v>0.2</v>
      </c>
      <c r="BF10">
        <v>0.2</v>
      </c>
      <c r="BG10">
        <v>0.2</v>
      </c>
      <c r="BH10">
        <v>0.7</v>
      </c>
      <c r="BI10">
        <v>0.2</v>
      </c>
      <c r="BJ10">
        <v>0.2</v>
      </c>
      <c r="BK10">
        <v>0.2</v>
      </c>
      <c r="BL10">
        <v>0.5</v>
      </c>
      <c r="BM10">
        <v>0.2</v>
      </c>
      <c r="BN10">
        <v>0.2</v>
      </c>
      <c r="BO10">
        <v>0</v>
      </c>
      <c r="BP10">
        <v>0</v>
      </c>
      <c r="BQ10">
        <v>0</v>
      </c>
      <c r="BR10">
        <v>0</v>
      </c>
    </row>
    <row r="11" x14ac:dyDescent="0.15">
      <c r="A11" t="s">
        <v>190</v>
      </c>
      <c r="B11">
        <v>0.5</v>
      </c>
      <c r="C11">
        <v>0.5</v>
      </c>
      <c r="D11">
        <v>0.5</v>
      </c>
      <c r="E11">
        <v>0.5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0.2</v>
      </c>
      <c r="Z11">
        <v>0.2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0.2</v>
      </c>
      <c r="AV11">
        <v>0.2</v>
      </c>
      <c r="AW11">
        <v>0.2</v>
      </c>
      <c r="AX11">
        <v>0.2</v>
      </c>
      <c r="AY11">
        <v>0</v>
      </c>
      <c r="AZ11">
        <v>0.8</v>
      </c>
      <c r="BA11">
        <v>0.5</v>
      </c>
      <c r="BB11">
        <v>0.5</v>
      </c>
      <c r="BC11">
        <v>0.2</v>
      </c>
      <c r="BD11">
        <v>0.2</v>
      </c>
      <c r="BE11">
        <v>0.2</v>
      </c>
      <c r="BF11">
        <v>0.2</v>
      </c>
      <c r="BG11">
        <v>0.2</v>
      </c>
      <c r="BH11">
        <v>0.7</v>
      </c>
      <c r="BI11">
        <v>0.2</v>
      </c>
      <c r="BJ11">
        <v>0.2</v>
      </c>
      <c r="BK11">
        <v>0.2</v>
      </c>
      <c r="BL11">
        <v>0.5</v>
      </c>
      <c r="BM11">
        <v>0.2</v>
      </c>
      <c r="BN11">
        <v>0.2</v>
      </c>
      <c r="BO11">
        <v>0</v>
      </c>
      <c r="BP11">
        <v>0</v>
      </c>
      <c r="BQ11">
        <v>0</v>
      </c>
      <c r="BR11">
        <v>0</v>
      </c>
    </row>
    <row r="12" x14ac:dyDescent="0.15">
      <c r="A12" t="s">
        <v>191</v>
      </c>
      <c r="B12">
        <v>0.5</v>
      </c>
      <c r="C12">
        <v>0.5</v>
      </c>
      <c r="D12">
        <v>0.5</v>
      </c>
      <c r="E12">
        <v>0.5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0.2</v>
      </c>
      <c r="Z12">
        <v>0.2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0.2</v>
      </c>
      <c r="AV12">
        <v>0.2</v>
      </c>
      <c r="AW12">
        <v>0.2</v>
      </c>
      <c r="AX12">
        <v>0.2</v>
      </c>
      <c r="AY12">
        <v>0</v>
      </c>
      <c r="AZ12">
        <v>0.8</v>
      </c>
      <c r="BA12">
        <v>0.5</v>
      </c>
      <c r="BB12">
        <v>0.5</v>
      </c>
      <c r="BC12">
        <v>0.2</v>
      </c>
      <c r="BD12">
        <v>0.2</v>
      </c>
      <c r="BE12">
        <v>0.2</v>
      </c>
      <c r="BF12">
        <v>0.2</v>
      </c>
      <c r="BG12">
        <v>0.2</v>
      </c>
      <c r="BH12">
        <v>0.7</v>
      </c>
      <c r="BI12">
        <v>0.2</v>
      </c>
      <c r="BJ12">
        <v>0.2</v>
      </c>
      <c r="BK12">
        <v>0.2</v>
      </c>
      <c r="BL12">
        <v>0.5</v>
      </c>
      <c r="BM12">
        <v>0.2</v>
      </c>
      <c r="BN12">
        <v>0.2</v>
      </c>
      <c r="BO12">
        <v>0</v>
      </c>
      <c r="BP12">
        <v>0</v>
      </c>
      <c r="BQ12">
        <v>0</v>
      </c>
      <c r="BR12">
        <v>0</v>
      </c>
    </row>
    <row r="13" x14ac:dyDescent="0.15">
      <c r="A13" t="s">
        <v>192</v>
      </c>
      <c r="B13">
        <v>0.5</v>
      </c>
      <c r="C13">
        <v>0.5</v>
      </c>
      <c r="D13">
        <v>0.5</v>
      </c>
      <c r="E13">
        <v>0.5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0.2</v>
      </c>
      <c r="Z13">
        <v>0.2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0.2</v>
      </c>
      <c r="AV13">
        <v>0.2</v>
      </c>
      <c r="AW13">
        <v>0.2</v>
      </c>
      <c r="AX13">
        <v>0.2</v>
      </c>
      <c r="AY13">
        <v>0</v>
      </c>
      <c r="AZ13">
        <v>0.8</v>
      </c>
      <c r="BA13">
        <v>0.5</v>
      </c>
      <c r="BB13">
        <v>0.5</v>
      </c>
      <c r="BC13">
        <v>0.2</v>
      </c>
      <c r="BD13">
        <v>0.2</v>
      </c>
      <c r="BE13">
        <v>0.2</v>
      </c>
      <c r="BF13">
        <v>0.2</v>
      </c>
      <c r="BG13">
        <v>0.2</v>
      </c>
      <c r="BH13">
        <v>0.7</v>
      </c>
      <c r="BI13">
        <v>0.2</v>
      </c>
      <c r="BJ13">
        <v>0.2</v>
      </c>
      <c r="BK13">
        <v>0.2</v>
      </c>
      <c r="BL13">
        <v>0.5</v>
      </c>
      <c r="BM13">
        <v>0.2</v>
      </c>
      <c r="BN13">
        <v>0.2</v>
      </c>
      <c r="BO13">
        <v>0</v>
      </c>
      <c r="BP13">
        <v>0</v>
      </c>
      <c r="BQ13">
        <v>0</v>
      </c>
      <c r="BR13">
        <v>0</v>
      </c>
    </row>
    <row r="14" x14ac:dyDescent="0.15">
      <c r="A14" t="s">
        <v>193</v>
      </c>
      <c r="B14">
        <v>0.5</v>
      </c>
      <c r="C14">
        <v>0.5</v>
      </c>
      <c r="D14">
        <v>0.5</v>
      </c>
      <c r="E14">
        <v>0.5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0.2</v>
      </c>
      <c r="Z14">
        <v>0.2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0.2</v>
      </c>
      <c r="AV14">
        <v>0.2</v>
      </c>
      <c r="AW14">
        <v>0.2</v>
      </c>
      <c r="AX14">
        <v>0.2</v>
      </c>
      <c r="AY14">
        <v>0</v>
      </c>
      <c r="AZ14">
        <v>0.8</v>
      </c>
      <c r="BA14">
        <v>0.5</v>
      </c>
      <c r="BB14">
        <v>0.5</v>
      </c>
      <c r="BC14">
        <v>0.2</v>
      </c>
      <c r="BD14">
        <v>0.2</v>
      </c>
      <c r="BE14">
        <v>0.2</v>
      </c>
      <c r="BF14">
        <v>0.2</v>
      </c>
      <c r="BG14">
        <v>0.2</v>
      </c>
      <c r="BH14">
        <v>0.7</v>
      </c>
      <c r="BI14">
        <v>0.2</v>
      </c>
      <c r="BJ14">
        <v>0.2</v>
      </c>
      <c r="BK14">
        <v>0.2</v>
      </c>
      <c r="BL14">
        <v>0.5</v>
      </c>
      <c r="BM14">
        <v>0.2</v>
      </c>
      <c r="BN14">
        <v>0.2</v>
      </c>
      <c r="BO14">
        <v>0</v>
      </c>
      <c r="BP14">
        <v>0</v>
      </c>
      <c r="BQ14">
        <v>0</v>
      </c>
      <c r="BR14">
        <v>0</v>
      </c>
    </row>
    <row r="15" x14ac:dyDescent="0.15">
      <c r="A15" t="s">
        <v>194</v>
      </c>
      <c r="B15">
        <v>0.5</v>
      </c>
      <c r="C15">
        <v>0.5</v>
      </c>
      <c r="D15">
        <v>0.5</v>
      </c>
      <c r="E15">
        <v>0.5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0.2</v>
      </c>
      <c r="Z15">
        <v>0.2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0.2</v>
      </c>
      <c r="AV15">
        <v>0.2</v>
      </c>
      <c r="AW15">
        <v>0.2</v>
      </c>
      <c r="AX15">
        <v>0.2</v>
      </c>
      <c r="AY15">
        <v>0</v>
      </c>
      <c r="AZ15">
        <v>0.8</v>
      </c>
      <c r="BA15">
        <v>0.5</v>
      </c>
      <c r="BB15">
        <v>0.5</v>
      </c>
      <c r="BC15">
        <v>0.2</v>
      </c>
      <c r="BD15">
        <v>0.2</v>
      </c>
      <c r="BE15">
        <v>0.2</v>
      </c>
      <c r="BF15">
        <v>0.2</v>
      </c>
      <c r="BG15">
        <v>0.2</v>
      </c>
      <c r="BH15">
        <v>0.7</v>
      </c>
      <c r="BI15">
        <v>0.2</v>
      </c>
      <c r="BJ15">
        <v>0.2</v>
      </c>
      <c r="BK15">
        <v>0.2</v>
      </c>
      <c r="BL15">
        <v>0.5</v>
      </c>
      <c r="BM15">
        <v>0.2</v>
      </c>
      <c r="BN15">
        <v>0.2</v>
      </c>
      <c r="BO15">
        <v>0</v>
      </c>
      <c r="BP15">
        <v>0</v>
      </c>
      <c r="BQ15">
        <v>0</v>
      </c>
      <c r="BR15">
        <v>0</v>
      </c>
    </row>
    <row r="16" x14ac:dyDescent="0.15">
      <c r="A16" t="s">
        <v>195</v>
      </c>
      <c r="B16">
        <v>0.5</v>
      </c>
      <c r="C16">
        <v>0.5</v>
      </c>
      <c r="D16">
        <v>0.5</v>
      </c>
      <c r="E16">
        <v>0.5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0.2</v>
      </c>
      <c r="Z16">
        <v>0.2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0.2</v>
      </c>
      <c r="AV16">
        <v>0.2</v>
      </c>
      <c r="AW16">
        <v>0.2</v>
      </c>
      <c r="AX16">
        <v>0.2</v>
      </c>
      <c r="AY16">
        <v>0</v>
      </c>
      <c r="AZ16">
        <v>0.8</v>
      </c>
      <c r="BA16">
        <v>0.5</v>
      </c>
      <c r="BB16">
        <v>0.5</v>
      </c>
      <c r="BC16">
        <v>0.2</v>
      </c>
      <c r="BD16">
        <v>0.2</v>
      </c>
      <c r="BE16">
        <v>0.2</v>
      </c>
      <c r="BF16">
        <v>0.2</v>
      </c>
      <c r="BG16">
        <v>0.2</v>
      </c>
      <c r="BH16">
        <v>0.7</v>
      </c>
      <c r="BI16">
        <v>0.2</v>
      </c>
      <c r="BJ16">
        <v>0.2</v>
      </c>
      <c r="BK16">
        <v>0.2</v>
      </c>
      <c r="BL16">
        <v>0.5</v>
      </c>
      <c r="BM16">
        <v>0.2</v>
      </c>
      <c r="BN16">
        <v>0.2</v>
      </c>
      <c r="BO16">
        <v>0</v>
      </c>
      <c r="BP16">
        <v>0</v>
      </c>
      <c r="BQ16">
        <v>0</v>
      </c>
      <c r="BR16">
        <v>0</v>
      </c>
    </row>
    <row r="17" x14ac:dyDescent="0.15">
      <c r="A17" t="s">
        <v>196</v>
      </c>
      <c r="B17">
        <v>0.5</v>
      </c>
      <c r="C17">
        <v>0.5</v>
      </c>
      <c r="D17">
        <v>0.5</v>
      </c>
      <c r="E17">
        <v>0.5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0.2</v>
      </c>
      <c r="Z17">
        <v>0.2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0.2</v>
      </c>
      <c r="AV17">
        <v>0.2</v>
      </c>
      <c r="AW17">
        <v>0.2</v>
      </c>
      <c r="AX17">
        <v>0.2</v>
      </c>
      <c r="AY17">
        <v>0</v>
      </c>
      <c r="AZ17">
        <v>0.8</v>
      </c>
      <c r="BA17">
        <v>0.5</v>
      </c>
      <c r="BB17">
        <v>0.5</v>
      </c>
      <c r="BC17">
        <v>0.2</v>
      </c>
      <c r="BD17">
        <v>0.2</v>
      </c>
      <c r="BE17">
        <v>0.2</v>
      </c>
      <c r="BF17">
        <v>0.2</v>
      </c>
      <c r="BG17">
        <v>0.2</v>
      </c>
      <c r="BH17">
        <v>0.7</v>
      </c>
      <c r="BI17">
        <v>0.2</v>
      </c>
      <c r="BJ17">
        <v>0.2</v>
      </c>
      <c r="BK17">
        <v>0.2</v>
      </c>
      <c r="BL17">
        <v>0.5</v>
      </c>
      <c r="BM17">
        <v>0.2</v>
      </c>
      <c r="BN17">
        <v>0.2</v>
      </c>
      <c r="BO17">
        <v>0</v>
      </c>
      <c r="BP17">
        <v>0</v>
      </c>
      <c r="BQ17">
        <v>0</v>
      </c>
      <c r="BR17">
        <v>0</v>
      </c>
    </row>
    <row r="18" x14ac:dyDescent="0.15">
      <c r="A18" t="s">
        <v>197</v>
      </c>
      <c r="B18">
        <v>0.5</v>
      </c>
      <c r="C18">
        <v>0.5</v>
      </c>
      <c r="D18">
        <v>0.5</v>
      </c>
      <c r="E18">
        <v>0.5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0.2</v>
      </c>
      <c r="Z18">
        <v>0.2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0.2</v>
      </c>
      <c r="AV18">
        <v>0.2</v>
      </c>
      <c r="AW18">
        <v>0.2</v>
      </c>
      <c r="AX18">
        <v>0.2</v>
      </c>
      <c r="AY18">
        <v>0</v>
      </c>
      <c r="AZ18">
        <v>0.8</v>
      </c>
      <c r="BA18">
        <v>0.5</v>
      </c>
      <c r="BB18">
        <v>0.5</v>
      </c>
      <c r="BC18">
        <v>0.2</v>
      </c>
      <c r="BD18">
        <v>0.2</v>
      </c>
      <c r="BE18">
        <v>0.2</v>
      </c>
      <c r="BF18">
        <v>0.2</v>
      </c>
      <c r="BG18">
        <v>0.2</v>
      </c>
      <c r="BH18">
        <v>0.7</v>
      </c>
      <c r="BI18">
        <v>0.2</v>
      </c>
      <c r="BJ18">
        <v>0.2</v>
      </c>
      <c r="BK18">
        <v>0.2</v>
      </c>
      <c r="BL18">
        <v>0.5</v>
      </c>
      <c r="BM18">
        <v>0.2</v>
      </c>
      <c r="BN18">
        <v>0.2</v>
      </c>
      <c r="BO18">
        <v>0</v>
      </c>
      <c r="BP18">
        <v>0</v>
      </c>
      <c r="BQ18">
        <v>0</v>
      </c>
      <c r="BR18">
        <v>0</v>
      </c>
    </row>
    <row r="19" x14ac:dyDescent="0.15">
      <c r="A19" t="s">
        <v>198</v>
      </c>
      <c r="B19">
        <v>0.5</v>
      </c>
      <c r="C19">
        <v>0.5</v>
      </c>
      <c r="D19">
        <v>0.5</v>
      </c>
      <c r="E19">
        <v>0.5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0.2</v>
      </c>
      <c r="Z19">
        <v>0.2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0.2</v>
      </c>
      <c r="AV19">
        <v>0.2</v>
      </c>
      <c r="AW19">
        <v>0.2</v>
      </c>
      <c r="AX19">
        <v>0.2</v>
      </c>
      <c r="AY19">
        <v>0</v>
      </c>
      <c r="AZ19">
        <v>0.8</v>
      </c>
      <c r="BA19">
        <v>0.5</v>
      </c>
      <c r="BB19">
        <v>0.5</v>
      </c>
      <c r="BC19">
        <v>0.2</v>
      </c>
      <c r="BD19">
        <v>0.2</v>
      </c>
      <c r="BE19">
        <v>0.2</v>
      </c>
      <c r="BF19">
        <v>0.2</v>
      </c>
      <c r="BG19">
        <v>0.2</v>
      </c>
      <c r="BH19">
        <v>0.7</v>
      </c>
      <c r="BI19">
        <v>0.2</v>
      </c>
      <c r="BJ19">
        <v>0.2</v>
      </c>
      <c r="BK19">
        <v>0.2</v>
      </c>
      <c r="BL19">
        <v>0.5</v>
      </c>
      <c r="BM19">
        <v>0.2</v>
      </c>
      <c r="BN19">
        <v>0.2</v>
      </c>
      <c r="BO19">
        <v>0</v>
      </c>
      <c r="BP19">
        <v>0</v>
      </c>
      <c r="BQ19">
        <v>0</v>
      </c>
      <c r="BR19">
        <v>0</v>
      </c>
    </row>
    <row r="20" x14ac:dyDescent="0.15">
      <c r="A20" t="s">
        <v>199</v>
      </c>
      <c r="B20">
        <v>0.5</v>
      </c>
      <c r="C20">
        <v>0.5</v>
      </c>
      <c r="D20">
        <v>0.5</v>
      </c>
      <c r="E20">
        <v>0.5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0.2</v>
      </c>
      <c r="Z20">
        <v>0.2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0.2</v>
      </c>
      <c r="AV20">
        <v>0.2</v>
      </c>
      <c r="AW20">
        <v>0.2</v>
      </c>
      <c r="AX20">
        <v>0.2</v>
      </c>
      <c r="AY20">
        <v>0</v>
      </c>
      <c r="AZ20">
        <v>0.8</v>
      </c>
      <c r="BA20">
        <v>0.5</v>
      </c>
      <c r="BB20">
        <v>0.5</v>
      </c>
      <c r="BC20">
        <v>0.2</v>
      </c>
      <c r="BD20">
        <v>0.2</v>
      </c>
      <c r="BE20">
        <v>0.2</v>
      </c>
      <c r="BF20">
        <v>0.2</v>
      </c>
      <c r="BG20">
        <v>0.2</v>
      </c>
      <c r="BH20">
        <v>0.7</v>
      </c>
      <c r="BI20">
        <v>0.2</v>
      </c>
      <c r="BJ20">
        <v>0.2</v>
      </c>
      <c r="BK20">
        <v>0.2</v>
      </c>
      <c r="BL20">
        <v>0.5</v>
      </c>
      <c r="BM20">
        <v>0.2</v>
      </c>
      <c r="BN20">
        <v>0.2</v>
      </c>
      <c r="BO20">
        <v>0</v>
      </c>
      <c r="BP20">
        <v>0</v>
      </c>
      <c r="BQ20">
        <v>0</v>
      </c>
      <c r="BR20">
        <v>0</v>
      </c>
    </row>
    <row r="21" x14ac:dyDescent="0.15">
      <c r="A21" t="s">
        <v>200</v>
      </c>
      <c r="B21">
        <v>0.5</v>
      </c>
      <c r="C21">
        <v>0.5</v>
      </c>
      <c r="D21">
        <v>0.5</v>
      </c>
      <c r="E21">
        <v>0.5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0.2</v>
      </c>
      <c r="Z21">
        <v>0.2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0.2</v>
      </c>
      <c r="AV21">
        <v>0.2</v>
      </c>
      <c r="AW21">
        <v>0.2</v>
      </c>
      <c r="AX21">
        <v>0.2</v>
      </c>
      <c r="AY21">
        <v>0</v>
      </c>
      <c r="AZ21">
        <v>0.8</v>
      </c>
      <c r="BA21">
        <v>0.5</v>
      </c>
      <c r="BB21">
        <v>0.5</v>
      </c>
      <c r="BC21">
        <v>0.2</v>
      </c>
      <c r="BD21">
        <v>0.2</v>
      </c>
      <c r="BE21">
        <v>0.2</v>
      </c>
      <c r="BF21">
        <v>0.2</v>
      </c>
      <c r="BG21">
        <v>0.2</v>
      </c>
      <c r="BH21">
        <v>0.7</v>
      </c>
      <c r="BI21">
        <v>0.2</v>
      </c>
      <c r="BJ21">
        <v>0.2</v>
      </c>
      <c r="BK21">
        <v>0.2</v>
      </c>
      <c r="BL21">
        <v>0.5</v>
      </c>
      <c r="BM21">
        <v>0.2</v>
      </c>
      <c r="BN21">
        <v>0.2</v>
      </c>
      <c r="BO21">
        <v>0</v>
      </c>
      <c r="BP21">
        <v>0</v>
      </c>
      <c r="BQ21">
        <v>0</v>
      </c>
      <c r="BR21">
        <v>0</v>
      </c>
    </row>
    <row r="22" x14ac:dyDescent="0.15">
      <c r="A22" t="s">
        <v>201</v>
      </c>
      <c r="B22">
        <v>0.5</v>
      </c>
      <c r="C22">
        <v>0.5</v>
      </c>
      <c r="D22">
        <v>0.5</v>
      </c>
      <c r="E22">
        <v>0.5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0.2</v>
      </c>
      <c r="Z22">
        <v>0.2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0.2</v>
      </c>
      <c r="AV22">
        <v>0.2</v>
      </c>
      <c r="AW22">
        <v>0.2</v>
      </c>
      <c r="AX22">
        <v>0.2</v>
      </c>
      <c r="AY22">
        <v>0</v>
      </c>
      <c r="AZ22">
        <v>0.8</v>
      </c>
      <c r="BA22">
        <v>0.5</v>
      </c>
      <c r="BB22">
        <v>0.5</v>
      </c>
      <c r="BC22">
        <v>0.2</v>
      </c>
      <c r="BD22">
        <v>0.2</v>
      </c>
      <c r="BE22">
        <v>0.2</v>
      </c>
      <c r="BF22">
        <v>0.2</v>
      </c>
      <c r="BG22">
        <v>0.2</v>
      </c>
      <c r="BH22">
        <v>0.7</v>
      </c>
      <c r="BI22">
        <v>0.2</v>
      </c>
      <c r="BJ22">
        <v>0.2</v>
      </c>
      <c r="BK22">
        <v>0.2</v>
      </c>
      <c r="BL22">
        <v>0.5</v>
      </c>
      <c r="BM22">
        <v>0.2</v>
      </c>
      <c r="BN22">
        <v>0.2</v>
      </c>
      <c r="BO22">
        <v>0</v>
      </c>
      <c r="BP22">
        <v>0</v>
      </c>
      <c r="BQ22">
        <v>0</v>
      </c>
      <c r="BR22">
        <v>0</v>
      </c>
    </row>
    <row r="23" x14ac:dyDescent="0.15">
      <c r="A23" t="s">
        <v>202</v>
      </c>
      <c r="B23">
        <v>0.5</v>
      </c>
      <c r="C23">
        <v>0.5</v>
      </c>
      <c r="D23">
        <v>0.5</v>
      </c>
      <c r="E23">
        <v>0.5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0.2</v>
      </c>
      <c r="Z23">
        <v>0.2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0.2</v>
      </c>
      <c r="AV23">
        <v>0.2</v>
      </c>
      <c r="AW23">
        <v>0.2</v>
      </c>
      <c r="AX23">
        <v>0.2</v>
      </c>
      <c r="AY23">
        <v>0</v>
      </c>
      <c r="AZ23">
        <v>0.8</v>
      </c>
      <c r="BA23">
        <v>0.5</v>
      </c>
      <c r="BB23">
        <v>0.5</v>
      </c>
      <c r="BC23">
        <v>0.2</v>
      </c>
      <c r="BD23">
        <v>0.2</v>
      </c>
      <c r="BE23">
        <v>0.2</v>
      </c>
      <c r="BF23">
        <v>0.2</v>
      </c>
      <c r="BG23">
        <v>0.2</v>
      </c>
      <c r="BH23">
        <v>0.7</v>
      </c>
      <c r="BI23">
        <v>0.2</v>
      </c>
      <c r="BJ23">
        <v>0.2</v>
      </c>
      <c r="BK23">
        <v>0.2</v>
      </c>
      <c r="BL23">
        <v>0.5</v>
      </c>
      <c r="BM23">
        <v>0.2</v>
      </c>
      <c r="BN23">
        <v>0.2</v>
      </c>
      <c r="BO23">
        <v>0</v>
      </c>
      <c r="BP23">
        <v>0</v>
      </c>
      <c r="BQ23">
        <v>0</v>
      </c>
      <c r="BR23">
        <v>0</v>
      </c>
    </row>
    <row r="24" x14ac:dyDescent="0.15">
      <c r="A24" t="s">
        <v>203</v>
      </c>
      <c r="B24">
        <v>0.5</v>
      </c>
      <c r="C24">
        <v>0.5</v>
      </c>
      <c r="D24">
        <v>0.5</v>
      </c>
      <c r="E24">
        <v>0.5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0.2</v>
      </c>
      <c r="Z24">
        <v>0.2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0.2</v>
      </c>
      <c r="AV24">
        <v>0.2</v>
      </c>
      <c r="AW24">
        <v>0.2</v>
      </c>
      <c r="AX24">
        <v>0.2</v>
      </c>
      <c r="AY24">
        <v>0</v>
      </c>
      <c r="AZ24">
        <v>0.8</v>
      </c>
      <c r="BA24">
        <v>0.5</v>
      </c>
      <c r="BB24">
        <v>0.5</v>
      </c>
      <c r="BC24">
        <v>0.2</v>
      </c>
      <c r="BD24">
        <v>0.2</v>
      </c>
      <c r="BE24">
        <v>0.2</v>
      </c>
      <c r="BF24">
        <v>0.2</v>
      </c>
      <c r="BG24">
        <v>0.2</v>
      </c>
      <c r="BH24">
        <v>0.7</v>
      </c>
      <c r="BI24">
        <v>0.2</v>
      </c>
      <c r="BJ24">
        <v>0.2</v>
      </c>
      <c r="BK24">
        <v>0.2</v>
      </c>
      <c r="BL24">
        <v>0.5</v>
      </c>
      <c r="BM24">
        <v>0.2</v>
      </c>
      <c r="BN24">
        <v>0.2</v>
      </c>
      <c r="BO24">
        <v>0</v>
      </c>
      <c r="BP24">
        <v>0</v>
      </c>
      <c r="BQ24">
        <v>0</v>
      </c>
      <c r="BR24">
        <v>0</v>
      </c>
    </row>
    <row r="25" x14ac:dyDescent="0.15">
      <c r="A25" t="s">
        <v>204</v>
      </c>
      <c r="B25">
        <v>0.5</v>
      </c>
      <c r="C25">
        <v>0.5</v>
      </c>
      <c r="D25">
        <v>0.5</v>
      </c>
      <c r="E25">
        <v>0.5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0.2</v>
      </c>
      <c r="Z25">
        <v>0.2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0.2</v>
      </c>
      <c r="AV25">
        <v>0.2</v>
      </c>
      <c r="AW25">
        <v>0.2</v>
      </c>
      <c r="AX25">
        <v>0.2</v>
      </c>
      <c r="AY25">
        <v>0</v>
      </c>
      <c r="AZ25">
        <v>0.8</v>
      </c>
      <c r="BA25">
        <v>0.5</v>
      </c>
      <c r="BB25">
        <v>0.5</v>
      </c>
      <c r="BC25">
        <v>0.2</v>
      </c>
      <c r="BD25">
        <v>0.2</v>
      </c>
      <c r="BE25">
        <v>0.2</v>
      </c>
      <c r="BF25">
        <v>0.2</v>
      </c>
      <c r="BG25">
        <v>0.2</v>
      </c>
      <c r="BH25">
        <v>0.7</v>
      </c>
      <c r="BI25">
        <v>0.2</v>
      </c>
      <c r="BJ25">
        <v>0.2</v>
      </c>
      <c r="BK25">
        <v>0.2</v>
      </c>
      <c r="BL25">
        <v>0.5</v>
      </c>
      <c r="BM25">
        <v>0.2</v>
      </c>
      <c r="BN25">
        <v>0.2</v>
      </c>
      <c r="BO25">
        <v>0</v>
      </c>
      <c r="BP25">
        <v>0</v>
      </c>
      <c r="BQ25">
        <v>0</v>
      </c>
      <c r="BR25">
        <v>0</v>
      </c>
    </row>
    <row r="26" x14ac:dyDescent="0.15">
      <c r="A26" t="s">
        <v>205</v>
      </c>
      <c r="B26">
        <v>0.5</v>
      </c>
      <c r="C26">
        <v>0.5</v>
      </c>
      <c r="D26">
        <v>0.5</v>
      </c>
      <c r="E26">
        <v>0.5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0.2</v>
      </c>
      <c r="Z26">
        <v>0.2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0.2</v>
      </c>
      <c r="AV26">
        <v>0.2</v>
      </c>
      <c r="AW26">
        <v>0.2</v>
      </c>
      <c r="AX26">
        <v>0.2</v>
      </c>
      <c r="AY26">
        <v>0</v>
      </c>
      <c r="AZ26">
        <v>0.8</v>
      </c>
      <c r="BA26">
        <v>0.5</v>
      </c>
      <c r="BB26">
        <v>0.5</v>
      </c>
      <c r="BC26">
        <v>0.2</v>
      </c>
      <c r="BD26">
        <v>0.2</v>
      </c>
      <c r="BE26">
        <v>0.2</v>
      </c>
      <c r="BF26">
        <v>0.2</v>
      </c>
      <c r="BG26">
        <v>0.2</v>
      </c>
      <c r="BH26">
        <v>0.7</v>
      </c>
      <c r="BI26">
        <v>0.2</v>
      </c>
      <c r="BJ26">
        <v>0.2</v>
      </c>
      <c r="BK26">
        <v>0.2</v>
      </c>
      <c r="BL26">
        <v>0.5</v>
      </c>
      <c r="BM26">
        <v>0.2</v>
      </c>
      <c r="BN26">
        <v>0.2</v>
      </c>
      <c r="BO26">
        <v>0</v>
      </c>
      <c r="BP26">
        <v>0</v>
      </c>
      <c r="BQ26">
        <v>0</v>
      </c>
      <c r="BR26">
        <v>0</v>
      </c>
    </row>
    <row r="27" x14ac:dyDescent="0.15">
      <c r="A27" t="s">
        <v>206</v>
      </c>
      <c r="B27">
        <v>0.5</v>
      </c>
      <c r="C27">
        <v>0.5</v>
      </c>
      <c r="D27">
        <v>0.5</v>
      </c>
      <c r="E27">
        <v>0.5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0.2</v>
      </c>
      <c r="Z27">
        <v>0.2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0.2</v>
      </c>
      <c r="AV27">
        <v>0.2</v>
      </c>
      <c r="AW27">
        <v>0.2</v>
      </c>
      <c r="AX27">
        <v>0.2</v>
      </c>
      <c r="AY27">
        <v>0</v>
      </c>
      <c r="AZ27">
        <v>0.8</v>
      </c>
      <c r="BA27">
        <v>0.5</v>
      </c>
      <c r="BB27">
        <v>0.5</v>
      </c>
      <c r="BC27">
        <v>0.2</v>
      </c>
      <c r="BD27">
        <v>0.2</v>
      </c>
      <c r="BE27">
        <v>0.2</v>
      </c>
      <c r="BF27">
        <v>0.2</v>
      </c>
      <c r="BG27">
        <v>0.2</v>
      </c>
      <c r="BH27">
        <v>0.7</v>
      </c>
      <c r="BI27">
        <v>0.2</v>
      </c>
      <c r="BJ27">
        <v>0.2</v>
      </c>
      <c r="BK27">
        <v>0.2</v>
      </c>
      <c r="BL27">
        <v>0.5</v>
      </c>
      <c r="BM27">
        <v>0.2</v>
      </c>
      <c r="BN27">
        <v>0.2</v>
      </c>
      <c r="BO27">
        <v>0</v>
      </c>
      <c r="BP27">
        <v>0</v>
      </c>
      <c r="BQ27">
        <v>0</v>
      </c>
      <c r="BR27">
        <v>0</v>
      </c>
    </row>
    <row r="28" x14ac:dyDescent="0.15">
      <c r="A28" t="s">
        <v>207</v>
      </c>
      <c r="B28">
        <v>0.5</v>
      </c>
      <c r="C28">
        <v>0.5</v>
      </c>
      <c r="D28">
        <v>0.5</v>
      </c>
      <c r="E28">
        <v>0.5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0.2</v>
      </c>
      <c r="Z28">
        <v>0.2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0.2</v>
      </c>
      <c r="AV28">
        <v>0.2</v>
      </c>
      <c r="AW28">
        <v>0.2</v>
      </c>
      <c r="AX28">
        <v>0.2</v>
      </c>
      <c r="AY28">
        <v>0</v>
      </c>
      <c r="AZ28">
        <v>0.8</v>
      </c>
      <c r="BA28">
        <v>0.5</v>
      </c>
      <c r="BB28">
        <v>0.5</v>
      </c>
      <c r="BC28">
        <v>0.2</v>
      </c>
      <c r="BD28">
        <v>0.2</v>
      </c>
      <c r="BE28">
        <v>0.2</v>
      </c>
      <c r="BF28">
        <v>0.2</v>
      </c>
      <c r="BG28">
        <v>0.2</v>
      </c>
      <c r="BH28">
        <v>0.7</v>
      </c>
      <c r="BI28">
        <v>0.2</v>
      </c>
      <c r="BJ28">
        <v>0.2</v>
      </c>
      <c r="BK28">
        <v>0.2</v>
      </c>
      <c r="BL28">
        <v>0.5</v>
      </c>
      <c r="BM28">
        <v>0.2</v>
      </c>
      <c r="BN28">
        <v>0.2</v>
      </c>
      <c r="BO28">
        <v>0</v>
      </c>
      <c r="BP28">
        <v>0</v>
      </c>
      <c r="BQ28">
        <v>0</v>
      </c>
      <c r="BR28">
        <v>0</v>
      </c>
    </row>
    <row r="29" x14ac:dyDescent="0.15">
      <c r="A29" t="s">
        <v>208</v>
      </c>
      <c r="B29">
        <v>0.5</v>
      </c>
      <c r="C29">
        <v>0.5</v>
      </c>
      <c r="D29">
        <v>0.5</v>
      </c>
      <c r="E29">
        <v>0.5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0.2</v>
      </c>
      <c r="Z29">
        <v>0.2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0.2</v>
      </c>
      <c r="AV29">
        <v>0.2</v>
      </c>
      <c r="AW29">
        <v>0.2</v>
      </c>
      <c r="AX29">
        <v>0.2</v>
      </c>
      <c r="AY29">
        <v>0</v>
      </c>
      <c r="AZ29">
        <v>0.8</v>
      </c>
      <c r="BA29">
        <v>0.5</v>
      </c>
      <c r="BB29">
        <v>0.5</v>
      </c>
      <c r="BC29">
        <v>0.2</v>
      </c>
      <c r="BD29">
        <v>0.2</v>
      </c>
      <c r="BE29">
        <v>0.2</v>
      </c>
      <c r="BF29">
        <v>0.2</v>
      </c>
      <c r="BG29">
        <v>0.2</v>
      </c>
      <c r="BH29">
        <v>0.7</v>
      </c>
      <c r="BI29">
        <v>0.2</v>
      </c>
      <c r="BJ29">
        <v>0.2</v>
      </c>
      <c r="BK29">
        <v>0.2</v>
      </c>
      <c r="BL29">
        <v>0.5</v>
      </c>
      <c r="BM29">
        <v>0.2</v>
      </c>
      <c r="BN29">
        <v>0.2</v>
      </c>
      <c r="BO29">
        <v>0</v>
      </c>
      <c r="BP29">
        <v>0</v>
      </c>
      <c r="BQ29">
        <v>0</v>
      </c>
      <c r="BR29">
        <v>0</v>
      </c>
    </row>
    <row r="30" x14ac:dyDescent="0.15">
      <c r="A30" t="s">
        <v>209</v>
      </c>
      <c r="B30">
        <v>0.5</v>
      </c>
      <c r="C30">
        <v>0.5</v>
      </c>
      <c r="D30">
        <v>0.5</v>
      </c>
      <c r="E30">
        <v>0.5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0.2</v>
      </c>
      <c r="Z30">
        <v>0.2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0.2</v>
      </c>
      <c r="AV30">
        <v>0.2</v>
      </c>
      <c r="AW30">
        <v>0.2</v>
      </c>
      <c r="AX30">
        <v>0.2</v>
      </c>
      <c r="AY30">
        <v>0</v>
      </c>
      <c r="AZ30">
        <v>0.8</v>
      </c>
      <c r="BA30">
        <v>0.5</v>
      </c>
      <c r="BB30">
        <v>0.5</v>
      </c>
      <c r="BC30">
        <v>0.2</v>
      </c>
      <c r="BD30">
        <v>0.2</v>
      </c>
      <c r="BE30">
        <v>0.2</v>
      </c>
      <c r="BF30">
        <v>0.2</v>
      </c>
      <c r="BG30">
        <v>0.2</v>
      </c>
      <c r="BH30">
        <v>0.7</v>
      </c>
      <c r="BI30">
        <v>0.2</v>
      </c>
      <c r="BJ30">
        <v>0.2</v>
      </c>
      <c r="BK30">
        <v>0.2</v>
      </c>
      <c r="BL30">
        <v>0.5</v>
      </c>
      <c r="BM30">
        <v>0.2</v>
      </c>
      <c r="BN30">
        <v>0.2</v>
      </c>
      <c r="BO30">
        <v>0</v>
      </c>
      <c r="BP30">
        <v>0</v>
      </c>
      <c r="BQ30">
        <v>0</v>
      </c>
      <c r="BR30">
        <v>0</v>
      </c>
    </row>
    <row r="31" x14ac:dyDescent="0.15">
      <c r="A31" t="s">
        <v>210</v>
      </c>
      <c r="B31">
        <v>0.5</v>
      </c>
      <c r="C31">
        <v>0.5</v>
      </c>
      <c r="D31">
        <v>0.5</v>
      </c>
      <c r="E31">
        <v>0.5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0.2</v>
      </c>
      <c r="Z31">
        <v>0.2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0.2</v>
      </c>
      <c r="AV31">
        <v>0.2</v>
      </c>
      <c r="AW31">
        <v>0.2</v>
      </c>
      <c r="AX31">
        <v>0.2</v>
      </c>
      <c r="AY31">
        <v>0</v>
      </c>
      <c r="AZ31">
        <v>0.8</v>
      </c>
      <c r="BA31">
        <v>0.5</v>
      </c>
      <c r="BB31">
        <v>0.5</v>
      </c>
      <c r="BC31">
        <v>0.2</v>
      </c>
      <c r="BD31">
        <v>0.2</v>
      </c>
      <c r="BE31">
        <v>0.2</v>
      </c>
      <c r="BF31">
        <v>0.2</v>
      </c>
      <c r="BG31">
        <v>0.2</v>
      </c>
      <c r="BH31">
        <v>0.7</v>
      </c>
      <c r="BI31">
        <v>0.2</v>
      </c>
      <c r="BJ31">
        <v>0.2</v>
      </c>
      <c r="BK31">
        <v>0.2</v>
      </c>
      <c r="BL31">
        <v>0.5</v>
      </c>
      <c r="BM31">
        <v>0.2</v>
      </c>
      <c r="BN31">
        <v>0.2</v>
      </c>
      <c r="BO31">
        <v>0</v>
      </c>
      <c r="BP31">
        <v>0</v>
      </c>
      <c r="BQ31">
        <v>0</v>
      </c>
      <c r="BR31">
        <v>0</v>
      </c>
    </row>
    <row r="32" x14ac:dyDescent="0.15">
      <c r="A32" t="s">
        <v>211</v>
      </c>
      <c r="B32">
        <v>0.5</v>
      </c>
      <c r="C32">
        <v>0.5</v>
      </c>
      <c r="D32">
        <v>0.5</v>
      </c>
      <c r="E32">
        <v>0.5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0.2</v>
      </c>
      <c r="Z32">
        <v>0.2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0.2</v>
      </c>
      <c r="AV32">
        <v>0.2</v>
      </c>
      <c r="AW32">
        <v>0.2</v>
      </c>
      <c r="AX32">
        <v>0.2</v>
      </c>
      <c r="AY32">
        <v>0</v>
      </c>
      <c r="AZ32">
        <v>0.8</v>
      </c>
      <c r="BA32">
        <v>0.5</v>
      </c>
      <c r="BB32">
        <v>0.5</v>
      </c>
      <c r="BC32">
        <v>0.2</v>
      </c>
      <c r="BD32">
        <v>0.2</v>
      </c>
      <c r="BE32">
        <v>0.2</v>
      </c>
      <c r="BF32">
        <v>0.2</v>
      </c>
      <c r="BG32">
        <v>0.2</v>
      </c>
      <c r="BH32">
        <v>0.7</v>
      </c>
      <c r="BI32">
        <v>0.2</v>
      </c>
      <c r="BJ32">
        <v>0.2</v>
      </c>
      <c r="BK32">
        <v>0.2</v>
      </c>
      <c r="BL32">
        <v>0.5</v>
      </c>
      <c r="BM32">
        <v>0.2</v>
      </c>
      <c r="BN32">
        <v>0.2</v>
      </c>
      <c r="BO32">
        <v>0</v>
      </c>
      <c r="BP32">
        <v>0</v>
      </c>
      <c r="BQ32">
        <v>0</v>
      </c>
      <c r="BR32">
        <v>0</v>
      </c>
    </row>
    <row r="33" x14ac:dyDescent="0.15">
      <c r="A33" t="s">
        <v>212</v>
      </c>
      <c r="B33">
        <v>0.5</v>
      </c>
      <c r="C33">
        <v>0.5</v>
      </c>
      <c r="D33">
        <v>0.5</v>
      </c>
      <c r="E33">
        <v>0.5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0.2</v>
      </c>
      <c r="Z33">
        <v>0.2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0.2</v>
      </c>
      <c r="AV33">
        <v>0.2</v>
      </c>
      <c r="AW33">
        <v>0.2</v>
      </c>
      <c r="AX33">
        <v>0.2</v>
      </c>
      <c r="AY33">
        <v>0</v>
      </c>
      <c r="AZ33">
        <v>0.8</v>
      </c>
      <c r="BA33">
        <v>0.5</v>
      </c>
      <c r="BB33">
        <v>0.5</v>
      </c>
      <c r="BC33">
        <v>0.2</v>
      </c>
      <c r="BD33">
        <v>0.2</v>
      </c>
      <c r="BE33">
        <v>0.2</v>
      </c>
      <c r="BF33">
        <v>0.2</v>
      </c>
      <c r="BG33">
        <v>0.2</v>
      </c>
      <c r="BH33">
        <v>0.7</v>
      </c>
      <c r="BI33">
        <v>0.2</v>
      </c>
      <c r="BJ33">
        <v>0.2</v>
      </c>
      <c r="BK33">
        <v>0.2</v>
      </c>
      <c r="BL33">
        <v>0.5</v>
      </c>
      <c r="BM33">
        <v>0.2</v>
      </c>
      <c r="BN33">
        <v>0.2</v>
      </c>
      <c r="BO33">
        <v>0</v>
      </c>
      <c r="BP33">
        <v>0</v>
      </c>
      <c r="BQ33">
        <v>0</v>
      </c>
      <c r="BR33">
        <v>0</v>
      </c>
    </row>
    <row r="34" x14ac:dyDescent="0.15">
      <c r="A34" t="s">
        <v>213</v>
      </c>
      <c r="B34">
        <v>0.5</v>
      </c>
      <c r="C34">
        <v>0.5</v>
      </c>
      <c r="D34">
        <v>0.5</v>
      </c>
      <c r="E34">
        <v>0.5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0.2</v>
      </c>
      <c r="Z34">
        <v>0.2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0.2</v>
      </c>
      <c r="AV34">
        <v>0.2</v>
      </c>
      <c r="AW34">
        <v>0.2</v>
      </c>
      <c r="AX34">
        <v>0.2</v>
      </c>
      <c r="AY34">
        <v>0</v>
      </c>
      <c r="AZ34">
        <v>0.8</v>
      </c>
      <c r="BA34">
        <v>0.5</v>
      </c>
      <c r="BB34">
        <v>0.5</v>
      </c>
      <c r="BC34">
        <v>0.2</v>
      </c>
      <c r="BD34">
        <v>0.2</v>
      </c>
      <c r="BE34">
        <v>0.2</v>
      </c>
      <c r="BF34">
        <v>0.2</v>
      </c>
      <c r="BG34">
        <v>0.2</v>
      </c>
      <c r="BH34">
        <v>0.7</v>
      </c>
      <c r="BI34">
        <v>0.2</v>
      </c>
      <c r="BJ34">
        <v>0.2</v>
      </c>
      <c r="BK34">
        <v>0.2</v>
      </c>
      <c r="BL34">
        <v>0.5</v>
      </c>
      <c r="BM34">
        <v>0.2</v>
      </c>
      <c r="BN34">
        <v>0.2</v>
      </c>
      <c r="BO34">
        <v>0</v>
      </c>
      <c r="BP34">
        <v>0</v>
      </c>
      <c r="BQ34">
        <v>0</v>
      </c>
      <c r="BR34">
        <v>0</v>
      </c>
    </row>
    <row r="35" x14ac:dyDescent="0.15">
      <c r="A35" t="s">
        <v>214</v>
      </c>
      <c r="B35">
        <v>0.5</v>
      </c>
      <c r="C35">
        <v>0.5</v>
      </c>
      <c r="D35">
        <v>0.5</v>
      </c>
      <c r="E35">
        <v>0.5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0.2</v>
      </c>
      <c r="Z35">
        <v>0.2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0.2</v>
      </c>
      <c r="AV35">
        <v>0.2</v>
      </c>
      <c r="AW35">
        <v>0.2</v>
      </c>
      <c r="AX35">
        <v>0.2</v>
      </c>
      <c r="AY35">
        <v>0</v>
      </c>
      <c r="AZ35">
        <v>0.8</v>
      </c>
      <c r="BA35">
        <v>0.5</v>
      </c>
      <c r="BB35">
        <v>0.5</v>
      </c>
      <c r="BC35">
        <v>0.2</v>
      </c>
      <c r="BD35">
        <v>0.2</v>
      </c>
      <c r="BE35">
        <v>0.2</v>
      </c>
      <c r="BF35">
        <v>0.2</v>
      </c>
      <c r="BG35">
        <v>0.2</v>
      </c>
      <c r="BH35">
        <v>0.7</v>
      </c>
      <c r="BI35">
        <v>0.2</v>
      </c>
      <c r="BJ35">
        <v>0.2</v>
      </c>
      <c r="BK35">
        <v>0.2</v>
      </c>
      <c r="BL35">
        <v>0.5</v>
      </c>
      <c r="BM35">
        <v>0.2</v>
      </c>
      <c r="BN35">
        <v>0.2</v>
      </c>
      <c r="BO35">
        <v>0</v>
      </c>
      <c r="BP35">
        <v>0</v>
      </c>
      <c r="BQ35">
        <v>0</v>
      </c>
      <c r="BR35">
        <v>0</v>
      </c>
    </row>
    <row r="36" x14ac:dyDescent="0.15">
      <c r="A36" t="s">
        <v>215</v>
      </c>
      <c r="B36">
        <v>0.5</v>
      </c>
      <c r="C36">
        <v>0.5</v>
      </c>
      <c r="D36">
        <v>0.5</v>
      </c>
      <c r="E36">
        <v>0.5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0.2</v>
      </c>
      <c r="Z36">
        <v>0.2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0.2</v>
      </c>
      <c r="AV36">
        <v>0.2</v>
      </c>
      <c r="AW36">
        <v>0.2</v>
      </c>
      <c r="AX36">
        <v>0.2</v>
      </c>
      <c r="AY36">
        <v>0</v>
      </c>
      <c r="AZ36">
        <v>0.8</v>
      </c>
      <c r="BA36">
        <v>0.5</v>
      </c>
      <c r="BB36">
        <v>0.5</v>
      </c>
      <c r="BC36">
        <v>0.2</v>
      </c>
      <c r="BD36">
        <v>0.2</v>
      </c>
      <c r="BE36">
        <v>0.2</v>
      </c>
      <c r="BF36">
        <v>0.2</v>
      </c>
      <c r="BG36">
        <v>0.2</v>
      </c>
      <c r="BH36">
        <v>0.7</v>
      </c>
      <c r="BI36">
        <v>0.2</v>
      </c>
      <c r="BJ36">
        <v>0.2</v>
      </c>
      <c r="BK36">
        <v>0.2</v>
      </c>
      <c r="BL36">
        <v>0.5</v>
      </c>
      <c r="BM36">
        <v>0.2</v>
      </c>
      <c r="BN36">
        <v>0.2</v>
      </c>
      <c r="BO36">
        <v>0</v>
      </c>
      <c r="BP36">
        <v>0</v>
      </c>
      <c r="BQ36">
        <v>0</v>
      </c>
      <c r="BR36">
        <v>0</v>
      </c>
    </row>
    <row r="37" x14ac:dyDescent="0.15">
      <c r="A37" t="s">
        <v>216</v>
      </c>
      <c r="B37">
        <v>0.5</v>
      </c>
      <c r="C37">
        <v>0.5</v>
      </c>
      <c r="D37">
        <v>0.5</v>
      </c>
      <c r="E37">
        <v>0.5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0.2</v>
      </c>
      <c r="Z37">
        <v>0.2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0.2</v>
      </c>
      <c r="AV37">
        <v>0.2</v>
      </c>
      <c r="AW37">
        <v>0.2</v>
      </c>
      <c r="AX37">
        <v>0.2</v>
      </c>
      <c r="AY37">
        <v>0</v>
      </c>
      <c r="AZ37">
        <v>0.8</v>
      </c>
      <c r="BA37">
        <v>0.5</v>
      </c>
      <c r="BB37">
        <v>0.5</v>
      </c>
      <c r="BC37">
        <v>0.2</v>
      </c>
      <c r="BD37">
        <v>0.2</v>
      </c>
      <c r="BE37">
        <v>0.2</v>
      </c>
      <c r="BF37">
        <v>0.2</v>
      </c>
      <c r="BG37">
        <v>0.2</v>
      </c>
      <c r="BH37">
        <v>0.7</v>
      </c>
      <c r="BI37">
        <v>0.2</v>
      </c>
      <c r="BJ37">
        <v>0.2</v>
      </c>
      <c r="BK37">
        <v>0.2</v>
      </c>
      <c r="BL37">
        <v>0.5</v>
      </c>
      <c r="BM37">
        <v>0.2</v>
      </c>
      <c r="BN37">
        <v>0.2</v>
      </c>
      <c r="BO37">
        <v>0</v>
      </c>
      <c r="BP37">
        <v>0</v>
      </c>
      <c r="BQ37">
        <v>0</v>
      </c>
      <c r="BR37">
        <v>0</v>
      </c>
    </row>
    <row r="38" x14ac:dyDescent="0.15">
      <c r="A38" t="s">
        <v>217</v>
      </c>
      <c r="B38">
        <v>0.5</v>
      </c>
      <c r="C38">
        <v>0.5</v>
      </c>
      <c r="D38">
        <v>0.5</v>
      </c>
      <c r="E38">
        <v>0.5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0.2</v>
      </c>
      <c r="Z38">
        <v>0.2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0.2</v>
      </c>
      <c r="AV38">
        <v>0.2</v>
      </c>
      <c r="AW38">
        <v>0.2</v>
      </c>
      <c r="AX38">
        <v>0.2</v>
      </c>
      <c r="AY38">
        <v>0</v>
      </c>
      <c r="AZ38">
        <v>0.8</v>
      </c>
      <c r="BA38">
        <v>0.5</v>
      </c>
      <c r="BB38">
        <v>0.5</v>
      </c>
      <c r="BC38">
        <v>0.2</v>
      </c>
      <c r="BD38">
        <v>0.2</v>
      </c>
      <c r="BE38">
        <v>0.2</v>
      </c>
      <c r="BF38">
        <v>0.2</v>
      </c>
      <c r="BG38">
        <v>0.2</v>
      </c>
      <c r="BH38">
        <v>0.7</v>
      </c>
      <c r="BI38">
        <v>0.2</v>
      </c>
      <c r="BJ38">
        <v>0.2</v>
      </c>
      <c r="BK38">
        <v>0.2</v>
      </c>
      <c r="BL38">
        <v>0.5</v>
      </c>
      <c r="BM38">
        <v>0.2</v>
      </c>
      <c r="BN38">
        <v>0.2</v>
      </c>
      <c r="BO38">
        <v>0</v>
      </c>
      <c r="BP38">
        <v>0</v>
      </c>
      <c r="BQ38">
        <v>0</v>
      </c>
      <c r="BR38">
        <v>0</v>
      </c>
    </row>
    <row r="39" x14ac:dyDescent="0.15">
      <c r="A39" t="s">
        <v>218</v>
      </c>
      <c r="B39">
        <v>0.5</v>
      </c>
      <c r="C39">
        <v>0.5</v>
      </c>
      <c r="D39">
        <v>0.5</v>
      </c>
      <c r="E39">
        <v>0.5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0.2</v>
      </c>
      <c r="Z39">
        <v>0.2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0.2</v>
      </c>
      <c r="AV39">
        <v>0.2</v>
      </c>
      <c r="AW39">
        <v>0.2</v>
      </c>
      <c r="AX39">
        <v>0.2</v>
      </c>
      <c r="AY39">
        <v>0</v>
      </c>
      <c r="AZ39">
        <v>0.8</v>
      </c>
      <c r="BA39">
        <v>0.5</v>
      </c>
      <c r="BB39">
        <v>0.5</v>
      </c>
      <c r="BC39">
        <v>0.2</v>
      </c>
      <c r="BD39">
        <v>0.2</v>
      </c>
      <c r="BE39">
        <v>0.2</v>
      </c>
      <c r="BF39">
        <v>0.2</v>
      </c>
      <c r="BG39">
        <v>0.2</v>
      </c>
      <c r="BH39">
        <v>0.7</v>
      </c>
      <c r="BI39">
        <v>0.2</v>
      </c>
      <c r="BJ39">
        <v>0.2</v>
      </c>
      <c r="BK39">
        <v>0.2</v>
      </c>
      <c r="BL39">
        <v>0.5</v>
      </c>
      <c r="BM39">
        <v>0.2</v>
      </c>
      <c r="BN39">
        <v>0.2</v>
      </c>
      <c r="BO39">
        <v>0</v>
      </c>
      <c r="BP39">
        <v>0</v>
      </c>
      <c r="BQ39">
        <v>0</v>
      </c>
      <c r="BR39">
        <v>0</v>
      </c>
    </row>
    <row r="40" x14ac:dyDescent="0.15">
      <c r="A40" t="s">
        <v>219</v>
      </c>
      <c r="B40">
        <v>0.5</v>
      </c>
      <c r="C40">
        <v>0.5</v>
      </c>
      <c r="D40">
        <v>0.5</v>
      </c>
      <c r="E40">
        <v>0.5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0.2</v>
      </c>
      <c r="Z40">
        <v>0.2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0.2</v>
      </c>
      <c r="AV40">
        <v>0.2</v>
      </c>
      <c r="AW40">
        <v>0.2</v>
      </c>
      <c r="AX40">
        <v>0.2</v>
      </c>
      <c r="AY40">
        <v>0</v>
      </c>
      <c r="AZ40">
        <v>0.8</v>
      </c>
      <c r="BA40">
        <v>0.5</v>
      </c>
      <c r="BB40">
        <v>0.5</v>
      </c>
      <c r="BC40">
        <v>0.2</v>
      </c>
      <c r="BD40">
        <v>0.2</v>
      </c>
      <c r="BE40">
        <v>0.2</v>
      </c>
      <c r="BF40">
        <v>0.2</v>
      </c>
      <c r="BG40">
        <v>0.2</v>
      </c>
      <c r="BH40">
        <v>0.7</v>
      </c>
      <c r="BI40">
        <v>0.2</v>
      </c>
      <c r="BJ40">
        <v>0.2</v>
      </c>
      <c r="BK40">
        <v>0.2</v>
      </c>
      <c r="BL40">
        <v>0.5</v>
      </c>
      <c r="BM40">
        <v>0.2</v>
      </c>
      <c r="BN40">
        <v>0.2</v>
      </c>
      <c r="BO40">
        <v>0</v>
      </c>
      <c r="BP40">
        <v>0</v>
      </c>
      <c r="BQ40">
        <v>0</v>
      </c>
      <c r="BR40">
        <v>0</v>
      </c>
    </row>
    <row r="41" x14ac:dyDescent="0.15">
      <c r="A41" t="s">
        <v>220</v>
      </c>
      <c r="B41">
        <v>0.5</v>
      </c>
      <c r="C41">
        <v>0.5</v>
      </c>
      <c r="D41">
        <v>0.5</v>
      </c>
      <c r="E41">
        <v>0.5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0.2</v>
      </c>
      <c r="Z41">
        <v>0.2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0.2</v>
      </c>
      <c r="AV41">
        <v>0.2</v>
      </c>
      <c r="AW41">
        <v>0.2</v>
      </c>
      <c r="AX41">
        <v>0.2</v>
      </c>
      <c r="AY41">
        <v>0</v>
      </c>
      <c r="AZ41">
        <v>0.8</v>
      </c>
      <c r="BA41">
        <v>0.5</v>
      </c>
      <c r="BB41">
        <v>0.5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0.7</v>
      </c>
      <c r="BI41">
        <v>0.2</v>
      </c>
      <c r="BJ41">
        <v>0.2</v>
      </c>
      <c r="BK41">
        <v>0.2</v>
      </c>
      <c r="BL41">
        <v>0.5</v>
      </c>
      <c r="BM41">
        <v>0.2</v>
      </c>
      <c r="BN41">
        <v>0.2</v>
      </c>
      <c r="BO41">
        <v>0</v>
      </c>
      <c r="BP41">
        <v>0</v>
      </c>
      <c r="BQ41">
        <v>0</v>
      </c>
      <c r="BR41">
        <v>0</v>
      </c>
    </row>
    <row r="42" x14ac:dyDescent="0.15">
      <c r="A42" t="s">
        <v>221</v>
      </c>
      <c r="B42">
        <v>0.5</v>
      </c>
      <c r="C42">
        <v>0.5</v>
      </c>
      <c r="D42">
        <v>0.5</v>
      </c>
      <c r="E42">
        <v>0.5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0.2</v>
      </c>
      <c r="Z42">
        <v>0.2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0.2</v>
      </c>
      <c r="AV42">
        <v>0.2</v>
      </c>
      <c r="AW42">
        <v>0.2</v>
      </c>
      <c r="AX42">
        <v>0.2</v>
      </c>
      <c r="AY42">
        <v>0</v>
      </c>
      <c r="AZ42">
        <v>0.8</v>
      </c>
      <c r="BA42">
        <v>0.5</v>
      </c>
      <c r="BB42">
        <v>0.5</v>
      </c>
      <c r="BC42">
        <v>0.2</v>
      </c>
      <c r="BD42">
        <v>0.2</v>
      </c>
      <c r="BE42">
        <v>0.2</v>
      </c>
      <c r="BF42">
        <v>0.2</v>
      </c>
      <c r="BG42">
        <v>0.2</v>
      </c>
      <c r="BH42">
        <v>0.7</v>
      </c>
      <c r="BI42">
        <v>0.2</v>
      </c>
      <c r="BJ42">
        <v>0.2</v>
      </c>
      <c r="BK42">
        <v>0.2</v>
      </c>
      <c r="BL42">
        <v>0.5</v>
      </c>
      <c r="BM42">
        <v>0.2</v>
      </c>
      <c r="BN42">
        <v>0.2</v>
      </c>
      <c r="BO42">
        <v>0</v>
      </c>
      <c r="BP42">
        <v>0</v>
      </c>
      <c r="BQ42">
        <v>0</v>
      </c>
      <c r="BR42">
        <v>0</v>
      </c>
    </row>
    <row r="43" x14ac:dyDescent="0.15">
      <c r="A43" t="s">
        <v>222</v>
      </c>
      <c r="B43">
        <v>0.5</v>
      </c>
      <c r="C43">
        <v>0.5</v>
      </c>
      <c r="D43">
        <v>0.5</v>
      </c>
      <c r="E43">
        <v>0.5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0.2</v>
      </c>
      <c r="Z43">
        <v>0.2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0.2</v>
      </c>
      <c r="AV43">
        <v>0.2</v>
      </c>
      <c r="AW43">
        <v>0.2</v>
      </c>
      <c r="AX43">
        <v>0.2</v>
      </c>
      <c r="AY43">
        <v>0</v>
      </c>
      <c r="AZ43">
        <v>0.8</v>
      </c>
      <c r="BA43">
        <v>0.5</v>
      </c>
      <c r="BB43">
        <v>0.5</v>
      </c>
      <c r="BC43">
        <v>0.2</v>
      </c>
      <c r="BD43">
        <v>0.2</v>
      </c>
      <c r="BE43">
        <v>0.2</v>
      </c>
      <c r="BF43">
        <v>0.2</v>
      </c>
      <c r="BG43">
        <v>0.2</v>
      </c>
      <c r="BH43">
        <v>0.7</v>
      </c>
      <c r="BI43">
        <v>0.2</v>
      </c>
      <c r="BJ43">
        <v>0.2</v>
      </c>
      <c r="BK43">
        <v>0.2</v>
      </c>
      <c r="BL43">
        <v>0.5</v>
      </c>
      <c r="BM43">
        <v>0.2</v>
      </c>
      <c r="BN43">
        <v>0.2</v>
      </c>
      <c r="BO43">
        <v>0</v>
      </c>
      <c r="BP43">
        <v>0</v>
      </c>
      <c r="BQ43">
        <v>0</v>
      </c>
      <c r="BR43">
        <v>0</v>
      </c>
    </row>
    <row r="44" x14ac:dyDescent="0.15">
      <c r="A44" t="s">
        <v>223</v>
      </c>
      <c r="B44">
        <v>0.5</v>
      </c>
      <c r="C44">
        <v>0.5</v>
      </c>
      <c r="D44">
        <v>0.5</v>
      </c>
      <c r="E44">
        <v>0.5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0.2</v>
      </c>
      <c r="Z44">
        <v>0.2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0.2</v>
      </c>
      <c r="AV44">
        <v>0.2</v>
      </c>
      <c r="AW44">
        <v>0.2</v>
      </c>
      <c r="AX44">
        <v>0.2</v>
      </c>
      <c r="AY44">
        <v>0</v>
      </c>
      <c r="AZ44">
        <v>0.8</v>
      </c>
      <c r="BA44">
        <v>0.5</v>
      </c>
      <c r="BB44">
        <v>0.5</v>
      </c>
      <c r="BC44">
        <v>0.2</v>
      </c>
      <c r="BD44">
        <v>0.2</v>
      </c>
      <c r="BE44">
        <v>0.2</v>
      </c>
      <c r="BF44">
        <v>0.2</v>
      </c>
      <c r="BG44">
        <v>0.2</v>
      </c>
      <c r="BH44">
        <v>0.7</v>
      </c>
      <c r="BI44">
        <v>0.2</v>
      </c>
      <c r="BJ44">
        <v>0.2</v>
      </c>
      <c r="BK44">
        <v>0.2</v>
      </c>
      <c r="BL44">
        <v>0.5</v>
      </c>
      <c r="BM44">
        <v>0.2</v>
      </c>
      <c r="BN44">
        <v>0.2</v>
      </c>
      <c r="BO44">
        <v>0</v>
      </c>
      <c r="BP44">
        <v>0</v>
      </c>
      <c r="BQ44">
        <v>0</v>
      </c>
      <c r="BR44">
        <v>0</v>
      </c>
    </row>
    <row r="45" x14ac:dyDescent="0.15">
      <c r="A45" t="s">
        <v>224</v>
      </c>
      <c r="B45">
        <v>0.5</v>
      </c>
      <c r="C45">
        <v>0.5</v>
      </c>
      <c r="D45">
        <v>0.5</v>
      </c>
      <c r="E45">
        <v>0.5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0.2</v>
      </c>
      <c r="Z45">
        <v>0.2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0.2</v>
      </c>
      <c r="AV45">
        <v>0.2</v>
      </c>
      <c r="AW45">
        <v>0.2</v>
      </c>
      <c r="AX45">
        <v>0.2</v>
      </c>
      <c r="AY45">
        <v>0</v>
      </c>
      <c r="AZ45">
        <v>0.8</v>
      </c>
      <c r="BA45">
        <v>0.5</v>
      </c>
      <c r="BB45">
        <v>0.5</v>
      </c>
      <c r="BC45">
        <v>0.2</v>
      </c>
      <c r="BD45">
        <v>0.2</v>
      </c>
      <c r="BE45">
        <v>0.2</v>
      </c>
      <c r="BF45">
        <v>0.2</v>
      </c>
      <c r="BG45">
        <v>0.2</v>
      </c>
      <c r="BH45">
        <v>0.7</v>
      </c>
      <c r="BI45">
        <v>0.2</v>
      </c>
      <c r="BJ45">
        <v>0.2</v>
      </c>
      <c r="BK45">
        <v>0.2</v>
      </c>
      <c r="BL45">
        <v>0.5</v>
      </c>
      <c r="BM45">
        <v>0.2</v>
      </c>
      <c r="BN45">
        <v>0.2</v>
      </c>
      <c r="BO45">
        <v>0</v>
      </c>
      <c r="BP45">
        <v>0</v>
      </c>
      <c r="BQ45">
        <v>0</v>
      </c>
      <c r="BR45">
        <v>0</v>
      </c>
    </row>
    <row r="46" x14ac:dyDescent="0.15">
      <c r="A46" t="s">
        <v>225</v>
      </c>
      <c r="B46">
        <v>0.5</v>
      </c>
      <c r="C46">
        <v>0.5</v>
      </c>
      <c r="D46">
        <v>0.5</v>
      </c>
      <c r="E46">
        <v>0.5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0.2</v>
      </c>
      <c r="Z46">
        <v>0.2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0.2</v>
      </c>
      <c r="AV46">
        <v>0.2</v>
      </c>
      <c r="AW46">
        <v>0.2</v>
      </c>
      <c r="AX46">
        <v>0.2</v>
      </c>
      <c r="AY46">
        <v>0</v>
      </c>
      <c r="AZ46">
        <v>0.8</v>
      </c>
      <c r="BA46">
        <v>0.5</v>
      </c>
      <c r="BB46">
        <v>0.5</v>
      </c>
      <c r="BC46">
        <v>0.2</v>
      </c>
      <c r="BD46">
        <v>0.2</v>
      </c>
      <c r="BE46">
        <v>0.2</v>
      </c>
      <c r="BF46">
        <v>0.2</v>
      </c>
      <c r="BG46">
        <v>0.2</v>
      </c>
      <c r="BH46">
        <v>0.7</v>
      </c>
      <c r="BI46">
        <v>0.2</v>
      </c>
      <c r="BJ46">
        <v>0.2</v>
      </c>
      <c r="BK46">
        <v>0.2</v>
      </c>
      <c r="BL46">
        <v>0.5</v>
      </c>
      <c r="BM46">
        <v>0.2</v>
      </c>
      <c r="BN46">
        <v>0.2</v>
      </c>
      <c r="BO46">
        <v>0</v>
      </c>
      <c r="BP46">
        <v>0</v>
      </c>
      <c r="BQ46">
        <v>0</v>
      </c>
      <c r="BR46">
        <v>0</v>
      </c>
    </row>
    <row r="47" x14ac:dyDescent="0.15">
      <c r="A47" t="s">
        <v>226</v>
      </c>
      <c r="B47">
        <v>0.5</v>
      </c>
      <c r="C47">
        <v>0.5</v>
      </c>
      <c r="D47">
        <v>0.5</v>
      </c>
      <c r="E47">
        <v>0.5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0.2</v>
      </c>
      <c r="Z47">
        <v>0.2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0.2</v>
      </c>
      <c r="AV47">
        <v>0.2</v>
      </c>
      <c r="AW47">
        <v>0.2</v>
      </c>
      <c r="AX47">
        <v>0.2</v>
      </c>
      <c r="AY47">
        <v>0</v>
      </c>
      <c r="AZ47">
        <v>0.8</v>
      </c>
      <c r="BA47">
        <v>0.5</v>
      </c>
      <c r="BB47">
        <v>0.5</v>
      </c>
      <c r="BC47">
        <v>0.2</v>
      </c>
      <c r="BD47">
        <v>0.2</v>
      </c>
      <c r="BE47">
        <v>0.2</v>
      </c>
      <c r="BF47">
        <v>0.2</v>
      </c>
      <c r="BG47">
        <v>0.2</v>
      </c>
      <c r="BH47">
        <v>0.7</v>
      </c>
      <c r="BI47">
        <v>0.2</v>
      </c>
      <c r="BJ47">
        <v>0.2</v>
      </c>
      <c r="BK47">
        <v>0.2</v>
      </c>
      <c r="BL47">
        <v>0.5</v>
      </c>
      <c r="BM47">
        <v>0.2</v>
      </c>
      <c r="BN47">
        <v>0.2</v>
      </c>
      <c r="BO47">
        <v>0</v>
      </c>
      <c r="BP47">
        <v>0</v>
      </c>
      <c r="BQ47">
        <v>0</v>
      </c>
      <c r="BR47">
        <v>0</v>
      </c>
    </row>
    <row r="48" x14ac:dyDescent="0.15">
      <c r="A48" t="s">
        <v>227</v>
      </c>
      <c r="B48">
        <v>0.5</v>
      </c>
      <c r="C48">
        <v>0.5</v>
      </c>
      <c r="D48">
        <v>0.5</v>
      </c>
      <c r="E48">
        <v>0.5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0.2</v>
      </c>
      <c r="Z48">
        <v>0.2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0.2</v>
      </c>
      <c r="AV48">
        <v>0.2</v>
      </c>
      <c r="AW48">
        <v>0.2</v>
      </c>
      <c r="AX48">
        <v>0.2</v>
      </c>
      <c r="AY48">
        <v>0</v>
      </c>
      <c r="AZ48">
        <v>0.8</v>
      </c>
      <c r="BA48">
        <v>0.5</v>
      </c>
      <c r="BB48">
        <v>0.5</v>
      </c>
      <c r="BC48">
        <v>0.2</v>
      </c>
      <c r="BD48">
        <v>0.2</v>
      </c>
      <c r="BE48">
        <v>0.2</v>
      </c>
      <c r="BF48">
        <v>0.2</v>
      </c>
      <c r="BG48">
        <v>0.2</v>
      </c>
      <c r="BH48">
        <v>0.7</v>
      </c>
      <c r="BI48">
        <v>0.2</v>
      </c>
      <c r="BJ48">
        <v>0.2</v>
      </c>
      <c r="BK48">
        <v>0.2</v>
      </c>
      <c r="BL48">
        <v>0.5</v>
      </c>
      <c r="BM48">
        <v>0.2</v>
      </c>
      <c r="BN48">
        <v>0.2</v>
      </c>
      <c r="BO48">
        <v>0</v>
      </c>
      <c r="BP48">
        <v>0</v>
      </c>
      <c r="BQ48">
        <v>0</v>
      </c>
      <c r="BR48">
        <v>0</v>
      </c>
    </row>
    <row r="49" x14ac:dyDescent="0.15">
      <c r="A49" t="s">
        <v>228</v>
      </c>
      <c r="B49">
        <v>0.5</v>
      </c>
      <c r="C49">
        <v>0.5</v>
      </c>
      <c r="D49">
        <v>0.5</v>
      </c>
      <c r="E49">
        <v>0.5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0.2</v>
      </c>
      <c r="Z49">
        <v>0.2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0.2</v>
      </c>
      <c r="AV49">
        <v>0.2</v>
      </c>
      <c r="AW49">
        <v>0.2</v>
      </c>
      <c r="AX49">
        <v>0.2</v>
      </c>
      <c r="AY49">
        <v>0</v>
      </c>
      <c r="AZ49">
        <v>0.8</v>
      </c>
      <c r="BA49">
        <v>0.5</v>
      </c>
      <c r="BB49">
        <v>0.5</v>
      </c>
      <c r="BC49">
        <v>0.2</v>
      </c>
      <c r="BD49">
        <v>0.2</v>
      </c>
      <c r="BE49">
        <v>0.2</v>
      </c>
      <c r="BF49">
        <v>0.2</v>
      </c>
      <c r="BG49">
        <v>0.2</v>
      </c>
      <c r="BH49">
        <v>0.7</v>
      </c>
      <c r="BI49">
        <v>0.2</v>
      </c>
      <c r="BJ49">
        <v>0.2</v>
      </c>
      <c r="BK49">
        <v>0.2</v>
      </c>
      <c r="BL49">
        <v>0.5</v>
      </c>
      <c r="BM49">
        <v>0.2</v>
      </c>
      <c r="BN49">
        <v>0.2</v>
      </c>
      <c r="BO49">
        <v>0</v>
      </c>
      <c r="BP49">
        <v>0</v>
      </c>
      <c r="BQ49">
        <v>0</v>
      </c>
      <c r="BR49">
        <v>0</v>
      </c>
    </row>
    <row r="50" x14ac:dyDescent="0.15">
      <c r="A50" t="s">
        <v>229</v>
      </c>
      <c r="B50">
        <v>0.5</v>
      </c>
      <c r="C50">
        <v>0.5</v>
      </c>
      <c r="D50">
        <v>0.5</v>
      </c>
      <c r="E50">
        <v>0.5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0.2</v>
      </c>
      <c r="Z50">
        <v>0.2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0.2</v>
      </c>
      <c r="AV50">
        <v>0.2</v>
      </c>
      <c r="AW50">
        <v>0.2</v>
      </c>
      <c r="AX50">
        <v>0.2</v>
      </c>
      <c r="AY50">
        <v>0</v>
      </c>
      <c r="AZ50">
        <v>0.8</v>
      </c>
      <c r="BA50">
        <v>0.5</v>
      </c>
      <c r="BB50">
        <v>0.5</v>
      </c>
      <c r="BC50">
        <v>0.2</v>
      </c>
      <c r="BD50">
        <v>0.2</v>
      </c>
      <c r="BE50">
        <v>0.2</v>
      </c>
      <c r="BF50">
        <v>0.2</v>
      </c>
      <c r="BG50">
        <v>0.2</v>
      </c>
      <c r="BH50">
        <v>0.7</v>
      </c>
      <c r="BI50">
        <v>0.2</v>
      </c>
      <c r="BJ50">
        <v>0.2</v>
      </c>
      <c r="BK50">
        <v>0.2</v>
      </c>
      <c r="BL50">
        <v>0.5</v>
      </c>
      <c r="BM50">
        <v>0.2</v>
      </c>
      <c r="BN50">
        <v>0.2</v>
      </c>
      <c r="BO50">
        <v>0</v>
      </c>
      <c r="BP50">
        <v>0</v>
      </c>
      <c r="BQ50">
        <v>0</v>
      </c>
      <c r="BR50">
        <v>0</v>
      </c>
    </row>
    <row r="51" x14ac:dyDescent="0.15">
      <c r="A51" t="s">
        <v>230</v>
      </c>
      <c r="B51">
        <v>0.5</v>
      </c>
      <c r="C51">
        <v>0.5</v>
      </c>
      <c r="D51">
        <v>0.5</v>
      </c>
      <c r="E51">
        <v>0.5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0.2</v>
      </c>
      <c r="Z51">
        <v>0.2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0.2</v>
      </c>
      <c r="AV51">
        <v>0.2</v>
      </c>
      <c r="AW51">
        <v>0.2</v>
      </c>
      <c r="AX51">
        <v>0.2</v>
      </c>
      <c r="AY51">
        <v>0</v>
      </c>
      <c r="AZ51">
        <v>0.8</v>
      </c>
      <c r="BA51">
        <v>0.5</v>
      </c>
      <c r="BB51">
        <v>0.5</v>
      </c>
      <c r="BC51">
        <v>0.2</v>
      </c>
      <c r="BD51">
        <v>0.2</v>
      </c>
      <c r="BE51">
        <v>0.2</v>
      </c>
      <c r="BF51">
        <v>0.2</v>
      </c>
      <c r="BG51">
        <v>0.2</v>
      </c>
      <c r="BH51">
        <v>0.7</v>
      </c>
      <c r="BI51">
        <v>0.2</v>
      </c>
      <c r="BJ51">
        <v>0.2</v>
      </c>
      <c r="BK51">
        <v>0.2</v>
      </c>
      <c r="BL51">
        <v>0.5</v>
      </c>
      <c r="BM51">
        <v>0.2</v>
      </c>
      <c r="BN51">
        <v>0.2</v>
      </c>
      <c r="BO51">
        <v>0</v>
      </c>
      <c r="BP51">
        <v>0</v>
      </c>
      <c r="BQ51">
        <v>0</v>
      </c>
      <c r="BR51">
        <v>0</v>
      </c>
    </row>
    <row r="52" x14ac:dyDescent="0.15">
      <c r="A52" s="207" t="s">
        <v>231</v>
      </c>
      <c r="B52" s="207">
        <v>0.5</v>
      </c>
      <c r="C52" s="207">
        <v>0.5</v>
      </c>
      <c r="D52" s="207">
        <v>0.5</v>
      </c>
      <c r="E52" s="207">
        <v>0.5</v>
      </c>
      <c r="F52" s="207">
        <v>1</v>
      </c>
      <c r="G52" s="207">
        <v>1</v>
      </c>
      <c r="H52" s="207">
        <v>1</v>
      </c>
      <c r="I52" s="207">
        <v>1</v>
      </c>
      <c r="J52" s="207">
        <v>1</v>
      </c>
      <c r="K52" s="207">
        <v>1</v>
      </c>
      <c r="L52" s="207">
        <v>1</v>
      </c>
      <c r="M52" s="207">
        <v>1</v>
      </c>
      <c r="N52" s="207">
        <v>1</v>
      </c>
      <c r="O52" s="207">
        <v>1</v>
      </c>
      <c r="P52" s="207">
        <v>1</v>
      </c>
      <c r="Q52" s="207">
        <v>1</v>
      </c>
      <c r="R52" s="207">
        <v>1</v>
      </c>
      <c r="S52" s="207">
        <v>1</v>
      </c>
      <c r="T52" s="207">
        <v>1</v>
      </c>
      <c r="U52" s="207">
        <v>1</v>
      </c>
      <c r="V52" s="207">
        <v>1</v>
      </c>
      <c r="W52" s="207">
        <v>1</v>
      </c>
      <c r="X52" s="207">
        <v>1</v>
      </c>
      <c r="Y52" s="207">
        <v>0.2</v>
      </c>
      <c r="Z52" s="207">
        <v>0.2</v>
      </c>
      <c r="AA52" s="207">
        <v>1</v>
      </c>
      <c r="AB52" s="207">
        <v>1</v>
      </c>
      <c r="AC52" s="207">
        <v>1</v>
      </c>
      <c r="AD52" s="207">
        <v>1</v>
      </c>
      <c r="AE52" s="207">
        <v>1</v>
      </c>
      <c r="AF52" s="207">
        <v>1</v>
      </c>
      <c r="AG52" s="207">
        <v>1</v>
      </c>
      <c r="AH52" s="207">
        <v>1</v>
      </c>
      <c r="AI52" s="207">
        <v>1</v>
      </c>
      <c r="AJ52" s="207">
        <v>1</v>
      </c>
      <c r="AK52" s="207">
        <v>1</v>
      </c>
      <c r="AL52" s="207">
        <v>1</v>
      </c>
      <c r="AM52" s="207">
        <v>1</v>
      </c>
      <c r="AN52" s="207">
        <v>1</v>
      </c>
      <c r="AO52" s="207">
        <v>1</v>
      </c>
      <c r="AP52" s="207">
        <v>1</v>
      </c>
      <c r="AQ52" s="207">
        <v>1</v>
      </c>
      <c r="AR52" s="207">
        <v>1</v>
      </c>
      <c r="AS52" s="207">
        <v>1</v>
      </c>
      <c r="AT52" s="207">
        <v>1</v>
      </c>
      <c r="AU52" s="207">
        <v>0.2</v>
      </c>
      <c r="AV52" s="207">
        <v>0.2</v>
      </c>
      <c r="AW52" s="207">
        <v>0.2</v>
      </c>
      <c r="AX52" s="207">
        <v>0.2</v>
      </c>
      <c r="AY52" s="207">
        <v>0</v>
      </c>
      <c r="AZ52" s="207">
        <v>0.8</v>
      </c>
      <c r="BA52" s="207">
        <v>0.5</v>
      </c>
      <c r="BB52" s="207">
        <v>0.5</v>
      </c>
      <c r="BC52" s="207">
        <v>0.2</v>
      </c>
      <c r="BD52" s="207">
        <v>0.2</v>
      </c>
      <c r="BE52" s="207">
        <v>0.2</v>
      </c>
      <c r="BF52" s="207">
        <v>0.2</v>
      </c>
      <c r="BG52" s="207">
        <v>0.2</v>
      </c>
      <c r="BH52" s="207">
        <v>0.7</v>
      </c>
      <c r="BI52" s="207">
        <v>0.2</v>
      </c>
      <c r="BJ52" s="207">
        <v>0.2</v>
      </c>
      <c r="BK52" s="207">
        <v>0.2</v>
      </c>
      <c r="BL52" s="207">
        <v>0.5</v>
      </c>
      <c r="BM52" s="207">
        <v>0.2</v>
      </c>
      <c r="BN52" s="207">
        <v>0.2</v>
      </c>
      <c r="BO52" s="207">
        <v>0</v>
      </c>
      <c r="BP52" s="207">
        <v>0</v>
      </c>
      <c r="BQ52" s="207">
        <v>0</v>
      </c>
      <c r="BR52" s="207">
        <v>0</v>
      </c>
    </row>
    <row r="53" x14ac:dyDescent="0.15">
      <c r="A53" t="s">
        <v>233</v>
      </c>
      <c r="B53">
        <v>0.5</v>
      </c>
      <c r="C53">
        <v>0.5</v>
      </c>
      <c r="D53">
        <v>0.5</v>
      </c>
      <c r="E53">
        <v>0.5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0.2</v>
      </c>
      <c r="Z53">
        <v>0.2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0.2</v>
      </c>
      <c r="AV53">
        <v>0.2</v>
      </c>
      <c r="AW53">
        <v>0.2</v>
      </c>
      <c r="AX53">
        <v>0.2</v>
      </c>
      <c r="AY53">
        <v>0</v>
      </c>
      <c r="AZ53">
        <v>0.8</v>
      </c>
      <c r="BA53">
        <v>0.5</v>
      </c>
      <c r="BB53">
        <v>0.5</v>
      </c>
      <c r="BC53">
        <v>0.2</v>
      </c>
      <c r="BD53">
        <v>0.2</v>
      </c>
      <c r="BE53">
        <v>0.2</v>
      </c>
      <c r="BF53">
        <v>0.2</v>
      </c>
      <c r="BG53">
        <v>0.2</v>
      </c>
      <c r="BH53">
        <v>0.7</v>
      </c>
      <c r="BI53">
        <v>0.2</v>
      </c>
      <c r="BJ53">
        <v>0.2</v>
      </c>
      <c r="BK53">
        <v>0.2</v>
      </c>
      <c r="BL53">
        <v>0.5</v>
      </c>
      <c r="BM53">
        <v>0.2</v>
      </c>
      <c r="BN53">
        <v>0.2</v>
      </c>
      <c r="BO53">
        <v>0</v>
      </c>
      <c r="BP53">
        <v>0</v>
      </c>
      <c r="BQ53">
        <v>0</v>
      </c>
      <c r="BR53">
        <v>0</v>
      </c>
    </row>
    <row r="54" x14ac:dyDescent="0.15">
      <c r="A54" t="s">
        <v>234</v>
      </c>
      <c r="B54">
        <v>0.5</v>
      </c>
      <c r="C54">
        <v>0.5</v>
      </c>
      <c r="D54">
        <v>0.5</v>
      </c>
      <c r="E54">
        <v>0.5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0.2</v>
      </c>
      <c r="Z54">
        <v>0.2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0.2</v>
      </c>
      <c r="AV54">
        <v>0.2</v>
      </c>
      <c r="AW54">
        <v>0.2</v>
      </c>
      <c r="AX54">
        <v>0.2</v>
      </c>
      <c r="AY54">
        <v>0</v>
      </c>
      <c r="AZ54">
        <v>0.8</v>
      </c>
      <c r="BA54">
        <v>0.5</v>
      </c>
      <c r="BB54">
        <v>0.5</v>
      </c>
      <c r="BC54">
        <v>0.2</v>
      </c>
      <c r="BD54">
        <v>0.2</v>
      </c>
      <c r="BE54">
        <v>0.2</v>
      </c>
      <c r="BF54">
        <v>0.2</v>
      </c>
      <c r="BG54">
        <v>0.2</v>
      </c>
      <c r="BH54">
        <v>0.7</v>
      </c>
      <c r="BI54">
        <v>0.2</v>
      </c>
      <c r="BJ54">
        <v>0.2</v>
      </c>
      <c r="BK54">
        <v>0.2</v>
      </c>
      <c r="BL54">
        <v>0.5</v>
      </c>
      <c r="BM54">
        <v>0.2</v>
      </c>
      <c r="BN54">
        <v>0.2</v>
      </c>
      <c r="BO54">
        <v>0</v>
      </c>
      <c r="BP54">
        <v>0</v>
      </c>
      <c r="BQ54">
        <v>0</v>
      </c>
      <c r="BR54">
        <v>0</v>
      </c>
    </row>
    <row r="55" x14ac:dyDescent="0.15">
      <c r="A55" t="s">
        <v>235</v>
      </c>
      <c r="B55">
        <v>0.5</v>
      </c>
      <c r="C55">
        <v>0.5</v>
      </c>
      <c r="D55">
        <v>0.5</v>
      </c>
      <c r="E55">
        <v>0.5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0.2</v>
      </c>
      <c r="Z55">
        <v>0.2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0.2</v>
      </c>
      <c r="AV55">
        <v>0.2</v>
      </c>
      <c r="AW55">
        <v>0.2</v>
      </c>
      <c r="AX55">
        <v>0.2</v>
      </c>
      <c r="AY55">
        <v>0</v>
      </c>
      <c r="AZ55">
        <v>0.8</v>
      </c>
      <c r="BA55">
        <v>0.5</v>
      </c>
      <c r="BB55">
        <v>0.5</v>
      </c>
      <c r="BC55">
        <v>0.2</v>
      </c>
      <c r="BD55">
        <v>0.2</v>
      </c>
      <c r="BE55">
        <v>0.2</v>
      </c>
      <c r="BF55">
        <v>0.2</v>
      </c>
      <c r="BG55">
        <v>0.2</v>
      </c>
      <c r="BH55">
        <v>0.7</v>
      </c>
      <c r="BI55">
        <v>0.2</v>
      </c>
      <c r="BJ55">
        <v>0.2</v>
      </c>
      <c r="BK55">
        <v>0.2</v>
      </c>
      <c r="BL55">
        <v>0.5</v>
      </c>
      <c r="BM55">
        <v>0.2</v>
      </c>
      <c r="BN55">
        <v>0.2</v>
      </c>
      <c r="BO55">
        <v>0</v>
      </c>
      <c r="BP55">
        <v>0</v>
      </c>
      <c r="BQ55">
        <v>0</v>
      </c>
      <c r="BR55">
        <v>0</v>
      </c>
    </row>
    <row r="56" x14ac:dyDescent="0.15">
      <c r="A56" t="s">
        <v>237</v>
      </c>
      <c r="B56">
        <v>0.5</v>
      </c>
      <c r="C56">
        <v>0.5</v>
      </c>
      <c r="D56">
        <v>0.5</v>
      </c>
      <c r="E56">
        <v>0.5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0.2</v>
      </c>
      <c r="Z56">
        <v>0.2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0.2</v>
      </c>
      <c r="AV56">
        <v>0.2</v>
      </c>
      <c r="AW56">
        <v>0.2</v>
      </c>
      <c r="AX56">
        <v>0.2</v>
      </c>
      <c r="AY56">
        <v>0</v>
      </c>
      <c r="AZ56">
        <v>0.8</v>
      </c>
      <c r="BA56">
        <v>0.5</v>
      </c>
      <c r="BB56">
        <v>0.5</v>
      </c>
      <c r="BC56">
        <v>0.2</v>
      </c>
      <c r="BD56">
        <v>0.2</v>
      </c>
      <c r="BE56">
        <v>0.2</v>
      </c>
      <c r="BF56">
        <v>0.2</v>
      </c>
      <c r="BG56">
        <v>0.2</v>
      </c>
      <c r="BH56">
        <v>0.7</v>
      </c>
      <c r="BI56">
        <v>0.2</v>
      </c>
      <c r="BJ56">
        <v>0.2</v>
      </c>
      <c r="BK56">
        <v>0.2</v>
      </c>
      <c r="BL56">
        <v>0.5</v>
      </c>
      <c r="BM56">
        <v>0.2</v>
      </c>
      <c r="BN56">
        <v>0.2</v>
      </c>
      <c r="BO56">
        <v>0</v>
      </c>
      <c r="BP56">
        <v>0</v>
      </c>
      <c r="BQ56">
        <v>0</v>
      </c>
      <c r="BR56">
        <v>0</v>
      </c>
    </row>
    <row r="57" x14ac:dyDescent="0.15">
      <c r="A57" t="s">
        <v>238</v>
      </c>
      <c r="B57">
        <v>0.5</v>
      </c>
      <c r="C57">
        <v>0.5</v>
      </c>
      <c r="D57">
        <v>0.5</v>
      </c>
      <c r="E57">
        <v>0.5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0.2</v>
      </c>
      <c r="Z57">
        <v>0.2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0.2</v>
      </c>
      <c r="AV57">
        <v>0.2</v>
      </c>
      <c r="AW57">
        <v>0.2</v>
      </c>
      <c r="AX57">
        <v>0.2</v>
      </c>
      <c r="AY57">
        <v>0</v>
      </c>
      <c r="AZ57">
        <v>0.8</v>
      </c>
      <c r="BA57">
        <v>0.5</v>
      </c>
      <c r="BB57">
        <v>0.5</v>
      </c>
      <c r="BC57">
        <v>0.2</v>
      </c>
      <c r="BD57">
        <v>0.2</v>
      </c>
      <c r="BE57">
        <v>0.2</v>
      </c>
      <c r="BF57">
        <v>0.2</v>
      </c>
      <c r="BG57">
        <v>0.2</v>
      </c>
      <c r="BH57">
        <v>0.7</v>
      </c>
      <c r="BI57">
        <v>0.2</v>
      </c>
      <c r="BJ57">
        <v>0.2</v>
      </c>
      <c r="BK57">
        <v>0.2</v>
      </c>
      <c r="BL57">
        <v>0.5</v>
      </c>
      <c r="BM57">
        <v>0.2</v>
      </c>
      <c r="BN57">
        <v>0.2</v>
      </c>
      <c r="BO57">
        <v>0</v>
      </c>
      <c r="BP57">
        <v>0</v>
      </c>
      <c r="BQ57">
        <v>0</v>
      </c>
      <c r="BR57">
        <v>0</v>
      </c>
    </row>
    <row r="58" x14ac:dyDescent="0.15">
      <c r="A58" t="s">
        <v>239</v>
      </c>
      <c r="B58">
        <v>0.5</v>
      </c>
      <c r="C58">
        <v>0.5</v>
      </c>
      <c r="D58">
        <v>0.5</v>
      </c>
      <c r="E58">
        <v>0.5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0.2</v>
      </c>
      <c r="Z58">
        <v>0.2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0.2</v>
      </c>
      <c r="AV58">
        <v>0.2</v>
      </c>
      <c r="AW58">
        <v>0.2</v>
      </c>
      <c r="AX58">
        <v>0.2</v>
      </c>
      <c r="AY58">
        <v>0</v>
      </c>
      <c r="AZ58">
        <v>0.8</v>
      </c>
      <c r="BA58">
        <v>0.5</v>
      </c>
      <c r="BB58">
        <v>0.5</v>
      </c>
      <c r="BC58">
        <v>0.2</v>
      </c>
      <c r="BD58">
        <v>0.2</v>
      </c>
      <c r="BE58">
        <v>0.2</v>
      </c>
      <c r="BF58">
        <v>0.2</v>
      </c>
      <c r="BG58">
        <v>0.2</v>
      </c>
      <c r="BH58">
        <v>0.7</v>
      </c>
      <c r="BI58">
        <v>0.2</v>
      </c>
      <c r="BJ58">
        <v>0.2</v>
      </c>
      <c r="BK58">
        <v>0.2</v>
      </c>
      <c r="BL58">
        <v>0.5</v>
      </c>
      <c r="BM58">
        <v>0.2</v>
      </c>
      <c r="BN58">
        <v>0.2</v>
      </c>
      <c r="BO58">
        <v>0</v>
      </c>
      <c r="BP58">
        <v>0</v>
      </c>
      <c r="BQ58">
        <v>0</v>
      </c>
      <c r="BR58">
        <v>0</v>
      </c>
    </row>
    <row r="59" x14ac:dyDescent="0.15">
      <c r="A59" t="s">
        <v>240</v>
      </c>
      <c r="B59">
        <v>0.5</v>
      </c>
      <c r="C59">
        <v>0.5</v>
      </c>
      <c r="D59">
        <v>0.5</v>
      </c>
      <c r="E59">
        <v>0.5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0.2</v>
      </c>
      <c r="Z59">
        <v>0.2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0.2</v>
      </c>
      <c r="AV59">
        <v>0.2</v>
      </c>
      <c r="AW59">
        <v>0.2</v>
      </c>
      <c r="AX59">
        <v>0.2</v>
      </c>
      <c r="AY59">
        <v>0</v>
      </c>
      <c r="AZ59">
        <v>0.8</v>
      </c>
      <c r="BA59">
        <v>0.5</v>
      </c>
      <c r="BB59">
        <v>0.5</v>
      </c>
      <c r="BC59">
        <v>0.2</v>
      </c>
      <c r="BD59">
        <v>0.2</v>
      </c>
      <c r="BE59">
        <v>0.2</v>
      </c>
      <c r="BF59">
        <v>0.2</v>
      </c>
      <c r="BG59">
        <v>0.2</v>
      </c>
      <c r="BH59">
        <v>0.7</v>
      </c>
      <c r="BI59">
        <v>0.2</v>
      </c>
      <c r="BJ59">
        <v>0.2</v>
      </c>
      <c r="BK59">
        <v>0.2</v>
      </c>
      <c r="BL59">
        <v>0.5</v>
      </c>
      <c r="BM59">
        <v>0.2</v>
      </c>
      <c r="BN59">
        <v>0.2</v>
      </c>
      <c r="BO59">
        <v>0</v>
      </c>
      <c r="BP59">
        <v>0</v>
      </c>
      <c r="BQ59">
        <v>0</v>
      </c>
      <c r="BR59">
        <v>0</v>
      </c>
    </row>
    <row r="60" x14ac:dyDescent="0.15">
      <c r="A60" t="s">
        <v>241</v>
      </c>
      <c r="B60">
        <v>0.5</v>
      </c>
      <c r="C60">
        <v>0.5</v>
      </c>
      <c r="D60">
        <v>0.5</v>
      </c>
      <c r="E60">
        <v>0.5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0.2</v>
      </c>
      <c r="Z60">
        <v>0.2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0.2</v>
      </c>
      <c r="AV60">
        <v>0.2</v>
      </c>
      <c r="AW60">
        <v>0.2</v>
      </c>
      <c r="AX60">
        <v>0.2</v>
      </c>
      <c r="AY60">
        <v>0</v>
      </c>
      <c r="AZ60">
        <v>0.8</v>
      </c>
      <c r="BA60">
        <v>0.5</v>
      </c>
      <c r="BB60">
        <v>0.5</v>
      </c>
      <c r="BC60">
        <v>0.2</v>
      </c>
      <c r="BD60">
        <v>0.2</v>
      </c>
      <c r="BE60">
        <v>0.2</v>
      </c>
      <c r="BF60">
        <v>0.2</v>
      </c>
      <c r="BG60">
        <v>0.2</v>
      </c>
      <c r="BH60">
        <v>0.7</v>
      </c>
      <c r="BI60">
        <v>0.2</v>
      </c>
      <c r="BJ60">
        <v>0.2</v>
      </c>
      <c r="BK60">
        <v>0.2</v>
      </c>
      <c r="BL60">
        <v>0.5</v>
      </c>
      <c r="BM60">
        <v>0.2</v>
      </c>
      <c r="BN60">
        <v>0.2</v>
      </c>
      <c r="BO60">
        <v>0</v>
      </c>
      <c r="BP60">
        <v>0</v>
      </c>
      <c r="BQ60">
        <v>0</v>
      </c>
      <c r="BR60">
        <v>0</v>
      </c>
    </row>
    <row r="61" x14ac:dyDescent="0.15">
      <c r="A61" t="s">
        <v>242</v>
      </c>
      <c r="B61">
        <v>0.5</v>
      </c>
      <c r="C61">
        <v>0.5</v>
      </c>
      <c r="D61">
        <v>0.5</v>
      </c>
      <c r="E61">
        <v>0.5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0.2</v>
      </c>
      <c r="Z61">
        <v>0.2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0.2</v>
      </c>
      <c r="AV61">
        <v>0.2</v>
      </c>
      <c r="AW61">
        <v>0.2</v>
      </c>
      <c r="AX61">
        <v>0.2</v>
      </c>
      <c r="AY61">
        <v>0</v>
      </c>
      <c r="AZ61">
        <v>0.8</v>
      </c>
      <c r="BA61">
        <v>0.5</v>
      </c>
      <c r="BB61">
        <v>0.5</v>
      </c>
      <c r="BC61">
        <v>0.2</v>
      </c>
      <c r="BD61">
        <v>0.2</v>
      </c>
      <c r="BE61">
        <v>0.2</v>
      </c>
      <c r="BF61">
        <v>0.2</v>
      </c>
      <c r="BG61">
        <v>0.2</v>
      </c>
      <c r="BH61">
        <v>0.7</v>
      </c>
      <c r="BI61">
        <v>0.2</v>
      </c>
      <c r="BJ61">
        <v>0.2</v>
      </c>
      <c r="BK61">
        <v>0.2</v>
      </c>
      <c r="BL61">
        <v>0.5</v>
      </c>
      <c r="BM61">
        <v>0.2</v>
      </c>
      <c r="BN61">
        <v>0.2</v>
      </c>
      <c r="BO61">
        <v>0</v>
      </c>
      <c r="BP61">
        <v>0</v>
      </c>
      <c r="BQ61">
        <v>0</v>
      </c>
      <c r="BR61">
        <v>0</v>
      </c>
    </row>
    <row r="62" x14ac:dyDescent="0.15">
      <c r="A62" t="s">
        <v>243</v>
      </c>
      <c r="B62">
        <v>0.5</v>
      </c>
      <c r="C62">
        <v>0.5</v>
      </c>
      <c r="D62">
        <v>0.5</v>
      </c>
      <c r="E62">
        <v>0.5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0.2</v>
      </c>
      <c r="Z62">
        <v>0.2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0.2</v>
      </c>
      <c r="AV62">
        <v>0.2</v>
      </c>
      <c r="AW62">
        <v>0.2</v>
      </c>
      <c r="AX62">
        <v>0.2</v>
      </c>
      <c r="AY62">
        <v>0</v>
      </c>
      <c r="AZ62">
        <v>0.8</v>
      </c>
      <c r="BA62">
        <v>0.5</v>
      </c>
      <c r="BB62">
        <v>0.5</v>
      </c>
      <c r="BC62">
        <v>0.2</v>
      </c>
      <c r="BD62">
        <v>0.2</v>
      </c>
      <c r="BE62">
        <v>0.2</v>
      </c>
      <c r="BF62">
        <v>0.2</v>
      </c>
      <c r="BG62">
        <v>0.2</v>
      </c>
      <c r="BH62">
        <v>0.7</v>
      </c>
      <c r="BI62">
        <v>0.2</v>
      </c>
      <c r="BJ62">
        <v>0.2</v>
      </c>
      <c r="BK62">
        <v>0.2</v>
      </c>
      <c r="BL62">
        <v>0.5</v>
      </c>
      <c r="BM62">
        <v>0.2</v>
      </c>
      <c r="BN62">
        <v>0.2</v>
      </c>
      <c r="BO62">
        <v>0</v>
      </c>
      <c r="BP62">
        <v>0</v>
      </c>
      <c r="BQ62">
        <v>0</v>
      </c>
      <c r="BR62">
        <v>0</v>
      </c>
    </row>
    <row r="63" x14ac:dyDescent="0.15">
      <c r="A63" t="s">
        <v>244</v>
      </c>
      <c r="B63">
        <v>0.5</v>
      </c>
      <c r="C63">
        <v>0.5</v>
      </c>
      <c r="D63">
        <v>0.5</v>
      </c>
      <c r="E63">
        <v>0.5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0.2</v>
      </c>
      <c r="Z63">
        <v>0.2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0.2</v>
      </c>
      <c r="AV63">
        <v>0.2</v>
      </c>
      <c r="AW63">
        <v>0.2</v>
      </c>
      <c r="AX63">
        <v>0.2</v>
      </c>
      <c r="AY63">
        <v>0</v>
      </c>
      <c r="AZ63">
        <v>0.8</v>
      </c>
      <c r="BA63">
        <v>0.5</v>
      </c>
      <c r="BB63">
        <v>0.5</v>
      </c>
      <c r="BC63">
        <v>0.2</v>
      </c>
      <c r="BD63">
        <v>0.2</v>
      </c>
      <c r="BE63">
        <v>0.2</v>
      </c>
      <c r="BF63">
        <v>0.2</v>
      </c>
      <c r="BG63">
        <v>0.2</v>
      </c>
      <c r="BH63">
        <v>0.7</v>
      </c>
      <c r="BI63">
        <v>0.2</v>
      </c>
      <c r="BJ63">
        <v>0.2</v>
      </c>
      <c r="BK63">
        <v>0.2</v>
      </c>
      <c r="BL63">
        <v>0.5</v>
      </c>
      <c r="BM63">
        <v>0.2</v>
      </c>
      <c r="BN63">
        <v>0.2</v>
      </c>
      <c r="BO63">
        <v>0</v>
      </c>
      <c r="BP63">
        <v>0</v>
      </c>
      <c r="BQ63">
        <v>0</v>
      </c>
      <c r="BR63">
        <v>0</v>
      </c>
    </row>
    <row r="64" x14ac:dyDescent="0.15">
      <c r="A64" t="s">
        <v>245</v>
      </c>
      <c r="B64">
        <v>0.5</v>
      </c>
      <c r="C64">
        <v>0.5</v>
      </c>
      <c r="D64">
        <v>0.5</v>
      </c>
      <c r="E64">
        <v>0.5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0.2</v>
      </c>
      <c r="Z64">
        <v>0.2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0.2</v>
      </c>
      <c r="AV64">
        <v>0.2</v>
      </c>
      <c r="AW64">
        <v>0.2</v>
      </c>
      <c r="AX64">
        <v>0.2</v>
      </c>
      <c r="AY64">
        <v>0</v>
      </c>
      <c r="AZ64">
        <v>0.8</v>
      </c>
      <c r="BA64">
        <v>0.5</v>
      </c>
      <c r="BB64">
        <v>0.5</v>
      </c>
      <c r="BC64">
        <v>0.2</v>
      </c>
      <c r="BD64">
        <v>0.2</v>
      </c>
      <c r="BE64">
        <v>0.2</v>
      </c>
      <c r="BF64">
        <v>0.2</v>
      </c>
      <c r="BG64">
        <v>0.2</v>
      </c>
      <c r="BH64">
        <v>0.7</v>
      </c>
      <c r="BI64">
        <v>0.2</v>
      </c>
      <c r="BJ64">
        <v>0.2</v>
      </c>
      <c r="BK64">
        <v>0.2</v>
      </c>
      <c r="BL64">
        <v>0.5</v>
      </c>
      <c r="BM64">
        <v>0.2</v>
      </c>
      <c r="BN64">
        <v>0.2</v>
      </c>
      <c r="BO64">
        <v>0</v>
      </c>
      <c r="BP64">
        <v>0</v>
      </c>
      <c r="BQ64">
        <v>0</v>
      </c>
      <c r="BR64">
        <v>0</v>
      </c>
    </row>
    <row r="65" x14ac:dyDescent="0.15">
      <c r="A65" t="s">
        <v>246</v>
      </c>
      <c r="B65">
        <v>0.5</v>
      </c>
      <c r="C65">
        <v>0.5</v>
      </c>
      <c r="D65">
        <v>0.5</v>
      </c>
      <c r="E65">
        <v>0.5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0.2</v>
      </c>
      <c r="Z65">
        <v>0.2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0.2</v>
      </c>
      <c r="AV65">
        <v>0.2</v>
      </c>
      <c r="AW65">
        <v>0.2</v>
      </c>
      <c r="AX65">
        <v>0.2</v>
      </c>
      <c r="AY65">
        <v>0</v>
      </c>
      <c r="AZ65">
        <v>0.8</v>
      </c>
      <c r="BA65">
        <v>0.5</v>
      </c>
      <c r="BB65">
        <v>0.5</v>
      </c>
      <c r="BC65">
        <v>0.2</v>
      </c>
      <c r="BD65">
        <v>0.2</v>
      </c>
      <c r="BE65">
        <v>0.2</v>
      </c>
      <c r="BF65">
        <v>0.2</v>
      </c>
      <c r="BG65">
        <v>0.2</v>
      </c>
      <c r="BH65">
        <v>0.7</v>
      </c>
      <c r="BI65">
        <v>0.2</v>
      </c>
      <c r="BJ65">
        <v>0.2</v>
      </c>
      <c r="BK65">
        <v>0.2</v>
      </c>
      <c r="BL65">
        <v>0.5</v>
      </c>
      <c r="BM65">
        <v>0.2</v>
      </c>
      <c r="BN65">
        <v>0.2</v>
      </c>
      <c r="BO65">
        <v>0</v>
      </c>
      <c r="BP65">
        <v>0</v>
      </c>
      <c r="BQ65">
        <v>0</v>
      </c>
      <c r="BR65">
        <v>0</v>
      </c>
    </row>
    <row r="66" x14ac:dyDescent="0.15">
      <c r="A66" t="s">
        <v>247</v>
      </c>
      <c r="B66">
        <v>0.5</v>
      </c>
      <c r="C66">
        <v>0.5</v>
      </c>
      <c r="D66">
        <v>0.5</v>
      </c>
      <c r="E66">
        <v>0.5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0.2</v>
      </c>
      <c r="Z66">
        <v>0.2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0.2</v>
      </c>
      <c r="AV66">
        <v>0.2</v>
      </c>
      <c r="AW66">
        <v>0.2</v>
      </c>
      <c r="AX66">
        <v>0.2</v>
      </c>
      <c r="AY66">
        <v>0</v>
      </c>
      <c r="AZ66">
        <v>0.8</v>
      </c>
      <c r="BA66">
        <v>0.5</v>
      </c>
      <c r="BB66">
        <v>0.5</v>
      </c>
      <c r="BC66">
        <v>0.2</v>
      </c>
      <c r="BD66">
        <v>0.2</v>
      </c>
      <c r="BE66">
        <v>0.2</v>
      </c>
      <c r="BF66">
        <v>0.2</v>
      </c>
      <c r="BG66">
        <v>0.2</v>
      </c>
      <c r="BH66">
        <v>0.7</v>
      </c>
      <c r="BI66">
        <v>0.2</v>
      </c>
      <c r="BJ66">
        <v>0.2</v>
      </c>
      <c r="BK66">
        <v>0.2</v>
      </c>
      <c r="BL66">
        <v>0.5</v>
      </c>
      <c r="BM66">
        <v>0.2</v>
      </c>
      <c r="BN66">
        <v>0.2</v>
      </c>
      <c r="BO66">
        <v>0</v>
      </c>
      <c r="BP66">
        <v>0</v>
      </c>
      <c r="BQ66">
        <v>0</v>
      </c>
      <c r="BR66">
        <v>0</v>
      </c>
    </row>
    <row r="67" x14ac:dyDescent="0.15">
      <c r="A67" t="s">
        <v>248</v>
      </c>
      <c r="B67">
        <v>0.5</v>
      </c>
      <c r="C67">
        <v>0.5</v>
      </c>
      <c r="D67">
        <v>0.5</v>
      </c>
      <c r="E67">
        <v>0.5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0.2</v>
      </c>
      <c r="Z67">
        <v>0.2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0.2</v>
      </c>
      <c r="AV67">
        <v>0.2</v>
      </c>
      <c r="AW67">
        <v>0.2</v>
      </c>
      <c r="AX67">
        <v>0.2</v>
      </c>
      <c r="AY67">
        <v>0</v>
      </c>
      <c r="AZ67">
        <v>0.8</v>
      </c>
      <c r="BA67">
        <v>0.5</v>
      </c>
      <c r="BB67">
        <v>0.5</v>
      </c>
      <c r="BC67">
        <v>0.2</v>
      </c>
      <c r="BD67">
        <v>0.2</v>
      </c>
      <c r="BE67">
        <v>0.2</v>
      </c>
      <c r="BF67">
        <v>0.2</v>
      </c>
      <c r="BG67">
        <v>0.2</v>
      </c>
      <c r="BH67">
        <v>0.7</v>
      </c>
      <c r="BI67">
        <v>0.2</v>
      </c>
      <c r="BJ67">
        <v>0.2</v>
      </c>
      <c r="BK67">
        <v>0.2</v>
      </c>
      <c r="BL67">
        <v>0.5</v>
      </c>
      <c r="BM67">
        <v>0.2</v>
      </c>
      <c r="BN67">
        <v>0.2</v>
      </c>
      <c r="BO67">
        <v>0</v>
      </c>
      <c r="BP67">
        <v>0</v>
      </c>
      <c r="BQ67">
        <v>0</v>
      </c>
      <c r="BR67">
        <v>0</v>
      </c>
    </row>
    <row r="68" x14ac:dyDescent="0.15">
      <c r="A68" t="s">
        <v>249</v>
      </c>
      <c r="B68">
        <v>0.5</v>
      </c>
      <c r="C68">
        <v>0.5</v>
      </c>
      <c r="D68">
        <v>0.5</v>
      </c>
      <c r="E68">
        <v>0.5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0.2</v>
      </c>
      <c r="Z68">
        <v>0.2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0.2</v>
      </c>
      <c r="AV68">
        <v>0.2</v>
      </c>
      <c r="AW68">
        <v>0.2</v>
      </c>
      <c r="AX68">
        <v>0.2</v>
      </c>
      <c r="AY68">
        <v>0</v>
      </c>
      <c r="AZ68">
        <v>0.8</v>
      </c>
      <c r="BA68">
        <v>0.5</v>
      </c>
      <c r="BB68">
        <v>0.5</v>
      </c>
      <c r="BC68">
        <v>0.2</v>
      </c>
      <c r="BD68">
        <v>0.2</v>
      </c>
      <c r="BE68">
        <v>0.2</v>
      </c>
      <c r="BF68">
        <v>0.2</v>
      </c>
      <c r="BG68">
        <v>0.2</v>
      </c>
      <c r="BH68">
        <v>0.7</v>
      </c>
      <c r="BI68">
        <v>0.2</v>
      </c>
      <c r="BJ68">
        <v>0.2</v>
      </c>
      <c r="BK68">
        <v>0.2</v>
      </c>
      <c r="BL68">
        <v>0.5</v>
      </c>
      <c r="BM68">
        <v>0.2</v>
      </c>
      <c r="BN68">
        <v>0.2</v>
      </c>
      <c r="BO68">
        <v>0</v>
      </c>
      <c r="BP68">
        <v>0</v>
      </c>
      <c r="BQ68">
        <v>0</v>
      </c>
      <c r="BR68">
        <v>0</v>
      </c>
    </row>
    <row r="69" x14ac:dyDescent="0.15">
      <c r="A69" t="s">
        <v>250</v>
      </c>
      <c r="B69">
        <v>0.5</v>
      </c>
      <c r="C69">
        <v>0.5</v>
      </c>
      <c r="D69">
        <v>0.5</v>
      </c>
      <c r="E69">
        <v>0.5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0.2</v>
      </c>
      <c r="Z69">
        <v>0.2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0.2</v>
      </c>
      <c r="AV69">
        <v>0.2</v>
      </c>
      <c r="AW69">
        <v>0.2</v>
      </c>
      <c r="AX69">
        <v>0.2</v>
      </c>
      <c r="AY69">
        <v>0</v>
      </c>
      <c r="AZ69">
        <v>0.8</v>
      </c>
      <c r="BA69">
        <v>0.5</v>
      </c>
      <c r="BB69">
        <v>0.5</v>
      </c>
      <c r="BC69">
        <v>0.2</v>
      </c>
      <c r="BD69">
        <v>0.2</v>
      </c>
      <c r="BE69">
        <v>0.2</v>
      </c>
      <c r="BF69">
        <v>0.2</v>
      </c>
      <c r="BG69">
        <v>0.2</v>
      </c>
      <c r="BH69">
        <v>0.7</v>
      </c>
      <c r="BI69">
        <v>0.2</v>
      </c>
      <c r="BJ69">
        <v>0.2</v>
      </c>
      <c r="BK69">
        <v>0.2</v>
      </c>
      <c r="BL69">
        <v>0.5</v>
      </c>
      <c r="BM69">
        <v>0.2</v>
      </c>
      <c r="BN69">
        <v>0.2</v>
      </c>
      <c r="BO69">
        <v>0</v>
      </c>
      <c r="BP69">
        <v>0</v>
      </c>
      <c r="BQ69">
        <v>0</v>
      </c>
      <c r="BR69">
        <v>0</v>
      </c>
    </row>
    <row r="70" x14ac:dyDescent="0.15">
      <c r="A70" t="s">
        <v>175</v>
      </c>
      <c r="B70">
        <v>0.5</v>
      </c>
      <c r="C70">
        <v>0.5</v>
      </c>
      <c r="D70">
        <v>0.5</v>
      </c>
      <c r="E70">
        <v>0.5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0.2</v>
      </c>
      <c r="Z70">
        <v>0.2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0.2</v>
      </c>
      <c r="AV70">
        <v>0.2</v>
      </c>
      <c r="AW70">
        <v>0.2</v>
      </c>
      <c r="AX70">
        <v>0.2</v>
      </c>
      <c r="AY70">
        <v>0</v>
      </c>
      <c r="AZ70">
        <v>0.8</v>
      </c>
      <c r="BA70">
        <v>0.5</v>
      </c>
      <c r="BB70">
        <v>0.5</v>
      </c>
      <c r="BC70">
        <v>0.2</v>
      </c>
      <c r="BD70">
        <v>0.2</v>
      </c>
      <c r="BE70">
        <v>0.2</v>
      </c>
      <c r="BF70">
        <v>0.2</v>
      </c>
      <c r="BG70">
        <v>0.2</v>
      </c>
      <c r="BH70">
        <v>0.7</v>
      </c>
      <c r="BI70">
        <v>0.2</v>
      </c>
      <c r="BJ70">
        <v>0.2</v>
      </c>
      <c r="BK70">
        <v>0.2</v>
      </c>
      <c r="BL70">
        <v>0.5</v>
      </c>
      <c r="BM70">
        <v>0.2</v>
      </c>
      <c r="BN70">
        <v>0.2</v>
      </c>
      <c r="BO70">
        <v>0</v>
      </c>
      <c r="BP70">
        <v>0</v>
      </c>
      <c r="BQ70">
        <v>0</v>
      </c>
      <c r="BR70">
        <v>0</v>
      </c>
    </row>
    <row r="71" x14ac:dyDescent="0.15">
      <c r="A71" t="s">
        <v>176</v>
      </c>
      <c r="B71">
        <v>0.5</v>
      </c>
      <c r="C71">
        <v>0.5</v>
      </c>
      <c r="D71">
        <v>0.5</v>
      </c>
      <c r="E71">
        <v>0.5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0.2</v>
      </c>
      <c r="Z71">
        <v>0.2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0.2</v>
      </c>
      <c r="AV71">
        <v>0.2</v>
      </c>
      <c r="AW71">
        <v>0.2</v>
      </c>
      <c r="AX71">
        <v>0.2</v>
      </c>
      <c r="AY71">
        <v>0</v>
      </c>
      <c r="AZ71">
        <v>0.8</v>
      </c>
      <c r="BA71">
        <v>0.5</v>
      </c>
      <c r="BB71">
        <v>0.5</v>
      </c>
      <c r="BC71">
        <v>0.2</v>
      </c>
      <c r="BD71">
        <v>0.2</v>
      </c>
      <c r="BE71">
        <v>0.2</v>
      </c>
      <c r="BF71">
        <v>0.2</v>
      </c>
      <c r="BG71">
        <v>0.2</v>
      </c>
      <c r="BH71">
        <v>0.7</v>
      </c>
      <c r="BI71">
        <v>0.2</v>
      </c>
      <c r="BJ71">
        <v>0.2</v>
      </c>
      <c r="BK71">
        <v>0.2</v>
      </c>
      <c r="BL71">
        <v>0.5</v>
      </c>
      <c r="BM71">
        <v>0.2</v>
      </c>
      <c r="BN71">
        <v>0.2</v>
      </c>
      <c r="BO71">
        <v>0</v>
      </c>
      <c r="BP71">
        <v>0</v>
      </c>
      <c r="BQ71">
        <v>0</v>
      </c>
      <c r="BR7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R131"/>
  <sheetViews>
    <sheetView workbookViewId="0">
      <selection activeCell="A7" sqref="A7"/>
    </sheetView>
  </sheetViews>
  <sheetFormatPr baseColWidth="10" defaultRowHeight="14" customHeight="true" x14ac:dyDescent="0.15"/>
  <cols>
    <col min="1" max="1" width="39.83203125" bestFit="true" customWidth="true"/>
  </cols>
  <sheetData>
    <row r="1" ht="13" x14ac:dyDescent="0.15">
      <c r="A1" s="2" t="s">
        <v>300</v>
      </c>
      <c r="B1" t="s">
        <v>181</v>
      </c>
      <c r="C1" t="s">
        <v>182</v>
      </c>
      <c r="D1" t="s">
        <v>183</v>
      </c>
      <c r="E1" t="s">
        <v>184</v>
      </c>
      <c r="F1" t="s">
        <v>185</v>
      </c>
      <c r="G1" t="s">
        <v>186</v>
      </c>
      <c r="H1" t="s">
        <v>187</v>
      </c>
      <c r="I1" t="s">
        <v>188</v>
      </c>
      <c r="J1" t="s">
        <v>189</v>
      </c>
      <c r="K1" t="s">
        <v>190</v>
      </c>
      <c r="L1" t="s">
        <v>191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 t="s">
        <v>225</v>
      </c>
      <c r="AU1" t="s">
        <v>226</v>
      </c>
      <c r="AV1" t="s">
        <v>227</v>
      </c>
      <c r="AW1" t="s">
        <v>228</v>
      </c>
      <c r="AX1" t="s">
        <v>229</v>
      </c>
      <c r="AY1" t="s">
        <v>230</v>
      </c>
      <c r="AZ1" t="s">
        <v>299</v>
      </c>
      <c r="BA1" t="s">
        <v>233</v>
      </c>
      <c r="BB1" t="s">
        <v>234</v>
      </c>
      <c r="BC1" t="s">
        <v>235</v>
      </c>
      <c r="BD1" t="s">
        <v>237</v>
      </c>
      <c r="BE1" t="s">
        <v>238</v>
      </c>
      <c r="BF1" t="s">
        <v>239</v>
      </c>
      <c r="BG1" t="s">
        <v>240</v>
      </c>
      <c r="BH1" t="s">
        <v>241</v>
      </c>
      <c r="BI1" t="s">
        <v>242</v>
      </c>
      <c r="BJ1" t="s">
        <v>243</v>
      </c>
      <c r="BK1" t="s">
        <v>244</v>
      </c>
      <c r="BL1" t="s">
        <v>245</v>
      </c>
      <c r="BM1" t="s">
        <v>246</v>
      </c>
      <c r="BN1" t="s">
        <v>247</v>
      </c>
      <c r="BO1" t="s">
        <v>248</v>
      </c>
      <c r="BP1" t="s">
        <v>249</v>
      </c>
      <c r="BQ1" t="s">
        <v>250</v>
      </c>
      <c r="BR1" t="s">
        <v>175</v>
      </c>
    </row>
    <row r="2" ht="13" x14ac:dyDescent="0.15">
      <c r="A2" t="s">
        <v>181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</row>
    <row r="3" ht="13" x14ac:dyDescent="0.15">
      <c r="A3" t="s">
        <v>182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</row>
    <row r="4" ht="13" x14ac:dyDescent="0.15">
      <c r="A4" t="s">
        <v>183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</row>
    <row r="5" ht="13" x14ac:dyDescent="0.15">
      <c r="A5" t="s">
        <v>184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</row>
    <row r="6" ht="13" x14ac:dyDescent="0.15">
      <c r="A6" t="s">
        <v>185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</row>
    <row r="7" ht="13" x14ac:dyDescent="0.15">
      <c r="A7" t="s">
        <v>186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</row>
    <row r="8" ht="13" x14ac:dyDescent="0.15">
      <c r="A8" t="s">
        <v>187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</row>
    <row r="9" ht="13" x14ac:dyDescent="0.15">
      <c r="A9" t="s">
        <v>188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</row>
    <row r="10" ht="13" x14ac:dyDescent="0.15">
      <c r="A10" t="s">
        <v>189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</row>
    <row r="11" ht="13" x14ac:dyDescent="0.15">
      <c r="A11" t="s">
        <v>190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</row>
    <row r="12" ht="13" x14ac:dyDescent="0.15">
      <c r="A12" t="s">
        <v>191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</row>
    <row r="13" ht="13" x14ac:dyDescent="0.15">
      <c r="A13" t="s">
        <v>192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</row>
    <row r="14" ht="13" x14ac:dyDescent="0.15">
      <c r="A14" t="s">
        <v>193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</row>
    <row r="15" ht="13" x14ac:dyDescent="0.15">
      <c r="A15" t="s">
        <v>194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</row>
    <row r="16" ht="13" x14ac:dyDescent="0.15">
      <c r="A16" t="s">
        <v>195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</row>
    <row r="17" ht="13" x14ac:dyDescent="0.15">
      <c r="A17" t="s">
        <v>196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</row>
    <row r="18" ht="13" x14ac:dyDescent="0.15">
      <c r="A18" t="s">
        <v>197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</row>
    <row r="19" ht="13" x14ac:dyDescent="0.15">
      <c r="A19" t="s">
        <v>198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</row>
    <row r="20" ht="13" x14ac:dyDescent="0.15">
      <c r="A20" t="s">
        <v>199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</row>
    <row r="21" ht="13" x14ac:dyDescent="0.15">
      <c r="A21" t="s">
        <v>200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</row>
    <row r="22" ht="13" x14ac:dyDescent="0.15">
      <c r="A22" t="s">
        <v>201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</row>
    <row r="23" ht="13" x14ac:dyDescent="0.15">
      <c r="A23" t="s">
        <v>202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</row>
    <row r="24" ht="13" x14ac:dyDescent="0.15">
      <c r="A24" t="s">
        <v>203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</row>
    <row r="25" ht="13" x14ac:dyDescent="0.15">
      <c r="A25" t="s">
        <v>204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</row>
    <row r="26" ht="13" x14ac:dyDescent="0.15">
      <c r="A26" t="s">
        <v>205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</row>
    <row r="27" ht="13" x14ac:dyDescent="0.15">
      <c r="A27" t="s">
        <v>206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</row>
    <row r="28" ht="13" x14ac:dyDescent="0.15">
      <c r="A28" t="s">
        <v>207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</row>
    <row r="29" ht="13" x14ac:dyDescent="0.15">
      <c r="A29" t="s">
        <v>208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</row>
    <row r="30" ht="13" x14ac:dyDescent="0.15">
      <c r="A30" t="s">
        <v>209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</row>
    <row r="31" ht="13" x14ac:dyDescent="0.15">
      <c r="A31" t="s">
        <v>210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</row>
    <row r="32" ht="13" x14ac:dyDescent="0.15">
      <c r="A32" t="s">
        <v>211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</row>
    <row r="33" ht="13" x14ac:dyDescent="0.15">
      <c r="A33" t="s">
        <v>212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</row>
    <row r="34" ht="13" x14ac:dyDescent="0.15">
      <c r="A34" t="s">
        <v>213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</row>
    <row r="35" ht="13" x14ac:dyDescent="0.15">
      <c r="A35" t="s">
        <v>214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</row>
    <row r="36" ht="13" x14ac:dyDescent="0.15">
      <c r="A36" t="s">
        <v>215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</row>
    <row r="37" ht="13" x14ac:dyDescent="0.15">
      <c r="A37" t="s">
        <v>216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</row>
    <row r="38" ht="13" x14ac:dyDescent="0.15">
      <c r="A38" t="s">
        <v>217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</row>
    <row r="39" ht="13" x14ac:dyDescent="0.15">
      <c r="A39" t="s">
        <v>218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</row>
    <row r="40" ht="13" x14ac:dyDescent="0.15">
      <c r="A40" t="s">
        <v>219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</row>
    <row r="41" ht="13" x14ac:dyDescent="0.15">
      <c r="A41" t="s">
        <v>220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</row>
    <row r="42" ht="13" x14ac:dyDescent="0.15">
      <c r="A42" t="s">
        <v>221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</row>
    <row r="43" ht="13" x14ac:dyDescent="0.15">
      <c r="A43" t="s">
        <v>222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</row>
    <row r="44" ht="13" x14ac:dyDescent="0.15">
      <c r="A44" t="s">
        <v>223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</row>
    <row r="45" ht="13" x14ac:dyDescent="0.15">
      <c r="A45" t="s">
        <v>224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</row>
    <row r="46" ht="13" x14ac:dyDescent="0.15">
      <c r="A46" t="s">
        <v>225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</row>
    <row r="47" ht="13" x14ac:dyDescent="0.15">
      <c r="A47" t="s">
        <v>226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</row>
    <row r="48" ht="13" x14ac:dyDescent="0.15">
      <c r="A48" t="s">
        <v>227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</row>
    <row r="49" ht="13" x14ac:dyDescent="0.15">
      <c r="A49" t="s">
        <v>228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</row>
    <row r="50" ht="13" x14ac:dyDescent="0.15">
      <c r="A50" t="s">
        <v>229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</row>
    <row r="51" ht="13" x14ac:dyDescent="0.15">
      <c r="A51" t="s">
        <v>230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</row>
    <row r="52" ht="13" x14ac:dyDescent="0.15">
      <c r="A52" s="3" t="s">
        <v>299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</row>
    <row r="53" ht="13" x14ac:dyDescent="0.15">
      <c r="A53" t="s">
        <v>233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</row>
    <row r="54" ht="13" x14ac:dyDescent="0.15">
      <c r="A54" t="s">
        <v>234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</row>
    <row r="55" ht="13" x14ac:dyDescent="0.15">
      <c r="A55" t="s">
        <v>235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</row>
    <row r="56" ht="13" x14ac:dyDescent="0.15">
      <c r="A56" t="s">
        <v>237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</row>
    <row r="57" ht="13" x14ac:dyDescent="0.15">
      <c r="A57" t="s">
        <v>238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</row>
    <row r="58" ht="13" x14ac:dyDescent="0.15">
      <c r="A58" t="s">
        <v>239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</row>
    <row r="59" ht="13" x14ac:dyDescent="0.15">
      <c r="A59" t="s">
        <v>240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</row>
    <row r="60" ht="13" x14ac:dyDescent="0.15">
      <c r="A60" t="s">
        <v>241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</row>
    <row r="61" ht="13" x14ac:dyDescent="0.15">
      <c r="A61" t="s">
        <v>242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</row>
    <row r="62" ht="13" x14ac:dyDescent="0.15">
      <c r="A62" t="s">
        <v>243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</row>
    <row r="63" ht="13" x14ac:dyDescent="0.15">
      <c r="A63" t="s">
        <v>244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</row>
    <row r="64" ht="13" x14ac:dyDescent="0.15">
      <c r="A64" t="s">
        <v>245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</row>
    <row r="65" ht="13" x14ac:dyDescent="0.15">
      <c r="A65" t="s">
        <v>246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</row>
    <row r="66" ht="13" x14ac:dyDescent="0.15">
      <c r="A66" t="s">
        <v>247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</row>
    <row r="67" ht="13" x14ac:dyDescent="0.15">
      <c r="A67" t="s">
        <v>248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</row>
    <row r="68" ht="13" x14ac:dyDescent="0.15">
      <c r="A68" t="s">
        <v>249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</row>
    <row r="69" ht="13" x14ac:dyDescent="0.15">
      <c r="A69" t="s">
        <v>250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</row>
    <row r="70" ht="13" x14ac:dyDescent="0.15">
      <c r="A70" t="s">
        <v>175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</row>
    <row r="71" ht="13" x14ac:dyDescent="0.15">
      <c r="A71" t="s">
        <v>176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</row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  <row r="131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N130"/>
  <sheetViews>
    <sheetView workbookViewId="0">
      <selection activeCell="A3" sqref="A3"/>
    </sheetView>
  </sheetViews>
  <sheetFormatPr baseColWidth="10" defaultRowHeight="14" customHeight="true" x14ac:dyDescent="0.15"/>
  <cols>
    <col min="1" max="1" width="12.6640625" customWidth="true"/>
    <col min="2" max="2" width="39.83203125" bestFit="true" customWidth="true"/>
  </cols>
  <sheetData>
    <row r="1" ht="28" x14ac:dyDescent="0.15">
      <c r="A1" s="138" t="s">
        <v>84</v>
      </c>
      <c r="B1" s="141" t="s">
        <v>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I1" t="s">
        <v>257</v>
      </c>
      <c r="J1" t="s">
        <v>258</v>
      </c>
      <c r="K1" t="s">
        <v>259</v>
      </c>
      <c r="L1" t="s">
        <v>260</v>
      </c>
      <c r="M1" t="s">
        <v>261</v>
      </c>
      <c r="N1" t="s">
        <v>262</v>
      </c>
    </row>
    <row r="2" ht="13" x14ac:dyDescent="0.15">
      <c r="A2" s="3">
        <v>1</v>
      </c>
      <c r="B2" s="220" t="s">
        <v>181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ht="13" x14ac:dyDescent="0.15">
      <c r="A3" s="3">
        <v>2</v>
      </c>
      <c r="B3" s="220" t="s">
        <v>182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ht="13" x14ac:dyDescent="0.15">
      <c r="A4" s="3">
        <v>3</v>
      </c>
      <c r="B4" s="220" t="s">
        <v>183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ht="13" x14ac:dyDescent="0.15">
      <c r="A5" s="3">
        <v>4</v>
      </c>
      <c r="B5" s="220" t="s">
        <v>184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ht="13" x14ac:dyDescent="0.15">
      <c r="A6" s="3">
        <v>5</v>
      </c>
      <c r="B6" s="220" t="s">
        <v>185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ht="13" x14ac:dyDescent="0.15">
      <c r="A7" s="3">
        <v>6</v>
      </c>
      <c r="B7" s="220" t="s">
        <v>186</v>
      </c>
      <c r="C7">
        <v>0.5</v>
      </c>
      <c r="D7">
        <v>0.5</v>
      </c>
      <c r="E7">
        <v>0.5</v>
      </c>
      <c r="F7">
        <v>0.5</v>
      </c>
      <c r="G7">
        <v>0.5</v>
      </c>
      <c r="H7">
        <v>0.5</v>
      </c>
      <c r="I7">
        <v>0.5</v>
      </c>
      <c r="J7">
        <v>0.5</v>
      </c>
      <c r="K7">
        <v>0.5</v>
      </c>
      <c r="L7">
        <v>0.5</v>
      </c>
      <c r="M7">
        <v>0.5</v>
      </c>
      <c r="N7">
        <v>0.5</v>
      </c>
    </row>
    <row r="8" ht="13" x14ac:dyDescent="0.15">
      <c r="A8" s="3">
        <v>7</v>
      </c>
      <c r="B8" s="220" t="s">
        <v>187</v>
      </c>
      <c r="C8">
        <v>0.5</v>
      </c>
      <c r="D8">
        <v>0.5</v>
      </c>
      <c r="E8">
        <v>0.5</v>
      </c>
      <c r="F8">
        <v>0.5</v>
      </c>
      <c r="G8">
        <v>0.5</v>
      </c>
      <c r="H8">
        <v>0.5</v>
      </c>
      <c r="I8">
        <v>0.5</v>
      </c>
      <c r="J8">
        <v>0.5</v>
      </c>
      <c r="K8">
        <v>0.5</v>
      </c>
      <c r="L8">
        <v>0.5</v>
      </c>
      <c r="M8">
        <v>0.5</v>
      </c>
      <c r="N8">
        <v>0.5</v>
      </c>
    </row>
    <row r="9" ht="13" x14ac:dyDescent="0.15">
      <c r="A9" s="3">
        <v>8</v>
      </c>
      <c r="B9" s="220" t="s">
        <v>188</v>
      </c>
      <c r="C9">
        <v>0.5</v>
      </c>
      <c r="D9">
        <v>0.5</v>
      </c>
      <c r="E9">
        <v>0.5</v>
      </c>
      <c r="F9">
        <v>0.5</v>
      </c>
      <c r="G9">
        <v>0.5</v>
      </c>
      <c r="H9">
        <v>0.5</v>
      </c>
      <c r="I9">
        <v>0.5</v>
      </c>
      <c r="J9">
        <v>0.5</v>
      </c>
      <c r="K9">
        <v>0.5</v>
      </c>
      <c r="L9">
        <v>0.5</v>
      </c>
      <c r="M9">
        <v>0.5</v>
      </c>
      <c r="N9">
        <v>0.5</v>
      </c>
    </row>
    <row r="10" ht="13" x14ac:dyDescent="0.15">
      <c r="A10" s="3">
        <v>9</v>
      </c>
      <c r="B10" s="220" t="s">
        <v>189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ht="13" x14ac:dyDescent="0.15">
      <c r="A11" s="3">
        <v>10</v>
      </c>
      <c r="B11" s="220" t="s">
        <v>190</v>
      </c>
      <c r="C11">
        <v>0.5</v>
      </c>
      <c r="D11">
        <v>0.5</v>
      </c>
      <c r="E11">
        <v>0.5</v>
      </c>
      <c r="F11">
        <v>0.5</v>
      </c>
      <c r="G11">
        <v>0.5</v>
      </c>
      <c r="H11">
        <v>0.5</v>
      </c>
      <c r="I11">
        <v>0.5</v>
      </c>
      <c r="J11">
        <v>0.5</v>
      </c>
      <c r="K11">
        <v>0.5</v>
      </c>
      <c r="L11">
        <v>0.5</v>
      </c>
      <c r="M11">
        <v>0.5</v>
      </c>
      <c r="N11">
        <v>0.5</v>
      </c>
    </row>
    <row r="12" ht="13" x14ac:dyDescent="0.15">
      <c r="A12" s="3">
        <v>11</v>
      </c>
      <c r="B12" s="220" t="s">
        <v>191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ht="13" x14ac:dyDescent="0.15">
      <c r="A13" s="3">
        <v>12</v>
      </c>
      <c r="B13" s="220" t="s">
        <v>192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ht="13" x14ac:dyDescent="0.15">
      <c r="A14" s="3">
        <v>13</v>
      </c>
      <c r="B14" s="220" t="s">
        <v>193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ht="13" x14ac:dyDescent="0.15">
      <c r="A15" s="3">
        <v>14</v>
      </c>
      <c r="B15" s="220" t="s">
        <v>194</v>
      </c>
      <c r="C15">
        <v>0.5</v>
      </c>
      <c r="D15">
        <v>0.5</v>
      </c>
      <c r="E15">
        <v>0.5</v>
      </c>
      <c r="F15">
        <v>0.5</v>
      </c>
      <c r="G15">
        <v>0.5</v>
      </c>
      <c r="H15">
        <v>0.5</v>
      </c>
      <c r="I15">
        <v>0.5</v>
      </c>
      <c r="J15">
        <v>0.5</v>
      </c>
      <c r="K15">
        <v>0.5</v>
      </c>
      <c r="L15">
        <v>0.5</v>
      </c>
      <c r="M15">
        <v>0.5</v>
      </c>
      <c r="N15">
        <v>0.5</v>
      </c>
    </row>
    <row r="16" ht="13" x14ac:dyDescent="0.15">
      <c r="A16" s="3">
        <v>15</v>
      </c>
      <c r="B16" s="220" t="s">
        <v>195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ht="13" x14ac:dyDescent="0.15">
      <c r="A17" s="3">
        <v>16</v>
      </c>
      <c r="B17" s="220" t="s">
        <v>196</v>
      </c>
      <c r="C17">
        <v>0.5</v>
      </c>
      <c r="D17">
        <v>0.5</v>
      </c>
      <c r="E17">
        <v>0.5</v>
      </c>
      <c r="F17">
        <v>0.5</v>
      </c>
      <c r="G17">
        <v>0.5</v>
      </c>
      <c r="H17">
        <v>0.5</v>
      </c>
      <c r="I17">
        <v>0.5</v>
      </c>
      <c r="J17">
        <v>0.5</v>
      </c>
      <c r="K17">
        <v>0.5</v>
      </c>
      <c r="L17">
        <v>0.5</v>
      </c>
      <c r="M17">
        <v>0.5</v>
      </c>
      <c r="N17">
        <v>0.5</v>
      </c>
    </row>
    <row r="18" ht="13" x14ac:dyDescent="0.15">
      <c r="A18" s="3">
        <v>17</v>
      </c>
      <c r="B18" s="220" t="s">
        <v>197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ht="13" x14ac:dyDescent="0.15">
      <c r="A19" s="3">
        <v>18</v>
      </c>
      <c r="B19" s="220" t="s">
        <v>198</v>
      </c>
      <c r="C19">
        <v>0.5</v>
      </c>
      <c r="D19">
        <v>0.5</v>
      </c>
      <c r="E19">
        <v>0.5</v>
      </c>
      <c r="F19">
        <v>0.5</v>
      </c>
      <c r="G19">
        <v>0.5</v>
      </c>
      <c r="H19">
        <v>0.5</v>
      </c>
      <c r="I19">
        <v>0.5</v>
      </c>
      <c r="J19">
        <v>0.5</v>
      </c>
      <c r="K19">
        <v>0.5</v>
      </c>
      <c r="L19">
        <v>0.5</v>
      </c>
      <c r="M19">
        <v>0.5</v>
      </c>
      <c r="N19">
        <v>0.5</v>
      </c>
    </row>
    <row r="20" ht="13" x14ac:dyDescent="0.15">
      <c r="A20" s="3">
        <v>19</v>
      </c>
      <c r="B20" s="220" t="s">
        <v>199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ht="13" x14ac:dyDescent="0.15">
      <c r="A21" s="3">
        <v>20</v>
      </c>
      <c r="B21" s="220" t="s">
        <v>200</v>
      </c>
      <c r="C21">
        <v>0.5</v>
      </c>
      <c r="D21">
        <v>0.5</v>
      </c>
      <c r="E21">
        <v>0.5</v>
      </c>
      <c r="F21">
        <v>0.5</v>
      </c>
      <c r="G21">
        <v>0.5</v>
      </c>
      <c r="H21">
        <v>0.5</v>
      </c>
      <c r="I21">
        <v>0.5</v>
      </c>
      <c r="J21">
        <v>0.5</v>
      </c>
      <c r="K21">
        <v>0.5</v>
      </c>
      <c r="L21">
        <v>0.5</v>
      </c>
      <c r="M21">
        <v>0.5</v>
      </c>
      <c r="N21">
        <v>0.5</v>
      </c>
    </row>
    <row r="22" ht="13" x14ac:dyDescent="0.15">
      <c r="A22" s="3">
        <v>21</v>
      </c>
      <c r="B22" s="220" t="s">
        <v>201</v>
      </c>
      <c r="C22">
        <v>0.5</v>
      </c>
      <c r="D22">
        <v>0.5</v>
      </c>
      <c r="E22">
        <v>0.5</v>
      </c>
      <c r="F22">
        <v>0.5</v>
      </c>
      <c r="G22">
        <v>0.5</v>
      </c>
      <c r="H22">
        <v>0.5</v>
      </c>
      <c r="I22">
        <v>0.5</v>
      </c>
      <c r="J22">
        <v>0.5</v>
      </c>
      <c r="K22">
        <v>0.5</v>
      </c>
      <c r="L22">
        <v>0.5</v>
      </c>
      <c r="M22">
        <v>0.5</v>
      </c>
      <c r="N22">
        <v>0.5</v>
      </c>
    </row>
    <row r="23" ht="13" x14ac:dyDescent="0.15">
      <c r="A23" s="3">
        <v>22</v>
      </c>
      <c r="B23" s="220" t="s">
        <v>202</v>
      </c>
      <c r="C23">
        <v>0.5</v>
      </c>
      <c r="D23">
        <v>0.5</v>
      </c>
      <c r="E23">
        <v>0.5</v>
      </c>
      <c r="F23">
        <v>0.5</v>
      </c>
      <c r="G23">
        <v>0.5</v>
      </c>
      <c r="H23">
        <v>0.5</v>
      </c>
      <c r="I23">
        <v>0.5</v>
      </c>
      <c r="J23">
        <v>0.5</v>
      </c>
      <c r="K23">
        <v>0.5</v>
      </c>
      <c r="L23">
        <v>0.5</v>
      </c>
      <c r="M23">
        <v>0.5</v>
      </c>
      <c r="N23">
        <v>0.5</v>
      </c>
    </row>
    <row r="24" ht="13" x14ac:dyDescent="0.15">
      <c r="A24" s="3">
        <v>23</v>
      </c>
      <c r="B24" s="220" t="s">
        <v>203</v>
      </c>
      <c r="C24">
        <v>0.5</v>
      </c>
      <c r="D24">
        <v>0.5</v>
      </c>
      <c r="E24">
        <v>0.5</v>
      </c>
      <c r="F24">
        <v>0.5</v>
      </c>
      <c r="G24">
        <v>0.5</v>
      </c>
      <c r="H24">
        <v>0.5</v>
      </c>
      <c r="I24">
        <v>0.5</v>
      </c>
      <c r="J24">
        <v>0.5</v>
      </c>
      <c r="K24">
        <v>0.5</v>
      </c>
      <c r="L24">
        <v>0.5</v>
      </c>
      <c r="M24">
        <v>0.5</v>
      </c>
      <c r="N24">
        <v>0.5</v>
      </c>
    </row>
    <row r="25" ht="13" x14ac:dyDescent="0.15">
      <c r="A25" s="3">
        <v>24</v>
      </c>
      <c r="B25" s="220" t="s">
        <v>204</v>
      </c>
      <c r="C25">
        <v>0.5</v>
      </c>
      <c r="D25">
        <v>0.5</v>
      </c>
      <c r="E25">
        <v>0.5</v>
      </c>
      <c r="F25">
        <v>0.5</v>
      </c>
      <c r="G25">
        <v>0.5</v>
      </c>
      <c r="H25">
        <v>0.5</v>
      </c>
      <c r="I25">
        <v>0.5</v>
      </c>
      <c r="J25">
        <v>0.5</v>
      </c>
      <c r="K25">
        <v>0.5</v>
      </c>
      <c r="L25">
        <v>0.5</v>
      </c>
      <c r="M25">
        <v>0.5</v>
      </c>
      <c r="N25">
        <v>0.5</v>
      </c>
    </row>
    <row r="26" ht="13" x14ac:dyDescent="0.15">
      <c r="A26" s="3">
        <v>25</v>
      </c>
      <c r="B26" s="220" t="s">
        <v>205</v>
      </c>
      <c r="C26">
        <v>0.5</v>
      </c>
      <c r="D26">
        <v>0.5</v>
      </c>
      <c r="E26">
        <v>0.5</v>
      </c>
      <c r="F26">
        <v>0.5</v>
      </c>
      <c r="G26">
        <v>0.5</v>
      </c>
      <c r="H26">
        <v>0.5</v>
      </c>
      <c r="I26">
        <v>0.5</v>
      </c>
      <c r="J26">
        <v>0.5</v>
      </c>
      <c r="K26">
        <v>0.5</v>
      </c>
      <c r="L26">
        <v>0.5</v>
      </c>
      <c r="M26">
        <v>0.5</v>
      </c>
      <c r="N26">
        <v>0.5</v>
      </c>
    </row>
    <row r="27" ht="13" x14ac:dyDescent="0.15">
      <c r="A27" s="3">
        <v>26</v>
      </c>
      <c r="B27" s="220" t="s">
        <v>206</v>
      </c>
      <c r="C27">
        <v>0.5</v>
      </c>
      <c r="D27">
        <v>0.5</v>
      </c>
      <c r="E27">
        <v>0.5</v>
      </c>
      <c r="F27">
        <v>0.5</v>
      </c>
      <c r="G27">
        <v>0.5</v>
      </c>
      <c r="H27">
        <v>0.5</v>
      </c>
      <c r="I27">
        <v>0.5</v>
      </c>
      <c r="J27">
        <v>0.5</v>
      </c>
      <c r="K27">
        <v>0.5</v>
      </c>
      <c r="L27">
        <v>0.5</v>
      </c>
      <c r="M27">
        <v>0.5</v>
      </c>
      <c r="N27">
        <v>0.5</v>
      </c>
    </row>
    <row r="28" ht="13" x14ac:dyDescent="0.15">
      <c r="A28" s="3">
        <v>27</v>
      </c>
      <c r="B28" s="220" t="s">
        <v>207</v>
      </c>
      <c r="C28">
        <v>0.5</v>
      </c>
      <c r="D28">
        <v>0.5</v>
      </c>
      <c r="E28">
        <v>0.5</v>
      </c>
      <c r="F28">
        <v>0.5</v>
      </c>
      <c r="G28">
        <v>0.5</v>
      </c>
      <c r="H28">
        <v>0.5</v>
      </c>
      <c r="I28">
        <v>0.5</v>
      </c>
      <c r="J28">
        <v>0.5</v>
      </c>
      <c r="K28">
        <v>0.5</v>
      </c>
      <c r="L28">
        <v>0.5</v>
      </c>
      <c r="M28">
        <v>0.5</v>
      </c>
      <c r="N28">
        <v>0.5</v>
      </c>
    </row>
    <row r="29" ht="13" x14ac:dyDescent="0.15">
      <c r="A29" s="3">
        <v>28</v>
      </c>
      <c r="B29" s="220" t="s">
        <v>208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ht="13" x14ac:dyDescent="0.15">
      <c r="A30" s="3">
        <v>29</v>
      </c>
      <c r="B30" s="220" t="s">
        <v>209</v>
      </c>
      <c r="C30">
        <v>0.5</v>
      </c>
      <c r="D30">
        <v>0.5</v>
      </c>
      <c r="E30">
        <v>0.5</v>
      </c>
      <c r="F30">
        <v>0.5</v>
      </c>
      <c r="G30">
        <v>0.5</v>
      </c>
      <c r="H30">
        <v>0.5</v>
      </c>
      <c r="I30">
        <v>0.5</v>
      </c>
      <c r="J30">
        <v>0.5</v>
      </c>
      <c r="K30">
        <v>0.5</v>
      </c>
      <c r="L30">
        <v>0.5</v>
      </c>
      <c r="M30">
        <v>0.5</v>
      </c>
      <c r="N30">
        <v>0.5</v>
      </c>
    </row>
    <row r="31" ht="13" x14ac:dyDescent="0.15">
      <c r="A31" s="3">
        <v>30</v>
      </c>
      <c r="B31" s="220" t="s">
        <v>210</v>
      </c>
      <c r="C31">
        <v>0.5</v>
      </c>
      <c r="D31">
        <v>0.5</v>
      </c>
      <c r="E31">
        <v>0.5</v>
      </c>
      <c r="F31">
        <v>0.5</v>
      </c>
      <c r="G31">
        <v>0.5</v>
      </c>
      <c r="H31">
        <v>0.5</v>
      </c>
      <c r="I31">
        <v>0.5</v>
      </c>
      <c r="J31">
        <v>0.5</v>
      </c>
      <c r="K31">
        <v>0.5</v>
      </c>
      <c r="L31">
        <v>0.5</v>
      </c>
      <c r="M31">
        <v>0.5</v>
      </c>
      <c r="N31">
        <v>0.5</v>
      </c>
    </row>
    <row r="32" ht="13" x14ac:dyDescent="0.15">
      <c r="A32" s="3">
        <v>31</v>
      </c>
      <c r="B32" s="220" t="s">
        <v>211</v>
      </c>
      <c r="C32">
        <v>0.5</v>
      </c>
      <c r="D32">
        <v>0.5</v>
      </c>
      <c r="E32">
        <v>0.5</v>
      </c>
      <c r="F32">
        <v>0.5</v>
      </c>
      <c r="G32">
        <v>0.5</v>
      </c>
      <c r="H32">
        <v>0.5</v>
      </c>
      <c r="I32">
        <v>0.5</v>
      </c>
      <c r="J32">
        <v>0.5</v>
      </c>
      <c r="K32">
        <v>0.5</v>
      </c>
      <c r="L32">
        <v>0.5</v>
      </c>
      <c r="M32">
        <v>0.5</v>
      </c>
      <c r="N32">
        <v>0.5</v>
      </c>
    </row>
    <row r="33" ht="13" x14ac:dyDescent="0.15">
      <c r="A33" s="3">
        <v>32</v>
      </c>
      <c r="B33" s="220" t="s">
        <v>212</v>
      </c>
      <c r="C33">
        <v>0.5</v>
      </c>
      <c r="D33">
        <v>0.5</v>
      </c>
      <c r="E33">
        <v>0.5</v>
      </c>
      <c r="F33">
        <v>0.5</v>
      </c>
      <c r="G33">
        <v>0.5</v>
      </c>
      <c r="H33">
        <v>0.5</v>
      </c>
      <c r="I33">
        <v>0.5</v>
      </c>
      <c r="J33">
        <v>0.5</v>
      </c>
      <c r="K33">
        <v>0.5</v>
      </c>
      <c r="L33">
        <v>0.5</v>
      </c>
      <c r="M33">
        <v>0.5</v>
      </c>
      <c r="N33">
        <v>0.5</v>
      </c>
    </row>
    <row r="34" ht="13" x14ac:dyDescent="0.15">
      <c r="A34" s="3">
        <v>33</v>
      </c>
      <c r="B34" s="220" t="s">
        <v>213</v>
      </c>
      <c r="C34">
        <v>0.5</v>
      </c>
      <c r="D34">
        <v>0.5</v>
      </c>
      <c r="E34">
        <v>0.5</v>
      </c>
      <c r="F34">
        <v>0.5</v>
      </c>
      <c r="G34">
        <v>0.5</v>
      </c>
      <c r="H34">
        <v>0.5</v>
      </c>
      <c r="I34">
        <v>0.5</v>
      </c>
      <c r="J34">
        <v>0.5</v>
      </c>
      <c r="K34">
        <v>0.5</v>
      </c>
      <c r="L34">
        <v>0.5</v>
      </c>
      <c r="M34">
        <v>0.5</v>
      </c>
      <c r="N34">
        <v>0.5</v>
      </c>
    </row>
    <row r="35" ht="13" x14ac:dyDescent="0.15">
      <c r="A35" s="3">
        <v>34</v>
      </c>
      <c r="B35" s="220" t="s">
        <v>214</v>
      </c>
      <c r="C35">
        <v>0.5</v>
      </c>
      <c r="D35">
        <v>0.5</v>
      </c>
      <c r="E35">
        <v>0.5</v>
      </c>
      <c r="F35">
        <v>0.5</v>
      </c>
      <c r="G35">
        <v>0.5</v>
      </c>
      <c r="H35">
        <v>0.5</v>
      </c>
      <c r="I35">
        <v>0.5</v>
      </c>
      <c r="J35">
        <v>0.5</v>
      </c>
      <c r="K35">
        <v>0.5</v>
      </c>
      <c r="L35">
        <v>0.5</v>
      </c>
      <c r="M35">
        <v>0.5</v>
      </c>
      <c r="N35">
        <v>0.5</v>
      </c>
    </row>
    <row r="36" ht="13" x14ac:dyDescent="0.15">
      <c r="A36" s="3">
        <v>35</v>
      </c>
      <c r="B36" s="220" t="s">
        <v>215</v>
      </c>
      <c r="C36">
        <v>0.5</v>
      </c>
      <c r="D36">
        <v>0.5</v>
      </c>
      <c r="E36">
        <v>0.5</v>
      </c>
      <c r="F36">
        <v>0.5</v>
      </c>
      <c r="G36">
        <v>0.5</v>
      </c>
      <c r="H36">
        <v>0.5</v>
      </c>
      <c r="I36">
        <v>0.5</v>
      </c>
      <c r="J36">
        <v>0.5</v>
      </c>
      <c r="K36">
        <v>0.5</v>
      </c>
      <c r="L36">
        <v>0.5</v>
      </c>
      <c r="M36">
        <v>0.5</v>
      </c>
      <c r="N36">
        <v>0.5</v>
      </c>
    </row>
    <row r="37" ht="13" x14ac:dyDescent="0.15">
      <c r="A37" s="3">
        <v>36</v>
      </c>
      <c r="B37" s="220" t="s">
        <v>216</v>
      </c>
      <c r="C37">
        <v>0.5</v>
      </c>
      <c r="D37">
        <v>0.5</v>
      </c>
      <c r="E37">
        <v>0.5</v>
      </c>
      <c r="F37">
        <v>0.5</v>
      </c>
      <c r="G37">
        <v>0.5</v>
      </c>
      <c r="H37">
        <v>0.5</v>
      </c>
      <c r="I37">
        <v>0.5</v>
      </c>
      <c r="J37">
        <v>0.5</v>
      </c>
      <c r="K37">
        <v>0.5</v>
      </c>
      <c r="L37">
        <v>0.5</v>
      </c>
      <c r="M37">
        <v>0.5</v>
      </c>
      <c r="N37">
        <v>0.5</v>
      </c>
    </row>
    <row r="38" ht="13" x14ac:dyDescent="0.15">
      <c r="A38" s="3">
        <v>37</v>
      </c>
      <c r="B38" s="220" t="s">
        <v>217</v>
      </c>
      <c r="C38">
        <v>0.5</v>
      </c>
      <c r="D38">
        <v>0.5</v>
      </c>
      <c r="E38">
        <v>0.5</v>
      </c>
      <c r="F38">
        <v>0.5</v>
      </c>
      <c r="G38">
        <v>0.5</v>
      </c>
      <c r="H38">
        <v>0.5</v>
      </c>
      <c r="I38">
        <v>0.5</v>
      </c>
      <c r="J38">
        <v>0.5</v>
      </c>
      <c r="K38">
        <v>0.5</v>
      </c>
      <c r="L38">
        <v>0.5</v>
      </c>
      <c r="M38">
        <v>0.5</v>
      </c>
      <c r="N38">
        <v>0.5</v>
      </c>
    </row>
    <row r="39" ht="13" x14ac:dyDescent="0.15">
      <c r="A39" s="3">
        <v>38</v>
      </c>
      <c r="B39" s="220" t="s">
        <v>218</v>
      </c>
      <c r="C39">
        <v>0.5</v>
      </c>
      <c r="D39">
        <v>0.5</v>
      </c>
      <c r="E39">
        <v>0.5</v>
      </c>
      <c r="F39">
        <v>0.5</v>
      </c>
      <c r="G39">
        <v>0.5</v>
      </c>
      <c r="H39">
        <v>0.5</v>
      </c>
      <c r="I39">
        <v>0.5</v>
      </c>
      <c r="J39">
        <v>0.5</v>
      </c>
      <c r="K39">
        <v>0.5</v>
      </c>
      <c r="L39">
        <v>0.5</v>
      </c>
      <c r="M39">
        <v>0.5</v>
      </c>
      <c r="N39">
        <v>0.5</v>
      </c>
    </row>
    <row r="40" ht="13" x14ac:dyDescent="0.15">
      <c r="A40" s="3">
        <v>39</v>
      </c>
      <c r="B40" s="220" t="s">
        <v>219</v>
      </c>
      <c r="C40">
        <v>0.5</v>
      </c>
      <c r="D40">
        <v>0.5</v>
      </c>
      <c r="E40">
        <v>0.5</v>
      </c>
      <c r="F40">
        <v>0.5</v>
      </c>
      <c r="G40">
        <v>0.5</v>
      </c>
      <c r="H40">
        <v>0.5</v>
      </c>
      <c r="I40">
        <v>0.5</v>
      </c>
      <c r="J40">
        <v>0.5</v>
      </c>
      <c r="K40">
        <v>0.5</v>
      </c>
      <c r="L40">
        <v>0.5</v>
      </c>
      <c r="M40">
        <v>0.5</v>
      </c>
      <c r="N40">
        <v>0.5</v>
      </c>
    </row>
    <row r="41" ht="13" x14ac:dyDescent="0.15">
      <c r="A41" s="3">
        <v>40</v>
      </c>
      <c r="B41" s="220" t="s">
        <v>220</v>
      </c>
      <c r="C41">
        <v>0.5</v>
      </c>
      <c r="D41">
        <v>0.5</v>
      </c>
      <c r="E41">
        <v>0.5</v>
      </c>
      <c r="F41">
        <v>0.5</v>
      </c>
      <c r="G41">
        <v>0.5</v>
      </c>
      <c r="H41">
        <v>0.5</v>
      </c>
      <c r="I41">
        <v>0.5</v>
      </c>
      <c r="J41">
        <v>0.5</v>
      </c>
      <c r="K41">
        <v>0.5</v>
      </c>
      <c r="L41">
        <v>0.5</v>
      </c>
      <c r="M41">
        <v>0.5</v>
      </c>
      <c r="N41">
        <v>0.5</v>
      </c>
    </row>
    <row r="42" ht="13" x14ac:dyDescent="0.15">
      <c r="A42" s="3">
        <v>41</v>
      </c>
      <c r="B42" s="220" t="s">
        <v>221</v>
      </c>
      <c r="C42">
        <v>0.5</v>
      </c>
      <c r="D42">
        <v>0.5</v>
      </c>
      <c r="E42">
        <v>0.5</v>
      </c>
      <c r="F42">
        <v>0.5</v>
      </c>
      <c r="G42">
        <v>0.5</v>
      </c>
      <c r="H42">
        <v>0.5</v>
      </c>
      <c r="I42">
        <v>0.5</v>
      </c>
      <c r="J42">
        <v>0.5</v>
      </c>
      <c r="K42">
        <v>0.5</v>
      </c>
      <c r="L42">
        <v>0.5</v>
      </c>
      <c r="M42">
        <v>0.5</v>
      </c>
      <c r="N42">
        <v>0.5</v>
      </c>
    </row>
    <row r="43" ht="13" x14ac:dyDescent="0.15">
      <c r="A43" s="3">
        <v>42</v>
      </c>
      <c r="B43" s="220" t="s">
        <v>222</v>
      </c>
      <c r="C43">
        <v>0.5</v>
      </c>
      <c r="D43">
        <v>0.5</v>
      </c>
      <c r="E43">
        <v>0.5</v>
      </c>
      <c r="F43">
        <v>0.5</v>
      </c>
      <c r="G43">
        <v>0.5</v>
      </c>
      <c r="H43">
        <v>0.5</v>
      </c>
      <c r="I43">
        <v>0.5</v>
      </c>
      <c r="J43">
        <v>0.5</v>
      </c>
      <c r="K43">
        <v>0.5</v>
      </c>
      <c r="L43">
        <v>0.5</v>
      </c>
      <c r="M43">
        <v>0.5</v>
      </c>
      <c r="N43">
        <v>0.5</v>
      </c>
    </row>
    <row r="44" ht="13" x14ac:dyDescent="0.15">
      <c r="A44" s="3">
        <v>43</v>
      </c>
      <c r="B44" s="220" t="s">
        <v>223</v>
      </c>
      <c r="C44">
        <v>0.5</v>
      </c>
      <c r="D44">
        <v>0.5</v>
      </c>
      <c r="E44">
        <v>0.5</v>
      </c>
      <c r="F44">
        <v>0.5</v>
      </c>
      <c r="G44">
        <v>0.5</v>
      </c>
      <c r="H44">
        <v>0.5</v>
      </c>
      <c r="I44">
        <v>0.5</v>
      </c>
      <c r="J44">
        <v>0.5</v>
      </c>
      <c r="K44">
        <v>0.5</v>
      </c>
      <c r="L44">
        <v>0.5</v>
      </c>
      <c r="M44">
        <v>0.5</v>
      </c>
      <c r="N44">
        <v>0.5</v>
      </c>
    </row>
    <row r="45" ht="13" x14ac:dyDescent="0.15">
      <c r="A45" s="3">
        <v>44</v>
      </c>
      <c r="B45" s="220" t="s">
        <v>224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ht="13" x14ac:dyDescent="0.15">
      <c r="A46" s="3">
        <v>45</v>
      </c>
      <c r="B46" s="220" t="s">
        <v>225</v>
      </c>
      <c r="C46">
        <v>0.5</v>
      </c>
      <c r="D46">
        <v>0.5</v>
      </c>
      <c r="E46">
        <v>0.5</v>
      </c>
      <c r="F46">
        <v>0.5</v>
      </c>
      <c r="G46">
        <v>0.5</v>
      </c>
      <c r="H46">
        <v>0.5</v>
      </c>
      <c r="I46">
        <v>0.5</v>
      </c>
      <c r="J46">
        <v>0.5</v>
      </c>
      <c r="K46">
        <v>0.5</v>
      </c>
      <c r="L46">
        <v>0.5</v>
      </c>
      <c r="M46">
        <v>0.5</v>
      </c>
      <c r="N46">
        <v>0.5</v>
      </c>
    </row>
    <row r="47" ht="13" x14ac:dyDescent="0.15">
      <c r="A47" s="3">
        <v>46</v>
      </c>
      <c r="B47" s="220" t="s">
        <v>226</v>
      </c>
      <c r="C47">
        <v>0.5</v>
      </c>
      <c r="D47">
        <v>0.5</v>
      </c>
      <c r="E47">
        <v>0.5</v>
      </c>
      <c r="F47">
        <v>0.5</v>
      </c>
      <c r="G47">
        <v>0.5</v>
      </c>
      <c r="H47">
        <v>0.5</v>
      </c>
      <c r="I47">
        <v>0.5</v>
      </c>
      <c r="J47">
        <v>0.5</v>
      </c>
      <c r="K47">
        <v>0.5</v>
      </c>
      <c r="L47">
        <v>0.5</v>
      </c>
      <c r="M47">
        <v>0.5</v>
      </c>
      <c r="N47">
        <v>0.5</v>
      </c>
    </row>
    <row r="48" ht="13" x14ac:dyDescent="0.15">
      <c r="A48" s="3">
        <v>47</v>
      </c>
      <c r="B48" s="220" t="s">
        <v>227</v>
      </c>
      <c r="C48">
        <v>0.5</v>
      </c>
      <c r="D48">
        <v>0.5</v>
      </c>
      <c r="E48">
        <v>0.5</v>
      </c>
      <c r="F48">
        <v>0.5</v>
      </c>
      <c r="G48">
        <v>0.5</v>
      </c>
      <c r="H48">
        <v>0.5</v>
      </c>
      <c r="I48">
        <v>0.5</v>
      </c>
      <c r="J48">
        <v>0.5</v>
      </c>
      <c r="K48">
        <v>0.5</v>
      </c>
      <c r="L48">
        <v>0.5</v>
      </c>
      <c r="M48">
        <v>0.5</v>
      </c>
      <c r="N48">
        <v>0.5</v>
      </c>
    </row>
    <row r="49" ht="13" x14ac:dyDescent="0.15">
      <c r="A49" s="3">
        <v>48</v>
      </c>
      <c r="B49" s="220" t="s">
        <v>228</v>
      </c>
      <c r="C49">
        <v>0.5</v>
      </c>
      <c r="D49">
        <v>0.5</v>
      </c>
      <c r="E49">
        <v>0.5</v>
      </c>
      <c r="F49">
        <v>0.5</v>
      </c>
      <c r="G49">
        <v>0.5</v>
      </c>
      <c r="H49">
        <v>0.5</v>
      </c>
      <c r="I49">
        <v>0.5</v>
      </c>
      <c r="J49">
        <v>0.5</v>
      </c>
      <c r="K49">
        <v>0.5</v>
      </c>
      <c r="L49">
        <v>0.5</v>
      </c>
      <c r="M49">
        <v>0.5</v>
      </c>
      <c r="N49">
        <v>0.5</v>
      </c>
    </row>
    <row r="50" ht="13" x14ac:dyDescent="0.15">
      <c r="A50" s="3">
        <v>49</v>
      </c>
      <c r="B50" s="220" t="s">
        <v>229</v>
      </c>
      <c r="C50">
        <v>0.5</v>
      </c>
      <c r="D50">
        <v>0.5</v>
      </c>
      <c r="E50">
        <v>0.5</v>
      </c>
      <c r="F50">
        <v>0.5</v>
      </c>
      <c r="G50">
        <v>0.5</v>
      </c>
      <c r="H50">
        <v>0.5</v>
      </c>
      <c r="I50">
        <v>0.5</v>
      </c>
      <c r="J50">
        <v>0.5</v>
      </c>
      <c r="K50">
        <v>0.5</v>
      </c>
      <c r="L50">
        <v>0.5</v>
      </c>
      <c r="M50">
        <v>0.5</v>
      </c>
      <c r="N50">
        <v>0.5</v>
      </c>
    </row>
    <row r="51" ht="13" x14ac:dyDescent="0.15">
      <c r="A51" s="3">
        <v>50</v>
      </c>
      <c r="B51" s="220" t="s">
        <v>230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ht="13" x14ac:dyDescent="0.15">
      <c r="A52" s="3">
        <v>51</v>
      </c>
      <c r="B52" s="220" t="s">
        <v>231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ht="13" x14ac:dyDescent="0.15">
      <c r="A53" s="3">
        <v>52</v>
      </c>
      <c r="B53" s="220" t="s">
        <v>233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ht="13" x14ac:dyDescent="0.15">
      <c r="A54" s="3">
        <v>53</v>
      </c>
      <c r="B54" s="220" t="s">
        <v>234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ht="13" x14ac:dyDescent="0.15">
      <c r="A55" s="3">
        <v>54</v>
      </c>
      <c r="B55" s="220" t="s">
        <v>235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ht="13" x14ac:dyDescent="0.15">
      <c r="A56" s="3">
        <v>55</v>
      </c>
      <c r="B56" s="220" t="s">
        <v>237</v>
      </c>
      <c r="C56">
        <v>0.5</v>
      </c>
      <c r="D56">
        <v>0.5</v>
      </c>
      <c r="E56">
        <v>0.5</v>
      </c>
      <c r="F56">
        <v>0.5</v>
      </c>
      <c r="G56">
        <v>0.5</v>
      </c>
      <c r="H56">
        <v>0.5</v>
      </c>
      <c r="I56">
        <v>0.5</v>
      </c>
      <c r="J56">
        <v>0.5</v>
      </c>
      <c r="K56">
        <v>0.5</v>
      </c>
      <c r="L56">
        <v>0.5</v>
      </c>
      <c r="M56">
        <v>0.5</v>
      </c>
      <c r="N56">
        <v>0.5</v>
      </c>
    </row>
    <row r="57" ht="13" x14ac:dyDescent="0.15">
      <c r="A57" s="3">
        <v>56</v>
      </c>
      <c r="B57" s="220" t="s">
        <v>238</v>
      </c>
      <c r="C57">
        <v>0.5</v>
      </c>
      <c r="D57">
        <v>0.5</v>
      </c>
      <c r="E57">
        <v>0.5</v>
      </c>
      <c r="F57">
        <v>0.5</v>
      </c>
      <c r="G57">
        <v>0.5</v>
      </c>
      <c r="H57">
        <v>0.5</v>
      </c>
      <c r="I57">
        <v>0.5</v>
      </c>
      <c r="J57">
        <v>0.5</v>
      </c>
      <c r="K57">
        <v>0.5</v>
      </c>
      <c r="L57">
        <v>0.5</v>
      </c>
      <c r="M57">
        <v>0.5</v>
      </c>
      <c r="N57">
        <v>0.5</v>
      </c>
    </row>
    <row r="58" ht="13" x14ac:dyDescent="0.15">
      <c r="A58" s="3">
        <v>57</v>
      </c>
      <c r="B58" s="220" t="s">
        <v>239</v>
      </c>
      <c r="C58">
        <v>0.5</v>
      </c>
      <c r="D58">
        <v>0.5</v>
      </c>
      <c r="E58">
        <v>0.5</v>
      </c>
      <c r="F58">
        <v>0.5</v>
      </c>
      <c r="G58">
        <v>0.5</v>
      </c>
      <c r="H58">
        <v>0.5</v>
      </c>
      <c r="I58">
        <v>0.5</v>
      </c>
      <c r="J58">
        <v>0.5</v>
      </c>
      <c r="K58">
        <v>0.5</v>
      </c>
      <c r="L58">
        <v>0.5</v>
      </c>
      <c r="M58">
        <v>0.5</v>
      </c>
      <c r="N58">
        <v>0.5</v>
      </c>
    </row>
    <row r="59" ht="13" x14ac:dyDescent="0.15">
      <c r="A59" s="3">
        <v>58</v>
      </c>
      <c r="B59" s="220" t="s">
        <v>240</v>
      </c>
      <c r="C59">
        <v>0.5</v>
      </c>
      <c r="D59">
        <v>0.5</v>
      </c>
      <c r="E59">
        <v>0.5</v>
      </c>
      <c r="F59">
        <v>0.5</v>
      </c>
      <c r="G59">
        <v>0.5</v>
      </c>
      <c r="H59">
        <v>0.5</v>
      </c>
      <c r="I59">
        <v>0.5</v>
      </c>
      <c r="J59">
        <v>0.5</v>
      </c>
      <c r="K59">
        <v>0.5</v>
      </c>
      <c r="L59">
        <v>0.5</v>
      </c>
      <c r="M59">
        <v>0.5</v>
      </c>
      <c r="N59">
        <v>0.5</v>
      </c>
    </row>
    <row r="60" ht="13" x14ac:dyDescent="0.15">
      <c r="A60" s="3">
        <v>59</v>
      </c>
      <c r="B60" s="220" t="s">
        <v>241</v>
      </c>
      <c r="C60">
        <v>0.5</v>
      </c>
      <c r="D60">
        <v>0.5</v>
      </c>
      <c r="E60">
        <v>0.5</v>
      </c>
      <c r="F60">
        <v>0.5</v>
      </c>
      <c r="G60">
        <v>0.5</v>
      </c>
      <c r="H60">
        <v>0.5</v>
      </c>
      <c r="I60">
        <v>0.5</v>
      </c>
      <c r="J60">
        <v>0.5</v>
      </c>
      <c r="K60">
        <v>0.5</v>
      </c>
      <c r="L60">
        <v>0.5</v>
      </c>
      <c r="M60">
        <v>0.5</v>
      </c>
      <c r="N60">
        <v>0.5</v>
      </c>
    </row>
    <row r="61" ht="13" x14ac:dyDescent="0.15">
      <c r="A61" s="3">
        <v>60</v>
      </c>
      <c r="B61" s="220" t="s">
        <v>242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ht="13" x14ac:dyDescent="0.15">
      <c r="A62" s="3">
        <v>61</v>
      </c>
      <c r="B62" s="220" t="s">
        <v>243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ht="13" x14ac:dyDescent="0.15">
      <c r="A63" s="3">
        <v>62</v>
      </c>
      <c r="B63" s="220" t="s">
        <v>244</v>
      </c>
      <c r="C63">
        <v>0.5</v>
      </c>
      <c r="D63">
        <v>0.5</v>
      </c>
      <c r="E63">
        <v>0.5</v>
      </c>
      <c r="F63">
        <v>0.5</v>
      </c>
      <c r="G63">
        <v>0.5</v>
      </c>
      <c r="H63">
        <v>0.5</v>
      </c>
      <c r="I63">
        <v>0.5</v>
      </c>
      <c r="J63">
        <v>0.5</v>
      </c>
      <c r="K63">
        <v>0.5</v>
      </c>
      <c r="L63">
        <v>0.5</v>
      </c>
      <c r="M63">
        <v>0.5</v>
      </c>
      <c r="N63">
        <v>0.5</v>
      </c>
    </row>
    <row r="64" ht="13" x14ac:dyDescent="0.15">
      <c r="A64" s="3">
        <v>63</v>
      </c>
      <c r="B64" s="220" t="s">
        <v>245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ht="13" x14ac:dyDescent="0.15">
      <c r="A65" s="3">
        <v>64</v>
      </c>
      <c r="B65" s="220" t="s">
        <v>246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ht="13" x14ac:dyDescent="0.15">
      <c r="A66" s="3">
        <v>65</v>
      </c>
      <c r="B66" s="220" t="s">
        <v>247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ht="13" x14ac:dyDescent="0.15">
      <c r="A67" s="3">
        <v>66</v>
      </c>
      <c r="B67" s="220" t="s">
        <v>248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ht="13" x14ac:dyDescent="0.15">
      <c r="A68" s="3">
        <v>67</v>
      </c>
      <c r="B68" s="220" t="s">
        <v>249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ht="13" x14ac:dyDescent="0.15">
      <c r="A69" s="3">
        <v>68</v>
      </c>
      <c r="B69" s="220" t="s">
        <v>250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ht="13" x14ac:dyDescent="0.15">
      <c r="A70" s="3">
        <v>69</v>
      </c>
      <c r="B70" s="220" t="s">
        <v>175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N130"/>
  <sheetViews>
    <sheetView workbookViewId="0">
      <selection activeCell="A4" sqref="A4"/>
    </sheetView>
  </sheetViews>
  <sheetFormatPr baseColWidth="10" defaultRowHeight="14" customHeight="true" x14ac:dyDescent="0.15"/>
  <cols>
    <col min="1" max="1" width="12.6640625" customWidth="true"/>
    <col min="2" max="2" width="46.5" bestFit="true" customWidth="true"/>
  </cols>
  <sheetData>
    <row r="1" ht="28" x14ac:dyDescent="0.15">
      <c r="A1" s="138" t="s">
        <v>83</v>
      </c>
      <c r="B1" s="141" t="s">
        <v>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I1" t="s">
        <v>257</v>
      </c>
      <c r="J1" t="s">
        <v>258</v>
      </c>
      <c r="K1" t="s">
        <v>259</v>
      </c>
      <c r="L1" t="s">
        <v>260</v>
      </c>
      <c r="M1" t="s">
        <v>261</v>
      </c>
      <c r="N1" t="s">
        <v>262</v>
      </c>
    </row>
    <row r="2" ht="13" x14ac:dyDescent="0.15">
      <c r="A2" s="3">
        <v>1</v>
      </c>
      <c r="B2" s="220" t="s">
        <v>181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ht="13" x14ac:dyDescent="0.15">
      <c r="A3" s="3">
        <v>2</v>
      </c>
      <c r="B3" s="220" t="s">
        <v>182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ht="13" x14ac:dyDescent="0.15">
      <c r="A4" s="3">
        <v>3</v>
      </c>
      <c r="B4" s="220" t="s">
        <v>183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ht="13" x14ac:dyDescent="0.15">
      <c r="A5" s="3">
        <v>4</v>
      </c>
      <c r="B5" s="220" t="s">
        <v>184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ht="13" x14ac:dyDescent="0.15">
      <c r="A6" s="3">
        <v>5</v>
      </c>
      <c r="B6" s="220" t="s">
        <v>185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ht="13" x14ac:dyDescent="0.15">
      <c r="A7" s="3">
        <v>6</v>
      </c>
      <c r="B7" s="220" t="s">
        <v>186</v>
      </c>
      <c r="C7">
        <v>0.5</v>
      </c>
      <c r="D7">
        <v>0.5</v>
      </c>
      <c r="E7">
        <v>0.5</v>
      </c>
      <c r="F7">
        <v>0.5</v>
      </c>
      <c r="G7">
        <v>0.5</v>
      </c>
      <c r="H7">
        <v>0.5</v>
      </c>
      <c r="I7">
        <v>0.5</v>
      </c>
      <c r="J7">
        <v>0.5</v>
      </c>
      <c r="K7">
        <v>0.5</v>
      </c>
      <c r="L7">
        <v>0.5</v>
      </c>
      <c r="M7">
        <v>0.5</v>
      </c>
      <c r="N7">
        <v>0.5</v>
      </c>
    </row>
    <row r="8" ht="13" x14ac:dyDescent="0.15">
      <c r="A8" s="3">
        <v>7</v>
      </c>
      <c r="B8" s="220" t="s">
        <v>187</v>
      </c>
      <c r="C8">
        <v>0.5</v>
      </c>
      <c r="D8">
        <v>0.5</v>
      </c>
      <c r="E8">
        <v>0.5</v>
      </c>
      <c r="F8">
        <v>0.5</v>
      </c>
      <c r="G8">
        <v>0.5</v>
      </c>
      <c r="H8">
        <v>0.5</v>
      </c>
      <c r="I8">
        <v>0.5</v>
      </c>
      <c r="J8">
        <v>0.5</v>
      </c>
      <c r="K8">
        <v>0.5</v>
      </c>
      <c r="L8">
        <v>0.5</v>
      </c>
      <c r="M8">
        <v>0.5</v>
      </c>
      <c r="N8">
        <v>0.5</v>
      </c>
    </row>
    <row r="9" ht="13" x14ac:dyDescent="0.15">
      <c r="A9" s="3">
        <v>8</v>
      </c>
      <c r="B9" s="220" t="s">
        <v>188</v>
      </c>
      <c r="C9">
        <v>0.5</v>
      </c>
      <c r="D9">
        <v>0.5</v>
      </c>
      <c r="E9">
        <v>0.5</v>
      </c>
      <c r="F9">
        <v>0.5</v>
      </c>
      <c r="G9">
        <v>0.5</v>
      </c>
      <c r="H9">
        <v>0.5</v>
      </c>
      <c r="I9">
        <v>0.5</v>
      </c>
      <c r="J9">
        <v>0.5</v>
      </c>
      <c r="K9">
        <v>0.5</v>
      </c>
      <c r="L9">
        <v>0.5</v>
      </c>
      <c r="M9">
        <v>0.5</v>
      </c>
      <c r="N9">
        <v>0.5</v>
      </c>
    </row>
    <row r="10" ht="13" x14ac:dyDescent="0.15">
      <c r="A10" s="3">
        <v>9</v>
      </c>
      <c r="B10" s="220" t="s">
        <v>189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ht="13" x14ac:dyDescent="0.15">
      <c r="A11" s="3">
        <v>10</v>
      </c>
      <c r="B11" s="220" t="s">
        <v>190</v>
      </c>
      <c r="C11">
        <v>0.5</v>
      </c>
      <c r="D11">
        <v>0.5</v>
      </c>
      <c r="E11">
        <v>0.5</v>
      </c>
      <c r="F11">
        <v>0.5</v>
      </c>
      <c r="G11">
        <v>0.5</v>
      </c>
      <c r="H11">
        <v>0.5</v>
      </c>
      <c r="I11">
        <v>0.5</v>
      </c>
      <c r="J11">
        <v>0.5</v>
      </c>
      <c r="K11">
        <v>0.5</v>
      </c>
      <c r="L11">
        <v>0.5</v>
      </c>
      <c r="M11">
        <v>0.5</v>
      </c>
      <c r="N11">
        <v>0.5</v>
      </c>
    </row>
    <row r="12" ht="13" x14ac:dyDescent="0.15">
      <c r="A12" s="3">
        <v>11</v>
      </c>
      <c r="B12" s="220" t="s">
        <v>191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ht="13" x14ac:dyDescent="0.15">
      <c r="A13" s="3">
        <v>12</v>
      </c>
      <c r="B13" s="220" t="s">
        <v>192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ht="13" x14ac:dyDescent="0.15">
      <c r="A14" s="3">
        <v>13</v>
      </c>
      <c r="B14" s="220" t="s">
        <v>193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ht="13" x14ac:dyDescent="0.15">
      <c r="A15" s="3">
        <v>14</v>
      </c>
      <c r="B15" s="220" t="s">
        <v>194</v>
      </c>
      <c r="C15">
        <v>0.5</v>
      </c>
      <c r="D15">
        <v>0.5</v>
      </c>
      <c r="E15">
        <v>0.5</v>
      </c>
      <c r="F15">
        <v>0.5</v>
      </c>
      <c r="G15">
        <v>0.5</v>
      </c>
      <c r="H15">
        <v>0.5</v>
      </c>
      <c r="I15">
        <v>0.5</v>
      </c>
      <c r="J15">
        <v>0.5</v>
      </c>
      <c r="K15">
        <v>0.5</v>
      </c>
      <c r="L15">
        <v>0.5</v>
      </c>
      <c r="M15">
        <v>0.5</v>
      </c>
      <c r="N15">
        <v>0.5</v>
      </c>
    </row>
    <row r="16" ht="13" x14ac:dyDescent="0.15">
      <c r="A16" s="3">
        <v>15</v>
      </c>
      <c r="B16" s="220" t="s">
        <v>195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ht="13" x14ac:dyDescent="0.15">
      <c r="A17" s="3">
        <v>16</v>
      </c>
      <c r="B17" s="220" t="s">
        <v>196</v>
      </c>
      <c r="C17">
        <v>0.5</v>
      </c>
      <c r="D17">
        <v>0.5</v>
      </c>
      <c r="E17">
        <v>0.5</v>
      </c>
      <c r="F17">
        <v>0.5</v>
      </c>
      <c r="G17">
        <v>0.5</v>
      </c>
      <c r="H17">
        <v>0.5</v>
      </c>
      <c r="I17">
        <v>0.5</v>
      </c>
      <c r="J17">
        <v>0.5</v>
      </c>
      <c r="K17">
        <v>0.5</v>
      </c>
      <c r="L17">
        <v>0.5</v>
      </c>
      <c r="M17">
        <v>0.5</v>
      </c>
      <c r="N17">
        <v>0.5</v>
      </c>
    </row>
    <row r="18" ht="13" x14ac:dyDescent="0.15">
      <c r="A18" s="3">
        <v>17</v>
      </c>
      <c r="B18" s="220" t="s">
        <v>197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ht="13" x14ac:dyDescent="0.15">
      <c r="A19" s="3">
        <v>18</v>
      </c>
      <c r="B19" s="220" t="s">
        <v>198</v>
      </c>
      <c r="C19">
        <v>0.5</v>
      </c>
      <c r="D19">
        <v>0.5</v>
      </c>
      <c r="E19">
        <v>0.5</v>
      </c>
      <c r="F19">
        <v>0.5</v>
      </c>
      <c r="G19">
        <v>0.5</v>
      </c>
      <c r="H19">
        <v>0.5</v>
      </c>
      <c r="I19">
        <v>0.5</v>
      </c>
      <c r="J19">
        <v>0.5</v>
      </c>
      <c r="K19">
        <v>0.5</v>
      </c>
      <c r="L19">
        <v>0.5</v>
      </c>
      <c r="M19">
        <v>0.5</v>
      </c>
      <c r="N19">
        <v>0.5</v>
      </c>
    </row>
    <row r="20" ht="13" x14ac:dyDescent="0.15">
      <c r="A20" s="3">
        <v>19</v>
      </c>
      <c r="B20" s="220" t="s">
        <v>199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ht="13" x14ac:dyDescent="0.15">
      <c r="A21" s="3">
        <v>20</v>
      </c>
      <c r="B21" s="220" t="s">
        <v>200</v>
      </c>
      <c r="C21">
        <v>0.5</v>
      </c>
      <c r="D21">
        <v>0.5</v>
      </c>
      <c r="E21">
        <v>0.5</v>
      </c>
      <c r="F21">
        <v>0.5</v>
      </c>
      <c r="G21">
        <v>0.5</v>
      </c>
      <c r="H21">
        <v>0.5</v>
      </c>
      <c r="I21">
        <v>0.5</v>
      </c>
      <c r="J21">
        <v>0.5</v>
      </c>
      <c r="K21">
        <v>0.5</v>
      </c>
      <c r="L21">
        <v>0.5</v>
      </c>
      <c r="M21">
        <v>0.5</v>
      </c>
      <c r="N21">
        <v>0.5</v>
      </c>
    </row>
    <row r="22" ht="13" x14ac:dyDescent="0.15">
      <c r="A22" s="3">
        <v>21</v>
      </c>
      <c r="B22" s="220" t="s">
        <v>201</v>
      </c>
      <c r="C22">
        <v>0.5</v>
      </c>
      <c r="D22">
        <v>0.5</v>
      </c>
      <c r="E22">
        <v>0.5</v>
      </c>
      <c r="F22">
        <v>0.5</v>
      </c>
      <c r="G22">
        <v>0.5</v>
      </c>
      <c r="H22">
        <v>0.5</v>
      </c>
      <c r="I22">
        <v>0.5</v>
      </c>
      <c r="J22">
        <v>0.5</v>
      </c>
      <c r="K22">
        <v>0.5</v>
      </c>
      <c r="L22">
        <v>0.5</v>
      </c>
      <c r="M22">
        <v>0.5</v>
      </c>
      <c r="N22">
        <v>0.5</v>
      </c>
    </row>
    <row r="23" ht="13" x14ac:dyDescent="0.15">
      <c r="A23" s="3">
        <v>22</v>
      </c>
      <c r="B23" s="220" t="s">
        <v>202</v>
      </c>
      <c r="C23">
        <v>0.5</v>
      </c>
      <c r="D23">
        <v>0.5</v>
      </c>
      <c r="E23">
        <v>0.5</v>
      </c>
      <c r="F23">
        <v>0.5</v>
      </c>
      <c r="G23">
        <v>0.5</v>
      </c>
      <c r="H23">
        <v>0.5</v>
      </c>
      <c r="I23">
        <v>0.5</v>
      </c>
      <c r="J23">
        <v>0.5</v>
      </c>
      <c r="K23">
        <v>0.5</v>
      </c>
      <c r="L23">
        <v>0.5</v>
      </c>
      <c r="M23">
        <v>0.5</v>
      </c>
      <c r="N23">
        <v>0.5</v>
      </c>
    </row>
    <row r="24" ht="13" x14ac:dyDescent="0.15">
      <c r="A24" s="3">
        <v>23</v>
      </c>
      <c r="B24" s="220" t="s">
        <v>203</v>
      </c>
      <c r="C24">
        <v>0.5</v>
      </c>
      <c r="D24">
        <v>0.5</v>
      </c>
      <c r="E24">
        <v>0.5</v>
      </c>
      <c r="F24">
        <v>0.5</v>
      </c>
      <c r="G24">
        <v>0.5</v>
      </c>
      <c r="H24">
        <v>0.5</v>
      </c>
      <c r="I24">
        <v>0.5</v>
      </c>
      <c r="J24">
        <v>0.5</v>
      </c>
      <c r="K24">
        <v>0.5</v>
      </c>
      <c r="L24">
        <v>0.5</v>
      </c>
      <c r="M24">
        <v>0.5</v>
      </c>
      <c r="N24">
        <v>0.5</v>
      </c>
    </row>
    <row r="25" ht="13" x14ac:dyDescent="0.15">
      <c r="A25" s="3">
        <v>24</v>
      </c>
      <c r="B25" s="220" t="s">
        <v>204</v>
      </c>
      <c r="C25">
        <v>0.5</v>
      </c>
      <c r="D25">
        <v>0.5</v>
      </c>
      <c r="E25">
        <v>0.5</v>
      </c>
      <c r="F25">
        <v>0.5</v>
      </c>
      <c r="G25">
        <v>0.5</v>
      </c>
      <c r="H25">
        <v>0.5</v>
      </c>
      <c r="I25">
        <v>0.5</v>
      </c>
      <c r="J25">
        <v>0.5</v>
      </c>
      <c r="K25">
        <v>0.5</v>
      </c>
      <c r="L25">
        <v>0.5</v>
      </c>
      <c r="M25">
        <v>0.5</v>
      </c>
      <c r="N25">
        <v>0.5</v>
      </c>
    </row>
    <row r="26" ht="13" x14ac:dyDescent="0.15">
      <c r="A26" s="3">
        <v>25</v>
      </c>
      <c r="B26" s="220" t="s">
        <v>205</v>
      </c>
      <c r="C26">
        <v>0.5</v>
      </c>
      <c r="D26">
        <v>0.5</v>
      </c>
      <c r="E26">
        <v>0.5</v>
      </c>
      <c r="F26">
        <v>0.5</v>
      </c>
      <c r="G26">
        <v>0.5</v>
      </c>
      <c r="H26">
        <v>0.5</v>
      </c>
      <c r="I26">
        <v>0.5</v>
      </c>
      <c r="J26">
        <v>0.5</v>
      </c>
      <c r="K26">
        <v>0.5</v>
      </c>
      <c r="L26">
        <v>0.5</v>
      </c>
      <c r="M26">
        <v>0.5</v>
      </c>
      <c r="N26">
        <v>0.5</v>
      </c>
    </row>
    <row r="27" ht="13" x14ac:dyDescent="0.15">
      <c r="A27" s="3">
        <v>26</v>
      </c>
      <c r="B27" s="220" t="s">
        <v>206</v>
      </c>
      <c r="C27">
        <v>0.5</v>
      </c>
      <c r="D27">
        <v>0.5</v>
      </c>
      <c r="E27">
        <v>0.5</v>
      </c>
      <c r="F27">
        <v>0.5</v>
      </c>
      <c r="G27">
        <v>0.5</v>
      </c>
      <c r="H27">
        <v>0.5</v>
      </c>
      <c r="I27">
        <v>0.5</v>
      </c>
      <c r="J27">
        <v>0.5</v>
      </c>
      <c r="K27">
        <v>0.5</v>
      </c>
      <c r="L27">
        <v>0.5</v>
      </c>
      <c r="M27">
        <v>0.5</v>
      </c>
      <c r="N27">
        <v>0.5</v>
      </c>
    </row>
    <row r="28" ht="13" x14ac:dyDescent="0.15">
      <c r="A28" s="3">
        <v>27</v>
      </c>
      <c r="B28" s="220" t="s">
        <v>207</v>
      </c>
      <c r="C28">
        <v>0.5</v>
      </c>
      <c r="D28">
        <v>0.5</v>
      </c>
      <c r="E28">
        <v>0.5</v>
      </c>
      <c r="F28">
        <v>0.5</v>
      </c>
      <c r="G28">
        <v>0.5</v>
      </c>
      <c r="H28">
        <v>0.5</v>
      </c>
      <c r="I28">
        <v>0.5</v>
      </c>
      <c r="J28">
        <v>0.5</v>
      </c>
      <c r="K28">
        <v>0.5</v>
      </c>
      <c r="L28">
        <v>0.5</v>
      </c>
      <c r="M28">
        <v>0.5</v>
      </c>
      <c r="N28">
        <v>0.5</v>
      </c>
    </row>
    <row r="29" ht="13" x14ac:dyDescent="0.15">
      <c r="A29" s="3">
        <v>28</v>
      </c>
      <c r="B29" s="220" t="s">
        <v>208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ht="13" x14ac:dyDescent="0.15">
      <c r="A30" s="3">
        <v>29</v>
      </c>
      <c r="B30" s="220" t="s">
        <v>209</v>
      </c>
      <c r="C30">
        <v>0.5</v>
      </c>
      <c r="D30">
        <v>0.5</v>
      </c>
      <c r="E30">
        <v>0.5</v>
      </c>
      <c r="F30">
        <v>0.5</v>
      </c>
      <c r="G30">
        <v>0.5</v>
      </c>
      <c r="H30">
        <v>0.5</v>
      </c>
      <c r="I30">
        <v>0.5</v>
      </c>
      <c r="J30">
        <v>0.5</v>
      </c>
      <c r="K30">
        <v>0.5</v>
      </c>
      <c r="L30">
        <v>0.5</v>
      </c>
      <c r="M30">
        <v>0.5</v>
      </c>
      <c r="N30">
        <v>0.5</v>
      </c>
    </row>
    <row r="31" ht="13" x14ac:dyDescent="0.15">
      <c r="A31" s="3">
        <v>30</v>
      </c>
      <c r="B31" s="220" t="s">
        <v>210</v>
      </c>
      <c r="C31">
        <v>0.5</v>
      </c>
      <c r="D31">
        <v>0.5</v>
      </c>
      <c r="E31">
        <v>0.5</v>
      </c>
      <c r="F31">
        <v>0.5</v>
      </c>
      <c r="G31">
        <v>0.5</v>
      </c>
      <c r="H31">
        <v>0.5</v>
      </c>
      <c r="I31">
        <v>0.5</v>
      </c>
      <c r="J31">
        <v>0.5</v>
      </c>
      <c r="K31">
        <v>0.5</v>
      </c>
      <c r="L31">
        <v>0.5</v>
      </c>
      <c r="M31">
        <v>0.5</v>
      </c>
      <c r="N31">
        <v>0.5</v>
      </c>
    </row>
    <row r="32" ht="13" x14ac:dyDescent="0.15">
      <c r="A32" s="3">
        <v>31</v>
      </c>
      <c r="B32" s="220" t="s">
        <v>211</v>
      </c>
      <c r="C32">
        <v>0.5</v>
      </c>
      <c r="D32">
        <v>0.5</v>
      </c>
      <c r="E32">
        <v>0.5</v>
      </c>
      <c r="F32">
        <v>0.5</v>
      </c>
      <c r="G32">
        <v>0.5</v>
      </c>
      <c r="H32">
        <v>0.5</v>
      </c>
      <c r="I32">
        <v>0.5</v>
      </c>
      <c r="J32">
        <v>0.5</v>
      </c>
      <c r="K32">
        <v>0.5</v>
      </c>
      <c r="L32">
        <v>0.5</v>
      </c>
      <c r="M32">
        <v>0.5</v>
      </c>
      <c r="N32">
        <v>0.5</v>
      </c>
    </row>
    <row r="33" ht="13" x14ac:dyDescent="0.15">
      <c r="A33" s="3">
        <v>32</v>
      </c>
      <c r="B33" s="220" t="s">
        <v>212</v>
      </c>
      <c r="C33">
        <v>0.5</v>
      </c>
      <c r="D33">
        <v>0.5</v>
      </c>
      <c r="E33">
        <v>0.5</v>
      </c>
      <c r="F33">
        <v>0.5</v>
      </c>
      <c r="G33">
        <v>0.5</v>
      </c>
      <c r="H33">
        <v>0.5</v>
      </c>
      <c r="I33">
        <v>0.5</v>
      </c>
      <c r="J33">
        <v>0.5</v>
      </c>
      <c r="K33">
        <v>0.5</v>
      </c>
      <c r="L33">
        <v>0.5</v>
      </c>
      <c r="M33">
        <v>0.5</v>
      </c>
      <c r="N33">
        <v>0.5</v>
      </c>
    </row>
    <row r="34" ht="13" x14ac:dyDescent="0.15">
      <c r="A34" s="3">
        <v>33</v>
      </c>
      <c r="B34" s="220" t="s">
        <v>213</v>
      </c>
      <c r="C34">
        <v>0.5</v>
      </c>
      <c r="D34">
        <v>0.5</v>
      </c>
      <c r="E34">
        <v>0.5</v>
      </c>
      <c r="F34">
        <v>0.5</v>
      </c>
      <c r="G34">
        <v>0.5</v>
      </c>
      <c r="H34">
        <v>0.5</v>
      </c>
      <c r="I34">
        <v>0.5</v>
      </c>
      <c r="J34">
        <v>0.5</v>
      </c>
      <c r="K34">
        <v>0.5</v>
      </c>
      <c r="L34">
        <v>0.5</v>
      </c>
      <c r="M34">
        <v>0.5</v>
      </c>
      <c r="N34">
        <v>0.5</v>
      </c>
    </row>
    <row r="35" ht="13" x14ac:dyDescent="0.15">
      <c r="A35" s="3">
        <v>34</v>
      </c>
      <c r="B35" s="220" t="s">
        <v>214</v>
      </c>
      <c r="C35">
        <v>0.5</v>
      </c>
      <c r="D35">
        <v>0.5</v>
      </c>
      <c r="E35">
        <v>0.5</v>
      </c>
      <c r="F35">
        <v>0.5</v>
      </c>
      <c r="G35">
        <v>0.5</v>
      </c>
      <c r="H35">
        <v>0.5</v>
      </c>
      <c r="I35">
        <v>0.5</v>
      </c>
      <c r="J35">
        <v>0.5</v>
      </c>
      <c r="K35">
        <v>0.5</v>
      </c>
      <c r="L35">
        <v>0.5</v>
      </c>
      <c r="M35">
        <v>0.5</v>
      </c>
      <c r="N35">
        <v>0.5</v>
      </c>
    </row>
    <row r="36" ht="13" x14ac:dyDescent="0.15">
      <c r="A36" s="3">
        <v>35</v>
      </c>
      <c r="B36" s="220" t="s">
        <v>215</v>
      </c>
      <c r="C36">
        <v>0.5</v>
      </c>
      <c r="D36">
        <v>0.5</v>
      </c>
      <c r="E36">
        <v>0.5</v>
      </c>
      <c r="F36">
        <v>0.5</v>
      </c>
      <c r="G36">
        <v>0.5</v>
      </c>
      <c r="H36">
        <v>0.5</v>
      </c>
      <c r="I36">
        <v>0.5</v>
      </c>
      <c r="J36">
        <v>0.5</v>
      </c>
      <c r="K36">
        <v>0.5</v>
      </c>
      <c r="L36">
        <v>0.5</v>
      </c>
      <c r="M36">
        <v>0.5</v>
      </c>
      <c r="N36">
        <v>0.5</v>
      </c>
    </row>
    <row r="37" ht="13" x14ac:dyDescent="0.15">
      <c r="A37" s="3">
        <v>36</v>
      </c>
      <c r="B37" s="220" t="s">
        <v>216</v>
      </c>
      <c r="C37">
        <v>0.5</v>
      </c>
      <c r="D37">
        <v>0.5</v>
      </c>
      <c r="E37">
        <v>0.5</v>
      </c>
      <c r="F37">
        <v>0.5</v>
      </c>
      <c r="G37">
        <v>0.5</v>
      </c>
      <c r="H37">
        <v>0.5</v>
      </c>
      <c r="I37">
        <v>0.5</v>
      </c>
      <c r="J37">
        <v>0.5</v>
      </c>
      <c r="K37">
        <v>0.5</v>
      </c>
      <c r="L37">
        <v>0.5</v>
      </c>
      <c r="M37">
        <v>0.5</v>
      </c>
      <c r="N37">
        <v>0.5</v>
      </c>
    </row>
    <row r="38" ht="13" x14ac:dyDescent="0.15">
      <c r="A38" s="3">
        <v>37</v>
      </c>
      <c r="B38" s="220" t="s">
        <v>217</v>
      </c>
      <c r="C38">
        <v>0.5</v>
      </c>
      <c r="D38">
        <v>0.5</v>
      </c>
      <c r="E38">
        <v>0.5</v>
      </c>
      <c r="F38">
        <v>0.5</v>
      </c>
      <c r="G38">
        <v>0.5</v>
      </c>
      <c r="H38">
        <v>0.5</v>
      </c>
      <c r="I38">
        <v>0.5</v>
      </c>
      <c r="J38">
        <v>0.5</v>
      </c>
      <c r="K38">
        <v>0.5</v>
      </c>
      <c r="L38">
        <v>0.5</v>
      </c>
      <c r="M38">
        <v>0.5</v>
      </c>
      <c r="N38">
        <v>0.5</v>
      </c>
    </row>
    <row r="39" ht="13" x14ac:dyDescent="0.15">
      <c r="A39" s="3">
        <v>38</v>
      </c>
      <c r="B39" s="220" t="s">
        <v>218</v>
      </c>
      <c r="C39">
        <v>0.5</v>
      </c>
      <c r="D39">
        <v>0.5</v>
      </c>
      <c r="E39">
        <v>0.5</v>
      </c>
      <c r="F39">
        <v>0.5</v>
      </c>
      <c r="G39">
        <v>0.5</v>
      </c>
      <c r="H39">
        <v>0.5</v>
      </c>
      <c r="I39">
        <v>0.5</v>
      </c>
      <c r="J39">
        <v>0.5</v>
      </c>
      <c r="K39">
        <v>0.5</v>
      </c>
      <c r="L39">
        <v>0.5</v>
      </c>
      <c r="M39">
        <v>0.5</v>
      </c>
      <c r="N39">
        <v>0.5</v>
      </c>
    </row>
    <row r="40" ht="13" x14ac:dyDescent="0.15">
      <c r="A40" s="3">
        <v>39</v>
      </c>
      <c r="B40" s="220" t="s">
        <v>219</v>
      </c>
      <c r="C40">
        <v>0.5</v>
      </c>
      <c r="D40">
        <v>0.5</v>
      </c>
      <c r="E40">
        <v>0.5</v>
      </c>
      <c r="F40">
        <v>0.5</v>
      </c>
      <c r="G40">
        <v>0.5</v>
      </c>
      <c r="H40">
        <v>0.5</v>
      </c>
      <c r="I40">
        <v>0.5</v>
      </c>
      <c r="J40">
        <v>0.5</v>
      </c>
      <c r="K40">
        <v>0.5</v>
      </c>
      <c r="L40">
        <v>0.5</v>
      </c>
      <c r="M40">
        <v>0.5</v>
      </c>
      <c r="N40">
        <v>0.5</v>
      </c>
    </row>
    <row r="41" ht="13" x14ac:dyDescent="0.15">
      <c r="A41" s="3">
        <v>40</v>
      </c>
      <c r="B41" s="220" t="s">
        <v>220</v>
      </c>
      <c r="C41">
        <v>0.5</v>
      </c>
      <c r="D41">
        <v>0.5</v>
      </c>
      <c r="E41">
        <v>0.5</v>
      </c>
      <c r="F41">
        <v>0.5</v>
      </c>
      <c r="G41">
        <v>0.5</v>
      </c>
      <c r="H41">
        <v>0.5</v>
      </c>
      <c r="I41">
        <v>0.5</v>
      </c>
      <c r="J41">
        <v>0.5</v>
      </c>
      <c r="K41">
        <v>0.5</v>
      </c>
      <c r="L41">
        <v>0.5</v>
      </c>
      <c r="M41">
        <v>0.5</v>
      </c>
      <c r="N41">
        <v>0.5</v>
      </c>
    </row>
    <row r="42" ht="13" x14ac:dyDescent="0.15">
      <c r="A42" s="3">
        <v>41</v>
      </c>
      <c r="B42" s="220" t="s">
        <v>221</v>
      </c>
      <c r="C42">
        <v>0.5</v>
      </c>
      <c r="D42">
        <v>0.5</v>
      </c>
      <c r="E42">
        <v>0.5</v>
      </c>
      <c r="F42">
        <v>0.5</v>
      </c>
      <c r="G42">
        <v>0.5</v>
      </c>
      <c r="H42">
        <v>0.5</v>
      </c>
      <c r="I42">
        <v>0.5</v>
      </c>
      <c r="J42">
        <v>0.5</v>
      </c>
      <c r="K42">
        <v>0.5</v>
      </c>
      <c r="L42">
        <v>0.5</v>
      </c>
      <c r="M42">
        <v>0.5</v>
      </c>
      <c r="N42">
        <v>0.5</v>
      </c>
    </row>
    <row r="43" ht="13" x14ac:dyDescent="0.15">
      <c r="A43" s="3">
        <v>42</v>
      </c>
      <c r="B43" s="220" t="s">
        <v>222</v>
      </c>
      <c r="C43">
        <v>0.5</v>
      </c>
      <c r="D43">
        <v>0.5</v>
      </c>
      <c r="E43">
        <v>0.5</v>
      </c>
      <c r="F43">
        <v>0.5</v>
      </c>
      <c r="G43">
        <v>0.5</v>
      </c>
      <c r="H43">
        <v>0.5</v>
      </c>
      <c r="I43">
        <v>0.5</v>
      </c>
      <c r="J43">
        <v>0.5</v>
      </c>
      <c r="K43">
        <v>0.5</v>
      </c>
      <c r="L43">
        <v>0.5</v>
      </c>
      <c r="M43">
        <v>0.5</v>
      </c>
      <c r="N43">
        <v>0.5</v>
      </c>
    </row>
    <row r="44" ht="13" x14ac:dyDescent="0.15">
      <c r="A44" s="3">
        <v>43</v>
      </c>
      <c r="B44" s="220" t="s">
        <v>223</v>
      </c>
      <c r="C44">
        <v>0.5</v>
      </c>
      <c r="D44">
        <v>0.5</v>
      </c>
      <c r="E44">
        <v>0.5</v>
      </c>
      <c r="F44">
        <v>0.5</v>
      </c>
      <c r="G44">
        <v>0.5</v>
      </c>
      <c r="H44">
        <v>0.5</v>
      </c>
      <c r="I44">
        <v>0.5</v>
      </c>
      <c r="J44">
        <v>0.5</v>
      </c>
      <c r="K44">
        <v>0.5</v>
      </c>
      <c r="L44">
        <v>0.5</v>
      </c>
      <c r="M44">
        <v>0.5</v>
      </c>
      <c r="N44">
        <v>0.5</v>
      </c>
    </row>
    <row r="45" ht="13" x14ac:dyDescent="0.15">
      <c r="A45" s="3">
        <v>44</v>
      </c>
      <c r="B45" s="220" t="s">
        <v>224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ht="13" x14ac:dyDescent="0.15">
      <c r="A46" s="3">
        <v>45</v>
      </c>
      <c r="B46" s="220" t="s">
        <v>225</v>
      </c>
      <c r="C46">
        <v>0.5</v>
      </c>
      <c r="D46">
        <v>0.5</v>
      </c>
      <c r="E46">
        <v>0.5</v>
      </c>
      <c r="F46">
        <v>0.5</v>
      </c>
      <c r="G46">
        <v>0.5</v>
      </c>
      <c r="H46">
        <v>0.5</v>
      </c>
      <c r="I46">
        <v>0.5</v>
      </c>
      <c r="J46">
        <v>0.5</v>
      </c>
      <c r="K46">
        <v>0.5</v>
      </c>
      <c r="L46">
        <v>0.5</v>
      </c>
      <c r="M46">
        <v>0.5</v>
      </c>
      <c r="N46">
        <v>0.5</v>
      </c>
    </row>
    <row r="47" ht="13" x14ac:dyDescent="0.15">
      <c r="A47" s="3">
        <v>46</v>
      </c>
      <c r="B47" s="220" t="s">
        <v>226</v>
      </c>
      <c r="C47">
        <v>0.5</v>
      </c>
      <c r="D47">
        <v>0.5</v>
      </c>
      <c r="E47">
        <v>0.5</v>
      </c>
      <c r="F47">
        <v>0.5</v>
      </c>
      <c r="G47">
        <v>0.5</v>
      </c>
      <c r="H47">
        <v>0.5</v>
      </c>
      <c r="I47">
        <v>0.5</v>
      </c>
      <c r="J47">
        <v>0.5</v>
      </c>
      <c r="K47">
        <v>0.5</v>
      </c>
      <c r="L47">
        <v>0.5</v>
      </c>
      <c r="M47">
        <v>0.5</v>
      </c>
      <c r="N47">
        <v>0.5</v>
      </c>
    </row>
    <row r="48" ht="13" x14ac:dyDescent="0.15">
      <c r="A48" s="3">
        <v>47</v>
      </c>
      <c r="B48" s="220" t="s">
        <v>227</v>
      </c>
      <c r="C48">
        <v>0.5</v>
      </c>
      <c r="D48">
        <v>0.5</v>
      </c>
      <c r="E48">
        <v>0.5</v>
      </c>
      <c r="F48">
        <v>0.5</v>
      </c>
      <c r="G48">
        <v>0.5</v>
      </c>
      <c r="H48">
        <v>0.5</v>
      </c>
      <c r="I48">
        <v>0.5</v>
      </c>
      <c r="J48">
        <v>0.5</v>
      </c>
      <c r="K48">
        <v>0.5</v>
      </c>
      <c r="L48">
        <v>0.5</v>
      </c>
      <c r="M48">
        <v>0.5</v>
      </c>
      <c r="N48">
        <v>0.5</v>
      </c>
    </row>
    <row r="49" ht="13" x14ac:dyDescent="0.15">
      <c r="A49" s="3">
        <v>48</v>
      </c>
      <c r="B49" s="220" t="s">
        <v>228</v>
      </c>
      <c r="C49">
        <v>0.5</v>
      </c>
      <c r="D49">
        <v>0.5</v>
      </c>
      <c r="E49">
        <v>0.5</v>
      </c>
      <c r="F49">
        <v>0.5</v>
      </c>
      <c r="G49">
        <v>0.5</v>
      </c>
      <c r="H49">
        <v>0.5</v>
      </c>
      <c r="I49">
        <v>0.5</v>
      </c>
      <c r="J49">
        <v>0.5</v>
      </c>
      <c r="K49">
        <v>0.5</v>
      </c>
      <c r="L49">
        <v>0.5</v>
      </c>
      <c r="M49">
        <v>0.5</v>
      </c>
      <c r="N49">
        <v>0.5</v>
      </c>
    </row>
    <row r="50" ht="13" x14ac:dyDescent="0.15">
      <c r="A50" s="3">
        <v>49</v>
      </c>
      <c r="B50" s="220" t="s">
        <v>229</v>
      </c>
      <c r="C50">
        <v>0.5</v>
      </c>
      <c r="D50">
        <v>0.5</v>
      </c>
      <c r="E50">
        <v>0.5</v>
      </c>
      <c r="F50">
        <v>0.5</v>
      </c>
      <c r="G50">
        <v>0.5</v>
      </c>
      <c r="H50">
        <v>0.5</v>
      </c>
      <c r="I50">
        <v>0.5</v>
      </c>
      <c r="J50">
        <v>0.5</v>
      </c>
      <c r="K50">
        <v>0.5</v>
      </c>
      <c r="L50">
        <v>0.5</v>
      </c>
      <c r="M50">
        <v>0.5</v>
      </c>
      <c r="N50">
        <v>0.5</v>
      </c>
    </row>
    <row r="51" ht="13" x14ac:dyDescent="0.15">
      <c r="A51" s="3">
        <v>50</v>
      </c>
      <c r="B51" s="220" t="s">
        <v>230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ht="13" x14ac:dyDescent="0.15">
      <c r="A52" s="3">
        <v>51</v>
      </c>
      <c r="B52" s="220" t="s">
        <v>231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ht="13" x14ac:dyDescent="0.15">
      <c r="A53" s="3">
        <v>52</v>
      </c>
      <c r="B53" s="220" t="s">
        <v>233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ht="13" x14ac:dyDescent="0.15">
      <c r="A54" s="3">
        <v>53</v>
      </c>
      <c r="B54" s="220" t="s">
        <v>234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ht="13" x14ac:dyDescent="0.15">
      <c r="A55" s="3">
        <v>54</v>
      </c>
      <c r="B55" s="220" t="s">
        <v>235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ht="13" x14ac:dyDescent="0.15">
      <c r="A56" s="3">
        <v>55</v>
      </c>
      <c r="B56" s="220" t="s">
        <v>237</v>
      </c>
      <c r="C56">
        <v>0.5</v>
      </c>
      <c r="D56">
        <v>0.5</v>
      </c>
      <c r="E56">
        <v>0.5</v>
      </c>
      <c r="F56">
        <v>0.5</v>
      </c>
      <c r="G56">
        <v>0.5</v>
      </c>
      <c r="H56">
        <v>0.5</v>
      </c>
      <c r="I56">
        <v>0.5</v>
      </c>
      <c r="J56">
        <v>0.5</v>
      </c>
      <c r="K56">
        <v>0.5</v>
      </c>
      <c r="L56">
        <v>0.5</v>
      </c>
      <c r="M56">
        <v>0.5</v>
      </c>
      <c r="N56">
        <v>0.5</v>
      </c>
    </row>
    <row r="57" ht="13" x14ac:dyDescent="0.15">
      <c r="A57" s="3">
        <v>56</v>
      </c>
      <c r="B57" s="220" t="s">
        <v>238</v>
      </c>
      <c r="C57">
        <v>0.5</v>
      </c>
      <c r="D57">
        <v>0.5</v>
      </c>
      <c r="E57">
        <v>0.5</v>
      </c>
      <c r="F57">
        <v>0.5</v>
      </c>
      <c r="G57">
        <v>0.5</v>
      </c>
      <c r="H57">
        <v>0.5</v>
      </c>
      <c r="I57">
        <v>0.5</v>
      </c>
      <c r="J57">
        <v>0.5</v>
      </c>
      <c r="K57">
        <v>0.5</v>
      </c>
      <c r="L57">
        <v>0.5</v>
      </c>
      <c r="M57">
        <v>0.5</v>
      </c>
      <c r="N57">
        <v>0.5</v>
      </c>
    </row>
    <row r="58" ht="13" x14ac:dyDescent="0.15">
      <c r="A58" s="3">
        <v>57</v>
      </c>
      <c r="B58" s="220" t="s">
        <v>239</v>
      </c>
      <c r="C58">
        <v>0.5</v>
      </c>
      <c r="D58">
        <v>0.5</v>
      </c>
      <c r="E58">
        <v>0.5</v>
      </c>
      <c r="F58">
        <v>0.5</v>
      </c>
      <c r="G58">
        <v>0.5</v>
      </c>
      <c r="H58">
        <v>0.5</v>
      </c>
      <c r="I58">
        <v>0.5</v>
      </c>
      <c r="J58">
        <v>0.5</v>
      </c>
      <c r="K58">
        <v>0.5</v>
      </c>
      <c r="L58">
        <v>0.5</v>
      </c>
      <c r="M58">
        <v>0.5</v>
      </c>
      <c r="N58">
        <v>0.5</v>
      </c>
    </row>
    <row r="59" ht="13" x14ac:dyDescent="0.15">
      <c r="A59" s="3">
        <v>58</v>
      </c>
      <c r="B59" s="220" t="s">
        <v>240</v>
      </c>
      <c r="C59">
        <v>0.5</v>
      </c>
      <c r="D59">
        <v>0.5</v>
      </c>
      <c r="E59">
        <v>0.5</v>
      </c>
      <c r="F59">
        <v>0.5</v>
      </c>
      <c r="G59">
        <v>0.5</v>
      </c>
      <c r="H59">
        <v>0.5</v>
      </c>
      <c r="I59">
        <v>0.5</v>
      </c>
      <c r="J59">
        <v>0.5</v>
      </c>
      <c r="K59">
        <v>0.5</v>
      </c>
      <c r="L59">
        <v>0.5</v>
      </c>
      <c r="M59">
        <v>0.5</v>
      </c>
      <c r="N59">
        <v>0.5</v>
      </c>
    </row>
    <row r="60" ht="13" x14ac:dyDescent="0.15">
      <c r="A60" s="3">
        <v>59</v>
      </c>
      <c r="B60" s="220" t="s">
        <v>241</v>
      </c>
      <c r="C60">
        <v>0.5</v>
      </c>
      <c r="D60">
        <v>0.5</v>
      </c>
      <c r="E60">
        <v>0.5</v>
      </c>
      <c r="F60">
        <v>0.5</v>
      </c>
      <c r="G60">
        <v>0.5</v>
      </c>
      <c r="H60">
        <v>0.5</v>
      </c>
      <c r="I60">
        <v>0.5</v>
      </c>
      <c r="J60">
        <v>0.5</v>
      </c>
      <c r="K60">
        <v>0.5</v>
      </c>
      <c r="L60">
        <v>0.5</v>
      </c>
      <c r="M60">
        <v>0.5</v>
      </c>
      <c r="N60">
        <v>0.5</v>
      </c>
    </row>
    <row r="61" ht="13" x14ac:dyDescent="0.15">
      <c r="A61" s="3">
        <v>60</v>
      </c>
      <c r="B61" s="220" t="s">
        <v>242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ht="13" x14ac:dyDescent="0.15">
      <c r="A62" s="3">
        <v>61</v>
      </c>
      <c r="B62" s="220" t="s">
        <v>243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ht="13" x14ac:dyDescent="0.15">
      <c r="A63" s="3">
        <v>62</v>
      </c>
      <c r="B63" s="220" t="s">
        <v>244</v>
      </c>
      <c r="C63">
        <v>0.5</v>
      </c>
      <c r="D63">
        <v>0.5</v>
      </c>
      <c r="E63">
        <v>0.5</v>
      </c>
      <c r="F63">
        <v>0.5</v>
      </c>
      <c r="G63">
        <v>0.5</v>
      </c>
      <c r="H63">
        <v>0.5</v>
      </c>
      <c r="I63">
        <v>0.5</v>
      </c>
      <c r="J63">
        <v>0.5</v>
      </c>
      <c r="K63">
        <v>0.5</v>
      </c>
      <c r="L63">
        <v>0.5</v>
      </c>
      <c r="M63">
        <v>0.5</v>
      </c>
      <c r="N63">
        <v>0.5</v>
      </c>
    </row>
    <row r="64" ht="13" x14ac:dyDescent="0.15">
      <c r="A64" s="3">
        <v>63</v>
      </c>
      <c r="B64" s="220" t="s">
        <v>245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ht="13" x14ac:dyDescent="0.15">
      <c r="A65" s="3">
        <v>64</v>
      </c>
      <c r="B65" s="220" t="s">
        <v>246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ht="13" x14ac:dyDescent="0.15">
      <c r="A66" s="3">
        <v>65</v>
      </c>
      <c r="B66" s="220" t="s">
        <v>247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ht="13" x14ac:dyDescent="0.15">
      <c r="A67" s="3">
        <v>66</v>
      </c>
      <c r="B67" s="220" t="s">
        <v>248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ht="13" x14ac:dyDescent="0.15">
      <c r="A68" s="3">
        <v>67</v>
      </c>
      <c r="B68" s="220" t="s">
        <v>249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ht="13" x14ac:dyDescent="0.15">
      <c r="A69" s="3">
        <v>68</v>
      </c>
      <c r="B69" s="220" t="s">
        <v>250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ht="13" x14ac:dyDescent="0.15">
      <c r="A70" s="3">
        <v>69</v>
      </c>
      <c r="B70" s="220" t="s">
        <v>175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ColWidth="8.83203125" defaultRowHeight="15" customHeight="true" x14ac:dyDescent="0.15"/>
  <cols>
    <col min="1" max="1" width="8.83203125" style="61"/>
    <col min="2" max="2" width="41.83203125" style="61" bestFit="true" customWidth="true"/>
    <col min="3" max="3" width="9.33203125" style="61" bestFit="true" customWidth="true"/>
    <col min="4" max="4" width="13" style="61" bestFit="true" customWidth="true"/>
    <col min="5" max="6" width="9.33203125" style="61" bestFit="true" customWidth="true"/>
    <col min="7" max="7" width="9.33203125" style="62" bestFit="true" customWidth="true"/>
    <col min="8" max="8" width="9.33203125" style="61" bestFit="true" customWidth="true"/>
    <col min="9" max="9" width="11" style="61" customWidth="true"/>
    <col min="10" max="10" width="8.83203125" style="61"/>
    <col min="15" max="16384" width="8.83203125" style="61"/>
  </cols>
  <sheetData>
    <row r="1" ht="15" customHeight="true" x14ac:dyDescent="0.15">
      <c r="A1" s="2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ht="15" customHeight="true" x14ac:dyDescent="0.15">
      <c r="A2" s="156">
        <v>1</v>
      </c>
      <c r="B2" s="156" t="s">
        <v>181</v>
      </c>
      <c r="C2" s="5">
        <v>4.4084901809692383</v>
      </c>
      <c r="D2" s="6">
        <v>6.7000001668930054E-2</v>
      </c>
      <c r="E2" s="6">
        <v>1.9999999552965164E-2</v>
      </c>
      <c r="F2" s="6">
        <v>9.8999996185302734</v>
      </c>
      <c r="G2" s="4">
        <v>0</v>
      </c>
      <c r="H2" s="4">
        <v>2.0202021114528179E-3</v>
      </c>
      <c r="I2">
        <v>0</v>
      </c>
      <c r="J2"/>
    </row>
    <row r="3" ht="15" customHeight="true" x14ac:dyDescent="0.15">
      <c r="A3" s="157">
        <v>2</v>
      </c>
      <c r="B3" s="157" t="s">
        <v>182</v>
      </c>
      <c r="C3" s="5">
        <v>4.7724089622497559</v>
      </c>
      <c r="D3" s="6">
        <v>1.7000000923871994E-2</v>
      </c>
      <c r="E3" s="6">
        <v>1.9999999552965164E-2</v>
      </c>
      <c r="F3" s="6">
        <v>17.629999160766602</v>
      </c>
      <c r="G3" s="4">
        <v>0</v>
      </c>
      <c r="H3" s="4">
        <v>1.1344299418851733E-3</v>
      </c>
      <c r="I3">
        <v>0</v>
      </c>
      <c r="J3"/>
    </row>
    <row r="4" ht="15" customHeight="true" x14ac:dyDescent="0.15">
      <c r="A4" s="158">
        <v>3</v>
      </c>
      <c r="B4" s="158" t="s">
        <v>183</v>
      </c>
      <c r="C4" s="5">
        <v>4.9907321929931641</v>
      </c>
      <c r="D4" s="6">
        <v>8.0000003799796104E-3</v>
      </c>
      <c r="E4" s="6">
        <v>9.0000003576278687E-2</v>
      </c>
      <c r="F4" s="6">
        <v>26.841999053955078</v>
      </c>
      <c r="G4" s="4">
        <v>0</v>
      </c>
      <c r="H4" s="4">
        <v>3.3529545180499554E-3</v>
      </c>
      <c r="I4">
        <v>0</v>
      </c>
      <c r="J4"/>
    </row>
    <row r="5" ht="15" customHeight="true" x14ac:dyDescent="0.15">
      <c r="A5" s="159">
        <v>4</v>
      </c>
      <c r="B5" s="159" t="s">
        <v>184</v>
      </c>
      <c r="C5" s="5">
        <v>3.4980349540710449</v>
      </c>
      <c r="D5" s="6">
        <v>3.0000000260770321E-3</v>
      </c>
      <c r="E5" s="6">
        <v>0.2800000011920929</v>
      </c>
      <c r="F5" s="6">
        <v>216.55999755859375</v>
      </c>
      <c r="G5" s="4">
        <v>0</v>
      </c>
      <c r="H5" s="4">
        <v>1.2929441872984171E-3</v>
      </c>
      <c r="I5">
        <v>0</v>
      </c>
      <c r="J5"/>
    </row>
    <row r="6" ht="15" customHeight="true" x14ac:dyDescent="0.15">
      <c r="A6" s="160">
        <v>5</v>
      </c>
      <c r="B6" s="160" t="s">
        <v>185</v>
      </c>
      <c r="C6" s="5">
        <v>4.3067355155944824</v>
      </c>
      <c r="D6" s="6">
        <v>1.0000000474974513E-3</v>
      </c>
      <c r="E6" s="6">
        <v>0.5</v>
      </c>
      <c r="F6" s="6">
        <v>2.5</v>
      </c>
      <c r="G6" s="4">
        <v>0.37920001149177551</v>
      </c>
      <c r="H6" s="4">
        <v>0.20000000298023224</v>
      </c>
      <c r="I6">
        <v>0</v>
      </c>
      <c r="J6"/>
    </row>
    <row r="7" ht="15" customHeight="true" x14ac:dyDescent="0.15">
      <c r="A7" s="161">
        <v>6</v>
      </c>
      <c r="B7" s="161" t="s">
        <v>186</v>
      </c>
      <c r="C7" s="5">
        <v>4.733863353729248</v>
      </c>
      <c r="D7" s="4">
        <v>1.5397224575281143E-2</v>
      </c>
      <c r="E7" s="6">
        <v>0.60000002384185791</v>
      </c>
      <c r="F7" s="6">
        <v>2</v>
      </c>
      <c r="G7" s="6">
        <v>0.94999992847442627</v>
      </c>
      <c r="H7" s="4">
        <v>0.30000001192092896</v>
      </c>
      <c r="I7">
        <v>8.6968708783388138E-3</v>
      </c>
      <c r="J7"/>
    </row>
    <row r="8" ht="15" customHeight="true" x14ac:dyDescent="0.15">
      <c r="A8" s="162">
        <v>7</v>
      </c>
      <c r="B8" s="162" t="s">
        <v>187</v>
      </c>
      <c r="C8" s="5">
        <v>4.9168844223022461</v>
      </c>
      <c r="D8" s="6">
        <v>2.0000000949949026E-3</v>
      </c>
      <c r="E8" s="6">
        <v>0.47999998927116394</v>
      </c>
      <c r="F8" s="6">
        <v>1.6000000238418579</v>
      </c>
      <c r="G8" s="4">
        <v>0.28079891204833984</v>
      </c>
      <c r="H8" s="4">
        <v>0.29999998211860657</v>
      </c>
      <c r="I8">
        <v>2.6956695364788175E-4</v>
      </c>
      <c r="J8"/>
    </row>
    <row r="9" ht="15" customHeight="true" x14ac:dyDescent="0.15">
      <c r="A9" s="163">
        <v>8</v>
      </c>
      <c r="B9" s="163" t="s">
        <v>188</v>
      </c>
      <c r="C9" s="5">
        <v>4.325279712677002</v>
      </c>
      <c r="D9" s="6">
        <v>2.0000000949949026E-3</v>
      </c>
      <c r="E9" s="6">
        <v>0.50999999046325684</v>
      </c>
      <c r="F9" s="6">
        <v>2.9600000381469727</v>
      </c>
      <c r="G9" s="4">
        <v>0.41236147284507751</v>
      </c>
      <c r="H9" s="4">
        <v>0.17229729890823364</v>
      </c>
      <c r="I9">
        <v>2.6260869344696403E-4</v>
      </c>
      <c r="J9"/>
    </row>
    <row r="10" ht="15" customHeight="true" x14ac:dyDescent="0.15">
      <c r="A10" s="164">
        <v>9</v>
      </c>
      <c r="B10" s="164" t="s">
        <v>189</v>
      </c>
      <c r="C10" s="5">
        <v>4.2284345626831055</v>
      </c>
      <c r="D10" s="6">
        <v>0.26800000667572021</v>
      </c>
      <c r="E10" s="6">
        <v>0.6600000262260437</v>
      </c>
      <c r="F10" s="6">
        <v>1.7000000476837158</v>
      </c>
      <c r="G10" s="4">
        <v>3.6235563457012177E-3</v>
      </c>
      <c r="H10" s="4">
        <v>0.38823530077934265</v>
      </c>
      <c r="I10">
        <v>0</v>
      </c>
      <c r="J10"/>
    </row>
    <row r="11" ht="15" customHeight="true" x14ac:dyDescent="0.15">
      <c r="A11" s="165">
        <v>10</v>
      </c>
      <c r="B11" s="165" t="s">
        <v>190</v>
      </c>
      <c r="C11" s="5">
        <v>4.4801411628723145</v>
      </c>
      <c r="D11" s="6">
        <v>0.10899999737739563</v>
      </c>
      <c r="E11" s="6">
        <v>0.6600000262260437</v>
      </c>
      <c r="F11" s="6">
        <v>1.7000000476837158</v>
      </c>
      <c r="G11" s="4">
        <v>9.3556247651576996E-2</v>
      </c>
      <c r="H11" s="4">
        <v>0.38823530077934265</v>
      </c>
      <c r="I11">
        <v>6.7304368130862713E-3</v>
      </c>
      <c r="J11"/>
    </row>
    <row r="12" ht="15" customHeight="true" x14ac:dyDescent="0.15">
      <c r="A12" s="166">
        <v>11</v>
      </c>
      <c r="B12" s="166" t="s">
        <v>191</v>
      </c>
      <c r="C12" s="5">
        <v>4.4859967231750488</v>
      </c>
      <c r="D12" s="6">
        <v>6.5999999642372131E-2</v>
      </c>
      <c r="E12" s="6">
        <v>0.77999997138977051</v>
      </c>
      <c r="F12" s="6">
        <v>2.2999999523162842</v>
      </c>
      <c r="G12" s="4">
        <v>0.10758765041828156</v>
      </c>
      <c r="H12" s="4">
        <v>0.33913043141365051</v>
      </c>
      <c r="I12">
        <v>5.538612138479948E-3</v>
      </c>
      <c r="J12"/>
    </row>
    <row r="13" ht="15" customHeight="true" x14ac:dyDescent="0.15">
      <c r="A13" s="167">
        <v>12</v>
      </c>
      <c r="B13" s="167" t="s">
        <v>192</v>
      </c>
      <c r="C13" s="5">
        <v>4.4423508644104004</v>
      </c>
      <c r="D13" s="6">
        <v>5.000000074505806E-2</v>
      </c>
      <c r="E13" s="6">
        <v>0.34999999403953552</v>
      </c>
      <c r="F13" s="6">
        <v>1.7999999523162842</v>
      </c>
      <c r="G13" s="4">
        <v>3.8758756127208471E-3</v>
      </c>
      <c r="H13" s="4">
        <v>0.1944444477558136</v>
      </c>
      <c r="I13">
        <v>6.782782293157652E-5</v>
      </c>
      <c r="J13"/>
    </row>
    <row r="14" ht="15" customHeight="true" x14ac:dyDescent="0.15">
      <c r="A14" s="168">
        <v>13</v>
      </c>
      <c r="B14" s="168" t="s">
        <v>193</v>
      </c>
      <c r="C14" s="5">
        <v>4.4142985343933105</v>
      </c>
      <c r="D14" s="6">
        <v>7.9000003635883331E-2</v>
      </c>
      <c r="E14" s="6">
        <v>1.7899999618530273</v>
      </c>
      <c r="F14" s="6">
        <v>5.9600000381469727</v>
      </c>
      <c r="G14" s="4">
        <v>0.91444569826126099</v>
      </c>
      <c r="H14" s="4">
        <v>0.30033555626869202</v>
      </c>
      <c r="I14">
        <v>5.1578953862190247E-2</v>
      </c>
      <c r="J14"/>
    </row>
    <row r="15" ht="15" customHeight="true" x14ac:dyDescent="0.15">
      <c r="A15" s="169">
        <v>14</v>
      </c>
      <c r="B15" s="169" t="s">
        <v>194</v>
      </c>
      <c r="C15" s="5">
        <v>4.8124656677246094</v>
      </c>
      <c r="D15" s="6">
        <v>0.16099999845027924</v>
      </c>
      <c r="E15" s="6">
        <v>1.190000057220459</v>
      </c>
      <c r="F15" s="6">
        <v>3.5</v>
      </c>
      <c r="G15" s="4">
        <v>0.74234819412231445</v>
      </c>
      <c r="H15" s="4">
        <v>0.34000000357627869</v>
      </c>
      <c r="I15">
        <v>0.12315721809864044</v>
      </c>
      <c r="J15"/>
    </row>
    <row r="16" ht="15" customHeight="true" x14ac:dyDescent="0.15">
      <c r="A16" s="170">
        <v>15</v>
      </c>
      <c r="B16" s="170" t="s">
        <v>195</v>
      </c>
      <c r="C16" s="5">
        <v>4.264528751373291</v>
      </c>
      <c r="D16" s="6">
        <v>0.22200000286102295</v>
      </c>
      <c r="E16" s="6">
        <v>2.3599998950958252</v>
      </c>
      <c r="F16" s="6">
        <v>6.5799999237060547</v>
      </c>
      <c r="G16" s="4">
        <v>0.85009044408798218</v>
      </c>
      <c r="H16" s="4">
        <v>0.35866260528564453</v>
      </c>
      <c r="I16">
        <v>2.4149738252162933E-2</v>
      </c>
      <c r="J16"/>
    </row>
    <row r="17" ht="15" customHeight="true" x14ac:dyDescent="0.15">
      <c r="A17" s="171">
        <v>16</v>
      </c>
      <c r="B17" s="171" t="s">
        <v>196</v>
      </c>
      <c r="C17" s="5">
        <v>4.3941836357116699</v>
      </c>
      <c r="D17" s="6">
        <v>0.35199999809265137</v>
      </c>
      <c r="E17" s="6">
        <v>0.88999998569488525</v>
      </c>
      <c r="F17" s="6">
        <v>5.4600000381469727</v>
      </c>
      <c r="G17" s="4">
        <v>0.92131930589675903</v>
      </c>
      <c r="H17" s="4">
        <v>0.16300365328788757</v>
      </c>
      <c r="I17">
        <v>0.17989511787891388</v>
      </c>
      <c r="J17"/>
    </row>
    <row r="18" ht="15" customHeight="true" x14ac:dyDescent="0.15">
      <c r="A18" s="172">
        <v>17</v>
      </c>
      <c r="B18" s="172" t="s">
        <v>197</v>
      </c>
      <c r="C18" s="5">
        <v>4.0464997291564941</v>
      </c>
      <c r="D18" s="6">
        <v>0.28400000929832458</v>
      </c>
      <c r="E18" s="6">
        <v>2</v>
      </c>
      <c r="F18" s="6">
        <v>5.3899998664855957</v>
      </c>
      <c r="G18" s="4">
        <v>0.44727194309234619</v>
      </c>
      <c r="H18" s="4">
        <v>0.37105751037597656</v>
      </c>
      <c r="I18">
        <v>6.259530782699585E-2</v>
      </c>
      <c r="J18"/>
    </row>
    <row r="19" ht="15" customHeight="true" x14ac:dyDescent="0.15">
      <c r="A19" s="173">
        <v>18</v>
      </c>
      <c r="B19" s="173" t="s">
        <v>198</v>
      </c>
      <c r="C19" s="5">
        <v>4.2679586410522461</v>
      </c>
      <c r="D19" s="6">
        <v>0.10400000214576721</v>
      </c>
      <c r="E19" s="6">
        <v>1.1399999856948853</v>
      </c>
      <c r="F19" s="6">
        <v>4.4000000953674316</v>
      </c>
      <c r="G19" s="4">
        <v>0.95908838510513306</v>
      </c>
      <c r="H19" s="4">
        <v>0.25909090042114258</v>
      </c>
      <c r="I19">
        <v>9.441443532705307E-2</v>
      </c>
      <c r="J19"/>
    </row>
    <row r="20" ht="15" customHeight="true" x14ac:dyDescent="0.15">
      <c r="A20" s="174">
        <v>19</v>
      </c>
      <c r="B20" s="174" t="s">
        <v>199</v>
      </c>
      <c r="C20" s="5">
        <v>4.0272893905639648</v>
      </c>
      <c r="D20" s="6">
        <v>0.28099998831748962</v>
      </c>
      <c r="E20" s="6">
        <v>1</v>
      </c>
      <c r="F20" s="6">
        <v>4.940000057220459</v>
      </c>
      <c r="G20" s="4">
        <v>0.30842354893684387</v>
      </c>
      <c r="H20" s="4">
        <v>0.2024291455745697</v>
      </c>
      <c r="I20">
        <v>5.4788868874311447E-2</v>
      </c>
      <c r="J20"/>
    </row>
    <row r="21" ht="15" customHeight="true" x14ac:dyDescent="0.15">
      <c r="A21" s="175">
        <v>20</v>
      </c>
      <c r="B21" s="175" t="s">
        <v>200</v>
      </c>
      <c r="C21" s="5">
        <v>4.344973087310791</v>
      </c>
      <c r="D21" s="6">
        <v>0.2199999988079071</v>
      </c>
      <c r="E21" s="6">
        <v>0.94999998807907104</v>
      </c>
      <c r="F21" s="6">
        <v>3.5999999046325684</v>
      </c>
      <c r="G21" s="4">
        <v>0.61466240882873535</v>
      </c>
      <c r="H21" s="4">
        <v>0.2638888955116272</v>
      </c>
      <c r="I21">
        <v>0.11631321161985397</v>
      </c>
      <c r="J21"/>
    </row>
    <row r="22" ht="15" customHeight="true" x14ac:dyDescent="0.15">
      <c r="A22" s="176">
        <v>21</v>
      </c>
      <c r="B22" s="176" t="s">
        <v>201</v>
      </c>
      <c r="C22" s="5">
        <v>4.8972206115722656</v>
      </c>
      <c r="D22" s="6">
        <v>1.4000000432133675E-2</v>
      </c>
      <c r="E22" s="6">
        <v>0.81999999284744263</v>
      </c>
      <c r="F22" s="6">
        <v>2.2000000476837158</v>
      </c>
      <c r="G22" s="4">
        <v>0.62632083892822266</v>
      </c>
      <c r="H22" s="4">
        <v>0.37272727489471436</v>
      </c>
      <c r="I22">
        <v>5.2419188432395458E-3</v>
      </c>
      <c r="J22"/>
    </row>
    <row r="23" ht="15" customHeight="true" x14ac:dyDescent="0.15">
      <c r="A23" s="177">
        <v>22</v>
      </c>
      <c r="B23" s="177" t="s">
        <v>202</v>
      </c>
      <c r="C23" s="5">
        <v>4.0845060348510742</v>
      </c>
      <c r="D23" s="6">
        <v>7.9999998211860657E-2</v>
      </c>
      <c r="E23" s="6">
        <v>2.5</v>
      </c>
      <c r="F23" s="6">
        <v>9.0600004196166992</v>
      </c>
      <c r="G23" s="4">
        <v>0.83289378881454468</v>
      </c>
      <c r="H23" s="4">
        <v>0.27593818306922913</v>
      </c>
      <c r="I23">
        <v>6.0457393527030945E-2</v>
      </c>
      <c r="J23"/>
    </row>
    <row r="24" ht="15" customHeight="true" x14ac:dyDescent="0.15">
      <c r="A24" s="178">
        <v>23</v>
      </c>
      <c r="B24" s="178" t="s">
        <v>203</v>
      </c>
      <c r="C24" s="5">
        <v>3.5840492248535156</v>
      </c>
      <c r="D24" s="6">
        <v>1.3940000534057617</v>
      </c>
      <c r="E24" s="6">
        <v>2.2000000476837158</v>
      </c>
      <c r="F24" s="6">
        <v>5.0500001907348633</v>
      </c>
      <c r="G24" s="4">
        <v>0.73502552509307861</v>
      </c>
      <c r="H24" s="4">
        <v>0.43564355373382568</v>
      </c>
      <c r="I24">
        <v>0.27109739184379578</v>
      </c>
      <c r="J24"/>
    </row>
    <row r="25" ht="15" customHeight="true" x14ac:dyDescent="0.15">
      <c r="A25" s="179">
        <v>24</v>
      </c>
      <c r="B25" s="179" t="s">
        <v>204</v>
      </c>
      <c r="C25" s="5">
        <v>4.4988346099853516</v>
      </c>
      <c r="D25" s="4">
        <v>4.7943811863660812E-2</v>
      </c>
      <c r="E25" s="6">
        <v>1.2699999809265137</v>
      </c>
      <c r="F25" s="6">
        <v>3.2000000476837158</v>
      </c>
      <c r="G25" s="6">
        <v>0.94999992847442627</v>
      </c>
      <c r="H25" s="4">
        <v>0.39687499403953552</v>
      </c>
      <c r="I25">
        <v>3.6001391708850861E-2</v>
      </c>
      <c r="J25"/>
    </row>
    <row r="26" ht="15" customHeight="true" x14ac:dyDescent="0.15">
      <c r="A26" s="180">
        <v>25</v>
      </c>
      <c r="B26" s="180" t="s">
        <v>205</v>
      </c>
      <c r="C26" s="5">
        <v>3.8312139511108398</v>
      </c>
      <c r="D26" s="4">
        <v>0.18888953328132629</v>
      </c>
      <c r="E26" s="6">
        <v>2.2999999523162842</v>
      </c>
      <c r="F26" s="6">
        <v>6</v>
      </c>
      <c r="G26" s="6">
        <v>0.94999986886978149</v>
      </c>
      <c r="H26" s="4">
        <v>0.38333332538604736</v>
      </c>
      <c r="I26">
        <v>2.8043482452630997E-2</v>
      </c>
      <c r="J26"/>
    </row>
    <row r="27" ht="15" customHeight="true" x14ac:dyDescent="0.15">
      <c r="A27" s="181">
        <v>26</v>
      </c>
      <c r="B27" s="181" t="s">
        <v>206</v>
      </c>
      <c r="C27" s="5">
        <v>4.8167190551757812</v>
      </c>
      <c r="D27" s="6">
        <v>4.1999999433755875E-2</v>
      </c>
      <c r="E27" s="6">
        <v>0.69999998807907104</v>
      </c>
      <c r="F27" s="6">
        <v>1.8999999761581421</v>
      </c>
      <c r="G27" s="4">
        <v>0.84264540672302246</v>
      </c>
      <c r="H27" s="4">
        <v>0.3684210479259491</v>
      </c>
      <c r="I27">
        <v>2.2309044376015663E-2</v>
      </c>
      <c r="J27"/>
    </row>
    <row r="28" ht="15" customHeight="true" x14ac:dyDescent="0.15">
      <c r="A28" s="182">
        <v>27</v>
      </c>
      <c r="B28" s="182" t="s">
        <v>207</v>
      </c>
      <c r="C28" s="5">
        <v>4.5116701126098633</v>
      </c>
      <c r="D28" s="6">
        <v>7.6999999582767487E-2</v>
      </c>
      <c r="E28" s="6">
        <v>0.81999999284744263</v>
      </c>
      <c r="F28" s="6">
        <v>3.2000000476837158</v>
      </c>
      <c r="G28" s="4">
        <v>0.53708642721176147</v>
      </c>
      <c r="H28" s="4">
        <v>0.25624999403953552</v>
      </c>
      <c r="I28">
        <v>7.9726967960596085E-3</v>
      </c>
      <c r="J28"/>
    </row>
    <row r="29" ht="15" customHeight="true" x14ac:dyDescent="0.15">
      <c r="A29" s="183">
        <v>28</v>
      </c>
      <c r="B29" s="183" t="s">
        <v>208</v>
      </c>
      <c r="C29" s="5">
        <v>3.4421839714050293</v>
      </c>
      <c r="D29" s="6">
        <v>0.62999999523162842</v>
      </c>
      <c r="E29" s="6">
        <v>1.309999942779541</v>
      </c>
      <c r="F29" s="6">
        <v>5.630000114440918</v>
      </c>
      <c r="G29" s="4">
        <v>0.65159022808074951</v>
      </c>
      <c r="H29" s="4">
        <v>0.23268204927444458</v>
      </c>
      <c r="I29">
        <v>0.14993739128112793</v>
      </c>
      <c r="J29"/>
    </row>
    <row r="30" ht="15" customHeight="true" x14ac:dyDescent="0.15">
      <c r="A30" s="184">
        <v>29</v>
      </c>
      <c r="B30" s="184" t="s">
        <v>209</v>
      </c>
      <c r="C30" s="5">
        <v>3.4544706344604492</v>
      </c>
      <c r="D30" s="6">
        <v>1.965999960899353</v>
      </c>
      <c r="E30" s="6">
        <v>0.80000001192092896</v>
      </c>
      <c r="F30" s="6">
        <v>4.3400001525878906</v>
      </c>
      <c r="G30" s="4">
        <v>0.67823827266693115</v>
      </c>
      <c r="H30" s="4">
        <v>0.18433178961277008</v>
      </c>
      <c r="I30">
        <v>0.8517913818359375</v>
      </c>
      <c r="J30"/>
    </row>
    <row r="31" ht="15" customHeight="true" x14ac:dyDescent="0.15">
      <c r="A31" s="185">
        <v>30</v>
      </c>
      <c r="B31" s="185" t="s">
        <v>210</v>
      </c>
      <c r="C31" s="5">
        <v>2.9682674407958984</v>
      </c>
      <c r="D31" s="6">
        <v>0.57899999618530273</v>
      </c>
      <c r="E31" s="6">
        <v>2.2799999713897705</v>
      </c>
      <c r="F31" s="6">
        <v>6</v>
      </c>
      <c r="G31" s="4">
        <v>0.77994918823242188</v>
      </c>
      <c r="H31" s="4">
        <v>0.37999999523162842</v>
      </c>
      <c r="I31">
        <v>0.18046852946281433</v>
      </c>
      <c r="J31"/>
    </row>
    <row r="32" ht="15" customHeight="true" x14ac:dyDescent="0.15">
      <c r="A32" s="186">
        <v>31</v>
      </c>
      <c r="B32" s="186" t="s">
        <v>211</v>
      </c>
      <c r="C32" s="5">
        <v>3.8963816165924072</v>
      </c>
      <c r="D32" s="6">
        <v>1.7200000286102295</v>
      </c>
      <c r="E32" s="6">
        <v>0.60000002384185791</v>
      </c>
      <c r="F32" s="6">
        <v>1.7300000190734863</v>
      </c>
      <c r="G32" s="4">
        <v>0.62434452772140503</v>
      </c>
      <c r="H32" s="4">
        <v>0.34682083129882812</v>
      </c>
      <c r="I32">
        <v>0.54802453517913818</v>
      </c>
      <c r="J32"/>
    </row>
    <row r="33" ht="15" customHeight="true" x14ac:dyDescent="0.15">
      <c r="A33" s="187">
        <v>32</v>
      </c>
      <c r="B33" s="187" t="s">
        <v>212</v>
      </c>
      <c r="C33" s="5">
        <v>4.3655171394348145</v>
      </c>
      <c r="D33" s="6">
        <v>0.57899999618530273</v>
      </c>
      <c r="E33" s="6">
        <v>1.2000000476837158</v>
      </c>
      <c r="F33" s="6">
        <v>3.5099999904632568</v>
      </c>
      <c r="G33" s="4">
        <v>0.35058218240737915</v>
      </c>
      <c r="H33" s="4">
        <v>0.34188035130500793</v>
      </c>
      <c r="I33">
        <v>0.1708589494228363</v>
      </c>
      <c r="J33"/>
    </row>
    <row r="34" ht="15" customHeight="true" x14ac:dyDescent="0.15">
      <c r="A34" s="188">
        <v>33</v>
      </c>
      <c r="B34" s="188" t="s">
        <v>213</v>
      </c>
      <c r="C34" s="5">
        <v>3.3437488079071045</v>
      </c>
      <c r="D34" s="6">
        <v>3.121999979019165</v>
      </c>
      <c r="E34" s="6">
        <v>2.2799999713897705</v>
      </c>
      <c r="F34" s="6">
        <v>10.100000381469727</v>
      </c>
      <c r="G34" s="4">
        <v>0.76361846923828125</v>
      </c>
      <c r="H34" s="4">
        <v>0.22574256360530853</v>
      </c>
      <c r="I34">
        <v>1.4653182029724121</v>
      </c>
      <c r="J34"/>
    </row>
    <row r="35" ht="15" customHeight="true" x14ac:dyDescent="0.15">
      <c r="A35" s="189">
        <v>34</v>
      </c>
      <c r="B35" s="189" t="s">
        <v>214</v>
      </c>
      <c r="C35" s="5">
        <v>3.9775683879852295</v>
      </c>
      <c r="D35" s="6">
        <v>0.70300000905990601</v>
      </c>
      <c r="E35" s="6">
        <v>0.85000002384185791</v>
      </c>
      <c r="F35" s="6">
        <v>3.4200000762939453</v>
      </c>
      <c r="G35" s="4">
        <v>0.68699347972869873</v>
      </c>
      <c r="H35" s="4">
        <v>0.24853801727294922</v>
      </c>
      <c r="I35">
        <v>0.37772020697593689</v>
      </c>
      <c r="J35"/>
    </row>
    <row r="36" ht="15" customHeight="true" x14ac:dyDescent="0.15">
      <c r="A36" s="190">
        <v>35</v>
      </c>
      <c r="B36" s="190" t="s">
        <v>215</v>
      </c>
      <c r="C36" s="5">
        <v>4.0015525817871094</v>
      </c>
      <c r="D36" s="6">
        <v>3</v>
      </c>
      <c r="E36" s="6">
        <v>0.67199999094009399</v>
      </c>
      <c r="F36" s="6">
        <v>3.3599998950958252</v>
      </c>
      <c r="G36" s="4">
        <v>0.2203810065984726</v>
      </c>
      <c r="H36" s="4">
        <v>0.20000000298023224</v>
      </c>
      <c r="I36">
        <v>0.13644365966320038</v>
      </c>
      <c r="J36"/>
    </row>
    <row r="37" ht="15" customHeight="true" x14ac:dyDescent="0.15">
      <c r="A37" s="191">
        <v>36</v>
      </c>
      <c r="B37" s="191" t="s">
        <v>216</v>
      </c>
      <c r="C37" s="5">
        <v>4.1706738471984863</v>
      </c>
      <c r="D37" s="6">
        <v>0.34999999403953552</v>
      </c>
      <c r="E37" s="6">
        <v>0.69999998807907104</v>
      </c>
      <c r="F37" s="6">
        <v>3.4000000953674316</v>
      </c>
      <c r="G37" s="4">
        <v>0.45590609312057495</v>
      </c>
      <c r="H37" s="4">
        <v>0.20588234066963196</v>
      </c>
      <c r="I37">
        <v>5.2173913900332991E-6</v>
      </c>
      <c r="J37"/>
    </row>
    <row r="38" ht="15" customHeight="true" x14ac:dyDescent="0.15">
      <c r="A38" s="192">
        <v>37</v>
      </c>
      <c r="B38" s="192" t="s">
        <v>217</v>
      </c>
      <c r="C38" s="5">
        <v>4.3667259216308594</v>
      </c>
      <c r="D38" s="6">
        <v>0.25</v>
      </c>
      <c r="E38" s="6">
        <v>1.1000000238418579</v>
      </c>
      <c r="F38" s="6">
        <v>3.2000000476837158</v>
      </c>
      <c r="G38" s="4">
        <v>0.27171984314918518</v>
      </c>
      <c r="H38" s="4">
        <v>0.34375</v>
      </c>
      <c r="I38">
        <v>6.3453041017055511E-2</v>
      </c>
      <c r="J38"/>
    </row>
    <row r="39" ht="15" customHeight="true" x14ac:dyDescent="0.15">
      <c r="A39" s="193">
        <v>38</v>
      </c>
      <c r="B39" s="193" t="s">
        <v>218</v>
      </c>
      <c r="C39" s="5">
        <v>3.9882745742797852</v>
      </c>
      <c r="D39" s="6">
        <v>0.15800000727176666</v>
      </c>
      <c r="E39" s="6">
        <v>0.80000001192092896</v>
      </c>
      <c r="F39" s="6">
        <v>3.0999999046325684</v>
      </c>
      <c r="G39" s="4">
        <v>0.88153535127639771</v>
      </c>
      <c r="H39" s="4">
        <v>0.25806453824043274</v>
      </c>
      <c r="I39">
        <v>6.6716521978378296E-2</v>
      </c>
      <c r="J39"/>
    </row>
    <row r="40" ht="15" customHeight="true" x14ac:dyDescent="0.15">
      <c r="A40" s="194">
        <v>39</v>
      </c>
      <c r="B40" s="194" t="s">
        <v>219</v>
      </c>
      <c r="C40" s="5">
        <v>3.9235982894897461</v>
      </c>
      <c r="D40" s="6">
        <v>0.30500000715255737</v>
      </c>
      <c r="E40" s="6">
        <v>0.86400002241134644</v>
      </c>
      <c r="F40" s="6">
        <v>4.320000171661377</v>
      </c>
      <c r="G40" s="4">
        <v>0.23756563663482666</v>
      </c>
      <c r="H40" s="4">
        <v>0.20000000298023224</v>
      </c>
      <c r="I40">
        <v>1.4560697600245476E-2</v>
      </c>
      <c r="J40"/>
    </row>
    <row r="41" ht="15" customHeight="true" x14ac:dyDescent="0.15">
      <c r="A41" s="230">
        <v>40</v>
      </c>
      <c r="B41" s="230" t="s">
        <v>220</v>
      </c>
      <c r="C41" s="5">
        <v>4.0291008949279785</v>
      </c>
      <c r="D41" s="6">
        <v>8.2000002264976501E-2</v>
      </c>
      <c r="E41" s="6">
        <v>0.89999997615814209</v>
      </c>
      <c r="F41" s="6">
        <v>3</v>
      </c>
      <c r="G41" s="4">
        <v>0.40213704109191895</v>
      </c>
      <c r="H41" s="4">
        <v>0.29999998211860657</v>
      </c>
      <c r="I41">
        <v>1.6182441264390945E-2</v>
      </c>
      <c r="J41"/>
    </row>
    <row r="42" ht="15" customHeight="true" x14ac:dyDescent="0.15">
      <c r="A42" s="231">
        <v>41</v>
      </c>
      <c r="B42" s="231" t="s">
        <v>221</v>
      </c>
      <c r="C42" s="5">
        <v>4.6098165512084961</v>
      </c>
      <c r="D42" s="6">
        <v>5.4000001400709152E-2</v>
      </c>
      <c r="E42" s="6">
        <v>0.86000001430511475</v>
      </c>
      <c r="F42" s="6">
        <v>2.2999999523162842</v>
      </c>
      <c r="G42" s="4">
        <v>0.13739915192127228</v>
      </c>
      <c r="H42" s="4">
        <v>0.37391304969787598</v>
      </c>
      <c r="I42">
        <v>4.2313076555728912E-3</v>
      </c>
      <c r="J42"/>
    </row>
    <row r="43" ht="15" customHeight="true" x14ac:dyDescent="0.15">
      <c r="A43" s="232">
        <v>42</v>
      </c>
      <c r="B43" s="232" t="s">
        <v>222</v>
      </c>
      <c r="C43" s="5">
        <v>4.4556789398193359</v>
      </c>
      <c r="D43" s="6">
        <v>3.4000001847743988E-2</v>
      </c>
      <c r="E43" s="6">
        <v>0.72000002861022949</v>
      </c>
      <c r="F43" s="6">
        <v>3.0999999046325684</v>
      </c>
      <c r="G43" s="4">
        <v>0.2378181517124176</v>
      </c>
      <c r="H43" s="4">
        <v>0.23225808143615723</v>
      </c>
      <c r="I43">
        <v>3.4466120414435863E-3</v>
      </c>
      <c r="J43"/>
    </row>
    <row r="44" ht="15" customHeight="true" x14ac:dyDescent="0.15">
      <c r="A44" s="233">
        <v>43</v>
      </c>
      <c r="B44" s="233" t="s">
        <v>223</v>
      </c>
      <c r="C44" s="5">
        <v>4.840691089630127</v>
      </c>
      <c r="D44" s="6">
        <v>3.2999999821186066E-2</v>
      </c>
      <c r="E44" s="6">
        <v>0.15999999642372131</v>
      </c>
      <c r="F44" s="6">
        <v>3.1400001049041748</v>
      </c>
      <c r="G44" s="4">
        <v>0.24967063963413239</v>
      </c>
      <c r="H44" s="4">
        <v>5.0955411046743393E-2</v>
      </c>
      <c r="I44">
        <v>1.3182609109207988E-3</v>
      </c>
      <c r="J44"/>
    </row>
    <row r="45" ht="15" customHeight="true" x14ac:dyDescent="0.15">
      <c r="A45" s="234">
        <v>44</v>
      </c>
      <c r="B45" s="234" t="s">
        <v>224</v>
      </c>
      <c r="C45" s="5">
        <v>3.9670591354370117</v>
      </c>
      <c r="D45" s="6">
        <v>4.5000001788139343E-2</v>
      </c>
      <c r="E45" s="6">
        <v>1.5</v>
      </c>
      <c r="F45" s="6">
        <v>6</v>
      </c>
      <c r="G45" s="4">
        <v>0.71723026037216187</v>
      </c>
      <c r="H45" s="4">
        <v>0.25</v>
      </c>
      <c r="I45">
        <v>0</v>
      </c>
      <c r="J45"/>
    </row>
    <row r="46" ht="15" customHeight="true" x14ac:dyDescent="0.15">
      <c r="A46" s="235">
        <v>45</v>
      </c>
      <c r="B46" s="235" t="s">
        <v>225</v>
      </c>
      <c r="C46" s="5">
        <v>4.2646145820617676</v>
      </c>
      <c r="D46" s="6">
        <v>1.4000000432133675E-2</v>
      </c>
      <c r="E46" s="6">
        <v>0.47999998927116394</v>
      </c>
      <c r="F46" s="6">
        <v>1.7000000476837158</v>
      </c>
      <c r="G46" s="4">
        <v>0.78571456670761108</v>
      </c>
      <c r="H46" s="4">
        <v>0.28235292434692383</v>
      </c>
      <c r="I46">
        <v>5.2800020202994347E-3</v>
      </c>
      <c r="J46"/>
    </row>
    <row r="47" ht="15" customHeight="true" x14ac:dyDescent="0.15">
      <c r="A47" s="236">
        <v>46</v>
      </c>
      <c r="B47" s="236" t="s">
        <v>226</v>
      </c>
      <c r="C47" s="5">
        <v>4.1966757774353027</v>
      </c>
      <c r="D47" s="4">
        <v>1.4914596453309059E-2</v>
      </c>
      <c r="E47" s="6">
        <v>0.55000001192092896</v>
      </c>
      <c r="F47" s="6">
        <v>2.5399999618530273</v>
      </c>
      <c r="G47" s="6">
        <v>0.89999991655349731</v>
      </c>
      <c r="H47" s="4">
        <v>0.21653543412685394</v>
      </c>
      <c r="I47">
        <v>7.1288761682808399E-3</v>
      </c>
      <c r="J47"/>
    </row>
    <row r="48" ht="15" customHeight="true" x14ac:dyDescent="0.15">
      <c r="A48" s="237">
        <v>47</v>
      </c>
      <c r="B48" s="237" t="s">
        <v>227</v>
      </c>
      <c r="C48" s="5">
        <v>4.1726622581481934</v>
      </c>
      <c r="D48" s="4">
        <v>0.30576446652412415</v>
      </c>
      <c r="E48" s="6">
        <v>1.4199999570846558</v>
      </c>
      <c r="F48" s="6">
        <v>3.7000000476837158</v>
      </c>
      <c r="G48" s="6">
        <v>0.9800000786781311</v>
      </c>
      <c r="H48" s="4">
        <v>0.38378375768661499</v>
      </c>
      <c r="I48">
        <v>0.16785737872123718</v>
      </c>
      <c r="J48"/>
    </row>
    <row r="49" ht="15" customHeight="true" x14ac:dyDescent="0.15">
      <c r="A49" s="238">
        <v>48</v>
      </c>
      <c r="B49" s="238" t="s">
        <v>228</v>
      </c>
      <c r="C49" s="5">
        <v>3.4196767807006836</v>
      </c>
      <c r="D49" s="4">
        <v>2.4532988667488098E-2</v>
      </c>
      <c r="E49" s="6">
        <v>4</v>
      </c>
      <c r="F49" s="6">
        <v>10.189999580383301</v>
      </c>
      <c r="G49" s="6">
        <v>0.9800000786781311</v>
      </c>
      <c r="H49" s="4">
        <v>0.39254173636436462</v>
      </c>
      <c r="I49">
        <v>1.0130612179636955E-2</v>
      </c>
      <c r="J49"/>
    </row>
    <row r="50" ht="15" customHeight="true" x14ac:dyDescent="0.15">
      <c r="A50" s="239">
        <v>49</v>
      </c>
      <c r="B50" s="239" t="s">
        <v>229</v>
      </c>
      <c r="C50" s="5">
        <v>3.8517453670501709</v>
      </c>
      <c r="D50" s="6">
        <v>7.9999998211860657E-2</v>
      </c>
      <c r="E50" s="6">
        <v>4.5</v>
      </c>
      <c r="F50" s="6">
        <v>20</v>
      </c>
      <c r="G50" s="4">
        <v>0.88882017135620117</v>
      </c>
      <c r="H50" s="4">
        <v>0.22499999403953552</v>
      </c>
      <c r="I50">
        <v>2.1365266293287277E-3</v>
      </c>
      <c r="J50"/>
    </row>
    <row r="51" ht="15" customHeight="true" x14ac:dyDescent="0.15">
      <c r="A51" s="240">
        <v>50</v>
      </c>
      <c r="B51" s="240" t="s">
        <v>230</v>
      </c>
      <c r="C51" s="5">
        <v>2.8455445766448975</v>
      </c>
      <c r="D51" s="4">
        <v>0.32881516218185425</v>
      </c>
      <c r="E51" s="6">
        <v>4</v>
      </c>
      <c r="F51" s="6">
        <v>20</v>
      </c>
      <c r="G51" s="6">
        <v>0.99000000953674316</v>
      </c>
      <c r="H51" s="4">
        <v>0.20000000298023224</v>
      </c>
      <c r="I51">
        <v>0</v>
      </c>
      <c r="J51"/>
    </row>
    <row r="52" ht="15" customHeight="true" x14ac:dyDescent="0.15">
      <c r="A52" s="241">
        <v>51</v>
      </c>
      <c r="B52" s="241" t="s">
        <v>231</v>
      </c>
      <c r="C52" s="5">
        <v>3.2487773895263672</v>
      </c>
      <c r="D52" s="4">
        <v>0.16735474765300751</v>
      </c>
      <c r="E52" s="6">
        <v>2.75</v>
      </c>
      <c r="F52" s="4">
        <v>11</v>
      </c>
      <c r="G52" s="6">
        <v>0.94999992847442627</v>
      </c>
      <c r="H52" s="6">
        <v>0.25</v>
      </c>
      <c r="I52">
        <v>0</v>
      </c>
      <c r="J52"/>
    </row>
    <row r="53" ht="15" customHeight="true" x14ac:dyDescent="0.15">
      <c r="A53" s="242">
        <v>52</v>
      </c>
      <c r="B53" s="242" t="s">
        <v>233</v>
      </c>
      <c r="C53" s="5">
        <v>3.2178750038146973</v>
      </c>
      <c r="D53" s="4">
        <v>3.5232255458831787</v>
      </c>
      <c r="E53" s="6">
        <v>4</v>
      </c>
      <c r="F53" s="4">
        <v>12.5</v>
      </c>
      <c r="G53" s="6">
        <v>0.99000000953674316</v>
      </c>
      <c r="H53" s="6">
        <v>0.31999999284744263</v>
      </c>
      <c r="I53">
        <v>0</v>
      </c>
      <c r="J53"/>
    </row>
    <row r="54" ht="15" customHeight="true" x14ac:dyDescent="0.15">
      <c r="A54" s="243">
        <v>53</v>
      </c>
      <c r="B54" s="243" t="s">
        <v>234</v>
      </c>
      <c r="C54" s="5">
        <v>2.0569305419921875</v>
      </c>
      <c r="D54" s="6">
        <v>16</v>
      </c>
      <c r="E54" s="6">
        <v>9.1999998092651367</v>
      </c>
      <c r="F54" s="6">
        <v>30</v>
      </c>
      <c r="G54" s="4">
        <v>0.50723987817764282</v>
      </c>
      <c r="H54" s="4">
        <v>0.30666667222976685</v>
      </c>
      <c r="I54">
        <v>0</v>
      </c>
      <c r="J54"/>
    </row>
    <row r="55" ht="15" customHeight="true" x14ac:dyDescent="0.15">
      <c r="A55" s="244">
        <v>54</v>
      </c>
      <c r="B55" s="244" t="s">
        <v>235</v>
      </c>
      <c r="C55" s="5">
        <v>3.4359784126281738</v>
      </c>
      <c r="D55" s="6">
        <v>6.5999999642372131E-2</v>
      </c>
      <c r="E55" s="6">
        <v>2.8580000400543213</v>
      </c>
      <c r="F55" s="4">
        <v>9.5266666412353516</v>
      </c>
      <c r="G55" s="4">
        <v>0.43809404969215393</v>
      </c>
      <c r="H55" s="6">
        <v>0.30000001192092896</v>
      </c>
      <c r="I55">
        <v>0</v>
      </c>
      <c r="J55"/>
    </row>
    <row r="56" ht="15" customHeight="true" x14ac:dyDescent="0.15">
      <c r="A56" s="245">
        <v>55</v>
      </c>
      <c r="B56" s="245" t="s">
        <v>237</v>
      </c>
      <c r="C56" s="5">
        <v>3.7049899101257324</v>
      </c>
      <c r="D56" s="6">
        <v>1.3539999723434448</v>
      </c>
      <c r="E56" s="6">
        <v>0.55409997701644897</v>
      </c>
      <c r="F56" s="4">
        <v>2.7704999446868896</v>
      </c>
      <c r="G56" s="4">
        <v>0.93219083547592163</v>
      </c>
      <c r="H56" s="6">
        <v>0.20000000298023224</v>
      </c>
      <c r="I56">
        <v>1.1358261108398438E-2</v>
      </c>
      <c r="J56"/>
    </row>
    <row r="57" ht="15" customHeight="true" x14ac:dyDescent="0.15">
      <c r="A57" s="246">
        <v>56</v>
      </c>
      <c r="B57" s="246" t="s">
        <v>238</v>
      </c>
      <c r="C57" s="5">
        <v>3.5004947185516357</v>
      </c>
      <c r="D57" s="6">
        <v>1.1000000238418579</v>
      </c>
      <c r="E57" s="6">
        <v>0.37000000476837158</v>
      </c>
      <c r="F57" s="4">
        <v>1.8500000238418579</v>
      </c>
      <c r="G57" s="4">
        <v>0.96247971057891846</v>
      </c>
      <c r="H57" s="6">
        <v>0.20000000298023224</v>
      </c>
      <c r="I57">
        <v>1.8888348713517189E-2</v>
      </c>
      <c r="J57"/>
    </row>
    <row r="58" ht="15" customHeight="true" x14ac:dyDescent="0.15">
      <c r="A58" s="247">
        <v>57</v>
      </c>
      <c r="B58" s="247" t="s">
        <v>239</v>
      </c>
      <c r="C58" s="5">
        <v>3.3049042224884033</v>
      </c>
      <c r="D58" s="6">
        <v>78</v>
      </c>
      <c r="E58" s="6">
        <v>0.38839998841285706</v>
      </c>
      <c r="F58" s="4">
        <v>1.9419999122619629</v>
      </c>
      <c r="G58" s="4">
        <v>0.43119117617607117</v>
      </c>
      <c r="H58" s="6">
        <v>0.20000000298023224</v>
      </c>
      <c r="I58">
        <v>6.5893931314349174E-3</v>
      </c>
      <c r="J58"/>
    </row>
    <row r="59" ht="15" customHeight="true" x14ac:dyDescent="0.15">
      <c r="A59" s="248">
        <v>58</v>
      </c>
      <c r="B59" s="248" t="s">
        <v>240</v>
      </c>
      <c r="C59" s="5">
        <v>2.8656585216522217</v>
      </c>
      <c r="D59" s="6">
        <v>136</v>
      </c>
      <c r="E59" s="6">
        <v>1</v>
      </c>
      <c r="F59" s="4">
        <v>3.3333332538604736</v>
      </c>
      <c r="G59" s="4">
        <v>0.27909654378890991</v>
      </c>
      <c r="H59" s="6">
        <v>0.30000001192092896</v>
      </c>
      <c r="I59">
        <v>9.001043438911438E-2</v>
      </c>
      <c r="J59"/>
    </row>
    <row r="60" ht="15" customHeight="true" x14ac:dyDescent="0.15">
      <c r="A60" s="249">
        <v>59</v>
      </c>
      <c r="B60" s="249" t="s">
        <v>241</v>
      </c>
      <c r="C60" s="5">
        <v>3.0513350963592529</v>
      </c>
      <c r="D60" s="6">
        <v>0.5</v>
      </c>
      <c r="E60" s="6">
        <v>3</v>
      </c>
      <c r="F60" s="4">
        <v>10</v>
      </c>
      <c r="G60" s="4">
        <v>0.47377684712409973</v>
      </c>
      <c r="H60" s="6">
        <v>0.30000001192092896</v>
      </c>
      <c r="I60">
        <v>9.2488683760166168E-2</v>
      </c>
      <c r="J60"/>
    </row>
    <row r="61" ht="15" customHeight="true" x14ac:dyDescent="0.15">
      <c r="A61" s="250">
        <v>60</v>
      </c>
      <c r="B61" s="250" t="s">
        <v>242</v>
      </c>
      <c r="C61" s="5">
        <v>2.914191722869873</v>
      </c>
      <c r="D61" s="6">
        <v>30</v>
      </c>
      <c r="E61" s="6">
        <v>1.8999999761581421</v>
      </c>
      <c r="F61" s="4">
        <v>5.4285712242126465</v>
      </c>
      <c r="G61" s="4">
        <v>0.93257123231887817</v>
      </c>
      <c r="H61" s="6">
        <v>0.34999999403953552</v>
      </c>
      <c r="I61">
        <v>0</v>
      </c>
      <c r="J61"/>
    </row>
    <row r="62" ht="15" customHeight="true" x14ac:dyDescent="0.15">
      <c r="A62" s="251">
        <v>61</v>
      </c>
      <c r="B62" s="251" t="s">
        <v>243</v>
      </c>
      <c r="C62" s="5">
        <v>2.9327774047851562</v>
      </c>
      <c r="D62" s="6">
        <v>150</v>
      </c>
      <c r="E62" s="6">
        <v>0.89999997615814209</v>
      </c>
      <c r="F62" s="4">
        <v>2.9999997615814209</v>
      </c>
      <c r="G62" s="4">
        <v>0.90953958034515381</v>
      </c>
      <c r="H62" s="6">
        <v>0.30000001192092896</v>
      </c>
      <c r="I62">
        <v>0</v>
      </c>
      <c r="J62"/>
    </row>
    <row r="63" ht="15" customHeight="true" x14ac:dyDescent="0.15">
      <c r="A63" s="252">
        <v>62</v>
      </c>
      <c r="B63" s="252" t="s">
        <v>244</v>
      </c>
      <c r="C63" s="5">
        <v>2.7970297336578369</v>
      </c>
      <c r="D63" s="6">
        <v>105</v>
      </c>
      <c r="E63" s="6">
        <v>0.25999999046325684</v>
      </c>
      <c r="F63" s="4">
        <v>1.2999999523162842</v>
      </c>
      <c r="G63" s="4">
        <v>3.8945790380239487E-2</v>
      </c>
      <c r="H63" s="6">
        <v>0.20000000298023224</v>
      </c>
      <c r="I63">
        <v>0.20916521549224854</v>
      </c>
      <c r="J63"/>
    </row>
    <row r="64" ht="15" customHeight="true" x14ac:dyDescent="0.15">
      <c r="A64" s="253">
        <v>63</v>
      </c>
      <c r="B64" s="253" t="s">
        <v>245</v>
      </c>
      <c r="C64" s="5">
        <v>3.0297031402587891</v>
      </c>
      <c r="D64" s="4">
        <v>3.8771641254425049</v>
      </c>
      <c r="E64" s="6">
        <v>35</v>
      </c>
      <c r="F64" s="6">
        <v>125</v>
      </c>
      <c r="G64" s="6">
        <v>0.99000000953674316</v>
      </c>
      <c r="H64" s="4">
        <v>0.2800000011920929</v>
      </c>
      <c r="I64">
        <v>0</v>
      </c>
      <c r="J64"/>
    </row>
    <row r="65" ht="15" customHeight="true" x14ac:dyDescent="0.15">
      <c r="A65" s="254">
        <v>64</v>
      </c>
      <c r="B65" s="254" t="s">
        <v>246</v>
      </c>
      <c r="C65" s="5">
        <v>2.237623929977417</v>
      </c>
      <c r="D65" s="6">
        <v>0.10499999672174454</v>
      </c>
      <c r="E65" s="6">
        <v>9470</v>
      </c>
      <c r="F65" s="4">
        <v>18940</v>
      </c>
      <c r="G65" s="4">
        <v>0.96601462364196777</v>
      </c>
      <c r="H65" s="6">
        <v>0.5</v>
      </c>
      <c r="I65">
        <v>0</v>
      </c>
      <c r="J65"/>
    </row>
    <row r="66" ht="15" customHeight="true" x14ac:dyDescent="0.15">
      <c r="A66" s="255">
        <v>65</v>
      </c>
      <c r="B66" s="255" t="s">
        <v>247</v>
      </c>
      <c r="C66" s="5">
        <v>2.1386139392852783</v>
      </c>
      <c r="D66" s="6">
        <v>1.4600000381469727</v>
      </c>
      <c r="E66" s="6">
        <v>571</v>
      </c>
      <c r="F66" s="4">
        <v>1142</v>
      </c>
      <c r="G66" s="4">
        <v>0.72040444612503052</v>
      </c>
      <c r="H66" s="6">
        <v>0.5</v>
      </c>
      <c r="I66">
        <v>0</v>
      </c>
      <c r="J66"/>
    </row>
    <row r="67" ht="15" customHeight="true" x14ac:dyDescent="0.15">
      <c r="A67" s="256">
        <v>66</v>
      </c>
      <c r="B67" s="256" t="s">
        <v>248</v>
      </c>
      <c r="C67" s="5">
        <v>1</v>
      </c>
      <c r="D67" s="6">
        <v>7.5</v>
      </c>
      <c r="E67" s="6">
        <v>286</v>
      </c>
      <c r="F67" s="7"/>
      <c r="G67" s="4">
        <v>0.46138462424278259</v>
      </c>
      <c r="H67" s="7"/>
      <c r="I67">
        <v>0</v>
      </c>
      <c r="J67"/>
    </row>
    <row r="68" ht="15" customHeight="true" x14ac:dyDescent="0.15">
      <c r="A68" s="257">
        <v>67</v>
      </c>
      <c r="B68" s="257" t="s">
        <v>249</v>
      </c>
      <c r="C68" s="5">
        <v>1</v>
      </c>
      <c r="D68" s="6">
        <v>25</v>
      </c>
      <c r="E68" s="7"/>
      <c r="F68" s="7"/>
      <c r="G68" s="4">
        <v>0.98026323318481445</v>
      </c>
      <c r="H68" s="7"/>
      <c r="I68">
        <v>0</v>
      </c>
      <c r="J68"/>
    </row>
    <row r="69" ht="15" customHeight="true" x14ac:dyDescent="0.15">
      <c r="A69" s="258">
        <v>68</v>
      </c>
      <c r="B69" s="258" t="s">
        <v>250</v>
      </c>
      <c r="C69" s="5">
        <v>1</v>
      </c>
      <c r="D69" s="6">
        <v>25</v>
      </c>
      <c r="E69" s="7"/>
      <c r="F69" s="7"/>
      <c r="G69" s="4">
        <v>0.89876425266265869</v>
      </c>
      <c r="H69" s="7"/>
      <c r="I69">
        <v>0</v>
      </c>
      <c r="J69"/>
    </row>
    <row r="70" ht="15" customHeight="true" x14ac:dyDescent="0.15">
      <c r="A70" s="259">
        <v>69</v>
      </c>
      <c r="B70" s="259" t="s">
        <v>175</v>
      </c>
      <c r="C70" s="5">
        <v>1</v>
      </c>
      <c r="D70" s="6">
        <v>50</v>
      </c>
      <c r="E70" s="7"/>
      <c r="F70" s="7"/>
      <c r="G70" s="4">
        <v>0.87198406457901001</v>
      </c>
      <c r="H70" s="7"/>
      <c r="I70">
        <v>0</v>
      </c>
      <c r="J70"/>
    </row>
    <row r="71" ht="15" customHeight="true" x14ac:dyDescent="0.15">
      <c r="A71" s="260">
        <v>70</v>
      </c>
      <c r="B71" s="260" t="s">
        <v>251</v>
      </c>
      <c r="C71" s="5">
        <v>5.1346406936645508</v>
      </c>
      <c r="D71" s="7"/>
      <c r="E71" s="7"/>
      <c r="F71" s="7"/>
      <c r="G71" s="7"/>
      <c r="H71" s="7"/>
      <c r="I71">
        <v>0.78520286083221436</v>
      </c>
      <c r="J71"/>
    </row>
    <row r="72" ht="15" customHeight="true" x14ac:dyDescent="0.15">
      <c r="A72" s="261">
        <v>71</v>
      </c>
      <c r="B72" s="261" t="s">
        <v>252</v>
      </c>
      <c r="C72" s="5">
        <v>4.8914990425109863</v>
      </c>
      <c r="D72" s="7"/>
      <c r="E72" s="7"/>
      <c r="F72" s="7"/>
      <c r="G72" s="7"/>
      <c r="H72" s="7"/>
      <c r="I72">
        <v>0.51668161153793335</v>
      </c>
      <c r="J72"/>
    </row>
    <row r="73" ht="15" customHeight="true" x14ac:dyDescent="0.15">
      <c r="A73" s="262">
        <v>72</v>
      </c>
      <c r="B73" s="262" t="s">
        <v>253</v>
      </c>
      <c r="C73" s="5">
        <v>4.4092411994934082</v>
      </c>
      <c r="D73" s="7"/>
      <c r="E73" s="7"/>
      <c r="F73" s="7"/>
      <c r="G73" s="7"/>
      <c r="H73" s="7"/>
      <c r="I73">
        <v>2.0564975738525391</v>
      </c>
      <c r="J73"/>
    </row>
    <row r="74" ht="15" customHeight="true" x14ac:dyDescent="0.15">
      <c r="A74" s="263">
        <v>73</v>
      </c>
      <c r="B74" s="263" t="s">
        <v>254</v>
      </c>
      <c r="C74" s="5">
        <v>4.8215599060058594</v>
      </c>
      <c r="D74" s="7"/>
      <c r="E74" s="7"/>
      <c r="F74" s="7"/>
      <c r="G74" s="7"/>
      <c r="H74" s="7"/>
      <c r="I74">
        <v>1.2565803527832031</v>
      </c>
      <c r="J74"/>
    </row>
    <row r="75" ht="15" customHeight="true" x14ac:dyDescent="0.15">
      <c r="A75" s="264">
        <v>74</v>
      </c>
      <c r="B75" s="264" t="s">
        <v>255</v>
      </c>
      <c r="C75" s="5">
        <v>5.2972917556762695</v>
      </c>
      <c r="D75" s="7"/>
      <c r="E75" s="7"/>
      <c r="F75" s="7"/>
      <c r="G75" s="7"/>
      <c r="H75" s="7"/>
      <c r="I75">
        <v>0.11963722854852676</v>
      </c>
      <c r="J75"/>
    </row>
    <row r="76" ht="15" customHeight="true" x14ac:dyDescent="0.15">
      <c r="A76" s="265">
        <v>75</v>
      </c>
      <c r="B76" s="265" t="s">
        <v>256</v>
      </c>
      <c r="C76" s="5">
        <v>5.0056405067443848</v>
      </c>
      <c r="D76" s="7"/>
      <c r="E76" s="7"/>
      <c r="F76" s="7"/>
      <c r="G76" s="7"/>
      <c r="H76" s="7"/>
      <c r="I76">
        <v>3.5401578992605209E-2</v>
      </c>
      <c r="J76"/>
    </row>
    <row r="77" ht="15" customHeight="true" x14ac:dyDescent="0.15">
      <c r="A77" s="266">
        <v>76</v>
      </c>
      <c r="B77" s="266" t="s">
        <v>257</v>
      </c>
      <c r="C77" s="5">
        <v>5.4865984916687012</v>
      </c>
      <c r="D77" s="7"/>
      <c r="E77" s="7"/>
      <c r="F77" s="7"/>
      <c r="G77" s="7"/>
      <c r="H77" s="7"/>
      <c r="I77">
        <v>9.4818440265953541E-4</v>
      </c>
      <c r="J77"/>
    </row>
    <row r="78" ht="15" customHeight="true" x14ac:dyDescent="0.15">
      <c r="A78" s="267">
        <v>77</v>
      </c>
      <c r="B78" s="267" t="s">
        <v>258</v>
      </c>
      <c r="C78" s="5">
        <v>4.051335334777832</v>
      </c>
      <c r="D78" s="7"/>
      <c r="E78" s="7"/>
      <c r="F78" s="7"/>
      <c r="G78" s="7"/>
      <c r="H78" s="7"/>
      <c r="I78">
        <v>2.4486957117915154E-3</v>
      </c>
      <c r="J78"/>
    </row>
    <row r="79" ht="15" customHeight="true" x14ac:dyDescent="0.15">
      <c r="A79" s="268">
        <v>78</v>
      </c>
      <c r="B79" s="268" t="s">
        <v>259</v>
      </c>
      <c r="C79" s="5">
        <v>3.8215396404266357</v>
      </c>
      <c r="D79" s="7"/>
      <c r="E79" s="7"/>
      <c r="F79" s="7"/>
      <c r="G79" s="7"/>
      <c r="H79" s="7"/>
      <c r="I79">
        <v>0.25550782680511475</v>
      </c>
      <c r="J79"/>
    </row>
    <row r="80" ht="15" customHeight="true" x14ac:dyDescent="0.15">
      <c r="A80" s="269">
        <v>79</v>
      </c>
      <c r="B80" s="269" t="s">
        <v>260</v>
      </c>
      <c r="C80" s="5">
        <v>3.8251407146453857</v>
      </c>
      <c r="D80" s="7"/>
      <c r="E80" s="7"/>
      <c r="F80" s="7"/>
      <c r="G80" s="7"/>
      <c r="H80" s="7"/>
      <c r="I80">
        <v>4.6396523714065552E-2</v>
      </c>
      <c r="J80"/>
    </row>
    <row r="81" ht="15" customHeight="true" x14ac:dyDescent="0.15">
      <c r="A81" s="270">
        <v>80</v>
      </c>
      <c r="B81" s="270" t="s">
        <v>261</v>
      </c>
      <c r="C81" s="5">
        <v>4.5829434394836426</v>
      </c>
      <c r="D81" s="7"/>
      <c r="E81" s="7"/>
      <c r="F81" s="7"/>
      <c r="G81" s="7"/>
      <c r="H81" s="7"/>
      <c r="I81">
        <v>6.9895666092634201E-3</v>
      </c>
      <c r="J81"/>
    </row>
    <row r="82" ht="15" customHeight="true" x14ac:dyDescent="0.15">
      <c r="A82" s="271">
        <v>81</v>
      </c>
      <c r="B82" s="271" t="s">
        <v>262</v>
      </c>
      <c r="C82" s="5">
        <v>4.7636604309082031</v>
      </c>
      <c r="D82" s="7"/>
      <c r="E82" s="7"/>
      <c r="F82" s="7"/>
      <c r="G82" s="7"/>
      <c r="H82" s="7"/>
      <c r="I82">
        <v>0.74880075454711914</v>
      </c>
      <c r="J82"/>
    </row>
    <row r="83" ht="15" customHeight="true" x14ac:dyDescent="0.15">
      <c r="A83"/>
      <c r="B83"/>
      <c r="C83"/>
      <c r="D83"/>
      <c r="E83"/>
      <c r="F83"/>
      <c r="G83"/>
      <c r="H83"/>
      <c r="I83"/>
      <c r="J83"/>
    </row>
    <row r="84" ht="15" customHeight="true" x14ac:dyDescent="0.15">
      <c r="A84"/>
      <c r="B84"/>
      <c r="C84"/>
      <c r="D84"/>
      <c r="E84"/>
      <c r="F84"/>
      <c r="G84"/>
      <c r="H84"/>
      <c r="I84"/>
      <c r="J84"/>
    </row>
    <row r="85" ht="15" customHeight="true" x14ac:dyDescent="0.15">
      <c r="A85"/>
      <c r="B85"/>
      <c r="C85"/>
      <c r="D85"/>
      <c r="E85"/>
      <c r="F85"/>
      <c r="G85"/>
      <c r="H85"/>
      <c r="I85"/>
      <c r="J85"/>
    </row>
    <row r="86" ht="15" customHeight="true" x14ac:dyDescent="0.15">
      <c r="A86"/>
      <c r="B86"/>
      <c r="C86"/>
      <c r="D86"/>
      <c r="E86"/>
      <c r="F86"/>
      <c r="G86"/>
      <c r="H86"/>
      <c r="I86"/>
      <c r="J86"/>
    </row>
    <row r="87" ht="15" customHeight="true" x14ac:dyDescent="0.15">
      <c r="A87"/>
      <c r="B87"/>
      <c r="C87"/>
      <c r="D87"/>
      <c r="E87"/>
      <c r="F87"/>
      <c r="G87"/>
      <c r="H87"/>
      <c r="I87"/>
      <c r="J87"/>
    </row>
    <row r="88" ht="15" customHeight="true" x14ac:dyDescent="0.15">
      <c r="A88"/>
      <c r="B88"/>
      <c r="C88"/>
      <c r="D88"/>
      <c r="E88"/>
      <c r="F88"/>
      <c r="G88"/>
      <c r="H88"/>
      <c r="I88"/>
      <c r="J88"/>
    </row>
    <row r="89" ht="15" customHeight="true" x14ac:dyDescent="0.15">
      <c r="A89"/>
      <c r="B89"/>
      <c r="C89"/>
      <c r="D89"/>
      <c r="E89"/>
      <c r="F89"/>
      <c r="G89"/>
      <c r="H89"/>
      <c r="I89"/>
      <c r="J89"/>
    </row>
    <row r="90" ht="15" customHeight="true" x14ac:dyDescent="0.15">
      <c r="A90"/>
      <c r="B90"/>
      <c r="C90"/>
      <c r="D90"/>
      <c r="E90"/>
      <c r="F90"/>
      <c r="G90"/>
      <c r="H90"/>
      <c r="I90"/>
      <c r="J90"/>
    </row>
    <row r="91" ht="15" customHeight="true" x14ac:dyDescent="0.15">
      <c r="A91"/>
      <c r="B91"/>
      <c r="C91"/>
      <c r="D91"/>
      <c r="E91"/>
      <c r="F91"/>
      <c r="G91"/>
      <c r="H91"/>
      <c r="I91"/>
      <c r="J91"/>
    </row>
    <row r="92" ht="15" customHeight="true" x14ac:dyDescent="0.15">
      <c r="A92"/>
      <c r="B92"/>
      <c r="C92"/>
      <c r="D92"/>
      <c r="E92"/>
      <c r="F92"/>
      <c r="G92"/>
      <c r="H92"/>
      <c r="I92"/>
      <c r="J92"/>
    </row>
    <row r="93" ht="15" customHeight="true" x14ac:dyDescent="0.15">
      <c r="A93"/>
      <c r="B93"/>
      <c r="C93"/>
      <c r="D93"/>
      <c r="E93"/>
      <c r="F93"/>
      <c r="G93"/>
      <c r="H93"/>
      <c r="I93"/>
      <c r="J93"/>
    </row>
    <row r="94" ht="15" customHeight="true" x14ac:dyDescent="0.15">
      <c r="A94"/>
      <c r="B94"/>
      <c r="C94"/>
      <c r="D94"/>
      <c r="E94"/>
      <c r="F94"/>
      <c r="G94"/>
      <c r="H94"/>
      <c r="I94"/>
      <c r="J94"/>
    </row>
    <row r="95" ht="15" customHeight="true" x14ac:dyDescent="0.15">
      <c r="A95"/>
      <c r="B95"/>
      <c r="C95"/>
      <c r="D95"/>
      <c r="E95"/>
      <c r="F95"/>
      <c r="G95"/>
      <c r="H95"/>
      <c r="I95"/>
      <c r="J95"/>
    </row>
    <row r="96" ht="15" customHeight="true" x14ac:dyDescent="0.15">
      <c r="A96"/>
      <c r="B96"/>
      <c r="C96"/>
      <c r="D96"/>
      <c r="E96"/>
      <c r="F96"/>
      <c r="G96"/>
      <c r="H96"/>
      <c r="I96"/>
      <c r="J96"/>
    </row>
    <row r="97" ht="15" customHeight="true" x14ac:dyDescent="0.15">
      <c r="A97"/>
      <c r="B97"/>
      <c r="C97"/>
      <c r="D97"/>
      <c r="E97"/>
      <c r="F97"/>
      <c r="G97"/>
      <c r="H97"/>
      <c r="I97"/>
      <c r="J97"/>
    </row>
    <row r="98" ht="15" customHeight="true" x14ac:dyDescent="0.15">
      <c r="A98"/>
      <c r="B98"/>
      <c r="C98"/>
      <c r="D98"/>
      <c r="E98"/>
      <c r="F98"/>
      <c r="G98"/>
      <c r="H98"/>
      <c r="I98"/>
      <c r="J98"/>
    </row>
    <row r="99" ht="15" customHeight="true" x14ac:dyDescent="0.15">
      <c r="A99"/>
      <c r="B99"/>
      <c r="C99"/>
      <c r="D99"/>
      <c r="E99"/>
      <c r="F99"/>
      <c r="G99"/>
      <c r="H99"/>
      <c r="I99"/>
      <c r="J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51" sqref="A51:XFD51"/>
    </sheetView>
  </sheetViews>
  <sheetFormatPr baseColWidth="10" defaultColWidth="8.83203125" defaultRowHeight="15" customHeight="true" x14ac:dyDescent="0.15"/>
  <cols>
    <col min="1" max="1" width="40.33203125" style="61" bestFit="true" customWidth="true"/>
    <col min="2" max="4" width="9.5" style="61" bestFit="true" customWidth="true"/>
    <col min="5" max="7" width="9" style="61" bestFit="true" customWidth="true"/>
    <col min="8" max="16" width="12.6640625" style="61" bestFit="true" customWidth="true"/>
    <col min="17" max="17" width="12.33203125" style="61" bestFit="true" customWidth="true"/>
    <col min="18" max="18" width="8.83203125" style="61"/>
    <col min="19" max="21" width="9.33203125" style="61" bestFit="true" customWidth="true"/>
    <col min="22" max="23" width="8.83203125" style="61"/>
    <col min="24" max="24" width="9.33203125" style="61" bestFit="true" customWidth="true"/>
    <col min="25" max="27" width="8.83203125" style="61"/>
    <col min="28" max="58" width="9" style="61" bestFit="true" customWidth="true"/>
    <col min="59" max="59" width="12.33203125" style="61" bestFit="true" customWidth="true"/>
    <col min="60" max="60" width="9" style="61" bestFit="true" customWidth="true"/>
    <col min="61" max="61" width="11.33203125" style="61" bestFit="true" customWidth="true"/>
    <col min="62" max="77" width="9" style="61" bestFit="true" customWidth="true"/>
    <col min="78" max="78" width="12.33203125" style="61" bestFit="true" customWidth="true"/>
    <col min="79" max="79" width="9" style="61" bestFit="true" customWidth="true"/>
    <col min="80" max="80" width="12.33203125" style="61" bestFit="true" customWidth="true"/>
    <col min="81" max="107" width="9" style="61" bestFit="true" customWidth="true"/>
    <col min="108" max="108" width="11.33203125" style="61" bestFit="true" customWidth="true"/>
    <col min="109" max="124" width="9" style="61" bestFit="true" customWidth="true"/>
    <col min="125" max="125" width="10.33203125" style="61" bestFit="true" customWidth="true"/>
    <col min="126" max="129" width="9.33203125" style="61" bestFit="true" customWidth="true"/>
    <col min="130" max="130" width="9" style="61" bestFit="true" customWidth="true"/>
    <col min="131" max="134" width="9.33203125" style="61" bestFit="true" customWidth="true"/>
    <col min="135" max="165" width="9" style="61" bestFit="true" customWidth="true"/>
    <col min="166" max="166" width="12.33203125" style="61" bestFit="true" customWidth="true"/>
    <col min="167" max="170" width="9" style="61" bestFit="true" customWidth="true"/>
    <col min="171" max="176" width="8.83203125" style="61"/>
    <col min="177" max="177" width="13.83203125" style="61" bestFit="true" customWidth="true"/>
    <col min="178" max="16384" width="8.83203125" style="61"/>
  </cols>
  <sheetData>
    <row r="1" ht="15" customHeight="true" x14ac:dyDescent="0.15">
      <c r="A1" t="s">
        <v>15</v>
      </c>
      <c r="B1" t="s">
        <v>1</v>
      </c>
      <c r="C1" t="s">
        <v>16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  <c r="J1" t="s">
        <v>307</v>
      </c>
      <c r="K1" t="s">
        <v>308</v>
      </c>
      <c r="L1" t="s">
        <v>309</v>
      </c>
      <c r="M1" t="s">
        <v>310</v>
      </c>
      <c r="N1" t="s">
        <v>311</v>
      </c>
      <c r="O1" t="s">
        <v>312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  <c r="U1" t="s">
        <v>186</v>
      </c>
      <c r="V1" t="s">
        <v>187</v>
      </c>
      <c r="W1" t="s">
        <v>188</v>
      </c>
      <c r="X1" t="s">
        <v>189</v>
      </c>
      <c r="Y1" t="s">
        <v>190</v>
      </c>
      <c r="Z1" t="s">
        <v>191</v>
      </c>
      <c r="AA1" t="s">
        <v>192</v>
      </c>
      <c r="AB1" t="s">
        <v>193</v>
      </c>
      <c r="AC1" t="s">
        <v>194</v>
      </c>
      <c r="AD1" t="s">
        <v>195</v>
      </c>
      <c r="AE1" t="s">
        <v>196</v>
      </c>
      <c r="AF1" t="s">
        <v>197</v>
      </c>
      <c r="AG1" t="s">
        <v>198</v>
      </c>
      <c r="AH1" t="s">
        <v>199</v>
      </c>
      <c r="AI1" t="s">
        <v>200</v>
      </c>
      <c r="AJ1" t="s">
        <v>201</v>
      </c>
      <c r="AK1" t="s">
        <v>202</v>
      </c>
      <c r="AL1" t="s">
        <v>203</v>
      </c>
      <c r="AM1" t="s">
        <v>204</v>
      </c>
      <c r="AN1" t="s">
        <v>205</v>
      </c>
      <c r="AO1" t="s">
        <v>206</v>
      </c>
      <c r="AP1" t="s">
        <v>207</v>
      </c>
      <c r="AQ1" t="s">
        <v>208</v>
      </c>
      <c r="AR1" t="s">
        <v>209</v>
      </c>
      <c r="AS1" t="s">
        <v>210</v>
      </c>
      <c r="AT1" t="s">
        <v>211</v>
      </c>
      <c r="AU1" t="s">
        <v>212</v>
      </c>
      <c r="AV1" t="s">
        <v>213</v>
      </c>
      <c r="AW1" t="s">
        <v>214</v>
      </c>
      <c r="AX1" t="s">
        <v>215</v>
      </c>
      <c r="AY1" t="s">
        <v>216</v>
      </c>
      <c r="AZ1" t="s">
        <v>217</v>
      </c>
      <c r="BA1" t="s">
        <v>218</v>
      </c>
      <c r="BB1" t="s">
        <v>219</v>
      </c>
      <c r="BC1" t="s">
        <v>220</v>
      </c>
      <c r="BD1" t="s">
        <v>221</v>
      </c>
      <c r="BE1" t="s">
        <v>222</v>
      </c>
      <c r="BF1" t="s">
        <v>223</v>
      </c>
      <c r="BG1" t="s">
        <v>224</v>
      </c>
      <c r="BH1" t="s">
        <v>225</v>
      </c>
      <c r="BI1" t="s">
        <v>226</v>
      </c>
      <c r="BJ1" t="s">
        <v>227</v>
      </c>
      <c r="BK1" t="s">
        <v>228</v>
      </c>
      <c r="BL1" t="s">
        <v>229</v>
      </c>
      <c r="BM1" t="s">
        <v>230</v>
      </c>
      <c r="BN1" t="s">
        <v>231</v>
      </c>
      <c r="BO1" t="s">
        <v>233</v>
      </c>
      <c r="BP1" t="s">
        <v>234</v>
      </c>
      <c r="BQ1" t="s">
        <v>235</v>
      </c>
      <c r="BR1" t="s">
        <v>237</v>
      </c>
      <c r="BS1" t="s">
        <v>238</v>
      </c>
      <c r="BT1" t="s">
        <v>239</v>
      </c>
      <c r="BU1" t="s">
        <v>240</v>
      </c>
      <c r="BV1" t="s">
        <v>241</v>
      </c>
      <c r="BW1" t="s">
        <v>242</v>
      </c>
      <c r="BX1" t="s">
        <v>243</v>
      </c>
      <c r="BY1" t="s">
        <v>244</v>
      </c>
      <c r="BZ1" t="s">
        <v>245</v>
      </c>
      <c r="CA1" t="s">
        <v>246</v>
      </c>
      <c r="CB1" t="s">
        <v>247</v>
      </c>
      <c r="CC1" t="s">
        <v>248</v>
      </c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 x14ac:dyDescent="0.15">
      <c r="A2" t="s">
        <v>181</v>
      </c>
      <c r="B2">
        <v>1.9999999552965164E-2</v>
      </c>
      <c r="C2">
        <v>1.9999999552965164E-2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 x14ac:dyDescent="0.15">
      <c r="A3" t="s">
        <v>182</v>
      </c>
      <c r="B3">
        <v>1.9999999552965164E-2</v>
      </c>
      <c r="C3">
        <v>1.9999999552965164E-2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 x14ac:dyDescent="0.15">
      <c r="A4" t="s">
        <v>183</v>
      </c>
      <c r="B4">
        <v>9.0000003576278687E-2</v>
      </c>
      <c r="C4">
        <v>9.0000003576278687E-2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 x14ac:dyDescent="0.15">
      <c r="A5" t="s">
        <v>184</v>
      </c>
      <c r="B5">
        <v>0.2800000011920929</v>
      </c>
      <c r="C5">
        <v>0.2800000011920929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 x14ac:dyDescent="0.15">
      <c r="A6" t="s">
        <v>185</v>
      </c>
      <c r="B6">
        <v>0.5</v>
      </c>
      <c r="C6">
        <v>0.31040000915527344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312">
        <v>0.18960000574588776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 x14ac:dyDescent="0.15">
      <c r="A7" t="s">
        <v>186</v>
      </c>
      <c r="B7">
        <v>0.60000002384185791</v>
      </c>
      <c r="C7">
        <v>3.0000044032931328E-2</v>
      </c>
      <c r="D7" s="272">
        <v>0.3097226619720459</v>
      </c>
      <c r="E7" s="20">
        <v>2.9706088826060295E-3</v>
      </c>
      <c r="F7" s="70">
        <v>2.9931990429759026E-2</v>
      </c>
      <c r="G7" s="298">
        <v>0.13712239265441895</v>
      </c>
      <c r="H7" s="305">
        <v>7.6603308320045471E-2</v>
      </c>
      <c r="I7" s="15">
        <v>7.3531037196516991E-3</v>
      </c>
      <c r="J7" s="8">
        <v>1.1295090018847986E-7</v>
      </c>
      <c r="K7"/>
      <c r="L7"/>
      <c r="M7"/>
      <c r="N7"/>
      <c r="O7" s="11">
        <v>1.1295090662315488E-3</v>
      </c>
      <c r="P7"/>
      <c r="Q7"/>
      <c r="R7"/>
      <c r="S7"/>
      <c r="T7" s="20">
        <v>3.1139957718551159E-3</v>
      </c>
      <c r="U7"/>
      <c r="V7" s="9">
        <v>2.0523183047771454E-3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 x14ac:dyDescent="0.15">
      <c r="A8" t="s">
        <v>187</v>
      </c>
      <c r="B8">
        <v>0.47999998927116394</v>
      </c>
      <c r="C8">
        <v>0.34521651268005371</v>
      </c>
      <c r="D8" s="19">
        <v>3.4782607108354568E-3</v>
      </c>
      <c r="E8" s="8">
        <v>8.6956515588099137E-7</v>
      </c>
      <c r="F8"/>
      <c r="G8"/>
      <c r="H8" s="18">
        <v>9.5652174204587936E-3</v>
      </c>
      <c r="I8"/>
      <c r="J8" s="308">
        <v>0.12173912674188614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 x14ac:dyDescent="0.15">
      <c r="A9" t="s">
        <v>188</v>
      </c>
      <c r="B9">
        <v>0.50999999046325684</v>
      </c>
      <c r="C9">
        <v>0.29969564080238342</v>
      </c>
      <c r="D9" s="273">
        <v>7.999999076128006E-2</v>
      </c>
      <c r="E9" s="12">
        <v>5.2173910662531853E-3</v>
      </c>
      <c r="F9" s="11">
        <v>8.6956517770886421E-4</v>
      </c>
      <c r="G9"/>
      <c r="H9" s="74">
        <v>3.7391301244497299E-2</v>
      </c>
      <c r="I9"/>
      <c r="J9" s="13">
        <v>7.8260870650410652E-3</v>
      </c>
      <c r="K9"/>
      <c r="L9"/>
      <c r="M9"/>
      <c r="N9"/>
      <c r="O9"/>
      <c r="P9"/>
      <c r="Q9"/>
      <c r="R9"/>
      <c r="S9"/>
      <c r="T9"/>
      <c r="U9"/>
      <c r="V9" s="310">
        <v>7.9000003635883331E-2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 x14ac:dyDescent="0.15">
      <c r="A10" t="s">
        <v>189</v>
      </c>
      <c r="B10">
        <v>0.6600000262260437</v>
      </c>
      <c r="C10">
        <v>0.65760844945907593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 s="11">
        <v>7.0746272103860974E-4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 s="11">
        <v>1.6840846510604024E-3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 x14ac:dyDescent="0.15">
      <c r="A11" t="s">
        <v>190</v>
      </c>
      <c r="B11">
        <v>0.6600000262260437</v>
      </c>
      <c r="C11">
        <v>0.59825289249420166</v>
      </c>
      <c r="D11" s="274">
        <v>6.1747126281261444E-2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 x14ac:dyDescent="0.15">
      <c r="A12" t="s">
        <v>191</v>
      </c>
      <c r="B12">
        <v>0.77999997138977051</v>
      </c>
      <c r="C12">
        <v>0.69608157873153687</v>
      </c>
      <c r="D12" s="64">
        <v>1.8629802390933037E-2</v>
      </c>
      <c r="E12" s="12">
        <v>7.2121210396289825E-3</v>
      </c>
      <c r="F12" s="8">
        <v>7.9051387729123235E-5</v>
      </c>
      <c r="G12" s="8">
        <v>2.8985508834011853E-4</v>
      </c>
      <c r="H12" s="16">
        <v>1.4440079219639301E-2</v>
      </c>
      <c r="I12"/>
      <c r="J12"/>
      <c r="K12"/>
      <c r="L12"/>
      <c r="M12"/>
      <c r="N12"/>
      <c r="O12" s="287">
        <v>4.326745867729187E-2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 x14ac:dyDescent="0.15">
      <c r="A13" t="s">
        <v>192</v>
      </c>
      <c r="B13">
        <v>0.34999999403953552</v>
      </c>
      <c r="C13">
        <v>0.34864345192909241</v>
      </c>
      <c r="D13" s="9">
        <v>1.3565564295276999E-3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 x14ac:dyDescent="0.15">
      <c r="A14" t="s">
        <v>193</v>
      </c>
      <c r="B14">
        <v>1.7899999618530273</v>
      </c>
      <c r="C14">
        <v>0.15314219892024994</v>
      </c>
      <c r="D14" s="14">
        <v>2.5096312165260315E-2</v>
      </c>
      <c r="E14" s="20">
        <v>1.0227847844362259E-2</v>
      </c>
      <c r="F14"/>
      <c r="G14" s="16">
        <v>3.2374240458011627E-2</v>
      </c>
      <c r="H14" s="8">
        <v>4.4028615775459912E-6</v>
      </c>
      <c r="I14" s="8">
        <v>1.7061088001355529E-3</v>
      </c>
      <c r="J14"/>
      <c r="K14"/>
      <c r="L14"/>
      <c r="M14"/>
      <c r="N14"/>
      <c r="O14" s="309">
        <v>0.58348923921585083</v>
      </c>
      <c r="P14"/>
      <c r="Q14" s="17">
        <v>7.5800150632858276E-2</v>
      </c>
      <c r="R14" s="65">
        <v>8.1626936793327332E-2</v>
      </c>
      <c r="S14" s="14">
        <v>2.3293102160096169E-2</v>
      </c>
      <c r="T14"/>
      <c r="U14"/>
      <c r="V14"/>
      <c r="W14"/>
      <c r="X14" s="20">
        <v>1.1522654443979263E-2</v>
      </c>
      <c r="Y14" s="25">
        <v>6.3267111778259277E-2</v>
      </c>
      <c r="Z14"/>
      <c r="AA14"/>
      <c r="AB14"/>
      <c r="AC14" s="25">
        <v>6.2603726983070374E-2</v>
      </c>
      <c r="AD14" s="283">
        <v>7.3106192052364349E-2</v>
      </c>
      <c r="AE14" s="23">
        <v>4.5819737017154694E-2</v>
      </c>
      <c r="AF14"/>
      <c r="AG14"/>
      <c r="AH14"/>
      <c r="AI14"/>
      <c r="AJ14"/>
      <c r="AK14"/>
      <c r="AL14"/>
      <c r="AM14" s="18">
        <v>3.4286066889762878E-2</v>
      </c>
      <c r="AN14"/>
      <c r="AO14" s="9">
        <v>8.5696456953883171E-3</v>
      </c>
      <c r="AP14" s="65">
        <v>8.098495751619339E-2</v>
      </c>
      <c r="AQ14"/>
      <c r="AR14"/>
      <c r="AS14"/>
      <c r="AT14"/>
      <c r="AU14" s="58">
        <v>0.14190346002578735</v>
      </c>
      <c r="AV14"/>
      <c r="AW14"/>
      <c r="AX14"/>
      <c r="AY14"/>
      <c r="AZ14"/>
      <c r="BA14"/>
      <c r="BB14"/>
      <c r="BC14"/>
      <c r="BD14" s="65">
        <v>7.9085230827331543E-2</v>
      </c>
      <c r="BE14"/>
      <c r="BF14"/>
      <c r="BG14"/>
      <c r="BH14"/>
      <c r="BI14"/>
      <c r="BJ14"/>
      <c r="BK14"/>
      <c r="BL14" s="80">
        <v>0.20209062099456787</v>
      </c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 x14ac:dyDescent="0.15">
      <c r="A15" t="s">
        <v>194</v>
      </c>
      <c r="B15">
        <v>1.190000057220459</v>
      </c>
      <c r="C15">
        <v>0.30660566687583923</v>
      </c>
      <c r="D15" s="275">
        <v>0.39879989624023438</v>
      </c>
      <c r="E15" s="288">
        <v>6.0746420174837112E-2</v>
      </c>
      <c r="F15" s="15">
        <v>1.2994869612157345E-2</v>
      </c>
      <c r="G15" s="299">
        <v>0.16796760261058807</v>
      </c>
      <c r="H15" s="306">
        <v>0.11514123529195786</v>
      </c>
      <c r="I15" s="19">
        <v>9.2735616490244865E-3</v>
      </c>
      <c r="J15"/>
      <c r="K15"/>
      <c r="L15"/>
      <c r="M15"/>
      <c r="N15"/>
      <c r="O15" s="8">
        <v>2.8085338271921501E-5</v>
      </c>
      <c r="P15"/>
      <c r="Q15"/>
      <c r="R15" s="294">
        <v>8.0105945467948914E-2</v>
      </c>
      <c r="S15"/>
      <c r="T15"/>
      <c r="U15"/>
      <c r="V15"/>
      <c r="W15"/>
      <c r="X15"/>
      <c r="Y15"/>
      <c r="Z15"/>
      <c r="AA15"/>
      <c r="AB15"/>
      <c r="AC15" s="68">
        <v>3.4131783992052078E-2</v>
      </c>
      <c r="AD15"/>
      <c r="AE15"/>
      <c r="AF15"/>
      <c r="AG15"/>
      <c r="AH15"/>
      <c r="AI15"/>
      <c r="AJ15"/>
      <c r="AK15"/>
      <c r="AL15"/>
      <c r="AM15"/>
      <c r="AN15"/>
      <c r="AO15" s="9">
        <v>4.2049814946949482E-3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 x14ac:dyDescent="0.15">
      <c r="A16" t="s">
        <v>195</v>
      </c>
      <c r="B16">
        <v>2.3599998950958252</v>
      </c>
      <c r="C16">
        <v>0.35378652811050415</v>
      </c>
      <c r="D16" s="18">
        <v>4.4653348624706268E-2</v>
      </c>
      <c r="E16" s="11">
        <v>4.4653350487351418E-3</v>
      </c>
      <c r="F16" s="8">
        <v>1.3396004214882851E-3</v>
      </c>
      <c r="G16" s="18">
        <v>4.4653348624706268E-2</v>
      </c>
      <c r="H16" s="8">
        <v>2.4833530187606812E-4</v>
      </c>
      <c r="I16" s="9">
        <v>1.022561639547348E-2</v>
      </c>
      <c r="J16"/>
      <c r="K16"/>
      <c r="L16"/>
      <c r="M16"/>
      <c r="N16"/>
      <c r="O16" s="11">
        <v>3.1970229465514421E-3</v>
      </c>
      <c r="P16" s="68">
        <v>7.0080600678920746E-2</v>
      </c>
      <c r="Q16" s="78">
        <v>0.2643444836139679</v>
      </c>
      <c r="R16" s="18">
        <v>4.744412750005722E-2</v>
      </c>
      <c r="S16" s="12">
        <v>2.4866960942745209E-2</v>
      </c>
      <c r="T16" s="8">
        <v>5.3994244808563963E-5</v>
      </c>
      <c r="U16" s="11">
        <v>3.8705973420292139E-3</v>
      </c>
      <c r="V16"/>
      <c r="W16" s="8">
        <v>2.6378376787761226E-5</v>
      </c>
      <c r="X16"/>
      <c r="Y16" s="15">
        <v>2.6683226227760315E-2</v>
      </c>
      <c r="Z16" s="20">
        <v>1.2308107689023018E-2</v>
      </c>
      <c r="AA16" s="11">
        <v>6.0508274473249912E-3</v>
      </c>
      <c r="AB16" s="311">
        <v>4.8731990158557892E-2</v>
      </c>
      <c r="AC16" s="70">
        <v>0.11634017527103424</v>
      </c>
      <c r="AD16" s="18">
        <v>4.5526713132858276E-2</v>
      </c>
      <c r="AE16" s="60">
        <v>0.39947798848152161</v>
      </c>
      <c r="AF16"/>
      <c r="AG16"/>
      <c r="AH16" s="16">
        <v>4.274899885058403E-2</v>
      </c>
      <c r="AI16" s="20">
        <v>1.3475514948368073E-2</v>
      </c>
      <c r="AJ16" s="11">
        <v>4.0485598146915436E-3</v>
      </c>
      <c r="AK16"/>
      <c r="AL16"/>
      <c r="AM16" s="12">
        <v>2.4401796981692314E-2</v>
      </c>
      <c r="AN16" s="19">
        <v>2.0039735361933708E-2</v>
      </c>
      <c r="AO16" s="14">
        <v>3.1173264607787132E-2</v>
      </c>
      <c r="AP16" s="283">
        <v>9.6432730555534363E-2</v>
      </c>
      <c r="AQ16"/>
      <c r="AR16"/>
      <c r="AS16"/>
      <c r="AT16"/>
      <c r="AU16" s="323">
        <v>0.29456686973571777</v>
      </c>
      <c r="AV16"/>
      <c r="AW16"/>
      <c r="AX16"/>
      <c r="AY16" s="15">
        <v>2.6801802217960358E-2</v>
      </c>
      <c r="AZ16"/>
      <c r="BA16"/>
      <c r="BB16"/>
      <c r="BC16"/>
      <c r="BD16" s="21">
        <v>6.5666861832141876E-2</v>
      </c>
      <c r="BE16"/>
      <c r="BF16" s="292">
        <v>0.14035342633724213</v>
      </c>
      <c r="BG16"/>
      <c r="BH16"/>
      <c r="BI16"/>
      <c r="BJ16"/>
      <c r="BK16"/>
      <c r="BL16" s="22">
        <v>7.1915134787559509E-2</v>
      </c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 x14ac:dyDescent="0.15">
      <c r="A17" t="s">
        <v>196</v>
      </c>
      <c r="B17">
        <v>0.88999998569488525</v>
      </c>
      <c r="C17">
        <v>7.0025816559791565E-2</v>
      </c>
      <c r="D17" s="276">
        <v>0.1774209588766098</v>
      </c>
      <c r="E17" s="13">
        <v>1.3688241131603718E-2</v>
      </c>
      <c r="F17" s="293">
        <v>0.15841452777385712</v>
      </c>
      <c r="G17" s="273">
        <v>0.14024703204631805</v>
      </c>
      <c r="H17" s="8">
        <v>6.0622527962550521E-4</v>
      </c>
      <c r="I17" s="14">
        <v>1.2279150076210499E-2</v>
      </c>
      <c r="J17"/>
      <c r="K17"/>
      <c r="L17"/>
      <c r="M17"/>
      <c r="N17"/>
      <c r="O17" s="12">
        <v>8.4095848724246025E-3</v>
      </c>
      <c r="P17"/>
      <c r="Q17" s="26">
        <v>4.2529910802841187E-2</v>
      </c>
      <c r="R17" s="65">
        <v>3.9692647755146027E-2</v>
      </c>
      <c r="S17"/>
      <c r="T17" s="8">
        <v>1.294021203648299E-4</v>
      </c>
      <c r="U17" s="15">
        <v>9.8516438156366348E-3</v>
      </c>
      <c r="V17"/>
      <c r="W17" s="8">
        <v>9.9818193120881915E-5</v>
      </c>
      <c r="X17"/>
      <c r="Y17" s="11">
        <v>2.1035782992839813E-3</v>
      </c>
      <c r="Z17"/>
      <c r="AA17"/>
      <c r="AB17"/>
      <c r="AC17" s="320">
        <v>0.14206385612487793</v>
      </c>
      <c r="AD17"/>
      <c r="AE17" s="15">
        <v>1.028340682387352E-2</v>
      </c>
      <c r="AF17"/>
      <c r="AG17"/>
      <c r="AH17"/>
      <c r="AI17" s="26">
        <v>4.2493809014558792E-2</v>
      </c>
      <c r="AJ17"/>
      <c r="AK17"/>
      <c r="AL17"/>
      <c r="AM17"/>
      <c r="AN17"/>
      <c r="AO17" s="311">
        <v>1.9660411402583122E-2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 x14ac:dyDescent="0.15">
      <c r="A18" t="s">
        <v>197</v>
      </c>
      <c r="B18">
        <v>2</v>
      </c>
      <c r="C18">
        <v>1.1054561138153076</v>
      </c>
      <c r="D18" s="197">
        <v>0.12042253464460373</v>
      </c>
      <c r="E18" s="8">
        <v>2.6331903063692153E-4</v>
      </c>
      <c r="F18" s="8">
        <v>4.745866172015667E-4</v>
      </c>
      <c r="G18" s="283">
        <v>8.0979786813259125E-2</v>
      </c>
      <c r="H18" s="8">
        <v>4.6417635167017579E-4</v>
      </c>
      <c r="I18" s="9">
        <v>7.7140233479440212E-3</v>
      </c>
      <c r="J18"/>
      <c r="K18"/>
      <c r="L18"/>
      <c r="M18"/>
      <c r="N18"/>
      <c r="O18" s="20">
        <v>1.0087568312883377E-2</v>
      </c>
      <c r="P18"/>
      <c r="Q18" s="14">
        <v>2.7410827577114105E-2</v>
      </c>
      <c r="R18" s="11">
        <v>4.5412168838083744E-3</v>
      </c>
      <c r="S18" s="15">
        <v>2.3757871240377426E-2</v>
      </c>
      <c r="T18"/>
      <c r="U18" s="8">
        <v>6.4834451768547297E-4</v>
      </c>
      <c r="V18"/>
      <c r="W18"/>
      <c r="X18"/>
      <c r="Y18" s="9">
        <v>8.4735685959458351E-3</v>
      </c>
      <c r="Z18" s="8">
        <v>1.6035210574045777E-3</v>
      </c>
      <c r="AA18" s="8">
        <v>1.8919489812105894E-3</v>
      </c>
      <c r="AB18" s="18">
        <v>3.9749544113874435E-2</v>
      </c>
      <c r="AC18" s="18">
        <v>3.8698710501194E-2</v>
      </c>
      <c r="AD18" s="64">
        <v>4.5755721628665924E-2</v>
      </c>
      <c r="AE18" s="26">
        <v>9.5592230558395386E-2</v>
      </c>
      <c r="AF18"/>
      <c r="AG18" s="19">
        <v>1.7326595261693001E-2</v>
      </c>
      <c r="AH18" s="9">
        <v>9.5475632697343826E-3</v>
      </c>
      <c r="AI18" s="311">
        <v>4.2134705930948257E-2</v>
      </c>
      <c r="AJ18"/>
      <c r="AK18"/>
      <c r="AL18"/>
      <c r="AM18" s="8">
        <v>1.4305982040241361E-3</v>
      </c>
      <c r="AN18"/>
      <c r="AO18" s="19">
        <v>1.3773123733699322E-2</v>
      </c>
      <c r="AP18" s="9">
        <v>6.0650981031358242E-3</v>
      </c>
      <c r="AQ18"/>
      <c r="AR18"/>
      <c r="AS18"/>
      <c r="AT18"/>
      <c r="AU18" s="24">
        <v>0.15131373703479767</v>
      </c>
      <c r="AV18"/>
      <c r="AW18"/>
      <c r="AX18"/>
      <c r="AY18"/>
      <c r="AZ18"/>
      <c r="BA18"/>
      <c r="BB18"/>
      <c r="BC18"/>
      <c r="BD18"/>
      <c r="BE18"/>
      <c r="BF18" s="17">
        <v>8.8207699358463287E-2</v>
      </c>
      <c r="BG18"/>
      <c r="BH18"/>
      <c r="BI18"/>
      <c r="BJ18"/>
      <c r="BK18"/>
      <c r="BL18" s="21">
        <v>5.6215349584817886E-2</v>
      </c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 x14ac:dyDescent="0.15">
      <c r="A19" t="s">
        <v>198</v>
      </c>
      <c r="B19">
        <v>1.1399999856948853</v>
      </c>
      <c r="C19">
        <v>4.6639241278171539E-2</v>
      </c>
      <c r="D19" s="195">
        <v>0.35839462280273438</v>
      </c>
      <c r="E19" s="11">
        <v>2.1571905817836523E-3</v>
      </c>
      <c r="F19" s="294">
        <v>7.6212376356124878E-2</v>
      </c>
      <c r="G19" s="300">
        <v>0.34981605410575867</v>
      </c>
      <c r="H19" s="9">
        <v>4.0769227780401707E-3</v>
      </c>
      <c r="I19" s="64">
        <v>2.757023461163044E-2</v>
      </c>
      <c r="J19"/>
      <c r="K19"/>
      <c r="L19"/>
      <c r="M19"/>
      <c r="N19"/>
      <c r="O19" s="58">
        <v>8.960367739200592E-2</v>
      </c>
      <c r="P19"/>
      <c r="Q19" s="19">
        <v>8.6368443444371223E-3</v>
      </c>
      <c r="R19" s="18">
        <v>2.2735195234417915E-2</v>
      </c>
      <c r="S19"/>
      <c r="T19"/>
      <c r="U19" s="11">
        <v>1.7704792553558946E-3</v>
      </c>
      <c r="V19"/>
      <c r="W19"/>
      <c r="X19"/>
      <c r="Y19"/>
      <c r="Z19"/>
      <c r="AA19"/>
      <c r="AB19"/>
      <c r="AC19" s="57">
        <v>0.1003933846950531</v>
      </c>
      <c r="AD19"/>
      <c r="AE19"/>
      <c r="AF19"/>
      <c r="AG19"/>
      <c r="AH19"/>
      <c r="AI19" s="15">
        <v>1.4382520690560341E-2</v>
      </c>
      <c r="AJ19"/>
      <c r="AK19"/>
      <c r="AL19"/>
      <c r="AM19"/>
      <c r="AN19"/>
      <c r="AO19" s="69">
        <v>3.7611223757266998E-2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 x14ac:dyDescent="0.15">
      <c r="A20" t="s">
        <v>199</v>
      </c>
      <c r="B20">
        <v>1</v>
      </c>
      <c r="C20">
        <v>0.69157648086547852</v>
      </c>
      <c r="D20" s="20">
        <v>6.773325614631176E-3</v>
      </c>
      <c r="E20" s="8">
        <v>1.1944917787332088E-4</v>
      </c>
      <c r="F20"/>
      <c r="G20" s="15">
        <v>1.1218320578336716E-2</v>
      </c>
      <c r="H20" s="8">
        <v>1.4791892317589372E-4</v>
      </c>
      <c r="I20" s="8">
        <v>3.2987777376547456E-4</v>
      </c>
      <c r="J20" s="8">
        <v>6.189076202645083E-7</v>
      </c>
      <c r="K20"/>
      <c r="L20"/>
      <c r="M20"/>
      <c r="N20"/>
      <c r="O20" s="81">
        <v>0.17638868093490601</v>
      </c>
      <c r="P20"/>
      <c r="Q20" s="26">
        <v>4.6882800757884979E-2</v>
      </c>
      <c r="R20" s="11">
        <v>2.2948500700294971E-3</v>
      </c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 s="8">
        <v>8.0308667384088039E-4</v>
      </c>
      <c r="AP20"/>
      <c r="AQ20"/>
      <c r="AR20"/>
      <c r="AS20"/>
      <c r="AT20"/>
      <c r="AU20" s="20">
        <v>6.6490950994193554E-3</v>
      </c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 s="316">
        <v>5.681551992893219E-2</v>
      </c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 x14ac:dyDescent="0.15">
      <c r="A21" t="s">
        <v>200</v>
      </c>
      <c r="B21">
        <v>0.94999998807907104</v>
      </c>
      <c r="C21">
        <v>0.36607071757316589</v>
      </c>
      <c r="D21" s="277">
        <v>0.41724899411201477</v>
      </c>
      <c r="E21" s="8">
        <v>6.3241110183298588E-5</v>
      </c>
      <c r="F21" s="15">
        <v>1.108300406485796E-2</v>
      </c>
      <c r="G21" s="301">
        <v>9.7328059375286102E-2</v>
      </c>
      <c r="H21" s="11">
        <v>2.3715414572507143E-3</v>
      </c>
      <c r="I21" s="8">
        <v>6.0079048853367567E-4</v>
      </c>
      <c r="J21" s="8">
        <v>7.9051380907912971E-7</v>
      </c>
      <c r="K21"/>
      <c r="L21"/>
      <c r="M21"/>
      <c r="N21"/>
      <c r="O21"/>
      <c r="P21"/>
      <c r="Q21" s="14">
        <v>1.3609573245048523E-2</v>
      </c>
      <c r="R21" s="22">
        <v>2.9311493039131165E-2</v>
      </c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 s="14">
        <v>1.2311815284192562E-2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 x14ac:dyDescent="0.15">
      <c r="A22" t="s">
        <v>201</v>
      </c>
      <c r="B22">
        <v>0.81999999284744263</v>
      </c>
      <c r="C22">
        <v>0.30641689896583557</v>
      </c>
      <c r="D22" s="278">
        <v>0.13242247700691223</v>
      </c>
      <c r="E22" s="9">
        <v>3.7267080042511225E-3</v>
      </c>
      <c r="F22" s="23">
        <v>2.0621117204427719E-2</v>
      </c>
      <c r="G22" s="59">
        <v>5.2919376641511917E-2</v>
      </c>
      <c r="H22" s="307">
        <v>0.16286955773830414</v>
      </c>
      <c r="I22" s="8">
        <v>6.2124221585690975E-4</v>
      </c>
      <c r="J22"/>
      <c r="K22"/>
      <c r="L22"/>
      <c r="M22"/>
      <c r="N22"/>
      <c r="O22" s="11">
        <v>1.2422360014170408E-3</v>
      </c>
      <c r="P22"/>
      <c r="Q22" s="313">
        <v>8.5545875132083893E-2</v>
      </c>
      <c r="R22"/>
      <c r="S22"/>
      <c r="T22"/>
      <c r="U22"/>
      <c r="V22"/>
      <c r="W22"/>
      <c r="X22"/>
      <c r="Y22"/>
      <c r="Z22"/>
      <c r="AA22" s="19">
        <v>6.3965893350541592E-3</v>
      </c>
      <c r="AB22"/>
      <c r="AC22"/>
      <c r="AD22"/>
      <c r="AE22"/>
      <c r="AF22"/>
      <c r="AG22"/>
      <c r="AH22"/>
      <c r="AI22"/>
      <c r="AJ22" s="16">
        <v>1.4979671686887741E-2</v>
      </c>
      <c r="AK22"/>
      <c r="AL22"/>
      <c r="AM22"/>
      <c r="AN22"/>
      <c r="AO22" s="303">
        <v>3.2238192856311798E-2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 x14ac:dyDescent="0.15">
      <c r="A23" t="s">
        <v>202</v>
      </c>
      <c r="B23">
        <v>2.5</v>
      </c>
      <c r="C23">
        <v>0.41776552796363831</v>
      </c>
      <c r="D23"/>
      <c r="E23"/>
      <c r="F23"/>
      <c r="G23" s="302">
        <v>0.74843484163284302</v>
      </c>
      <c r="H23"/>
      <c r="I23"/>
      <c r="J23"/>
      <c r="K23"/>
      <c r="L23"/>
      <c r="M23"/>
      <c r="N23"/>
      <c r="O23" s="11">
        <v>7.2826086543500423E-3</v>
      </c>
      <c r="P23"/>
      <c r="Q23" s="9">
        <v>7.4852644465863705E-3</v>
      </c>
      <c r="R23"/>
      <c r="S23"/>
      <c r="T23" s="8">
        <v>1.1986723256995901E-4</v>
      </c>
      <c r="U23" s="9">
        <v>7.6720761135220528E-3</v>
      </c>
      <c r="V23"/>
      <c r="W23" s="11">
        <v>5.4168007336556911E-3</v>
      </c>
      <c r="X23"/>
      <c r="Y23"/>
      <c r="Z23"/>
      <c r="AA23" s="8">
        <v>2.2388063371181488E-3</v>
      </c>
      <c r="AB23"/>
      <c r="AC23" s="66">
        <v>0.13051140308380127</v>
      </c>
      <c r="AD23"/>
      <c r="AE23"/>
      <c r="AF23"/>
      <c r="AG23"/>
      <c r="AH23"/>
      <c r="AI23" s="305">
        <v>0.31785371899604797</v>
      </c>
      <c r="AJ23" s="26">
        <v>0.11571796238422394</v>
      </c>
      <c r="AK23"/>
      <c r="AL23"/>
      <c r="AM23" s="18">
        <v>5.0786238163709641E-2</v>
      </c>
      <c r="AN23"/>
      <c r="AO23"/>
      <c r="AP23"/>
      <c r="AQ23"/>
      <c r="AR23"/>
      <c r="AS23"/>
      <c r="AT23" s="14">
        <v>3.619244322180748E-2</v>
      </c>
      <c r="AU23" s="320">
        <v>0.39703407883644104</v>
      </c>
      <c r="AV23"/>
      <c r="AW23"/>
      <c r="AX23"/>
      <c r="AY23"/>
      <c r="AZ23"/>
      <c r="BA23"/>
      <c r="BB23"/>
      <c r="BC23"/>
      <c r="BD23"/>
      <c r="BE23" s="21">
        <v>7.0328958332538605E-2</v>
      </c>
      <c r="BF23"/>
      <c r="BG23"/>
      <c r="BH23"/>
      <c r="BI23" s="11">
        <v>3.7372105289250612E-3</v>
      </c>
      <c r="BJ23"/>
      <c r="BK23"/>
      <c r="BL23" s="74">
        <v>0.18142229318618774</v>
      </c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 x14ac:dyDescent="0.15">
      <c r="A24" t="s">
        <v>203</v>
      </c>
      <c r="B24">
        <v>2.2000000476837158</v>
      </c>
      <c r="C24">
        <v>0.58294385671615601</v>
      </c>
      <c r="D24" s="8">
        <v>4.6160563215380535E-5</v>
      </c>
      <c r="E24"/>
      <c r="F24" s="70">
        <v>0.10673943907022476</v>
      </c>
      <c r="G24" s="303">
        <v>8.618801087141037E-2</v>
      </c>
      <c r="H24"/>
      <c r="I24"/>
      <c r="J24"/>
      <c r="K24"/>
      <c r="L24"/>
      <c r="M24"/>
      <c r="N24"/>
      <c r="O24" s="8">
        <v>1.5008421614766121E-3</v>
      </c>
      <c r="P24" s="11">
        <v>2.3251273669302464E-3</v>
      </c>
      <c r="Q24" s="16">
        <v>3.780219703912735E-2</v>
      </c>
      <c r="R24"/>
      <c r="S24"/>
      <c r="T24" s="8">
        <v>1.2382268323563039E-4</v>
      </c>
      <c r="U24" s="8">
        <v>2.0693691913038492E-3</v>
      </c>
      <c r="V24" s="8">
        <v>2.2668580641038716E-4</v>
      </c>
      <c r="W24" s="8">
        <v>8.821808296488598E-5</v>
      </c>
      <c r="X24" s="11">
        <v>3.5915304906666279E-3</v>
      </c>
      <c r="Y24" s="20">
        <v>1.4076166786253452E-2</v>
      </c>
      <c r="Z24" s="8">
        <v>1.0889526311075315E-4</v>
      </c>
      <c r="AA24" s="11">
        <v>3.019336611032486E-3</v>
      </c>
      <c r="AB24" s="16">
        <v>4.0828350931406021E-2</v>
      </c>
      <c r="AC24" s="15">
        <v>2.6411730796098709E-2</v>
      </c>
      <c r="AD24" s="280">
        <v>0.13982738554477692</v>
      </c>
      <c r="AE24" s="333">
        <v>0.23759540915489197</v>
      </c>
      <c r="AF24" s="20">
        <v>1.0992052964866161E-2</v>
      </c>
      <c r="AG24" s="14">
        <v>2.8560519218444824E-2</v>
      </c>
      <c r="AH24" s="313">
        <v>0.23049761354923248</v>
      </c>
      <c r="AI24" s="58">
        <v>0.17275531589984894</v>
      </c>
      <c r="AJ24" s="11">
        <v>2.2136385086923838E-3</v>
      </c>
      <c r="AK24" s="18">
        <v>4.4981706887483597E-2</v>
      </c>
      <c r="AL24"/>
      <c r="AM24" s="9">
        <v>7.7721644192934036E-3</v>
      </c>
      <c r="AN24"/>
      <c r="AO24" s="11">
        <v>5.5580427870154381E-3</v>
      </c>
      <c r="AP24" s="20">
        <v>1.1473839171230793E-2</v>
      </c>
      <c r="AQ24"/>
      <c r="AR24"/>
      <c r="AS24"/>
      <c r="AT24" s="19">
        <v>1.8693368881940842E-2</v>
      </c>
      <c r="AU24" s="334">
        <v>0.30693155527114868</v>
      </c>
      <c r="AV24"/>
      <c r="AW24"/>
      <c r="AX24"/>
      <c r="AY24" s="11">
        <v>4.2682928033173084E-3</v>
      </c>
      <c r="AZ24" s="15">
        <v>2.5225849822163582E-2</v>
      </c>
      <c r="BA24"/>
      <c r="BB24"/>
      <c r="BC24"/>
      <c r="BD24" s="9">
        <v>8.7879886850714684E-3</v>
      </c>
      <c r="BE24" s="19">
        <v>1.7938200384378433E-2</v>
      </c>
      <c r="BF24" s="9">
        <v>7.4258586391806602E-3</v>
      </c>
      <c r="BG24"/>
      <c r="BH24"/>
      <c r="BI24"/>
      <c r="BJ24"/>
      <c r="BK24"/>
      <c r="BL24" s="9">
        <v>1.0411608964204788E-2</v>
      </c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 x14ac:dyDescent="0.15">
      <c r="A25" t="s">
        <v>204</v>
      </c>
      <c r="B25">
        <v>1.2699999809265137</v>
      </c>
      <c r="C25">
        <v>6.3500091433525085E-2</v>
      </c>
      <c r="D25" s="279">
        <v>0.60581785440444946</v>
      </c>
      <c r="E25" s="13">
        <v>2.0284613594412804E-2</v>
      </c>
      <c r="F25"/>
      <c r="G25"/>
      <c r="H25" s="67">
        <v>0.11559183150529861</v>
      </c>
      <c r="I25"/>
      <c r="J25" s="19">
        <v>9.2136841267347336E-3</v>
      </c>
      <c r="K25"/>
      <c r="L25"/>
      <c r="M25"/>
      <c r="N25"/>
      <c r="O25"/>
      <c r="P25"/>
      <c r="Q25" s="287">
        <v>6.8695344030857086E-2</v>
      </c>
      <c r="R25" s="198">
        <v>0.29590392112731934</v>
      </c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 s="68">
        <v>3.7322122603654861E-2</v>
      </c>
      <c r="AH25"/>
      <c r="AI25"/>
      <c r="AJ25"/>
      <c r="AK25"/>
      <c r="AL25"/>
      <c r="AM25" s="17">
        <v>5.3670518100261688E-2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 x14ac:dyDescent="0.15">
      <c r="A26" t="s">
        <v>205</v>
      </c>
      <c r="B26">
        <v>2.2999999523162842</v>
      </c>
      <c r="C26">
        <v>0.11500030010938644</v>
      </c>
      <c r="D26" s="280">
        <v>0.14484655857086182</v>
      </c>
      <c r="E26" s="11">
        <v>2.6332391425967216E-3</v>
      </c>
      <c r="F26" s="8">
        <v>9.2071292812079264E-9</v>
      </c>
      <c r="G26"/>
      <c r="H26" s="8">
        <v>3.5907805431634188E-4</v>
      </c>
      <c r="I26"/>
      <c r="J26" s="8">
        <v>6.2608480220660567E-4</v>
      </c>
      <c r="K26"/>
      <c r="L26"/>
      <c r="M26" s="8">
        <v>9.2071292812079264E-9</v>
      </c>
      <c r="N26"/>
      <c r="O26"/>
      <c r="P26"/>
      <c r="Q26" s="23">
        <v>5.8649051934480667E-2</v>
      </c>
      <c r="R26" s="14">
        <v>2.9587263241410255E-2</v>
      </c>
      <c r="S26" s="11">
        <v>6.4946431666612625E-3</v>
      </c>
      <c r="T26" s="8">
        <v>3.8075340853538364E-5</v>
      </c>
      <c r="U26" s="12">
        <v>2.0308367908000946E-2</v>
      </c>
      <c r="V26" s="8">
        <v>1.67293575941585E-4</v>
      </c>
      <c r="W26" s="8">
        <v>3.1002250034362078E-4</v>
      </c>
      <c r="X26" s="13">
        <v>3.6143731325864792E-2</v>
      </c>
      <c r="Y26" s="18">
        <v>4.4100750237703323E-2</v>
      </c>
      <c r="Z26" s="15">
        <v>2.4912972003221512E-2</v>
      </c>
      <c r="AA26" s="15">
        <v>2.7023617178201675E-2</v>
      </c>
      <c r="AB26" s="10">
        <v>8.7156429886817932E-2</v>
      </c>
      <c r="AC26" s="21">
        <v>6.109367311000824E-2</v>
      </c>
      <c r="AD26" s="17">
        <v>9.9370330572128296E-2</v>
      </c>
      <c r="AE26" s="58">
        <v>0.18205198645591736</v>
      </c>
      <c r="AF26" s="9">
        <v>8.1121074035763741E-3</v>
      </c>
      <c r="AG26" s="9">
        <v>9.4730760902166367E-3</v>
      </c>
      <c r="AH26" s="59">
        <v>0.15072742104530334</v>
      </c>
      <c r="AI26" s="280">
        <v>0.14253875613212585</v>
      </c>
      <c r="AJ26" s="9">
        <v>7.4545638635754585E-3</v>
      </c>
      <c r="AK26"/>
      <c r="AL26"/>
      <c r="AM26" s="9">
        <v>7.8867767006158829E-3</v>
      </c>
      <c r="AN26" s="17">
        <v>0.1000981405377388</v>
      </c>
      <c r="AO26"/>
      <c r="AP26" s="303">
        <v>8.9887507259845734E-2</v>
      </c>
      <c r="AQ26"/>
      <c r="AR26"/>
      <c r="AS26"/>
      <c r="AT26" s="74">
        <v>0.16861361265182495</v>
      </c>
      <c r="AU26" s="322">
        <v>0.34620150923728943</v>
      </c>
      <c r="AV26"/>
      <c r="AW26"/>
      <c r="AX26"/>
      <c r="AY26" s="71">
        <v>0.17009943723678589</v>
      </c>
      <c r="AZ26"/>
      <c r="BA26"/>
      <c r="BB26"/>
      <c r="BC26"/>
      <c r="BD26" s="19">
        <v>1.9456543028354645E-2</v>
      </c>
      <c r="BE26" s="287">
        <v>0.12521269917488098</v>
      </c>
      <c r="BF26" s="9">
        <v>8.220398798584938E-3</v>
      </c>
      <c r="BG26"/>
      <c r="BH26"/>
      <c r="BI26" s="11">
        <v>5.1441425457596779E-3</v>
      </c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 x14ac:dyDescent="0.15">
      <c r="A27" t="s">
        <v>206</v>
      </c>
      <c r="B27">
        <v>0.69999998807907104</v>
      </c>
      <c r="C27">
        <v>0.11014821380376816</v>
      </c>
      <c r="D27" s="281">
        <v>0.34129193425178528</v>
      </c>
      <c r="E27" s="57">
        <v>6.2405798584222794E-2</v>
      </c>
      <c r="F27" s="18">
        <v>1.3043479062616825E-2</v>
      </c>
      <c r="G27" s="59">
        <v>4.5300208032131195E-2</v>
      </c>
      <c r="H27" s="19">
        <v>5.5652176961302757E-3</v>
      </c>
      <c r="I27" s="292">
        <v>4.0496896952390671E-2</v>
      </c>
      <c r="J27"/>
      <c r="K27"/>
      <c r="L27"/>
      <c r="M27"/>
      <c r="N27"/>
      <c r="O27" s="69">
        <v>2.3064183071255684E-2</v>
      </c>
      <c r="P27"/>
      <c r="Q27"/>
      <c r="R27" s="74">
        <v>5.1178798079490662E-2</v>
      </c>
      <c r="S27"/>
      <c r="T27"/>
      <c r="U27"/>
      <c r="V27"/>
      <c r="W27"/>
      <c r="X27"/>
      <c r="Y27"/>
      <c r="Z27"/>
      <c r="AA27" s="9">
        <v>2.1321964450180531E-3</v>
      </c>
      <c r="AB27"/>
      <c r="AC27"/>
      <c r="AD27"/>
      <c r="AE27"/>
      <c r="AF27"/>
      <c r="AG27"/>
      <c r="AH27"/>
      <c r="AI27"/>
      <c r="AJ27"/>
      <c r="AK27"/>
      <c r="AL27"/>
      <c r="AM27"/>
      <c r="AN27"/>
      <c r="AO27" s="19">
        <v>5.3730322979390621E-3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 x14ac:dyDescent="0.15">
      <c r="A28" t="s">
        <v>207</v>
      </c>
      <c r="B28">
        <v>0.81999999284744263</v>
      </c>
      <c r="C28">
        <v>0.37958914041519165</v>
      </c>
      <c r="D28" s="12">
        <v>8.5398079827427864E-3</v>
      </c>
      <c r="E28" s="75">
        <v>9.4976849853992462E-2</v>
      </c>
      <c r="F28"/>
      <c r="G28" s="8">
        <v>2.258610948047135E-5</v>
      </c>
      <c r="H28" s="8">
        <v>2.2586108983091435E-8</v>
      </c>
      <c r="I28" s="8">
        <v>2.258610948047135E-6</v>
      </c>
      <c r="J28"/>
      <c r="K28"/>
      <c r="L28"/>
      <c r="M28"/>
      <c r="N28"/>
      <c r="O28"/>
      <c r="P28"/>
      <c r="Q28"/>
      <c r="R28"/>
      <c r="S28"/>
      <c r="T28"/>
      <c r="U28"/>
      <c r="V28" s="11">
        <v>1.9698701798915863E-3</v>
      </c>
      <c r="W28"/>
      <c r="X28"/>
      <c r="Y28"/>
      <c r="Z28"/>
      <c r="AA28" s="11">
        <v>2.3260326124727726E-3</v>
      </c>
      <c r="AB28" s="13">
        <v>1.2217393144965172E-2</v>
      </c>
      <c r="AC28" s="66">
        <v>4.2819876223802567E-2</v>
      </c>
      <c r="AD28"/>
      <c r="AE28"/>
      <c r="AF28"/>
      <c r="AG28"/>
      <c r="AH28"/>
      <c r="AI28"/>
      <c r="AJ28" s="11">
        <v>1.1672470718622208E-3</v>
      </c>
      <c r="AK28"/>
      <c r="AL28"/>
      <c r="AM28"/>
      <c r="AN28"/>
      <c r="AO28"/>
      <c r="AP28"/>
      <c r="AQ28"/>
      <c r="AR28"/>
      <c r="AS28"/>
      <c r="AT28"/>
      <c r="AU28" s="317">
        <v>0.12132438272237778</v>
      </c>
      <c r="AV28"/>
      <c r="AW28"/>
      <c r="AX28"/>
      <c r="AY28"/>
      <c r="AZ28"/>
      <c r="BA28"/>
      <c r="BB28"/>
      <c r="BC28"/>
      <c r="BD28"/>
      <c r="BE28" s="12">
        <v>8.1187831237912178E-3</v>
      </c>
      <c r="BF28"/>
      <c r="BG28"/>
      <c r="BH28"/>
      <c r="BI28"/>
      <c r="BJ28" s="293">
        <v>0.14692577719688416</v>
      </c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 x14ac:dyDescent="0.15">
      <c r="A29" t="s">
        <v>208</v>
      </c>
      <c r="B29">
        <v>1.309999942779541</v>
      </c>
      <c r="C29">
        <v>0.4564167857170105</v>
      </c>
      <c r="D29" s="8">
        <v>2.7605244667938678E-7</v>
      </c>
      <c r="E29" s="8">
        <v>1.2974465789739043E-4</v>
      </c>
      <c r="F29"/>
      <c r="G29" s="9">
        <v>4.9879918806254864E-3</v>
      </c>
      <c r="H29"/>
      <c r="I29" s="8">
        <v>2.760524475675652E-9</v>
      </c>
      <c r="J29"/>
      <c r="K29"/>
      <c r="L29"/>
      <c r="M29"/>
      <c r="N29"/>
      <c r="O29" s="293">
        <v>0.23287785053253174</v>
      </c>
      <c r="P29" s="19">
        <v>1.1318572796881199E-2</v>
      </c>
      <c r="Q29" s="9">
        <v>5.2278041839599609E-3</v>
      </c>
      <c r="R29"/>
      <c r="S29" s="13">
        <v>1.9472541287541389E-2</v>
      </c>
      <c r="T29" s="8">
        <v>2.2831853129900992E-5</v>
      </c>
      <c r="U29" s="8">
        <v>9.7423186525702477E-4</v>
      </c>
      <c r="V29" s="8">
        <v>5.5174608860397711E-5</v>
      </c>
      <c r="W29"/>
      <c r="X29"/>
      <c r="Y29" s="8">
        <v>8.8149949442595243E-4</v>
      </c>
      <c r="Z29" s="20">
        <v>8.915238082408905E-3</v>
      </c>
      <c r="AA29" s="13">
        <v>1.9758351147174835E-2</v>
      </c>
      <c r="AB29" s="11">
        <v>2.9864739626646042E-3</v>
      </c>
      <c r="AC29" s="13">
        <v>2.0934160798788071E-2</v>
      </c>
      <c r="AD29" s="20">
        <v>6.8754632957279682E-3</v>
      </c>
      <c r="AE29" s="80">
        <v>0.14938689768314362</v>
      </c>
      <c r="AF29"/>
      <c r="AG29" s="19">
        <v>1.0650981217622757E-2</v>
      </c>
      <c r="AH29"/>
      <c r="AI29" s="17">
        <v>5.5795051157474518E-2</v>
      </c>
      <c r="AJ29" s="8">
        <v>1.236417330801487E-3</v>
      </c>
      <c r="AK29"/>
      <c r="AL29"/>
      <c r="AM29" s="17">
        <v>5.5461790412664413E-2</v>
      </c>
      <c r="AN29"/>
      <c r="AO29" s="19">
        <v>1.1104266159236431E-2</v>
      </c>
      <c r="AP29" s="8">
        <v>3.9058685069903731E-4</v>
      </c>
      <c r="AQ29"/>
      <c r="AR29"/>
      <c r="AS29"/>
      <c r="AT29" s="303">
        <v>5.0554517656564713E-2</v>
      </c>
      <c r="AU29" s="78">
        <v>0.14531965553760529</v>
      </c>
      <c r="AV29"/>
      <c r="AW29" s="19">
        <v>1.0006492957472801E-2</v>
      </c>
      <c r="AX29"/>
      <c r="AY29"/>
      <c r="AZ29"/>
      <c r="BA29"/>
      <c r="BB29"/>
      <c r="BC29"/>
      <c r="BD29" s="11">
        <v>2.916775643825531E-3</v>
      </c>
      <c r="BE29"/>
      <c r="BF29"/>
      <c r="BG29"/>
      <c r="BH29"/>
      <c r="BI29"/>
      <c r="BJ29"/>
      <c r="BK29"/>
      <c r="BL29" s="18">
        <v>2.5341523811221123E-2</v>
      </c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 x14ac:dyDescent="0.15">
      <c r="A30" t="s">
        <v>209</v>
      </c>
      <c r="B30">
        <v>0.80000001192092896</v>
      </c>
      <c r="C30">
        <v>0.25740939378738403</v>
      </c>
      <c r="D30" s="197">
        <v>4.7850947827100754E-2</v>
      </c>
      <c r="E30" s="8">
        <v>4.3345571612007916E-5</v>
      </c>
      <c r="F30" s="295">
        <v>0.10689548403024673</v>
      </c>
      <c r="G30" s="284">
        <v>0.18826211988925934</v>
      </c>
      <c r="H30" s="8">
        <v>3.5649520577862859E-4</v>
      </c>
      <c r="I30" s="8">
        <v>8.8460350156083223E-10</v>
      </c>
      <c r="J30"/>
      <c r="K30"/>
      <c r="L30"/>
      <c r="M30"/>
      <c r="N30"/>
      <c r="O30" s="78">
        <v>8.9852713048458099E-2</v>
      </c>
      <c r="P30"/>
      <c r="Q30" s="8">
        <v>4.5688293175771832E-4</v>
      </c>
      <c r="R30" s="8">
        <v>6.5600493689998984E-4</v>
      </c>
      <c r="S30" s="20">
        <v>4.6799471601843834E-3</v>
      </c>
      <c r="T30" s="8">
        <v>7.5602933065965772E-5</v>
      </c>
      <c r="U30" s="9">
        <v>2.7784935664385557E-3</v>
      </c>
      <c r="V30" s="8">
        <v>1.6233979840762913E-4</v>
      </c>
      <c r="W30" s="8">
        <v>1.4893184925313108E-5</v>
      </c>
      <c r="X30"/>
      <c r="Y30" s="8">
        <v>7.5326504884287715E-4</v>
      </c>
      <c r="Z30"/>
      <c r="AA30"/>
      <c r="AB30" s="8">
        <v>4.7850422561168671E-4</v>
      </c>
      <c r="AC30" s="18">
        <v>1.5652703121304512E-2</v>
      </c>
      <c r="AD30"/>
      <c r="AE30"/>
      <c r="AF30"/>
      <c r="AG30"/>
      <c r="AH30"/>
      <c r="AI30" s="67">
        <v>7.2278380393981934E-2</v>
      </c>
      <c r="AJ30"/>
      <c r="AK30"/>
      <c r="AL30"/>
      <c r="AM30" s="12">
        <v>7.7841230668127537E-3</v>
      </c>
      <c r="AN30"/>
      <c r="AO30" s="9">
        <v>3.558335592970252E-3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 x14ac:dyDescent="0.15">
      <c r="A31" t="s">
        <v>210</v>
      </c>
      <c r="B31">
        <v>2.2799999713897705</v>
      </c>
      <c r="C31">
        <v>0.50171583890914917</v>
      </c>
      <c r="D31" s="11">
        <v>5.5820378474891186E-3</v>
      </c>
      <c r="E31" s="20">
        <v>1.2678530998528004E-2</v>
      </c>
      <c r="F31" s="274">
        <v>0.21469700336456299</v>
      </c>
      <c r="G31" s="9">
        <v>1.0272583924233913E-2</v>
      </c>
      <c r="H31" s="8">
        <v>1.4718329475726932E-4</v>
      </c>
      <c r="I31" s="8">
        <v>3.0036795273247208E-9</v>
      </c>
      <c r="J31"/>
      <c r="K31"/>
      <c r="L31"/>
      <c r="M31"/>
      <c r="N31"/>
      <c r="O31" s="68">
        <v>6.8312682211399078E-2</v>
      </c>
      <c r="P31" s="20">
        <v>1.1195951141417027E-2</v>
      </c>
      <c r="Q31" s="16">
        <v>4.2403575032949448E-2</v>
      </c>
      <c r="R31" s="8">
        <v>1.1137354886159301E-3</v>
      </c>
      <c r="S31" s="13">
        <v>3.6019157618284225E-2</v>
      </c>
      <c r="T31" s="8">
        <v>9.5231305749621242E-5</v>
      </c>
      <c r="U31" s="8">
        <v>2.0670879166573286E-3</v>
      </c>
      <c r="V31"/>
      <c r="W31" s="8">
        <v>1.4159586862660944E-4</v>
      </c>
      <c r="X31"/>
      <c r="Y31"/>
      <c r="Z31" s="11">
        <v>4.7191707417368889E-3</v>
      </c>
      <c r="AA31"/>
      <c r="AB31" s="9">
        <v>8.1238290295004845E-3</v>
      </c>
      <c r="AC31" s="20">
        <v>1.2338137254118919E-2</v>
      </c>
      <c r="AD31" s="13">
        <v>3.4911677241325378E-2</v>
      </c>
      <c r="AE31" s="200">
        <v>0.49076190590858459</v>
      </c>
      <c r="AF31"/>
      <c r="AG31" s="8">
        <v>7.7261001570150256E-4</v>
      </c>
      <c r="AH31" s="330">
        <v>0.26693600416183472</v>
      </c>
      <c r="AI31" s="22">
        <v>7.3626577854156494E-2</v>
      </c>
      <c r="AJ31" s="11">
        <v>5.3295544348657131E-3</v>
      </c>
      <c r="AK31" s="20">
        <v>1.1521058157086372E-2</v>
      </c>
      <c r="AL31"/>
      <c r="AM31"/>
      <c r="AN31" s="9">
        <v>7.6836291700601578E-3</v>
      </c>
      <c r="AO31" s="8">
        <v>3.8975363713689148E-4</v>
      </c>
      <c r="AP31" s="11">
        <v>5.9498720802366734E-3</v>
      </c>
      <c r="AQ31"/>
      <c r="AR31"/>
      <c r="AS31"/>
      <c r="AT31" s="331">
        <v>0.30004096031188965</v>
      </c>
      <c r="AU31" s="19">
        <v>1.9361613318324089E-2</v>
      </c>
      <c r="AV31"/>
      <c r="AW31"/>
      <c r="AX31"/>
      <c r="AY31"/>
      <c r="AZ31"/>
      <c r="BA31"/>
      <c r="BB31"/>
      <c r="BC31"/>
      <c r="BD31" s="14">
        <v>3.1736940145492554E-2</v>
      </c>
      <c r="BE31" s="21">
        <v>6.0823105275630951E-2</v>
      </c>
      <c r="BF31" s="9">
        <v>8.9392466470599174E-3</v>
      </c>
      <c r="BG31"/>
      <c r="BH31"/>
      <c r="BI31" s="8">
        <v>6.4545951317995787E-5</v>
      </c>
      <c r="BJ31" s="8">
        <v>1.9539354834705591E-3</v>
      </c>
      <c r="BK31"/>
      <c r="BL31" s="15">
        <v>2.7573678642511368E-2</v>
      </c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 x14ac:dyDescent="0.15">
      <c r="A32" t="s">
        <v>211</v>
      </c>
      <c r="B32">
        <v>0.60000002384185791</v>
      </c>
      <c r="C32">
        <v>0.22539329528808594</v>
      </c>
      <c r="D32" s="13">
        <v>9.682508185505867E-3</v>
      </c>
      <c r="E32" s="8">
        <v>2.3255813630385092E-6</v>
      </c>
      <c r="F32" s="15">
        <v>7.0313443429768085E-3</v>
      </c>
      <c r="G32" s="304">
        <v>0.2619464099407196</v>
      </c>
      <c r="H32" s="8">
        <v>1.5975732821971178E-5</v>
      </c>
      <c r="I32" s="8">
        <v>1.0111222970010658E-9</v>
      </c>
      <c r="J32"/>
      <c r="K32"/>
      <c r="L32"/>
      <c r="M32"/>
      <c r="N32"/>
      <c r="O32" s="294">
        <v>3.9940342307090759E-2</v>
      </c>
      <c r="P32" s="292">
        <v>3.542737290263176E-2</v>
      </c>
      <c r="Q32" s="9">
        <v>2.6111388579010963E-3</v>
      </c>
      <c r="R32"/>
      <c r="S32" s="12">
        <v>5.3492882288992405E-3</v>
      </c>
      <c r="T32" s="8">
        <v>1.9513270672177896E-5</v>
      </c>
      <c r="U32" s="11">
        <v>1.3916789321228862E-3</v>
      </c>
      <c r="V32" s="8">
        <v>2.8109303093515337E-4</v>
      </c>
      <c r="W32" s="8">
        <v>1.7023256077663973E-5</v>
      </c>
      <c r="X32"/>
      <c r="Y32"/>
      <c r="Z32"/>
      <c r="AA32"/>
      <c r="AB32"/>
      <c r="AC32" s="20">
        <v>3.8338724989444017E-3</v>
      </c>
      <c r="AD32"/>
      <c r="AE32"/>
      <c r="AF32"/>
      <c r="AG32"/>
      <c r="AH32"/>
      <c r="AI32" s="11">
        <v>1.7392815789207816E-3</v>
      </c>
      <c r="AJ32" s="9">
        <v>2.8565884567797184E-3</v>
      </c>
      <c r="AK32"/>
      <c r="AL32"/>
      <c r="AM32"/>
      <c r="AN32"/>
      <c r="AO32" s="9">
        <v>2.3179010022431612E-3</v>
      </c>
      <c r="AP32" s="8">
        <v>1.4306377852335572E-4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 x14ac:dyDescent="0.15">
      <c r="A33" t="s">
        <v>212</v>
      </c>
      <c r="B33">
        <v>1.2000000476837158</v>
      </c>
      <c r="C33">
        <v>0.77930140495300293</v>
      </c>
      <c r="D33" s="64">
        <v>2.7223547920584679E-2</v>
      </c>
      <c r="E33" s="8">
        <v>7.9507398186251521E-4</v>
      </c>
      <c r="F33" s="11">
        <v>2.9886611737310886E-3</v>
      </c>
      <c r="G33" s="280">
        <v>7.4634827673435211E-2</v>
      </c>
      <c r="H33" s="8">
        <v>1.2615753803402185E-4</v>
      </c>
      <c r="I33" s="8">
        <v>3.0036795273247208E-9</v>
      </c>
      <c r="J33"/>
      <c r="K33"/>
      <c r="L33"/>
      <c r="M33"/>
      <c r="N33"/>
      <c r="O33" s="273">
        <v>0.18932493031024933</v>
      </c>
      <c r="P33"/>
      <c r="Q33" s="9">
        <v>5.1711676642298698E-3</v>
      </c>
      <c r="R33" s="9">
        <v>4.4549419544637203E-3</v>
      </c>
      <c r="S33" s="20">
        <v>7.4157081544399261E-3</v>
      </c>
      <c r="T33"/>
      <c r="U33" s="8">
        <v>9.5404067542403936E-4</v>
      </c>
      <c r="V33"/>
      <c r="W33"/>
      <c r="X33"/>
      <c r="Y33"/>
      <c r="Z33"/>
      <c r="AA33"/>
      <c r="AB33" s="8">
        <v>8.1238278653472662E-4</v>
      </c>
      <c r="AC33" s="11">
        <v>2.84726289100945E-3</v>
      </c>
      <c r="AD33" s="9">
        <v>4.9873827956616879E-3</v>
      </c>
      <c r="AE33" s="23">
        <v>3.1258717179298401E-2</v>
      </c>
      <c r="AF33"/>
      <c r="AG33"/>
      <c r="AH33"/>
      <c r="AI33"/>
      <c r="AJ33" s="19">
        <v>9.3137854710221291E-3</v>
      </c>
      <c r="AK33"/>
      <c r="AL33"/>
      <c r="AM33"/>
      <c r="AN33"/>
      <c r="AO33"/>
      <c r="AP33" s="8">
        <v>4.2499086703173816E-4</v>
      </c>
      <c r="AQ33"/>
      <c r="AR33"/>
      <c r="AS33"/>
      <c r="AT33" s="23">
        <v>3.0004097148776054E-2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 s="8">
        <v>3.8727567880414426E-4</v>
      </c>
      <c r="BJ33"/>
      <c r="BK33"/>
      <c r="BL33" s="64">
        <v>2.7573678642511368E-2</v>
      </c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 x14ac:dyDescent="0.15">
      <c r="A34" t="s">
        <v>213</v>
      </c>
      <c r="B34">
        <v>2.2799999713897705</v>
      </c>
      <c r="C34">
        <v>0.53894990682601929</v>
      </c>
      <c r="D34" s="8">
        <v>5.5705652357573854E-7</v>
      </c>
      <c r="E34"/>
      <c r="F34" s="296">
        <v>0.45996266603469849</v>
      </c>
      <c r="G34" s="8">
        <v>6.255744956433773E-4</v>
      </c>
      <c r="H34"/>
      <c r="I34"/>
      <c r="J34"/>
      <c r="K34"/>
      <c r="L34"/>
      <c r="M34"/>
      <c r="N34"/>
      <c r="O34" s="9">
        <v>8.7636131793260574E-3</v>
      </c>
      <c r="P34" s="292">
        <v>0.13600283861160278</v>
      </c>
      <c r="Q34" s="12">
        <v>2.0619243383407593E-2</v>
      </c>
      <c r="R34" s="19">
        <v>1.9691215828061104E-2</v>
      </c>
      <c r="S34" s="18">
        <v>4.3616745620965958E-2</v>
      </c>
      <c r="T34" s="8">
        <v>1.0750424735306296E-5</v>
      </c>
      <c r="U34" s="8">
        <v>3.6369869485497475E-4</v>
      </c>
      <c r="V34"/>
      <c r="W34" s="8">
        <v>2.0632927771657705E-5</v>
      </c>
      <c r="X34" s="23">
        <v>5.7731378823518753E-2</v>
      </c>
      <c r="Y34" s="15">
        <v>2.7986619621515274E-2</v>
      </c>
      <c r="Z34" s="8">
        <v>1.653171144425869E-3</v>
      </c>
      <c r="AA34" s="9">
        <v>9.5518575981259346E-3</v>
      </c>
      <c r="AB34" s="12">
        <v>2.0490158349275589E-2</v>
      </c>
      <c r="AC34" s="9">
        <v>8.6247790604829788E-3</v>
      </c>
      <c r="AD34" s="197">
        <v>0.14012995362281799</v>
      </c>
      <c r="AE34" s="73">
        <v>0.18782864511013031</v>
      </c>
      <c r="AF34" s="21">
        <v>6.3313804566860199E-2</v>
      </c>
      <c r="AG34" s="16">
        <v>4.1266579180955887E-2</v>
      </c>
      <c r="AH34" s="11">
        <v>3.9083235897123814E-3</v>
      </c>
      <c r="AI34" s="11">
        <v>4.79110237210989E-3</v>
      </c>
      <c r="AJ34"/>
      <c r="AK34"/>
      <c r="AL34"/>
      <c r="AM34" s="20">
        <v>1.2016046792268753E-2</v>
      </c>
      <c r="AN34" s="8">
        <v>3.5624770680442452E-4</v>
      </c>
      <c r="AO34" s="11">
        <v>3.2045433763414621E-3</v>
      </c>
      <c r="AP34" s="14">
        <v>3.2473005354404449E-2</v>
      </c>
      <c r="AQ34"/>
      <c r="AR34"/>
      <c r="AS34"/>
      <c r="AT34" s="333">
        <v>0.24391062557697296</v>
      </c>
      <c r="AU34" s="15">
        <v>2.5733828544616699E-2</v>
      </c>
      <c r="AV34"/>
      <c r="AW34" s="11">
        <v>5.3846593946218491E-3</v>
      </c>
      <c r="AX34"/>
      <c r="AY34" s="9">
        <v>8.7668159976601601E-3</v>
      </c>
      <c r="AZ34"/>
      <c r="BA34"/>
      <c r="BB34"/>
      <c r="BC34"/>
      <c r="BD34" s="11">
        <v>6.2390225939452648E-3</v>
      </c>
      <c r="BE34" s="8">
        <v>6.007171468809247E-4</v>
      </c>
      <c r="BF34" s="11">
        <v>6.6645778715610504E-3</v>
      </c>
      <c r="BG34"/>
      <c r="BH34"/>
      <c r="BI34"/>
      <c r="BJ34" s="66">
        <v>0.11922071874141693</v>
      </c>
      <c r="BK34"/>
      <c r="BL34" s="19">
        <v>1.9525269046425819E-2</v>
      </c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 x14ac:dyDescent="0.15">
      <c r="A35" t="s">
        <v>214</v>
      </c>
      <c r="B35">
        <v>0.85000002384185791</v>
      </c>
      <c r="C35">
        <v>0.26605555415153503</v>
      </c>
      <c r="D35" s="282">
        <v>0.10307873040437698</v>
      </c>
      <c r="E35" s="289">
        <v>0.36831963062286377</v>
      </c>
      <c r="F35" s="8">
        <v>1.8801409169100225E-4</v>
      </c>
      <c r="G35" s="9">
        <v>3.9334525354206562E-3</v>
      </c>
      <c r="H35" s="15">
        <v>9.6307769417762756E-3</v>
      </c>
      <c r="I35" s="8">
        <v>8.1909826258197427E-4</v>
      </c>
      <c r="J35"/>
      <c r="K35"/>
      <c r="L35"/>
      <c r="M35"/>
      <c r="N35"/>
      <c r="O35" s="197">
        <v>5.1327850669622421E-2</v>
      </c>
      <c r="P35"/>
      <c r="Q35"/>
      <c r="R35" s="311">
        <v>1.7734216526150703E-2</v>
      </c>
      <c r="S35"/>
      <c r="T35"/>
      <c r="U35" s="11">
        <v>1.9644007552415133E-3</v>
      </c>
      <c r="V35" s="8">
        <v>2.7419632533565164E-4</v>
      </c>
      <c r="W35" s="8">
        <v>1.6660027540638112E-5</v>
      </c>
      <c r="X35"/>
      <c r="Y35"/>
      <c r="Z35" s="11">
        <v>1.9433853449299932E-3</v>
      </c>
      <c r="AA35"/>
      <c r="AB35"/>
      <c r="AC35" s="13">
        <v>1.4070255681872368E-2</v>
      </c>
      <c r="AD35"/>
      <c r="AE35"/>
      <c r="AF35"/>
      <c r="AG35"/>
      <c r="AH35"/>
      <c r="AI35"/>
      <c r="AJ35"/>
      <c r="AK35"/>
      <c r="AL35"/>
      <c r="AM35"/>
      <c r="AN35"/>
      <c r="AO35" s="8">
        <v>3.2100616954267025E-4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 s="15">
        <v>1.0322747752070427E-2</v>
      </c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 x14ac:dyDescent="0.15">
      <c r="A36" t="s">
        <v>215</v>
      </c>
      <c r="B36">
        <v>0.67199999094009399</v>
      </c>
      <c r="C36">
        <v>0.52390396595001221</v>
      </c>
      <c r="D36" s="280">
        <v>4.1545506566762924E-2</v>
      </c>
      <c r="E36" s="11">
        <v>1.0760000441223383E-3</v>
      </c>
      <c r="F36" s="8">
        <v>6.3768115978746209E-6</v>
      </c>
      <c r="G36" s="8">
        <v>1.7855071928352118E-4</v>
      </c>
      <c r="H36" s="8">
        <v>6.9565794547088444E-5</v>
      </c>
      <c r="I36" s="9">
        <v>2.5304348673671484E-3</v>
      </c>
      <c r="J36" s="6">
        <v>5.7971011324653432E-10</v>
      </c>
      <c r="K36"/>
      <c r="L36" s="6">
        <v>5.7971011324653432E-10</v>
      </c>
      <c r="M36"/>
      <c r="N36"/>
      <c r="O36" s="8">
        <v>7.4782605224754661E-5</v>
      </c>
      <c r="P36"/>
      <c r="Q36"/>
      <c r="R36" s="20">
        <v>3.3675648737698793E-3</v>
      </c>
      <c r="S36"/>
      <c r="T36" s="8">
        <v>5.5938039622560609E-6</v>
      </c>
      <c r="U36" s="8">
        <v>7.1606053097639233E-5</v>
      </c>
      <c r="V36" s="8">
        <v>6.4253334130626172E-5</v>
      </c>
      <c r="W36" s="8">
        <v>1.171200074168155E-5</v>
      </c>
      <c r="X36" s="8">
        <v>4.5514488010667264E-4</v>
      </c>
      <c r="Y36" s="11">
        <v>1.6660339897498488E-3</v>
      </c>
      <c r="Z36"/>
      <c r="AA36" s="8">
        <v>8.9552253484725952E-5</v>
      </c>
      <c r="AB36" s="11">
        <v>9.4073923537507653E-4</v>
      </c>
      <c r="AC36" s="26">
        <v>3.1139561906456947E-2</v>
      </c>
      <c r="AD36"/>
      <c r="AE36"/>
      <c r="AF36" s="13">
        <v>1.0726045817136765E-2</v>
      </c>
      <c r="AG36" s="8">
        <v>4.4734115363098681E-4</v>
      </c>
      <c r="AH36"/>
      <c r="AI36" s="8">
        <v>2.4929703795351088E-4</v>
      </c>
      <c r="AJ36"/>
      <c r="AK36"/>
      <c r="AL36"/>
      <c r="AM36"/>
      <c r="AN36" s="11">
        <v>1.8536754650995135E-3</v>
      </c>
      <c r="AO36" s="8">
        <v>6.0177961131557822E-4</v>
      </c>
      <c r="AP36" s="11">
        <v>7.3820911347866058E-4</v>
      </c>
      <c r="AQ36"/>
      <c r="AR36"/>
      <c r="AS36"/>
      <c r="AT36"/>
      <c r="AU36"/>
      <c r="AV36"/>
      <c r="AW36"/>
      <c r="AX36"/>
      <c r="AY36" s="311">
        <v>1.5073332935571671E-2</v>
      </c>
      <c r="AZ36" s="64">
        <v>1.625041663646698E-2</v>
      </c>
      <c r="BA36"/>
      <c r="BB36"/>
      <c r="BC36"/>
      <c r="BD36" s="9">
        <v>2.4909263011068106E-3</v>
      </c>
      <c r="BE36"/>
      <c r="BF36"/>
      <c r="BG36"/>
      <c r="BH36"/>
      <c r="BI36"/>
      <c r="BJ36" s="311">
        <v>1.3953052461147308E-2</v>
      </c>
      <c r="BK36"/>
      <c r="BL36" s="9">
        <v>2.4189639370888472E-3</v>
      </c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 x14ac:dyDescent="0.15">
      <c r="A37" t="s">
        <v>216</v>
      </c>
      <c r="B37">
        <v>0.69999998807907104</v>
      </c>
      <c r="C37">
        <v>0.38086572289466858</v>
      </c>
      <c r="D37"/>
      <c r="E37"/>
      <c r="F37"/>
      <c r="G37"/>
      <c r="H37" s="8">
        <v>1.4906832802807912E-5</v>
      </c>
      <c r="I37"/>
      <c r="J37"/>
      <c r="K37"/>
      <c r="L37"/>
      <c r="M37"/>
      <c r="N37"/>
      <c r="O37"/>
      <c r="P37"/>
      <c r="Q37"/>
      <c r="R37" s="19">
        <v>6.1414558440446854E-3</v>
      </c>
      <c r="S37"/>
      <c r="T37"/>
      <c r="U37"/>
      <c r="V37"/>
      <c r="W37" s="8">
        <v>3.3462856663390994E-5</v>
      </c>
      <c r="X37" s="11">
        <v>1.3004139764234424E-3</v>
      </c>
      <c r="Y37" s="14">
        <v>1.0049093514680862E-2</v>
      </c>
      <c r="Z37"/>
      <c r="AA37" s="8">
        <v>5.1172717940062284E-4</v>
      </c>
      <c r="AB37" s="17">
        <v>2.9566094279289246E-2</v>
      </c>
      <c r="AC37" s="80">
        <v>8.0073155462741852E-2</v>
      </c>
      <c r="AD37" s="64">
        <v>1.6501111909747124E-2</v>
      </c>
      <c r="AE37" s="65">
        <v>3.1026512384414673E-2</v>
      </c>
      <c r="AF37"/>
      <c r="AG37"/>
      <c r="AH37"/>
      <c r="AI37"/>
      <c r="AJ37"/>
      <c r="AK37"/>
      <c r="AL37"/>
      <c r="AM37" s="20">
        <v>4.6433131210505962E-3</v>
      </c>
      <c r="AN37"/>
      <c r="AO37" s="12">
        <v>7.5222454033792019E-3</v>
      </c>
      <c r="AP37" s="13">
        <v>1.0545844212174416E-2</v>
      </c>
      <c r="AQ37"/>
      <c r="AR37"/>
      <c r="AS37"/>
      <c r="AT37"/>
      <c r="AU37"/>
      <c r="AV37"/>
      <c r="AW37"/>
      <c r="AX37"/>
      <c r="AY37"/>
      <c r="AZ37" s="321">
        <v>0.10047096759080887</v>
      </c>
      <c r="BA37"/>
      <c r="BB37"/>
      <c r="BC37"/>
      <c r="BD37"/>
      <c r="BE37"/>
      <c r="BF37"/>
      <c r="BG37"/>
      <c r="BH37"/>
      <c r="BI37"/>
      <c r="BJ37"/>
      <c r="BK37"/>
      <c r="BL37" s="68">
        <v>2.0733976736664772E-2</v>
      </c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 x14ac:dyDescent="0.15">
      <c r="A38" t="s">
        <v>217</v>
      </c>
      <c r="B38">
        <v>1.1000000238418579</v>
      </c>
      <c r="C38">
        <v>0.80110818147659302</v>
      </c>
      <c r="D38" s="9">
        <v>5.0365286879241467E-3</v>
      </c>
      <c r="E38" s="290">
        <v>0.24818086624145508</v>
      </c>
      <c r="F38"/>
      <c r="G38"/>
      <c r="H38" s="8">
        <v>5.8434781385585666E-4</v>
      </c>
      <c r="I38" s="8">
        <v>3.4782608508976409E-6</v>
      </c>
      <c r="J38" s="8">
        <v>6.9565217017952818E-6</v>
      </c>
      <c r="K38"/>
      <c r="L38"/>
      <c r="M38"/>
      <c r="N38"/>
      <c r="O38"/>
      <c r="P38"/>
      <c r="Q38"/>
      <c r="R38" s="19">
        <v>9.4578415155410767E-3</v>
      </c>
      <c r="S38"/>
      <c r="T38"/>
      <c r="U38"/>
      <c r="V38"/>
      <c r="W38"/>
      <c r="X38"/>
      <c r="Y38"/>
      <c r="Z38"/>
      <c r="AA38"/>
      <c r="AB38"/>
      <c r="AC38" s="20">
        <v>6.5942606888711452E-3</v>
      </c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 s="23">
        <v>2.9027566313743591E-2</v>
      </c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 x14ac:dyDescent="0.15">
      <c r="A39" t="s">
        <v>218</v>
      </c>
      <c r="B39">
        <v>0.80000001192092896</v>
      </c>
      <c r="C39">
        <v>9.4771720468997955E-2</v>
      </c>
      <c r="D39" s="14">
        <v>1.0599889792501926E-2</v>
      </c>
      <c r="E39" s="291">
        <v>0.31370389461517334</v>
      </c>
      <c r="F39" s="8">
        <v>1.1007154171238653E-5</v>
      </c>
      <c r="G39" s="8">
        <v>1.1007154299136346E-8</v>
      </c>
      <c r="H39" s="13">
        <v>1.261421013623476E-2</v>
      </c>
      <c r="I39"/>
      <c r="J39"/>
      <c r="K39"/>
      <c r="L39"/>
      <c r="M39"/>
      <c r="N39"/>
      <c r="O39" s="297">
        <v>8.5327461361885071E-2</v>
      </c>
      <c r="P39"/>
      <c r="Q39"/>
      <c r="R39" s="292">
        <v>4.7615718096494675E-2</v>
      </c>
      <c r="S39"/>
      <c r="T39"/>
      <c r="U39"/>
      <c r="V39"/>
      <c r="W39" s="8">
        <v>7.4126575782429427E-5</v>
      </c>
      <c r="X39"/>
      <c r="Y39" s="11">
        <v>1.1716131120920181E-3</v>
      </c>
      <c r="Z39" s="9">
        <v>3.8430378772318363E-3</v>
      </c>
      <c r="AA39" s="16">
        <v>1.3602873310446739E-2</v>
      </c>
      <c r="AB39" s="13">
        <v>1.1908091604709625E-2</v>
      </c>
      <c r="AC39" s="71">
        <v>5.9125747531652451E-2</v>
      </c>
      <c r="AD39" s="64">
        <v>1.8276548013091087E-2</v>
      </c>
      <c r="AE39" s="17">
        <v>3.4364804625511169E-2</v>
      </c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 s="70">
        <v>3.9899304509162903E-2</v>
      </c>
      <c r="AX39"/>
      <c r="AY39"/>
      <c r="AZ39"/>
      <c r="BA39"/>
      <c r="BB39"/>
      <c r="BC39"/>
      <c r="BD39"/>
      <c r="BE39"/>
      <c r="BF39"/>
      <c r="BG39"/>
      <c r="BH39"/>
      <c r="BI39"/>
      <c r="BJ39" s="12">
        <v>7.1603073738515377E-3</v>
      </c>
      <c r="BK39"/>
      <c r="BL39" s="316">
        <v>4.5929692685604095E-2</v>
      </c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 x14ac:dyDescent="0.15">
      <c r="A40" t="s">
        <v>219</v>
      </c>
      <c r="B40">
        <v>0.86400002241134644</v>
      </c>
      <c r="C40">
        <v>0.65874332189559937</v>
      </c>
      <c r="D40" s="283">
        <v>3.5296935588121414E-2</v>
      </c>
      <c r="E40" s="9">
        <v>2.6275124400854111E-3</v>
      </c>
      <c r="F40" s="8">
        <v>6.8424800701905042E-5</v>
      </c>
      <c r="G40" s="19">
        <v>7.3784748092293739E-3</v>
      </c>
      <c r="H40" s="8">
        <v>4.10554523114115E-4</v>
      </c>
      <c r="I40" s="8">
        <v>7.7776191756129265E-4</v>
      </c>
      <c r="J40"/>
      <c r="K40"/>
      <c r="L40"/>
      <c r="M40"/>
      <c r="N40"/>
      <c r="O40" s="11">
        <v>1.1803278466686606E-3</v>
      </c>
      <c r="P40"/>
      <c r="Q40"/>
      <c r="R40" s="18">
        <v>1.6209416091442108E-2</v>
      </c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 s="11">
        <v>2.2196786012500525E-3</v>
      </c>
      <c r="AP40"/>
      <c r="AQ40"/>
      <c r="AR40"/>
      <c r="AS40"/>
      <c r="AT40"/>
      <c r="AU40"/>
      <c r="AV40"/>
      <c r="AW40"/>
      <c r="AX40"/>
      <c r="AY40"/>
      <c r="AZ40" s="295">
        <v>0.11529454588890076</v>
      </c>
      <c r="BA40"/>
      <c r="BB40"/>
      <c r="BC40"/>
      <c r="BD40"/>
      <c r="BE40"/>
      <c r="BF40"/>
      <c r="BG40"/>
      <c r="BH40"/>
      <c r="BI40"/>
      <c r="BJ40"/>
      <c r="BK40"/>
      <c r="BL40" s="21">
        <v>2.3793086409568787E-2</v>
      </c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 x14ac:dyDescent="0.15">
      <c r="A41" t="s">
        <v>220</v>
      </c>
      <c r="B41">
        <v>0.89999997615814209</v>
      </c>
      <c r="C41">
        <v>0.53807663917541504</v>
      </c>
      <c r="D41" s="17">
        <v>3.8027569651603699E-2</v>
      </c>
      <c r="E41" s="81">
        <v>0.15896075963973999</v>
      </c>
      <c r="F41"/>
      <c r="G41" s="8">
        <v>1.4867443496768828E-5</v>
      </c>
      <c r="H41" s="8">
        <v>4.2629903873603325E-6</v>
      </c>
      <c r="I41"/>
      <c r="J41" s="8">
        <v>3.3936373074539006E-4</v>
      </c>
      <c r="K41"/>
      <c r="L41"/>
      <c r="M41"/>
      <c r="N41"/>
      <c r="O41"/>
      <c r="P41"/>
      <c r="Q41"/>
      <c r="R41" s="314">
        <v>6.29124715924263E-2</v>
      </c>
      <c r="S41"/>
      <c r="T41"/>
      <c r="U41" s="11">
        <v>2.6197335682809353E-3</v>
      </c>
      <c r="V41"/>
      <c r="W41"/>
      <c r="X41"/>
      <c r="Y41"/>
      <c r="Z41"/>
      <c r="AA41" s="11">
        <v>1.0921006323769689E-3</v>
      </c>
      <c r="AB41"/>
      <c r="AC41" s="19">
        <v>6.701483391225338E-3</v>
      </c>
      <c r="AD41"/>
      <c r="AE41"/>
      <c r="AF41"/>
      <c r="AG41"/>
      <c r="AH41"/>
      <c r="AI41"/>
      <c r="AJ41"/>
      <c r="AK41"/>
      <c r="AL41"/>
      <c r="AM41"/>
      <c r="AN41"/>
      <c r="AO41" s="9">
        <v>2.752040745690465E-3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 s="79">
        <v>8.8498674333095551E-2</v>
      </c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 x14ac:dyDescent="0.15">
      <c r="A42" t="s">
        <v>221</v>
      </c>
      <c r="B42">
        <v>0.86000001430511475</v>
      </c>
      <c r="C42">
        <v>0.74183672666549683</v>
      </c>
      <c r="D42" s="18">
        <v>1.677294634282589E-2</v>
      </c>
      <c r="E42" s="68">
        <v>2.5697261095046997E-2</v>
      </c>
      <c r="F42" s="8">
        <v>1.932367158588022E-4</v>
      </c>
      <c r="G42" s="8">
        <v>3.2206116884481162E-8</v>
      </c>
      <c r="H42" s="69">
        <v>2.880193293094635E-2</v>
      </c>
      <c r="I42"/>
      <c r="J42" s="8">
        <v>3.2206116884481162E-8</v>
      </c>
      <c r="K42"/>
      <c r="L42"/>
      <c r="M42"/>
      <c r="N42"/>
      <c r="O42" s="19">
        <v>6.892109289765358E-3</v>
      </c>
      <c r="P42"/>
      <c r="Q42"/>
      <c r="R42" s="26">
        <v>3.9805728942155838E-2</v>
      </c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 x14ac:dyDescent="0.15">
      <c r="A43" t="s">
        <v>222</v>
      </c>
      <c r="B43">
        <v>0.72000002861022949</v>
      </c>
      <c r="C43">
        <v>0.5487709641456604</v>
      </c>
      <c r="D43" s="75">
        <v>8.3969302475452423E-2</v>
      </c>
      <c r="E43" s="8">
        <v>1.0230178304482251E-7</v>
      </c>
      <c r="F43"/>
      <c r="G43" s="18">
        <v>1.4782608486711979E-2</v>
      </c>
      <c r="H43" s="8">
        <v>6.1381069826893508E-5</v>
      </c>
      <c r="I43" s="9">
        <v>2.352941082790494E-3</v>
      </c>
      <c r="J43"/>
      <c r="K43"/>
      <c r="L43"/>
      <c r="M43"/>
      <c r="N43"/>
      <c r="O43" s="8">
        <v>2.0460356608964503E-4</v>
      </c>
      <c r="P43"/>
      <c r="Q43"/>
      <c r="R43" s="57">
        <v>6.3220866024494171E-2</v>
      </c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 s="12">
        <v>6.6372747533023357E-3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 x14ac:dyDescent="0.15">
      <c r="A44" t="s">
        <v>223</v>
      </c>
      <c r="B44">
        <v>0.15999999642372131</v>
      </c>
      <c r="C44">
        <v>0.12005269527435303</v>
      </c>
      <c r="D44" s="284">
        <v>3.7575758993625641E-2</v>
      </c>
      <c r="E44" s="15">
        <v>1.8972333054989576E-3</v>
      </c>
      <c r="F44"/>
      <c r="G44"/>
      <c r="H44" s="8">
        <v>5.2700921514770016E-5</v>
      </c>
      <c r="I44"/>
      <c r="J44" s="11">
        <v>4.2160737211816013E-4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 x14ac:dyDescent="0.15">
      <c r="A45" t="s">
        <v>224</v>
      </c>
      <c r="B45">
        <v>1.5</v>
      </c>
      <c r="C45">
        <v>0.4241546094417572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 s="22">
        <v>4.7766875475645065E-2</v>
      </c>
      <c r="S45"/>
      <c r="T45" s="8">
        <v>5.3274321544449776E-5</v>
      </c>
      <c r="U45" s="15">
        <v>1.7731022089719772E-2</v>
      </c>
      <c r="V45" s="11">
        <v>3.7920000031590462E-3</v>
      </c>
      <c r="W45" s="11">
        <v>2.2122666705399752E-3</v>
      </c>
      <c r="X45"/>
      <c r="Y45" s="14">
        <v>2.0568320527672768E-2</v>
      </c>
      <c r="Z45"/>
      <c r="AA45" s="315">
        <v>0.13731342554092407</v>
      </c>
      <c r="AB45" s="25">
        <v>5.2263297140598297E-2</v>
      </c>
      <c r="AC45" s="80">
        <v>0.17096228897571564</v>
      </c>
      <c r="AD45"/>
      <c r="AE45"/>
      <c r="AF45"/>
      <c r="AG45" s="20">
        <v>9.9409157410264015E-3</v>
      </c>
      <c r="AH45"/>
      <c r="AI45"/>
      <c r="AJ45"/>
      <c r="AK45"/>
      <c r="AL45"/>
      <c r="AM45"/>
      <c r="AN45" s="73">
        <v>0.12357835471630096</v>
      </c>
      <c r="AO45" s="9">
        <v>5.0148298032581806E-3</v>
      </c>
      <c r="AP45" s="24">
        <v>0.11483252048492432</v>
      </c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80">
        <v>0.17150638997554779</v>
      </c>
      <c r="BE45" s="26">
        <v>7.1776047348976135E-2</v>
      </c>
      <c r="BF45"/>
      <c r="BG45"/>
      <c r="BH45"/>
      <c r="BI45" s="8">
        <v>8.3049118984490633E-4</v>
      </c>
      <c r="BJ45" s="201">
        <v>0.12570315599441528</v>
      </c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 x14ac:dyDescent="0.15">
      <c r="A46" t="s">
        <v>225</v>
      </c>
      <c r="B46">
        <v>0.47999998927116394</v>
      </c>
      <c r="C46">
        <v>0.10285700857639313</v>
      </c>
      <c r="D46" s="285">
        <v>0.33701860904693604</v>
      </c>
      <c r="E46" s="74">
        <v>3.503105416893959E-2</v>
      </c>
      <c r="F46"/>
      <c r="G46" s="8">
        <v>1.2422358963704028E-7</v>
      </c>
      <c r="H46" s="11">
        <v>1.3664596481248736E-3</v>
      </c>
      <c r="I46"/>
      <c r="J46" s="19">
        <v>3.7267080042511225E-3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 x14ac:dyDescent="0.15">
      <c r="A47" t="s">
        <v>226</v>
      </c>
      <c r="B47">
        <v>0.55000001192092896</v>
      </c>
      <c r="C47">
        <v>5.5000048130750656E-2</v>
      </c>
      <c r="D47" s="286">
        <v>0.44204142689704895</v>
      </c>
      <c r="E47" s="13">
        <v>8.2090571522712708E-3</v>
      </c>
      <c r="F47" s="8">
        <v>1.1660593202122982E-7</v>
      </c>
      <c r="G47" s="9">
        <v>2.6236334815621376E-3</v>
      </c>
      <c r="H47" s="283">
        <v>2.2773139178752899E-2</v>
      </c>
      <c r="I47"/>
      <c r="J47" s="9">
        <v>2.0989067852497101E-3</v>
      </c>
      <c r="K47"/>
      <c r="L47" s="8">
        <v>1.1660593202122982E-7</v>
      </c>
      <c r="M47" s="8">
        <v>2.3321186017710716E-4</v>
      </c>
      <c r="N47" s="8">
        <v>1.1660593202122982E-7</v>
      </c>
      <c r="O47"/>
      <c r="P47"/>
      <c r="Q47"/>
      <c r="R47"/>
      <c r="S47"/>
      <c r="T47"/>
      <c r="U47"/>
      <c r="V47"/>
      <c r="W47"/>
      <c r="X47"/>
      <c r="Y47"/>
      <c r="Z47"/>
      <c r="AA47" s="311">
        <v>1.2008672580122948E-2</v>
      </c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 s="12">
        <v>5.0114807672798634E-3</v>
      </c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 x14ac:dyDescent="0.15">
      <c r="A48" t="s">
        <v>227</v>
      </c>
      <c r="B48">
        <v>1.4199999570846558</v>
      </c>
      <c r="C48">
        <v>2.8399886563420296E-2</v>
      </c>
      <c r="D48" s="287">
        <v>7.6836638152599335E-2</v>
      </c>
      <c r="E48" s="9">
        <v>6.2907184474170208E-3</v>
      </c>
      <c r="F48" s="297">
        <v>0.14978280663490295</v>
      </c>
      <c r="G48" s="16">
        <v>2.5578085333108902E-2</v>
      </c>
      <c r="H48" s="293">
        <v>0.25255584716796875</v>
      </c>
      <c r="I48"/>
      <c r="J48" s="8">
        <v>5.6878106668989403E-9</v>
      </c>
      <c r="K48"/>
      <c r="L48"/>
      <c r="M48"/>
      <c r="N48"/>
      <c r="O48" s="21">
        <v>3.7932012230157852E-2</v>
      </c>
      <c r="P48"/>
      <c r="Q48"/>
      <c r="R48" s="70">
        <v>6.889352947473526E-2</v>
      </c>
      <c r="S48"/>
      <c r="T48" s="8">
        <v>7.840494072297588E-5</v>
      </c>
      <c r="U48" s="8">
        <v>1.0036582825705409E-3</v>
      </c>
      <c r="V48" s="8">
        <v>1.1368228297214955E-4</v>
      </c>
      <c r="W48" s="8">
        <v>5.7455996284261346E-5</v>
      </c>
      <c r="X48" s="11">
        <v>1.4885473065078259E-3</v>
      </c>
      <c r="Y48" s="9">
        <v>5.4487492889165878E-3</v>
      </c>
      <c r="Z48" s="64">
        <v>3.2766394317150116E-2</v>
      </c>
      <c r="AA48" s="11">
        <v>3.2216780818998814E-3</v>
      </c>
      <c r="AB48" s="26">
        <v>6.6148608922958374E-2</v>
      </c>
      <c r="AC48" s="18">
        <v>2.6958087459206581E-2</v>
      </c>
      <c r="AD48" s="67">
        <v>0.12749643623828888</v>
      </c>
      <c r="AE48" s="287">
        <v>7.6949544250965118E-2</v>
      </c>
      <c r="AF48" s="19">
        <v>1.0022696107625961E-2</v>
      </c>
      <c r="AG48" s="11">
        <v>1.4630254590883851E-3</v>
      </c>
      <c r="AH48"/>
      <c r="AI48"/>
      <c r="AJ48" s="11">
        <v>1.5677082119509578E-3</v>
      </c>
      <c r="AK48"/>
      <c r="AL48"/>
      <c r="AM48" s="11">
        <v>2.2146126721054316E-3</v>
      </c>
      <c r="AN48" s="25">
        <v>5.0924409180879593E-2</v>
      </c>
      <c r="AO48" s="20">
        <v>7.8724585473537445E-3</v>
      </c>
      <c r="AP48" s="12">
        <v>1.3681069016456604E-2</v>
      </c>
      <c r="AQ48"/>
      <c r="AR48"/>
      <c r="AS48"/>
      <c r="AT48"/>
      <c r="AU48" s="68">
        <v>4.2773999273777008E-2</v>
      </c>
      <c r="AV48"/>
      <c r="AW48"/>
      <c r="AX48"/>
      <c r="AY48" s="301">
        <v>0.14399972558021545</v>
      </c>
      <c r="AZ48" s="16">
        <v>2.6137793436646461E-2</v>
      </c>
      <c r="BA48" s="14">
        <v>2.0824527367949486E-2</v>
      </c>
      <c r="BB48" s="311">
        <v>3.016439825296402E-2</v>
      </c>
      <c r="BC48" s="9">
        <v>6.4427698962390423E-3</v>
      </c>
      <c r="BD48" s="21">
        <v>4.0065012872219086E-2</v>
      </c>
      <c r="BE48" s="11">
        <v>2.0445352420210838E-3</v>
      </c>
      <c r="BF48"/>
      <c r="BG48"/>
      <c r="BH48"/>
      <c r="BI48" s="20">
        <v>8.066859096288681E-3</v>
      </c>
      <c r="BJ48"/>
      <c r="BK48"/>
      <c r="BL48" s="16">
        <v>2.3733600974082947E-2</v>
      </c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 x14ac:dyDescent="0.15">
      <c r="A49" t="s">
        <v>228</v>
      </c>
      <c r="B49">
        <v>4</v>
      </c>
      <c r="C49">
        <v>7.9999685287475586E-2</v>
      </c>
      <c r="D49" s="8">
        <v>2.4812021292746067E-3</v>
      </c>
      <c r="E49"/>
      <c r="F49"/>
      <c r="G49" s="301">
        <v>0.4104570746421814</v>
      </c>
      <c r="H49" s="8">
        <v>7.0889463188450463E-8</v>
      </c>
      <c r="I49"/>
      <c r="J49"/>
      <c r="K49"/>
      <c r="L49"/>
      <c r="M49"/>
      <c r="N49"/>
      <c r="O49"/>
      <c r="P49" s="319">
        <v>0.66058564186096191</v>
      </c>
      <c r="Q49"/>
      <c r="R49"/>
      <c r="S49"/>
      <c r="T49" s="8">
        <v>3.9087689947336912E-4</v>
      </c>
      <c r="U49"/>
      <c r="V49"/>
      <c r="W49" s="8">
        <v>9.5479603623971343E-4</v>
      </c>
      <c r="X49"/>
      <c r="Y49"/>
      <c r="Z49"/>
      <c r="AA49"/>
      <c r="AB49"/>
      <c r="AC49"/>
      <c r="AD49" s="13">
        <v>5.8853298425674438E-2</v>
      </c>
      <c r="AE49" s="287">
        <v>0.22131992876529694</v>
      </c>
      <c r="AF49"/>
      <c r="AG49"/>
      <c r="AH49" s="318">
        <v>0.60788732767105103</v>
      </c>
      <c r="AI49" s="24">
        <v>0.30485117435455322</v>
      </c>
      <c r="AJ49" s="9">
        <v>1.3433046638965607E-2</v>
      </c>
      <c r="AK49" s="72">
        <v>0.27190703153610229</v>
      </c>
      <c r="AL49"/>
      <c r="AM49"/>
      <c r="AN49"/>
      <c r="AO49" s="11">
        <v>9.1985268518328667E-3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 s="21">
        <v>0.10617443919181824</v>
      </c>
      <c r="BF49"/>
      <c r="BG49"/>
      <c r="BH49"/>
      <c r="BI49" s="11">
        <v>9.1400444507598877E-3</v>
      </c>
      <c r="BJ49"/>
      <c r="BK49"/>
      <c r="BL49" s="202">
        <v>1.2423657178878784</v>
      </c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 x14ac:dyDescent="0.15">
      <c r="A50" t="s">
        <v>229</v>
      </c>
      <c r="B50">
        <v>4.5</v>
      </c>
      <c r="C50">
        <v>0.50030922889709473</v>
      </c>
      <c r="D50" s="20">
        <v>2.5304349139332771E-2</v>
      </c>
      <c r="E50" s="8">
        <v>1.3565217377617955E-3</v>
      </c>
      <c r="F50"/>
      <c r="G50" s="8">
        <v>2.1739131170761539E-6</v>
      </c>
      <c r="H50" s="8">
        <v>2.173912960756752E-8</v>
      </c>
      <c r="I50" s="8">
        <v>2.173912960756752E-8</v>
      </c>
      <c r="J50"/>
      <c r="K50"/>
      <c r="L50" s="8">
        <v>4.3500000174390152E-5</v>
      </c>
      <c r="M50"/>
      <c r="N50"/>
      <c r="O50"/>
      <c r="P50" s="26">
        <v>0.20748873054981232</v>
      </c>
      <c r="Q50" s="314">
        <v>0.32186639308929443</v>
      </c>
      <c r="R50"/>
      <c r="S50"/>
      <c r="T50" s="8">
        <v>3.6656897282227874E-4</v>
      </c>
      <c r="U50" s="11">
        <v>8.6324922740459442E-3</v>
      </c>
      <c r="V50" s="11">
        <v>8.1200003623962402E-3</v>
      </c>
      <c r="W50" s="8">
        <v>1.9240002147853374E-3</v>
      </c>
      <c r="X50" s="11">
        <v>5.6893113069236279E-3</v>
      </c>
      <c r="Y50" s="11">
        <v>4.6278722584247589E-3</v>
      </c>
      <c r="Z50" s="11">
        <v>9.4874994829297066E-3</v>
      </c>
      <c r="AA50" s="11">
        <v>8.9552253484725952E-3</v>
      </c>
      <c r="AB50" s="20">
        <v>2.3518482223153114E-2</v>
      </c>
      <c r="AC50" s="9">
        <v>1.4101599343121052E-2</v>
      </c>
      <c r="AD50" s="201">
        <v>0.38117766380310059</v>
      </c>
      <c r="AE50" s="17">
        <v>0.19180838763713837</v>
      </c>
      <c r="AF50" s="287">
        <v>0.24899749457836151</v>
      </c>
      <c r="AG50" s="11">
        <v>1.1451452039182186E-2</v>
      </c>
      <c r="AH50" s="64">
        <v>0.10421472042798996</v>
      </c>
      <c r="AI50" s="9">
        <v>1.9800001755356789E-2</v>
      </c>
      <c r="AJ50" s="8">
        <v>3.8199659320525825E-4</v>
      </c>
      <c r="AK50"/>
      <c r="AL50"/>
      <c r="AM50" s="13">
        <v>6.9697052240371704E-2</v>
      </c>
      <c r="AN50" s="9">
        <v>1.3902567327022552E-2</v>
      </c>
      <c r="AO50" s="13">
        <v>7.0410959422588348E-2</v>
      </c>
      <c r="AP50" s="12">
        <v>4.6199999749660492E-2</v>
      </c>
      <c r="AQ50"/>
      <c r="AR50"/>
      <c r="AS50"/>
      <c r="AT50" s="299">
        <v>0.63231503963470459</v>
      </c>
      <c r="AU50"/>
      <c r="AV50"/>
      <c r="AW50"/>
      <c r="AX50"/>
      <c r="AY50" s="12">
        <v>4.4625002890825272E-2</v>
      </c>
      <c r="AZ50"/>
      <c r="BA50"/>
      <c r="BB50"/>
      <c r="BC50"/>
      <c r="BD50"/>
      <c r="BE50"/>
      <c r="BF50" s="15">
        <v>5.175824835896492E-2</v>
      </c>
      <c r="BG50"/>
      <c r="BH50"/>
      <c r="BI50"/>
      <c r="BJ50" s="73">
        <v>0.36768177151679993</v>
      </c>
      <c r="BK50" s="9">
        <v>1.8749337643384933E-2</v>
      </c>
      <c r="BL50" s="327">
        <v>1.03792405128479</v>
      </c>
      <c r="BM50"/>
      <c r="BN50"/>
      <c r="BO50"/>
      <c r="BP50"/>
      <c r="BQ50" s="12">
        <v>4.7109890729188919E-2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 x14ac:dyDescent="0.15">
      <c r="A51" t="s">
        <v>230</v>
      </c>
      <c r="B51">
        <v>4</v>
      </c>
      <c r="C51">
        <v>3.9999961853027344E-2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 s="302">
        <v>1.1973471641540527</v>
      </c>
      <c r="AR51" s="335">
        <v>1.3739255666732788</v>
      </c>
      <c r="AS51" s="23">
        <v>0.10565206408500671</v>
      </c>
      <c r="AT51"/>
      <c r="AU51"/>
      <c r="AV51" s="63">
        <v>0.47900316119194031</v>
      </c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 s="8">
        <v>3.8013933226466179E-3</v>
      </c>
      <c r="BL51" s="20">
        <v>2.428121492266655E-2</v>
      </c>
      <c r="BM51"/>
      <c r="BN51"/>
      <c r="BO51" s="332">
        <v>0.66901302337646484</v>
      </c>
      <c r="BP51"/>
      <c r="BQ51" s="21">
        <v>0.10697615891695023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 x14ac:dyDescent="0.15">
      <c r="A52" t="s">
        <v>231</v>
      </c>
      <c r="B52">
        <v>2.75</v>
      </c>
      <c r="C52">
        <v>0.13750019669532776</v>
      </c>
      <c r="D52"/>
      <c r="E52"/>
      <c r="F52"/>
      <c r="G52"/>
      <c r="H52"/>
      <c r="I52"/>
      <c r="J52"/>
      <c r="K52"/>
      <c r="L52"/>
      <c r="M52"/>
      <c r="N52"/>
      <c r="O52"/>
      <c r="P52" s="21">
        <v>7.7392160892486572E-2</v>
      </c>
      <c r="Q52"/>
      <c r="R52"/>
      <c r="S52" s="21">
        <v>7.3303572833538055E-2</v>
      </c>
      <c r="T52" s="8">
        <v>7.3272007284685969E-5</v>
      </c>
      <c r="U52" s="11">
        <v>3.5977740772068501E-3</v>
      </c>
      <c r="V52" s="8">
        <v>1.888204860733822E-4</v>
      </c>
      <c r="W52" s="8">
        <v>6.9983077992219478E-5</v>
      </c>
      <c r="X52"/>
      <c r="Y52"/>
      <c r="Z52"/>
      <c r="AA52"/>
      <c r="AB52" s="20">
        <v>1.4053072780370712E-2</v>
      </c>
      <c r="AC52" s="64">
        <v>6.5605811774730682E-2</v>
      </c>
      <c r="AD52" s="22">
        <v>8.6248770356178284E-2</v>
      </c>
      <c r="AE52" s="329">
        <v>0.5418129563331604</v>
      </c>
      <c r="AF52"/>
      <c r="AG52" s="12">
        <v>2.6703385636210442E-2</v>
      </c>
      <c r="AH52" s="68">
        <v>8.0929778516292572E-2</v>
      </c>
      <c r="AI52" s="74">
        <v>0.20110036432743073</v>
      </c>
      <c r="AJ52" s="11">
        <v>4.8370389267802238E-3</v>
      </c>
      <c r="AK52" s="14">
        <v>3.9819736033678055E-2</v>
      </c>
      <c r="AL52"/>
      <c r="AM52" s="25">
        <v>9.6380345523357391E-2</v>
      </c>
      <c r="AN52" s="283">
        <v>0.11297851800918579</v>
      </c>
      <c r="AO52" s="19">
        <v>2.3889811709523201E-2</v>
      </c>
      <c r="AP52" s="8">
        <v>1.4703479828312993E-3</v>
      </c>
      <c r="AQ52"/>
      <c r="AR52"/>
      <c r="AS52"/>
      <c r="AT52" s="280">
        <v>0.17300945520401001</v>
      </c>
      <c r="AU52" s="325">
        <v>0.44657126069068909</v>
      </c>
      <c r="AV52"/>
      <c r="AW52" s="12">
        <v>2.5137796998023987E-2</v>
      </c>
      <c r="AX52"/>
      <c r="AY52"/>
      <c r="AZ52"/>
      <c r="BA52"/>
      <c r="BB52"/>
      <c r="BC52"/>
      <c r="BD52" s="11">
        <v>7.3346938006579876E-3</v>
      </c>
      <c r="BE52" s="11">
        <v>6.2319859862327576E-3</v>
      </c>
      <c r="BF52"/>
      <c r="BG52"/>
      <c r="BH52"/>
      <c r="BI52" s="8">
        <v>6.7060207948088646E-4</v>
      </c>
      <c r="BJ52" s="67">
        <v>0.2501223087310791</v>
      </c>
      <c r="BK52" s="68">
        <v>7.9170331358909607E-2</v>
      </c>
      <c r="BL52" s="280">
        <v>0.17379620671272278</v>
      </c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 x14ac:dyDescent="0.15">
      <c r="A53" t="s">
        <v>233</v>
      </c>
      <c r="B53">
        <v>4</v>
      </c>
      <c r="C53">
        <v>3.9999961853027344E-2</v>
      </c>
      <c r="D53"/>
      <c r="E53"/>
      <c r="F53"/>
      <c r="G53"/>
      <c r="H53"/>
      <c r="I53"/>
      <c r="J53"/>
      <c r="K53"/>
      <c r="L53"/>
      <c r="M53"/>
      <c r="N53"/>
      <c r="O53"/>
      <c r="P53" s="19">
        <v>2.8268015012145042E-2</v>
      </c>
      <c r="Q53"/>
      <c r="R53"/>
      <c r="S53" s="11">
        <v>8.66676215082407E-3</v>
      </c>
      <c r="T53" s="8">
        <v>1.3872476301912684E-5</v>
      </c>
      <c r="U53" s="8">
        <v>4.4548491132445633E-5</v>
      </c>
      <c r="V53"/>
      <c r="W53" s="8">
        <v>1.6802786149128224E-6</v>
      </c>
      <c r="X53" s="8">
        <v>1.0334731778129935E-3</v>
      </c>
      <c r="Y53"/>
      <c r="Z53" s="8">
        <v>8.6171043221838772E-5</v>
      </c>
      <c r="AA53" s="8">
        <v>7.6253068982623518E-5</v>
      </c>
      <c r="AB53" s="8">
        <v>6.675270851701498E-4</v>
      </c>
      <c r="AC53" s="8">
        <v>1.600987307028845E-4</v>
      </c>
      <c r="AD53" s="12">
        <v>4.1215222328901291E-2</v>
      </c>
      <c r="AE53" s="20">
        <v>2.4498509243130684E-2</v>
      </c>
      <c r="AF53" s="15">
        <v>4.3491180986166E-2</v>
      </c>
      <c r="AG53" s="11">
        <v>7.5406376272439957E-3</v>
      </c>
      <c r="AH53" s="69">
        <v>0.1317266970872879</v>
      </c>
      <c r="AI53" s="19">
        <v>2.7874456718564034E-2</v>
      </c>
      <c r="AJ53"/>
      <c r="AK53" s="22">
        <v>0.12458553165197372</v>
      </c>
      <c r="AL53" s="321">
        <v>0.57088112831115723</v>
      </c>
      <c r="AM53" s="8">
        <v>3.4217810025438666E-4</v>
      </c>
      <c r="AN53" s="19">
        <v>3.1567815691232681E-2</v>
      </c>
      <c r="AO53"/>
      <c r="AP53" s="8">
        <v>6.9935910869389772E-4</v>
      </c>
      <c r="AQ53" s="287">
        <v>0.2224850207567215</v>
      </c>
      <c r="AR53" s="81">
        <v>0.70645028352737427</v>
      </c>
      <c r="AS53"/>
      <c r="AT53" s="25">
        <v>0.14357639849185944</v>
      </c>
      <c r="AU53" s="59">
        <v>0.25784146785736084</v>
      </c>
      <c r="AV53" s="299">
        <v>0.5632748007774353</v>
      </c>
      <c r="AW53"/>
      <c r="AX53"/>
      <c r="AY53"/>
      <c r="AZ53" s="9">
        <v>1.1795566417276859E-2</v>
      </c>
      <c r="BA53"/>
      <c r="BB53"/>
      <c r="BC53"/>
      <c r="BD53"/>
      <c r="BE53"/>
      <c r="BF53"/>
      <c r="BG53"/>
      <c r="BH53" s="8">
        <v>1.0132761235581711E-4</v>
      </c>
      <c r="BI53" s="11">
        <v>7.2432723827660084E-3</v>
      </c>
      <c r="BJ53"/>
      <c r="BK53" s="11">
        <v>1.0501367971301079E-2</v>
      </c>
      <c r="BL53" s="64">
        <v>9.6536464989185333E-2</v>
      </c>
      <c r="BM53"/>
      <c r="BN53" s="69">
        <v>0.13062620162963867</v>
      </c>
      <c r="BO53" s="325">
        <v>0.64935070276260376</v>
      </c>
      <c r="BP53"/>
      <c r="BQ53" s="15">
        <v>4.581877589225769E-2</v>
      </c>
      <c r="BR53"/>
      <c r="BS53"/>
      <c r="BT53"/>
      <c r="BU53"/>
      <c r="BV53" s="16">
        <v>7.095770537853241E-2</v>
      </c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 x14ac:dyDescent="0.15">
      <c r="A54" t="s">
        <v>234</v>
      </c>
      <c r="B54">
        <v>9.1999998092651367</v>
      </c>
      <c r="C54">
        <v>4.5333929061889648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 s="8">
        <v>3.5732400137931108E-3</v>
      </c>
      <c r="T54"/>
      <c r="U54"/>
      <c r="V54"/>
      <c r="W54"/>
      <c r="X54"/>
      <c r="Y54"/>
      <c r="Z54"/>
      <c r="AA54"/>
      <c r="AB54" s="8">
        <v>2.0872654858976603E-3</v>
      </c>
      <c r="AC54"/>
      <c r="AD54" s="8">
        <v>6.3529605977237225E-3</v>
      </c>
      <c r="AE54"/>
      <c r="AF54" s="8">
        <v>4.7884136438369751E-3</v>
      </c>
      <c r="AG54"/>
      <c r="AH54" s="11">
        <v>2.0061330869793892E-2</v>
      </c>
      <c r="AI54" s="8">
        <v>5.1480000838637352E-3</v>
      </c>
      <c r="AJ54"/>
      <c r="AK54" s="8">
        <v>5.9402403421700001E-3</v>
      </c>
      <c r="AL54" s="64">
        <v>0.20922186970710754</v>
      </c>
      <c r="AM54" s="8">
        <v>1.3185928401071578E-4</v>
      </c>
      <c r="AN54" s="11">
        <v>2.0784337073564529E-2</v>
      </c>
      <c r="AO54"/>
      <c r="AP54"/>
      <c r="AQ54" s="13">
        <v>0.13744238018989563</v>
      </c>
      <c r="AR54" s="10">
        <v>0.33882567286491394</v>
      </c>
      <c r="AS54" s="18">
        <v>0.17196300625801086</v>
      </c>
      <c r="AT54" s="11">
        <v>2.1015174686908722E-2</v>
      </c>
      <c r="AU54"/>
      <c r="AV54" s="199">
        <v>1.1950578689575195</v>
      </c>
      <c r="AW54"/>
      <c r="AX54" s="8">
        <v>8.1818187609314919E-3</v>
      </c>
      <c r="AY54"/>
      <c r="AZ54"/>
      <c r="BA54"/>
      <c r="BB54"/>
      <c r="BC54"/>
      <c r="BD54"/>
      <c r="BE54" s="8">
        <v>1.9742756194318645E-5</v>
      </c>
      <c r="BF54"/>
      <c r="BG54" s="8">
        <v>8.4122635598760098E-5</v>
      </c>
      <c r="BH54"/>
      <c r="BI54" s="8">
        <v>1.8140836618840694E-4</v>
      </c>
      <c r="BJ54" s="8">
        <v>6.4344308339059353E-3</v>
      </c>
      <c r="BK54" s="11">
        <v>1.0796491988003254E-2</v>
      </c>
      <c r="BL54" s="9">
        <v>2.8143711388111115E-2</v>
      </c>
      <c r="BM54" s="25">
        <v>0.32881516218185425</v>
      </c>
      <c r="BN54" s="19">
        <v>7.3636084794998169E-2</v>
      </c>
      <c r="BO54" s="328">
        <v>2.0265805721282959</v>
      </c>
      <c r="BP54"/>
      <c r="BQ54" s="11">
        <v>1.0089367628097534E-2</v>
      </c>
      <c r="BR54"/>
      <c r="BS54"/>
      <c r="BT54"/>
      <c r="BU54"/>
      <c r="BV54" s="9">
        <v>3.125E-2</v>
      </c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 x14ac:dyDescent="0.15">
      <c r="A55" t="s">
        <v>235</v>
      </c>
      <c r="B55">
        <v>2.8580000400543213</v>
      </c>
      <c r="C55">
        <v>1.6059272289276123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8">
        <v>9.9973357282578945E-4</v>
      </c>
      <c r="U55" s="20">
        <v>1.7122296616435051E-2</v>
      </c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 s="10">
        <v>0.10917538404464722</v>
      </c>
      <c r="AX55"/>
      <c r="AY55"/>
      <c r="AZ55" s="302">
        <v>0.85974639654159546</v>
      </c>
      <c r="BA55"/>
      <c r="BB55"/>
      <c r="BC55"/>
      <c r="BD55"/>
      <c r="BE55"/>
      <c r="BF55"/>
      <c r="BG55"/>
      <c r="BH55"/>
      <c r="BI55" s="8">
        <v>5.7114002993330359E-4</v>
      </c>
      <c r="BJ55"/>
      <c r="BK55" s="17">
        <v>0.12499556690454483</v>
      </c>
      <c r="BL55"/>
      <c r="BM55"/>
      <c r="BN55" s="70">
        <v>0.13946227729320526</v>
      </c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 x14ac:dyDescent="0.15">
      <c r="A56" t="s">
        <v>237</v>
      </c>
      <c r="B56">
        <v>0.55409997701644897</v>
      </c>
      <c r="C56">
        <v>3.7573058158159256E-2</v>
      </c>
      <c r="D56" s="8">
        <v>4.7524245019303635E-5</v>
      </c>
      <c r="E56" s="8">
        <v>6.42219538349309E-6</v>
      </c>
      <c r="F56" s="19">
        <v>4.6997624449431896E-3</v>
      </c>
      <c r="G56"/>
      <c r="H56" s="8">
        <v>4.6239809307735413E-5</v>
      </c>
      <c r="I56"/>
      <c r="J56" s="8">
        <v>1.2844390084865154E-6</v>
      </c>
      <c r="K56"/>
      <c r="L56"/>
      <c r="M56"/>
      <c r="N56" s="20">
        <v>3.5874380264431238E-3</v>
      </c>
      <c r="O56"/>
      <c r="P56"/>
      <c r="Q56"/>
      <c r="R56"/>
      <c r="S56"/>
      <c r="T56" s="8">
        <v>5.0536342314444482E-5</v>
      </c>
      <c r="U56" s="8">
        <v>3.0138954753056169E-4</v>
      </c>
      <c r="V56"/>
      <c r="W56" s="8">
        <v>4.9843429587781429E-4</v>
      </c>
      <c r="X56" s="292">
        <v>3.2270241528749466E-2</v>
      </c>
      <c r="Y56" s="13">
        <v>8.4764575585722923E-3</v>
      </c>
      <c r="Z56" s="74">
        <v>4.0584634989500046E-2</v>
      </c>
      <c r="AA56" s="20">
        <v>3.6376470234245062E-3</v>
      </c>
      <c r="AB56" s="299">
        <v>7.78159499168396E-2</v>
      </c>
      <c r="AC56" s="314">
        <v>3.9159540086984634E-2</v>
      </c>
      <c r="AD56" s="303">
        <v>2.1449118852615356E-2</v>
      </c>
      <c r="AE56" s="25">
        <v>1.983247697353363E-2</v>
      </c>
      <c r="AF56" s="19">
        <v>4.5267129316926003E-3</v>
      </c>
      <c r="AG56" s="15">
        <v>6.7659979686141014E-3</v>
      </c>
      <c r="AH56"/>
      <c r="AI56"/>
      <c r="AJ56"/>
      <c r="AK56"/>
      <c r="AL56"/>
      <c r="AM56" s="11">
        <v>8.9037715224549174E-4</v>
      </c>
      <c r="AN56" s="64">
        <v>1.3142751529812813E-2</v>
      </c>
      <c r="AO56"/>
      <c r="AP56" s="18">
        <v>1.1282717809081078E-2</v>
      </c>
      <c r="AQ56"/>
      <c r="AR56"/>
      <c r="AS56"/>
      <c r="AT56"/>
      <c r="AU56"/>
      <c r="AV56"/>
      <c r="AW56" s="288">
        <v>2.8382373973727226E-2</v>
      </c>
      <c r="AX56" s="295">
        <v>7.437172532081604E-2</v>
      </c>
      <c r="AY56" s="294">
        <v>3.691285103559494E-2</v>
      </c>
      <c r="AZ56" s="280">
        <v>3.4830756485462189E-2</v>
      </c>
      <c r="BA56"/>
      <c r="BB56"/>
      <c r="BC56"/>
      <c r="BD56"/>
      <c r="BE56" s="9">
        <v>2.1774384658783674E-3</v>
      </c>
      <c r="BF56" s="20">
        <v>3.7461649626493454E-3</v>
      </c>
      <c r="BG56" s="11">
        <v>1.5905019827187061E-3</v>
      </c>
      <c r="BH56" s="11">
        <v>8.9645507978275418E-4</v>
      </c>
      <c r="BI56"/>
      <c r="BJ56" s="71">
        <v>4.1777271777391434E-2</v>
      </c>
      <c r="BK56"/>
      <c r="BL56"/>
      <c r="BM56"/>
      <c r="BN56"/>
      <c r="BO56"/>
      <c r="BP56"/>
      <c r="BQ56"/>
      <c r="BR56" s="20">
        <v>2.7677323669195175E-3</v>
      </c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 x14ac:dyDescent="0.15">
      <c r="A57" t="s">
        <v>238</v>
      </c>
      <c r="B57">
        <v>0.37000000476837158</v>
      </c>
      <c r="C57">
        <v>1.388250757008791E-2</v>
      </c>
      <c r="D57" s="16">
        <v>6.5634781494736671E-3</v>
      </c>
      <c r="E57" s="8">
        <v>6.3241104726330377E-6</v>
      </c>
      <c r="F57" s="8">
        <v>3.1620552363165189E-6</v>
      </c>
      <c r="G57" s="8">
        <v>3.4782609873218462E-5</v>
      </c>
      <c r="H57" s="8">
        <v>1.5810276181582594E-6</v>
      </c>
      <c r="I57" s="68">
        <v>1.0536600835621357E-2</v>
      </c>
      <c r="J57"/>
      <c r="K57"/>
      <c r="L57"/>
      <c r="M57"/>
      <c r="N57"/>
      <c r="O57" s="8">
        <v>2.5296441890532151E-5</v>
      </c>
      <c r="P57"/>
      <c r="Q57"/>
      <c r="R57"/>
      <c r="S57"/>
      <c r="T57" s="8">
        <v>1.5551409887848422E-5</v>
      </c>
      <c r="U57" s="8">
        <v>2.8537158505059779E-4</v>
      </c>
      <c r="V57"/>
      <c r="W57" s="8">
        <v>1.0225454752799124E-4</v>
      </c>
      <c r="X57"/>
      <c r="Y57"/>
      <c r="Z57"/>
      <c r="AA57" s="8">
        <v>1.6282228170894086E-4</v>
      </c>
      <c r="AB57" s="13">
        <v>5.5589135736227036E-3</v>
      </c>
      <c r="AC57" s="59">
        <v>2.4100916460156441E-2</v>
      </c>
      <c r="AD57"/>
      <c r="AE57" s="9">
        <v>1.7437125789001584E-3</v>
      </c>
      <c r="AF57"/>
      <c r="AG57" s="287">
        <v>2.0404405891895294E-2</v>
      </c>
      <c r="AH57"/>
      <c r="AI57"/>
      <c r="AJ57"/>
      <c r="AK57"/>
      <c r="AL57"/>
      <c r="AM57"/>
      <c r="AN57" s="320">
        <v>5.8451443910598755E-2</v>
      </c>
      <c r="AO57" s="11">
        <v>4.3274342897348106E-4</v>
      </c>
      <c r="AP57" s="8">
        <v>2.2400000307243317E-4</v>
      </c>
      <c r="AQ57"/>
      <c r="AR57"/>
      <c r="AS57"/>
      <c r="AT57"/>
      <c r="AU57" s="324">
        <v>6.2816239893436432E-2</v>
      </c>
      <c r="AV57"/>
      <c r="AW57"/>
      <c r="AX57"/>
      <c r="AY57" s="283">
        <v>1.5145455487072468E-2</v>
      </c>
      <c r="AZ57" s="328">
        <v>8.1365905702114105E-2</v>
      </c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 s="326">
        <v>6.8136543035507202E-2</v>
      </c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 x14ac:dyDescent="0.15">
      <c r="A58" t="s">
        <v>239</v>
      </c>
      <c r="B58">
        <v>0.38839998841285706</v>
      </c>
      <c r="C58">
        <v>0.22092534601688385</v>
      </c>
      <c r="D58" s="8">
        <v>1.4738015124748927E-5</v>
      </c>
      <c r="E58" s="8">
        <v>4.6599777192568581E-7</v>
      </c>
      <c r="F58" s="8">
        <v>6.8450390244834125E-6</v>
      </c>
      <c r="G58"/>
      <c r="H58" s="8">
        <v>2.6755853355098225E-7</v>
      </c>
      <c r="I58"/>
      <c r="J58" s="6">
        <v>2.2296543084054932E-11</v>
      </c>
      <c r="K58"/>
      <c r="L58" s="8">
        <v>3.4827200579456985E-5</v>
      </c>
      <c r="M58"/>
      <c r="N58" s="8">
        <v>2.733556175371632E-5</v>
      </c>
      <c r="O58"/>
      <c r="P58"/>
      <c r="Q58"/>
      <c r="R58"/>
      <c r="S58"/>
      <c r="T58" s="8">
        <v>1.0370455129304901E-5</v>
      </c>
      <c r="U58" s="8">
        <v>3.6220242236595368E-6</v>
      </c>
      <c r="V58" s="8">
        <v>2.8717951749968051E-7</v>
      </c>
      <c r="W58" s="8">
        <v>2.2996924599283375E-5</v>
      </c>
      <c r="X58" s="11">
        <v>3.8512260653078556E-4</v>
      </c>
      <c r="Y58" s="8">
        <v>1.0679705155780539E-4</v>
      </c>
      <c r="Z58" s="8">
        <v>3.7949997931718826E-4</v>
      </c>
      <c r="AA58" s="8">
        <v>2.0665902411565185E-5</v>
      </c>
      <c r="AB58" s="11">
        <v>4.5830890303477645E-4</v>
      </c>
      <c r="AC58" s="11">
        <v>4.7728492063470185E-4</v>
      </c>
      <c r="AD58" s="9">
        <v>1.8616733141243458E-3</v>
      </c>
      <c r="AE58" s="11">
        <v>5.1640719175338745E-4</v>
      </c>
      <c r="AF58" s="20">
        <v>2.2198595106601715E-3</v>
      </c>
      <c r="AG58" s="9">
        <v>1.1568901827558875E-3</v>
      </c>
      <c r="AH58"/>
      <c r="AI58"/>
      <c r="AJ58" s="8">
        <v>3.9179138866529684E-7</v>
      </c>
      <c r="AK58" s="11">
        <v>4.4647723552770913E-4</v>
      </c>
      <c r="AL58"/>
      <c r="AM58"/>
      <c r="AN58" s="9">
        <v>1.5712038148194551E-3</v>
      </c>
      <c r="AO58" s="8">
        <v>9.1541878646239638E-6</v>
      </c>
      <c r="AP58" s="8">
        <v>2.8430767997633666E-5</v>
      </c>
      <c r="AQ58"/>
      <c r="AR58"/>
      <c r="AS58"/>
      <c r="AT58" s="8">
        <v>1.9074359443038702E-4</v>
      </c>
      <c r="AU58"/>
      <c r="AV58" s="11">
        <v>4.0385514148510993E-4</v>
      </c>
      <c r="AW58" s="19">
        <v>3.1716846860945225E-3</v>
      </c>
      <c r="AX58" s="336">
        <v>3.3308234065771103E-2</v>
      </c>
      <c r="AY58" s="19">
        <v>3.2038460485637188E-3</v>
      </c>
      <c r="AZ58" s="20">
        <v>2.2951408755034208E-3</v>
      </c>
      <c r="BA58" s="8">
        <v>8.1633334048092365E-5</v>
      </c>
      <c r="BB58" s="11">
        <v>6.9258466828614473E-4</v>
      </c>
      <c r="BC58" s="11">
        <v>7.7977980254217982E-4</v>
      </c>
      <c r="BD58" s="8">
        <v>9.5347757451236248E-5</v>
      </c>
      <c r="BE58" s="8">
        <v>4.0497961890650913E-6</v>
      </c>
      <c r="BF58" s="8">
        <v>2.6542688829067629E-6</v>
      </c>
      <c r="BG58" s="8">
        <v>3.2096021459437907E-4</v>
      </c>
      <c r="BH58" s="8">
        <v>2.389154105912894E-4</v>
      </c>
      <c r="BI58" s="8">
        <v>6.2825411077938043E-6</v>
      </c>
      <c r="BJ58" s="20">
        <v>1.943564391694963E-3</v>
      </c>
      <c r="BK58" s="8">
        <v>8.6535401351284236E-5</v>
      </c>
      <c r="BL58"/>
      <c r="BM58"/>
      <c r="BN58"/>
      <c r="BO58"/>
      <c r="BP58"/>
      <c r="BQ58"/>
      <c r="BR58" s="25">
        <v>1.3788914307951927E-2</v>
      </c>
      <c r="BS58"/>
      <c r="BT58" s="338">
        <v>9.7099997103214264E-2</v>
      </c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 x14ac:dyDescent="0.15">
      <c r="A59" t="s">
        <v>240</v>
      </c>
      <c r="B59">
        <v>1</v>
      </c>
      <c r="C59">
        <v>0.72090345621109009</v>
      </c>
      <c r="D59"/>
      <c r="E59"/>
      <c r="F59"/>
      <c r="G59"/>
      <c r="H59"/>
      <c r="I59"/>
      <c r="J59"/>
      <c r="K59"/>
      <c r="L59" s="8">
        <v>5.2262144163250923E-4</v>
      </c>
      <c r="M59" s="8">
        <v>1.3921994832344353E-4</v>
      </c>
      <c r="N59"/>
      <c r="O59"/>
      <c r="P59"/>
      <c r="Q59"/>
      <c r="R59"/>
      <c r="S59"/>
      <c r="T59" s="8">
        <v>1.0601750091154827E-6</v>
      </c>
      <c r="U59" s="8">
        <v>1.8465223092789529E-6</v>
      </c>
      <c r="V59"/>
      <c r="W59" s="8">
        <v>7.9223527791327797E-6</v>
      </c>
      <c r="X59" s="8">
        <v>1.0039960216090549E-5</v>
      </c>
      <c r="Y59" s="8">
        <v>2.7222777134738863E-6</v>
      </c>
      <c r="Z59" s="8">
        <v>2.2323529265122488E-6</v>
      </c>
      <c r="AA59" s="8">
        <v>6.5847245878103422E-7</v>
      </c>
      <c r="AB59" s="8">
        <v>2.3172622604761273E-4</v>
      </c>
      <c r="AC59" s="8">
        <v>9.9540702649392188E-5</v>
      </c>
      <c r="AD59" s="8">
        <v>8.5417961236089468E-4</v>
      </c>
      <c r="AE59" s="8">
        <v>4.9362453864887357E-4</v>
      </c>
      <c r="AF59" s="11">
        <v>2.8279807884246111E-3</v>
      </c>
      <c r="AG59" s="8">
        <v>4.9510691314935684E-4</v>
      </c>
      <c r="AH59" s="8">
        <v>7.1519905759487301E-5</v>
      </c>
      <c r="AI59"/>
      <c r="AJ59"/>
      <c r="AK59"/>
      <c r="AL59" s="12">
        <v>9.8767615854740143E-3</v>
      </c>
      <c r="AM59"/>
      <c r="AN59" s="11">
        <v>1.3902566861361265E-3</v>
      </c>
      <c r="AO59"/>
      <c r="AP59" s="8">
        <v>5.4352944971469697E-6</v>
      </c>
      <c r="AQ59"/>
      <c r="AR59"/>
      <c r="AS59"/>
      <c r="AT59"/>
      <c r="AU59" s="8">
        <v>2.0920633687637746E-4</v>
      </c>
      <c r="AV59" s="11">
        <v>1.3897367753088474E-3</v>
      </c>
      <c r="AW59" s="9">
        <v>3.0199838802218437E-3</v>
      </c>
      <c r="AX59" s="16">
        <v>1.7770465463399887E-2</v>
      </c>
      <c r="AY59" s="11">
        <v>2.3712499532848597E-3</v>
      </c>
      <c r="AZ59" s="8">
        <v>4.466415848582983E-4</v>
      </c>
      <c r="BA59" s="8">
        <v>4.1416913154534996E-4</v>
      </c>
      <c r="BB59" s="8">
        <v>9.5913535915315151E-4</v>
      </c>
      <c r="BC59" s="8">
        <v>6.3372201111633331E-5</v>
      </c>
      <c r="BD59" s="8">
        <v>4.5570621296064928E-5</v>
      </c>
      <c r="BE59"/>
      <c r="BF59"/>
      <c r="BG59" s="8">
        <v>2.7315111947245896E-4</v>
      </c>
      <c r="BH59" s="8">
        <v>1.9775001419475302E-5</v>
      </c>
      <c r="BI59" s="8">
        <v>7.2064440246322192E-6</v>
      </c>
      <c r="BJ59" s="8">
        <v>4.991155001334846E-4</v>
      </c>
      <c r="BK59"/>
      <c r="BL59"/>
      <c r="BM59"/>
      <c r="BN59"/>
      <c r="BO59"/>
      <c r="BP59"/>
      <c r="BQ59"/>
      <c r="BR59" s="19">
        <v>8.0736791715025902E-3</v>
      </c>
      <c r="BS59" s="9">
        <v>3.7408093921840191E-3</v>
      </c>
      <c r="BT59" s="342">
        <v>0.22275881469249725</v>
      </c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 x14ac:dyDescent="0.15">
      <c r="A60" t="s">
        <v>241</v>
      </c>
      <c r="B60">
        <v>3</v>
      </c>
      <c r="C60">
        <v>1.5786694288253784</v>
      </c>
      <c r="D60" s="8">
        <v>2.4591304827481508E-3</v>
      </c>
      <c r="E60" s="292">
        <v>0.17645217478275299</v>
      </c>
      <c r="F60" s="8">
        <v>1.140869571827352E-3</v>
      </c>
      <c r="G60" s="8">
        <v>1.7391304936609231E-5</v>
      </c>
      <c r="H60" s="8">
        <v>3.4782607905015084E-9</v>
      </c>
      <c r="I60"/>
      <c r="J60"/>
      <c r="K60" s="11">
        <v>4.8973914235830307E-3</v>
      </c>
      <c r="L60" s="8">
        <v>1.0434782780066598E-5</v>
      </c>
      <c r="M60"/>
      <c r="N60"/>
      <c r="O60"/>
      <c r="P60"/>
      <c r="Q60"/>
      <c r="R60"/>
      <c r="S60"/>
      <c r="T60" s="8">
        <v>3.7634416366927326E-4</v>
      </c>
      <c r="U60" s="8">
        <v>1.192853320389986E-3</v>
      </c>
      <c r="V60"/>
      <c r="W60" s="8">
        <v>4.3808002374134958E-4</v>
      </c>
      <c r="X60" s="13">
        <v>4.8245355486869812E-2</v>
      </c>
      <c r="Y60" s="11">
        <v>3.7022978067398071E-3</v>
      </c>
      <c r="Z60" s="15">
        <v>3.3395998179912567E-2</v>
      </c>
      <c r="AA60" s="20">
        <v>1.5044776722788811E-2</v>
      </c>
      <c r="AB60" s="13">
        <v>4.797770082950592E-2</v>
      </c>
      <c r="AC60" s="9">
        <v>9.0250233188271523E-3</v>
      </c>
      <c r="AD60" s="68">
        <v>8.7126322090625763E-2</v>
      </c>
      <c r="AE60" s="22">
        <v>9.5904186367988586E-2</v>
      </c>
      <c r="AF60" s="283">
        <v>0.12258338183164597</v>
      </c>
      <c r="AG60" s="11">
        <v>8.2450453191995621E-3</v>
      </c>
      <c r="AH60" s="9">
        <v>1.389529462903738E-2</v>
      </c>
      <c r="AI60" s="8">
        <v>1.58400007057935E-3</v>
      </c>
      <c r="AJ60"/>
      <c r="AK60" s="70">
        <v>0.14655615389347076</v>
      </c>
      <c r="AL60"/>
      <c r="AM60" s="9">
        <v>9.3431724235415459E-3</v>
      </c>
      <c r="AN60" s="8">
        <v>2.2244106512516737E-3</v>
      </c>
      <c r="AO60"/>
      <c r="AP60" s="9">
        <v>1.3305600732564926E-2</v>
      </c>
      <c r="AQ60"/>
      <c r="AR60"/>
      <c r="AS60"/>
      <c r="AT60"/>
      <c r="AU60"/>
      <c r="AV60"/>
      <c r="AW60" s="64">
        <v>7.2055749595165253E-2</v>
      </c>
      <c r="AX60" s="20">
        <v>2.0139861851930618E-2</v>
      </c>
      <c r="AY60" s="22">
        <v>9.5200002193450928E-2</v>
      </c>
      <c r="AZ60" s="20">
        <v>1.9188812002539635E-2</v>
      </c>
      <c r="BA60"/>
      <c r="BB60"/>
      <c r="BC60"/>
      <c r="BD60" s="9">
        <v>1.0907785035669804E-2</v>
      </c>
      <c r="BE60" s="11">
        <v>4.4223777949810028E-3</v>
      </c>
      <c r="BF60" s="8">
        <v>2.0703296468127519E-4</v>
      </c>
      <c r="BG60" s="14">
        <v>4.3609175831079483E-2</v>
      </c>
      <c r="BH60" s="8">
        <v>1.7612002557143569E-3</v>
      </c>
      <c r="BI60" s="11">
        <v>4.674210213124752E-3</v>
      </c>
      <c r="BJ60" s="13">
        <v>4.5253138989210129E-2</v>
      </c>
      <c r="BK60" s="11">
        <v>6.9997524842619896E-3</v>
      </c>
      <c r="BL60" s="311">
        <v>6.3872255384922028E-2</v>
      </c>
      <c r="BM60"/>
      <c r="BN60"/>
      <c r="BO60"/>
      <c r="BP60"/>
      <c r="BQ60" s="21">
        <v>8.0400876700878143E-2</v>
      </c>
      <c r="BR60" s="11">
        <v>7.495019119232893E-3</v>
      </c>
      <c r="BS60"/>
      <c r="BT60"/>
      <c r="BU60"/>
      <c r="BV60" s="69">
        <v>9.9999994039535522E-2</v>
      </c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 x14ac:dyDescent="0.15">
      <c r="A61" t="s">
        <v>242</v>
      </c>
      <c r="B61">
        <v>1.8999999761581421</v>
      </c>
      <c r="C61">
        <v>0.12811465561389923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 s="8">
        <v>5.5392647482221946E-6</v>
      </c>
      <c r="U61"/>
      <c r="V61"/>
      <c r="W61" s="8">
        <v>8.0906675066216849E-6</v>
      </c>
      <c r="X61" s="11">
        <v>3.625987796112895E-3</v>
      </c>
      <c r="Y61" s="8">
        <v>4.8129868810065091E-4</v>
      </c>
      <c r="Z61" s="8">
        <v>4.6045996714383364E-4</v>
      </c>
      <c r="AA61" s="8">
        <v>2.2089552658144385E-4</v>
      </c>
      <c r="AB61" s="8">
        <v>3.6061674472875893E-4</v>
      </c>
      <c r="AC61" s="8">
        <v>1.8802131307893433E-5</v>
      </c>
      <c r="AD61" s="8">
        <v>1.0164737468585372E-3</v>
      </c>
      <c r="AE61" s="8">
        <v>1.9180838717147708E-4</v>
      </c>
      <c r="AF61" s="11">
        <v>2.0941330585628748E-3</v>
      </c>
      <c r="AG61" s="8">
        <v>1.3741741713602096E-4</v>
      </c>
      <c r="AH61" s="8">
        <v>6.4844713779166341E-4</v>
      </c>
      <c r="AI61" s="8">
        <v>1.5839999832678586E-4</v>
      </c>
      <c r="AJ61"/>
      <c r="AK61"/>
      <c r="AL61" s="20">
        <v>1.1252269148826599E-2</v>
      </c>
      <c r="AM61" s="8">
        <v>3.0139266527839936E-5</v>
      </c>
      <c r="AN61" s="8">
        <v>6.6027924185618758E-4</v>
      </c>
      <c r="AO61"/>
      <c r="AP61" s="8">
        <v>1.0513067245483398E-3</v>
      </c>
      <c r="AQ61" s="9">
        <v>5.6750401854515076E-3</v>
      </c>
      <c r="AR61" s="9">
        <v>5.6826109066605568E-3</v>
      </c>
      <c r="AS61"/>
      <c r="AT61" s="11">
        <v>3.1739736441522837E-3</v>
      </c>
      <c r="AU61"/>
      <c r="AV61" s="19">
        <v>1.5750350430607796E-2</v>
      </c>
      <c r="AW61" s="19">
        <v>1.5451955609023571E-2</v>
      </c>
      <c r="AX61" s="292">
        <v>0.11043357849121094</v>
      </c>
      <c r="AY61" s="8">
        <v>1.1900000390596688E-4</v>
      </c>
      <c r="AZ61" s="11">
        <v>3.809257410466671E-3</v>
      </c>
      <c r="BA61"/>
      <c r="BB61"/>
      <c r="BC61"/>
      <c r="BD61"/>
      <c r="BE61" s="8">
        <v>3.5098235002806177E-6</v>
      </c>
      <c r="BF61"/>
      <c r="BG61" s="11">
        <v>1.9830509554594755E-3</v>
      </c>
      <c r="BH61"/>
      <c r="BI61" s="8">
        <v>5.0260323405382223E-6</v>
      </c>
      <c r="BJ61" s="11">
        <v>4.9401344731450081E-3</v>
      </c>
      <c r="BK61" s="8">
        <v>9.9996461358387023E-5</v>
      </c>
      <c r="BL61" s="9">
        <v>8.3566196262836456E-3</v>
      </c>
      <c r="BM61"/>
      <c r="BN61"/>
      <c r="BO61" s="337">
        <v>0.15105403959751129</v>
      </c>
      <c r="BP61"/>
      <c r="BQ61" s="11">
        <v>2.1565859206020832E-3</v>
      </c>
      <c r="BR61" s="11">
        <v>2.4983398616313934E-3</v>
      </c>
      <c r="BS61" s="20">
        <v>1.0175001807510853E-2</v>
      </c>
      <c r="BT61" s="295">
        <v>0.25245997309684753</v>
      </c>
      <c r="BU61" s="340">
        <v>0.60444444417953491</v>
      </c>
      <c r="BV61" s="9">
        <v>8.3333337679505348E-3</v>
      </c>
      <c r="BW61" s="339">
        <v>0.54285711050033569</v>
      </c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 x14ac:dyDescent="0.15">
      <c r="A62" t="s">
        <v>243</v>
      </c>
      <c r="B62">
        <v>0.89999997615814209</v>
      </c>
      <c r="C62">
        <v>8.1414379179477692E-2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 s="8">
        <v>1.9550345768948318E-6</v>
      </c>
      <c r="U62" s="8">
        <v>4.1854505639093986E-7</v>
      </c>
      <c r="V62"/>
      <c r="W62" s="8">
        <v>2.960000301754917E-6</v>
      </c>
      <c r="X62" s="8">
        <v>3.094985440839082E-4</v>
      </c>
      <c r="Y62" s="8">
        <v>3.8257076084846631E-5</v>
      </c>
      <c r="Z62" s="8">
        <v>1.2143999811087269E-5</v>
      </c>
      <c r="AA62" s="8">
        <v>2.686567313503474E-5</v>
      </c>
      <c r="AB62" s="8">
        <v>7.2123344580177218E-5</v>
      </c>
      <c r="AC62" s="8">
        <v>3.7604263525281567E-6</v>
      </c>
      <c r="AD62" s="8">
        <v>3.194631717633456E-4</v>
      </c>
      <c r="AE62" s="8">
        <v>1.5344670100603253E-4</v>
      </c>
      <c r="AF62" s="11">
        <v>2.2371469531208277E-3</v>
      </c>
      <c r="AG62" s="8">
        <v>2.5345882750116289E-4</v>
      </c>
      <c r="AH62" s="8">
        <v>9.2635300461552106E-6</v>
      </c>
      <c r="AI62"/>
      <c r="AJ62"/>
      <c r="AK62"/>
      <c r="AL62"/>
      <c r="AM62" s="8">
        <v>9.0417797764530405E-6</v>
      </c>
      <c r="AN62" s="11">
        <v>1.3286405010148883E-3</v>
      </c>
      <c r="AO62"/>
      <c r="AP62"/>
      <c r="AQ62"/>
      <c r="AR62"/>
      <c r="AS62"/>
      <c r="AT62" s="11">
        <v>2.3606426548212767E-3</v>
      </c>
      <c r="AU62"/>
      <c r="AV62" s="17">
        <v>3.9270874112844467E-2</v>
      </c>
      <c r="AW62" s="19">
        <v>7.5098099187016487E-3</v>
      </c>
      <c r="AX62" s="12">
        <v>9.2643359676003456E-3</v>
      </c>
      <c r="AY62" s="11">
        <v>2.2372000385075808E-3</v>
      </c>
      <c r="AZ62"/>
      <c r="BA62" s="11">
        <v>1.3812360120937228E-3</v>
      </c>
      <c r="BB62" s="20">
        <v>5.7798721827566624E-3</v>
      </c>
      <c r="BC62" s="11">
        <v>1.1245246278122067E-3</v>
      </c>
      <c r="BD62"/>
      <c r="BE62"/>
      <c r="BF62"/>
      <c r="BG62" s="8">
        <v>7.878365577198565E-4</v>
      </c>
      <c r="BH62" s="8">
        <v>1.5866669400566025E-7</v>
      </c>
      <c r="BI62" s="8">
        <v>5.2773343668377493E-6</v>
      </c>
      <c r="BJ62" s="8">
        <v>2.9414542950689793E-4</v>
      </c>
      <c r="BK62" s="8">
        <v>1.8332684703636914E-5</v>
      </c>
      <c r="BL62" s="8">
        <v>2.2355291002895683E-4</v>
      </c>
      <c r="BM62"/>
      <c r="BN62"/>
      <c r="BO62"/>
      <c r="BP62"/>
      <c r="BQ62"/>
      <c r="BR62" s="11">
        <v>2.5982735678553581E-3</v>
      </c>
      <c r="BS62" s="9">
        <v>2.7133333496749401E-3</v>
      </c>
      <c r="BT62" s="343">
        <v>0.25246000289916992</v>
      </c>
      <c r="BU62" s="344">
        <v>0.33244442939758301</v>
      </c>
      <c r="BV62" s="9">
        <v>3.3333334140479565E-3</v>
      </c>
      <c r="BW62"/>
      <c r="BX62" s="332">
        <v>0.14999999105930328</v>
      </c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 x14ac:dyDescent="0.15">
      <c r="A63" t="s">
        <v>244</v>
      </c>
      <c r="B63">
        <v>0.25999999046325684</v>
      </c>
      <c r="C63">
        <v>0.24987408518791199</v>
      </c>
      <c r="D63"/>
      <c r="E63"/>
      <c r="F63"/>
      <c r="G63"/>
      <c r="H63"/>
      <c r="I63"/>
      <c r="J63"/>
      <c r="K63"/>
      <c r="L63" s="20">
        <v>1.7305341316387057E-3</v>
      </c>
      <c r="M63" s="11">
        <v>2.6151552447117865E-4</v>
      </c>
      <c r="N63"/>
      <c r="O63"/>
      <c r="P63"/>
      <c r="Q63"/>
      <c r="R63"/>
      <c r="S63"/>
      <c r="T63" s="8">
        <v>2.094679700803681E-7</v>
      </c>
      <c r="U63"/>
      <c r="V63"/>
      <c r="W63" s="8">
        <v>5.0742858093144605E-7</v>
      </c>
      <c r="X63"/>
      <c r="Y63"/>
      <c r="Z63"/>
      <c r="AA63"/>
      <c r="AB63" s="8">
        <v>4.4797106966143474E-6</v>
      </c>
      <c r="AC63"/>
      <c r="AD63"/>
      <c r="AE63"/>
      <c r="AF63" s="8">
        <v>7.2966300649568439E-5</v>
      </c>
      <c r="AG63" s="8">
        <v>3.053720502066426E-5</v>
      </c>
      <c r="AH63"/>
      <c r="AI63"/>
      <c r="AJ63"/>
      <c r="AK63"/>
      <c r="AL63"/>
      <c r="AM63"/>
      <c r="AN63"/>
      <c r="AO63"/>
      <c r="AP63"/>
      <c r="AQ63"/>
      <c r="AR63"/>
      <c r="AS63"/>
      <c r="AT63" s="8">
        <v>8.5017149103805423E-5</v>
      </c>
      <c r="AU63"/>
      <c r="AV63"/>
      <c r="AW63" s="11">
        <v>3.2024778192862868E-4</v>
      </c>
      <c r="AX63" s="9">
        <v>1.0549451690167189E-3</v>
      </c>
      <c r="AY63"/>
      <c r="AZ63" s="11">
        <v>3.7296037771739066E-4</v>
      </c>
      <c r="BA63"/>
      <c r="BB63" s="12">
        <v>2.4469716008752584E-3</v>
      </c>
      <c r="BC63" s="8">
        <v>5.6284861784661189E-5</v>
      </c>
      <c r="BD63"/>
      <c r="BE63"/>
      <c r="BF63"/>
      <c r="BG63"/>
      <c r="BH63"/>
      <c r="BI63" s="8">
        <v>1.7950117126019904E-6</v>
      </c>
      <c r="BJ63"/>
      <c r="BK63"/>
      <c r="BL63"/>
      <c r="BM63"/>
      <c r="BN63"/>
      <c r="BO63"/>
      <c r="BP63"/>
      <c r="BQ63"/>
      <c r="BR63" s="20">
        <v>1.748837879858911E-3</v>
      </c>
      <c r="BS63" s="19">
        <v>1.9380953162908554E-3</v>
      </c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 x14ac:dyDescent="0.15">
      <c r="A64" t="s">
        <v>245</v>
      </c>
      <c r="B64">
        <v>35</v>
      </c>
      <c r="C64">
        <v>0.34999966621398926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 s="8">
        <v>6.3030427099874942E-7</v>
      </c>
      <c r="U64"/>
      <c r="V64"/>
      <c r="W64" s="8">
        <v>1.5268893548636697E-5</v>
      </c>
      <c r="X64" s="8">
        <v>4.6956472215242684E-4</v>
      </c>
      <c r="Y64"/>
      <c r="Z64"/>
      <c r="AA64"/>
      <c r="AB64"/>
      <c r="AC64"/>
      <c r="AD64"/>
      <c r="AE64"/>
      <c r="AF64"/>
      <c r="AG64" s="8">
        <v>1.1814254685305059E-4</v>
      </c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 s="15">
        <v>0.38998442888259888</v>
      </c>
      <c r="AW64" s="8">
        <v>1.8584653735160828E-3</v>
      </c>
      <c r="AX64" s="8">
        <v>2.5972414296120405E-3</v>
      </c>
      <c r="AY64"/>
      <c r="AZ64"/>
      <c r="BA64" s="11">
        <v>5.5079638957977295E-2</v>
      </c>
      <c r="BB64"/>
      <c r="BC64"/>
      <c r="BD64"/>
      <c r="BE64"/>
      <c r="BF64"/>
      <c r="BG64" s="8">
        <v>1.2497443240135908E-3</v>
      </c>
      <c r="BH64"/>
      <c r="BI64" s="8">
        <v>9.7223746706731617E-6</v>
      </c>
      <c r="BJ64" s="8">
        <v>8.4619894623756409E-3</v>
      </c>
      <c r="BK64"/>
      <c r="BL64"/>
      <c r="BM64"/>
      <c r="BN64"/>
      <c r="BO64"/>
      <c r="BP64"/>
      <c r="BQ64"/>
      <c r="BR64"/>
      <c r="BS64"/>
      <c r="BT64"/>
      <c r="BU64" s="322">
        <v>5.2615776062011719</v>
      </c>
      <c r="BV64" s="9">
        <v>0.12896023690700531</v>
      </c>
      <c r="BW64" s="341">
        <v>6.300628662109375</v>
      </c>
      <c r="BX64" s="345">
        <v>16.248989105224609</v>
      </c>
      <c r="BY64"/>
      <c r="BZ64" s="293">
        <v>6.2500004768371582</v>
      </c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 x14ac:dyDescent="0.15">
      <c r="A65" t="s">
        <v>246</v>
      </c>
      <c r="B65">
        <v>9470</v>
      </c>
      <c r="C65">
        <v>321.84152221679688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 s="8">
        <v>1.748837947845459</v>
      </c>
      <c r="BS65" s="8">
        <v>1.9380953311920166</v>
      </c>
      <c r="BT65" s="13">
        <v>144.26284790039062</v>
      </c>
      <c r="BU65" s="346">
        <v>1295.2381591796875</v>
      </c>
      <c r="BV65" s="8">
        <v>7.142857551574707</v>
      </c>
      <c r="BW65" s="69">
        <v>310.20407104492188</v>
      </c>
      <c r="BX65" s="341">
        <v>1714.28564453125</v>
      </c>
      <c r="BY65"/>
      <c r="BZ65" s="348">
        <v>3461.753662109375</v>
      </c>
      <c r="CA65" s="276">
        <v>1894</v>
      </c>
      <c r="CB65" s="69">
        <v>317.58477783203125</v>
      </c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 x14ac:dyDescent="0.15">
      <c r="A66" t="s">
        <v>247</v>
      </c>
      <c r="B66">
        <v>571</v>
      </c>
      <c r="C66">
        <v>159.64906311035156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 s="8">
        <v>0.23556575179100037</v>
      </c>
      <c r="AT66" s="8">
        <v>0.36685481667518616</v>
      </c>
      <c r="AU66" s="8">
        <v>6.8206988275051117E-2</v>
      </c>
      <c r="AV66" s="11">
        <v>1.0140637159347534</v>
      </c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8">
        <v>6.3044591806828976E-3</v>
      </c>
      <c r="BO66" s="20">
        <v>3.1339848041534424</v>
      </c>
      <c r="BP66" s="68">
        <v>16.438356399536133</v>
      </c>
      <c r="BQ66" s="8">
        <v>5.5499322712421417E-2</v>
      </c>
      <c r="BR66" s="8">
        <v>0.12577258050441742</v>
      </c>
      <c r="BS66" s="8">
        <v>6.9691777229309082E-2</v>
      </c>
      <c r="BT66" s="16">
        <v>10.375067710876465</v>
      </c>
      <c r="BU66" s="287">
        <v>31.050226211547852</v>
      </c>
      <c r="BV66" s="8">
        <v>0.41095885634422302</v>
      </c>
      <c r="BW66" s="68">
        <v>16.731897354125977</v>
      </c>
      <c r="BX66" s="21">
        <v>15.410957336425781</v>
      </c>
      <c r="BY66" s="80">
        <v>65.445198059082031</v>
      </c>
      <c r="BZ66"/>
      <c r="CA66" s="347">
        <v>136.21232604980469</v>
      </c>
      <c r="CB66" s="276">
        <v>114.20000457763672</v>
      </c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 x14ac:dyDescent="0.15">
      <c r="A67" t="s">
        <v>248</v>
      </c>
      <c r="B67">
        <v>286</v>
      </c>
      <c r="C67">
        <v>154.04399108886719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 s="8">
        <v>4.5856799930334091E-2</v>
      </c>
      <c r="AT67"/>
      <c r="AU67"/>
      <c r="AV67" s="8">
        <v>9.2402055859565735E-2</v>
      </c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 s="8">
        <v>1.1071190237998962E-2</v>
      </c>
      <c r="BM67" s="8">
        <v>0.17536808550357819</v>
      </c>
      <c r="BN67" s="8">
        <v>2.4545364081859589E-2</v>
      </c>
      <c r="BO67"/>
      <c r="BP67" s="296">
        <v>57.599998474121094</v>
      </c>
      <c r="BQ67" s="8">
        <v>1.0803868062794209E-2</v>
      </c>
      <c r="BR67"/>
      <c r="BS67" s="8">
        <v>2.7133334428071976E-2</v>
      </c>
      <c r="BT67" s="9">
        <v>1.0098398923873901</v>
      </c>
      <c r="BU67"/>
      <c r="BV67"/>
      <c r="BW67"/>
      <c r="BX67"/>
      <c r="BY67" s="20">
        <v>1.8199999332427979</v>
      </c>
      <c r="BZ67"/>
      <c r="CA67"/>
      <c r="CB67" s="196">
        <v>71.138992309570312</v>
      </c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 x14ac:dyDescent="0.15">
      <c r="A68" t="s">
        <v>249</v>
      </c>
      <c r="B68"/>
      <c r="C68">
        <v>0.98026323318481445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 s="6">
        <v>24</v>
      </c>
      <c r="BQ68"/>
      <c r="BR68"/>
      <c r="BS68" s="6">
        <v>6.1050005257129669E-2</v>
      </c>
      <c r="BT68" s="6">
        <v>7.5737996101379395</v>
      </c>
      <c r="BU68" s="6">
        <v>45.333332061767578</v>
      </c>
      <c r="BV68" s="6">
        <v>0.5</v>
      </c>
      <c r="BW68" s="6">
        <v>16.285713195800781</v>
      </c>
      <c r="BX68" s="6">
        <v>67.5</v>
      </c>
      <c r="BY68"/>
      <c r="BZ68"/>
      <c r="CA68" s="6">
        <v>397.739990234375</v>
      </c>
      <c r="CB68" s="6">
        <v>550.21563720703125</v>
      </c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 x14ac:dyDescent="0.15">
      <c r="A69" t="s">
        <v>250</v>
      </c>
      <c r="B69"/>
      <c r="C69">
        <v>0.89876425266265869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 s="6">
        <v>4.0700003504753113E-2</v>
      </c>
      <c r="BT69" s="6">
        <v>22.721399307250977</v>
      </c>
      <c r="BU69" s="6">
        <v>138.26666259765625</v>
      </c>
      <c r="BV69" s="6">
        <v>0.85000002384185791</v>
      </c>
      <c r="BW69" s="6">
        <v>48.857143402099609</v>
      </c>
      <c r="BX69" s="6">
        <v>94.499992370605469</v>
      </c>
      <c r="BY69" s="6">
        <v>27.299999237060547</v>
      </c>
      <c r="BZ69" s="6">
        <v>96.929107666015625</v>
      </c>
      <c r="CA69" s="6">
        <v>1193.219970703125</v>
      </c>
      <c r="CB69" s="6">
        <v>383.48361206054688</v>
      </c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 x14ac:dyDescent="0.15">
      <c r="A70" t="s">
        <v>175</v>
      </c>
      <c r="B70"/>
      <c r="C70">
        <v>0.87198406457901001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 s="6">
        <v>0.13188503682613373</v>
      </c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 s="6">
        <v>0.47968122363090515</v>
      </c>
      <c r="BS70"/>
      <c r="BT70"/>
      <c r="BU70"/>
      <c r="BV70" s="6">
        <v>0.25</v>
      </c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96"/>
  <sheetViews>
    <sheetView topLeftCell="A60" workbookViewId="0">
      <selection activeCell="D2" sqref="D2"/>
    </sheetView>
  </sheetViews>
  <sheetFormatPr baseColWidth="10" defaultRowHeight="16" x14ac:dyDescent="0.2"/>
  <cols>
    <col min="1" max="1" width="33.6640625" bestFit="true" customWidth="true"/>
    <col min="2" max="2" width="5.85546875" customWidth="true"/>
    <col min="3" max="3" width="9" style="3" customWidth="true"/>
    <col min="4" max="4" width="31" style="83" bestFit="true" customWidth="true"/>
    <col min="5" max="5" width="13.83203125" style="83" bestFit="true" customWidth="true"/>
    <col min="6" max="6" width="5.28515625" style="83" bestFit="true" customWidth="true"/>
    <col min="7" max="7" width="15.33203125" style="83" bestFit="true" customWidth="true"/>
    <col min="8" max="8" width="31" style="83" bestFit="true" customWidth="true"/>
    <col min="9" max="9" width="10.83203125" style="83"/>
    <col min="10" max="10" width="18" bestFit="true" customWidth="true"/>
    <col min="11" max="11" width="14" bestFit="true" customWidth="true"/>
    <col min="15" max="15" width="14.33203125" bestFit="true" customWidth="true"/>
    <col min="16" max="16" width="39.83203125" bestFit="true" customWidth="true"/>
  </cols>
  <sheetData>
    <row r="1" s="1" customFormat="true" ht="17" thickBot="true" x14ac:dyDescent="0.25">
      <c r="C1" s="50"/>
      <c r="D1" s="82" t="s">
        <v>32</v>
      </c>
      <c r="E1" s="82" t="s">
        <v>33</v>
      </c>
      <c r="F1" s="82" t="s">
        <v>34</v>
      </c>
      <c r="G1" s="82" t="s">
        <v>35</v>
      </c>
      <c r="H1" s="82" t="s">
        <v>36</v>
      </c>
      <c r="I1" s="82"/>
      <c r="J1" s="1" t="s">
        <v>131</v>
      </c>
      <c r="K1" s="1" t="s">
        <v>132</v>
      </c>
      <c r="L1" s="56" t="s">
        <v>169</v>
      </c>
    </row>
    <row r="2" ht="13" x14ac:dyDescent="0.15">
      <c r="A2" s="1" t="s">
        <v>37</v>
      </c>
      <c r="B2" s="36">
        <v>3</v>
      </c>
      <c r="C2" s="34"/>
      <c r="D2" s="155" t="s">
        <v>38</v>
      </c>
      <c r="E2">
        <v>1</v>
      </c>
      <c r="F2">
        <v>1</v>
      </c>
      <c r="G2">
        <v>1</v>
      </c>
      <c r="H2" t="s">
        <v>38</v>
      </c>
      <c r="I2"/>
      <c r="J2" s="51"/>
      <c r="K2" s="84"/>
      <c r="L2" s="56" t="s">
        <v>170</v>
      </c>
    </row>
    <row r="3" ht="14" thickBot="true" x14ac:dyDescent="0.2">
      <c r="A3" s="1" t="s">
        <v>39</v>
      </c>
      <c r="B3" s="37">
        <v>0</v>
      </c>
      <c r="C3" s="34"/>
      <c r="D3" s="155" t="s">
        <v>40</v>
      </c>
      <c r="E3">
        <f>E2+1</f>
        <v>2</v>
      </c>
      <c r="F3">
        <v>1.1000000000000001</v>
      </c>
      <c r="G3">
        <f>G2+1</f>
        <v>2</v>
      </c>
      <c r="H3" t="s">
        <v>40</v>
      </c>
      <c r="I3"/>
      <c r="J3" s="52"/>
      <c r="K3" s="53"/>
    </row>
    <row r="4" ht="13" x14ac:dyDescent="0.15">
      <c r="D4" s="155" t="s">
        <v>41</v>
      </c>
      <c r="E4">
        <f t="shared" ref="E4:G19" si="0">E3+1</f>
        <v>3</v>
      </c>
      <c r="F4">
        <v>1.2</v>
      </c>
      <c r="G4">
        <f t="shared" si="0"/>
        <v>3</v>
      </c>
      <c r="H4" t="s">
        <v>41</v>
      </c>
      <c r="I4"/>
      <c r="J4" s="52"/>
      <c r="K4" s="53"/>
    </row>
    <row r="5" x14ac:dyDescent="0.2">
      <c r="D5" s="155" t="s">
        <v>181</v>
      </c>
      <c r="E5">
        <f t="shared" si="0"/>
        <v>4</v>
      </c>
      <c r="F5" s="83">
        <v>3.1600000000000001</v>
      </c>
      <c r="G5">
        <f t="shared" si="0"/>
        <v>4</v>
      </c>
      <c r="H5" t="s">
        <v>181</v>
      </c>
      <c r="I5"/>
      <c r="J5" s="52"/>
      <c r="K5" s="53"/>
    </row>
    <row r="6" ht="17" thickBot="true" x14ac:dyDescent="0.25">
      <c r="A6" s="38" t="s">
        <v>122</v>
      </c>
      <c r="D6" s="155" t="s">
        <v>182</v>
      </c>
      <c r="E6">
        <f t="shared" si="0"/>
        <v>5</v>
      </c>
      <c r="F6" s="83">
        <v>3.1600000000000001</v>
      </c>
      <c r="G6">
        <f t="shared" si="0"/>
        <v>5</v>
      </c>
      <c r="H6" t="s">
        <v>182</v>
      </c>
      <c r="I6"/>
      <c r="J6" s="52"/>
      <c r="K6" s="53"/>
    </row>
    <row r="7" x14ac:dyDescent="0.2">
      <c r="A7" s="33" t="s">
        <v>127</v>
      </c>
      <c r="B7" s="40">
        <v>1</v>
      </c>
      <c r="C7" s="35"/>
      <c r="D7" s="155" t="s">
        <v>183</v>
      </c>
      <c r="E7">
        <f t="shared" si="0"/>
        <v>6</v>
      </c>
      <c r="F7" s="83">
        <v>3.1600000000000001</v>
      </c>
      <c r="G7">
        <f t="shared" si="0"/>
        <v>6</v>
      </c>
      <c r="H7" t="s">
        <v>183</v>
      </c>
      <c r="I7"/>
      <c r="J7" s="52"/>
      <c r="K7" s="53"/>
    </row>
    <row r="8" x14ac:dyDescent="0.2">
      <c r="A8" s="33" t="s">
        <v>38</v>
      </c>
      <c r="B8" s="41">
        <v>1</v>
      </c>
      <c r="C8" s="35"/>
      <c r="D8" s="155" t="s">
        <v>184</v>
      </c>
      <c r="E8">
        <f t="shared" si="0"/>
        <v>7</v>
      </c>
      <c r="F8" s="83">
        <v>3.1600000000000001</v>
      </c>
      <c r="G8">
        <f t="shared" si="0"/>
        <v>7</v>
      </c>
      <c r="H8" t="s">
        <v>184</v>
      </c>
      <c r="I8"/>
      <c r="J8" s="52"/>
      <c r="K8" s="53"/>
    </row>
    <row r="9" x14ac:dyDescent="0.2">
      <c r="A9" s="33" t="s">
        <v>40</v>
      </c>
      <c r="B9" s="41">
        <v>1.1000000000000001</v>
      </c>
      <c r="C9" s="35"/>
      <c r="D9" s="155" t="s">
        <v>185</v>
      </c>
      <c r="E9">
        <f t="shared" si="0"/>
        <v>8</v>
      </c>
      <c r="F9" s="83">
        <v>3.1400000000000001</v>
      </c>
      <c r="G9">
        <f t="shared" si="0"/>
        <v>8</v>
      </c>
      <c r="H9" t="s">
        <v>185</v>
      </c>
      <c r="I9"/>
      <c r="J9" s="52"/>
      <c r="K9" s="53"/>
    </row>
    <row r="10" x14ac:dyDescent="0.2">
      <c r="A10" s="33" t="s">
        <v>41</v>
      </c>
      <c r="B10" s="41">
        <v>1.2</v>
      </c>
      <c r="C10" s="35"/>
      <c r="D10" s="155" t="s">
        <v>186</v>
      </c>
      <c r="E10">
        <f t="shared" si="0"/>
        <v>9</v>
      </c>
      <c r="F10" s="83">
        <v>3.2400000000000002</v>
      </c>
      <c r="G10">
        <f t="shared" si="0"/>
        <v>9</v>
      </c>
      <c r="H10" t="s">
        <v>186</v>
      </c>
      <c r="I10"/>
      <c r="J10" s="52"/>
      <c r="K10" s="53"/>
    </row>
    <row r="11" ht="12" customHeight="true" x14ac:dyDescent="0.2">
      <c r="A11" s="39" t="s">
        <v>128</v>
      </c>
      <c r="B11" s="41">
        <v>2</v>
      </c>
      <c r="C11" s="35"/>
      <c r="D11" s="155" t="s">
        <v>187</v>
      </c>
      <c r="E11">
        <f t="shared" si="0"/>
        <v>10</v>
      </c>
      <c r="F11" s="83">
        <v>3.1400000000000001</v>
      </c>
      <c r="G11">
        <f t="shared" si="0"/>
        <v>10</v>
      </c>
      <c r="H11" t="s">
        <v>187</v>
      </c>
      <c r="I11"/>
      <c r="J11" s="52"/>
      <c r="K11" s="53"/>
    </row>
    <row r="12" x14ac:dyDescent="0.2">
      <c r="A12" s="33" t="s">
        <v>42</v>
      </c>
      <c r="B12" s="41">
        <v>2.1200000000000001</v>
      </c>
      <c r="C12" s="35"/>
      <c r="D12" s="155" t="s">
        <v>188</v>
      </c>
      <c r="E12">
        <f t="shared" si="0"/>
        <v>11</v>
      </c>
      <c r="F12" s="83">
        <v>3.1400000000000001</v>
      </c>
      <c r="G12">
        <f t="shared" si="0"/>
        <v>11</v>
      </c>
      <c r="H12" t="s">
        <v>188</v>
      </c>
      <c r="I12"/>
      <c r="J12" s="52"/>
      <c r="K12" s="53"/>
    </row>
    <row r="13" x14ac:dyDescent="0.2">
      <c r="A13" s="33" t="s">
        <v>43</v>
      </c>
      <c r="B13" s="41">
        <v>2.1099999999999999</v>
      </c>
      <c r="C13" s="35"/>
      <c r="D13" s="155" t="s">
        <v>189</v>
      </c>
      <c r="E13">
        <f t="shared" si="0"/>
        <v>12</v>
      </c>
      <c r="F13" s="83">
        <v>3.2400000000000002</v>
      </c>
      <c r="G13">
        <f t="shared" si="0"/>
        <v>12</v>
      </c>
      <c r="H13" t="s">
        <v>189</v>
      </c>
      <c r="I13"/>
      <c r="J13" s="52"/>
      <c r="K13" s="53"/>
    </row>
    <row r="14" x14ac:dyDescent="0.2">
      <c r="A14" s="33" t="s">
        <v>68</v>
      </c>
      <c r="B14" s="41">
        <v>2.2200000000000002</v>
      </c>
      <c r="C14" s="35"/>
      <c r="D14" s="155" t="s">
        <v>190</v>
      </c>
      <c r="E14">
        <f t="shared" si="0"/>
        <v>13</v>
      </c>
      <c r="F14" s="83">
        <v>3.2400000000000002</v>
      </c>
      <c r="G14">
        <f t="shared" si="0"/>
        <v>13</v>
      </c>
      <c r="H14" t="s">
        <v>190</v>
      </c>
      <c r="I14"/>
      <c r="J14" s="52"/>
      <c r="K14" s="53"/>
    </row>
    <row r="15" x14ac:dyDescent="0.2">
      <c r="A15" s="39" t="s">
        <v>129</v>
      </c>
      <c r="B15" s="41">
        <v>3</v>
      </c>
      <c r="C15" s="35"/>
      <c r="D15" s="155" t="s">
        <v>191</v>
      </c>
      <c r="E15">
        <f t="shared" si="0"/>
        <v>14</v>
      </c>
      <c r="F15" s="83">
        <v>3.2400000000000002</v>
      </c>
      <c r="G15">
        <f t="shared" si="0"/>
        <v>14</v>
      </c>
      <c r="H15" t="s">
        <v>191</v>
      </c>
      <c r="I15"/>
      <c r="J15" s="52"/>
      <c r="K15" s="53"/>
    </row>
    <row r="16" x14ac:dyDescent="0.2">
      <c r="A16" s="33" t="s">
        <v>63</v>
      </c>
      <c r="B16" s="41">
        <v>3.1099999999999999</v>
      </c>
      <c r="C16" s="35"/>
      <c r="D16" s="155" t="s">
        <v>192</v>
      </c>
      <c r="E16">
        <f t="shared" si="0"/>
        <v>15</v>
      </c>
      <c r="F16" s="83">
        <v>3.2400000000000002</v>
      </c>
      <c r="G16">
        <f t="shared" si="0"/>
        <v>15</v>
      </c>
      <c r="H16" t="s">
        <v>192</v>
      </c>
      <c r="I16"/>
      <c r="J16" s="52"/>
      <c r="K16" s="53"/>
    </row>
    <row r="17" x14ac:dyDescent="0.2">
      <c r="A17" s="33" t="s">
        <v>62</v>
      </c>
      <c r="B17" s="41">
        <v>3.1400000000000001</v>
      </c>
      <c r="C17" s="35"/>
      <c r="D17" s="155" t="s">
        <v>193</v>
      </c>
      <c r="E17">
        <f t="shared" si="0"/>
        <v>16</v>
      </c>
      <c r="F17" s="83">
        <v>3.2400000000000002</v>
      </c>
      <c r="G17">
        <f t="shared" si="0"/>
        <v>16</v>
      </c>
      <c r="H17" t="s">
        <v>193</v>
      </c>
      <c r="I17"/>
      <c r="J17" s="52"/>
      <c r="K17" s="53"/>
    </row>
    <row r="18" x14ac:dyDescent="0.2">
      <c r="A18" s="33" t="s">
        <v>69</v>
      </c>
      <c r="B18" s="41">
        <v>3.1600000000000001</v>
      </c>
      <c r="C18" s="35"/>
      <c r="D18" s="155" t="s">
        <v>194</v>
      </c>
      <c r="E18">
        <f t="shared" si="0"/>
        <v>17</v>
      </c>
      <c r="F18" s="83">
        <v>3.2400000000000002</v>
      </c>
      <c r="G18">
        <f t="shared" si="0"/>
        <v>17</v>
      </c>
      <c r="H18" t="s">
        <v>194</v>
      </c>
      <c r="I18"/>
      <c r="J18" s="52"/>
      <c r="K18" s="53"/>
    </row>
    <row r="19" x14ac:dyDescent="0.2">
      <c r="A19" s="33" t="s">
        <v>67</v>
      </c>
      <c r="B19" s="41">
        <v>3.21</v>
      </c>
      <c r="C19" s="35"/>
      <c r="D19" s="155" t="s">
        <v>195</v>
      </c>
      <c r="E19">
        <f t="shared" si="0"/>
        <v>18</v>
      </c>
      <c r="F19" s="83">
        <v>3.1400000000000001</v>
      </c>
      <c r="G19">
        <f t="shared" si="0"/>
        <v>18</v>
      </c>
      <c r="H19" t="s">
        <v>195</v>
      </c>
      <c r="I19"/>
      <c r="J19" s="52"/>
      <c r="K19" s="53"/>
    </row>
    <row r="20" x14ac:dyDescent="0.2">
      <c r="A20" s="33" t="s">
        <v>64</v>
      </c>
      <c r="B20" s="41">
        <v>3.2400000000000002</v>
      </c>
      <c r="C20" s="35"/>
      <c r="D20" s="155" t="s">
        <v>196</v>
      </c>
      <c r="E20">
        <f t="shared" ref="E20:G35" si="1">E19+1</f>
        <v>19</v>
      </c>
      <c r="F20" s="83">
        <v>3.1400000000000001</v>
      </c>
      <c r="G20">
        <f t="shared" si="1"/>
        <v>19</v>
      </c>
      <c r="H20" t="s">
        <v>196</v>
      </c>
      <c r="I20"/>
      <c r="J20" s="52"/>
      <c r="K20" s="53"/>
    </row>
    <row r="21" ht="17" thickBot="true" x14ac:dyDescent="0.25">
      <c r="A21" s="33" t="s">
        <v>70</v>
      </c>
      <c r="B21" s="41">
        <v>3.2599999999999998</v>
      </c>
      <c r="C21" s="35"/>
      <c r="D21" s="155" t="s">
        <v>197</v>
      </c>
      <c r="E21">
        <f t="shared" si="1"/>
        <v>20</v>
      </c>
      <c r="F21" s="83">
        <v>3.2400000000000002</v>
      </c>
      <c r="G21">
        <f t="shared" si="1"/>
        <v>20</v>
      </c>
      <c r="H21" t="s">
        <v>197</v>
      </c>
      <c r="I21"/>
      <c r="J21" s="54"/>
      <c r="K21" s="55"/>
      <c r="L21" s="56" t="s">
        <v>152</v>
      </c>
    </row>
    <row r="22" x14ac:dyDescent="0.2">
      <c r="A22" s="33" t="s">
        <v>65</v>
      </c>
      <c r="B22" s="41">
        <v>8</v>
      </c>
      <c r="C22" s="35"/>
      <c r="D22" s="155" t="s">
        <v>198</v>
      </c>
      <c r="E22">
        <f t="shared" si="1"/>
        <v>21</v>
      </c>
      <c r="F22" s="83">
        <v>3.2400000000000002</v>
      </c>
      <c r="G22">
        <f t="shared" si="1"/>
        <v>21</v>
      </c>
      <c r="H22" t="s">
        <v>198</v>
      </c>
      <c r="I22"/>
    </row>
    <row r="23" x14ac:dyDescent="0.2">
      <c r="A23" s="33" t="s">
        <v>130</v>
      </c>
      <c r="B23" s="41">
        <v>4</v>
      </c>
      <c r="C23" s="35"/>
      <c r="D23" s="155" t="s">
        <v>199</v>
      </c>
      <c r="E23">
        <f t="shared" si="1"/>
        <v>22</v>
      </c>
      <c r="F23" s="83">
        <v>3.2400000000000002</v>
      </c>
      <c r="G23">
        <f t="shared" si="1"/>
        <v>22</v>
      </c>
      <c r="H23" t="s">
        <v>199</v>
      </c>
      <c r="I23"/>
    </row>
    <row r="24" x14ac:dyDescent="0.2">
      <c r="A24" s="33" t="s">
        <v>123</v>
      </c>
      <c r="B24" s="41">
        <v>4.0999999999999996</v>
      </c>
      <c r="C24" s="35"/>
      <c r="D24" s="155" t="s">
        <v>200</v>
      </c>
      <c r="E24">
        <f t="shared" si="1"/>
        <v>23</v>
      </c>
      <c r="F24" s="83">
        <v>3.2400000000000002</v>
      </c>
      <c r="G24">
        <f t="shared" si="1"/>
        <v>23</v>
      </c>
      <c r="H24" t="s">
        <v>200</v>
      </c>
      <c r="I24"/>
    </row>
    <row r="25" x14ac:dyDescent="0.2">
      <c r="A25" s="33" t="s">
        <v>71</v>
      </c>
      <c r="B25" s="41">
        <v>4.2000000000000002</v>
      </c>
      <c r="C25" s="35"/>
      <c r="D25" s="155" t="s">
        <v>201</v>
      </c>
      <c r="E25">
        <f t="shared" si="1"/>
        <v>24</v>
      </c>
      <c r="F25" s="83">
        <v>3.1400000000000001</v>
      </c>
      <c r="G25">
        <f t="shared" si="1"/>
        <v>24</v>
      </c>
      <c r="H25" t="s">
        <v>201</v>
      </c>
      <c r="I25"/>
    </row>
    <row r="26" x14ac:dyDescent="0.2">
      <c r="A26" s="33" t="s">
        <v>124</v>
      </c>
      <c r="B26" s="41">
        <v>4.2999999999999998</v>
      </c>
      <c r="C26" s="35"/>
      <c r="D26" s="155" t="s">
        <v>202</v>
      </c>
      <c r="E26">
        <f t="shared" si="1"/>
        <v>25</v>
      </c>
      <c r="F26" s="83">
        <v>3.1400000000000001</v>
      </c>
      <c r="G26">
        <f t="shared" si="1"/>
        <v>25</v>
      </c>
      <c r="H26" t="s">
        <v>202</v>
      </c>
      <c r="I26"/>
    </row>
    <row r="27" x14ac:dyDescent="0.2">
      <c r="A27" s="33" t="s">
        <v>126</v>
      </c>
      <c r="B27" s="41">
        <v>6.0999999999999996</v>
      </c>
      <c r="D27" s="155" t="s">
        <v>203</v>
      </c>
      <c r="E27">
        <f t="shared" si="1"/>
        <v>26</v>
      </c>
      <c r="F27" s="83">
        <v>3.2400000000000002</v>
      </c>
      <c r="G27">
        <f t="shared" si="1"/>
        <v>26</v>
      </c>
      <c r="H27" t="s">
        <v>203</v>
      </c>
      <c r="I27"/>
    </row>
    <row r="28" x14ac:dyDescent="0.2">
      <c r="A28" s="33" t="s">
        <v>125</v>
      </c>
      <c r="B28" s="41">
        <v>6.2000000000000002</v>
      </c>
      <c r="D28" s="155" t="s">
        <v>204</v>
      </c>
      <c r="E28">
        <f t="shared" si="1"/>
        <v>27</v>
      </c>
      <c r="F28" s="83">
        <v>3.2400000000000002</v>
      </c>
      <c r="G28">
        <f t="shared" si="1"/>
        <v>27</v>
      </c>
      <c r="H28" t="s">
        <v>204</v>
      </c>
      <c r="I28"/>
    </row>
    <row r="29" x14ac:dyDescent="0.2">
      <c r="A29" s="33" t="s">
        <v>44</v>
      </c>
      <c r="B29" s="41">
        <v>5</v>
      </c>
      <c r="D29" s="155" t="s">
        <v>205</v>
      </c>
      <c r="E29">
        <f t="shared" si="1"/>
        <v>28</v>
      </c>
      <c r="F29" s="83">
        <v>3.2400000000000002</v>
      </c>
      <c r="G29">
        <f t="shared" si="1"/>
        <v>28</v>
      </c>
      <c r="H29" t="s">
        <v>205</v>
      </c>
      <c r="I29"/>
    </row>
    <row r="30" x14ac:dyDescent="0.2">
      <c r="A30" s="33" t="s">
        <v>74</v>
      </c>
      <c r="B30" s="41">
        <v>7</v>
      </c>
      <c r="D30" s="155" t="s">
        <v>206</v>
      </c>
      <c r="E30">
        <f t="shared" si="1"/>
        <v>29</v>
      </c>
      <c r="F30" s="83">
        <v>3.2400000000000002</v>
      </c>
      <c r="G30">
        <f t="shared" si="1"/>
        <v>29</v>
      </c>
      <c r="H30" t="s">
        <v>206</v>
      </c>
      <c r="I30"/>
    </row>
    <row r="31" ht="16" customHeight="true" x14ac:dyDescent="0.2">
      <c r="A31" s="33" t="s">
        <v>172</v>
      </c>
      <c r="B31" s="41">
        <v>3.1110000000000002</v>
      </c>
      <c r="D31" s="155" t="s">
        <v>207</v>
      </c>
      <c r="E31">
        <f t="shared" si="1"/>
        <v>30</v>
      </c>
      <c r="F31" s="83">
        <v>3.2400000000000002</v>
      </c>
      <c r="G31">
        <f t="shared" si="1"/>
        <v>30</v>
      </c>
      <c r="H31" t="s">
        <v>207</v>
      </c>
      <c r="I31"/>
    </row>
    <row r="32" ht="12" customHeight="true" thickBot="true" x14ac:dyDescent="0.25">
      <c r="A32" s="39" t="s">
        <v>173</v>
      </c>
      <c r="B32" s="42">
        <v>9</v>
      </c>
      <c r="D32" s="155" t="s">
        <v>208</v>
      </c>
      <c r="E32">
        <f t="shared" si="1"/>
        <v>31</v>
      </c>
      <c r="F32" s="83">
        <v>3.1400000000000001</v>
      </c>
      <c r="G32">
        <f t="shared" si="1"/>
        <v>31</v>
      </c>
      <c r="H32" t="s">
        <v>208</v>
      </c>
      <c r="I32"/>
    </row>
    <row r="33" customFormat="true" ht="12" customHeight="true" x14ac:dyDescent="0.2">
      <c r="D33" s="155" t="s">
        <v>209</v>
      </c>
      <c r="E33">
        <f t="shared" si="1"/>
        <v>32</v>
      </c>
      <c r="F33" s="83">
        <v>3.1400000000000001</v>
      </c>
      <c r="G33">
        <f t="shared" si="1"/>
        <v>32</v>
      </c>
      <c r="H33" t="s">
        <v>209</v>
      </c>
    </row>
    <row r="34" customFormat="true" ht="12" customHeight="true" x14ac:dyDescent="0.2">
      <c r="D34" s="155" t="s">
        <v>210</v>
      </c>
      <c r="E34">
        <f t="shared" si="1"/>
        <v>33</v>
      </c>
      <c r="F34" s="83">
        <v>3.1400000000000001</v>
      </c>
      <c r="G34">
        <f t="shared" si="1"/>
        <v>33</v>
      </c>
      <c r="H34" t="s">
        <v>210</v>
      </c>
    </row>
    <row r="35" customFormat="true" ht="16" customHeight="true" x14ac:dyDescent="0.2">
      <c r="D35" s="155" t="s">
        <v>211</v>
      </c>
      <c r="E35">
        <f t="shared" si="1"/>
        <v>34</v>
      </c>
      <c r="F35" s="83">
        <v>3.1400000000000001</v>
      </c>
      <c r="G35">
        <f t="shared" si="1"/>
        <v>34</v>
      </c>
      <c r="H35" t="s">
        <v>211</v>
      </c>
    </row>
    <row r="36" customFormat="true" ht="16" customHeight="true" x14ac:dyDescent="0.2">
      <c r="D36" s="155" t="s">
        <v>212</v>
      </c>
      <c r="E36">
        <f t="shared" ref="E36:G51" si="2">E35+1</f>
        <v>35</v>
      </c>
      <c r="F36" s="83">
        <v>3.1400000000000001</v>
      </c>
      <c r="G36">
        <f t="shared" si="2"/>
        <v>35</v>
      </c>
      <c r="H36" t="s">
        <v>212</v>
      </c>
    </row>
    <row r="37" customFormat="true" ht="12" customHeight="true" x14ac:dyDescent="0.2">
      <c r="D37" s="155" t="s">
        <v>213</v>
      </c>
      <c r="E37">
        <f t="shared" si="2"/>
        <v>36</v>
      </c>
      <c r="F37" s="83">
        <v>3.1400000000000001</v>
      </c>
      <c r="G37">
        <f t="shared" si="2"/>
        <v>36</v>
      </c>
      <c r="H37" t="s">
        <v>213</v>
      </c>
    </row>
    <row r="38" customFormat="true" x14ac:dyDescent="0.2">
      <c r="D38" s="155" t="s">
        <v>214</v>
      </c>
      <c r="E38">
        <f t="shared" si="2"/>
        <v>37</v>
      </c>
      <c r="F38" s="83">
        <v>3.2400000000000002</v>
      </c>
      <c r="G38">
        <f t="shared" si="2"/>
        <v>37</v>
      </c>
      <c r="H38" t="s">
        <v>214</v>
      </c>
    </row>
    <row r="39" customFormat="true" x14ac:dyDescent="0.2">
      <c r="D39" s="155" t="s">
        <v>215</v>
      </c>
      <c r="E39">
        <f t="shared" si="2"/>
        <v>38</v>
      </c>
      <c r="F39" s="83">
        <v>3.2400000000000002</v>
      </c>
      <c r="G39">
        <f t="shared" si="2"/>
        <v>38</v>
      </c>
      <c r="H39" t="s">
        <v>215</v>
      </c>
    </row>
    <row r="40" customFormat="true" x14ac:dyDescent="0.2">
      <c r="D40" s="155" t="s">
        <v>216</v>
      </c>
      <c r="E40">
        <f t="shared" si="2"/>
        <v>39</v>
      </c>
      <c r="F40" s="83">
        <v>3.2400000000000002</v>
      </c>
      <c r="G40">
        <f t="shared" si="2"/>
        <v>39</v>
      </c>
      <c r="H40" t="s">
        <v>216</v>
      </c>
    </row>
    <row r="41" customFormat="true" x14ac:dyDescent="0.2">
      <c r="D41" s="155" t="s">
        <v>217</v>
      </c>
      <c r="E41">
        <f t="shared" si="2"/>
        <v>40</v>
      </c>
      <c r="F41" s="83">
        <v>3.2400000000000002</v>
      </c>
      <c r="G41">
        <f t="shared" si="2"/>
        <v>40</v>
      </c>
      <c r="H41" t="s">
        <v>217</v>
      </c>
    </row>
    <row r="42" customFormat="true" x14ac:dyDescent="0.2">
      <c r="D42" s="155" t="s">
        <v>218</v>
      </c>
      <c r="E42">
        <f t="shared" si="2"/>
        <v>41</v>
      </c>
      <c r="F42" s="83">
        <v>3.2400000000000002</v>
      </c>
      <c r="G42">
        <f t="shared" si="2"/>
        <v>41</v>
      </c>
      <c r="H42" t="s">
        <v>218</v>
      </c>
    </row>
    <row r="43" customFormat="true" x14ac:dyDescent="0.2">
      <c r="D43" s="155" t="s">
        <v>219</v>
      </c>
      <c r="E43">
        <f t="shared" si="2"/>
        <v>42</v>
      </c>
      <c r="F43" s="83">
        <v>3.2400000000000002</v>
      </c>
      <c r="G43">
        <f t="shared" si="2"/>
        <v>42</v>
      </c>
      <c r="H43" t="s">
        <v>219</v>
      </c>
    </row>
    <row r="44" customFormat="true" x14ac:dyDescent="0.2">
      <c r="D44" s="155" t="s">
        <v>220</v>
      </c>
      <c r="E44">
        <f t="shared" si="2"/>
        <v>43</v>
      </c>
      <c r="F44" s="83">
        <v>3.2400000000000002</v>
      </c>
      <c r="G44">
        <f t="shared" si="2"/>
        <v>43</v>
      </c>
      <c r="H44" t="s">
        <v>220</v>
      </c>
    </row>
    <row r="45" customFormat="true" x14ac:dyDescent="0.2">
      <c r="D45" s="155" t="s">
        <v>221</v>
      </c>
      <c r="E45">
        <f t="shared" si="2"/>
        <v>44</v>
      </c>
      <c r="F45" s="83">
        <v>3.2400000000000002</v>
      </c>
      <c r="G45">
        <f t="shared" si="2"/>
        <v>44</v>
      </c>
      <c r="H45" t="s">
        <v>221</v>
      </c>
    </row>
    <row r="46" customFormat="true" x14ac:dyDescent="0.2">
      <c r="D46" s="155" t="s">
        <v>222</v>
      </c>
      <c r="E46">
        <f t="shared" si="2"/>
        <v>45</v>
      </c>
      <c r="F46" s="83">
        <v>3.2400000000000002</v>
      </c>
      <c r="G46">
        <f t="shared" si="2"/>
        <v>45</v>
      </c>
      <c r="H46" t="s">
        <v>222</v>
      </c>
    </row>
    <row r="47" customFormat="true" ht="16" customHeight="true" x14ac:dyDescent="0.2">
      <c r="D47" s="155" t="s">
        <v>223</v>
      </c>
      <c r="E47">
        <f t="shared" si="2"/>
        <v>46</v>
      </c>
      <c r="F47" s="83">
        <v>3.2400000000000002</v>
      </c>
      <c r="G47">
        <f t="shared" si="2"/>
        <v>46</v>
      </c>
      <c r="H47" t="s">
        <v>223</v>
      </c>
    </row>
    <row r="48" customFormat="true" ht="16" customHeight="true" x14ac:dyDescent="0.2">
      <c r="D48" s="155" t="s">
        <v>224</v>
      </c>
      <c r="E48">
        <f t="shared" si="2"/>
        <v>47</v>
      </c>
      <c r="F48" s="83">
        <v>3.2400000000000002</v>
      </c>
      <c r="G48">
        <f t="shared" si="2"/>
        <v>47</v>
      </c>
      <c r="H48" t="s">
        <v>224</v>
      </c>
    </row>
    <row r="49" ht="16" customHeight="true" x14ac:dyDescent="0.2">
      <c r="C49"/>
      <c r="D49" s="155" t="s">
        <v>225</v>
      </c>
      <c r="E49">
        <f t="shared" si="2"/>
        <v>48</v>
      </c>
      <c r="F49" s="83">
        <v>3.2400000000000002</v>
      </c>
      <c r="G49">
        <f t="shared" si="2"/>
        <v>48</v>
      </c>
      <c r="H49" t="s">
        <v>225</v>
      </c>
      <c r="I49"/>
    </row>
    <row r="50" ht="12" customHeight="true" x14ac:dyDescent="0.2">
      <c r="C50"/>
      <c r="D50" s="155" t="s">
        <v>226</v>
      </c>
      <c r="E50">
        <f t="shared" si="2"/>
        <v>49</v>
      </c>
      <c r="F50" s="83">
        <v>3.2400000000000002</v>
      </c>
      <c r="G50">
        <f t="shared" si="2"/>
        <v>49</v>
      </c>
      <c r="H50" t="s">
        <v>226</v>
      </c>
      <c r="I50"/>
    </row>
    <row r="51" ht="16" customHeight="true" x14ac:dyDescent="0.2">
      <c r="C51"/>
      <c r="D51" s="155" t="s">
        <v>227</v>
      </c>
      <c r="E51">
        <f t="shared" si="2"/>
        <v>50</v>
      </c>
      <c r="F51" s="83">
        <v>3.2400000000000002</v>
      </c>
      <c r="G51">
        <f t="shared" si="2"/>
        <v>50</v>
      </c>
      <c r="H51" t="s">
        <v>227</v>
      </c>
      <c r="I51"/>
    </row>
    <row r="52" ht="12" customHeight="true" x14ac:dyDescent="0.2">
      <c r="C52"/>
      <c r="D52" s="155" t="s">
        <v>228</v>
      </c>
      <c r="E52">
        <f t="shared" ref="E52:G67" si="3">E51+1</f>
        <v>51</v>
      </c>
      <c r="F52" s="83">
        <v>3.1400000000000001</v>
      </c>
      <c r="G52">
        <f t="shared" si="3"/>
        <v>51</v>
      </c>
      <c r="H52" t="s">
        <v>228</v>
      </c>
      <c r="I52"/>
    </row>
    <row r="53" ht="16" customHeight="true" x14ac:dyDescent="0.2">
      <c r="C53"/>
      <c r="D53" s="155" t="s">
        <v>229</v>
      </c>
      <c r="E53">
        <f t="shared" si="3"/>
        <v>52</v>
      </c>
      <c r="F53" s="83">
        <v>3.1299999999999999</v>
      </c>
      <c r="G53">
        <f t="shared" si="3"/>
        <v>52</v>
      </c>
      <c r="H53" t="s">
        <v>229</v>
      </c>
      <c r="I53"/>
    </row>
    <row r="54" ht="12" customHeight="true" x14ac:dyDescent="0.2">
      <c r="C54"/>
      <c r="D54" s="155" t="s">
        <v>230</v>
      </c>
      <c r="E54">
        <f t="shared" si="3"/>
        <v>53</v>
      </c>
      <c r="F54" s="83">
        <v>3.1099999999999999</v>
      </c>
      <c r="G54">
        <f t="shared" si="3"/>
        <v>53</v>
      </c>
      <c r="H54" t="s">
        <v>230</v>
      </c>
      <c r="I54"/>
    </row>
    <row r="55" ht="12" customHeight="true" x14ac:dyDescent="0.2">
      <c r="C55"/>
      <c r="D55" s="220" t="s">
        <v>231</v>
      </c>
      <c r="E55">
        <f t="shared" si="3"/>
        <v>54</v>
      </c>
      <c r="F55" s="83">
        <v>3.1400000000000001</v>
      </c>
      <c r="G55">
        <f t="shared" si="3"/>
        <v>54</v>
      </c>
      <c r="H55" s="3" t="s">
        <v>231</v>
      </c>
      <c r="I55"/>
    </row>
    <row r="56" ht="16" customHeight="true" x14ac:dyDescent="0.2">
      <c r="C56"/>
      <c r="D56" s="155" t="s">
        <v>233</v>
      </c>
      <c r="E56">
        <f t="shared" si="3"/>
        <v>55</v>
      </c>
      <c r="F56" s="83">
        <v>3.1099999999999999</v>
      </c>
      <c r="G56">
        <f t="shared" si="3"/>
        <v>55</v>
      </c>
      <c r="H56" t="s">
        <v>233</v>
      </c>
      <c r="I56"/>
    </row>
    <row r="57" ht="16" customHeight="true" x14ac:dyDescent="0.2">
      <c r="C57"/>
      <c r="D57" s="155" t="s">
        <v>234</v>
      </c>
      <c r="E57">
        <f t="shared" si="3"/>
        <v>56</v>
      </c>
      <c r="F57" s="83">
        <v>3.1099999999999999</v>
      </c>
      <c r="G57">
        <f t="shared" si="3"/>
        <v>56</v>
      </c>
      <c r="H57" t="s">
        <v>234</v>
      </c>
      <c r="I57"/>
    </row>
    <row r="58" x14ac:dyDescent="0.2">
      <c r="C58"/>
      <c r="D58" s="155" t="s">
        <v>235</v>
      </c>
      <c r="E58">
        <f t="shared" si="3"/>
        <v>57</v>
      </c>
      <c r="F58" s="83">
        <v>3.1099999999999999</v>
      </c>
      <c r="G58">
        <f t="shared" si="3"/>
        <v>57</v>
      </c>
      <c r="H58" t="s">
        <v>235</v>
      </c>
      <c r="I58"/>
    </row>
    <row r="59" x14ac:dyDescent="0.2">
      <c r="C59"/>
      <c r="D59" s="155" t="s">
        <v>237</v>
      </c>
      <c r="E59">
        <f t="shared" si="3"/>
        <v>58</v>
      </c>
      <c r="F59" s="83">
        <v>3.21</v>
      </c>
      <c r="G59">
        <f t="shared" si="3"/>
        <v>58</v>
      </c>
      <c r="H59" t="s">
        <v>237</v>
      </c>
      <c r="I59"/>
    </row>
    <row r="60" x14ac:dyDescent="0.2">
      <c r="C60"/>
      <c r="D60" s="155" t="s">
        <v>238</v>
      </c>
      <c r="E60">
        <f t="shared" si="3"/>
        <v>59</v>
      </c>
      <c r="F60" s="83">
        <v>3.21</v>
      </c>
      <c r="G60">
        <f t="shared" si="3"/>
        <v>59</v>
      </c>
      <c r="H60" t="s">
        <v>238</v>
      </c>
      <c r="I60"/>
    </row>
    <row r="61" x14ac:dyDescent="0.2">
      <c r="C61"/>
      <c r="D61" s="155" t="s">
        <v>239</v>
      </c>
      <c r="E61">
        <f t="shared" si="3"/>
        <v>60</v>
      </c>
      <c r="F61" s="83">
        <v>3.21</v>
      </c>
      <c r="G61">
        <f t="shared" si="3"/>
        <v>60</v>
      </c>
      <c r="H61" t="s">
        <v>239</v>
      </c>
      <c r="I61"/>
    </row>
    <row r="62" x14ac:dyDescent="0.2">
      <c r="C62"/>
      <c r="D62" s="155" t="s">
        <v>240</v>
      </c>
      <c r="E62">
        <f t="shared" si="3"/>
        <v>61</v>
      </c>
      <c r="F62" s="83">
        <v>3.21</v>
      </c>
      <c r="G62">
        <f t="shared" si="3"/>
        <v>61</v>
      </c>
      <c r="H62" t="s">
        <v>240</v>
      </c>
      <c r="I62"/>
    </row>
    <row r="63" x14ac:dyDescent="0.2">
      <c r="C63"/>
      <c r="D63" s="155" t="s">
        <v>241</v>
      </c>
      <c r="E63">
        <f t="shared" si="3"/>
        <v>62</v>
      </c>
      <c r="F63" s="83">
        <v>3.02</v>
      </c>
      <c r="G63">
        <f t="shared" si="3"/>
        <v>62</v>
      </c>
      <c r="H63" t="s">
        <v>241</v>
      </c>
      <c r="I63"/>
    </row>
    <row r="64" x14ac:dyDescent="0.2">
      <c r="C64"/>
      <c r="D64" s="155" t="s">
        <v>242</v>
      </c>
      <c r="E64">
        <f t="shared" si="3"/>
        <v>63</v>
      </c>
      <c r="F64" s="83">
        <v>3.21</v>
      </c>
      <c r="G64">
        <f t="shared" si="3"/>
        <v>63</v>
      </c>
      <c r="H64" t="s">
        <v>242</v>
      </c>
      <c r="I64"/>
    </row>
    <row r="65" x14ac:dyDescent="0.2">
      <c r="C65"/>
      <c r="D65" s="155" t="s">
        <v>243</v>
      </c>
      <c r="E65">
        <f t="shared" si="3"/>
        <v>64</v>
      </c>
      <c r="F65" s="83">
        <v>3.21</v>
      </c>
      <c r="G65">
        <f t="shared" si="3"/>
        <v>64</v>
      </c>
      <c r="H65" t="s">
        <v>243</v>
      </c>
      <c r="I65"/>
    </row>
    <row r="66" x14ac:dyDescent="0.2">
      <c r="C66"/>
      <c r="D66" s="155" t="s">
        <v>244</v>
      </c>
      <c r="E66">
        <f t="shared" si="3"/>
        <v>65</v>
      </c>
      <c r="F66" s="83">
        <v>3.21</v>
      </c>
      <c r="G66">
        <f t="shared" si="3"/>
        <v>65</v>
      </c>
      <c r="H66" t="s">
        <v>244</v>
      </c>
      <c r="I66"/>
    </row>
    <row r="67" x14ac:dyDescent="0.2">
      <c r="C67"/>
      <c r="D67" s="155" t="s">
        <v>245</v>
      </c>
      <c r="E67">
        <f t="shared" si="3"/>
        <v>66</v>
      </c>
      <c r="F67" s="83">
        <v>3.21</v>
      </c>
      <c r="G67">
        <f t="shared" si="3"/>
        <v>66</v>
      </c>
      <c r="H67" t="s">
        <v>245</v>
      </c>
      <c r="I67"/>
    </row>
    <row r="68" x14ac:dyDescent="0.2">
      <c r="C68"/>
      <c r="D68" s="155" t="s">
        <v>246</v>
      </c>
      <c r="E68">
        <f t="shared" ref="E68:G83" si="4">E67+1</f>
        <v>67</v>
      </c>
      <c r="F68" s="83">
        <v>9.1999999999999993</v>
      </c>
      <c r="G68">
        <f t="shared" si="4"/>
        <v>67</v>
      </c>
      <c r="H68" t="s">
        <v>246</v>
      </c>
      <c r="I68"/>
    </row>
    <row r="69" x14ac:dyDescent="0.2">
      <c r="C69"/>
      <c r="D69" s="155" t="s">
        <v>247</v>
      </c>
      <c r="E69">
        <f t="shared" si="4"/>
        <v>68</v>
      </c>
      <c r="F69" s="83">
        <v>9.0999999999999996</v>
      </c>
      <c r="G69">
        <f t="shared" si="4"/>
        <v>68</v>
      </c>
      <c r="H69" t="s">
        <v>247</v>
      </c>
      <c r="I69"/>
    </row>
    <row r="70" x14ac:dyDescent="0.2">
      <c r="C70"/>
      <c r="D70" s="155" t="s">
        <v>248</v>
      </c>
      <c r="E70">
        <f t="shared" si="4"/>
        <v>69</v>
      </c>
      <c r="F70" s="83">
        <v>2.1000000000000001</v>
      </c>
      <c r="G70">
        <f t="shared" si="4"/>
        <v>69</v>
      </c>
      <c r="H70" t="s">
        <v>248</v>
      </c>
      <c r="I70"/>
    </row>
    <row r="71" x14ac:dyDescent="0.2">
      <c r="C71"/>
      <c r="D71" s="155" t="s">
        <v>249</v>
      </c>
      <c r="E71">
        <f t="shared" si="4"/>
        <v>70</v>
      </c>
      <c r="F71" s="83">
        <v>4.0999999999999996</v>
      </c>
      <c r="G71">
        <f t="shared" si="4"/>
        <v>70</v>
      </c>
      <c r="H71" t="s">
        <v>249</v>
      </c>
      <c r="I71" s="56" t="s">
        <v>178</v>
      </c>
    </row>
    <row r="72" x14ac:dyDescent="0.2">
      <c r="C72"/>
      <c r="D72" s="155" t="s">
        <v>250</v>
      </c>
      <c r="E72">
        <f t="shared" si="4"/>
        <v>71</v>
      </c>
      <c r="F72" s="83">
        <v>4.2999999999999998</v>
      </c>
      <c r="G72">
        <f t="shared" si="4"/>
        <v>71</v>
      </c>
      <c r="H72" t="s">
        <v>250</v>
      </c>
      <c r="I72" s="56" t="s">
        <v>178</v>
      </c>
    </row>
    <row r="73" x14ac:dyDescent="0.2">
      <c r="C73"/>
      <c r="D73" s="155" t="s">
        <v>175</v>
      </c>
      <c r="E73">
        <f t="shared" si="4"/>
        <v>72</v>
      </c>
      <c r="F73" s="83">
        <v>4.2000000000000002</v>
      </c>
      <c r="G73">
        <f t="shared" si="4"/>
        <v>72</v>
      </c>
      <c r="H73" t="s">
        <v>175</v>
      </c>
      <c r="I73"/>
    </row>
    <row r="74" x14ac:dyDescent="0.2">
      <c r="C74"/>
      <c r="D74" s="155" t="s">
        <v>251</v>
      </c>
      <c r="E74">
        <f t="shared" si="4"/>
        <v>73</v>
      </c>
      <c r="F74" s="83">
        <v>5</v>
      </c>
      <c r="G74">
        <f t="shared" si="4"/>
        <v>73</v>
      </c>
      <c r="H74" t="s">
        <v>251</v>
      </c>
      <c r="I74" s="56" t="s">
        <v>179</v>
      </c>
    </row>
    <row r="75" x14ac:dyDescent="0.2">
      <c r="C75"/>
      <c r="D75" s="155" t="s">
        <v>252</v>
      </c>
      <c r="E75">
        <f t="shared" si="4"/>
        <v>74</v>
      </c>
      <c r="F75" s="83">
        <v>5</v>
      </c>
      <c r="G75">
        <f t="shared" si="4"/>
        <v>74</v>
      </c>
      <c r="H75" t="s">
        <v>252</v>
      </c>
      <c r="I75" s="56" t="s">
        <v>179</v>
      </c>
    </row>
    <row r="76" x14ac:dyDescent="0.2">
      <c r="C76"/>
      <c r="D76" s="155" t="s">
        <v>253</v>
      </c>
      <c r="E76">
        <f t="shared" si="4"/>
        <v>75</v>
      </c>
      <c r="F76" s="83">
        <v>5</v>
      </c>
      <c r="G76">
        <f t="shared" si="4"/>
        <v>75</v>
      </c>
      <c r="H76" t="s">
        <v>253</v>
      </c>
      <c r="I76" s="56" t="s">
        <v>179</v>
      </c>
    </row>
    <row r="77" x14ac:dyDescent="0.2">
      <c r="C77"/>
      <c r="D77" s="155" t="s">
        <v>254</v>
      </c>
      <c r="E77">
        <f t="shared" si="4"/>
        <v>76</v>
      </c>
      <c r="F77" s="83">
        <v>5</v>
      </c>
      <c r="G77">
        <f t="shared" si="4"/>
        <v>76</v>
      </c>
      <c r="H77" t="s">
        <v>254</v>
      </c>
      <c r="I77" s="56" t="s">
        <v>179</v>
      </c>
    </row>
    <row r="78" x14ac:dyDescent="0.2">
      <c r="C78"/>
      <c r="D78" s="155" t="s">
        <v>255</v>
      </c>
      <c r="E78">
        <f t="shared" si="4"/>
        <v>77</v>
      </c>
      <c r="F78" s="83">
        <v>5</v>
      </c>
      <c r="G78">
        <f t="shared" si="4"/>
        <v>77</v>
      </c>
      <c r="H78" t="s">
        <v>255</v>
      </c>
      <c r="I78" s="56" t="s">
        <v>179</v>
      </c>
    </row>
    <row r="79" x14ac:dyDescent="0.2">
      <c r="C79"/>
      <c r="D79" s="155" t="s">
        <v>256</v>
      </c>
      <c r="E79">
        <f t="shared" si="4"/>
        <v>78</v>
      </c>
      <c r="F79" s="83">
        <v>5</v>
      </c>
      <c r="G79">
        <f t="shared" si="4"/>
        <v>78</v>
      </c>
      <c r="H79" t="s">
        <v>256</v>
      </c>
      <c r="I79" s="56" t="s">
        <v>179</v>
      </c>
    </row>
    <row r="80" x14ac:dyDescent="0.2">
      <c r="C80"/>
      <c r="D80" s="155" t="s">
        <v>257</v>
      </c>
      <c r="E80">
        <f t="shared" si="4"/>
        <v>79</v>
      </c>
      <c r="F80" s="83">
        <v>5</v>
      </c>
      <c r="G80">
        <f t="shared" si="4"/>
        <v>79</v>
      </c>
      <c r="H80" t="s">
        <v>257</v>
      </c>
      <c r="I80" s="56" t="s">
        <v>179</v>
      </c>
    </row>
    <row r="81" customFormat="true" x14ac:dyDescent="0.2">
      <c r="D81" s="155" t="s">
        <v>258</v>
      </c>
      <c r="E81">
        <f t="shared" si="4"/>
        <v>80</v>
      </c>
      <c r="F81" s="83">
        <v>5</v>
      </c>
      <c r="G81">
        <f t="shared" si="4"/>
        <v>80</v>
      </c>
      <c r="H81" t="s">
        <v>258</v>
      </c>
      <c r="I81" s="56" t="s">
        <v>179</v>
      </c>
    </row>
    <row r="82" customFormat="true" x14ac:dyDescent="0.2">
      <c r="D82" s="155" t="s">
        <v>259</v>
      </c>
      <c r="E82">
        <f t="shared" si="4"/>
        <v>81</v>
      </c>
      <c r="F82" s="83">
        <v>5</v>
      </c>
      <c r="G82">
        <f t="shared" si="4"/>
        <v>81</v>
      </c>
      <c r="H82" t="s">
        <v>259</v>
      </c>
      <c r="I82" s="56" t="s">
        <v>179</v>
      </c>
    </row>
    <row r="83" customFormat="true" x14ac:dyDescent="0.2">
      <c r="D83" s="155" t="s">
        <v>260</v>
      </c>
      <c r="E83">
        <f t="shared" si="4"/>
        <v>82</v>
      </c>
      <c r="F83" s="83">
        <v>5</v>
      </c>
      <c r="G83">
        <f t="shared" si="4"/>
        <v>82</v>
      </c>
      <c r="H83" t="s">
        <v>260</v>
      </c>
      <c r="I83" s="56" t="s">
        <v>179</v>
      </c>
    </row>
    <row r="84" customFormat="true" x14ac:dyDescent="0.2">
      <c r="D84" s="155" t="s">
        <v>261</v>
      </c>
      <c r="E84">
        <f t="shared" ref="E84:G87" si="5">E83+1</f>
        <v>83</v>
      </c>
      <c r="F84" s="83">
        <v>5</v>
      </c>
      <c r="G84">
        <f t="shared" si="5"/>
        <v>83</v>
      </c>
      <c r="H84" t="s">
        <v>261</v>
      </c>
      <c r="I84" s="56" t="s">
        <v>179</v>
      </c>
    </row>
    <row r="85" customFormat="true" x14ac:dyDescent="0.2">
      <c r="D85" s="155" t="s">
        <v>262</v>
      </c>
      <c r="E85">
        <f t="shared" si="5"/>
        <v>84</v>
      </c>
      <c r="F85" s="83">
        <v>5</v>
      </c>
      <c r="G85">
        <f t="shared" si="5"/>
        <v>84</v>
      </c>
      <c r="H85" t="s">
        <v>262</v>
      </c>
      <c r="I85" s="56" t="s">
        <v>179</v>
      </c>
    </row>
    <row r="86" customFormat="true" ht="13" x14ac:dyDescent="0.15">
      <c r="D86" s="155" t="s">
        <v>139</v>
      </c>
      <c r="E86">
        <f t="shared" si="5"/>
        <v>85</v>
      </c>
      <c r="F86">
        <v>6.1</v>
      </c>
      <c r="G86">
        <f t="shared" si="5"/>
        <v>85</v>
      </c>
      <c r="H86" t="s">
        <v>139</v>
      </c>
      <c r="I86" s="56" t="s">
        <v>180</v>
      </c>
    </row>
    <row r="87" customFormat="true" ht="13" x14ac:dyDescent="0.15">
      <c r="D87" s="155" t="s">
        <v>45</v>
      </c>
      <c r="E87">
        <f t="shared" si="5"/>
        <v>86</v>
      </c>
      <c r="F87">
        <v>6.2</v>
      </c>
      <c r="G87">
        <f t="shared" si="5"/>
        <v>86</v>
      </c>
      <c r="H87" t="s">
        <v>45</v>
      </c>
      <c r="I87" s="56" t="s">
        <v>180</v>
      </c>
    </row>
    <row r="88" customFormat="true" ht="13" x14ac:dyDescent="0.15"/>
    <row r="89" customFormat="true" ht="13" x14ac:dyDescent="0.15"/>
    <row r="90" customFormat="true" ht="13" x14ac:dyDescent="0.15"/>
    <row r="91" customFormat="true" ht="13" x14ac:dyDescent="0.15"/>
    <row r="92" customFormat="true" ht="13" x14ac:dyDescent="0.15"/>
    <row r="93" customFormat="true" ht="13" x14ac:dyDescent="0.15"/>
    <row r="94" customFormat="true" ht="13" x14ac:dyDescent="0.15"/>
    <row r="95" customFormat="true" ht="13" x14ac:dyDescent="0.15"/>
    <row r="96" customFormat="true" ht="13" x14ac:dyDescent="0.15"/>
    <row r="97" ht="13" x14ac:dyDescent="0.15">
      <c r="C97"/>
      <c r="D97"/>
      <c r="E97"/>
      <c r="F97"/>
      <c r="G97"/>
      <c r="H97"/>
      <c r="I97"/>
    </row>
    <row r="98" ht="13" x14ac:dyDescent="0.15">
      <c r="C98"/>
      <c r="D98"/>
      <c r="E98"/>
      <c r="F98"/>
      <c r="G98"/>
      <c r="H98"/>
      <c r="I98"/>
    </row>
    <row r="99" ht="13" x14ac:dyDescent="0.15">
      <c r="C99"/>
      <c r="D99"/>
      <c r="E99"/>
      <c r="F99"/>
      <c r="G99"/>
      <c r="H99"/>
      <c r="I99"/>
    </row>
    <row r="100" ht="13" x14ac:dyDescent="0.15">
      <c r="C100"/>
      <c r="D100"/>
      <c r="E100"/>
      <c r="F100"/>
      <c r="G100"/>
      <c r="H100"/>
      <c r="I100"/>
    </row>
    <row r="101" ht="13" x14ac:dyDescent="0.15">
      <c r="C101"/>
      <c r="D101"/>
      <c r="E101"/>
      <c r="F101"/>
      <c r="G101"/>
      <c r="H101"/>
      <c r="I101"/>
    </row>
    <row r="102" ht="13" x14ac:dyDescent="0.15">
      <c r="C102"/>
      <c r="D102"/>
      <c r="E102"/>
      <c r="F102"/>
      <c r="G102"/>
      <c r="H102"/>
      <c r="I102"/>
    </row>
    <row r="103" ht="13" x14ac:dyDescent="0.15">
      <c r="C103"/>
      <c r="D103"/>
      <c r="E103"/>
      <c r="F103"/>
      <c r="G103"/>
      <c r="H103"/>
      <c r="I103"/>
    </row>
    <row r="104" ht="13" x14ac:dyDescent="0.15">
      <c r="C104"/>
      <c r="D104"/>
      <c r="E104"/>
      <c r="F104"/>
      <c r="G104"/>
      <c r="H104"/>
      <c r="I104"/>
    </row>
    <row r="105" ht="13" x14ac:dyDescent="0.15">
      <c r="C105"/>
      <c r="D105"/>
      <c r="E105"/>
      <c r="F105"/>
      <c r="G105"/>
      <c r="H105"/>
      <c r="I105"/>
    </row>
    <row r="106" ht="13" x14ac:dyDescent="0.15">
      <c r="C106"/>
      <c r="D106"/>
      <c r="E106"/>
      <c r="F106"/>
      <c r="G106"/>
      <c r="H106"/>
      <c r="I106"/>
    </row>
    <row r="107" ht="13" x14ac:dyDescent="0.15">
      <c r="C107"/>
      <c r="D107"/>
      <c r="E107"/>
      <c r="F107"/>
      <c r="G107"/>
      <c r="H107"/>
      <c r="I107"/>
    </row>
    <row r="108" ht="13" x14ac:dyDescent="0.15">
      <c r="C108"/>
      <c r="D108"/>
      <c r="E108"/>
      <c r="F108"/>
      <c r="G108"/>
      <c r="H108"/>
      <c r="I108"/>
    </row>
    <row r="109" ht="13" x14ac:dyDescent="0.15">
      <c r="C109"/>
      <c r="D109"/>
      <c r="E109"/>
      <c r="F109"/>
      <c r="G109"/>
      <c r="H109"/>
      <c r="I109"/>
    </row>
    <row r="110" ht="13" x14ac:dyDescent="0.15">
      <c r="C110"/>
      <c r="D110"/>
      <c r="E110"/>
      <c r="F110"/>
      <c r="G110"/>
      <c r="H110"/>
      <c r="I110"/>
    </row>
    <row r="111" ht="13" x14ac:dyDescent="0.15">
      <c r="C111"/>
      <c r="D111"/>
      <c r="E111"/>
      <c r="F111"/>
      <c r="G111"/>
      <c r="H111"/>
      <c r="I111"/>
    </row>
    <row r="112" ht="13" x14ac:dyDescent="0.15">
      <c r="C112"/>
      <c r="D112"/>
      <c r="E112"/>
      <c r="F112"/>
      <c r="G112"/>
      <c r="H112"/>
      <c r="I112"/>
    </row>
    <row r="113" ht="13" x14ac:dyDescent="0.15">
      <c r="C113"/>
      <c r="D113"/>
      <c r="E113"/>
      <c r="F113"/>
      <c r="G113"/>
      <c r="H113"/>
      <c r="I113"/>
    </row>
    <row r="114" ht="13" x14ac:dyDescent="0.15">
      <c r="C114"/>
      <c r="D114"/>
      <c r="E114"/>
      <c r="F114"/>
      <c r="G114"/>
      <c r="H114"/>
      <c r="I114"/>
    </row>
    <row r="115" ht="13" x14ac:dyDescent="0.15">
      <c r="C115"/>
      <c r="D115"/>
      <c r="E115"/>
      <c r="F115"/>
      <c r="G115"/>
      <c r="H115"/>
      <c r="I115"/>
    </row>
    <row r="116" ht="13" x14ac:dyDescent="0.15">
      <c r="C116"/>
      <c r="D116"/>
      <c r="E116"/>
      <c r="F116"/>
      <c r="G116"/>
      <c r="H116"/>
      <c r="I116"/>
    </row>
    <row r="117" ht="13" x14ac:dyDescent="0.15">
      <c r="C117"/>
      <c r="D117"/>
      <c r="E117"/>
      <c r="F117"/>
      <c r="G117"/>
      <c r="H117"/>
      <c r="I117"/>
    </row>
    <row r="118" ht="13" x14ac:dyDescent="0.15">
      <c r="C118"/>
      <c r="D118"/>
      <c r="E118"/>
      <c r="F118"/>
      <c r="G118"/>
      <c r="H118"/>
      <c r="I118"/>
    </row>
    <row r="119" ht="13" x14ac:dyDescent="0.15">
      <c r="C119"/>
      <c r="D119"/>
      <c r="E119"/>
      <c r="F119"/>
      <c r="G119"/>
      <c r="H119"/>
      <c r="I119"/>
    </row>
    <row r="120" ht="13" x14ac:dyDescent="0.15">
      <c r="C120"/>
      <c r="D120"/>
      <c r="E120"/>
      <c r="F120"/>
      <c r="G120"/>
      <c r="H120"/>
      <c r="I120"/>
    </row>
    <row r="121" ht="13" x14ac:dyDescent="0.15">
      <c r="C121"/>
      <c r="D121"/>
      <c r="E121"/>
      <c r="F121"/>
      <c r="G121"/>
      <c r="H121"/>
      <c r="I121"/>
    </row>
    <row r="122" ht="13" x14ac:dyDescent="0.15">
      <c r="C122"/>
      <c r="D122"/>
      <c r="E122"/>
      <c r="F122"/>
      <c r="G122"/>
      <c r="H122"/>
      <c r="I122"/>
    </row>
    <row r="123" ht="13" x14ac:dyDescent="0.15">
      <c r="C123"/>
      <c r="D123"/>
      <c r="E123"/>
      <c r="F123"/>
      <c r="G123"/>
      <c r="H123"/>
      <c r="I123"/>
    </row>
    <row r="124" ht="13" x14ac:dyDescent="0.15">
      <c r="C124"/>
      <c r="D124"/>
      <c r="E124"/>
      <c r="F124"/>
      <c r="G124"/>
      <c r="H124"/>
      <c r="I124"/>
    </row>
    <row r="125" ht="13" x14ac:dyDescent="0.15">
      <c r="C125"/>
      <c r="D125"/>
      <c r="E125"/>
      <c r="F125"/>
      <c r="G125"/>
      <c r="H125"/>
      <c r="I125"/>
    </row>
    <row r="126" ht="13" x14ac:dyDescent="0.15">
      <c r="C126"/>
      <c r="D126"/>
      <c r="E126"/>
      <c r="F126"/>
      <c r="G126"/>
      <c r="H126"/>
      <c r="I126"/>
    </row>
    <row r="127" ht="13" x14ac:dyDescent="0.15">
      <c r="C127"/>
      <c r="D127"/>
      <c r="E127"/>
      <c r="F127"/>
      <c r="G127"/>
      <c r="H127"/>
      <c r="I127"/>
    </row>
    <row r="128" ht="13" x14ac:dyDescent="0.15">
      <c r="C128"/>
      <c r="D128"/>
      <c r="E128"/>
      <c r="F128"/>
      <c r="G128"/>
      <c r="H128"/>
      <c r="I128"/>
    </row>
    <row r="129" ht="13" x14ac:dyDescent="0.15">
      <c r="C129"/>
      <c r="D129"/>
      <c r="E129"/>
      <c r="F129"/>
      <c r="G129"/>
      <c r="H129"/>
      <c r="I129"/>
    </row>
    <row r="130" ht="13" x14ac:dyDescent="0.15">
      <c r="C130"/>
      <c r="D130"/>
      <c r="E130"/>
      <c r="F130"/>
      <c r="G130"/>
      <c r="H130"/>
      <c r="I130"/>
    </row>
    <row r="131" ht="13" x14ac:dyDescent="0.15">
      <c r="C131"/>
      <c r="D131"/>
      <c r="E131"/>
      <c r="F131"/>
      <c r="G131"/>
      <c r="H131"/>
      <c r="I131"/>
    </row>
    <row r="132" ht="13" x14ac:dyDescent="0.15">
      <c r="C132"/>
      <c r="D132"/>
      <c r="E132"/>
      <c r="F132"/>
      <c r="G132"/>
      <c r="H132"/>
      <c r="I132"/>
    </row>
    <row r="133" ht="13" x14ac:dyDescent="0.15">
      <c r="C133"/>
      <c r="D133"/>
      <c r="E133"/>
      <c r="F133"/>
      <c r="G133"/>
      <c r="H133"/>
      <c r="I133"/>
    </row>
    <row r="134" ht="13" x14ac:dyDescent="0.15">
      <c r="C134"/>
      <c r="D134"/>
      <c r="E134"/>
      <c r="F134"/>
      <c r="G134"/>
      <c r="H134"/>
      <c r="I134"/>
    </row>
    <row r="135" ht="13" x14ac:dyDescent="0.15">
      <c r="C135"/>
      <c r="D135"/>
      <c r="E135"/>
      <c r="F135"/>
      <c r="G135"/>
      <c r="H135"/>
      <c r="I135"/>
    </row>
    <row r="136" ht="13" x14ac:dyDescent="0.15">
      <c r="C136"/>
      <c r="D136"/>
      <c r="E136"/>
      <c r="F136"/>
      <c r="G136"/>
      <c r="H136"/>
      <c r="I136"/>
    </row>
    <row r="137" ht="13" x14ac:dyDescent="0.15">
      <c r="C137"/>
      <c r="D137"/>
      <c r="E137"/>
      <c r="F137"/>
      <c r="G137"/>
      <c r="H137"/>
      <c r="I137"/>
    </row>
    <row r="138" ht="13" x14ac:dyDescent="0.15">
      <c r="C138"/>
      <c r="D138"/>
      <c r="E138"/>
      <c r="F138"/>
      <c r="G138"/>
      <c r="H138"/>
      <c r="I138"/>
    </row>
    <row r="139" ht="13" x14ac:dyDescent="0.15">
      <c r="C139"/>
      <c r="D139"/>
      <c r="E139"/>
      <c r="F139"/>
      <c r="G139"/>
      <c r="H139"/>
      <c r="I139"/>
    </row>
    <row r="140" ht="13" x14ac:dyDescent="0.15">
      <c r="C140"/>
      <c r="D140"/>
      <c r="E140"/>
      <c r="F140"/>
      <c r="G140"/>
      <c r="H140"/>
      <c r="I140"/>
    </row>
    <row r="141" ht="13" x14ac:dyDescent="0.15">
      <c r="C141"/>
      <c r="D141"/>
      <c r="E141"/>
      <c r="F141"/>
      <c r="G141"/>
      <c r="H141"/>
      <c r="I141"/>
    </row>
    <row r="142" ht="13" x14ac:dyDescent="0.15">
      <c r="C142"/>
      <c r="D142"/>
      <c r="E142"/>
      <c r="F142"/>
      <c r="G142"/>
      <c r="H142"/>
      <c r="I142"/>
    </row>
    <row r="143" ht="13" x14ac:dyDescent="0.15">
      <c r="C143"/>
      <c r="D143"/>
      <c r="E143"/>
      <c r="F143"/>
      <c r="G143"/>
      <c r="H143"/>
      <c r="I143"/>
    </row>
    <row r="144" ht="13" x14ac:dyDescent="0.15">
      <c r="C144"/>
      <c r="D144"/>
      <c r="E144"/>
      <c r="F144"/>
      <c r="G144"/>
      <c r="H144"/>
      <c r="I144"/>
    </row>
    <row r="145" ht="13" x14ac:dyDescent="0.15">
      <c r="C145"/>
      <c r="D145"/>
      <c r="E145"/>
      <c r="F145"/>
      <c r="G145"/>
      <c r="H145"/>
      <c r="I145"/>
    </row>
    <row r="146" ht="13" x14ac:dyDescent="0.15">
      <c r="C146"/>
      <c r="D146"/>
      <c r="E146"/>
      <c r="F146"/>
      <c r="G146"/>
      <c r="H146"/>
      <c r="I146"/>
    </row>
    <row r="147" ht="13" x14ac:dyDescent="0.15">
      <c r="C147"/>
      <c r="D147"/>
      <c r="E147"/>
      <c r="F147"/>
      <c r="G147"/>
      <c r="H147"/>
      <c r="I147"/>
    </row>
    <row r="148" ht="13" x14ac:dyDescent="0.15">
      <c r="C148"/>
      <c r="D148"/>
      <c r="E148"/>
      <c r="F148"/>
      <c r="G148"/>
      <c r="H148"/>
      <c r="I148"/>
    </row>
    <row r="149" ht="13" x14ac:dyDescent="0.15">
      <c r="C149"/>
      <c r="D149"/>
      <c r="E149"/>
      <c r="F149"/>
      <c r="G149"/>
      <c r="H149"/>
      <c r="I149"/>
    </row>
    <row r="150" ht="13" x14ac:dyDescent="0.15">
      <c r="C150"/>
      <c r="D150"/>
      <c r="E150"/>
      <c r="F150"/>
      <c r="G150"/>
      <c r="H150"/>
      <c r="I150"/>
    </row>
    <row r="151" ht="13" x14ac:dyDescent="0.15">
      <c r="C151"/>
      <c r="D151"/>
      <c r="E151"/>
      <c r="F151"/>
      <c r="G151"/>
      <c r="H151"/>
      <c r="I151"/>
    </row>
    <row r="152" ht="13" x14ac:dyDescent="0.15">
      <c r="C152"/>
      <c r="D152"/>
      <c r="E152"/>
      <c r="F152"/>
      <c r="G152"/>
      <c r="H152"/>
      <c r="I152"/>
    </row>
    <row r="153" ht="13" x14ac:dyDescent="0.15">
      <c r="C153"/>
      <c r="D153"/>
      <c r="E153"/>
      <c r="F153"/>
      <c r="G153"/>
      <c r="H153"/>
      <c r="I153"/>
    </row>
    <row r="154" ht="13" x14ac:dyDescent="0.15">
      <c r="C154"/>
      <c r="D154"/>
      <c r="E154"/>
      <c r="F154"/>
      <c r="G154"/>
      <c r="H154"/>
      <c r="I154"/>
    </row>
    <row r="155" ht="13" x14ac:dyDescent="0.15">
      <c r="C155"/>
      <c r="D155"/>
      <c r="E155"/>
      <c r="F155"/>
      <c r="G155"/>
      <c r="H155"/>
      <c r="I155"/>
    </row>
    <row r="156" ht="13" x14ac:dyDescent="0.15">
      <c r="C156"/>
      <c r="D156"/>
      <c r="E156"/>
      <c r="F156"/>
      <c r="G156"/>
      <c r="H156"/>
      <c r="I156"/>
    </row>
    <row r="157" ht="13" x14ac:dyDescent="0.15">
      <c r="C157"/>
      <c r="D157"/>
      <c r="E157"/>
      <c r="F157"/>
      <c r="G157"/>
      <c r="H157"/>
      <c r="I157"/>
    </row>
    <row r="158" ht="13" x14ac:dyDescent="0.15">
      <c r="C158"/>
      <c r="D158"/>
      <c r="E158"/>
      <c r="F158"/>
      <c r="G158"/>
      <c r="H158"/>
      <c r="I158"/>
    </row>
    <row r="159" ht="13" x14ac:dyDescent="0.15">
      <c r="C159"/>
      <c r="D159"/>
      <c r="E159"/>
      <c r="F159"/>
      <c r="G159"/>
      <c r="H159"/>
      <c r="I159"/>
    </row>
    <row r="160" ht="13" x14ac:dyDescent="0.15">
      <c r="C160"/>
      <c r="D160"/>
      <c r="E160"/>
      <c r="F160"/>
      <c r="G160"/>
      <c r="H160"/>
      <c r="I160"/>
    </row>
    <row r="161" ht="13" x14ac:dyDescent="0.15">
      <c r="C161"/>
      <c r="D161"/>
      <c r="E161"/>
      <c r="F161"/>
      <c r="G161"/>
      <c r="H161"/>
      <c r="I161"/>
    </row>
    <row r="162" ht="13" x14ac:dyDescent="0.15">
      <c r="C162"/>
      <c r="D162"/>
      <c r="E162"/>
      <c r="F162"/>
      <c r="G162"/>
      <c r="H162"/>
      <c r="I162"/>
    </row>
    <row r="163" ht="13" x14ac:dyDescent="0.15">
      <c r="C163"/>
      <c r="D163"/>
      <c r="E163"/>
      <c r="F163"/>
      <c r="G163"/>
      <c r="H163"/>
      <c r="I163"/>
    </row>
    <row r="164" ht="13" x14ac:dyDescent="0.15">
      <c r="C164"/>
      <c r="D164"/>
      <c r="E164"/>
      <c r="F164"/>
      <c r="G164"/>
      <c r="H164"/>
      <c r="I164"/>
    </row>
    <row r="165" ht="13" x14ac:dyDescent="0.15">
      <c r="C165"/>
      <c r="D165"/>
      <c r="E165"/>
      <c r="F165"/>
      <c r="G165"/>
      <c r="H165"/>
      <c r="I165"/>
    </row>
    <row r="166" ht="13" x14ac:dyDescent="0.15">
      <c r="C166"/>
      <c r="D166"/>
      <c r="E166"/>
      <c r="F166"/>
      <c r="G166"/>
      <c r="H166"/>
      <c r="I166"/>
    </row>
    <row r="167" ht="13" x14ac:dyDescent="0.15">
      <c r="C167"/>
      <c r="D167"/>
      <c r="E167"/>
      <c r="F167"/>
      <c r="G167"/>
      <c r="H167"/>
      <c r="I167"/>
    </row>
    <row r="168" ht="13" x14ac:dyDescent="0.15">
      <c r="C168"/>
      <c r="D168"/>
      <c r="E168"/>
      <c r="F168"/>
      <c r="G168"/>
      <c r="H168"/>
      <c r="I168"/>
    </row>
    <row r="169" ht="13" x14ac:dyDescent="0.15">
      <c r="C169"/>
      <c r="D169"/>
      <c r="E169"/>
      <c r="F169"/>
      <c r="G169"/>
      <c r="H169"/>
      <c r="I169"/>
    </row>
    <row r="170" ht="13" x14ac:dyDescent="0.15">
      <c r="C170"/>
      <c r="D170"/>
      <c r="E170"/>
      <c r="F170"/>
      <c r="G170"/>
      <c r="H170"/>
      <c r="I170"/>
    </row>
    <row r="171" ht="13" x14ac:dyDescent="0.15">
      <c r="C171"/>
      <c r="D171"/>
      <c r="E171"/>
      <c r="F171"/>
      <c r="G171"/>
      <c r="H171"/>
      <c r="I171"/>
    </row>
    <row r="172" ht="13" x14ac:dyDescent="0.15">
      <c r="C172"/>
      <c r="D172"/>
      <c r="E172"/>
      <c r="F172"/>
      <c r="G172"/>
      <c r="H172"/>
      <c r="I172"/>
    </row>
    <row r="173" ht="13" x14ac:dyDescent="0.15">
      <c r="C173"/>
      <c r="D173"/>
      <c r="E173"/>
      <c r="F173"/>
      <c r="G173"/>
      <c r="H173"/>
      <c r="I173"/>
    </row>
    <row r="174" ht="13" x14ac:dyDescent="0.15">
      <c r="C174"/>
      <c r="D174"/>
      <c r="E174"/>
      <c r="F174"/>
      <c r="G174"/>
      <c r="H174"/>
      <c r="I174"/>
    </row>
    <row r="175" ht="13" x14ac:dyDescent="0.15">
      <c r="C175"/>
      <c r="D175"/>
      <c r="E175"/>
      <c r="F175"/>
      <c r="G175"/>
      <c r="H175"/>
      <c r="I175"/>
    </row>
    <row r="176" ht="13" x14ac:dyDescent="0.15">
      <c r="C176"/>
      <c r="D176"/>
      <c r="E176"/>
      <c r="F176"/>
      <c r="G176"/>
      <c r="H176"/>
      <c r="I176"/>
    </row>
    <row r="177" ht="13" x14ac:dyDescent="0.15">
      <c r="C177"/>
      <c r="D177"/>
      <c r="E177"/>
      <c r="F177"/>
      <c r="G177"/>
      <c r="H177"/>
      <c r="I177"/>
    </row>
    <row r="178" ht="13" x14ac:dyDescent="0.15">
      <c r="C178"/>
      <c r="D178"/>
      <c r="E178"/>
      <c r="F178"/>
      <c r="G178"/>
      <c r="H178"/>
      <c r="I178"/>
    </row>
    <row r="179" ht="13" x14ac:dyDescent="0.15">
      <c r="C179"/>
      <c r="D179"/>
      <c r="E179"/>
      <c r="F179"/>
      <c r="G179"/>
      <c r="H179"/>
      <c r="I179"/>
    </row>
    <row r="180" ht="13" x14ac:dyDescent="0.15">
      <c r="C180"/>
      <c r="D180"/>
      <c r="E180"/>
      <c r="F180"/>
      <c r="G180"/>
      <c r="H180"/>
      <c r="I180"/>
    </row>
    <row r="181" ht="13" x14ac:dyDescent="0.15">
      <c r="C181"/>
      <c r="D181"/>
      <c r="E181"/>
      <c r="F181"/>
      <c r="G181"/>
      <c r="H181"/>
      <c r="I181"/>
    </row>
    <row r="182" ht="13" x14ac:dyDescent="0.15">
      <c r="C182"/>
      <c r="D182"/>
      <c r="E182"/>
      <c r="F182"/>
      <c r="G182"/>
      <c r="H182"/>
      <c r="I182"/>
    </row>
    <row r="183" ht="13" x14ac:dyDescent="0.15">
      <c r="C183"/>
      <c r="D183"/>
      <c r="E183"/>
      <c r="F183"/>
      <c r="G183"/>
      <c r="H183"/>
      <c r="I183"/>
    </row>
    <row r="184" ht="13" x14ac:dyDescent="0.15">
      <c r="C184"/>
      <c r="D184"/>
      <c r="E184"/>
      <c r="F184"/>
      <c r="G184"/>
      <c r="H184"/>
      <c r="I184"/>
    </row>
    <row r="185" ht="13" x14ac:dyDescent="0.15">
      <c r="C185"/>
      <c r="D185"/>
      <c r="E185"/>
      <c r="F185"/>
      <c r="G185"/>
      <c r="H185"/>
      <c r="I185"/>
    </row>
    <row r="186" ht="13" x14ac:dyDescent="0.15">
      <c r="C186"/>
      <c r="D186"/>
      <c r="E186"/>
      <c r="F186"/>
      <c r="G186"/>
      <c r="H186"/>
      <c r="I186"/>
    </row>
    <row r="187" ht="13" x14ac:dyDescent="0.15">
      <c r="C187"/>
      <c r="D187"/>
      <c r="E187"/>
      <c r="F187"/>
      <c r="G187"/>
      <c r="H187"/>
      <c r="I187"/>
    </row>
    <row r="188" ht="13" x14ac:dyDescent="0.15">
      <c r="C188"/>
      <c r="D188"/>
      <c r="E188"/>
      <c r="F188"/>
      <c r="G188"/>
      <c r="H188"/>
      <c r="I188"/>
    </row>
    <row r="189" ht="13" x14ac:dyDescent="0.15">
      <c r="C189"/>
      <c r="D189"/>
      <c r="E189"/>
      <c r="F189"/>
      <c r="G189"/>
      <c r="H189"/>
      <c r="I189"/>
    </row>
    <row r="190" ht="13" x14ac:dyDescent="0.15">
      <c r="C190"/>
      <c r="D190"/>
      <c r="E190"/>
      <c r="F190"/>
      <c r="G190"/>
      <c r="H190"/>
      <c r="I190"/>
    </row>
    <row r="191" ht="13" x14ac:dyDescent="0.15">
      <c r="C191"/>
      <c r="D191"/>
      <c r="E191"/>
      <c r="F191"/>
      <c r="G191"/>
      <c r="H191"/>
      <c r="I191"/>
    </row>
    <row r="192" ht="13" x14ac:dyDescent="0.15">
      <c r="C192"/>
      <c r="D192"/>
      <c r="E192"/>
      <c r="F192"/>
      <c r="G192"/>
      <c r="H192"/>
      <c r="I192"/>
    </row>
    <row r="193" ht="13" x14ac:dyDescent="0.15">
      <c r="C193"/>
      <c r="D193"/>
      <c r="E193"/>
      <c r="F193"/>
      <c r="G193"/>
      <c r="H193"/>
      <c r="I193"/>
    </row>
    <row r="194" ht="13" x14ac:dyDescent="0.15">
      <c r="C194"/>
      <c r="D194"/>
      <c r="E194"/>
      <c r="F194"/>
      <c r="G194"/>
      <c r="H194"/>
      <c r="I194"/>
    </row>
    <row r="195" ht="13" x14ac:dyDescent="0.15">
      <c r="C195"/>
      <c r="D195"/>
      <c r="E195"/>
      <c r="F195"/>
      <c r="G195"/>
      <c r="H195"/>
      <c r="I195"/>
    </row>
    <row r="196" ht="13" x14ac:dyDescent="0.15">
      <c r="C196"/>
      <c r="D196"/>
      <c r="E196"/>
      <c r="F196"/>
      <c r="G196"/>
      <c r="H196"/>
      <c r="I196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true" zoomScale="115" workbookViewId="0">
      <pane ySplit="2" topLeftCell="A3" activePane="bottomLeft" state="frozen"/>
      <selection pane="bottomLeft" activeCell="D3" sqref="D3"/>
    </sheetView>
  </sheetViews>
  <sheetFormatPr baseColWidth="10" defaultColWidth="11.5" defaultRowHeight="15" customHeight="true" x14ac:dyDescent="0.2"/>
  <cols>
    <col min="1" max="1" width="26.1640625" style="107" bestFit="true" customWidth="true"/>
    <col min="2" max="5" width="16.1640625" style="77" customWidth="true"/>
    <col min="6" max="6" width="45.6640625" style="77" bestFit="true" customWidth="true"/>
    <col min="7" max="9" width="11.5" style="77"/>
    <col min="10" max="10" width="12.1640625" style="77" bestFit="true" customWidth="true"/>
    <col min="11" max="11" width="11.5" style="137"/>
    <col min="12" max="12" width="11.5" style="131"/>
    <col min="13" max="13" width="11.5" style="137"/>
    <col min="14" max="14" width="11.5" style="131"/>
    <col min="15" max="15" width="11.5" style="137"/>
    <col min="16" max="16" width="11.5" style="134"/>
    <col min="17" max="17" width="14.83203125" style="77" customWidth="true"/>
    <col min="18" max="18" width="22.1640625" style="104" customWidth="true"/>
    <col min="19" max="16384" width="11.5" style="77"/>
  </cols>
  <sheetData>
    <row r="1" ht="15" customHeight="true" thickBot="true" x14ac:dyDescent="0.25">
      <c r="F1" s="92"/>
      <c r="G1" s="105" t="s">
        <v>46</v>
      </c>
      <c r="H1" s="105" t="s">
        <v>47</v>
      </c>
      <c r="I1" s="105" t="s">
        <v>121</v>
      </c>
      <c r="J1" s="105" t="s">
        <v>133</v>
      </c>
      <c r="K1" s="135" t="s">
        <v>48</v>
      </c>
      <c r="L1" s="129"/>
      <c r="M1" s="135" t="s">
        <v>120</v>
      </c>
      <c r="N1" s="129"/>
      <c r="O1" s="135" t="s">
        <v>49</v>
      </c>
      <c r="P1" s="132"/>
      <c r="Q1" s="108" t="s">
        <v>50</v>
      </c>
      <c r="R1" s="105" t="s">
        <v>156</v>
      </c>
    </row>
    <row r="2" ht="15" customHeight="true" x14ac:dyDescent="0.2">
      <c r="A2" s="108" t="s">
        <v>51</v>
      </c>
      <c r="B2" s="109">
        <v>0</v>
      </c>
      <c r="C2" s="107" t="s">
        <v>52</v>
      </c>
      <c r="D2" s="110"/>
      <c r="F2" s="92"/>
      <c r="G2" s="111"/>
      <c r="H2" s="111"/>
      <c r="I2" s="111" t="s">
        <v>134</v>
      </c>
      <c r="J2" s="111" t="s">
        <v>134</v>
      </c>
      <c r="K2" s="136" t="s">
        <v>52</v>
      </c>
      <c r="L2" s="130" t="s">
        <v>53</v>
      </c>
      <c r="M2" s="136" t="s">
        <v>52</v>
      </c>
      <c r="N2" s="130" t="s">
        <v>53</v>
      </c>
      <c r="O2" s="136" t="s">
        <v>52</v>
      </c>
      <c r="P2" s="133" t="s">
        <v>53</v>
      </c>
      <c r="Q2" s="111"/>
      <c r="R2" s="112" t="s">
        <v>157</v>
      </c>
    </row>
    <row r="3" ht="15" customHeight="true" thickBot="true" x14ac:dyDescent="0.25">
      <c r="A3" s="108" t="s">
        <v>54</v>
      </c>
      <c r="B3" s="113">
        <v>0</v>
      </c>
      <c r="C3" s="107" t="s">
        <v>53</v>
      </c>
      <c r="D3" s="110"/>
      <c r="F3" s="155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/>
      <c r="T3"/>
    </row>
    <row r="4" ht="15" customHeight="true" thickBot="true" x14ac:dyDescent="0.25">
      <c r="F4" s="155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/>
      <c r="T4"/>
    </row>
    <row r="5" ht="15" customHeight="true" x14ac:dyDescent="0.2">
      <c r="A5" s="108" t="s">
        <v>55</v>
      </c>
      <c r="B5" s="114">
        <v>0.5</v>
      </c>
      <c r="C5" s="107" t="s">
        <v>52</v>
      </c>
      <c r="D5" s="110"/>
      <c r="F5" s="15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/>
      <c r="T5"/>
    </row>
    <row r="6" ht="15" customHeight="true" thickBot="true" x14ac:dyDescent="0.25">
      <c r="A6" s="108"/>
      <c r="B6" s="115">
        <v>0.5</v>
      </c>
      <c r="C6" s="107" t="s">
        <v>53</v>
      </c>
      <c r="D6" s="110"/>
      <c r="F6" s="155" t="s">
        <v>181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/>
      <c r="T6"/>
    </row>
    <row r="7" ht="15" customHeight="true" thickBot="true" x14ac:dyDescent="0.25">
      <c r="F7" s="155" t="s">
        <v>182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1</v>
      </c>
      <c r="O7">
        <v>1</v>
      </c>
      <c r="P7">
        <v>0</v>
      </c>
      <c r="Q7">
        <v>0</v>
      </c>
      <c r="R7">
        <v>1</v>
      </c>
      <c r="S7"/>
      <c r="T7"/>
    </row>
    <row r="8" ht="15" customHeight="true" x14ac:dyDescent="0.2">
      <c r="A8" s="108" t="s">
        <v>56</v>
      </c>
      <c r="B8" s="114">
        <f>E32</f>
        <v>1</v>
      </c>
      <c r="C8" s="103" t="str">
        <f>A32</f>
        <v>Phytoplankton</v>
      </c>
      <c r="D8" s="110" t="s">
        <v>163</v>
      </c>
      <c r="F8" s="155" t="s">
        <v>183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1</v>
      </c>
      <c r="O8">
        <v>1</v>
      </c>
      <c r="P8">
        <v>0</v>
      </c>
      <c r="Q8">
        <v>0</v>
      </c>
      <c r="R8">
        <v>1</v>
      </c>
      <c r="S8"/>
      <c r="T8"/>
    </row>
    <row r="9" ht="15" customHeight="true" x14ac:dyDescent="0.2">
      <c r="A9" s="116" t="s">
        <v>171</v>
      </c>
      <c r="B9" s="117"/>
      <c r="C9"/>
      <c r="D9" s="110" t="s">
        <v>163</v>
      </c>
      <c r="F9" s="155" t="s">
        <v>184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1</v>
      </c>
      <c r="P9">
        <v>0</v>
      </c>
      <c r="Q9">
        <v>0</v>
      </c>
      <c r="R9">
        <v>1</v>
      </c>
      <c r="S9"/>
      <c r="T9"/>
    </row>
    <row r="10" ht="15" customHeight="true" x14ac:dyDescent="0.2">
      <c r="B10" s="117"/>
      <c r="C10"/>
      <c r="D10" s="110" t="s">
        <v>163</v>
      </c>
      <c r="F10" s="155" t="s">
        <v>185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1</v>
      </c>
      <c r="O10">
        <v>0</v>
      </c>
      <c r="P10">
        <v>1</v>
      </c>
      <c r="Q10">
        <v>0</v>
      </c>
      <c r="R10">
        <v>1</v>
      </c>
      <c r="S10"/>
      <c r="T10"/>
    </row>
    <row r="11" ht="15" customHeight="true" x14ac:dyDescent="0.2">
      <c r="A11" s="108"/>
      <c r="B11" s="117"/>
      <c r="C11"/>
      <c r="D11" s="110" t="s">
        <v>163</v>
      </c>
      <c r="F11" s="155" t="s">
        <v>186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1</v>
      </c>
      <c r="O11">
        <v>0.5</v>
      </c>
      <c r="P11">
        <v>0.5</v>
      </c>
      <c r="Q11">
        <v>0</v>
      </c>
      <c r="R11">
        <v>1</v>
      </c>
      <c r="S11"/>
      <c r="T11"/>
    </row>
    <row r="12" ht="15" customHeight="true" x14ac:dyDescent="0.2">
      <c r="B12" s="117"/>
      <c r="C12"/>
      <c r="D12" s="110" t="s">
        <v>163</v>
      </c>
      <c r="F12" s="155" t="s">
        <v>187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1</v>
      </c>
      <c r="P12">
        <v>0</v>
      </c>
      <c r="Q12">
        <v>0</v>
      </c>
      <c r="R12">
        <v>1</v>
      </c>
      <c r="S12"/>
      <c r="T12"/>
    </row>
    <row r="13" ht="15" customHeight="true" x14ac:dyDescent="0.2">
      <c r="B13" s="117"/>
      <c r="C13"/>
      <c r="D13" s="110" t="s">
        <v>163</v>
      </c>
      <c r="F13" s="155" t="s">
        <v>188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1</v>
      </c>
      <c r="O13">
        <v>0</v>
      </c>
      <c r="P13">
        <v>1</v>
      </c>
      <c r="Q13">
        <v>0</v>
      </c>
      <c r="R13">
        <v>1</v>
      </c>
      <c r="S13"/>
      <c r="T13"/>
    </row>
    <row r="14" ht="15" customHeight="true" x14ac:dyDescent="0.2">
      <c r="B14" s="117"/>
      <c r="C14"/>
      <c r="D14" s="110" t="s">
        <v>163</v>
      </c>
      <c r="F14" s="155" t="s">
        <v>189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1</v>
      </c>
      <c r="O14">
        <v>0</v>
      </c>
      <c r="P14">
        <v>1</v>
      </c>
      <c r="Q14">
        <v>0</v>
      </c>
      <c r="R14">
        <v>1</v>
      </c>
      <c r="S14"/>
      <c r="T14"/>
    </row>
    <row r="15" ht="15" customHeight="true" x14ac:dyDescent="0.2">
      <c r="B15" s="117"/>
      <c r="C15"/>
      <c r="D15" s="110" t="s">
        <v>163</v>
      </c>
      <c r="F15" s="155" t="s">
        <v>190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0.25</v>
      </c>
      <c r="P15">
        <v>0.75</v>
      </c>
      <c r="Q15">
        <v>0</v>
      </c>
      <c r="R15">
        <v>1</v>
      </c>
      <c r="S15"/>
      <c r="T15"/>
    </row>
    <row r="16" ht="15" customHeight="true" x14ac:dyDescent="0.2">
      <c r="B16" s="117"/>
      <c r="C16"/>
      <c r="D16" s="110" t="s">
        <v>163</v>
      </c>
      <c r="F16" s="155" t="s">
        <v>191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1</v>
      </c>
      <c r="O16">
        <v>0</v>
      </c>
      <c r="P16">
        <v>1</v>
      </c>
      <c r="Q16">
        <v>0</v>
      </c>
      <c r="R16">
        <v>1</v>
      </c>
      <c r="S16"/>
      <c r="T16"/>
    </row>
    <row r="17" ht="15" customHeight="true" thickBot="true" x14ac:dyDescent="0.25">
      <c r="B17" s="115"/>
      <c r="C17"/>
      <c r="D17" s="110" t="s">
        <v>163</v>
      </c>
      <c r="F17" s="155" t="s">
        <v>192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0.25</v>
      </c>
      <c r="P17">
        <v>0.75</v>
      </c>
      <c r="Q17">
        <v>0</v>
      </c>
      <c r="R17">
        <v>1</v>
      </c>
      <c r="S17"/>
      <c r="T17"/>
    </row>
    <row r="18" ht="15" customHeight="true" thickBot="true" x14ac:dyDescent="0.25">
      <c r="B18" s="106"/>
      <c r="F18" s="155" t="s">
        <v>193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0.5</v>
      </c>
      <c r="P18">
        <v>0.5</v>
      </c>
      <c r="Q18">
        <v>0</v>
      </c>
      <c r="R18">
        <v>1</v>
      </c>
      <c r="S18"/>
      <c r="T18"/>
    </row>
    <row r="19" ht="15" customHeight="true" x14ac:dyDescent="0.2">
      <c r="A19" s="108" t="s">
        <v>57</v>
      </c>
      <c r="B19" s="114">
        <f>E32</f>
        <v>1</v>
      </c>
      <c r="C19" s="103" t="str">
        <f>A32</f>
        <v>Phytoplankton</v>
      </c>
      <c r="D19" s="110" t="s">
        <v>163</v>
      </c>
      <c r="F19" s="155" t="s">
        <v>194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>
        <v>0.25</v>
      </c>
      <c r="P19">
        <v>0.75</v>
      </c>
      <c r="Q19">
        <v>0</v>
      </c>
      <c r="R19">
        <v>1</v>
      </c>
      <c r="S19"/>
      <c r="T19"/>
    </row>
    <row r="20" ht="15" customHeight="true" x14ac:dyDescent="0.2">
      <c r="A20" s="116" t="s">
        <v>171</v>
      </c>
      <c r="B20" s="117"/>
      <c r="C20"/>
      <c r="D20" s="110" t="s">
        <v>163</v>
      </c>
      <c r="F20" s="155" t="s">
        <v>195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>
        <v>0.5</v>
      </c>
      <c r="P20">
        <v>0.5</v>
      </c>
      <c r="Q20">
        <v>0</v>
      </c>
      <c r="R20">
        <v>1</v>
      </c>
      <c r="S20"/>
      <c r="T20"/>
    </row>
    <row r="21" ht="15" customHeight="true" x14ac:dyDescent="0.2">
      <c r="B21" s="117"/>
      <c r="C21"/>
      <c r="D21" s="110" t="s">
        <v>163</v>
      </c>
      <c r="F21" s="155" t="s">
        <v>196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>
        <v>0.25</v>
      </c>
      <c r="P21">
        <v>0.75</v>
      </c>
      <c r="Q21">
        <v>0</v>
      </c>
      <c r="R21">
        <v>1</v>
      </c>
      <c r="S21"/>
      <c r="T21"/>
    </row>
    <row r="22" ht="15" customHeight="true" x14ac:dyDescent="0.2">
      <c r="A22" s="77"/>
      <c r="B22" s="117"/>
      <c r="C22"/>
      <c r="D22" s="110" t="s">
        <v>163</v>
      </c>
      <c r="F22" s="155" t="s">
        <v>197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>
        <v>0</v>
      </c>
      <c r="P22">
        <v>1</v>
      </c>
      <c r="Q22">
        <v>0</v>
      </c>
      <c r="R22">
        <v>1</v>
      </c>
      <c r="S22"/>
      <c r="T22"/>
    </row>
    <row r="23" ht="15" customHeight="true" x14ac:dyDescent="0.2">
      <c r="A23" s="77"/>
      <c r="B23" s="117"/>
      <c r="C23"/>
      <c r="D23" s="110" t="s">
        <v>163</v>
      </c>
      <c r="F23" s="155" t="s">
        <v>198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1</v>
      </c>
      <c r="O23">
        <v>0</v>
      </c>
      <c r="P23">
        <v>1</v>
      </c>
      <c r="Q23">
        <v>0</v>
      </c>
      <c r="R23">
        <v>1</v>
      </c>
      <c r="S23"/>
      <c r="T23"/>
    </row>
    <row r="24" ht="15" customHeight="true" x14ac:dyDescent="0.2">
      <c r="A24" s="77"/>
      <c r="B24" s="117"/>
      <c r="C24"/>
      <c r="D24" s="110" t="s">
        <v>163</v>
      </c>
      <c r="F24" s="155" t="s">
        <v>199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1</v>
      </c>
      <c r="O24">
        <v>0.25</v>
      </c>
      <c r="P24">
        <v>0.75</v>
      </c>
      <c r="Q24">
        <v>0</v>
      </c>
      <c r="R24">
        <v>1</v>
      </c>
      <c r="S24"/>
      <c r="T24"/>
    </row>
    <row r="25" ht="15" customHeight="true" x14ac:dyDescent="0.2">
      <c r="A25" s="77"/>
      <c r="B25" s="117"/>
      <c r="C25"/>
      <c r="D25" s="110" t="s">
        <v>163</v>
      </c>
      <c r="F25" s="155" t="s">
        <v>200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1</v>
      </c>
      <c r="O25">
        <v>0.25</v>
      </c>
      <c r="P25">
        <v>0.75</v>
      </c>
      <c r="Q25">
        <v>0</v>
      </c>
      <c r="R25">
        <v>1</v>
      </c>
      <c r="S25"/>
      <c r="T25"/>
    </row>
    <row r="26" ht="15" customHeight="true" x14ac:dyDescent="0.2">
      <c r="B26" s="117"/>
      <c r="C26"/>
      <c r="D26" s="110" t="s">
        <v>163</v>
      </c>
      <c r="F26" s="155" t="s">
        <v>201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>
        <v>0.5</v>
      </c>
      <c r="P26">
        <v>0.5</v>
      </c>
      <c r="Q26">
        <v>0</v>
      </c>
      <c r="R26">
        <v>1</v>
      </c>
      <c r="S26"/>
      <c r="T26"/>
    </row>
    <row r="27" ht="15" customHeight="true" x14ac:dyDescent="0.2">
      <c r="B27" s="117"/>
      <c r="C27"/>
      <c r="D27" s="110" t="s">
        <v>163</v>
      </c>
      <c r="F27" s="155" t="s">
        <v>202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>
        <v>0.75</v>
      </c>
      <c r="P27">
        <v>0.25</v>
      </c>
      <c r="Q27">
        <v>0</v>
      </c>
      <c r="R27">
        <v>1</v>
      </c>
      <c r="S27"/>
      <c r="T27"/>
    </row>
    <row r="28" ht="15" customHeight="true" thickBot="true" x14ac:dyDescent="0.25">
      <c r="B28" s="115"/>
      <c r="C28"/>
      <c r="D28" s="110" t="s">
        <v>163</v>
      </c>
      <c r="F28" s="155" t="s">
        <v>203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>
        <v>0.75</v>
      </c>
      <c r="P28">
        <v>0.25</v>
      </c>
      <c r="Q28">
        <v>0</v>
      </c>
      <c r="R28">
        <v>1</v>
      </c>
      <c r="S28"/>
      <c r="T28"/>
    </row>
    <row r="29" ht="15" customHeight="true" x14ac:dyDescent="0.2">
      <c r="F29" s="155" t="s">
        <v>204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1</v>
      </c>
      <c r="O29">
        <v>0.25</v>
      </c>
      <c r="P29">
        <v>0.75</v>
      </c>
      <c r="Q29">
        <v>0</v>
      </c>
      <c r="R29">
        <v>1</v>
      </c>
      <c r="S29"/>
      <c r="T29"/>
    </row>
    <row r="30" ht="15" customHeight="true" x14ac:dyDescent="0.2">
      <c r="F30" s="155" t="s">
        <v>205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1</v>
      </c>
      <c r="O30">
        <v>0.25</v>
      </c>
      <c r="P30">
        <v>0.75</v>
      </c>
      <c r="Q30">
        <v>0</v>
      </c>
      <c r="R30">
        <v>1</v>
      </c>
      <c r="S30"/>
      <c r="T30"/>
    </row>
    <row r="31" ht="15" customHeight="true" x14ac:dyDescent="0.2">
      <c r="A31" s="118"/>
      <c r="B31" s="119" t="s">
        <v>17</v>
      </c>
      <c r="C31" s="119" t="s">
        <v>1</v>
      </c>
      <c r="D31" s="119" t="s">
        <v>164</v>
      </c>
      <c r="E31" s="120" t="s">
        <v>166</v>
      </c>
      <c r="F31" s="155" t="s">
        <v>206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1</v>
      </c>
      <c r="O31">
        <v>0.25</v>
      </c>
      <c r="P31">
        <v>0.75</v>
      </c>
      <c r="Q31">
        <v>0</v>
      </c>
      <c r="R31">
        <v>1</v>
      </c>
      <c r="S31"/>
      <c r="T31"/>
    </row>
    <row r="32" ht="15" customHeight="true" x14ac:dyDescent="0.2">
      <c r="A32" s="106" t="str">
        <f>MainOutputs!B67</f>
        <v>Phytoplankton</v>
      </c>
      <c r="B32" s="106">
        <f>MainOutputs!D67</f>
        <v>7.5</v>
      </c>
      <c r="C32" s="106">
        <f>MainOutputs!E67</f>
        <v>286</v>
      </c>
      <c r="D32" s="106">
        <f>B32*C32</f>
        <v>2145</v>
      </c>
      <c r="E32" s="121">
        <f>D32/D$42</f>
        <v>1</v>
      </c>
      <c r="F32" s="155" t="s">
        <v>207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1</v>
      </c>
      <c r="O32">
        <v>0.25</v>
      </c>
      <c r="P32">
        <v>0.75</v>
      </c>
      <c r="Q32">
        <v>0</v>
      </c>
      <c r="R32">
        <v>1</v>
      </c>
      <c r="S32"/>
      <c r="T32"/>
    </row>
    <row r="33" ht="15" customHeight="true" x14ac:dyDescent="0.2">
      <c r="A33" s="106"/>
      <c r="B33" s="106"/>
      <c r="C33" s="106"/>
      <c r="D33" s="106"/>
      <c r="E33" s="121"/>
      <c r="F33" s="155" t="s">
        <v>208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1</v>
      </c>
      <c r="P33">
        <v>0</v>
      </c>
      <c r="Q33">
        <v>0</v>
      </c>
      <c r="R33">
        <v>1</v>
      </c>
      <c r="S33"/>
      <c r="T33"/>
    </row>
    <row r="34" ht="15" customHeight="true" x14ac:dyDescent="0.2">
      <c r="A34" s="87"/>
      <c r="B34" s="106"/>
      <c r="C34" s="106"/>
      <c r="D34" s="106"/>
      <c r="E34" s="121"/>
      <c r="F34" s="155" t="s">
        <v>209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1</v>
      </c>
      <c r="O34">
        <v>1</v>
      </c>
      <c r="P34">
        <v>0</v>
      </c>
      <c r="Q34">
        <v>0</v>
      </c>
      <c r="R34">
        <v>1</v>
      </c>
      <c r="S34"/>
      <c r="T34"/>
    </row>
    <row r="35" ht="15" customHeight="true" x14ac:dyDescent="0.2">
      <c r="A35" s="87"/>
      <c r="B35" s="106"/>
      <c r="C35" s="106"/>
      <c r="D35" s="106"/>
      <c r="E35" s="121"/>
      <c r="F35" s="155" t="s">
        <v>210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>
        <v>0.75</v>
      </c>
      <c r="P35">
        <v>0.25</v>
      </c>
      <c r="Q35">
        <v>0</v>
      </c>
      <c r="R35">
        <v>1</v>
      </c>
      <c r="S35"/>
      <c r="T35"/>
    </row>
    <row r="36" ht="15" customHeight="true" x14ac:dyDescent="0.2">
      <c r="A36" s="122"/>
      <c r="B36" s="106"/>
      <c r="C36" s="106"/>
      <c r="D36" s="106"/>
      <c r="E36" s="121"/>
      <c r="F36" s="155" t="s">
        <v>211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0</v>
      </c>
      <c r="R36">
        <v>1</v>
      </c>
      <c r="S36"/>
      <c r="T36"/>
    </row>
    <row r="37" ht="15" customHeight="true" x14ac:dyDescent="0.2">
      <c r="A37" s="122"/>
      <c r="B37" s="106"/>
      <c r="C37" s="106"/>
      <c r="D37" s="106"/>
      <c r="E37" s="121"/>
      <c r="F37" s="155" t="s">
        <v>212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1</v>
      </c>
      <c r="O37">
        <v>1</v>
      </c>
      <c r="P37">
        <v>0</v>
      </c>
      <c r="Q37">
        <v>0</v>
      </c>
      <c r="R37">
        <v>1</v>
      </c>
      <c r="S37"/>
      <c r="T37"/>
    </row>
    <row r="38" ht="15" customHeight="true" x14ac:dyDescent="0.2">
      <c r="A38" s="123"/>
      <c r="B38" s="106"/>
      <c r="C38" s="106"/>
      <c r="D38" s="106"/>
      <c r="E38" s="121"/>
      <c r="F38" s="155" t="s">
        <v>213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1</v>
      </c>
      <c r="O38">
        <v>0.75</v>
      </c>
      <c r="P38">
        <v>0.25</v>
      </c>
      <c r="Q38">
        <v>0</v>
      </c>
      <c r="R38">
        <v>1</v>
      </c>
      <c r="S38"/>
      <c r="T38"/>
    </row>
    <row r="39" ht="15" customHeight="true" x14ac:dyDescent="0.2">
      <c r="A39" s="123"/>
      <c r="B39" s="106"/>
      <c r="C39" s="106"/>
      <c r="D39" s="106"/>
      <c r="E39" s="121"/>
      <c r="F39" s="155" t="s">
        <v>214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>
        <v>0</v>
      </c>
      <c r="P39">
        <v>1</v>
      </c>
      <c r="Q39">
        <v>0</v>
      </c>
      <c r="R39">
        <v>1</v>
      </c>
      <c r="S39"/>
      <c r="T39"/>
    </row>
    <row r="40" ht="15" customHeight="true" x14ac:dyDescent="0.2">
      <c r="A40" s="123"/>
      <c r="B40" s="106"/>
      <c r="C40" s="106"/>
      <c r="D40" s="106"/>
      <c r="E40" s="121"/>
      <c r="F40" s="155" t="s">
        <v>215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1</v>
      </c>
      <c r="O40">
        <v>0</v>
      </c>
      <c r="P40">
        <v>1</v>
      </c>
      <c r="Q40">
        <v>0</v>
      </c>
      <c r="R40">
        <v>1</v>
      </c>
      <c r="S40"/>
      <c r="T40"/>
    </row>
    <row r="41" ht="15" customHeight="true" thickBot="true" x14ac:dyDescent="0.25">
      <c r="A41" s="123"/>
      <c r="B41" s="106"/>
      <c r="C41" s="106"/>
      <c r="D41" s="124"/>
      <c r="E41" s="125"/>
      <c r="F41" s="155" t="s">
        <v>216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1</v>
      </c>
      <c r="O41">
        <v>0</v>
      </c>
      <c r="P41">
        <v>1</v>
      </c>
      <c r="Q41">
        <v>0</v>
      </c>
      <c r="R41">
        <v>1</v>
      </c>
      <c r="S41"/>
      <c r="T41"/>
    </row>
    <row r="42" ht="15" customHeight="true" x14ac:dyDescent="0.2">
      <c r="A42" s="126"/>
      <c r="B42" s="127"/>
      <c r="C42" s="127" t="s">
        <v>165</v>
      </c>
      <c r="D42" s="127">
        <f>SUM(D32:D41)</f>
        <v>2145</v>
      </c>
      <c r="E42" s="128">
        <f>SUM(E32:E41)</f>
        <v>1</v>
      </c>
      <c r="F42" s="155" t="s">
        <v>217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1</v>
      </c>
      <c r="O42">
        <v>0</v>
      </c>
      <c r="P42">
        <v>1</v>
      </c>
      <c r="Q42">
        <v>0</v>
      </c>
      <c r="R42">
        <v>1</v>
      </c>
      <c r="S42"/>
      <c r="T42"/>
    </row>
    <row r="43" ht="15" customHeight="true" x14ac:dyDescent="0.2">
      <c r="A43" s="77"/>
      <c r="F43" s="155" t="s">
        <v>218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  <c r="P43">
        <v>1</v>
      </c>
      <c r="Q43">
        <v>0</v>
      </c>
      <c r="R43">
        <v>1</v>
      </c>
      <c r="S43"/>
      <c r="T43"/>
    </row>
    <row r="44" ht="15" customHeight="true" x14ac:dyDescent="0.2">
      <c r="A44" s="77"/>
      <c r="F44" s="155" t="s">
        <v>219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1</v>
      </c>
      <c r="O44">
        <v>0</v>
      </c>
      <c r="P44">
        <v>1</v>
      </c>
      <c r="Q44">
        <v>0</v>
      </c>
      <c r="R44">
        <v>1</v>
      </c>
      <c r="S44"/>
      <c r="T44"/>
    </row>
    <row r="45" ht="15" customHeight="true" x14ac:dyDescent="0.2">
      <c r="A45" s="77"/>
      <c r="F45" s="155" t="s">
        <v>220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0</v>
      </c>
      <c r="P45">
        <v>1</v>
      </c>
      <c r="Q45">
        <v>0</v>
      </c>
      <c r="R45">
        <v>1</v>
      </c>
      <c r="S45"/>
      <c r="T45"/>
    </row>
    <row r="46" ht="15" customHeight="true" x14ac:dyDescent="0.2">
      <c r="A46" s="77"/>
      <c r="F46" s="155" t="s">
        <v>221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>
        <v>0.25</v>
      </c>
      <c r="P46">
        <v>0.75</v>
      </c>
      <c r="Q46">
        <v>0</v>
      </c>
      <c r="R46">
        <v>1</v>
      </c>
      <c r="S46"/>
      <c r="T46"/>
    </row>
    <row r="47" ht="15" customHeight="true" x14ac:dyDescent="0.2">
      <c r="A47" s="77"/>
      <c r="F47" s="155" t="s">
        <v>222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1</v>
      </c>
      <c r="O47">
        <v>0.25</v>
      </c>
      <c r="P47">
        <v>0.75</v>
      </c>
      <c r="Q47">
        <v>0</v>
      </c>
      <c r="R47">
        <v>1</v>
      </c>
      <c r="S47"/>
      <c r="T47"/>
    </row>
    <row r="48" ht="15" customHeight="true" x14ac:dyDescent="0.2">
      <c r="A48" s="77"/>
      <c r="F48" s="155" t="s">
        <v>223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1</v>
      </c>
      <c r="O48">
        <v>0.25</v>
      </c>
      <c r="P48">
        <v>0.75</v>
      </c>
      <c r="Q48">
        <v>0</v>
      </c>
      <c r="R48">
        <v>1</v>
      </c>
      <c r="S48"/>
      <c r="T48"/>
    </row>
    <row r="49" ht="15" customHeight="true" x14ac:dyDescent="0.2">
      <c r="A49" s="77"/>
      <c r="E49"/>
      <c r="F49" s="155" t="s">
        <v>224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1</v>
      </c>
      <c r="O49">
        <v>0</v>
      </c>
      <c r="P49">
        <v>1</v>
      </c>
      <c r="Q49">
        <v>0</v>
      </c>
      <c r="R49">
        <v>1</v>
      </c>
      <c r="S49"/>
      <c r="T49"/>
      <c r="U49"/>
      <c r="V49"/>
      <c r="W49"/>
    </row>
    <row r="50" ht="15" customHeight="true" x14ac:dyDescent="0.2">
      <c r="A50" s="77"/>
      <c r="E50"/>
      <c r="F50" s="155" t="s">
        <v>225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1</v>
      </c>
      <c r="O50">
        <v>0</v>
      </c>
      <c r="P50">
        <v>1</v>
      </c>
      <c r="Q50">
        <v>0</v>
      </c>
      <c r="R50">
        <v>1</v>
      </c>
      <c r="S50"/>
      <c r="T50"/>
      <c r="U50"/>
      <c r="V50"/>
      <c r="W50"/>
    </row>
    <row r="51" ht="15" customHeight="true" x14ac:dyDescent="0.2">
      <c r="E51"/>
      <c r="F51" s="155" t="s">
        <v>226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1</v>
      </c>
      <c r="O51">
        <v>0</v>
      </c>
      <c r="P51">
        <v>1</v>
      </c>
      <c r="Q51">
        <v>0</v>
      </c>
      <c r="R51">
        <v>1</v>
      </c>
      <c r="S51"/>
      <c r="T51"/>
      <c r="U51"/>
      <c r="V51"/>
      <c r="W51"/>
    </row>
    <row r="52" ht="15" customHeight="true" x14ac:dyDescent="0.2">
      <c r="E52"/>
      <c r="F52" s="155" t="s">
        <v>227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1</v>
      </c>
      <c r="O52">
        <v>0</v>
      </c>
      <c r="P52">
        <v>1</v>
      </c>
      <c r="Q52">
        <v>0</v>
      </c>
      <c r="R52">
        <v>1</v>
      </c>
      <c r="S52"/>
      <c r="T52"/>
      <c r="U52"/>
      <c r="V52"/>
      <c r="W52"/>
    </row>
    <row r="53" ht="15" customHeight="true" x14ac:dyDescent="0.2">
      <c r="A53" s="77"/>
      <c r="E53"/>
      <c r="F53" s="155" t="s">
        <v>228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1</v>
      </c>
      <c r="O53">
        <v>1</v>
      </c>
      <c r="P53">
        <v>0</v>
      </c>
      <c r="Q53">
        <v>0</v>
      </c>
      <c r="R53">
        <v>1</v>
      </c>
      <c r="S53"/>
      <c r="T53"/>
      <c r="U53"/>
      <c r="V53"/>
      <c r="W53"/>
    </row>
    <row r="54" ht="15" customHeight="true" x14ac:dyDescent="0.2">
      <c r="A54" s="77"/>
      <c r="E54"/>
      <c r="F54" s="155" t="s">
        <v>229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1</v>
      </c>
      <c r="O54">
        <v>1</v>
      </c>
      <c r="P54">
        <v>0</v>
      </c>
      <c r="Q54">
        <v>0</v>
      </c>
      <c r="R54">
        <v>1</v>
      </c>
      <c r="S54"/>
      <c r="T54"/>
      <c r="U54"/>
      <c r="V54"/>
      <c r="W54"/>
    </row>
    <row r="55" ht="15" customHeight="true" x14ac:dyDescent="0.2">
      <c r="A55" s="77"/>
      <c r="E55"/>
      <c r="F55" s="155" t="s">
        <v>230</v>
      </c>
      <c r="G55">
        <v>0</v>
      </c>
      <c r="H55">
        <v>0</v>
      </c>
      <c r="I55">
        <v>0</v>
      </c>
      <c r="J55">
        <v>0</v>
      </c>
      <c r="K55">
        <v>0.05</v>
      </c>
      <c r="L55">
        <v>0.95</v>
      </c>
      <c r="M55">
        <v>0</v>
      </c>
      <c r="N55">
        <v>1</v>
      </c>
      <c r="O55">
        <v>1</v>
      </c>
      <c r="P55">
        <v>0</v>
      </c>
      <c r="Q55">
        <v>0</v>
      </c>
      <c r="R55">
        <v>0</v>
      </c>
      <c r="S55"/>
      <c r="T55"/>
      <c r="U55"/>
      <c r="V55"/>
      <c r="W55"/>
    </row>
    <row r="56" ht="15" customHeight="true" x14ac:dyDescent="0.2">
      <c r="A56" s="77"/>
      <c r="E56"/>
      <c r="F56" s="220" t="s">
        <v>231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1</v>
      </c>
      <c r="O56">
        <v>1</v>
      </c>
      <c r="P56">
        <v>0</v>
      </c>
      <c r="Q56">
        <v>0</v>
      </c>
      <c r="R56">
        <v>1</v>
      </c>
      <c r="S56"/>
      <c r="T56"/>
      <c r="U56"/>
      <c r="V56"/>
      <c r="W56"/>
    </row>
    <row r="57" ht="15" customHeight="true" x14ac:dyDescent="0.2">
      <c r="A57" s="77"/>
      <c r="E57"/>
      <c r="F57" s="155" t="s">
        <v>233</v>
      </c>
      <c r="G57">
        <v>0</v>
      </c>
      <c r="H57">
        <v>0</v>
      </c>
      <c r="I57">
        <v>0</v>
      </c>
      <c r="J57">
        <v>0</v>
      </c>
      <c r="K57">
        <v>0.05</v>
      </c>
      <c r="L57">
        <v>0.95</v>
      </c>
      <c r="M57">
        <v>0</v>
      </c>
      <c r="N57">
        <v>1</v>
      </c>
      <c r="O57">
        <v>0.75</v>
      </c>
      <c r="P57">
        <v>0.25</v>
      </c>
      <c r="Q57">
        <v>0</v>
      </c>
      <c r="R57">
        <v>1</v>
      </c>
      <c r="S57"/>
      <c r="T57"/>
      <c r="U57"/>
      <c r="V57"/>
      <c r="W57"/>
    </row>
    <row r="58" ht="15" customHeight="true" x14ac:dyDescent="0.2">
      <c r="A58" s="77"/>
      <c r="E58"/>
      <c r="F58" s="155" t="s">
        <v>234</v>
      </c>
      <c r="G58">
        <v>0</v>
      </c>
      <c r="H58">
        <v>0</v>
      </c>
      <c r="I58">
        <v>0</v>
      </c>
      <c r="J58">
        <v>0</v>
      </c>
      <c r="K58">
        <v>0.2</v>
      </c>
      <c r="L58">
        <v>0.8</v>
      </c>
      <c r="M58">
        <v>0</v>
      </c>
      <c r="N58">
        <v>1</v>
      </c>
      <c r="O58">
        <v>0.75</v>
      </c>
      <c r="P58">
        <v>0.25</v>
      </c>
      <c r="Q58">
        <v>0</v>
      </c>
      <c r="R58">
        <v>0.25</v>
      </c>
      <c r="S58"/>
      <c r="T58"/>
      <c r="U58"/>
      <c r="V58"/>
      <c r="W58"/>
    </row>
    <row r="59" ht="15" customHeight="true" x14ac:dyDescent="0.2">
      <c r="A59" s="77"/>
      <c r="E59"/>
      <c r="F59" s="155" t="s">
        <v>235</v>
      </c>
      <c r="G59">
        <v>0</v>
      </c>
      <c r="H59">
        <v>0</v>
      </c>
      <c r="I59">
        <v>0</v>
      </c>
      <c r="J59">
        <v>0</v>
      </c>
      <c r="K59">
        <v>0.3</v>
      </c>
      <c r="L59">
        <v>0.7</v>
      </c>
      <c r="M59">
        <v>0</v>
      </c>
      <c r="N59">
        <v>1</v>
      </c>
      <c r="O59">
        <v>1</v>
      </c>
      <c r="P59">
        <v>0</v>
      </c>
      <c r="Q59">
        <v>0</v>
      </c>
      <c r="R59">
        <v>0</v>
      </c>
      <c r="S59"/>
      <c r="T59"/>
      <c r="U59"/>
      <c r="V59"/>
      <c r="W59"/>
    </row>
    <row r="60" ht="15" customHeight="true" x14ac:dyDescent="0.2">
      <c r="A60" s="77"/>
      <c r="E60"/>
      <c r="F60" s="155" t="s">
        <v>237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1</v>
      </c>
      <c r="O60">
        <v>0</v>
      </c>
      <c r="P60">
        <v>1</v>
      </c>
      <c r="Q60">
        <v>0</v>
      </c>
      <c r="R60">
        <v>1</v>
      </c>
      <c r="S60"/>
      <c r="T60"/>
      <c r="U60"/>
      <c r="V60"/>
      <c r="W60"/>
    </row>
    <row r="61" ht="15" customHeight="true" x14ac:dyDescent="0.2">
      <c r="A61" s="77"/>
      <c r="F61" s="155" t="s">
        <v>238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1</v>
      </c>
      <c r="O61">
        <v>0</v>
      </c>
      <c r="P61">
        <v>1</v>
      </c>
      <c r="Q61">
        <v>0</v>
      </c>
      <c r="R61">
        <v>1</v>
      </c>
      <c r="S61"/>
      <c r="T61"/>
    </row>
    <row r="62" ht="15" customHeight="true" x14ac:dyDescent="0.2">
      <c r="A62" s="77"/>
      <c r="F62" s="155" t="s">
        <v>239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1</v>
      </c>
      <c r="O62">
        <v>0</v>
      </c>
      <c r="P62">
        <v>1</v>
      </c>
      <c r="Q62">
        <v>0</v>
      </c>
      <c r="R62">
        <v>1</v>
      </c>
      <c r="S62"/>
      <c r="T62"/>
    </row>
    <row r="63" ht="15" customHeight="true" x14ac:dyDescent="0.2">
      <c r="A63" s="77"/>
      <c r="F63" s="155" t="s">
        <v>240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1</v>
      </c>
      <c r="O63">
        <v>0</v>
      </c>
      <c r="P63">
        <v>1</v>
      </c>
      <c r="Q63">
        <v>0</v>
      </c>
      <c r="R63">
        <v>1</v>
      </c>
      <c r="S63"/>
      <c r="T63"/>
    </row>
    <row r="64" ht="15" customHeight="true" x14ac:dyDescent="0.2">
      <c r="A64" s="77"/>
      <c r="F64" s="155" t="s">
        <v>241</v>
      </c>
      <c r="G64">
        <v>0</v>
      </c>
      <c r="H64">
        <v>0</v>
      </c>
      <c r="I64">
        <v>0</v>
      </c>
      <c r="J64">
        <v>0</v>
      </c>
      <c r="K64">
        <v>0.05</v>
      </c>
      <c r="L64">
        <v>0.95</v>
      </c>
      <c r="M64">
        <v>0</v>
      </c>
      <c r="N64">
        <v>1</v>
      </c>
      <c r="O64">
        <v>0</v>
      </c>
      <c r="P64">
        <v>1</v>
      </c>
      <c r="Q64">
        <v>0</v>
      </c>
      <c r="R64">
        <v>1</v>
      </c>
      <c r="S64"/>
      <c r="T64"/>
    </row>
    <row r="65" ht="15" customHeight="true" x14ac:dyDescent="0.2">
      <c r="F65" s="155" t="s">
        <v>242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1</v>
      </c>
      <c r="O65">
        <v>0</v>
      </c>
      <c r="P65">
        <v>1</v>
      </c>
      <c r="Q65">
        <v>0</v>
      </c>
      <c r="R65">
        <v>1</v>
      </c>
      <c r="S65"/>
      <c r="T65"/>
    </row>
    <row r="66" ht="15" customHeight="true" x14ac:dyDescent="0.2">
      <c r="F66" s="155" t="s">
        <v>243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1</v>
      </c>
      <c r="O66">
        <v>0</v>
      </c>
      <c r="P66">
        <v>1</v>
      </c>
      <c r="Q66">
        <v>0</v>
      </c>
      <c r="R66">
        <v>1</v>
      </c>
      <c r="S66"/>
      <c r="T66"/>
    </row>
    <row r="67" ht="15" customHeight="true" x14ac:dyDescent="0.2">
      <c r="F67" s="155" t="s">
        <v>244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1</v>
      </c>
      <c r="O67">
        <v>0</v>
      </c>
      <c r="P67">
        <v>1</v>
      </c>
      <c r="Q67">
        <v>0</v>
      </c>
      <c r="R67">
        <v>1</v>
      </c>
      <c r="S67"/>
      <c r="T67"/>
    </row>
    <row r="68" ht="15" customHeight="true" x14ac:dyDescent="0.2">
      <c r="F68" s="155" t="s">
        <v>245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1</v>
      </c>
      <c r="O68">
        <v>0</v>
      </c>
      <c r="P68">
        <v>1</v>
      </c>
      <c r="Q68">
        <v>0</v>
      </c>
      <c r="R68">
        <v>1</v>
      </c>
      <c r="S68"/>
      <c r="T68"/>
    </row>
    <row r="69" ht="15" customHeight="true" x14ac:dyDescent="0.2">
      <c r="F69" s="155" t="s">
        <v>246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1</v>
      </c>
      <c r="O69">
        <v>0</v>
      </c>
      <c r="P69">
        <v>1</v>
      </c>
      <c r="Q69">
        <v>0</v>
      </c>
      <c r="R69">
        <v>1</v>
      </c>
      <c r="S69"/>
      <c r="T69"/>
    </row>
    <row r="70" ht="15" customHeight="true" x14ac:dyDescent="0.2">
      <c r="F70" s="155" t="s">
        <v>247</v>
      </c>
      <c r="G70">
        <v>0</v>
      </c>
      <c r="H70">
        <v>0</v>
      </c>
      <c r="I70">
        <v>0</v>
      </c>
      <c r="J70">
        <v>0</v>
      </c>
      <c r="K70">
        <v>1</v>
      </c>
      <c r="L70">
        <v>0</v>
      </c>
      <c r="M70">
        <v>1</v>
      </c>
      <c r="N70">
        <v>0</v>
      </c>
      <c r="O70">
        <v>1</v>
      </c>
      <c r="P70">
        <v>0</v>
      </c>
      <c r="Q70">
        <v>0</v>
      </c>
      <c r="R70">
        <v>0</v>
      </c>
      <c r="S70"/>
      <c r="T70"/>
    </row>
    <row r="71" ht="15" customHeight="true" thickBot="true" x14ac:dyDescent="0.25">
      <c r="F71" s="155" t="s">
        <v>248</v>
      </c>
      <c r="G71">
        <v>0</v>
      </c>
      <c r="H71">
        <v>0</v>
      </c>
      <c r="I71">
        <v>0</v>
      </c>
      <c r="J71">
        <v>0</v>
      </c>
      <c r="K71">
        <v>0.3</v>
      </c>
      <c r="L71">
        <v>0.7</v>
      </c>
      <c r="M71">
        <v>0.3</v>
      </c>
      <c r="N71">
        <v>0.7</v>
      </c>
      <c r="O71">
        <v>1</v>
      </c>
      <c r="P71">
        <v>0</v>
      </c>
      <c r="Q71">
        <v>0</v>
      </c>
      <c r="R71">
        <v>0</v>
      </c>
      <c r="S71"/>
      <c r="T71"/>
    </row>
    <row r="72" ht="15" customHeight="true" thickBot="true" x14ac:dyDescent="0.25">
      <c r="F72" s="155" t="s">
        <v>249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1</v>
      </c>
      <c r="O72" s="221">
        <v>1</v>
      </c>
      <c r="P72" s="222">
        <v>0</v>
      </c>
      <c r="Q72">
        <v>0</v>
      </c>
      <c r="R72">
        <v>0</v>
      </c>
      <c r="S72"/>
      <c r="T72"/>
    </row>
    <row r="73" ht="15" customHeight="true" thickBot="true" x14ac:dyDescent="0.25">
      <c r="F73" s="155" t="s">
        <v>250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1</v>
      </c>
      <c r="O73" s="221">
        <v>0</v>
      </c>
      <c r="P73" s="222">
        <v>1</v>
      </c>
      <c r="Q73">
        <v>0</v>
      </c>
      <c r="R73">
        <v>1</v>
      </c>
      <c r="S73"/>
      <c r="T73"/>
    </row>
    <row r="74" ht="15" customHeight="true" thickBot="true" x14ac:dyDescent="0.25">
      <c r="F74" s="155" t="s">
        <v>175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1</v>
      </c>
      <c r="O74" s="221">
        <v>0</v>
      </c>
      <c r="P74" s="222">
        <v>1</v>
      </c>
      <c r="Q74">
        <v>0</v>
      </c>
      <c r="R74">
        <v>1</v>
      </c>
      <c r="S74"/>
      <c r="T74"/>
    </row>
    <row r="75" ht="15" customHeight="true" x14ac:dyDescent="0.2">
      <c r="F75" s="155" t="s">
        <v>251</v>
      </c>
      <c r="G75">
        <v>0</v>
      </c>
      <c r="H75">
        <v>0</v>
      </c>
      <c r="I75">
        <v>0</v>
      </c>
      <c r="J75">
        <v>0</v>
      </c>
      <c r="K75" s="223">
        <v>0</v>
      </c>
      <c r="L75" s="224">
        <v>1</v>
      </c>
      <c r="M75" s="225">
        <v>0</v>
      </c>
      <c r="N75" s="225">
        <v>1</v>
      </c>
      <c r="O75">
        <v>0</v>
      </c>
      <c r="P75">
        <v>0</v>
      </c>
      <c r="Q75">
        <v>0</v>
      </c>
      <c r="R75">
        <v>1</v>
      </c>
      <c r="S75"/>
      <c r="T75"/>
    </row>
    <row r="76" ht="15" customHeight="true" x14ac:dyDescent="0.2">
      <c r="A76" s="77"/>
      <c r="F76" s="155" t="s">
        <v>252</v>
      </c>
      <c r="G76">
        <v>0</v>
      </c>
      <c r="H76">
        <v>0</v>
      </c>
      <c r="I76">
        <v>0</v>
      </c>
      <c r="J76">
        <v>0</v>
      </c>
      <c r="K76" s="226">
        <v>0</v>
      </c>
      <c r="L76" s="227">
        <v>1</v>
      </c>
      <c r="M76" s="225">
        <v>0</v>
      </c>
      <c r="N76" s="225">
        <v>1</v>
      </c>
      <c r="O76">
        <v>0</v>
      </c>
      <c r="P76">
        <v>0</v>
      </c>
      <c r="Q76">
        <v>0</v>
      </c>
      <c r="R76">
        <v>1</v>
      </c>
      <c r="S76"/>
      <c r="T76"/>
    </row>
    <row r="77" ht="15" customHeight="true" x14ac:dyDescent="0.2">
      <c r="A77" s="77"/>
      <c r="F77" s="155" t="s">
        <v>253</v>
      </c>
      <c r="G77">
        <v>0</v>
      </c>
      <c r="H77">
        <v>0</v>
      </c>
      <c r="I77">
        <v>0</v>
      </c>
      <c r="J77">
        <v>0</v>
      </c>
      <c r="K77" s="226">
        <v>0</v>
      </c>
      <c r="L77" s="227">
        <v>1</v>
      </c>
      <c r="M77" s="225">
        <v>0</v>
      </c>
      <c r="N77" s="225">
        <v>1</v>
      </c>
      <c r="O77">
        <v>0</v>
      </c>
      <c r="P77">
        <v>0</v>
      </c>
      <c r="Q77">
        <v>0</v>
      </c>
      <c r="R77">
        <v>1</v>
      </c>
      <c r="S77"/>
      <c r="T77"/>
    </row>
    <row r="78" ht="15" customHeight="true" x14ac:dyDescent="0.2">
      <c r="A78" s="77"/>
      <c r="F78" s="155" t="s">
        <v>254</v>
      </c>
      <c r="G78">
        <v>0</v>
      </c>
      <c r="H78">
        <v>0</v>
      </c>
      <c r="I78">
        <v>0</v>
      </c>
      <c r="J78">
        <v>0</v>
      </c>
      <c r="K78" s="226">
        <v>0</v>
      </c>
      <c r="L78" s="227">
        <v>1</v>
      </c>
      <c r="M78" s="225">
        <v>0</v>
      </c>
      <c r="N78" s="225">
        <v>1</v>
      </c>
      <c r="O78">
        <v>0</v>
      </c>
      <c r="P78">
        <v>0</v>
      </c>
      <c r="Q78">
        <v>0</v>
      </c>
      <c r="R78">
        <v>1</v>
      </c>
      <c r="S78"/>
      <c r="T78"/>
    </row>
    <row r="79" ht="15" customHeight="true" x14ac:dyDescent="0.2">
      <c r="A79" s="77"/>
      <c r="F79" s="155" t="s">
        <v>255</v>
      </c>
      <c r="G79">
        <v>0</v>
      </c>
      <c r="H79">
        <v>0</v>
      </c>
      <c r="I79">
        <v>0</v>
      </c>
      <c r="J79">
        <v>0</v>
      </c>
      <c r="K79" s="226">
        <v>0</v>
      </c>
      <c r="L79" s="227">
        <v>1</v>
      </c>
      <c r="M79" s="225">
        <v>0</v>
      </c>
      <c r="N79" s="225">
        <v>1</v>
      </c>
      <c r="O79">
        <v>0</v>
      </c>
      <c r="P79">
        <v>0</v>
      </c>
      <c r="Q79">
        <v>0</v>
      </c>
      <c r="R79">
        <v>1</v>
      </c>
      <c r="S79"/>
      <c r="T79"/>
    </row>
    <row r="80" ht="15" customHeight="true" x14ac:dyDescent="0.2">
      <c r="A80" s="77"/>
      <c r="F80" s="155" t="s">
        <v>256</v>
      </c>
      <c r="G80">
        <v>0</v>
      </c>
      <c r="H80">
        <v>0</v>
      </c>
      <c r="I80">
        <v>0</v>
      </c>
      <c r="J80">
        <v>0</v>
      </c>
      <c r="K80" s="226">
        <v>0</v>
      </c>
      <c r="L80" s="227">
        <v>1</v>
      </c>
      <c r="M80" s="225">
        <v>0</v>
      </c>
      <c r="N80" s="225">
        <v>1</v>
      </c>
      <c r="O80">
        <v>0</v>
      </c>
      <c r="P80">
        <v>0</v>
      </c>
      <c r="Q80">
        <v>0</v>
      </c>
      <c r="R80">
        <v>1</v>
      </c>
      <c r="S80"/>
      <c r="T80"/>
    </row>
    <row r="81" ht="15" customHeight="true" x14ac:dyDescent="0.2">
      <c r="A81" s="77"/>
      <c r="F81" s="155" t="s">
        <v>257</v>
      </c>
      <c r="G81">
        <v>0</v>
      </c>
      <c r="H81">
        <v>0</v>
      </c>
      <c r="I81">
        <v>0</v>
      </c>
      <c r="J81">
        <v>0</v>
      </c>
      <c r="K81" s="226">
        <v>0</v>
      </c>
      <c r="L81" s="227">
        <v>1</v>
      </c>
      <c r="M81" s="225">
        <v>0</v>
      </c>
      <c r="N81" s="225">
        <v>1</v>
      </c>
      <c r="O81">
        <v>0</v>
      </c>
      <c r="P81">
        <v>0</v>
      </c>
      <c r="Q81">
        <v>0</v>
      </c>
      <c r="R81">
        <v>1</v>
      </c>
      <c r="S81"/>
      <c r="T81"/>
    </row>
    <row r="82" ht="15" customHeight="true" x14ac:dyDescent="0.2">
      <c r="A82" s="77"/>
      <c r="F82" s="155" t="s">
        <v>258</v>
      </c>
      <c r="G82">
        <v>0</v>
      </c>
      <c r="H82">
        <v>0</v>
      </c>
      <c r="I82">
        <v>0</v>
      </c>
      <c r="J82">
        <v>0</v>
      </c>
      <c r="K82" s="226">
        <v>0</v>
      </c>
      <c r="L82" s="227">
        <v>1</v>
      </c>
      <c r="M82" s="225">
        <v>0</v>
      </c>
      <c r="N82" s="225">
        <v>1</v>
      </c>
      <c r="O82">
        <v>0</v>
      </c>
      <c r="P82">
        <v>0</v>
      </c>
      <c r="Q82">
        <v>0</v>
      </c>
      <c r="R82">
        <v>1</v>
      </c>
      <c r="S82"/>
      <c r="T82"/>
    </row>
    <row r="83" ht="15" customHeight="true" x14ac:dyDescent="0.2">
      <c r="A83" s="77"/>
      <c r="F83" s="155" t="s">
        <v>259</v>
      </c>
      <c r="G83">
        <v>0</v>
      </c>
      <c r="H83">
        <v>0</v>
      </c>
      <c r="I83">
        <v>0</v>
      </c>
      <c r="J83">
        <v>0</v>
      </c>
      <c r="K83" s="226">
        <v>0</v>
      </c>
      <c r="L83" s="227">
        <v>1</v>
      </c>
      <c r="M83" s="225">
        <v>0</v>
      </c>
      <c r="N83" s="225">
        <v>1</v>
      </c>
      <c r="O83">
        <v>0</v>
      </c>
      <c r="P83">
        <v>0</v>
      </c>
      <c r="Q83">
        <v>0</v>
      </c>
      <c r="R83">
        <v>1</v>
      </c>
      <c r="S83"/>
      <c r="T83"/>
    </row>
    <row r="84" ht="15" customHeight="true" x14ac:dyDescent="0.2">
      <c r="A84" s="77"/>
      <c r="F84" s="155" t="s">
        <v>260</v>
      </c>
      <c r="G84">
        <v>0</v>
      </c>
      <c r="H84">
        <v>0</v>
      </c>
      <c r="I84">
        <v>0</v>
      </c>
      <c r="J84">
        <v>0</v>
      </c>
      <c r="K84" s="226">
        <v>0</v>
      </c>
      <c r="L84" s="227">
        <v>1</v>
      </c>
      <c r="M84" s="225">
        <v>0</v>
      </c>
      <c r="N84" s="225">
        <v>1</v>
      </c>
      <c r="O84">
        <v>0</v>
      </c>
      <c r="P84">
        <v>0</v>
      </c>
      <c r="Q84">
        <v>0</v>
      </c>
      <c r="R84">
        <v>1</v>
      </c>
      <c r="S84"/>
      <c r="T84"/>
    </row>
    <row r="85" ht="15" customHeight="true" x14ac:dyDescent="0.2">
      <c r="A85" s="77"/>
      <c r="F85" s="155" t="s">
        <v>261</v>
      </c>
      <c r="G85">
        <v>0</v>
      </c>
      <c r="H85">
        <v>0</v>
      </c>
      <c r="I85">
        <v>0</v>
      </c>
      <c r="J85">
        <v>0</v>
      </c>
      <c r="K85" s="226">
        <v>0</v>
      </c>
      <c r="L85" s="227">
        <v>1</v>
      </c>
      <c r="M85" s="225">
        <v>0</v>
      </c>
      <c r="N85" s="225">
        <v>1</v>
      </c>
      <c r="O85">
        <v>0</v>
      </c>
      <c r="P85">
        <v>0</v>
      </c>
      <c r="Q85">
        <v>0</v>
      </c>
      <c r="R85">
        <v>1</v>
      </c>
      <c r="S85"/>
      <c r="T85"/>
    </row>
    <row r="86" ht="15" customHeight="true" thickBot="true" x14ac:dyDescent="0.25">
      <c r="A86" s="77"/>
      <c r="F86" s="155" t="s">
        <v>262</v>
      </c>
      <c r="G86">
        <v>0</v>
      </c>
      <c r="H86">
        <v>0</v>
      </c>
      <c r="I86">
        <v>0</v>
      </c>
      <c r="J86">
        <v>0</v>
      </c>
      <c r="K86" s="228">
        <v>0</v>
      </c>
      <c r="L86" s="229">
        <v>1</v>
      </c>
      <c r="M86" s="225">
        <v>0</v>
      </c>
      <c r="N86" s="225">
        <v>1</v>
      </c>
      <c r="O86">
        <v>0</v>
      </c>
      <c r="P86">
        <v>0</v>
      </c>
      <c r="Q86">
        <v>0</v>
      </c>
      <c r="R86">
        <v>1</v>
      </c>
      <c r="S86"/>
      <c r="T86"/>
    </row>
    <row r="87" ht="15" customHeight="true" x14ac:dyDescent="0.2">
      <c r="A87" s="77"/>
      <c r="F87" s="155"/>
      <c r="G87"/>
      <c r="H87"/>
      <c r="I87"/>
      <c r="J87"/>
      <c r="K87"/>
      <c r="L87"/>
      <c r="M87"/>
      <c r="N87"/>
      <c r="O87"/>
      <c r="P87"/>
      <c r="Q87"/>
      <c r="R87" s="153"/>
      <c r="S87"/>
      <c r="T87"/>
    </row>
    <row r="88" ht="15" customHeight="true" x14ac:dyDescent="0.2">
      <c r="A88" s="77"/>
      <c r="F88" s="155"/>
      <c r="G88"/>
      <c r="H88"/>
      <c r="I88"/>
      <c r="J88"/>
      <c r="K88"/>
      <c r="L88"/>
      <c r="M88"/>
      <c r="N88"/>
      <c r="O88"/>
      <c r="P88"/>
      <c r="Q88"/>
      <c r="R88" s="153"/>
      <c r="S88"/>
      <c r="T88"/>
    </row>
    <row r="89" ht="15" customHeight="true" x14ac:dyDescent="0.2">
      <c r="A89" s="77"/>
      <c r="F89" s="155"/>
      <c r="G89"/>
      <c r="H89"/>
      <c r="I89"/>
      <c r="J89"/>
      <c r="K89"/>
      <c r="L89"/>
      <c r="M89"/>
      <c r="N89"/>
      <c r="O89"/>
      <c r="P89"/>
      <c r="Q89"/>
      <c r="R89" s="153"/>
      <c r="S89"/>
      <c r="T89"/>
    </row>
    <row r="90" ht="15" customHeight="true" x14ac:dyDescent="0.2">
      <c r="A90" s="77"/>
      <c r="F90" s="155"/>
      <c r="G90"/>
      <c r="H90"/>
      <c r="I90"/>
      <c r="J90"/>
      <c r="K90" s="56" t="s">
        <v>154</v>
      </c>
      <c r="L90"/>
      <c r="M90"/>
      <c r="N90"/>
      <c r="O90" s="56" t="s">
        <v>155</v>
      </c>
      <c r="P90"/>
      <c r="Q90"/>
      <c r="R90" s="153"/>
      <c r="S90"/>
      <c r="T90"/>
    </row>
    <row r="91" ht="15" customHeight="true" x14ac:dyDescent="0.2">
      <c r="A91" s="77"/>
      <c r="F91" s="155"/>
      <c r="G91"/>
      <c r="H91"/>
      <c r="I91"/>
      <c r="J91"/>
      <c r="K91"/>
      <c r="L91"/>
      <c r="M91"/>
      <c r="N91"/>
      <c r="O91"/>
      <c r="P91"/>
      <c r="Q91"/>
      <c r="R91" s="153"/>
      <c r="S91"/>
      <c r="T91"/>
    </row>
    <row r="92" ht="15" customHeight="true" x14ac:dyDescent="0.2">
      <c r="A92" s="77"/>
      <c r="F92" s="155"/>
      <c r="G92"/>
      <c r="H92"/>
      <c r="I92"/>
      <c r="J92"/>
      <c r="K92"/>
      <c r="L92"/>
      <c r="M92"/>
      <c r="N92"/>
      <c r="O92"/>
      <c r="P92"/>
      <c r="Q92"/>
      <c r="R92" s="153"/>
      <c r="S92"/>
      <c r="T92"/>
    </row>
    <row r="93" ht="15" customHeight="true" x14ac:dyDescent="0.2">
      <c r="A93" s="77"/>
      <c r="F93" s="155"/>
      <c r="G93"/>
      <c r="H93"/>
      <c r="I93"/>
      <c r="J93"/>
      <c r="K93"/>
      <c r="L93"/>
      <c r="M93"/>
      <c r="N93"/>
      <c r="O93"/>
      <c r="P93"/>
      <c r="Q93"/>
      <c r="R93" s="153"/>
      <c r="S93"/>
      <c r="T93"/>
    </row>
    <row r="94" ht="15" customHeight="true" x14ac:dyDescent="0.2">
      <c r="A94" s="77"/>
      <c r="F94" s="155"/>
      <c r="G94"/>
      <c r="H94"/>
      <c r="I94"/>
      <c r="J94"/>
      <c r="K94"/>
      <c r="L94"/>
      <c r="M94"/>
      <c r="N94"/>
      <c r="O94"/>
      <c r="P94"/>
      <c r="Q94"/>
      <c r="R94" s="153"/>
      <c r="S94"/>
      <c r="T94"/>
    </row>
    <row r="95" ht="15" customHeight="true" x14ac:dyDescent="0.2">
      <c r="A95" s="77"/>
      <c r="F95" s="155"/>
      <c r="G95"/>
      <c r="H95"/>
      <c r="I95"/>
      <c r="J95"/>
      <c r="K95"/>
      <c r="L95"/>
      <c r="M95"/>
      <c r="N95"/>
      <c r="O95"/>
      <c r="P95"/>
      <c r="Q95"/>
      <c r="R95" s="153"/>
      <c r="S95"/>
      <c r="T95"/>
    </row>
    <row r="96" ht="15" customHeight="true" x14ac:dyDescent="0.2">
      <c r="A96" s="77"/>
      <c r="F96" s="155"/>
      <c r="G96"/>
      <c r="H96"/>
      <c r="I96"/>
      <c r="J96"/>
      <c r="K96"/>
      <c r="L96"/>
      <c r="M96"/>
      <c r="N96"/>
      <c r="O96"/>
      <c r="P96"/>
      <c r="Q96"/>
      <c r="R96" s="153"/>
      <c r="S96"/>
      <c r="T96"/>
    </row>
    <row r="97" ht="15" customHeight="true" x14ac:dyDescent="0.2">
      <c r="A97" s="77"/>
      <c r="F97" s="155"/>
      <c r="G97"/>
      <c r="H97"/>
      <c r="I97"/>
      <c r="J97"/>
      <c r="K97"/>
      <c r="L97"/>
      <c r="M97"/>
      <c r="N97"/>
      <c r="O97"/>
      <c r="P97"/>
      <c r="Q97"/>
      <c r="R97" s="153"/>
      <c r="S97"/>
      <c r="T97"/>
    </row>
    <row r="98" ht="15" customHeight="true" x14ac:dyDescent="0.2">
      <c r="A98" s="77"/>
      <c r="F98" s="155"/>
      <c r="G98"/>
      <c r="H98"/>
      <c r="I98"/>
      <c r="J98"/>
      <c r="K98"/>
      <c r="L98"/>
      <c r="M98"/>
      <c r="N98"/>
      <c r="O98"/>
      <c r="P98"/>
      <c r="Q98"/>
      <c r="R98" s="153"/>
      <c r="S98"/>
      <c r="T98"/>
    </row>
    <row r="99" ht="15" customHeight="true" x14ac:dyDescent="0.2">
      <c r="A99" s="77"/>
      <c r="F99" s="155"/>
      <c r="G99"/>
      <c r="H99"/>
      <c r="I99"/>
      <c r="J99"/>
      <c r="K99"/>
      <c r="L99"/>
      <c r="M99"/>
      <c r="N99"/>
      <c r="O99"/>
      <c r="P99"/>
      <c r="Q99"/>
      <c r="R99" s="153"/>
      <c r="S99"/>
      <c r="T99"/>
    </row>
    <row r="100" ht="15" customHeight="true" x14ac:dyDescent="0.2">
      <c r="A100" s="77"/>
      <c r="F100" s="155"/>
      <c r="G100"/>
      <c r="H100"/>
      <c r="I100"/>
      <c r="J100"/>
      <c r="K100"/>
      <c r="L100"/>
      <c r="M100"/>
      <c r="N100"/>
      <c r="O100"/>
      <c r="P100"/>
      <c r="Q100"/>
      <c r="R100" s="153"/>
      <c r="S100"/>
      <c r="T100"/>
    </row>
    <row r="101" ht="15" customHeight="true" x14ac:dyDescent="0.2">
      <c r="A101" s="77"/>
      <c r="F101" s="155"/>
      <c r="G101"/>
      <c r="H101"/>
      <c r="I101"/>
      <c r="J101"/>
      <c r="K101"/>
      <c r="L101"/>
      <c r="M101"/>
      <c r="N101"/>
      <c r="O101"/>
      <c r="P101"/>
      <c r="Q101"/>
      <c r="R101" s="153"/>
      <c r="S101"/>
      <c r="T101"/>
    </row>
    <row r="102" ht="15" customHeight="true" x14ac:dyDescent="0.2">
      <c r="A102" s="77"/>
      <c r="F102" s="155"/>
      <c r="G102"/>
      <c r="H102"/>
      <c r="I102"/>
      <c r="J102"/>
      <c r="K102"/>
      <c r="L102"/>
      <c r="M102"/>
      <c r="N102"/>
      <c r="O102"/>
      <c r="P102"/>
      <c r="Q102"/>
      <c r="R102" s="153"/>
      <c r="S102"/>
      <c r="T102"/>
    </row>
    <row r="103" ht="15" customHeight="true" x14ac:dyDescent="0.2">
      <c r="A103" s="77"/>
      <c r="F103" s="155"/>
      <c r="G103"/>
      <c r="H103"/>
      <c r="I103"/>
      <c r="J103"/>
      <c r="K103"/>
      <c r="L103"/>
      <c r="M103"/>
      <c r="N103"/>
      <c r="O103"/>
      <c r="P103"/>
      <c r="Q103"/>
      <c r="R103" s="153"/>
      <c r="S103"/>
      <c r="T103"/>
    </row>
    <row r="104" ht="15" customHeight="true" x14ac:dyDescent="0.2">
      <c r="A104" s="77"/>
      <c r="F104" s="155"/>
      <c r="G104"/>
      <c r="H104"/>
      <c r="I104"/>
      <c r="J104"/>
      <c r="K104"/>
      <c r="L104"/>
      <c r="M104"/>
      <c r="N104"/>
      <c r="O104"/>
      <c r="P104"/>
      <c r="Q104"/>
      <c r="R104" s="153"/>
      <c r="S104"/>
      <c r="T104"/>
    </row>
    <row r="105" ht="15" customHeight="true" x14ac:dyDescent="0.2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ht="15" customHeight="true" x14ac:dyDescent="0.2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ht="15" customHeight="true" x14ac:dyDescent="0.2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ht="15" customHeight="true" x14ac:dyDescent="0.2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ht="15" customHeight="true" x14ac:dyDescent="0.2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ht="15" customHeight="true" x14ac:dyDescent="0.2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ht="15" customHeight="true" x14ac:dyDescent="0.2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ht="15" customHeight="true" x14ac:dyDescent="0.2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="77" customFormat="true" ht="15" customHeight="true" x14ac:dyDescent="0.2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="77" customFormat="true" ht="15" customHeight="true" x14ac:dyDescent="0.2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="77" customFormat="true" ht="15" customHeight="true" x14ac:dyDescent="0.2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="77" customFormat="true" ht="15" customHeight="true" x14ac:dyDescent="0.2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="77" customFormat="true" ht="15" customHeight="true" x14ac:dyDescent="0.2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="77" customFormat="true" ht="15" customHeight="true" x14ac:dyDescent="0.2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="77" customFormat="true" ht="15" customHeight="true" x14ac:dyDescent="0.2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="77" customFormat="true" ht="15" customHeight="true" x14ac:dyDescent="0.2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="77" customFormat="true" ht="15" customHeight="true" x14ac:dyDescent="0.2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="77" customFormat="true" ht="15" customHeight="true" x14ac:dyDescent="0.2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="77" customFormat="true" ht="15" customHeight="true" x14ac:dyDescent="0.2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="77" customFormat="true" ht="15" customHeight="true" x14ac:dyDescent="0.2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="77" customFormat="true" ht="15" customHeight="true" x14ac:dyDescent="0.2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="77" customFormat="true" ht="15" customHeight="true" x14ac:dyDescent="0.2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="77" customFormat="true" ht="15" customHeight="true" x14ac:dyDescent="0.2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="77" customFormat="true" ht="15" customHeight="true" x14ac:dyDescent="0.2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="77" customFormat="true" ht="15" customHeight="true" x14ac:dyDescent="0.2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="77" customFormat="true" ht="15" customHeight="true" x14ac:dyDescent="0.2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="77" customFormat="true" ht="15" customHeight="true" x14ac:dyDescent="0.2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="77" customFormat="true" ht="15" customHeight="true" x14ac:dyDescent="0.2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="77" customFormat="true" ht="15" customHeight="true" x14ac:dyDescent="0.2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="77" customFormat="true" ht="15" customHeight="true" x14ac:dyDescent="0.2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="77" customFormat="true" ht="15" customHeight="true" x14ac:dyDescent="0.2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="77" customFormat="true" ht="15" customHeight="true" x14ac:dyDescent="0.2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="77" customFormat="true" ht="15" customHeight="true" x14ac:dyDescent="0.2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="77" customFormat="true" ht="15" customHeight="true" x14ac:dyDescent="0.2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="77" customFormat="true" ht="15" customHeight="true" x14ac:dyDescent="0.2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="77" customFormat="true" ht="15" customHeight="true" x14ac:dyDescent="0.2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="77" customFormat="true" ht="15" customHeight="true" x14ac:dyDescent="0.2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="77" customFormat="true" ht="15" customHeight="true" x14ac:dyDescent="0.2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="77" customFormat="true" ht="15" customHeight="true" x14ac:dyDescent="0.2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="77" customFormat="true" ht="15" customHeight="true" x14ac:dyDescent="0.2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="77" customFormat="true" ht="15" customHeight="true" x14ac:dyDescent="0.2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="77" customFormat="true" ht="15" customHeight="true" x14ac:dyDescent="0.2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="77" customFormat="true" ht="15" customHeight="true" x14ac:dyDescent="0.2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="77" customFormat="true" ht="15" customHeight="true" x14ac:dyDescent="0.2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="77" customFormat="true" ht="15" customHeight="true" x14ac:dyDescent="0.2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="77" customFormat="true" ht="15" customHeight="true" x14ac:dyDescent="0.2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="77" customFormat="true" ht="15" customHeight="true" x14ac:dyDescent="0.2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="77" customFormat="true" ht="15" customHeight="true" x14ac:dyDescent="0.2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="77" customFormat="true" ht="15" customHeight="true" x14ac:dyDescent="0.2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="77" customFormat="true" ht="15" customHeight="true" x14ac:dyDescent="0.2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="77" customFormat="true" ht="15" customHeight="true" x14ac:dyDescent="0.2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="77" customFormat="true" ht="15" customHeight="true" x14ac:dyDescent="0.2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="77" customFormat="true" ht="15" customHeight="true" x14ac:dyDescent="0.2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="77" customFormat="true" ht="15" customHeight="true" x14ac:dyDescent="0.2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="77" customFormat="true" ht="15" customHeight="true" x14ac:dyDescent="0.2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="77" customFormat="true" ht="15" customHeight="true" x14ac:dyDescent="0.2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="77" customFormat="true" ht="15" customHeight="true" x14ac:dyDescent="0.2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="77" customFormat="true" ht="15" customHeight="true" x14ac:dyDescent="0.2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="77" customFormat="true" ht="15" customHeight="true" x14ac:dyDescent="0.2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="77" customFormat="true" ht="15" customHeight="true" x14ac:dyDescent="0.2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="77" customFormat="true" ht="15" customHeight="true" x14ac:dyDescent="0.2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="77" customFormat="true" ht="15" customHeight="true" x14ac:dyDescent="0.2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="77" customFormat="true" ht="15" customHeight="true" x14ac:dyDescent="0.2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="77" customFormat="true" ht="15" customHeight="true" x14ac:dyDescent="0.2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="77" customFormat="true" ht="15" customHeight="true" x14ac:dyDescent="0.2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="77" customFormat="true" ht="15" customHeight="true" x14ac:dyDescent="0.2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="77" customFormat="true" ht="15" customHeight="true" x14ac:dyDescent="0.2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="77" customFormat="true" ht="15" customHeight="true" x14ac:dyDescent="0.2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="77" customFormat="true" ht="15" customHeight="true" x14ac:dyDescent="0.2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="77" customFormat="true" ht="15" customHeight="true" x14ac:dyDescent="0.2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="77" customFormat="true" ht="15" customHeight="true" x14ac:dyDescent="0.2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="77" customFormat="true" ht="15" customHeight="true" x14ac:dyDescent="0.2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="77" customFormat="true" ht="15" customHeight="true" x14ac:dyDescent="0.2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="77" customFormat="true" ht="15" customHeight="true" x14ac:dyDescent="0.2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="77" customFormat="true" ht="15" customHeight="true" x14ac:dyDescent="0.2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="77" customFormat="true" ht="15" customHeight="true" x14ac:dyDescent="0.2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="77" customFormat="true" ht="15" customHeight="true" x14ac:dyDescent="0.2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="77" customFormat="true" ht="15" customHeight="true" x14ac:dyDescent="0.2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="77" customFormat="true" ht="15" customHeight="true" x14ac:dyDescent="0.2">
      <c r="K183" s="137"/>
      <c r="L183" s="131"/>
      <c r="M183" s="137"/>
      <c r="N183" s="131"/>
      <c r="O183" s="137"/>
      <c r="P183" s="131"/>
    </row>
    <row r="184" s="77" customFormat="true" ht="15" customHeight="true" x14ac:dyDescent="0.2">
      <c r="K184" s="137"/>
      <c r="L184" s="131"/>
      <c r="M184" s="137"/>
      <c r="N184" s="131"/>
      <c r="O184" s="137"/>
      <c r="P184" s="131"/>
    </row>
    <row r="185" s="77" customFormat="true" ht="15" customHeight="true" x14ac:dyDescent="0.2">
      <c r="K185" s="137"/>
      <c r="L185" s="131"/>
      <c r="M185" s="137"/>
      <c r="N185" s="131"/>
      <c r="O185" s="137"/>
      <c r="P185" s="131"/>
    </row>
    <row r="186" s="77" customFormat="true" ht="15" customHeight="true" x14ac:dyDescent="0.2">
      <c r="K186" s="137"/>
      <c r="L186" s="131"/>
      <c r="M186" s="137"/>
      <c r="N186" s="131"/>
      <c r="O186" s="137"/>
      <c r="P186" s="131"/>
    </row>
    <row r="187" s="77" customFormat="true" ht="15" customHeight="true" x14ac:dyDescent="0.2">
      <c r="K187" s="137"/>
      <c r="L187" s="131"/>
      <c r="M187" s="137"/>
      <c r="N187" s="131"/>
      <c r="O187" s="137"/>
      <c r="P187" s="131"/>
    </row>
    <row r="188" s="77" customFormat="true" ht="15" customHeight="true" x14ac:dyDescent="0.2">
      <c r="K188" s="137"/>
      <c r="L188" s="131"/>
      <c r="M188" s="137"/>
      <c r="N188" s="131"/>
      <c r="O188" s="137"/>
      <c r="P188" s="13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K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" sqref="F3"/>
    </sheetView>
  </sheetViews>
  <sheetFormatPr baseColWidth="10" defaultColWidth="8.83203125" defaultRowHeight="13" x14ac:dyDescent="0.15"/>
  <cols>
    <col min="1" max="1" width="40" bestFit="true" customWidth="true"/>
    <col min="2" max="5" width="7.83203125" style="154" customWidth="true"/>
    <col min="6" max="77" width="8.83203125" style="3"/>
    <col min="78" max="78" width="22.1640625" style="3" bestFit="true" customWidth="true"/>
    <col min="79" max="88" width="8.83203125" style="3"/>
  </cols>
  <sheetData>
    <row r="1" x14ac:dyDescent="0.15">
      <c r="A1" s="2" t="s">
        <v>158</v>
      </c>
      <c r="B1" s="34" t="s">
        <v>159</v>
      </c>
      <c r="C1" s="34" t="s">
        <v>17</v>
      </c>
      <c r="D1" s="34" t="s">
        <v>160</v>
      </c>
      <c r="E1" s="34" t="s">
        <v>161</v>
      </c>
      <c r="F1" s="155" t="s">
        <v>38</v>
      </c>
      <c r="G1" s="155" t="s">
        <v>40</v>
      </c>
      <c r="H1" s="155" t="s">
        <v>41</v>
      </c>
      <c r="I1" s="155" t="s">
        <v>181</v>
      </c>
      <c r="J1" s="155" t="s">
        <v>182</v>
      </c>
      <c r="K1" s="155" t="s">
        <v>183</v>
      </c>
      <c r="L1" s="155" t="s">
        <v>184</v>
      </c>
      <c r="M1" s="155" t="s">
        <v>185</v>
      </c>
      <c r="N1" s="155" t="s">
        <v>186</v>
      </c>
      <c r="O1" s="155" t="s">
        <v>187</v>
      </c>
      <c r="P1" s="155" t="s">
        <v>188</v>
      </c>
      <c r="Q1" s="155" t="s">
        <v>189</v>
      </c>
      <c r="R1" s="155" t="s">
        <v>190</v>
      </c>
      <c r="S1" s="155" t="s">
        <v>191</v>
      </c>
      <c r="T1" s="155" t="s">
        <v>192</v>
      </c>
      <c r="U1" s="155" t="s">
        <v>193</v>
      </c>
      <c r="V1" s="155" t="s">
        <v>194</v>
      </c>
      <c r="W1" s="155" t="s">
        <v>195</v>
      </c>
      <c r="X1" s="155" t="s">
        <v>196</v>
      </c>
      <c r="Y1" s="155" t="s">
        <v>197</v>
      </c>
      <c r="Z1" s="155" t="s">
        <v>198</v>
      </c>
      <c r="AA1" s="155" t="s">
        <v>199</v>
      </c>
      <c r="AB1" s="155" t="s">
        <v>200</v>
      </c>
      <c r="AC1" s="155" t="s">
        <v>201</v>
      </c>
      <c r="AD1" s="155" t="s">
        <v>202</v>
      </c>
      <c r="AE1" s="155" t="s">
        <v>203</v>
      </c>
      <c r="AF1" s="155" t="s">
        <v>204</v>
      </c>
      <c r="AG1" s="155" t="s">
        <v>205</v>
      </c>
      <c r="AH1" s="155" t="s">
        <v>206</v>
      </c>
      <c r="AI1" s="155" t="s">
        <v>207</v>
      </c>
      <c r="AJ1" s="155" t="s">
        <v>208</v>
      </c>
      <c r="AK1" s="155" t="s">
        <v>209</v>
      </c>
      <c r="AL1" s="155" t="s">
        <v>210</v>
      </c>
      <c r="AM1" s="155" t="s">
        <v>211</v>
      </c>
      <c r="AN1" s="155" t="s">
        <v>212</v>
      </c>
      <c r="AO1" s="155" t="s">
        <v>213</v>
      </c>
      <c r="AP1" s="155" t="s">
        <v>214</v>
      </c>
      <c r="AQ1" s="155" t="s">
        <v>215</v>
      </c>
      <c r="AR1" s="155" t="s">
        <v>216</v>
      </c>
      <c r="AS1" s="155" t="s">
        <v>217</v>
      </c>
      <c r="AT1" s="155" t="s">
        <v>218</v>
      </c>
      <c r="AU1" s="155" t="s">
        <v>219</v>
      </c>
      <c r="AV1" s="155" t="s">
        <v>220</v>
      </c>
      <c r="AW1" s="155" t="s">
        <v>221</v>
      </c>
      <c r="AX1" s="155" t="s">
        <v>222</v>
      </c>
      <c r="AY1" s="155" t="s">
        <v>223</v>
      </c>
      <c r="AZ1" s="155" t="s">
        <v>224</v>
      </c>
      <c r="BA1" s="155" t="s">
        <v>225</v>
      </c>
      <c r="BB1" s="155" t="s">
        <v>226</v>
      </c>
      <c r="BC1" s="155" t="s">
        <v>227</v>
      </c>
      <c r="BD1" s="155" t="s">
        <v>228</v>
      </c>
      <c r="BE1" s="155" t="s">
        <v>229</v>
      </c>
      <c r="BF1" s="155" t="s">
        <v>230</v>
      </c>
      <c r="BG1" s="220" t="s">
        <v>231</v>
      </c>
      <c r="BH1" s="155" t="s">
        <v>233</v>
      </c>
      <c r="BI1" s="155" t="s">
        <v>234</v>
      </c>
      <c r="BJ1" s="155" t="s">
        <v>235</v>
      </c>
      <c r="BK1" s="155" t="s">
        <v>237</v>
      </c>
      <c r="BL1" s="155" t="s">
        <v>238</v>
      </c>
      <c r="BM1" s="155" t="s">
        <v>239</v>
      </c>
      <c r="BN1" s="155" t="s">
        <v>240</v>
      </c>
      <c r="BO1" s="155" t="s">
        <v>241</v>
      </c>
      <c r="BP1" s="155" t="s">
        <v>242</v>
      </c>
      <c r="BQ1" s="155" t="s">
        <v>243</v>
      </c>
      <c r="BR1" s="155" t="s">
        <v>244</v>
      </c>
      <c r="BS1" s="155" t="s">
        <v>245</v>
      </c>
      <c r="BT1" s="155" t="s">
        <v>246</v>
      </c>
      <c r="BU1" s="155" t="s">
        <v>247</v>
      </c>
      <c r="BV1" s="155" t="s">
        <v>248</v>
      </c>
      <c r="BW1" s="155" t="s">
        <v>249</v>
      </c>
      <c r="BX1" s="155" t="s">
        <v>250</v>
      </c>
      <c r="BY1" s="155" t="s">
        <v>175</v>
      </c>
      <c r="BZ1" s="155" t="s">
        <v>251</v>
      </c>
      <c r="CA1" s="155" t="s">
        <v>252</v>
      </c>
      <c r="CB1" s="155" t="s">
        <v>253</v>
      </c>
      <c r="CC1" s="155" t="s">
        <v>254</v>
      </c>
      <c r="CD1" s="155" t="s">
        <v>255</v>
      </c>
      <c r="CE1" s="155" t="s">
        <v>256</v>
      </c>
      <c r="CF1" s="155" t="s">
        <v>257</v>
      </c>
      <c r="CG1" s="155" t="s">
        <v>258</v>
      </c>
      <c r="CH1" s="155" t="s">
        <v>259</v>
      </c>
      <c r="CI1" s="155" t="s">
        <v>260</v>
      </c>
      <c r="CJ1" s="155" t="s">
        <v>261</v>
      </c>
      <c r="CK1" s="155" t="s">
        <v>262</v>
      </c>
    </row>
    <row r="2" x14ac:dyDescent="0.15">
      <c r="A2" s="155" t="s">
        <v>38</v>
      </c>
      <c r="B2" s="15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</row>
    <row r="3" x14ac:dyDescent="0.15">
      <c r="A3" s="155" t="s">
        <v>40</v>
      </c>
      <c r="B3" s="15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</row>
    <row r="4" x14ac:dyDescent="0.15">
      <c r="A4" s="155" t="s">
        <v>41</v>
      </c>
      <c r="B4" s="15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 x14ac:dyDescent="0.15">
      <c r="A5" s="155" t="s">
        <v>181</v>
      </c>
      <c r="B5" s="15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x14ac:dyDescent="0.15">
      <c r="A6" s="155" t="s">
        <v>182</v>
      </c>
      <c r="B6" s="15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 x14ac:dyDescent="0.15">
      <c r="A7" s="155" t="s">
        <v>183</v>
      </c>
      <c r="B7" s="15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x14ac:dyDescent="0.15">
      <c r="A8" s="155" t="s">
        <v>184</v>
      </c>
      <c r="B8" s="15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 x14ac:dyDescent="0.15">
      <c r="A9" s="155" t="s">
        <v>185</v>
      </c>
      <c r="B9" s="15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 x14ac:dyDescent="0.15">
      <c r="A10" s="155" t="s">
        <v>186</v>
      </c>
      <c r="B10" s="15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 x14ac:dyDescent="0.15">
      <c r="A11" s="155" t="s">
        <v>187</v>
      </c>
      <c r="B11" s="15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 x14ac:dyDescent="0.15">
      <c r="A12" s="155" t="s">
        <v>188</v>
      </c>
      <c r="B12" s="15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 x14ac:dyDescent="0.15">
      <c r="A13" s="155" t="s">
        <v>189</v>
      </c>
      <c r="B13" s="15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 x14ac:dyDescent="0.15">
      <c r="A14" s="155" t="s">
        <v>190</v>
      </c>
      <c r="B14" s="15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 x14ac:dyDescent="0.15">
      <c r="A15" s="155" t="s">
        <v>191</v>
      </c>
      <c r="B15" s="15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 x14ac:dyDescent="0.15">
      <c r="A16" s="155" t="s">
        <v>192</v>
      </c>
      <c r="B16" s="15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 x14ac:dyDescent="0.15">
      <c r="A17" s="155" t="s">
        <v>193</v>
      </c>
      <c r="B17" s="15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  <row r="18" x14ac:dyDescent="0.15">
      <c r="A18" s="155" t="s">
        <v>194</v>
      </c>
      <c r="B18" s="15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</row>
    <row r="19" x14ac:dyDescent="0.15">
      <c r="A19" s="155" t="s">
        <v>195</v>
      </c>
      <c r="B19" s="15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</row>
    <row r="20" x14ac:dyDescent="0.15">
      <c r="A20" s="155" t="s">
        <v>196</v>
      </c>
      <c r="B20" s="15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</row>
    <row r="21" x14ac:dyDescent="0.15">
      <c r="A21" s="155" t="s">
        <v>197</v>
      </c>
      <c r="B21" s="15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</row>
    <row r="22" x14ac:dyDescent="0.15">
      <c r="A22" s="155" t="s">
        <v>198</v>
      </c>
      <c r="B22" s="15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</row>
    <row r="23" x14ac:dyDescent="0.15">
      <c r="A23" s="155" t="s">
        <v>199</v>
      </c>
      <c r="B23" s="15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</row>
    <row r="24" x14ac:dyDescent="0.15">
      <c r="A24" s="155" t="s">
        <v>200</v>
      </c>
      <c r="B24" s="15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</row>
    <row r="25" x14ac:dyDescent="0.15">
      <c r="A25" s="155" t="s">
        <v>201</v>
      </c>
      <c r="B25" s="15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</row>
    <row r="26" x14ac:dyDescent="0.15">
      <c r="A26" s="155" t="s">
        <v>202</v>
      </c>
      <c r="B26" s="15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</row>
    <row r="27" x14ac:dyDescent="0.15">
      <c r="A27" s="155" t="s">
        <v>203</v>
      </c>
      <c r="B27" s="15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</row>
    <row r="28" x14ac:dyDescent="0.15">
      <c r="A28" s="155" t="s">
        <v>204</v>
      </c>
      <c r="B28" s="15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</row>
    <row r="29" x14ac:dyDescent="0.15">
      <c r="A29" s="155" t="s">
        <v>205</v>
      </c>
      <c r="B29" s="15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</row>
    <row r="30" x14ac:dyDescent="0.15">
      <c r="A30" s="155" t="s">
        <v>206</v>
      </c>
      <c r="B30" s="15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</row>
    <row r="31" x14ac:dyDescent="0.15">
      <c r="A31" s="155" t="s">
        <v>207</v>
      </c>
      <c r="B31" s="15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</row>
    <row r="32" x14ac:dyDescent="0.15">
      <c r="A32" s="155" t="s">
        <v>208</v>
      </c>
      <c r="B32" s="15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</row>
    <row r="33" x14ac:dyDescent="0.15">
      <c r="A33" s="155" t="s">
        <v>209</v>
      </c>
      <c r="B33" s="15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</row>
    <row r="34" x14ac:dyDescent="0.15">
      <c r="A34" s="155" t="s">
        <v>210</v>
      </c>
      <c r="B34" s="15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</row>
    <row r="35" x14ac:dyDescent="0.15">
      <c r="A35" s="155" t="s">
        <v>211</v>
      </c>
      <c r="B35" s="15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</row>
    <row r="36" x14ac:dyDescent="0.15">
      <c r="A36" s="155" t="s">
        <v>212</v>
      </c>
      <c r="B36" s="154">
        <v>0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</row>
    <row r="37" x14ac:dyDescent="0.15">
      <c r="A37" s="155" t="s">
        <v>213</v>
      </c>
      <c r="B37" s="154"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</row>
    <row r="38" x14ac:dyDescent="0.15">
      <c r="A38" s="155" t="s">
        <v>214</v>
      </c>
      <c r="B38" s="15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</row>
    <row r="39" x14ac:dyDescent="0.15">
      <c r="A39" s="155" t="s">
        <v>215</v>
      </c>
      <c r="B39" s="154">
        <v>0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</row>
    <row r="40" x14ac:dyDescent="0.15">
      <c r="A40" s="155" t="s">
        <v>216</v>
      </c>
      <c r="B40" s="154">
        <v>0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</row>
    <row r="41" x14ac:dyDescent="0.15">
      <c r="A41" s="155" t="s">
        <v>217</v>
      </c>
      <c r="B41" s="154"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</row>
    <row r="42" x14ac:dyDescent="0.15">
      <c r="A42" s="155" t="s">
        <v>218</v>
      </c>
      <c r="B42" s="154"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</row>
    <row r="43" x14ac:dyDescent="0.15">
      <c r="A43" s="155" t="s">
        <v>219</v>
      </c>
      <c r="B43" s="154"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</row>
    <row r="44" x14ac:dyDescent="0.15">
      <c r="A44" s="155" t="s">
        <v>220</v>
      </c>
      <c r="B44" s="154"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</row>
    <row r="45" x14ac:dyDescent="0.15">
      <c r="A45" s="155" t="s">
        <v>221</v>
      </c>
      <c r="B45" s="154">
        <v>0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</row>
    <row r="46" x14ac:dyDescent="0.15">
      <c r="A46" s="155" t="s">
        <v>222</v>
      </c>
      <c r="B46" s="154">
        <v>0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</row>
    <row r="47" x14ac:dyDescent="0.15">
      <c r="A47" s="155" t="s">
        <v>223</v>
      </c>
      <c r="B47" s="154">
        <v>0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</row>
    <row r="48" x14ac:dyDescent="0.15">
      <c r="A48" s="155" t="s">
        <v>224</v>
      </c>
      <c r="B48" s="154">
        <v>0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</row>
    <row r="49" x14ac:dyDescent="0.15">
      <c r="A49" s="155" t="s">
        <v>225</v>
      </c>
      <c r="B49" s="154">
        <v>0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</row>
    <row r="50" x14ac:dyDescent="0.15">
      <c r="A50" s="155" t="s">
        <v>226</v>
      </c>
      <c r="B50" s="154">
        <v>0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</row>
    <row r="51" x14ac:dyDescent="0.15">
      <c r="A51" s="155" t="s">
        <v>227</v>
      </c>
      <c r="B51" s="154">
        <v>0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</row>
    <row r="52" x14ac:dyDescent="0.15">
      <c r="A52" s="155" t="s">
        <v>228</v>
      </c>
      <c r="B52" s="154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</row>
    <row r="53" x14ac:dyDescent="0.15">
      <c r="A53" s="155" t="s">
        <v>229</v>
      </c>
      <c r="B53" s="154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</row>
    <row r="54" x14ac:dyDescent="0.15">
      <c r="A54" s="155" t="s">
        <v>230</v>
      </c>
      <c r="B54" s="154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</row>
    <row r="55" x14ac:dyDescent="0.15">
      <c r="A55" s="220" t="s">
        <v>231</v>
      </c>
      <c r="B55" s="154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</row>
    <row r="56" x14ac:dyDescent="0.15">
      <c r="A56" s="155" t="s">
        <v>233</v>
      </c>
      <c r="B56" s="154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</row>
    <row r="57" x14ac:dyDescent="0.15">
      <c r="A57" s="155" t="s">
        <v>234</v>
      </c>
      <c r="B57" s="154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</row>
    <row r="58" x14ac:dyDescent="0.15">
      <c r="A58" s="155" t="s">
        <v>235</v>
      </c>
      <c r="B58" s="154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</row>
    <row r="59" x14ac:dyDescent="0.15">
      <c r="A59" s="155" t="s">
        <v>237</v>
      </c>
      <c r="B59" s="154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</row>
    <row r="60" x14ac:dyDescent="0.15">
      <c r="A60" s="155" t="s">
        <v>238</v>
      </c>
      <c r="B60" s="154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</row>
    <row r="61" x14ac:dyDescent="0.15">
      <c r="A61" s="155" t="s">
        <v>239</v>
      </c>
      <c r="B61" s="154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</row>
    <row r="62" x14ac:dyDescent="0.15">
      <c r="A62" s="155" t="s">
        <v>240</v>
      </c>
      <c r="B62" s="154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</row>
    <row r="63" x14ac:dyDescent="0.15">
      <c r="A63" s="155" t="s">
        <v>241</v>
      </c>
      <c r="B63" s="154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</row>
    <row r="64" x14ac:dyDescent="0.15">
      <c r="A64" s="155" t="s">
        <v>242</v>
      </c>
      <c r="B64" s="154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</row>
    <row r="65" x14ac:dyDescent="0.15">
      <c r="A65" s="155" t="s">
        <v>243</v>
      </c>
      <c r="B65" s="154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</row>
    <row r="66" x14ac:dyDescent="0.15">
      <c r="A66" s="155" t="s">
        <v>244</v>
      </c>
      <c r="B66" s="154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</row>
    <row r="67" x14ac:dyDescent="0.15">
      <c r="A67" s="155" t="s">
        <v>245</v>
      </c>
      <c r="B67" s="154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</row>
    <row r="68" x14ac:dyDescent="0.15">
      <c r="A68" s="155" t="s">
        <v>246</v>
      </c>
      <c r="B68" s="154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</row>
    <row r="69" x14ac:dyDescent="0.15">
      <c r="A69" s="155" t="s">
        <v>247</v>
      </c>
      <c r="B69" s="154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</row>
    <row r="70" x14ac:dyDescent="0.15">
      <c r="A70" s="155" t="s">
        <v>248</v>
      </c>
      <c r="B70" s="154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</row>
    <row r="71" x14ac:dyDescent="0.15">
      <c r="A71" s="155" t="s">
        <v>249</v>
      </c>
      <c r="B71" s="154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</row>
    <row r="72" x14ac:dyDescent="0.15">
      <c r="A72" s="155" t="s">
        <v>250</v>
      </c>
      <c r="B72" s="154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</row>
    <row r="73" x14ac:dyDescent="0.15">
      <c r="A73" s="155" t="s">
        <v>175</v>
      </c>
      <c r="B73" s="154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</row>
    <row r="74" x14ac:dyDescent="0.15">
      <c r="A74" s="155" t="s">
        <v>251</v>
      </c>
      <c r="B74" s="154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</row>
    <row r="75" x14ac:dyDescent="0.15">
      <c r="A75" s="155" t="s">
        <v>252</v>
      </c>
      <c r="B75" s="154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</row>
    <row r="76" x14ac:dyDescent="0.15">
      <c r="A76" s="155" t="s">
        <v>253</v>
      </c>
      <c r="B76" s="154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</row>
    <row r="77" x14ac:dyDescent="0.15">
      <c r="A77" s="155" t="s">
        <v>254</v>
      </c>
      <c r="B77" s="154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</row>
    <row r="78" x14ac:dyDescent="0.15">
      <c r="A78" s="155" t="s">
        <v>255</v>
      </c>
      <c r="B78" s="154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</row>
    <row r="79" x14ac:dyDescent="0.15">
      <c r="A79" s="155" t="s">
        <v>256</v>
      </c>
      <c r="B79" s="154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</row>
    <row r="80" x14ac:dyDescent="0.15">
      <c r="A80" s="155" t="s">
        <v>257</v>
      </c>
      <c r="B80" s="154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</row>
    <row r="81" x14ac:dyDescent="0.15">
      <c r="A81" s="155" t="s">
        <v>258</v>
      </c>
      <c r="B81" s="154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</row>
    <row r="82" x14ac:dyDescent="0.15">
      <c r="A82" s="155" t="s">
        <v>259</v>
      </c>
      <c r="B82" s="154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</row>
    <row r="83" x14ac:dyDescent="0.15">
      <c r="A83" s="155" t="s">
        <v>260</v>
      </c>
      <c r="B83" s="154"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</row>
    <row r="84" x14ac:dyDescent="0.15">
      <c r="A84" s="155" t="s">
        <v>261</v>
      </c>
      <c r="B84" s="154">
        <v>0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</row>
    <row r="85" x14ac:dyDescent="0.15">
      <c r="A85" s="155" t="s">
        <v>262</v>
      </c>
      <c r="B85" s="154">
        <v>0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</row>
    <row r="86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</row>
    <row r="89" x14ac:dyDescent="0.15">
      <c r="B89" s="56" t="s">
        <v>162</v>
      </c>
    </row>
    <row r="154" ht="15" customHeight="true" x14ac:dyDescent="0.15"/>
    <row r="155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  <row r="188" ht="15" customHeight="true" x14ac:dyDescent="0.15"/>
    <row r="192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2022-10-22T23:27:37Z</dcterms:modified>
</cp:coreProperties>
</file>