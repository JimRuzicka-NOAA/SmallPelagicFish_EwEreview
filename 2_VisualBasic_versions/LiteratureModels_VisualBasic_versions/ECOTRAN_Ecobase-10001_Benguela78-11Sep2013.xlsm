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?><Relationships xmlns="http://schemas.openxmlformats.org/package/2006/relationships"><Relationship Target="docProps/app.xml" Type="http://schemas.openxmlformats.org/officeDocument/2006/relationships/extended-properties" Id="rId3"/><Relationship Target="docProps/core.xml" Type="http://schemas.openxmlformats.org/package/2006/relationships/metadata/core-properties" Id="rId2"/><Relationship Target="xl/workbook.xml" Type="http://schemas.openxmlformats.org/officeDocument/2006/relationships/officeDocument" Id="rId1"/></Relationships>
</file>

<file path=xl/workbook.xml><?xml version="1.0" encoding="utf-8"?>
<workbook xmlns:r="http://schemas.openxmlformats.org/officeDocument/2006/relationships" xmlns="http://schemas.openxmlformats.org/spreadsheetml/2006/main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false" codeName="ThisWorkbook" checkCompatibility="true" autoCompressPictures="false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BASE_ManualEntries_READ/"/>
    </mc:Choice>
  </mc:AlternateContent>
  <xr:revisionPtr revIDLastSave="0" documentId="13_ncr:1_{2C392783-EEA4-A545-BF52-6D27A857C91F}" xr6:coauthVersionLast="45" xr6:coauthVersionMax="45" xr10:uidLastSave="{00000000-0000-0000-0000-000000000000}"/>
  <bookViews>
    <workbookView xWindow="-820" yWindow="460" windowWidth="32480" windowHeight="14320" tabRatio="728" firstSheet="4" activeTab="14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Main!$C$2:$N$47</definedName>
    <definedName name="matDetritus">Detritus!$C$2:$E$47</definedName>
    <definedName name="matDiet">Diets!$B$2:$AF$35</definedName>
    <definedName name="matDiscards">Discards!$C$2:$O$34</definedName>
    <definedName name="matFishery">Fishing!$C$2:$O$34</definedName>
    <definedName name="matFishing">Fishing!#REF!</definedName>
    <definedName name="matMort">Mortalities!$A$1:$AW$34</definedName>
    <definedName name="matOut">MainOutputs!$A$2:$I$47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 fullCalcOnLoad="true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<sst xmlns="http://schemas.openxmlformats.org/spreadsheetml/2006/main" count="1141" uniqueCount="245">
  <si>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</si>
  <si>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</si>
  <si>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</si>
  <si>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</si>
  <si>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</si>
  <si>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</si>
  <si>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</si>
  <si>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</si>
  <si>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</si>
  <si>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</si>
  <si>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</si>
  <si>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</si>
  <si>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</si>
  <si>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</si>
  <si>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</si>
  <si>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</si>
  <si>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</si>
  <si>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</si>
  <si>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</si>
  <si>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</si>
  <si>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</si>
  <si>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</si>
  <si>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</si>
  <si>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</si>
  <si>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</si>
  <si>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</si>
  <si>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</si>
  <si>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</si>
  <si>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</si>
  <si>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</si>
  <si>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</si>
  <si>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</si>
  <si>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</si>
  <si>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</si>
  <si>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</si>
  <si>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</si>
  <si>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</si>
  <si>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</si>
  <si>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</si>
  <si>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</si>
  <si>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</si>
  <si>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</si>
  <si>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</si>
  <si>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</si>
  <si>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</si>
  <si>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</si>
  <si>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</si>
  <si>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</si>
  <si>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</si>
  <si>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</si>
  <si>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</si>
  <si>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</si>
  <si>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</si>
  <si>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</si>
  <si>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</si>
  <si>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</si>
  <si>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</si>
  <si>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</si>
  <si>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</si>
  <si>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</si>
  <si>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</si>
  <si>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sum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</si>
  <si>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</si>
  <si>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</si>
  <si>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</si>
  <si>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</si>
  <si>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</si>
  <si>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</si>
  <si>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</si>
  <si>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</si>
  <si>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</si>
  <si>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</si>
  <si>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</si>
  <si>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</si>
  <si>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</si>
  <si>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</si>
  <si>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</si>
  <si>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</si>
  <si>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</si>
  <si>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</si>
  <si>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</si>
  <si>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</si>
  <si>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</si>
  <si>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</si>
  <si>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</si>
  <si>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</si>
  <si>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</si>
  <si>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</si>
  <si>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</si>
  <si>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</si>
  <si>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</si>
  <si>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</si>
  <si>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</si>
  <si>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</si>
  <si>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</si>
  <si>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</si>
  <si>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</si>
  <si>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</si>
  <si>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</si>
  <si>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</si>
  <si>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</si>
  <si>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</si>
  <si>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</si>
  <si>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</si>
  <si>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</si>
  <si>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</si>
  <si>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</si>
  <si>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</si>
  <si>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</si>
  <si>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</si>
  <si>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</si>
  <si>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</si>
  <si>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</si>
  <si>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</si>
  <si>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</si>
  <si>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</si>
  <si>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</si>
  <si>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</si>
  <si>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</si>
  <si>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</si>
  <si>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</si>
  <si>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</si>
  <si>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</si>
  <si>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</si>
  <si>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</si>
  <si>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</si>
  <si>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</si>
  <si>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</si>
  <si>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</si>
  <si>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</si>
  <si>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</si>
  <si>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</si>
  <si>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</si>
  <si>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</si>
  <si>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</si>
  <si>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</si>
  <si>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</si>
  <si>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</si>
  <si>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</si>
  <si>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</si>
  <si>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</si>
  <si>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</si>
  <si>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</si>
  <si>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</si>
  <si>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</si>
  <si>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</si>
  <si>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</si>
  <si>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</si>
  <si>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</si>
  <si>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</si>
  <si>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</si>
  <si>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</si>
  <si>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</si>
  <si>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</si>
  <si>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</si>
  <si>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NOTE: fishery discards are defined as "feces"</t>
  </si>
  <si>
    <t>NOTE: "ExcretionFate" of detritus groups is really used to define the fate of excretion by bacteria that metabolise detritus</t>
  </si>
  <si>
    <t>RetentionScaler</t>
  </si>
  <si>
    <t>( 0 = more advection &lt;--&gt; less advection =1)</t>
  </si>
  <si>
    <t>Functional Response</t>
  </si>
  <si>
    <t>A</t>
  </si>
  <si>
    <t>C</t>
  </si>
  <si>
    <t>D</t>
  </si>
  <si>
    <t>NOTE: "EL"; linear = 0; non-linear =1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</si>
  <si>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</si>
  <si>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</si>
  <si>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</si>
  <si>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</si>
  <si>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</si>
  <si>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</si>
  <si>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</si>
  <si>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</si>
  <si>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</si>
  <si>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</si>
  <si>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</si>
  <si>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Seabirds</t>
  </si>
  <si>
    <t>source notes</t>
  </si>
  <si>
    <t>Pelagic Detritus</t>
  </si>
  <si>
    <t>Detritus</t>
  </si>
  <si>
    <t>Import</t>
  </si>
  <si>
    <t>1 - sum</t>
  </si>
  <si>
    <t>Export</t>
  </si>
  <si>
    <t>Phytoplankton</t>
  </si>
  <si>
    <t>Benth producers</t>
  </si>
  <si>
    <t xml:space="preserve">Microzooplank </t>
  </si>
  <si>
    <t xml:space="preserve">Mesozooplank </t>
  </si>
  <si>
    <t xml:space="preserve">Macrozooplank </t>
  </si>
  <si>
    <t xml:space="preserve">Gelatinous zoo </t>
  </si>
  <si>
    <t>Anchovy</t>
  </si>
  <si>
    <t>Sardine</t>
  </si>
  <si>
    <t>Redeye</t>
  </si>
  <si>
    <t>Othersmallpel</t>
  </si>
  <si>
    <t>Chubmackerel</t>
  </si>
  <si>
    <t xml:space="preserve">Juv hmack </t>
  </si>
  <si>
    <t xml:space="preserve">Ad hmack </t>
  </si>
  <si>
    <t>Mesopelagics</t>
  </si>
  <si>
    <t>Snoek</t>
  </si>
  <si>
    <t>Otherlargepel</t>
  </si>
  <si>
    <t>Cephalopods</t>
  </si>
  <si>
    <t>SmallM capens</t>
  </si>
  <si>
    <t>LargeM capens</t>
  </si>
  <si>
    <t>SmallM parad</t>
  </si>
  <si>
    <t>LargeM parad</t>
  </si>
  <si>
    <t>Pelagicdemers</t>
  </si>
  <si>
    <t>Benthicdemers</t>
  </si>
  <si>
    <t>Pelagicchond</t>
  </si>
  <si>
    <t>Benthicchond</t>
  </si>
  <si>
    <t>Apexchond</t>
  </si>
  <si>
    <t>Seals</t>
  </si>
  <si>
    <t>Cetaceans</t>
  </si>
  <si>
    <t>Meiobenthos</t>
  </si>
  <si>
    <t>Macrobenthos</t>
  </si>
  <si>
    <t>PelagicDetritus</t>
  </si>
  <si>
    <t>AT: Added pelagic detritus - took biomass of 10 from benthic detritus for pelagic d.</t>
  </si>
  <si>
    <t>Fishery PurseSeine</t>
  </si>
  <si>
    <t>Fishery Midwater</t>
  </si>
  <si>
    <t>Fishery Line</t>
  </si>
  <si>
    <t>Fishery LonglineHake</t>
  </si>
  <si>
    <t>Fishery Other</t>
  </si>
  <si>
    <t>Fishery SquidTrawl</t>
  </si>
  <si>
    <t>Fishery SquidJig</t>
  </si>
  <si>
    <t>Fishery SnoekTrawl</t>
  </si>
  <si>
    <t>Fishery MCapOffshoreTrawl</t>
  </si>
  <si>
    <t>Fishery SAinoffTrawlHmack</t>
  </si>
  <si>
    <t>Fishery HakeInshoreTrawl</t>
  </si>
  <si>
    <t>Fishery demersalTrawl</t>
  </si>
  <si>
    <t>Fishery MParOffshoreTrawl</t>
  </si>
  <si>
    <t>NOTE: AT added pelagic detritus (and took from generic detritus in diets of pelagic groups)</t>
  </si>
  <si>
    <t>NOTE: the orange are AT mods (6-Sep-2013)</t>
  </si>
  <si>
    <t>Total</t>
  </si>
  <si>
    <t>THIS MADE UP BY Anne (10 Sep 2013)</t>
  </si>
  <si>
    <t>nb: discuss with Lynne</t>
  </si>
  <si>
    <t>F Fishery PurseSeine</t>
  </si>
  <si>
    <t>F Fishery Midwater</t>
  </si>
  <si>
    <t>F Fishery Line</t>
  </si>
  <si>
    <t>F Fishery LonglineHake</t>
  </si>
  <si>
    <t>F Fishery Other</t>
  </si>
  <si>
    <t>F Fishery SquidTrawl</t>
  </si>
  <si>
    <t>F Fishery SquidJig</t>
  </si>
  <si>
    <t>F Fishery SnoekTrawl</t>
  </si>
  <si>
    <t>F Fishery MCapOffshoreTrawl</t>
  </si>
  <si>
    <t>F Fishery SAinoffTrawlHmack</t>
  </si>
  <si>
    <t>F Fishery HakeInshoreTrawl</t>
  </si>
  <si>
    <t>F Fishery demersalTrawl</t>
  </si>
  <si>
    <t>F Fishery MParOffshoreTrawl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</si>
</sst>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Arial"/>
      <family val="2"/>
    </font>
    <font>
      <i/>
      <sz val="12"/>
      <name val="Arial"/>
      <family val="2"/>
    </font>
    <font>
      <b/>
      <sz val="12"/>
      <color rgb="FFFF0000"/>
      <name val="Arial"/>
      <family val="2"/>
    </font>
    <font>
      <sz val="12"/>
      <color indexed="10"/>
      <name val="Arial"/>
      <family val="2"/>
    </font>
    <font>
      <sz val="12"/>
      <color rgb="FF000000"/>
      <name val="Arial"/>
      <family val="2"/>
    </font>
    <font>
      <sz val="12"/>
      <color rgb="FF0070C0"/>
      <name val="Arial"/>
      <family val="2"/>
    </font>
    <font>
      <b/>
      <sz val="12"/>
      <color theme="6" tint="-0.24994659260842"/>
      <name val="Arial"/>
      <family val="2"/>
    </font>
    <font>
      <sz val="12"/>
      <color theme="6" tint="-0.24994659260842"/>
      <name val="Arial"/>
      <family val="2"/>
    </font>
    <font>
      <b/>
      <sz val="10"/>
      <name val="Verdana"/>
      <family val="2"/>
    </font>
    <font>
      <sz val="11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168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2"/>
        <bgColor indexed="64"/>
      </patternFill>
    </fill>
    <fill>
      <patternFill patternType="solid">
        <fgColor theme="6" tint="0.39997558519242"/>
        <bgColor indexed="64"/>
      </patternFill>
    </fill>
    <fill>
      <patternFill patternType="solid">
        <fgColor theme="3" tint="0.39997558519242"/>
        <bgColor indexed="64"/>
      </patternFill>
    </fill>
    <fill>
      <patternFill patternType="solid">
        <fgColor theme="2" tint="-0.24994659260842"/>
        <bgColor indexed="64"/>
      </patternFill>
    </fill>
    <fill>
      <patternFill patternType="solid">
        <fgColor theme="7" tint="0.399975585192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60FF00"/>
        <bgColor indexed="64"/>
      </patternFill>
    </fill>
    <fill>
      <patternFill patternType="solid">
        <fgColor rgb="FF69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59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9B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theme="4" tint="0.59996337778863"/>
        <bgColor indexed="64"/>
      </patternFill>
    </fill>
    <fill>
      <patternFill patternType="solid">
        <fgColor theme="5" tint="0.5999633777886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131B55"/>
        <bgColor indexed="64"/>
      </patternFill>
    </fill>
    <fill>
      <patternFill patternType="solid">
        <fgColor rgb="FF210089"/>
        <bgColor indexed="64"/>
      </patternFill>
    </fill>
    <fill>
      <patternFill patternType="solid">
        <fgColor rgb="FFA88BD3"/>
        <bgColor indexed="64"/>
      </patternFill>
    </fill>
    <fill>
      <patternFill patternType="solid">
        <fgColor rgb="FF1531AD"/>
        <bgColor indexed="64"/>
      </patternFill>
    </fill>
    <fill>
      <patternFill patternType="solid">
        <fgColor rgb="FF745B26"/>
        <bgColor indexed="64"/>
      </patternFill>
    </fill>
    <fill>
      <patternFill patternType="solid">
        <fgColor rgb="FFB4ED87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B8FF00"/>
        <bgColor indexed="64"/>
      </patternFill>
    </fill>
    <fill>
      <patternFill patternType="solid">
        <fgColor rgb="FF6BFF00"/>
        <bgColor indexed="64"/>
      </patternFill>
    </fill>
    <fill>
      <patternFill patternType="solid">
        <fgColor rgb="FFBE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F3FF00"/>
        <bgColor indexed="64"/>
      </patternFill>
    </fill>
    <fill>
      <patternFill patternType="solid">
        <fgColor rgb="FF5F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FFE8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68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FF60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D1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A3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65FF00"/>
        <bgColor indexed="64"/>
      </patternFill>
    </fill>
    <fill>
      <patternFill patternType="solid">
        <fgColor rgb="FF7BFF00"/>
        <bgColor indexed="64"/>
      </patternFill>
    </fill>
    <fill>
      <patternFill patternType="solid">
        <fgColor rgb="FF83FF00"/>
        <bgColor indexed="64"/>
      </patternFill>
    </fill>
    <fill>
      <patternFill patternType="solid">
        <fgColor rgb="FFFF2E00"/>
        <bgColor indexed="64"/>
      </patternFill>
    </fill>
    <fill>
      <patternFill patternType="solid">
        <fgColor rgb="FF90FF00"/>
        <bgColor indexed="64"/>
      </patternFill>
    </fill>
    <fill>
      <patternFill patternType="solid">
        <fgColor rgb="FFA5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54FF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78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A7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FFFB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75FF00"/>
        <bgColor indexed="64"/>
      </patternFill>
    </fill>
    <fill>
      <patternFill patternType="solid">
        <fgColor rgb="FF72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57FF00"/>
        <bgColor indexed="64"/>
      </patternFill>
    </fill>
    <fill>
      <patternFill patternType="solid">
        <fgColor rgb="FF96FF00"/>
        <bgColor indexed="64"/>
      </patternFill>
    </fill>
    <fill>
      <patternFill patternType="solid">
        <fgColor rgb="FFFFD400"/>
        <bgColor indexed="64"/>
      </patternFill>
    </fill>
    <fill>
      <patternFill patternType="solid">
        <fgColor rgb="FFFF19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E2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FFD300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auto="true"/>
      </bottom>
      <diagonal/>
    </border>
    <border>
      <left style="medium">
        <color auto="true"/>
      </left>
      <right style="medium">
        <color auto="true"/>
      </right>
      <top style="medium">
        <color auto="true"/>
      </top>
      <bottom/>
      <diagonal/>
    </border>
    <border>
      <left style="medium">
        <color auto="true"/>
      </left>
      <right style="medium">
        <color auto="true"/>
      </right>
      <top/>
      <bottom style="medium">
        <color auto="true"/>
      </bottom>
      <diagonal/>
    </border>
    <border>
      <left style="medium">
        <color auto="true"/>
      </left>
      <right style="medium">
        <color auto="true"/>
      </right>
      <top/>
      <bottom/>
      <diagonal/>
    </border>
    <border>
      <left style="medium">
        <color auto="true"/>
      </left>
      <right/>
      <top style="medium">
        <color auto="true"/>
      </top>
      <bottom/>
      <diagonal/>
    </border>
    <border>
      <left/>
      <right style="medium">
        <color auto="true"/>
      </right>
      <top style="medium">
        <color auto="true"/>
      </top>
      <bottom/>
      <diagonal/>
    </border>
    <border>
      <left style="medium">
        <color auto="true"/>
      </left>
      <right/>
      <top/>
      <bottom/>
      <diagonal/>
    </border>
    <border>
      <left/>
      <right style="medium">
        <color auto="true"/>
      </right>
      <top/>
      <bottom/>
      <diagonal/>
    </border>
    <border>
      <left style="medium">
        <color auto="true"/>
      </left>
      <right/>
      <top/>
      <bottom style="medium">
        <color auto="true"/>
      </bottom>
      <diagonal/>
    </border>
    <border>
      <left/>
      <right/>
      <top/>
      <bottom style="medium">
        <color auto="true"/>
      </bottom>
      <diagonal/>
    </border>
    <border>
      <left/>
      <right style="medium">
        <color auto="true"/>
      </right>
      <top/>
      <bottom style="medium">
        <color auto="true"/>
      </bottom>
      <diagonal/>
    </border>
    <border>
      <left style="medium">
        <color auto="true"/>
      </left>
      <right style="medium">
        <color auto="true"/>
      </right>
      <top style="medium">
        <color auto="true"/>
      </top>
      <bottom style="medium">
        <color auto="true"/>
      </bottom>
      <diagonal/>
    </border>
    <border>
      <left style="medium">
        <color auto="true"/>
      </left>
      <right/>
      <top style="medium">
        <color auto="true"/>
      </top>
      <bottom style="medium">
        <color auto="true"/>
      </bottom>
      <diagonal/>
    </border>
    <border>
      <left/>
      <right style="medium">
        <color auto="true"/>
      </right>
      <top style="medium">
        <color auto="true"/>
      </top>
      <bottom style="medium">
        <color auto="true"/>
      </bottom>
      <diagonal/>
    </border>
    <border>
      <left style="thin">
        <color auto="true"/>
      </left>
      <right/>
      <top style="thin">
        <color auto="true"/>
      </top>
      <bottom/>
      <diagonal/>
    </border>
    <border>
      <left style="thin">
        <color auto="true"/>
      </left>
      <right/>
      <top/>
      <bottom/>
      <diagonal/>
    </border>
    <border>
      <left/>
      <right style="thin">
        <color auto="true"/>
      </right>
      <top/>
      <bottom/>
      <diagonal/>
    </border>
    <border>
      <left style="thin">
        <color auto="true"/>
      </left>
      <right/>
      <top/>
      <bottom style="thin">
        <color rgb="FFC0C0C0"/>
      </bottom>
      <diagonal/>
    </border>
    <border>
      <left/>
      <right style="thin">
        <color auto="true"/>
      </right>
      <top/>
      <bottom style="medium">
        <color auto="true"/>
      </bottom>
      <diagonal/>
    </border>
    <border>
      <left style="thin">
        <color auto="true"/>
      </left>
      <right/>
      <top/>
      <bottom style="thin">
        <color auto="true"/>
      </bottom>
      <diagonal/>
    </border>
    <border>
      <left/>
      <right style="thin">
        <color auto="true"/>
      </right>
      <top/>
      <bottom style="thin">
        <color auto="true"/>
      </bottom>
      <diagonal/>
    </border>
    <border>
      <left/>
      <right style="thin">
        <color auto="true"/>
      </right>
      <top style="thin">
        <color auto="true"/>
      </top>
      <bottom style="thin">
        <color auto="true"/>
      </bottom>
      <diagonal/>
    </border>
    <border>
      <left/>
      <right/>
      <top style="thin">
        <color auto="true"/>
      </top>
      <bottom style="thin">
        <color auto="true"/>
      </bottom>
      <diagonal/>
    </border>
    <border/>
    <border/>
    <border/>
    <border/>
  </borders>
  <cellStyleXfs count="3655">
    <xf numFmtId="0" fontId="0" fillId="0" borderId="0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3" fillId="0" borderId="0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25" fillId="0" borderId="0"/>
  </cellStyleXfs>
  <cellXfs count="305">
    <xf numFmtId="0" fontId="0" fillId="0" borderId="0" xfId="0"/>
    <xf numFmtId="0" fontId="1" fillId="0" borderId="0" xfId="0" applyFont="true"/>
    <xf numFmtId="0" fontId="1" fillId="2" borderId="0" xfId="0" applyFont="true" applyFill="true"/>
    <xf numFmtId="0" fontId="0" fillId="0" borderId="0" xfId="0" applyFill="true"/>
    <xf numFmtId="0" fontId="0" fillId="4" borderId="0" xfId="0" applyFill="true"/>
    <xf numFmtId="2" fontId="0" fillId="4" borderId="0" xfId="0" applyNumberFormat="true" applyFill="true"/>
    <xf numFmtId="0" fontId="0" fillId="5" borderId="0" xfId="0" applyFill="true"/>
    <xf numFmtId="0" fontId="0" fillId="6" borderId="0" xfId="0" applyFill="true"/>
    <xf numFmtId="0" fontId="0" fillId="7" borderId="0" xfId="0" applyFill="true"/>
    <xf numFmtId="0" fontId="0" fillId="8" borderId="0" xfId="0" applyFill="true"/>
    <xf numFmtId="0" fontId="0" fillId="9" borderId="0" xfId="0" applyFill="true"/>
    <xf numFmtId="0" fontId="0" fillId="10" borderId="0" xfId="0" applyFill="true"/>
    <xf numFmtId="0" fontId="0" fillId="11" borderId="0" xfId="0" applyFill="true"/>
    <xf numFmtId="0" fontId="0" fillId="12" borderId="0" xfId="0" applyFill="true"/>
    <xf numFmtId="0" fontId="0" fillId="13" borderId="0" xfId="0" applyFill="true"/>
    <xf numFmtId="0" fontId="0" fillId="14" borderId="0" xfId="0" applyFill="true"/>
    <xf numFmtId="0" fontId="0" fillId="15" borderId="0" xfId="0" applyFill="true"/>
    <xf numFmtId="0" fontId="0" fillId="16" borderId="0" xfId="0" applyFill="true"/>
    <xf numFmtId="0" fontId="0" fillId="17" borderId="0" xfId="0" applyFill="true"/>
    <xf numFmtId="0" fontId="0" fillId="18" borderId="0" xfId="0" applyFill="true"/>
    <xf numFmtId="0" fontId="0" fillId="19" borderId="0" xfId="0" applyFill="true"/>
    <xf numFmtId="0" fontId="0" fillId="20" borderId="0" xfId="0" applyFill="true"/>
    <xf numFmtId="0" fontId="0" fillId="21" borderId="0" xfId="0" applyFill="true"/>
    <xf numFmtId="0" fontId="0" fillId="22" borderId="0" xfId="0" applyFill="true"/>
    <xf numFmtId="0" fontId="0" fillId="23" borderId="0" xfId="0" applyFill="true"/>
    <xf numFmtId="0" fontId="0" fillId="24" borderId="0" xfId="0" applyFill="true"/>
    <xf numFmtId="14" fontId="0" fillId="0" borderId="0" xfId="0" applyNumberFormat="true"/>
    <xf numFmtId="0" fontId="0" fillId="0" borderId="6" xfId="0" applyBorder="true"/>
    <xf numFmtId="0" fontId="0" fillId="0" borderId="7" xfId="0" applyBorder="true"/>
    <xf numFmtId="0" fontId="0" fillId="0" borderId="8" xfId="0" applyBorder="true"/>
    <xf numFmtId="0" fontId="0" fillId="0" borderId="11" xfId="0" applyBorder="true"/>
    <xf numFmtId="2" fontId="1" fillId="0" borderId="0" xfId="0" applyNumberFormat="true" applyFont="true"/>
    <xf numFmtId="0" fontId="1" fillId="0" borderId="0" xfId="0" applyFont="true" applyAlignment="true">
      <alignment horizontal="right"/>
    </xf>
    <xf numFmtId="0" fontId="1" fillId="0" borderId="0" xfId="0" applyFont="true" applyFill="true" applyAlignment="true">
      <alignment horizontal="center"/>
    </xf>
    <xf numFmtId="0" fontId="0" fillId="0" borderId="0" xfId="0" applyFill="true" applyBorder="true" applyAlignment="true">
      <alignment horizontal="center"/>
    </xf>
    <xf numFmtId="0" fontId="1" fillId="2" borderId="2" xfId="0" applyFont="true" applyFill="true" applyBorder="true" applyAlignment="true">
      <alignment horizontal="center"/>
    </xf>
    <xf numFmtId="0" fontId="1" fillId="2" borderId="3" xfId="0" applyFont="true" applyFill="true" applyBorder="true" applyAlignment="true">
      <alignment horizontal="center"/>
    </xf>
    <xf numFmtId="0" fontId="6" fillId="0" borderId="0" xfId="0" applyFont="true" applyAlignment="true">
      <alignment horizontal="right"/>
    </xf>
    <xf numFmtId="0" fontId="1" fillId="0" borderId="0" xfId="0" applyFont="true" applyFill="true" applyBorder="true" applyAlignment="true">
      <alignment horizontal="right"/>
    </xf>
    <xf numFmtId="0" fontId="1" fillId="25" borderId="2" xfId="0" applyFont="true" applyFill="true" applyBorder="true" applyAlignment="true">
      <alignment horizontal="center"/>
    </xf>
    <xf numFmtId="0" fontId="1" fillId="25" borderId="4" xfId="0" applyFont="true" applyFill="true" applyBorder="true" applyAlignment="true">
      <alignment horizontal="center"/>
    </xf>
    <xf numFmtId="0" fontId="1" fillId="25" borderId="3" xfId="0" applyFont="true" applyFill="true" applyBorder="true" applyAlignment="true">
      <alignment horizontal="center"/>
    </xf>
    <xf numFmtId="0" fontId="1" fillId="0" borderId="10" xfId="0" applyFont="true" applyBorder="true" applyAlignment="true">
      <alignment horizontal="center"/>
    </xf>
    <xf numFmtId="0" fontId="1" fillId="0" borderId="13" xfId="0" applyFont="true" applyBorder="true" applyAlignment="true">
      <alignment horizontal="center"/>
    </xf>
    <xf numFmtId="0" fontId="0" fillId="0" borderId="14" xfId="0" applyBorder="true"/>
    <xf numFmtId="0" fontId="0" fillId="0" borderId="7" xfId="0" applyBorder="true" applyAlignment="true">
      <alignment horizontal="right"/>
    </xf>
    <xf numFmtId="0" fontId="0" fillId="0" borderId="9" xfId="0" applyBorder="true" applyAlignment="true">
      <alignment horizontal="right"/>
    </xf>
    <xf numFmtId="0" fontId="0" fillId="0" borderId="7" xfId="0" applyFill="true" applyBorder="true" applyAlignment="true">
      <alignment horizontal="left"/>
    </xf>
    <xf numFmtId="0" fontId="0" fillId="0" borderId="5" xfId="0" applyBorder="true" applyAlignment="true">
      <alignment horizontal="right"/>
    </xf>
    <xf numFmtId="0" fontId="1" fillId="0" borderId="0" xfId="0" applyFont="true" applyFill="true"/>
    <xf numFmtId="0" fontId="0" fillId="25" borderId="5" xfId="0" applyFill="true" applyBorder="true"/>
    <xf numFmtId="0" fontId="0" fillId="25" borderId="7" xfId="0" applyFill="true" applyBorder="true"/>
    <xf numFmtId="0" fontId="0" fillId="25" borderId="8" xfId="0" applyFill="true" applyBorder="true"/>
    <xf numFmtId="0" fontId="0" fillId="25" borderId="9" xfId="0" applyFill="true" applyBorder="true"/>
    <xf numFmtId="0" fontId="0" fillId="25" borderId="11" xfId="0" applyFill="true" applyBorder="true"/>
    <xf numFmtId="0" fontId="8" fillId="0" borderId="0" xfId="0" applyFont="true"/>
    <xf numFmtId="0" fontId="0" fillId="32" borderId="0" xfId="0" applyFill="true"/>
    <xf numFmtId="0" fontId="0" fillId="34" borderId="0" xfId="0" applyFill="true"/>
    <xf numFmtId="0" fontId="0" fillId="35" borderId="0" xfId="0" applyFill="true"/>
    <xf numFmtId="0" fontId="0" fillId="0" borderId="0" xfId="0" applyFont="true"/>
    <xf numFmtId="2" fontId="0" fillId="0" borderId="0" xfId="0" applyNumberFormat="true" applyFont="true"/>
    <xf numFmtId="0" fontId="0" fillId="37" borderId="0" xfId="0" applyFill="true"/>
    <xf numFmtId="0" fontId="0" fillId="38" borderId="0" xfId="0" applyFill="true"/>
    <xf numFmtId="0" fontId="0" fillId="39" borderId="0" xfId="0" applyFill="true"/>
    <xf numFmtId="0" fontId="0" fillId="40" borderId="0" xfId="0" applyFill="true"/>
    <xf numFmtId="0" fontId="0" fillId="41" borderId="0" xfId="0" applyFill="true"/>
    <xf numFmtId="0" fontId="0" fillId="42" borderId="0" xfId="0" applyFill="true"/>
    <xf numFmtId="0" fontId="0" fillId="43" borderId="0" xfId="0" applyFill="true"/>
    <xf numFmtId="0" fontId="0" fillId="44" borderId="0" xfId="0" applyFill="true"/>
    <xf numFmtId="0" fontId="0" fillId="45" borderId="0" xfId="0" applyFill="true"/>
    <xf numFmtId="0" fontId="0" fillId="46" borderId="0" xfId="0" applyFill="true"/>
    <xf numFmtId="0" fontId="0" fillId="47" borderId="0" xfId="0" applyFill="true"/>
    <xf numFmtId="0" fontId="0" fillId="48" borderId="0" xfId="0" applyFill="true"/>
    <xf numFmtId="0" fontId="0" fillId="49" borderId="0" xfId="0" applyFill="true"/>
    <xf numFmtId="0" fontId="0" fillId="50" borderId="0" xfId="0" applyFill="true"/>
    <xf numFmtId="0" fontId="11" fillId="2" borderId="0" xfId="0" applyFont="true" applyFill="true"/>
    <xf numFmtId="0" fontId="12" fillId="0" borderId="0" xfId="0" applyFont="true"/>
    <xf numFmtId="0" fontId="12" fillId="0" borderId="0" xfId="0" applyFont="true" applyAlignment="true">
      <alignment horizontal="right"/>
    </xf>
    <xf numFmtId="0" fontId="0" fillId="51" borderId="0" xfId="0" applyFill="true"/>
    <xf numFmtId="0" fontId="0" fillId="52" borderId="0" xfId="0" applyFill="true"/>
    <xf numFmtId="0" fontId="0" fillId="53" borderId="0" xfId="0" applyFill="true"/>
    <xf numFmtId="0" fontId="14" fillId="0" borderId="0" xfId="0" applyFont="true"/>
    <xf numFmtId="0" fontId="13" fillId="0" borderId="0" xfId="0" applyFont="true"/>
    <xf numFmtId="0" fontId="9" fillId="25" borderId="6" xfId="0" applyFont="true" applyFill="true" applyBorder="true"/>
    <xf numFmtId="0" fontId="12" fillId="0" borderId="0" xfId="0" applyFont="true" applyFill="true"/>
    <xf numFmtId="0" fontId="15" fillId="0" borderId="0" xfId="0" applyFont="true" applyFill="true"/>
    <xf numFmtId="0" fontId="10" fillId="0" borderId="0" xfId="0" applyFont="true" applyFill="true" applyAlignment="true">
      <alignment horizontal="right"/>
    </xf>
    <xf numFmtId="0" fontId="11" fillId="0" borderId="0" xfId="0" applyFont="true" applyAlignment="true"/>
    <xf numFmtId="0" fontId="12" fillId="0" borderId="0" xfId="0" applyFont="true" applyAlignment="true"/>
    <xf numFmtId="0" fontId="11" fillId="2" borderId="0" xfId="0" applyFont="true" applyFill="true" applyAlignment="true"/>
    <xf numFmtId="0" fontId="11" fillId="0" borderId="0" xfId="0" applyFont="true" applyFill="true" applyAlignment="true"/>
    <xf numFmtId="0" fontId="11" fillId="0" borderId="0" xfId="0" applyFont="true"/>
    <xf numFmtId="0" fontId="11" fillId="0" borderId="0" xfId="0" applyFont="true" applyAlignment="true">
      <alignment horizontal="right"/>
    </xf>
    <xf numFmtId="2" fontId="11" fillId="0" borderId="12" xfId="0" applyNumberFormat="true" applyFont="true" applyBorder="true" applyAlignment="true">
      <alignment horizontal="center"/>
    </xf>
    <xf numFmtId="0" fontId="16" fillId="0" borderId="0" xfId="0" applyFont="true"/>
    <xf numFmtId="0" fontId="11" fillId="0" borderId="13" xfId="0" applyFont="true" applyBorder="true" applyAlignment="true">
      <alignment horizontal="center"/>
    </xf>
    <xf numFmtId="0" fontId="12" fillId="0" borderId="14" xfId="0" applyFont="true" applyBorder="true"/>
    <xf numFmtId="0" fontId="12" fillId="0" borderId="7" xfId="0" applyFont="true" applyBorder="true" applyAlignment="true">
      <alignment horizontal="right"/>
    </xf>
    <xf numFmtId="0" fontId="12" fillId="0" borderId="8" xfId="0" applyFont="true" applyBorder="true"/>
    <xf numFmtId="0" fontId="12" fillId="0" borderId="9" xfId="0" applyFont="true" applyBorder="true" applyAlignment="true">
      <alignment horizontal="right"/>
    </xf>
    <xf numFmtId="0" fontId="12" fillId="0" borderId="11" xfId="0" applyFont="true" applyBorder="true"/>
    <xf numFmtId="0" fontId="12" fillId="0" borderId="7" xfId="0" applyFont="true" applyFill="true" applyBorder="true" applyAlignment="true">
      <alignment horizontal="left"/>
    </xf>
    <xf numFmtId="0" fontId="10" fillId="0" borderId="0" xfId="0" applyFont="true" applyFill="true" applyAlignment="true">
      <alignment horizontal="left"/>
    </xf>
    <xf numFmtId="0" fontId="12" fillId="0" borderId="0" xfId="0" applyFont="true" applyAlignment="true">
      <alignment horizontal="center"/>
    </xf>
    <xf numFmtId="0" fontId="10" fillId="0" borderId="0" xfId="0" applyFont="true" applyAlignment="true">
      <alignment horizontal="right"/>
    </xf>
    <xf numFmtId="0" fontId="11" fillId="0" borderId="0" xfId="0" applyFont="true" applyAlignment="true">
      <alignment horizontal="center"/>
    </xf>
    <xf numFmtId="0" fontId="11" fillId="0" borderId="0" xfId="0" applyFont="true" applyFill="true" applyAlignment="true">
      <alignment horizontal="center"/>
    </xf>
    <xf numFmtId="0" fontId="12" fillId="0" borderId="0" xfId="0" applyFont="true" applyBorder="true"/>
    <xf numFmtId="0" fontId="12" fillId="0" borderId="0" xfId="0" applyFont="true" applyFill="true" applyAlignment="true">
      <alignment horizontal="center"/>
    </xf>
    <xf numFmtId="0" fontId="17" fillId="0" borderId="0" xfId="0" applyFont="true"/>
    <xf numFmtId="0" fontId="12" fillId="0" borderId="0" xfId="0" applyFont="true" applyAlignment="true">
      <alignment horizontal="left"/>
    </xf>
    <xf numFmtId="0" fontId="11" fillId="0" borderId="0" xfId="0" applyFont="true" applyAlignment="true">
      <alignment horizontal="left"/>
    </xf>
    <xf numFmtId="0" fontId="12" fillId="33" borderId="2" xfId="0" applyNumberFormat="true" applyFont="true" applyFill="true" applyBorder="true"/>
    <xf numFmtId="0" fontId="18" fillId="0" borderId="0" xfId="0" applyFont="true"/>
    <xf numFmtId="0" fontId="12" fillId="0" borderId="1" xfId="0" applyFont="true" applyBorder="true" applyAlignment="true">
      <alignment horizontal="center"/>
    </xf>
    <xf numFmtId="0" fontId="12" fillId="0" borderId="0" xfId="0" applyFont="true" applyFill="true" applyBorder="true" applyAlignment="true">
      <alignment horizontal="center"/>
    </xf>
    <xf numFmtId="0" fontId="12" fillId="33" borderId="3" xfId="0" applyNumberFormat="true" applyFont="true" applyFill="true" applyBorder="true"/>
    <xf numFmtId="0" fontId="12" fillId="33" borderId="2" xfId="0" applyFont="true" applyFill="true" applyBorder="true"/>
    <xf numFmtId="0" fontId="12" fillId="33" borderId="3" xfId="0" applyFont="true" applyFill="true" applyBorder="true"/>
    <xf numFmtId="0" fontId="17" fillId="0" borderId="0" xfId="0" applyFont="true" applyAlignment="true">
      <alignment horizontal="left"/>
    </xf>
    <xf numFmtId="0" fontId="12" fillId="33" borderId="4" xfId="0" applyFont="true" applyFill="true" applyBorder="true"/>
    <xf numFmtId="0" fontId="12" fillId="0" borderId="15" xfId="0" applyFont="true" applyBorder="true"/>
    <xf numFmtId="0" fontId="11" fillId="0" borderId="23" xfId="0" applyFont="true" applyBorder="true" applyAlignment="true">
      <alignment horizontal="center"/>
    </xf>
    <xf numFmtId="0" fontId="11" fillId="0" borderId="22" xfId="0" applyFont="true" applyBorder="true" applyAlignment="true">
      <alignment horizontal="center"/>
    </xf>
    <xf numFmtId="0" fontId="12" fillId="0" borderId="17" xfId="0" applyFont="true" applyBorder="true"/>
    <xf numFmtId="0" fontId="19" fillId="0" borderId="18" xfId="0" applyFont="true" applyFill="true" applyBorder="true" applyAlignment="true">
      <alignment horizontal="right" wrapText="true"/>
    </xf>
    <xf numFmtId="0" fontId="12" fillId="0" borderId="16" xfId="0" applyFont="true" applyFill="true" applyBorder="true" applyAlignment="true">
      <alignment horizontal="right"/>
    </xf>
    <xf numFmtId="0" fontId="12" fillId="0" borderId="10" xfId="0" applyFont="true" applyBorder="true"/>
    <xf numFmtId="0" fontId="12" fillId="0" borderId="19" xfId="0" applyFont="true" applyBorder="true"/>
    <xf numFmtId="0" fontId="12" fillId="0" borderId="20" xfId="0" applyFont="true" applyBorder="true"/>
    <xf numFmtId="0" fontId="12" fillId="0" borderId="1" xfId="0" applyFont="true" applyBorder="true"/>
    <xf numFmtId="0" fontId="12" fillId="0" borderId="21" xfId="0" applyFont="true" applyBorder="true"/>
    <xf numFmtId="0" fontId="20" fillId="0" borderId="0" xfId="0" applyFont="true" applyAlignment="true">
      <alignment horizontal="center"/>
    </xf>
    <xf numFmtId="0" fontId="20" fillId="0" borderId="1" xfId="0" applyFont="true" applyBorder="true" applyAlignment="true">
      <alignment horizontal="center"/>
    </xf>
    <xf numFmtId="0" fontId="20" fillId="0" borderId="0" xfId="0" applyFont="true"/>
    <xf numFmtId="0" fontId="20" fillId="0" borderId="0" xfId="0" applyFont="true" applyFill="true" applyAlignment="true">
      <alignment horizontal="center"/>
    </xf>
    <xf numFmtId="0" fontId="20" fillId="0" borderId="1" xfId="0" applyFont="true" applyFill="true" applyBorder="true" applyAlignment="true">
      <alignment horizontal="center"/>
    </xf>
    <xf numFmtId="0" fontId="20" fillId="0" borderId="0" xfId="0" applyFont="true" applyFill="true"/>
    <xf numFmtId="0" fontId="21" fillId="0" borderId="0" xfId="0" applyFont="true" applyAlignment="true">
      <alignment horizontal="left"/>
    </xf>
    <xf numFmtId="0" fontId="22" fillId="0" borderId="1" xfId="0" applyFont="true" applyBorder="true" applyAlignment="true">
      <alignment horizontal="center"/>
    </xf>
    <xf numFmtId="0" fontId="22" fillId="0" borderId="0" xfId="0" applyFont="true"/>
    <xf numFmtId="0" fontId="3" fillId="0" borderId="0" xfId="971"/>
    <xf numFmtId="0" fontId="3" fillId="0" borderId="0" xfId="971" applyFill="true" applyAlignment="true">
      <alignment horizontal="center" vertical="center"/>
    </xf>
    <xf numFmtId="11" fontId="0" fillId="0" borderId="0" xfId="0" applyNumberFormat="true"/>
    <xf numFmtId="0" fontId="0" fillId="25" borderId="0" xfId="0" applyFill="true"/>
    <xf numFmtId="0" fontId="0" fillId="36" borderId="0" xfId="0" applyFill="true"/>
    <xf numFmtId="0" fontId="1" fillId="2" borderId="0" xfId="0" applyFont="true" applyFill="true" applyAlignment="true">
      <alignment wrapText="true"/>
    </xf>
    <xf numFmtId="0" fontId="0" fillId="0" borderId="0" xfId="0" applyAlignment="true">
      <alignment wrapText="true"/>
    </xf>
    <xf numFmtId="0" fontId="0" fillId="3" borderId="0" xfId="0" applyFill="true"/>
    <xf numFmtId="0" fontId="7" fillId="0" borderId="0" xfId="0" applyFont="true"/>
    <xf numFmtId="0" fontId="1" fillId="0" borderId="0" xfId="0" applyFont="true" applyAlignment="true">
      <alignment wrapText="true"/>
    </xf>
    <xf numFmtId="0" fontId="23" fillId="0" borderId="0" xfId="0" applyFont="true" applyAlignment="true">
      <alignment horizontal="center"/>
    </xf>
    <xf numFmtId="0" fontId="23" fillId="0" borderId="0" xfId="0" applyFont="true" applyFill="true" applyAlignment="true">
      <alignment horizontal="center"/>
    </xf>
    <xf numFmtId="0" fontId="23" fillId="30" borderId="0" xfId="0" applyFont="true" applyFill="true" applyAlignment="true">
      <alignment horizontal="center"/>
    </xf>
    <xf numFmtId="0" fontId="23" fillId="28" borderId="0" xfId="0" applyFont="true" applyFill="true" applyAlignment="true">
      <alignment horizontal="center"/>
    </xf>
    <xf numFmtId="0" fontId="23" fillId="29" borderId="0" xfId="0" applyFont="true" applyFill="true" applyAlignment="true">
      <alignment horizontal="center"/>
    </xf>
    <xf numFmtId="0" fontId="23" fillId="26" borderId="0" xfId="0" applyFont="true" applyFill="true" applyAlignment="true">
      <alignment horizontal="center"/>
    </xf>
    <xf numFmtId="0" fontId="23" fillId="27" borderId="0" xfId="0" applyFont="true" applyFill="true" applyAlignment="true">
      <alignment horizontal="center"/>
    </xf>
    <xf numFmtId="0" fontId="23" fillId="0" borderId="0" xfId="0" applyFont="true" applyFill="true" applyAlignment="true">
      <alignment horizontal="right"/>
    </xf>
    <xf numFmtId="0" fontId="0" fillId="25" borderId="2" xfId="0" applyFill="true" applyBorder="true" applyAlignment="true">
      <alignment horizontal="center"/>
    </xf>
    <xf numFmtId="0" fontId="0" fillId="0" borderId="0" xfId="0" applyBorder="true"/>
    <xf numFmtId="0" fontId="24" fillId="0" borderId="0" xfId="0" applyFont="true" applyBorder="true" applyAlignment="true">
      <alignment horizontal="center" vertical="center"/>
    </xf>
    <xf numFmtId="0" fontId="0" fillId="25" borderId="4" xfId="0" applyFill="true" applyBorder="true" applyAlignment="true">
      <alignment horizontal="center"/>
    </xf>
    <xf numFmtId="0" fontId="0" fillId="25" borderId="3" xfId="0" applyFill="true" applyBorder="true"/>
    <xf numFmtId="0" fontId="24" fillId="0" borderId="0" xfId="0" applyFont="true" applyFill="true" applyBorder="true" applyAlignment="true">
      <alignment horizontal="center" vertical="center"/>
    </xf>
    <xf numFmtId="0" fontId="0" fillId="0" borderId="0" xfId="0" applyAlignment="true">
      <alignment horizontal="center"/>
    </xf>
    <xf numFmtId="0" fontId="0" fillId="0" borderId="0" xfId="0" applyBorder="true" applyAlignment="true">
      <alignment horizontal="center"/>
    </xf>
    <xf numFmtId="0" fontId="0" fillId="0" borderId="0" xfId="0" applyFill="true" applyAlignment="true">
      <alignment horizontal="center"/>
    </xf>
    <xf numFmtId="0" fontId="0" fillId="54" borderId="0" xfId="0" applyFill="true"/>
    <xf numFmtId="0" fontId="0" fillId="55" borderId="0" xfId="0" applyFill="true"/>
    <xf numFmtId="0" fontId="0" fillId="56" borderId="0" xfId="0" applyFill="true"/>
    <xf numFmtId="0" fontId="0" fillId="57" borderId="0" xfId="0" applyFill="true"/>
    <xf numFmtId="0" fontId="0" fillId="58" borderId="0" xfId="0" applyFill="true"/>
    <xf numFmtId="0" fontId="0" fillId="59" borderId="0" xfId="0" applyFill="true"/>
    <xf numFmtId="0" fontId="0" fillId="60" borderId="0" xfId="0" applyFill="true"/>
    <xf numFmtId="0" fontId="0" fillId="61" borderId="0" xfId="0" applyFill="true"/>
    <xf numFmtId="0" fontId="0" fillId="62" borderId="0" xfId="0" applyFill="true"/>
    <xf numFmtId="0" fontId="0" fillId="63" borderId="0" xfId="0" applyFill="true"/>
    <xf numFmtId="0" fontId="0" fillId="64" borderId="0" xfId="0" applyFill="true"/>
    <xf numFmtId="0" fontId="0" fillId="65" borderId="0" xfId="0" applyFill="true"/>
    <xf numFmtId="0" fontId="0" fillId="66" borderId="0" xfId="0" applyFill="true"/>
    <xf numFmtId="0" fontId="0" fillId="67" borderId="0" xfId="0" applyFill="true"/>
    <xf numFmtId="0" fontId="0" fillId="68" borderId="0" xfId="0" applyFill="true"/>
    <xf numFmtId="0" fontId="0" fillId="69" borderId="0" xfId="0" applyFill="true"/>
    <xf numFmtId="0" fontId="0" fillId="70" borderId="0" xfId="0" applyFill="true"/>
    <xf numFmtId="0" fontId="0" fillId="71" borderId="0" xfId="0" applyFill="true"/>
    <xf numFmtId="0" fontId="0" fillId="72" borderId="0" xfId="0" applyFill="true"/>
    <xf numFmtId="0" fontId="0" fillId="73" borderId="0" xfId="0" applyFill="true"/>
    <xf numFmtId="0" fontId="0" fillId="74" borderId="0" xfId="0" applyFill="true"/>
    <xf numFmtId="0" fontId="0" fillId="75" borderId="0" xfId="0" applyFill="true"/>
    <xf numFmtId="0" fontId="0" fillId="76" borderId="0" xfId="0" applyFill="true"/>
    <xf numFmtId="0" fontId="0" fillId="77" borderId="0" xfId="0" applyFill="true"/>
    <xf numFmtId="0" fontId="0" fillId="78" borderId="0" xfId="0" applyFill="true"/>
    <xf numFmtId="0" fontId="0" fillId="79" borderId="0" xfId="0" applyFill="true"/>
    <xf numFmtId="0" fontId="0" fillId="80" borderId="0" xfId="0" applyFill="true"/>
    <xf numFmtId="0" fontId="0" fillId="81" borderId="0" xfId="0" applyFill="true"/>
    <xf numFmtId="0" fontId="0" fillId="82" borderId="0" xfId="0" applyFill="true"/>
    <xf numFmtId="0" fontId="0" fillId="83" borderId="0" xfId="0" applyFill="true"/>
    <xf numFmtId="0" fontId="0" fillId="84" borderId="0" xfId="0" applyFill="true"/>
    <xf numFmtId="0" fontId="0" fillId="85" borderId="0" xfId="0" applyFill="true"/>
    <xf numFmtId="0" fontId="0" fillId="86" borderId="0" xfId="0" applyFill="true"/>
    <xf numFmtId="0" fontId="0" fillId="87" borderId="0" xfId="0" applyFill="true"/>
    <xf numFmtId="0" fontId="0" fillId="88" borderId="0" xfId="0" applyFill="true"/>
    <xf numFmtId="0" fontId="0" fillId="89" borderId="0" xfId="0" applyFill="true"/>
    <xf numFmtId="0" fontId="0" fillId="90" borderId="0" xfId="0" applyFill="true"/>
    <xf numFmtId="0" fontId="0" fillId="91" borderId="0" xfId="0" applyFill="true"/>
    <xf numFmtId="0" fontId="0" fillId="92" borderId="0" xfId="0" applyFill="true"/>
    <xf numFmtId="0" fontId="0" fillId="93" borderId="0" xfId="0" applyFill="true"/>
    <xf numFmtId="0" fontId="0" fillId="94" borderId="0" xfId="0" applyFill="true"/>
    <xf numFmtId="0" fontId="25" fillId="0" borderId="0" xfId="3654"/>
    <xf numFmtId="0" fontId="25" fillId="0" borderId="0" xfId="3654" applyFill="true"/>
    <xf numFmtId="0" fontId="25" fillId="95" borderId="0" xfId="3654" applyFill="true"/>
    <xf numFmtId="0" fontId="25" fillId="26" borderId="0" xfId="3654" applyFill="true"/>
    <xf numFmtId="0" fontId="25" fillId="96" borderId="0" xfId="3654" applyFill="true"/>
    <xf numFmtId="0" fontId="25" fillId="29" borderId="0" xfId="3654" applyFill="true"/>
    <xf numFmtId="0" fontId="25" fillId="97" borderId="0" xfId="3654" applyFill="true"/>
    <xf numFmtId="0" fontId="25" fillId="0" borderId="0" xfId="3654" applyFont="true"/>
    <xf numFmtId="11" fontId="0" fillId="36" borderId="0" xfId="0" applyNumberFormat="true" applyFill="true"/>
    <xf numFmtId="11" fontId="25" fillId="0" borderId="0" xfId="3654" applyNumberFormat="true"/>
    <xf numFmtId="0" fontId="14" fillId="2" borderId="0" xfId="0" applyFont="true" applyFill="true" applyAlignment="true">
      <alignment wrapText="true"/>
    </xf>
    <xf numFmtId="0" fontId="14" fillId="0" borderId="0" xfId="0" applyFont="true" applyAlignment="true">
      <alignment wrapText="true"/>
    </xf>
    <xf numFmtId="0" fontId="13" fillId="3" borderId="0" xfId="0" applyFont="true" applyFill="true"/>
    <xf numFmtId="0" fontId="0" fillId="31" borderId="0" xfId="0" applyFill="true"/>
    <xf numFmtId="0" fontId="26" fillId="0" borderId="0" xfId="0" applyFont="true"/>
    <xf numFmtId="0" fontId="10" fillId="0" borderId="0" xfId="3654" applyFont="true"/>
    <xf numFmtId="0" fontId="10" fillId="95" borderId="0" xfId="3654" applyFont="true" applyFill="true"/>
    <xf numFmtId="0" fontId="10" fillId="96" borderId="0" xfId="3654" applyFont="true" applyFill="true"/>
    <xf numFmtId="0" fontId="10" fillId="29" borderId="0" xfId="3654" applyFont="true" applyFill="true"/>
    <xf numFmtId="0" fontId="8" fillId="0" borderId="0" xfId="0" applyFont="true" applyFill="true"/>
    <xf numFmtId="0" fontId="22" fillId="0" borderId="0" xfId="0" applyFont="true" applyFill="true"/>
    <xf numFmtId="0" fontId="17" fillId="0" borderId="0" xfId="0" applyFont="true" applyFill="true"/>
    <xf numFmtId="0" fontId="0" fillId="98" borderId="0" xfId="0" applyFill="true"/>
    <xf numFmtId="0" fontId="0" fillId="99" borderId="0" xfId="0" applyFill="true"/>
    <xf numFmtId="0" fontId="0" fillId="100" borderId="0" xfId="0" applyFill="true"/>
    <xf numFmtId="0" fontId="0" fillId="101" borderId="0" xfId="0" applyFill="true"/>
    <xf numFmtId="0" fontId="0" fillId="102" borderId="0" xfId="0" applyFill="true"/>
    <xf numFmtId="0" fontId="0" fillId="103" borderId="0" xfId="0" applyFill="true"/>
    <xf numFmtId="0" fontId="0" fillId="104" borderId="0" xfId="0" applyFill="true"/>
    <xf numFmtId="0" fontId="0" fillId="105" borderId="0" xfId="0" applyFill="true"/>
    <xf numFmtId="0" fontId="0" fillId="106" borderId="0" xfId="0" applyFill="true"/>
    <xf numFmtId="0" fontId="0" fillId="107" borderId="0" xfId="0" applyFill="true"/>
    <xf numFmtId="0" fontId="0" fillId="108" borderId="0" xfId="0" applyFill="true"/>
    <xf numFmtId="0" fontId="0" fillId="109" borderId="0" xfId="0" applyFill="true"/>
    <xf numFmtId="0" fontId="0" fillId="110" borderId="0" xfId="0" applyFill="true"/>
    <xf numFmtId="0" fontId="0" fillId="111" borderId="0" xfId="0" applyFill="true"/>
    <xf numFmtId="0" fontId="0" fillId="112" borderId="0" xfId="0" applyFill="true"/>
    <xf numFmtId="0" fontId="0" fillId="113" borderId="0" xfId="0" applyFill="true"/>
    <xf numFmtId="0" fontId="0" fillId="114" borderId="0" xfId="0" applyFill="true"/>
    <xf numFmtId="0" fontId="0" fillId="115" borderId="0" xfId="0" applyFill="true"/>
    <xf numFmtId="0" fontId="0" fillId="116" borderId="0" xfId="0" applyFill="true"/>
    <xf numFmtId="0" fontId="0" fillId="117" borderId="0" xfId="0" applyFill="true"/>
    <xf numFmtId="0" fontId="0" fillId="118" borderId="0" xfId="0" applyFill="true"/>
    <xf numFmtId="0" fontId="0" fillId="119" borderId="0" xfId="0" applyFill="true"/>
    <xf numFmtId="0" fontId="0" fillId="120" borderId="0" xfId="0" applyFill="true"/>
    <xf numFmtId="0" fontId="0" fillId="121" borderId="0" xfId="0" applyFill="true"/>
    <xf numFmtId="0" fontId="0" fillId="122" borderId="0" xfId="0" applyFill="true"/>
    <xf numFmtId="0" fontId="0" fillId="123" borderId="0" xfId="0" applyFill="true"/>
    <xf numFmtId="0" fontId="0" fillId="124" borderId="0" xfId="0" applyFill="true"/>
    <xf numFmtId="0" fontId="0" fillId="125" borderId="0" xfId="0" applyFill="true"/>
    <xf numFmtId="0" fontId="0" fillId="126" borderId="0" xfId="0" applyFill="true"/>
    <xf numFmtId="0" fontId="0" fillId="127" borderId="0" xfId="0" applyFill="true"/>
    <xf numFmtId="0" fontId="0" fillId="128" borderId="0" xfId="0" applyFill="true"/>
    <xf numFmtId="0" fontId="0" fillId="129" borderId="0" xfId="0" applyFill="true"/>
    <xf numFmtId="0" fontId="0" fillId="130" borderId="0" xfId="0" applyFill="true"/>
    <xf numFmtId="0" fontId="0" fillId="131" borderId="0" xfId="0" applyFill="true"/>
    <xf numFmtId="0" fontId="0" fillId="132" borderId="0" xfId="0" applyFill="true"/>
    <xf numFmtId="0" fontId="0" fillId="133" borderId="0" xfId="0" applyFill="true"/>
    <xf numFmtId="0" fontId="0" fillId="134" borderId="0" xfId="0" applyFill="true"/>
    <xf numFmtId="0" fontId="0" fillId="135" borderId="0" xfId="0" applyFill="true"/>
    <xf numFmtId="0" fontId="0" fillId="136" borderId="0" xfId="0" applyFill="true"/>
    <xf numFmtId="0" fontId="0" fillId="137" borderId="0" xfId="0" applyFill="true"/>
    <xf numFmtId="0" fontId="0" fillId="138" borderId="0" xfId="0" applyFill="true"/>
    <xf numFmtId="0" fontId="0" fillId="139" borderId="0" xfId="0" applyFill="true"/>
    <xf numFmtId="0" fontId="0" fillId="140" borderId="0" xfId="0" applyFill="true"/>
    <xf numFmtId="0" fontId="0" fillId="141" borderId="0" xfId="0" applyFill="true"/>
    <xf numFmtId="0" fontId="0" fillId="142" borderId="0" xfId="0" applyFill="true"/>
    <xf numFmtId="0" fontId="0" fillId="143" borderId="0" xfId="0" applyFill="true"/>
    <xf numFmtId="0" fontId="0" fillId="144" borderId="0" xfId="0" applyFill="true"/>
    <xf numFmtId="0" fontId="0" fillId="145" borderId="0" xfId="0" applyFill="true"/>
    <xf numFmtId="0" fontId="0" fillId="146" borderId="0" xfId="0" applyFill="true"/>
    <xf numFmtId="0" fontId="0" fillId="147" borderId="0" xfId="0" applyFill="true"/>
    <xf numFmtId="0" fontId="0" fillId="148" borderId="0" xfId="0" applyFill="true"/>
    <xf numFmtId="0" fontId="0" fillId="149" borderId="0" xfId="0" applyFill="true"/>
    <xf numFmtId="0" fontId="0" fillId="150" borderId="0" xfId="0" applyFill="true"/>
    <xf numFmtId="0" fontId="0" fillId="151" borderId="0" xfId="0" applyFill="true"/>
    <xf numFmtId="0" fontId="0" fillId="152" borderId="0" xfId="0" applyFill="true"/>
    <xf numFmtId="0" fontId="0" fillId="153" borderId="0" xfId="0" applyFill="true"/>
    <xf numFmtId="0" fontId="0" fillId="154" borderId="0" xfId="0" applyFill="true"/>
    <xf numFmtId="0" fontId="0" fillId="155" borderId="0" xfId="0" applyFill="true"/>
    <xf numFmtId="0" fontId="0" fillId="156" borderId="0" xfId="0" applyFill="true"/>
    <xf numFmtId="0" fontId="0" fillId="157" borderId="0" xfId="0" applyFill="true"/>
    <xf numFmtId="0" fontId="0" fillId="158" borderId="0" xfId="0" applyFill="true"/>
    <xf numFmtId="0" fontId="0" fillId="159" borderId="0" xfId="0" applyFill="true"/>
    <xf numFmtId="0" fontId="0" fillId="160" borderId="0" xfId="0" applyFill="true"/>
    <xf numFmtId="0" fontId="0" fillId="161" borderId="0" xfId="0" applyFill="true"/>
    <xf numFmtId="0" fontId="0" fillId="162" borderId="0" xfId="0" applyFill="true"/>
    <xf numFmtId="0" fontId="0" fillId="163" borderId="0" xfId="0" applyFill="true"/>
    <xf numFmtId="0" fontId="0" fillId="164" borderId="0" xfId="0" applyFill="true"/>
    <xf numFmtId="0" fontId="0" fillId="165" borderId="0" xfId="0" applyFill="true"/>
    <xf numFmtId="0" fontId="0" fillId="166" borderId="0" xfId="0" applyFill="true"/>
    <xf numFmtId="0" fontId="0" fillId="167" borderId="0" xfId="0" applyFill="true"/>
    <xf numFmtId="49" fontId="0" fillId="0" borderId="24" xfId="0" applyNumberFormat="true"/>
    <xf numFmtId="22" fontId="0" fillId="0" borderId="25" xfId="0" applyNumberFormat="true"/>
    <xf numFmtId="49" fontId="0" fillId="0" borderId="26" xfId="0" applyNumberFormat="true"/>
    <xf numFmtId="22" fontId="0" fillId="0" borderId="27" xfId="0" applyNumberFormat="true"/>
  </cellXfs>
  <cellStyles count="3655">
    <cellStyle name="Followed Hyperlink" xfId="2" builtinId="9" hidden="true"/>
    <cellStyle name="Followed Hyperlink" xfId="4" builtinId="9" hidden="true"/>
    <cellStyle name="Followed Hyperlink" xfId="6" builtinId="9" hidden="true"/>
    <cellStyle name="Followed Hyperlink" xfId="8" builtinId="9" hidden="true"/>
    <cellStyle name="Followed Hyperlink" xfId="10" builtinId="9" hidden="true"/>
    <cellStyle name="Followed Hyperlink" xfId="12" builtinId="9" hidden="true"/>
    <cellStyle name="Followed Hyperlink" xfId="14" builtinId="9" hidden="true"/>
    <cellStyle name="Followed Hyperlink" xfId="16" builtinId="9" hidden="true"/>
    <cellStyle name="Followed Hyperlink" xfId="18" builtinId="9" hidden="true"/>
    <cellStyle name="Followed Hyperlink" xfId="20" builtinId="9" hidden="true"/>
    <cellStyle name="Followed Hyperlink" xfId="22" builtinId="9" hidden="true"/>
    <cellStyle name="Followed Hyperlink" xfId="24" builtinId="9" hidden="true"/>
    <cellStyle name="Followed Hyperlink" xfId="26" builtinId="9" hidden="true"/>
    <cellStyle name="Followed Hyperlink" xfId="28" builtinId="9" hidden="true"/>
    <cellStyle name="Followed Hyperlink" xfId="30" builtinId="9" hidden="true"/>
    <cellStyle name="Followed Hyperlink" xfId="32" builtinId="9" hidden="true"/>
    <cellStyle name="Followed Hyperlink" xfId="34" builtinId="9" hidden="true"/>
    <cellStyle name="Followed Hyperlink" xfId="36" builtinId="9" hidden="true"/>
    <cellStyle name="Followed Hyperlink" xfId="38" builtinId="9" hidden="true"/>
    <cellStyle name="Followed Hyperlink" xfId="40" builtinId="9" hidden="true"/>
    <cellStyle name="Followed Hyperlink" xfId="42" builtinId="9" hidden="true"/>
    <cellStyle name="Followed Hyperlink" xfId="44" builtinId="9" hidden="true"/>
    <cellStyle name="Followed Hyperlink" xfId="46" builtinId="9" hidden="true"/>
    <cellStyle name="Followed Hyperlink" xfId="48" builtinId="9" hidden="true"/>
    <cellStyle name="Followed Hyperlink" xfId="50" builtinId="9" hidden="true"/>
    <cellStyle name="Followed Hyperlink" xfId="52" builtinId="9" hidden="true"/>
    <cellStyle name="Followed Hyperlink" xfId="54" builtinId="9" hidden="true"/>
    <cellStyle name="Followed Hyperlink" xfId="56" builtinId="9" hidden="true"/>
    <cellStyle name="Followed Hyperlink" xfId="58" builtinId="9" hidden="true"/>
    <cellStyle name="Followed Hyperlink" xfId="60" builtinId="9" hidden="true"/>
    <cellStyle name="Followed Hyperlink" xfId="62" builtinId="9" hidden="true"/>
    <cellStyle name="Followed Hyperlink" xfId="64" builtinId="9" hidden="true"/>
    <cellStyle name="Followed Hyperlink" xfId="66" builtinId="9" hidden="true"/>
    <cellStyle name="Followed Hyperlink" xfId="68" builtinId="9" hidden="true"/>
    <cellStyle name="Followed Hyperlink" xfId="70" builtinId="9" hidden="true"/>
    <cellStyle name="Followed Hyperlink" xfId="72" builtinId="9" hidden="true"/>
    <cellStyle name="Followed Hyperlink" xfId="74" builtinId="9" hidden="true"/>
    <cellStyle name="Followed Hyperlink" xfId="76" builtinId="9" hidden="true"/>
    <cellStyle name="Followed Hyperlink" xfId="78" builtinId="9" hidden="true"/>
    <cellStyle name="Followed Hyperlink" xfId="80" builtinId="9" hidden="true"/>
    <cellStyle name="Followed Hyperlink" xfId="82" builtinId="9" hidden="true"/>
    <cellStyle name="Followed Hyperlink" xfId="84" builtinId="9" hidden="true"/>
    <cellStyle name="Followed Hyperlink" xfId="86" builtinId="9" hidden="true"/>
    <cellStyle name="Followed Hyperlink" xfId="88" builtinId="9" hidden="true"/>
    <cellStyle name="Followed Hyperlink" xfId="90" builtinId="9" hidden="true"/>
    <cellStyle name="Followed Hyperlink" xfId="92" builtinId="9" hidden="true"/>
    <cellStyle name="Followed Hyperlink" xfId="94" builtinId="9" hidden="true"/>
    <cellStyle name="Followed Hyperlink" xfId="96" builtinId="9" hidden="true"/>
    <cellStyle name="Followed Hyperlink" xfId="98" builtinId="9" hidden="true"/>
    <cellStyle name="Followed Hyperlink" xfId="100" builtinId="9" hidden="true"/>
    <cellStyle name="Followed Hyperlink" xfId="102" builtinId="9" hidden="true"/>
    <cellStyle name="Followed Hyperlink" xfId="104" builtinId="9" hidden="true"/>
    <cellStyle name="Followed Hyperlink" xfId="106" builtinId="9" hidden="true"/>
    <cellStyle name="Followed Hyperlink" xfId="108" builtinId="9" hidden="true"/>
    <cellStyle name="Followed Hyperlink" xfId="110" builtinId="9" hidden="true"/>
    <cellStyle name="Followed Hyperlink" xfId="112" builtinId="9" hidden="true"/>
    <cellStyle name="Followed Hyperlink" xfId="114" builtinId="9" hidden="true"/>
    <cellStyle name="Followed Hyperlink" xfId="116" builtinId="9" hidden="true"/>
    <cellStyle name="Followed Hyperlink" xfId="118" builtinId="9" hidden="true"/>
    <cellStyle name="Followed Hyperlink" xfId="120" builtinId="9" hidden="true"/>
    <cellStyle name="Followed Hyperlink" xfId="122" builtinId="9" hidden="true"/>
    <cellStyle name="Followed Hyperlink" xfId="124" builtinId="9" hidden="true"/>
    <cellStyle name="Followed Hyperlink" xfId="126" builtinId="9" hidden="true"/>
    <cellStyle name="Followed Hyperlink" xfId="128" builtinId="9" hidden="true"/>
    <cellStyle name="Followed Hyperlink" xfId="130" builtinId="9" hidden="true"/>
    <cellStyle name="Followed Hyperlink" xfId="132" builtinId="9" hidden="true"/>
    <cellStyle name="Followed Hyperlink" xfId="134" builtinId="9" hidden="true"/>
    <cellStyle name="Followed Hyperlink" xfId="136" builtinId="9" hidden="true"/>
    <cellStyle name="Followed Hyperlink" xfId="138" builtinId="9" hidden="true"/>
    <cellStyle name="Followed Hyperlink" xfId="140" builtinId="9" hidden="true"/>
    <cellStyle name="Followed Hyperlink" xfId="142" builtinId="9" hidden="true"/>
    <cellStyle name="Followed Hyperlink" xfId="144" builtinId="9" hidden="true"/>
    <cellStyle name="Followed Hyperlink" xfId="146" builtinId="9" hidden="true"/>
    <cellStyle name="Followed Hyperlink" xfId="148" builtinId="9" hidden="true"/>
    <cellStyle name="Followed Hyperlink" xfId="150" builtinId="9" hidden="true"/>
    <cellStyle name="Followed Hyperlink" xfId="152" builtinId="9" hidden="true"/>
    <cellStyle name="Followed Hyperlink" xfId="154" builtinId="9" hidden="true"/>
    <cellStyle name="Followed Hyperlink" xfId="156" builtinId="9" hidden="true"/>
    <cellStyle name="Followed Hyperlink" xfId="158" builtinId="9" hidden="true"/>
    <cellStyle name="Followed Hyperlink" xfId="160" builtinId="9" hidden="true"/>
    <cellStyle name="Followed Hyperlink" xfId="162" builtinId="9" hidden="true"/>
    <cellStyle name="Followed Hyperlink" xfId="164" builtinId="9" hidden="true"/>
    <cellStyle name="Followed Hyperlink" xfId="166" builtinId="9" hidden="true"/>
    <cellStyle name="Followed Hyperlink" xfId="168" builtinId="9" hidden="true"/>
    <cellStyle name="Followed Hyperlink" xfId="170" builtinId="9" hidden="true"/>
    <cellStyle name="Followed Hyperlink" xfId="172" builtinId="9" hidden="true"/>
    <cellStyle name="Followed Hyperlink" xfId="174" builtinId="9" hidden="true"/>
    <cellStyle name="Followed Hyperlink" xfId="176" builtinId="9" hidden="true"/>
    <cellStyle name="Followed Hyperlink" xfId="178" builtinId="9" hidden="true"/>
    <cellStyle name="Followed Hyperlink" xfId="180" builtinId="9" hidden="true"/>
    <cellStyle name="Followed Hyperlink" xfId="182" builtinId="9" hidden="true"/>
    <cellStyle name="Followed Hyperlink" xfId="184" builtinId="9" hidden="true"/>
    <cellStyle name="Followed Hyperlink" xfId="186" builtinId="9" hidden="true"/>
    <cellStyle name="Followed Hyperlink" xfId="188" builtinId="9" hidden="true"/>
    <cellStyle name="Followed Hyperlink" xfId="190" builtinId="9" hidden="true"/>
    <cellStyle name="Followed Hyperlink" xfId="192" builtinId="9" hidden="true"/>
    <cellStyle name="Followed Hyperlink" xfId="194" builtinId="9" hidden="true"/>
    <cellStyle name="Followed Hyperlink" xfId="196" builtinId="9" hidden="true"/>
    <cellStyle name="Followed Hyperlink" xfId="198" builtinId="9" hidden="true"/>
    <cellStyle name="Followed Hyperlink" xfId="200" builtinId="9" hidden="true"/>
    <cellStyle name="Followed Hyperlink" xfId="202" builtinId="9" hidden="true"/>
    <cellStyle name="Followed Hyperlink" xfId="204" builtinId="9" hidden="true"/>
    <cellStyle name="Followed Hyperlink" xfId="206" builtinId="9" hidden="true"/>
    <cellStyle name="Followed Hyperlink" xfId="208" builtinId="9" hidden="true"/>
    <cellStyle name="Followed Hyperlink" xfId="210" builtinId="9" hidden="true"/>
    <cellStyle name="Followed Hyperlink" xfId="212" builtinId="9" hidden="true"/>
    <cellStyle name="Followed Hyperlink" xfId="214" builtinId="9" hidden="true"/>
    <cellStyle name="Followed Hyperlink" xfId="216" builtinId="9" hidden="true"/>
    <cellStyle name="Followed Hyperlink" xfId="218" builtinId="9" hidden="true"/>
    <cellStyle name="Followed Hyperlink" xfId="220" builtinId="9" hidden="true"/>
    <cellStyle name="Followed Hyperlink" xfId="222" builtinId="9" hidden="true"/>
    <cellStyle name="Followed Hyperlink" xfId="224" builtinId="9" hidden="true"/>
    <cellStyle name="Followed Hyperlink" xfId="226" builtinId="9" hidden="true"/>
    <cellStyle name="Followed Hyperlink" xfId="228" builtinId="9" hidden="true"/>
    <cellStyle name="Followed Hyperlink" xfId="230" builtinId="9" hidden="true"/>
    <cellStyle name="Followed Hyperlink" xfId="232" builtinId="9" hidden="true"/>
    <cellStyle name="Followed Hyperlink" xfId="234" builtinId="9" hidden="true"/>
    <cellStyle name="Followed Hyperlink" xfId="236" builtinId="9" hidden="true"/>
    <cellStyle name="Followed Hyperlink" xfId="238" builtinId="9" hidden="true"/>
    <cellStyle name="Followed Hyperlink" xfId="240" builtinId="9" hidden="true"/>
    <cellStyle name="Followed Hyperlink" xfId="242" builtinId="9" hidden="true"/>
    <cellStyle name="Followed Hyperlink" xfId="244" builtinId="9" hidden="true"/>
    <cellStyle name="Followed Hyperlink" xfId="246" builtinId="9" hidden="true"/>
    <cellStyle name="Followed Hyperlink" xfId="248" builtinId="9" hidden="true"/>
    <cellStyle name="Followed Hyperlink" xfId="250" builtinId="9" hidden="true"/>
    <cellStyle name="Followed Hyperlink" xfId="252" builtinId="9" hidden="true"/>
    <cellStyle name="Followed Hyperlink" xfId="254" builtinId="9" hidden="true"/>
    <cellStyle name="Followed Hyperlink" xfId="256" builtinId="9" hidden="true"/>
    <cellStyle name="Followed Hyperlink" xfId="258" builtinId="9" hidden="true"/>
    <cellStyle name="Followed Hyperlink" xfId="260" builtinId="9" hidden="true"/>
    <cellStyle name="Followed Hyperlink" xfId="262" builtinId="9" hidden="true"/>
    <cellStyle name="Followed Hyperlink" xfId="264" builtinId="9" hidden="true"/>
    <cellStyle name="Followed Hyperlink" xfId="266" builtinId="9" hidden="true"/>
    <cellStyle name="Followed Hyperlink" xfId="268" builtinId="9" hidden="true"/>
    <cellStyle name="Followed Hyperlink" xfId="270" builtinId="9" hidden="true"/>
    <cellStyle name="Followed Hyperlink" xfId="272" builtinId="9" hidden="true"/>
    <cellStyle name="Followed Hyperlink" xfId="274" builtinId="9" hidden="true"/>
    <cellStyle name="Followed Hyperlink" xfId="276" builtinId="9" hidden="true"/>
    <cellStyle name="Followed Hyperlink" xfId="278" builtinId="9" hidden="true"/>
    <cellStyle name="Followed Hyperlink" xfId="280" builtinId="9" hidden="true"/>
    <cellStyle name="Followed Hyperlink" xfId="282" builtinId="9" hidden="true"/>
    <cellStyle name="Followed Hyperlink" xfId="284" builtinId="9" hidden="true"/>
    <cellStyle name="Followed Hyperlink" xfId="286" builtinId="9" hidden="true"/>
    <cellStyle name="Followed Hyperlink" xfId="288" builtinId="9" hidden="true"/>
    <cellStyle name="Followed Hyperlink" xfId="290" builtinId="9" hidden="true"/>
    <cellStyle name="Followed Hyperlink" xfId="292" builtinId="9" hidden="true"/>
    <cellStyle name="Followed Hyperlink" xfId="294" builtinId="9" hidden="true"/>
    <cellStyle name="Followed Hyperlink" xfId="296" builtinId="9" hidden="true"/>
    <cellStyle name="Followed Hyperlink" xfId="298" builtinId="9" hidden="true"/>
    <cellStyle name="Followed Hyperlink" xfId="300" builtinId="9" hidden="true"/>
    <cellStyle name="Followed Hyperlink" xfId="302" builtinId="9" hidden="true"/>
    <cellStyle name="Followed Hyperlink" xfId="304" builtinId="9" hidden="true"/>
    <cellStyle name="Followed Hyperlink" xfId="306" builtinId="9" hidden="true"/>
    <cellStyle name="Followed Hyperlink" xfId="308" builtinId="9" hidden="true"/>
    <cellStyle name="Followed Hyperlink" xfId="310" builtinId="9" hidden="true"/>
    <cellStyle name="Followed Hyperlink" xfId="312" builtinId="9" hidden="true"/>
    <cellStyle name="Followed Hyperlink" xfId="314" builtinId="9" hidden="true"/>
    <cellStyle name="Followed Hyperlink" xfId="316" builtinId="9" hidden="true"/>
    <cellStyle name="Followed Hyperlink" xfId="318" builtinId="9" hidden="true"/>
    <cellStyle name="Followed Hyperlink" xfId="320" builtinId="9" hidden="true"/>
    <cellStyle name="Followed Hyperlink" xfId="322" builtinId="9" hidden="true"/>
    <cellStyle name="Followed Hyperlink" xfId="324" builtinId="9" hidden="true"/>
    <cellStyle name="Followed Hyperlink" xfId="326" builtinId="9" hidden="true"/>
    <cellStyle name="Followed Hyperlink" xfId="328" builtinId="9" hidden="true"/>
    <cellStyle name="Followed Hyperlink" xfId="330" builtinId="9" hidden="true"/>
    <cellStyle name="Followed Hyperlink" xfId="332" builtinId="9" hidden="true"/>
    <cellStyle name="Followed Hyperlink" xfId="334" builtinId="9" hidden="true"/>
    <cellStyle name="Followed Hyperlink" xfId="336" builtinId="9" hidden="true"/>
    <cellStyle name="Followed Hyperlink" xfId="338" builtinId="9" hidden="true"/>
    <cellStyle name="Followed Hyperlink" xfId="340" builtinId="9" hidden="true"/>
    <cellStyle name="Followed Hyperlink" xfId="342" builtinId="9" hidden="true"/>
    <cellStyle name="Followed Hyperlink" xfId="344" builtinId="9" hidden="true"/>
    <cellStyle name="Followed Hyperlink" xfId="346" builtinId="9" hidden="true"/>
    <cellStyle name="Followed Hyperlink" xfId="348" builtinId="9" hidden="true"/>
    <cellStyle name="Followed Hyperlink" xfId="350" builtinId="9" hidden="true"/>
    <cellStyle name="Followed Hyperlink" xfId="352" builtinId="9" hidden="true"/>
    <cellStyle name="Followed Hyperlink" xfId="354" builtinId="9" hidden="true"/>
    <cellStyle name="Followed Hyperlink" xfId="356" builtinId="9" hidden="true"/>
    <cellStyle name="Followed Hyperlink" xfId="358" builtinId="9" hidden="true"/>
    <cellStyle name="Followed Hyperlink" xfId="360" builtinId="9" hidden="true"/>
    <cellStyle name="Followed Hyperlink" xfId="362" builtinId="9" hidden="true"/>
    <cellStyle name="Followed Hyperlink" xfId="364" builtinId="9" hidden="true"/>
    <cellStyle name="Followed Hyperlink" xfId="366" builtinId="9" hidden="true"/>
    <cellStyle name="Followed Hyperlink" xfId="368" builtinId="9" hidden="true"/>
    <cellStyle name="Followed Hyperlink" xfId="370" builtinId="9" hidden="true"/>
    <cellStyle name="Followed Hyperlink" xfId="372" builtinId="9" hidden="true"/>
    <cellStyle name="Followed Hyperlink" xfId="374" builtinId="9" hidden="true"/>
    <cellStyle name="Followed Hyperlink" xfId="376" builtinId="9" hidden="true"/>
    <cellStyle name="Followed Hyperlink" xfId="378" builtinId="9" hidden="true"/>
    <cellStyle name="Followed Hyperlink" xfId="380" builtinId="9" hidden="true"/>
    <cellStyle name="Followed Hyperlink" xfId="382" builtinId="9" hidden="true"/>
    <cellStyle name="Followed Hyperlink" xfId="384" builtinId="9" hidden="true"/>
    <cellStyle name="Followed Hyperlink" xfId="386" builtinId="9" hidden="true"/>
    <cellStyle name="Followed Hyperlink" xfId="388" builtinId="9" hidden="true"/>
    <cellStyle name="Followed Hyperlink" xfId="390" builtinId="9" hidden="true"/>
    <cellStyle name="Followed Hyperlink" xfId="392" builtinId="9" hidden="true"/>
    <cellStyle name="Followed Hyperlink" xfId="394" builtinId="9" hidden="true"/>
    <cellStyle name="Followed Hyperlink" xfId="396" builtinId="9" hidden="true"/>
    <cellStyle name="Followed Hyperlink" xfId="398" builtinId="9" hidden="true"/>
    <cellStyle name="Followed Hyperlink" xfId="400" builtinId="9" hidden="true"/>
    <cellStyle name="Followed Hyperlink" xfId="402" builtinId="9" hidden="true"/>
    <cellStyle name="Followed Hyperlink" xfId="404" builtinId="9" hidden="true"/>
    <cellStyle name="Followed Hyperlink" xfId="406" builtinId="9" hidden="true"/>
    <cellStyle name="Followed Hyperlink" xfId="408" builtinId="9" hidden="true"/>
    <cellStyle name="Followed Hyperlink" xfId="410" builtinId="9" hidden="true"/>
    <cellStyle name="Followed Hyperlink" xfId="412" builtinId="9" hidden="true"/>
    <cellStyle name="Followed Hyperlink" xfId="414" builtinId="9" hidden="true"/>
    <cellStyle name="Followed Hyperlink" xfId="416" builtinId="9" hidden="true"/>
    <cellStyle name="Followed Hyperlink" xfId="418" builtinId="9" hidden="true"/>
    <cellStyle name="Followed Hyperlink" xfId="420" builtinId="9" hidden="true"/>
    <cellStyle name="Followed Hyperlink" xfId="422" builtinId="9" hidden="true"/>
    <cellStyle name="Followed Hyperlink" xfId="424" builtinId="9" hidden="true"/>
    <cellStyle name="Followed Hyperlink" xfId="426" builtinId="9" hidden="true"/>
    <cellStyle name="Followed Hyperlink" xfId="428" builtinId="9" hidden="true"/>
    <cellStyle name="Followed Hyperlink" xfId="430" builtinId="9" hidden="true"/>
    <cellStyle name="Followed Hyperlink" xfId="432" builtinId="9" hidden="true"/>
    <cellStyle name="Followed Hyperlink" xfId="434" builtinId="9" hidden="true"/>
    <cellStyle name="Followed Hyperlink" xfId="436" builtinId="9" hidden="true"/>
    <cellStyle name="Followed Hyperlink" xfId="438" builtinId="9" hidden="true"/>
    <cellStyle name="Followed Hyperlink" xfId="440" builtinId="9" hidden="true"/>
    <cellStyle name="Followed Hyperlink" xfId="442" builtinId="9" hidden="true"/>
    <cellStyle name="Followed Hyperlink" xfId="444" builtinId="9" hidden="true"/>
    <cellStyle name="Followed Hyperlink" xfId="446" builtinId="9" hidden="true"/>
    <cellStyle name="Followed Hyperlink" xfId="448" builtinId="9" hidden="true"/>
    <cellStyle name="Followed Hyperlink" xfId="450" builtinId="9" hidden="true"/>
    <cellStyle name="Followed Hyperlink" xfId="452" builtinId="9" hidden="true"/>
    <cellStyle name="Followed Hyperlink" xfId="454" builtinId="9" hidden="true"/>
    <cellStyle name="Followed Hyperlink" xfId="456" builtinId="9" hidden="true"/>
    <cellStyle name="Followed Hyperlink" xfId="458" builtinId="9" hidden="true"/>
    <cellStyle name="Followed Hyperlink" xfId="460" builtinId="9" hidden="true"/>
    <cellStyle name="Followed Hyperlink" xfId="462" builtinId="9" hidden="true"/>
    <cellStyle name="Followed Hyperlink" xfId="464" builtinId="9" hidden="true"/>
    <cellStyle name="Followed Hyperlink" xfId="466" builtinId="9" hidden="true"/>
    <cellStyle name="Followed Hyperlink" xfId="468" builtinId="9" hidden="true"/>
    <cellStyle name="Followed Hyperlink" xfId="470" builtinId="9" hidden="true"/>
    <cellStyle name="Followed Hyperlink" xfId="472" builtinId="9" hidden="true"/>
    <cellStyle name="Followed Hyperlink" xfId="474" builtinId="9" hidden="true"/>
    <cellStyle name="Followed Hyperlink" xfId="476" builtinId="9" hidden="true"/>
    <cellStyle name="Followed Hyperlink" xfId="478" builtinId="9" hidden="true"/>
    <cellStyle name="Followed Hyperlink" xfId="480" builtinId="9" hidden="true"/>
    <cellStyle name="Followed Hyperlink" xfId="482" builtinId="9" hidden="true"/>
    <cellStyle name="Followed Hyperlink" xfId="484" builtinId="9" hidden="true"/>
    <cellStyle name="Followed Hyperlink" xfId="486" builtinId="9" hidden="true"/>
    <cellStyle name="Followed Hyperlink" xfId="488" builtinId="9" hidden="true"/>
    <cellStyle name="Followed Hyperlink" xfId="490" builtinId="9" hidden="true"/>
    <cellStyle name="Followed Hyperlink" xfId="492" builtinId="9" hidden="true"/>
    <cellStyle name="Followed Hyperlink" xfId="494" builtinId="9" hidden="true"/>
    <cellStyle name="Followed Hyperlink" xfId="496" builtinId="9" hidden="true"/>
    <cellStyle name="Followed Hyperlink" xfId="498" builtinId="9" hidden="true"/>
    <cellStyle name="Followed Hyperlink" xfId="500" builtinId="9" hidden="true"/>
    <cellStyle name="Followed Hyperlink" xfId="502" builtinId="9" hidden="true"/>
    <cellStyle name="Followed Hyperlink" xfId="504" builtinId="9" hidden="true"/>
    <cellStyle name="Followed Hyperlink" xfId="506" builtinId="9" hidden="true"/>
    <cellStyle name="Followed Hyperlink" xfId="508" builtinId="9" hidden="true"/>
    <cellStyle name="Followed Hyperlink" xfId="510" builtinId="9" hidden="true"/>
    <cellStyle name="Followed Hyperlink" xfId="512" builtinId="9" hidden="true"/>
    <cellStyle name="Followed Hyperlink" xfId="514" builtinId="9" hidden="true"/>
    <cellStyle name="Followed Hyperlink" xfId="516" builtinId="9" hidden="true"/>
    <cellStyle name="Followed Hyperlink" xfId="518" builtinId="9" hidden="true"/>
    <cellStyle name="Followed Hyperlink" xfId="520" builtinId="9" hidden="true"/>
    <cellStyle name="Followed Hyperlink" xfId="522" builtinId="9" hidden="true"/>
    <cellStyle name="Followed Hyperlink" xfId="524" builtinId="9" hidden="true"/>
    <cellStyle name="Followed Hyperlink" xfId="526" builtinId="9" hidden="true"/>
    <cellStyle name="Followed Hyperlink" xfId="528" builtinId="9" hidden="true"/>
    <cellStyle name="Followed Hyperlink" xfId="530" builtinId="9" hidden="true"/>
    <cellStyle name="Followed Hyperlink" xfId="532" builtinId="9" hidden="true"/>
    <cellStyle name="Followed Hyperlink" xfId="534" builtinId="9" hidden="true"/>
    <cellStyle name="Followed Hyperlink" xfId="536" builtinId="9" hidden="true"/>
    <cellStyle name="Followed Hyperlink" xfId="538" builtinId="9" hidden="true"/>
    <cellStyle name="Followed Hyperlink" xfId="540" builtinId="9" hidden="true"/>
    <cellStyle name="Followed Hyperlink" xfId="542" builtinId="9" hidden="true"/>
    <cellStyle name="Followed Hyperlink" xfId="544" builtinId="9" hidden="true"/>
    <cellStyle name="Followed Hyperlink" xfId="546" builtinId="9" hidden="true"/>
    <cellStyle name="Followed Hyperlink" xfId="548" builtinId="9" hidden="true"/>
    <cellStyle name="Followed Hyperlink" xfId="550" builtinId="9" hidden="true"/>
    <cellStyle name="Followed Hyperlink" xfId="552" builtinId="9" hidden="true"/>
    <cellStyle name="Followed Hyperlink" xfId="554" builtinId="9" hidden="true"/>
    <cellStyle name="Followed Hyperlink" xfId="556" builtinId="9" hidden="true"/>
    <cellStyle name="Followed Hyperlink" xfId="558" builtinId="9" hidden="true"/>
    <cellStyle name="Followed Hyperlink" xfId="560" builtinId="9" hidden="true"/>
    <cellStyle name="Followed Hyperlink" xfId="562" builtinId="9" hidden="true"/>
    <cellStyle name="Followed Hyperlink" xfId="564" builtinId="9" hidden="true"/>
    <cellStyle name="Followed Hyperlink" xfId="566" builtinId="9" hidden="true"/>
    <cellStyle name="Followed Hyperlink" xfId="568" builtinId="9" hidden="true"/>
    <cellStyle name="Followed Hyperlink" xfId="570" builtinId="9" hidden="true"/>
    <cellStyle name="Followed Hyperlink" xfId="572" builtinId="9" hidden="true"/>
    <cellStyle name="Followed Hyperlink" xfId="574" builtinId="9" hidden="true"/>
    <cellStyle name="Followed Hyperlink" xfId="576" builtinId="9" hidden="true"/>
    <cellStyle name="Followed Hyperlink" xfId="578" builtinId="9" hidden="true"/>
    <cellStyle name="Followed Hyperlink" xfId="580" builtinId="9" hidden="true"/>
    <cellStyle name="Followed Hyperlink" xfId="582" builtinId="9" hidden="true"/>
    <cellStyle name="Followed Hyperlink" xfId="584" builtinId="9" hidden="true"/>
    <cellStyle name="Followed Hyperlink" xfId="586" builtinId="9" hidden="true"/>
    <cellStyle name="Followed Hyperlink" xfId="588" builtinId="9" hidden="true"/>
    <cellStyle name="Followed Hyperlink" xfId="590" builtinId="9" hidden="true"/>
    <cellStyle name="Followed Hyperlink" xfId="592" builtinId="9" hidden="true"/>
    <cellStyle name="Followed Hyperlink" xfId="594" builtinId="9" hidden="true"/>
    <cellStyle name="Followed Hyperlink" xfId="596" builtinId="9" hidden="true"/>
    <cellStyle name="Followed Hyperlink" xfId="598" builtinId="9" hidden="true"/>
    <cellStyle name="Followed Hyperlink" xfId="600" builtinId="9" hidden="true"/>
    <cellStyle name="Followed Hyperlink" xfId="602" builtinId="9" hidden="true"/>
    <cellStyle name="Followed Hyperlink" xfId="604" builtinId="9" hidden="true"/>
    <cellStyle name="Followed Hyperlink" xfId="606" builtinId="9" hidden="true"/>
    <cellStyle name="Followed Hyperlink" xfId="608" builtinId="9" hidden="true"/>
    <cellStyle name="Followed Hyperlink" xfId="610" builtinId="9" hidden="true"/>
    <cellStyle name="Followed Hyperlink" xfId="612" builtinId="9" hidden="true"/>
    <cellStyle name="Followed Hyperlink" xfId="614" builtinId="9" hidden="true"/>
    <cellStyle name="Followed Hyperlink" xfId="616" builtinId="9" hidden="true"/>
    <cellStyle name="Followed Hyperlink" xfId="618" builtinId="9" hidden="true"/>
    <cellStyle name="Followed Hyperlink" xfId="620" builtinId="9" hidden="true"/>
    <cellStyle name="Followed Hyperlink" xfId="622" builtinId="9" hidden="true"/>
    <cellStyle name="Followed Hyperlink" xfId="624" builtinId="9" hidden="true"/>
    <cellStyle name="Followed Hyperlink" xfId="626" builtinId="9" hidden="true"/>
    <cellStyle name="Followed Hyperlink" xfId="628" builtinId="9" hidden="true"/>
    <cellStyle name="Followed Hyperlink" xfId="630" builtinId="9" hidden="true"/>
    <cellStyle name="Followed Hyperlink" xfId="632" builtinId="9" hidden="true"/>
    <cellStyle name="Followed Hyperlink" xfId="634" builtinId="9" hidden="true"/>
    <cellStyle name="Followed Hyperlink" xfId="636" builtinId="9" hidden="true"/>
    <cellStyle name="Followed Hyperlink" xfId="638" builtinId="9" hidden="true"/>
    <cellStyle name="Followed Hyperlink" xfId="640" builtinId="9" hidden="true"/>
    <cellStyle name="Followed Hyperlink" xfId="642" builtinId="9" hidden="true"/>
    <cellStyle name="Followed Hyperlink" xfId="644" builtinId="9" hidden="true"/>
    <cellStyle name="Followed Hyperlink" xfId="646" builtinId="9" hidden="true"/>
    <cellStyle name="Followed Hyperlink" xfId="648" builtinId="9" hidden="true"/>
    <cellStyle name="Followed Hyperlink" xfId="650" builtinId="9" hidden="true"/>
    <cellStyle name="Followed Hyperlink" xfId="652" builtinId="9" hidden="true"/>
    <cellStyle name="Followed Hyperlink" xfId="654" builtinId="9" hidden="true"/>
    <cellStyle name="Followed Hyperlink" xfId="656" builtinId="9" hidden="true"/>
    <cellStyle name="Followed Hyperlink" xfId="658" builtinId="9" hidden="true"/>
    <cellStyle name="Followed Hyperlink" xfId="660" builtinId="9" hidden="true"/>
    <cellStyle name="Followed Hyperlink" xfId="662" builtinId="9" hidden="true"/>
    <cellStyle name="Followed Hyperlink" xfId="664" builtinId="9" hidden="true"/>
    <cellStyle name="Followed Hyperlink" xfId="666" builtinId="9" hidden="true"/>
    <cellStyle name="Followed Hyperlink" xfId="668" builtinId="9" hidden="true"/>
    <cellStyle name="Followed Hyperlink" xfId="670" builtinId="9" hidden="true"/>
    <cellStyle name="Followed Hyperlink" xfId="672" builtinId="9" hidden="true"/>
    <cellStyle name="Followed Hyperlink" xfId="674" builtinId="9" hidden="true"/>
    <cellStyle name="Followed Hyperlink" xfId="676" builtinId="9" hidden="true"/>
    <cellStyle name="Followed Hyperlink" xfId="678" builtinId="9" hidden="true"/>
    <cellStyle name="Followed Hyperlink" xfId="680" builtinId="9" hidden="true"/>
    <cellStyle name="Followed Hyperlink" xfId="682" builtinId="9" hidden="true"/>
    <cellStyle name="Followed Hyperlink" xfId="684" builtinId="9" hidden="true"/>
    <cellStyle name="Followed Hyperlink" xfId="686" builtinId="9" hidden="true"/>
    <cellStyle name="Followed Hyperlink" xfId="688" builtinId="9" hidden="true"/>
    <cellStyle name="Followed Hyperlink" xfId="690" builtinId="9" hidden="true"/>
    <cellStyle name="Followed Hyperlink" xfId="692" builtinId="9" hidden="true"/>
    <cellStyle name="Followed Hyperlink" xfId="694" builtinId="9" hidden="true"/>
    <cellStyle name="Followed Hyperlink" xfId="696" builtinId="9" hidden="true"/>
    <cellStyle name="Followed Hyperlink" xfId="698" builtinId="9" hidden="true"/>
    <cellStyle name="Followed Hyperlink" xfId="700" builtinId="9" hidden="true"/>
    <cellStyle name="Followed Hyperlink" xfId="702" builtinId="9" hidden="true"/>
    <cellStyle name="Followed Hyperlink" xfId="704" builtinId="9" hidden="true"/>
    <cellStyle name="Followed Hyperlink" xfId="706" builtinId="9" hidden="true"/>
    <cellStyle name="Followed Hyperlink" xfId="708" builtinId="9" hidden="true"/>
    <cellStyle name="Followed Hyperlink" xfId="710" builtinId="9" hidden="true"/>
    <cellStyle name="Followed Hyperlink" xfId="712" builtinId="9" hidden="true"/>
    <cellStyle name="Followed Hyperlink" xfId="714" builtinId="9" hidden="true"/>
    <cellStyle name="Followed Hyperlink" xfId="716" builtinId="9" hidden="true"/>
    <cellStyle name="Followed Hyperlink" xfId="718" builtinId="9" hidden="true"/>
    <cellStyle name="Followed Hyperlink" xfId="720" builtinId="9" hidden="true"/>
    <cellStyle name="Followed Hyperlink" xfId="722" builtinId="9" hidden="true"/>
    <cellStyle name="Followed Hyperlink" xfId="724" builtinId="9" hidden="true"/>
    <cellStyle name="Followed Hyperlink" xfId="726" builtinId="9" hidden="true"/>
    <cellStyle name="Followed Hyperlink" xfId="728" builtinId="9" hidden="true"/>
    <cellStyle name="Followed Hyperlink" xfId="730" builtinId="9" hidden="true"/>
    <cellStyle name="Followed Hyperlink" xfId="732" builtinId="9" hidden="true"/>
    <cellStyle name="Followed Hyperlink" xfId="734" builtinId="9" hidden="true"/>
    <cellStyle name="Followed Hyperlink" xfId="736" builtinId="9" hidden="true"/>
    <cellStyle name="Followed Hyperlink" xfId="738" builtinId="9" hidden="true"/>
    <cellStyle name="Followed Hyperlink" xfId="740" builtinId="9" hidden="true"/>
    <cellStyle name="Followed Hyperlink" xfId="742" builtinId="9" hidden="true"/>
    <cellStyle name="Followed Hyperlink" xfId="744" builtinId="9" hidden="true"/>
    <cellStyle name="Followed Hyperlink" xfId="746" builtinId="9" hidden="true"/>
    <cellStyle name="Followed Hyperlink" xfId="748" builtinId="9" hidden="true"/>
    <cellStyle name="Followed Hyperlink" xfId="750" builtinId="9" hidden="true"/>
    <cellStyle name="Followed Hyperlink" xfId="752" builtinId="9" hidden="true"/>
    <cellStyle name="Followed Hyperlink" xfId="754" builtinId="9" hidden="true"/>
    <cellStyle name="Followed Hyperlink" xfId="756" builtinId="9" hidden="true"/>
    <cellStyle name="Followed Hyperlink" xfId="758" builtinId="9" hidden="true"/>
    <cellStyle name="Followed Hyperlink" xfId="760" builtinId="9" hidden="true"/>
    <cellStyle name="Followed Hyperlink" xfId="762" builtinId="9" hidden="true"/>
    <cellStyle name="Followed Hyperlink" xfId="764" builtinId="9" hidden="true"/>
    <cellStyle name="Followed Hyperlink" xfId="766" builtinId="9" hidden="true"/>
    <cellStyle name="Followed Hyperlink" xfId="768" builtinId="9" hidden="true"/>
    <cellStyle name="Followed Hyperlink" xfId="770" builtinId="9" hidden="true"/>
    <cellStyle name="Followed Hyperlink" xfId="772" builtinId="9" hidden="true"/>
    <cellStyle name="Followed Hyperlink" xfId="774" builtinId="9" hidden="true"/>
    <cellStyle name="Followed Hyperlink" xfId="776" builtinId="9" hidden="true"/>
    <cellStyle name="Followed Hyperlink" xfId="778" builtinId="9" hidden="true"/>
    <cellStyle name="Followed Hyperlink" xfId="780" builtinId="9" hidden="true"/>
    <cellStyle name="Followed Hyperlink" xfId="782" builtinId="9" hidden="true"/>
    <cellStyle name="Followed Hyperlink" xfId="784" builtinId="9" hidden="true"/>
    <cellStyle name="Followed Hyperlink" xfId="786" builtinId="9" hidden="true"/>
    <cellStyle name="Followed Hyperlink" xfId="788" builtinId="9" hidden="true"/>
    <cellStyle name="Followed Hyperlink" xfId="790" builtinId="9" hidden="true"/>
    <cellStyle name="Followed Hyperlink" xfId="792" builtinId="9" hidden="true"/>
    <cellStyle name="Followed Hyperlink" xfId="794" builtinId="9" hidden="true"/>
    <cellStyle name="Followed Hyperlink" xfId="796" builtinId="9" hidden="true"/>
    <cellStyle name="Followed Hyperlink" xfId="798" builtinId="9" hidden="true"/>
    <cellStyle name="Followed Hyperlink" xfId="800" builtinId="9" hidden="true"/>
    <cellStyle name="Followed Hyperlink" xfId="802" builtinId="9" hidden="true"/>
    <cellStyle name="Followed Hyperlink" xfId="804" builtinId="9" hidden="true"/>
    <cellStyle name="Followed Hyperlink" xfId="806" builtinId="9" hidden="true"/>
    <cellStyle name="Followed Hyperlink" xfId="808" builtinId="9" hidden="true"/>
    <cellStyle name="Followed Hyperlink" xfId="810" builtinId="9" hidden="true"/>
    <cellStyle name="Followed Hyperlink" xfId="812" builtinId="9" hidden="true"/>
    <cellStyle name="Followed Hyperlink" xfId="814" builtinId="9" hidden="true"/>
    <cellStyle name="Followed Hyperlink" xfId="816" builtinId="9" hidden="true"/>
    <cellStyle name="Followed Hyperlink" xfId="818" builtinId="9" hidden="true"/>
    <cellStyle name="Followed Hyperlink" xfId="820" builtinId="9" hidden="true"/>
    <cellStyle name="Followed Hyperlink" xfId="822" builtinId="9" hidden="true"/>
    <cellStyle name="Followed Hyperlink" xfId="824" builtinId="9" hidden="true"/>
    <cellStyle name="Followed Hyperlink" xfId="826" builtinId="9" hidden="true"/>
    <cellStyle name="Followed Hyperlink" xfId="828" builtinId="9" hidden="true"/>
    <cellStyle name="Followed Hyperlink" xfId="830" builtinId="9" hidden="true"/>
    <cellStyle name="Followed Hyperlink" xfId="832" builtinId="9" hidden="true"/>
    <cellStyle name="Followed Hyperlink" xfId="834" builtinId="9" hidden="true"/>
    <cellStyle name="Followed Hyperlink" xfId="836" builtinId="9" hidden="true"/>
    <cellStyle name="Followed Hyperlink" xfId="838" builtinId="9" hidden="true"/>
    <cellStyle name="Followed Hyperlink" xfId="840" builtinId="9" hidden="true"/>
    <cellStyle name="Followed Hyperlink" xfId="842" builtinId="9" hidden="true"/>
    <cellStyle name="Followed Hyperlink" xfId="844" builtinId="9" hidden="true"/>
    <cellStyle name="Followed Hyperlink" xfId="846" builtinId="9" hidden="true"/>
    <cellStyle name="Followed Hyperlink" xfId="848" builtinId="9" hidden="true"/>
    <cellStyle name="Followed Hyperlink" xfId="850" builtinId="9" hidden="true"/>
    <cellStyle name="Followed Hyperlink" xfId="852" builtinId="9" hidden="true"/>
    <cellStyle name="Followed Hyperlink" xfId="854" builtinId="9" hidden="true"/>
    <cellStyle name="Followed Hyperlink" xfId="856" builtinId="9" hidden="true"/>
    <cellStyle name="Followed Hyperlink" xfId="858" builtinId="9" hidden="true"/>
    <cellStyle name="Followed Hyperlink" xfId="860" builtinId="9" hidden="true"/>
    <cellStyle name="Followed Hyperlink" xfId="862" builtinId="9" hidden="true"/>
    <cellStyle name="Followed Hyperlink" xfId="864" builtinId="9" hidden="true"/>
    <cellStyle name="Followed Hyperlink" xfId="866" builtinId="9" hidden="true"/>
    <cellStyle name="Followed Hyperlink" xfId="868" builtinId="9" hidden="true"/>
    <cellStyle name="Followed Hyperlink" xfId="870" builtinId="9" hidden="true"/>
    <cellStyle name="Followed Hyperlink" xfId="872" builtinId="9" hidden="true"/>
    <cellStyle name="Followed Hyperlink" xfId="874" builtinId="9" hidden="true"/>
    <cellStyle name="Followed Hyperlink" xfId="876" builtinId="9" hidden="true"/>
    <cellStyle name="Followed Hyperlink" xfId="878" builtinId="9" hidden="true"/>
    <cellStyle name="Followed Hyperlink" xfId="880" builtinId="9" hidden="true"/>
    <cellStyle name="Followed Hyperlink" xfId="882" builtinId="9" hidden="true"/>
    <cellStyle name="Followed Hyperlink" xfId="884" builtinId="9" hidden="true"/>
    <cellStyle name="Followed Hyperlink" xfId="886" builtinId="9" hidden="true"/>
    <cellStyle name="Followed Hyperlink" xfId="888" builtinId="9" hidden="true"/>
    <cellStyle name="Followed Hyperlink" xfId="890" builtinId="9" hidden="true"/>
    <cellStyle name="Followed Hyperlink" xfId="892" builtinId="9" hidden="true"/>
    <cellStyle name="Followed Hyperlink" xfId="894" builtinId="9" hidden="true"/>
    <cellStyle name="Followed Hyperlink" xfId="896" builtinId="9" hidden="true"/>
    <cellStyle name="Followed Hyperlink" xfId="898" builtinId="9" hidden="true"/>
    <cellStyle name="Followed Hyperlink" xfId="900" builtinId="9" hidden="true"/>
    <cellStyle name="Followed Hyperlink" xfId="902" builtinId="9" hidden="true"/>
    <cellStyle name="Followed Hyperlink" xfId="904" builtinId="9" hidden="true"/>
    <cellStyle name="Followed Hyperlink" xfId="906" builtinId="9" hidden="true"/>
    <cellStyle name="Followed Hyperlink" xfId="908" builtinId="9" hidden="true"/>
    <cellStyle name="Followed Hyperlink" xfId="910" builtinId="9" hidden="true"/>
    <cellStyle name="Followed Hyperlink" xfId="912" builtinId="9" hidden="true"/>
    <cellStyle name="Followed Hyperlink" xfId="914" builtinId="9" hidden="true"/>
    <cellStyle name="Followed Hyperlink" xfId="916" builtinId="9" hidden="true"/>
    <cellStyle name="Followed Hyperlink" xfId="918" builtinId="9" hidden="true"/>
    <cellStyle name="Followed Hyperlink" xfId="920" builtinId="9" hidden="true"/>
    <cellStyle name="Followed Hyperlink" xfId="922" builtinId="9" hidden="true"/>
    <cellStyle name="Followed Hyperlink" xfId="924" builtinId="9" hidden="true"/>
    <cellStyle name="Followed Hyperlink" xfId="926" builtinId="9" hidden="true"/>
    <cellStyle name="Followed Hyperlink" xfId="928" builtinId="9" hidden="true"/>
    <cellStyle name="Followed Hyperlink" xfId="930" builtinId="9" hidden="true"/>
    <cellStyle name="Followed Hyperlink" xfId="932" builtinId="9" hidden="true"/>
    <cellStyle name="Followed Hyperlink" xfId="934" builtinId="9" hidden="true"/>
    <cellStyle name="Followed Hyperlink" xfId="936" builtinId="9" hidden="true"/>
    <cellStyle name="Followed Hyperlink" xfId="938" builtinId="9" hidden="true"/>
    <cellStyle name="Followed Hyperlink" xfId="940" builtinId="9" hidden="true"/>
    <cellStyle name="Followed Hyperlink" xfId="942" builtinId="9" hidden="true"/>
    <cellStyle name="Followed Hyperlink" xfId="944" builtinId="9" hidden="true"/>
    <cellStyle name="Followed Hyperlink" xfId="946" builtinId="9" hidden="true"/>
    <cellStyle name="Followed Hyperlink" xfId="948" builtinId="9" hidden="true"/>
    <cellStyle name="Followed Hyperlink" xfId="950" builtinId="9" hidden="true"/>
    <cellStyle name="Followed Hyperlink" xfId="952" builtinId="9" hidden="true"/>
    <cellStyle name="Followed Hyperlink" xfId="954" builtinId="9" hidden="true"/>
    <cellStyle name="Followed Hyperlink" xfId="956" builtinId="9" hidden="true"/>
    <cellStyle name="Followed Hyperlink" xfId="958" builtinId="9" hidden="true"/>
    <cellStyle name="Followed Hyperlink" xfId="960" builtinId="9" hidden="true"/>
    <cellStyle name="Followed Hyperlink" xfId="962" builtinId="9" hidden="true"/>
    <cellStyle name="Followed Hyperlink" xfId="964" builtinId="9" hidden="true"/>
    <cellStyle name="Followed Hyperlink" xfId="966" builtinId="9" hidden="true"/>
    <cellStyle name="Followed Hyperlink" xfId="968" builtinId="9" hidden="true"/>
    <cellStyle name="Followed Hyperlink" xfId="970" builtinId="9" hidden="true"/>
    <cellStyle name="Followed Hyperlink" xfId="973" builtinId="9" hidden="true"/>
    <cellStyle name="Followed Hyperlink" xfId="975" builtinId="9" hidden="true"/>
    <cellStyle name="Followed Hyperlink" xfId="977" builtinId="9" hidden="true"/>
    <cellStyle name="Followed Hyperlink" xfId="979" builtinId="9" hidden="true"/>
    <cellStyle name="Followed Hyperlink" xfId="981" builtinId="9" hidden="true"/>
    <cellStyle name="Followed Hyperlink" xfId="983" builtinId="9" hidden="true"/>
    <cellStyle name="Followed Hyperlink" xfId="985" builtinId="9" hidden="true"/>
    <cellStyle name="Followed Hyperlink" xfId="987" builtinId="9" hidden="true"/>
    <cellStyle name="Followed Hyperlink" xfId="989" builtinId="9" hidden="true"/>
    <cellStyle name="Followed Hyperlink" xfId="991" builtinId="9" hidden="true"/>
    <cellStyle name="Followed Hyperlink" xfId="993" builtinId="9" hidden="true"/>
    <cellStyle name="Followed Hyperlink" xfId="995" builtinId="9" hidden="true"/>
    <cellStyle name="Followed Hyperlink" xfId="997" builtinId="9" hidden="true"/>
    <cellStyle name="Followed Hyperlink" xfId="999" builtinId="9" hidden="true"/>
    <cellStyle name="Followed Hyperlink" xfId="1001" builtinId="9" hidden="true"/>
    <cellStyle name="Followed Hyperlink" xfId="1003" builtinId="9" hidden="true"/>
    <cellStyle name="Followed Hyperlink" xfId="1005" builtinId="9" hidden="true"/>
    <cellStyle name="Followed Hyperlink" xfId="1007" builtinId="9" hidden="true"/>
    <cellStyle name="Followed Hyperlink" xfId="1009" builtinId="9" hidden="true"/>
    <cellStyle name="Followed Hyperlink" xfId="1011" builtinId="9" hidden="true"/>
    <cellStyle name="Followed Hyperlink" xfId="1013" builtinId="9" hidden="true"/>
    <cellStyle name="Followed Hyperlink" xfId="1015" builtinId="9" hidden="true"/>
    <cellStyle name="Followed Hyperlink" xfId="1017" builtinId="9" hidden="true"/>
    <cellStyle name="Followed Hyperlink" xfId="1019" builtinId="9" hidden="true"/>
    <cellStyle name="Followed Hyperlink" xfId="1021" builtinId="9" hidden="true"/>
    <cellStyle name="Followed Hyperlink" xfId="1023" builtinId="9" hidden="true"/>
    <cellStyle name="Followed Hyperlink" xfId="1025" builtinId="9" hidden="true"/>
    <cellStyle name="Followed Hyperlink" xfId="1027" builtinId="9" hidden="true"/>
    <cellStyle name="Followed Hyperlink" xfId="1029" builtinId="9" hidden="true"/>
    <cellStyle name="Followed Hyperlink" xfId="1031" builtinId="9" hidden="true"/>
    <cellStyle name="Followed Hyperlink" xfId="1033" builtinId="9" hidden="true"/>
    <cellStyle name="Followed Hyperlink" xfId="1035" builtinId="9" hidden="true"/>
    <cellStyle name="Followed Hyperlink" xfId="1037" builtinId="9" hidden="true"/>
    <cellStyle name="Followed Hyperlink" xfId="1039" builtinId="9" hidden="true"/>
    <cellStyle name="Followed Hyperlink" xfId="1041" builtinId="9" hidden="true"/>
    <cellStyle name="Followed Hyperlink" xfId="1043" builtinId="9" hidden="true"/>
    <cellStyle name="Followed Hyperlink" xfId="1045" builtinId="9" hidden="true"/>
    <cellStyle name="Followed Hyperlink" xfId="1047" builtinId="9" hidden="true"/>
    <cellStyle name="Followed Hyperlink" xfId="1049" builtinId="9" hidden="true"/>
    <cellStyle name="Followed Hyperlink" xfId="1051" builtinId="9" hidden="true"/>
    <cellStyle name="Followed Hyperlink" xfId="1053" builtinId="9" hidden="true"/>
    <cellStyle name="Followed Hyperlink" xfId="1055" builtinId="9" hidden="true"/>
    <cellStyle name="Followed Hyperlink" xfId="1057" builtinId="9" hidden="true"/>
    <cellStyle name="Followed Hyperlink" xfId="1059" builtinId="9" hidden="true"/>
    <cellStyle name="Followed Hyperlink" xfId="1061" builtinId="9" hidden="true"/>
    <cellStyle name="Followed Hyperlink" xfId="1063" builtinId="9" hidden="true"/>
    <cellStyle name="Followed Hyperlink" xfId="1065" builtinId="9" hidden="true"/>
    <cellStyle name="Followed Hyperlink" xfId="1067" builtinId="9" hidden="true"/>
    <cellStyle name="Followed Hyperlink" xfId="1069" builtinId="9" hidden="true"/>
    <cellStyle name="Followed Hyperlink" xfId="1071" builtinId="9" hidden="true"/>
    <cellStyle name="Followed Hyperlink" xfId="1073" builtinId="9" hidden="true"/>
    <cellStyle name="Followed Hyperlink" xfId="1075" builtinId="9" hidden="true"/>
    <cellStyle name="Followed Hyperlink" xfId="1077" builtinId="9" hidden="true"/>
    <cellStyle name="Followed Hyperlink" xfId="1079" builtinId="9" hidden="true"/>
    <cellStyle name="Followed Hyperlink" xfId="1081" builtinId="9" hidden="true"/>
    <cellStyle name="Followed Hyperlink" xfId="1083" builtinId="9" hidden="true"/>
    <cellStyle name="Followed Hyperlink" xfId="1085" builtinId="9" hidden="true"/>
    <cellStyle name="Followed Hyperlink" xfId="1087" builtinId="9" hidden="true"/>
    <cellStyle name="Followed Hyperlink" xfId="1089" builtinId="9" hidden="true"/>
    <cellStyle name="Followed Hyperlink" xfId="1091" builtinId="9" hidden="true"/>
    <cellStyle name="Followed Hyperlink" xfId="1093" builtinId="9" hidden="true"/>
    <cellStyle name="Followed Hyperlink" xfId="1095" builtinId="9" hidden="true"/>
    <cellStyle name="Followed Hyperlink" xfId="1097" builtinId="9" hidden="true"/>
    <cellStyle name="Followed Hyperlink" xfId="1099" builtinId="9" hidden="true"/>
    <cellStyle name="Followed Hyperlink" xfId="1101" builtinId="9" hidden="true"/>
    <cellStyle name="Followed Hyperlink" xfId="1103" builtinId="9" hidden="true"/>
    <cellStyle name="Followed Hyperlink" xfId="1105" builtinId="9" hidden="true"/>
    <cellStyle name="Followed Hyperlink" xfId="1107" builtinId="9" hidden="true"/>
    <cellStyle name="Followed Hyperlink" xfId="1109" builtinId="9" hidden="true"/>
    <cellStyle name="Followed Hyperlink" xfId="1111" builtinId="9" hidden="true"/>
    <cellStyle name="Followed Hyperlink" xfId="1113" builtinId="9" hidden="true"/>
    <cellStyle name="Followed Hyperlink" xfId="1115" builtinId="9" hidden="true"/>
    <cellStyle name="Followed Hyperlink" xfId="1117" builtinId="9" hidden="true"/>
    <cellStyle name="Followed Hyperlink" xfId="1119" builtinId="9" hidden="true"/>
    <cellStyle name="Followed Hyperlink" xfId="1121" builtinId="9" hidden="true"/>
    <cellStyle name="Followed Hyperlink" xfId="1123" builtinId="9" hidden="true"/>
    <cellStyle name="Followed Hyperlink" xfId="1125" builtinId="9" hidden="true"/>
    <cellStyle name="Followed Hyperlink" xfId="1127" builtinId="9" hidden="true"/>
    <cellStyle name="Followed Hyperlink" xfId="1129" builtinId="9" hidden="true"/>
    <cellStyle name="Followed Hyperlink" xfId="1131" builtinId="9" hidden="true"/>
    <cellStyle name="Followed Hyperlink" xfId="1133" builtinId="9" hidden="true"/>
    <cellStyle name="Followed Hyperlink" xfId="1135" builtinId="9" hidden="true"/>
    <cellStyle name="Followed Hyperlink" xfId="1137" builtinId="9" hidden="true"/>
    <cellStyle name="Followed Hyperlink" xfId="1139" builtinId="9" hidden="true"/>
    <cellStyle name="Followed Hyperlink" xfId="1141" builtinId="9" hidden="true"/>
    <cellStyle name="Followed Hyperlink" xfId="1143" builtinId="9" hidden="true"/>
    <cellStyle name="Followed Hyperlink" xfId="1145" builtinId="9" hidden="true"/>
    <cellStyle name="Followed Hyperlink" xfId="1147" builtinId="9" hidden="true"/>
    <cellStyle name="Followed Hyperlink" xfId="1149" builtinId="9" hidden="true"/>
    <cellStyle name="Followed Hyperlink" xfId="1151" builtinId="9" hidden="true"/>
    <cellStyle name="Followed Hyperlink" xfId="1153" builtinId="9" hidden="true"/>
    <cellStyle name="Followed Hyperlink" xfId="1155" builtinId="9" hidden="true"/>
    <cellStyle name="Followed Hyperlink" xfId="1157" builtinId="9" hidden="true"/>
    <cellStyle name="Followed Hyperlink" xfId="1159" builtinId="9" hidden="true"/>
    <cellStyle name="Followed Hyperlink" xfId="1161" builtinId="9" hidden="true"/>
    <cellStyle name="Followed Hyperlink" xfId="1163" builtinId="9" hidden="true"/>
    <cellStyle name="Followed Hyperlink" xfId="1165" builtinId="9" hidden="true"/>
    <cellStyle name="Followed Hyperlink" xfId="1167" builtinId="9" hidden="true"/>
    <cellStyle name="Followed Hyperlink" xfId="1169" builtinId="9" hidden="true"/>
    <cellStyle name="Followed Hyperlink" xfId="1171" builtinId="9" hidden="true"/>
    <cellStyle name="Followed Hyperlink" xfId="1173" builtinId="9" hidden="true"/>
    <cellStyle name="Followed Hyperlink" xfId="1175" builtinId="9" hidden="true"/>
    <cellStyle name="Followed Hyperlink" xfId="1177" builtinId="9" hidden="true"/>
    <cellStyle name="Followed Hyperlink" xfId="1179" builtinId="9" hidden="true"/>
    <cellStyle name="Followed Hyperlink" xfId="1181" builtinId="9" hidden="true"/>
    <cellStyle name="Followed Hyperlink" xfId="1183" builtinId="9" hidden="true"/>
    <cellStyle name="Followed Hyperlink" xfId="1185" builtinId="9" hidden="true"/>
    <cellStyle name="Followed Hyperlink" xfId="1187" builtinId="9" hidden="true"/>
    <cellStyle name="Followed Hyperlink" xfId="1189" builtinId="9" hidden="true"/>
    <cellStyle name="Followed Hyperlink" xfId="1191" builtinId="9" hidden="true"/>
    <cellStyle name="Followed Hyperlink" xfId="1193" builtinId="9" hidden="true"/>
    <cellStyle name="Followed Hyperlink" xfId="1195" builtinId="9" hidden="true"/>
    <cellStyle name="Followed Hyperlink" xfId="1197" builtinId="9" hidden="true"/>
    <cellStyle name="Followed Hyperlink" xfId="1199" builtinId="9" hidden="true"/>
    <cellStyle name="Followed Hyperlink" xfId="1201" builtinId="9" hidden="true"/>
    <cellStyle name="Followed Hyperlink" xfId="1203" builtinId="9" hidden="true"/>
    <cellStyle name="Followed Hyperlink" xfId="1205" builtinId="9" hidden="true"/>
    <cellStyle name="Followed Hyperlink" xfId="1207" builtinId="9" hidden="true"/>
    <cellStyle name="Followed Hyperlink" xfId="1209" builtinId="9" hidden="true"/>
    <cellStyle name="Followed Hyperlink" xfId="1211" builtinId="9" hidden="true"/>
    <cellStyle name="Followed Hyperlink" xfId="1213" builtinId="9" hidden="true"/>
    <cellStyle name="Followed Hyperlink" xfId="1215" builtinId="9" hidden="true"/>
    <cellStyle name="Followed Hyperlink" xfId="1217" builtinId="9" hidden="true"/>
    <cellStyle name="Followed Hyperlink" xfId="1219" builtinId="9" hidden="true"/>
    <cellStyle name="Followed Hyperlink" xfId="1221" builtinId="9" hidden="true"/>
    <cellStyle name="Followed Hyperlink" xfId="1223" builtinId="9" hidden="true"/>
    <cellStyle name="Followed Hyperlink" xfId="1225" builtinId="9" hidden="true"/>
    <cellStyle name="Followed Hyperlink" xfId="1227" builtinId="9" hidden="true"/>
    <cellStyle name="Followed Hyperlink" xfId="1229" builtinId="9" hidden="true"/>
    <cellStyle name="Followed Hyperlink" xfId="1231" builtinId="9" hidden="true"/>
    <cellStyle name="Followed Hyperlink" xfId="1233" builtinId="9" hidden="true"/>
    <cellStyle name="Followed Hyperlink" xfId="1235" builtinId="9" hidden="true"/>
    <cellStyle name="Followed Hyperlink" xfId="1237" builtinId="9" hidden="true"/>
    <cellStyle name="Followed Hyperlink" xfId="1239" builtinId="9" hidden="true"/>
    <cellStyle name="Followed Hyperlink" xfId="1241" builtinId="9" hidden="true"/>
    <cellStyle name="Followed Hyperlink" xfId="1243" builtinId="9" hidden="true"/>
    <cellStyle name="Followed Hyperlink" xfId="1245" builtinId="9" hidden="true"/>
    <cellStyle name="Followed Hyperlink" xfId="1247" builtinId="9" hidden="true"/>
    <cellStyle name="Followed Hyperlink" xfId="1249" builtinId="9" hidden="true"/>
    <cellStyle name="Followed Hyperlink" xfId="1251" builtinId="9" hidden="true"/>
    <cellStyle name="Followed Hyperlink" xfId="1253" builtinId="9" hidden="true"/>
    <cellStyle name="Followed Hyperlink" xfId="1255" builtinId="9" hidden="true"/>
    <cellStyle name="Followed Hyperlink" xfId="1257" builtinId="9" hidden="true"/>
    <cellStyle name="Followed Hyperlink" xfId="1259" builtinId="9" hidden="true"/>
    <cellStyle name="Followed Hyperlink" xfId="1261" builtinId="9" hidden="true"/>
    <cellStyle name="Followed Hyperlink" xfId="1263" builtinId="9" hidden="true"/>
    <cellStyle name="Followed Hyperlink" xfId="1265" builtinId="9" hidden="true"/>
    <cellStyle name="Followed Hyperlink" xfId="1267" builtinId="9" hidden="true"/>
    <cellStyle name="Followed Hyperlink" xfId="1269" builtinId="9" hidden="true"/>
    <cellStyle name="Followed Hyperlink" xfId="1271" builtinId="9" hidden="true"/>
    <cellStyle name="Followed Hyperlink" xfId="1273" builtinId="9" hidden="true"/>
    <cellStyle name="Followed Hyperlink" xfId="1275" builtinId="9" hidden="true"/>
    <cellStyle name="Followed Hyperlink" xfId="1277" builtinId="9" hidden="true"/>
    <cellStyle name="Followed Hyperlink" xfId="1279" builtinId="9" hidden="true"/>
    <cellStyle name="Followed Hyperlink" xfId="1281" builtinId="9" hidden="true"/>
    <cellStyle name="Followed Hyperlink" xfId="1283" builtinId="9" hidden="true"/>
    <cellStyle name="Followed Hyperlink" xfId="1285" builtinId="9" hidden="true"/>
    <cellStyle name="Followed Hyperlink" xfId="1287" builtinId="9" hidden="true"/>
    <cellStyle name="Followed Hyperlink" xfId="1289" builtinId="9" hidden="true"/>
    <cellStyle name="Followed Hyperlink" xfId="1291" builtinId="9" hidden="true"/>
    <cellStyle name="Followed Hyperlink" xfId="1293" builtinId="9" hidden="true"/>
    <cellStyle name="Followed Hyperlink" xfId="1295" builtinId="9" hidden="true"/>
    <cellStyle name="Followed Hyperlink" xfId="1297" builtinId="9" hidden="true"/>
    <cellStyle name="Followed Hyperlink" xfId="1299" builtinId="9" hidden="true"/>
    <cellStyle name="Followed Hyperlink" xfId="1301" builtinId="9" hidden="true"/>
    <cellStyle name="Followed Hyperlink" xfId="1303" builtinId="9" hidden="true"/>
    <cellStyle name="Followed Hyperlink" xfId="1305" builtinId="9" hidden="true"/>
    <cellStyle name="Followed Hyperlink" xfId="1307" builtinId="9" hidden="true"/>
    <cellStyle name="Followed Hyperlink" xfId="1309" builtinId="9" hidden="true"/>
    <cellStyle name="Followed Hyperlink" xfId="1311" builtinId="9" hidden="true"/>
    <cellStyle name="Followed Hyperlink" xfId="1313" builtinId="9" hidden="true"/>
    <cellStyle name="Followed Hyperlink" xfId="1315" builtinId="9" hidden="true"/>
    <cellStyle name="Followed Hyperlink" xfId="1317" builtinId="9" hidden="true"/>
    <cellStyle name="Followed Hyperlink" xfId="1319" builtinId="9" hidden="true"/>
    <cellStyle name="Followed Hyperlink" xfId="1321" builtinId="9" hidden="true"/>
    <cellStyle name="Followed Hyperlink" xfId="1323" builtinId="9" hidden="true"/>
    <cellStyle name="Followed Hyperlink" xfId="1325" builtinId="9" hidden="true"/>
    <cellStyle name="Followed Hyperlink" xfId="1327" builtinId="9" hidden="true"/>
    <cellStyle name="Followed Hyperlink" xfId="1329" builtinId="9" hidden="true"/>
    <cellStyle name="Followed Hyperlink" xfId="1331" builtinId="9" hidden="true"/>
    <cellStyle name="Followed Hyperlink" xfId="1333" builtinId="9" hidden="true"/>
    <cellStyle name="Followed Hyperlink" xfId="1335" builtinId="9" hidden="true"/>
    <cellStyle name="Followed Hyperlink" xfId="1337" builtinId="9" hidden="true"/>
    <cellStyle name="Followed Hyperlink" xfId="1339" builtinId="9" hidden="true"/>
    <cellStyle name="Followed Hyperlink" xfId="1341" builtinId="9" hidden="true"/>
    <cellStyle name="Followed Hyperlink" xfId="1343" builtinId="9" hidden="true"/>
    <cellStyle name="Followed Hyperlink" xfId="1345" builtinId="9" hidden="true"/>
    <cellStyle name="Followed Hyperlink" xfId="1347" builtinId="9" hidden="true"/>
    <cellStyle name="Followed Hyperlink" xfId="1349" builtinId="9" hidden="true"/>
    <cellStyle name="Followed Hyperlink" xfId="1351" builtinId="9" hidden="true"/>
    <cellStyle name="Followed Hyperlink" xfId="1353" builtinId="9" hidden="true"/>
    <cellStyle name="Followed Hyperlink" xfId="1355" builtinId="9" hidden="true"/>
    <cellStyle name="Followed Hyperlink" xfId="1357" builtinId="9" hidden="true"/>
    <cellStyle name="Followed Hyperlink" xfId="1359" builtinId="9" hidden="true"/>
    <cellStyle name="Followed Hyperlink" xfId="1361" builtinId="9" hidden="true"/>
    <cellStyle name="Followed Hyperlink" xfId="1363" builtinId="9" hidden="true"/>
    <cellStyle name="Followed Hyperlink" xfId="1365" builtinId="9" hidden="true"/>
    <cellStyle name="Followed Hyperlink" xfId="1367" builtinId="9" hidden="true"/>
    <cellStyle name="Followed Hyperlink" xfId="1369" builtinId="9" hidden="true"/>
    <cellStyle name="Followed Hyperlink" xfId="1371" builtinId="9" hidden="true"/>
    <cellStyle name="Followed Hyperlink" xfId="1373" builtinId="9" hidden="true"/>
    <cellStyle name="Followed Hyperlink" xfId="1375" builtinId="9" hidden="true"/>
    <cellStyle name="Followed Hyperlink" xfId="1377" builtinId="9" hidden="true"/>
    <cellStyle name="Followed Hyperlink" xfId="1379" builtinId="9" hidden="true"/>
    <cellStyle name="Followed Hyperlink" xfId="1381" builtinId="9" hidden="true"/>
    <cellStyle name="Followed Hyperlink" xfId="1383" builtinId="9" hidden="true"/>
    <cellStyle name="Followed Hyperlink" xfId="1385" builtinId="9" hidden="true"/>
    <cellStyle name="Followed Hyperlink" xfId="1387" builtinId="9" hidden="true"/>
    <cellStyle name="Followed Hyperlink" xfId="1389" builtinId="9" hidden="true"/>
    <cellStyle name="Followed Hyperlink" xfId="1391" builtinId="9" hidden="true"/>
    <cellStyle name="Followed Hyperlink" xfId="1393" builtinId="9" hidden="true"/>
    <cellStyle name="Followed Hyperlink" xfId="1395" builtinId="9" hidden="true"/>
    <cellStyle name="Followed Hyperlink" xfId="1397" builtinId="9" hidden="true"/>
    <cellStyle name="Followed Hyperlink" xfId="1399" builtinId="9" hidden="true"/>
    <cellStyle name="Followed Hyperlink" xfId="1401" builtinId="9" hidden="true"/>
    <cellStyle name="Followed Hyperlink" xfId="1403" builtinId="9" hidden="true"/>
    <cellStyle name="Followed Hyperlink" xfId="1405" builtinId="9" hidden="true"/>
    <cellStyle name="Followed Hyperlink" xfId="1407" builtinId="9" hidden="true"/>
    <cellStyle name="Followed Hyperlink" xfId="1409" builtinId="9" hidden="true"/>
    <cellStyle name="Followed Hyperlink" xfId="1411" builtinId="9" hidden="true"/>
    <cellStyle name="Followed Hyperlink" xfId="1413" builtinId="9" hidden="true"/>
    <cellStyle name="Followed Hyperlink" xfId="1415" builtinId="9" hidden="true"/>
    <cellStyle name="Followed Hyperlink" xfId="1417" builtinId="9" hidden="true"/>
    <cellStyle name="Followed Hyperlink" xfId="1419" builtinId="9" hidden="true"/>
    <cellStyle name="Followed Hyperlink" xfId="1421" builtinId="9" hidden="true"/>
    <cellStyle name="Followed Hyperlink" xfId="1423" builtinId="9" hidden="true"/>
    <cellStyle name="Followed Hyperlink" xfId="1425" builtinId="9" hidden="true"/>
    <cellStyle name="Followed Hyperlink" xfId="1427" builtinId="9" hidden="true"/>
    <cellStyle name="Followed Hyperlink" xfId="1429" builtinId="9" hidden="true"/>
    <cellStyle name="Followed Hyperlink" xfId="1431" builtinId="9" hidden="true"/>
    <cellStyle name="Followed Hyperlink" xfId="1433" builtinId="9" hidden="true"/>
    <cellStyle name="Followed Hyperlink" xfId="1435" builtinId="9" hidden="true"/>
    <cellStyle name="Followed Hyperlink" xfId="1437" builtinId="9" hidden="true"/>
    <cellStyle name="Followed Hyperlink" xfId="1439" builtinId="9" hidden="true"/>
    <cellStyle name="Followed Hyperlink" xfId="1441" builtinId="9" hidden="true"/>
    <cellStyle name="Followed Hyperlink" xfId="1443" builtinId="9" hidden="true"/>
    <cellStyle name="Followed Hyperlink" xfId="1445" builtinId="9" hidden="true"/>
    <cellStyle name="Followed Hyperlink" xfId="1447" builtinId="9" hidden="true"/>
    <cellStyle name="Followed Hyperlink" xfId="1449" builtinId="9" hidden="true"/>
    <cellStyle name="Followed Hyperlink" xfId="1451" builtinId="9" hidden="true"/>
    <cellStyle name="Followed Hyperlink" xfId="1453" builtinId="9" hidden="true"/>
    <cellStyle name="Followed Hyperlink" xfId="1455" builtinId="9" hidden="true"/>
    <cellStyle name="Followed Hyperlink" xfId="1457" builtinId="9" hidden="true"/>
    <cellStyle name="Followed Hyperlink" xfId="1459" builtinId="9" hidden="true"/>
    <cellStyle name="Followed Hyperlink" xfId="1461" builtinId="9" hidden="true"/>
    <cellStyle name="Followed Hyperlink" xfId="1463" builtinId="9" hidden="true"/>
    <cellStyle name="Followed Hyperlink" xfId="1465" builtinId="9" hidden="true"/>
    <cellStyle name="Followed Hyperlink" xfId="1467" builtinId="9" hidden="true"/>
    <cellStyle name="Followed Hyperlink" xfId="1469" builtinId="9" hidden="true"/>
    <cellStyle name="Followed Hyperlink" xfId="1471" builtinId="9" hidden="true"/>
    <cellStyle name="Followed Hyperlink" xfId="1473" builtinId="9" hidden="true"/>
    <cellStyle name="Followed Hyperlink" xfId="1475" builtinId="9" hidden="true"/>
    <cellStyle name="Followed Hyperlink" xfId="1477" builtinId="9" hidden="true"/>
    <cellStyle name="Followed Hyperlink" xfId="1479" builtinId="9" hidden="true"/>
    <cellStyle name="Followed Hyperlink" xfId="1481" builtinId="9" hidden="true"/>
    <cellStyle name="Followed Hyperlink" xfId="1483" builtinId="9" hidden="true"/>
    <cellStyle name="Followed Hyperlink" xfId="1485" builtinId="9" hidden="true"/>
    <cellStyle name="Followed Hyperlink" xfId="1487" builtinId="9" hidden="true"/>
    <cellStyle name="Followed Hyperlink" xfId="1489" builtinId="9" hidden="true"/>
    <cellStyle name="Followed Hyperlink" xfId="1491" builtinId="9" hidden="true"/>
    <cellStyle name="Followed Hyperlink" xfId="1493" builtinId="9" hidden="true"/>
    <cellStyle name="Followed Hyperlink" xfId="1495" builtinId="9" hidden="true"/>
    <cellStyle name="Followed Hyperlink" xfId="1497" builtinId="9" hidden="true"/>
    <cellStyle name="Followed Hyperlink" xfId="1499" builtinId="9" hidden="true"/>
    <cellStyle name="Followed Hyperlink" xfId="1501" builtinId="9" hidden="true"/>
    <cellStyle name="Followed Hyperlink" xfId="1503" builtinId="9" hidden="true"/>
    <cellStyle name="Followed Hyperlink" xfId="1505" builtinId="9" hidden="true"/>
    <cellStyle name="Followed Hyperlink" xfId="1507" builtinId="9" hidden="true"/>
    <cellStyle name="Followed Hyperlink" xfId="1509" builtinId="9" hidden="true"/>
    <cellStyle name="Followed Hyperlink" xfId="1511" builtinId="9" hidden="true"/>
    <cellStyle name="Followed Hyperlink" xfId="1513" builtinId="9" hidden="true"/>
    <cellStyle name="Followed Hyperlink" xfId="1515" builtinId="9" hidden="true"/>
    <cellStyle name="Followed Hyperlink" xfId="1517" builtinId="9" hidden="true"/>
    <cellStyle name="Followed Hyperlink" xfId="1519" builtinId="9" hidden="true"/>
    <cellStyle name="Followed Hyperlink" xfId="1521" builtinId="9" hidden="true"/>
    <cellStyle name="Followed Hyperlink" xfId="1523" builtinId="9" hidden="true"/>
    <cellStyle name="Followed Hyperlink" xfId="1525" builtinId="9" hidden="true"/>
    <cellStyle name="Followed Hyperlink" xfId="1527" builtinId="9" hidden="true"/>
    <cellStyle name="Followed Hyperlink" xfId="1529" builtinId="9" hidden="true"/>
    <cellStyle name="Followed Hyperlink" xfId="1531" builtinId="9" hidden="true"/>
    <cellStyle name="Followed Hyperlink" xfId="1533" builtinId="9" hidden="true"/>
    <cellStyle name="Followed Hyperlink" xfId="1535" builtinId="9" hidden="true"/>
    <cellStyle name="Followed Hyperlink" xfId="1537" builtinId="9" hidden="true"/>
    <cellStyle name="Followed Hyperlink" xfId="1539" builtinId="9" hidden="true"/>
    <cellStyle name="Followed Hyperlink" xfId="1541" builtinId="9" hidden="true"/>
    <cellStyle name="Followed Hyperlink" xfId="1543" builtinId="9" hidden="true"/>
    <cellStyle name="Followed Hyperlink" xfId="1545" builtinId="9" hidden="true"/>
    <cellStyle name="Followed Hyperlink" xfId="1547" builtinId="9" hidden="true"/>
    <cellStyle name="Followed Hyperlink" xfId="1549" builtinId="9" hidden="true"/>
    <cellStyle name="Followed Hyperlink" xfId="1551" builtinId="9" hidden="true"/>
    <cellStyle name="Followed Hyperlink" xfId="1553" builtinId="9" hidden="true"/>
    <cellStyle name="Followed Hyperlink" xfId="1555" builtinId="9" hidden="true"/>
    <cellStyle name="Followed Hyperlink" xfId="1557" builtinId="9" hidden="true"/>
    <cellStyle name="Followed Hyperlink" xfId="1559" builtinId="9" hidden="true"/>
    <cellStyle name="Followed Hyperlink" xfId="1561" builtinId="9" hidden="true"/>
    <cellStyle name="Followed Hyperlink" xfId="1563" builtinId="9" hidden="true"/>
    <cellStyle name="Followed Hyperlink" xfId="1565" builtinId="9" hidden="true"/>
    <cellStyle name="Followed Hyperlink" xfId="1567" builtinId="9" hidden="true"/>
    <cellStyle name="Followed Hyperlink" xfId="1569" builtinId="9" hidden="true"/>
    <cellStyle name="Followed Hyperlink" xfId="1571" builtinId="9" hidden="true"/>
    <cellStyle name="Followed Hyperlink" xfId="1573" builtinId="9" hidden="true"/>
    <cellStyle name="Followed Hyperlink" xfId="1575" builtinId="9" hidden="true"/>
    <cellStyle name="Followed Hyperlink" xfId="1577" builtinId="9" hidden="true"/>
    <cellStyle name="Followed Hyperlink" xfId="1579" builtinId="9" hidden="true"/>
    <cellStyle name="Followed Hyperlink" xfId="1581" builtinId="9" hidden="true"/>
    <cellStyle name="Followed Hyperlink" xfId="1583" builtinId="9" hidden="true"/>
    <cellStyle name="Followed Hyperlink" xfId="1585" builtinId="9" hidden="true"/>
    <cellStyle name="Followed Hyperlink" xfId="1587" builtinId="9" hidden="true"/>
    <cellStyle name="Followed Hyperlink" xfId="1589" builtinId="9" hidden="true"/>
    <cellStyle name="Followed Hyperlink" xfId="1591" builtinId="9" hidden="true"/>
    <cellStyle name="Followed Hyperlink" xfId="1593" builtinId="9" hidden="true"/>
    <cellStyle name="Followed Hyperlink" xfId="1595" builtinId="9" hidden="true"/>
    <cellStyle name="Followed Hyperlink" xfId="1597" builtinId="9" hidden="true"/>
    <cellStyle name="Followed Hyperlink" xfId="1599" builtinId="9" hidden="true"/>
    <cellStyle name="Followed Hyperlink" xfId="1601" builtinId="9" hidden="true"/>
    <cellStyle name="Followed Hyperlink" xfId="1603" builtinId="9" hidden="true"/>
    <cellStyle name="Followed Hyperlink" xfId="1605" builtinId="9" hidden="true"/>
    <cellStyle name="Followed Hyperlink" xfId="1607" builtinId="9" hidden="true"/>
    <cellStyle name="Followed Hyperlink" xfId="1609" builtinId="9" hidden="true"/>
    <cellStyle name="Followed Hyperlink" xfId="1611" builtinId="9" hidden="true"/>
    <cellStyle name="Followed Hyperlink" xfId="1613" builtinId="9" hidden="true"/>
    <cellStyle name="Followed Hyperlink" xfId="1615" builtinId="9" hidden="true"/>
    <cellStyle name="Followed Hyperlink" xfId="1617" builtinId="9" hidden="true"/>
    <cellStyle name="Followed Hyperlink" xfId="1619" builtinId="9" hidden="true"/>
    <cellStyle name="Followed Hyperlink" xfId="1621" builtinId="9" hidden="true"/>
    <cellStyle name="Followed Hyperlink" xfId="1623" builtinId="9" hidden="true"/>
    <cellStyle name="Followed Hyperlink" xfId="1625" builtinId="9" hidden="true"/>
    <cellStyle name="Followed Hyperlink" xfId="1627" builtinId="9" hidden="true"/>
    <cellStyle name="Followed Hyperlink" xfId="1629" builtinId="9" hidden="true"/>
    <cellStyle name="Followed Hyperlink" xfId="1631" builtinId="9" hidden="true"/>
    <cellStyle name="Followed Hyperlink" xfId="1633" builtinId="9" hidden="true"/>
    <cellStyle name="Followed Hyperlink" xfId="1635" builtinId="9" hidden="true"/>
    <cellStyle name="Followed Hyperlink" xfId="1637" builtinId="9" hidden="true"/>
    <cellStyle name="Followed Hyperlink" xfId="1639" builtinId="9" hidden="true"/>
    <cellStyle name="Followed Hyperlink" xfId="1641" builtinId="9" hidden="true"/>
    <cellStyle name="Followed Hyperlink" xfId="1643" builtinId="9" hidden="true"/>
    <cellStyle name="Followed Hyperlink" xfId="1645" builtinId="9" hidden="true"/>
    <cellStyle name="Followed Hyperlink" xfId="1647" builtinId="9" hidden="true"/>
    <cellStyle name="Followed Hyperlink" xfId="1649" builtinId="9" hidden="true"/>
    <cellStyle name="Followed Hyperlink" xfId="1651" builtinId="9" hidden="true"/>
    <cellStyle name="Followed Hyperlink" xfId="1653" builtinId="9" hidden="true"/>
    <cellStyle name="Followed Hyperlink" xfId="1655" builtinId="9" hidden="true"/>
    <cellStyle name="Followed Hyperlink" xfId="1657" builtinId="9" hidden="true"/>
    <cellStyle name="Followed Hyperlink" xfId="1659" builtinId="9" hidden="true"/>
    <cellStyle name="Followed Hyperlink" xfId="1661" builtinId="9" hidden="true"/>
    <cellStyle name="Followed Hyperlink" xfId="1663" builtinId="9" hidden="true"/>
    <cellStyle name="Followed Hyperlink" xfId="1665" builtinId="9" hidden="true"/>
    <cellStyle name="Followed Hyperlink" xfId="1667" builtinId="9" hidden="true"/>
    <cellStyle name="Followed Hyperlink" xfId="1669" builtinId="9" hidden="true"/>
    <cellStyle name="Followed Hyperlink" xfId="1671" builtinId="9" hidden="true"/>
    <cellStyle name="Followed Hyperlink" xfId="1673" builtinId="9" hidden="true"/>
    <cellStyle name="Followed Hyperlink" xfId="1675" builtinId="9" hidden="true"/>
    <cellStyle name="Followed Hyperlink" xfId="1677" builtinId="9" hidden="true"/>
    <cellStyle name="Followed Hyperlink" xfId="1679" builtinId="9" hidden="true"/>
    <cellStyle name="Followed Hyperlink" xfId="1681" builtinId="9" hidden="true"/>
    <cellStyle name="Followed Hyperlink" xfId="1683" builtinId="9" hidden="true"/>
    <cellStyle name="Followed Hyperlink" xfId="1685" builtinId="9" hidden="true"/>
    <cellStyle name="Followed Hyperlink" xfId="1687" builtinId="9" hidden="true"/>
    <cellStyle name="Followed Hyperlink" xfId="1689" builtinId="9" hidden="true"/>
    <cellStyle name="Followed Hyperlink" xfId="1691" builtinId="9" hidden="true"/>
    <cellStyle name="Followed Hyperlink" xfId="1693" builtinId="9" hidden="true"/>
    <cellStyle name="Followed Hyperlink" xfId="1695" builtinId="9" hidden="true"/>
    <cellStyle name="Followed Hyperlink" xfId="1697" builtinId="9" hidden="true"/>
    <cellStyle name="Followed Hyperlink" xfId="1699" builtinId="9" hidden="true"/>
    <cellStyle name="Followed Hyperlink" xfId="1701" builtinId="9" hidden="true"/>
    <cellStyle name="Followed Hyperlink" xfId="1703" builtinId="9" hidden="true"/>
    <cellStyle name="Followed Hyperlink" xfId="1705" builtinId="9" hidden="true"/>
    <cellStyle name="Followed Hyperlink" xfId="1707" builtinId="9" hidden="true"/>
    <cellStyle name="Followed Hyperlink" xfId="1709" builtinId="9" hidden="true"/>
    <cellStyle name="Followed Hyperlink" xfId="1711" builtinId="9" hidden="true"/>
    <cellStyle name="Followed Hyperlink" xfId="1713" builtinId="9" hidden="true"/>
    <cellStyle name="Followed Hyperlink" xfId="1715" builtinId="9" hidden="true"/>
    <cellStyle name="Followed Hyperlink" xfId="1717" builtinId="9" hidden="true"/>
    <cellStyle name="Followed Hyperlink" xfId="1719" builtinId="9" hidden="true"/>
    <cellStyle name="Followed Hyperlink" xfId="1721" builtinId="9" hidden="true"/>
    <cellStyle name="Followed Hyperlink" xfId="1723" builtinId="9" hidden="true"/>
    <cellStyle name="Followed Hyperlink" xfId="1725" builtinId="9" hidden="true"/>
    <cellStyle name="Followed Hyperlink" xfId="1727" builtinId="9" hidden="true"/>
    <cellStyle name="Followed Hyperlink" xfId="1729" builtinId="9" hidden="true"/>
    <cellStyle name="Followed Hyperlink" xfId="1731" builtinId="9" hidden="true"/>
    <cellStyle name="Followed Hyperlink" xfId="1733" builtinId="9" hidden="true"/>
    <cellStyle name="Followed Hyperlink" xfId="1735" builtinId="9" hidden="true"/>
    <cellStyle name="Followed Hyperlink" xfId="1737" builtinId="9" hidden="true"/>
    <cellStyle name="Followed Hyperlink" xfId="1739" builtinId="9" hidden="true"/>
    <cellStyle name="Followed Hyperlink" xfId="1741" builtinId="9" hidden="true"/>
    <cellStyle name="Followed Hyperlink" xfId="1743" builtinId="9" hidden="true"/>
    <cellStyle name="Followed Hyperlink" xfId="1745" builtinId="9" hidden="true"/>
    <cellStyle name="Followed Hyperlink" xfId="1747" builtinId="9" hidden="true"/>
    <cellStyle name="Followed Hyperlink" xfId="1749" builtinId="9" hidden="true"/>
    <cellStyle name="Followed Hyperlink" xfId="1751" builtinId="9" hidden="true"/>
    <cellStyle name="Followed Hyperlink" xfId="1753" builtinId="9" hidden="true"/>
    <cellStyle name="Followed Hyperlink" xfId="1755" builtinId="9" hidden="true"/>
    <cellStyle name="Followed Hyperlink" xfId="1757" builtinId="9" hidden="true"/>
    <cellStyle name="Followed Hyperlink" xfId="1759" builtinId="9" hidden="true"/>
    <cellStyle name="Followed Hyperlink" xfId="1761" builtinId="9" hidden="true"/>
    <cellStyle name="Followed Hyperlink" xfId="1763" builtinId="9" hidden="true"/>
    <cellStyle name="Followed Hyperlink" xfId="1765" builtinId="9" hidden="true"/>
    <cellStyle name="Followed Hyperlink" xfId="1767" builtinId="9" hidden="true"/>
    <cellStyle name="Followed Hyperlink" xfId="1769" builtinId="9" hidden="true"/>
    <cellStyle name="Followed Hyperlink" xfId="1771" builtinId="9" hidden="true"/>
    <cellStyle name="Followed Hyperlink" xfId="1773" builtinId="9" hidden="true"/>
    <cellStyle name="Followed Hyperlink" xfId="1775" builtinId="9" hidden="true"/>
    <cellStyle name="Followed Hyperlink" xfId="1777" builtinId="9" hidden="true"/>
    <cellStyle name="Followed Hyperlink" xfId="1779" builtinId="9" hidden="true"/>
    <cellStyle name="Followed Hyperlink" xfId="1781" builtinId="9" hidden="true"/>
    <cellStyle name="Followed Hyperlink" xfId="1783" builtinId="9" hidden="true"/>
    <cellStyle name="Followed Hyperlink" xfId="1785" builtinId="9" hidden="true"/>
    <cellStyle name="Followed Hyperlink" xfId="1787" builtinId="9" hidden="true"/>
    <cellStyle name="Followed Hyperlink" xfId="1789" builtinId="9" hidden="true"/>
    <cellStyle name="Followed Hyperlink" xfId="1791" builtinId="9" hidden="true"/>
    <cellStyle name="Followed Hyperlink" xfId="1793" builtinId="9" hidden="true"/>
    <cellStyle name="Followed Hyperlink" xfId="1795" builtinId="9" hidden="true"/>
    <cellStyle name="Followed Hyperlink" xfId="1797" builtinId="9" hidden="true"/>
    <cellStyle name="Followed Hyperlink" xfId="1799" builtinId="9" hidden="true"/>
    <cellStyle name="Followed Hyperlink" xfId="1801" builtinId="9" hidden="true"/>
    <cellStyle name="Followed Hyperlink" xfId="1803" builtinId="9" hidden="true"/>
    <cellStyle name="Followed Hyperlink" xfId="1805" builtinId="9" hidden="true"/>
    <cellStyle name="Followed Hyperlink" xfId="1807" builtinId="9" hidden="true"/>
    <cellStyle name="Followed Hyperlink" xfId="1809" builtinId="9" hidden="true"/>
    <cellStyle name="Followed Hyperlink" xfId="1811" builtinId="9" hidden="true"/>
    <cellStyle name="Followed Hyperlink" xfId="1813" builtinId="9" hidden="true"/>
    <cellStyle name="Followed Hyperlink" xfId="1815" builtinId="9" hidden="true"/>
    <cellStyle name="Followed Hyperlink" xfId="1817" builtinId="9" hidden="true"/>
    <cellStyle name="Followed Hyperlink" xfId="1819" builtinId="9" hidden="true"/>
    <cellStyle name="Followed Hyperlink" xfId="1821" builtinId="9" hidden="true"/>
    <cellStyle name="Followed Hyperlink" xfId="1823" builtinId="9" hidden="true"/>
    <cellStyle name="Followed Hyperlink" xfId="1825" builtinId="9" hidden="true"/>
    <cellStyle name="Followed Hyperlink" xfId="1827" builtinId="9" hidden="true"/>
    <cellStyle name="Followed Hyperlink" xfId="1829" builtinId="9" hidden="true"/>
    <cellStyle name="Followed Hyperlink" xfId="1831" builtinId="9" hidden="true"/>
    <cellStyle name="Followed Hyperlink" xfId="1833" builtinId="9" hidden="true"/>
    <cellStyle name="Followed Hyperlink" xfId="1835" builtinId="9" hidden="true"/>
    <cellStyle name="Followed Hyperlink" xfId="1837" builtinId="9" hidden="true"/>
    <cellStyle name="Followed Hyperlink" xfId="1839" builtinId="9" hidden="true"/>
    <cellStyle name="Followed Hyperlink" xfId="1841" builtinId="9" hidden="true"/>
    <cellStyle name="Followed Hyperlink" xfId="1843" builtinId="9" hidden="true"/>
    <cellStyle name="Followed Hyperlink" xfId="1845" builtinId="9" hidden="true"/>
    <cellStyle name="Followed Hyperlink" xfId="1847" builtinId="9" hidden="true"/>
    <cellStyle name="Followed Hyperlink" xfId="1849" builtinId="9" hidden="true"/>
    <cellStyle name="Followed Hyperlink" xfId="1851" builtinId="9" hidden="true"/>
    <cellStyle name="Followed Hyperlink" xfId="1853" builtinId="9" hidden="true"/>
    <cellStyle name="Followed Hyperlink" xfId="1855" builtinId="9" hidden="true"/>
    <cellStyle name="Followed Hyperlink" xfId="1857" builtinId="9" hidden="true"/>
    <cellStyle name="Followed Hyperlink" xfId="1859" builtinId="9" hidden="true"/>
    <cellStyle name="Followed Hyperlink" xfId="1861" builtinId="9" hidden="true"/>
    <cellStyle name="Followed Hyperlink" xfId="1863" builtinId="9" hidden="true"/>
    <cellStyle name="Followed Hyperlink" xfId="1865" builtinId="9" hidden="true"/>
    <cellStyle name="Followed Hyperlink" xfId="1867" builtinId="9" hidden="true"/>
    <cellStyle name="Followed Hyperlink" xfId="1869" builtinId="9" hidden="true"/>
    <cellStyle name="Followed Hyperlink" xfId="1871" builtinId="9" hidden="true"/>
    <cellStyle name="Followed Hyperlink" xfId="1873" builtinId="9" hidden="true"/>
    <cellStyle name="Followed Hyperlink" xfId="1875" builtinId="9" hidden="true"/>
    <cellStyle name="Followed Hyperlink" xfId="1877" builtinId="9" hidden="true"/>
    <cellStyle name="Followed Hyperlink" xfId="1879" builtinId="9" hidden="true"/>
    <cellStyle name="Followed Hyperlink" xfId="1881" builtinId="9" hidden="true"/>
    <cellStyle name="Followed Hyperlink" xfId="1883" builtinId="9" hidden="true"/>
    <cellStyle name="Followed Hyperlink" xfId="1885" builtinId="9" hidden="true"/>
    <cellStyle name="Followed Hyperlink" xfId="1887" builtinId="9" hidden="true"/>
    <cellStyle name="Followed Hyperlink" xfId="1889" builtinId="9" hidden="true"/>
    <cellStyle name="Followed Hyperlink" xfId="1891" builtinId="9" hidden="true"/>
    <cellStyle name="Followed Hyperlink" xfId="1893" builtinId="9" hidden="true"/>
    <cellStyle name="Followed Hyperlink" xfId="1895" builtinId="9" hidden="true"/>
    <cellStyle name="Followed Hyperlink" xfId="1897" builtinId="9" hidden="true"/>
    <cellStyle name="Followed Hyperlink" xfId="1899" builtinId="9" hidden="true"/>
    <cellStyle name="Followed Hyperlink" xfId="1901" builtinId="9" hidden="true"/>
    <cellStyle name="Followed Hyperlink" xfId="1903" builtinId="9" hidden="true"/>
    <cellStyle name="Followed Hyperlink" xfId="1905" builtinId="9" hidden="true"/>
    <cellStyle name="Followed Hyperlink" xfId="1907" builtinId="9" hidden="true"/>
    <cellStyle name="Followed Hyperlink" xfId="1909" builtinId="9" hidden="true"/>
    <cellStyle name="Followed Hyperlink" xfId="1911" builtinId="9" hidden="true"/>
    <cellStyle name="Followed Hyperlink" xfId="1913" builtinId="9" hidden="true"/>
    <cellStyle name="Followed Hyperlink" xfId="1915" builtinId="9" hidden="true"/>
    <cellStyle name="Followed Hyperlink" xfId="1917" builtinId="9" hidden="true"/>
    <cellStyle name="Followed Hyperlink" xfId="1919" builtinId="9" hidden="true"/>
    <cellStyle name="Followed Hyperlink" xfId="1921" builtinId="9" hidden="true"/>
    <cellStyle name="Followed Hyperlink" xfId="1923" builtinId="9" hidden="true"/>
    <cellStyle name="Followed Hyperlink" xfId="1925" builtinId="9" hidden="true"/>
    <cellStyle name="Followed Hyperlink" xfId="1927" builtinId="9" hidden="true"/>
    <cellStyle name="Followed Hyperlink" xfId="1929" builtinId="9" hidden="true"/>
    <cellStyle name="Followed Hyperlink" xfId="1931" builtinId="9" hidden="true"/>
    <cellStyle name="Followed Hyperlink" xfId="1933" builtinId="9" hidden="true"/>
    <cellStyle name="Followed Hyperlink" xfId="1935" builtinId="9" hidden="true"/>
    <cellStyle name="Followed Hyperlink" xfId="1937" builtinId="9" hidden="true"/>
    <cellStyle name="Followed Hyperlink" xfId="1939" builtinId="9" hidden="true"/>
    <cellStyle name="Followed Hyperlink" xfId="1941" builtinId="9" hidden="true"/>
    <cellStyle name="Followed Hyperlink" xfId="1943" builtinId="9" hidden="true"/>
    <cellStyle name="Followed Hyperlink" xfId="1945" builtinId="9" hidden="true"/>
    <cellStyle name="Followed Hyperlink" xfId="1947" builtinId="9" hidden="true"/>
    <cellStyle name="Followed Hyperlink" xfId="1949" builtinId="9" hidden="true"/>
    <cellStyle name="Followed Hyperlink" xfId="1951" builtinId="9" hidden="true"/>
    <cellStyle name="Followed Hyperlink" xfId="1953" builtinId="9" hidden="true"/>
    <cellStyle name="Followed Hyperlink" xfId="1955" builtinId="9" hidden="true"/>
    <cellStyle name="Followed Hyperlink" xfId="1957" builtinId="9" hidden="true"/>
    <cellStyle name="Followed Hyperlink" xfId="1959" builtinId="9" hidden="true"/>
    <cellStyle name="Followed Hyperlink" xfId="1961" builtinId="9" hidden="true"/>
    <cellStyle name="Followed Hyperlink" xfId="1963" builtinId="9" hidden="true"/>
    <cellStyle name="Followed Hyperlink" xfId="1965" builtinId="9" hidden="true"/>
    <cellStyle name="Followed Hyperlink" xfId="1967" builtinId="9" hidden="true"/>
    <cellStyle name="Followed Hyperlink" xfId="1969" builtinId="9" hidden="true"/>
    <cellStyle name="Followed Hyperlink" xfId="1971" builtinId="9" hidden="true"/>
    <cellStyle name="Followed Hyperlink" xfId="1973" builtinId="9" hidden="true"/>
    <cellStyle name="Followed Hyperlink" xfId="1975" builtinId="9" hidden="true"/>
    <cellStyle name="Followed Hyperlink" xfId="1977" builtinId="9" hidden="true"/>
    <cellStyle name="Followed Hyperlink" xfId="1979" builtinId="9" hidden="true"/>
    <cellStyle name="Followed Hyperlink" xfId="1981" builtinId="9" hidden="true"/>
    <cellStyle name="Followed Hyperlink" xfId="1983" builtinId="9" hidden="true"/>
    <cellStyle name="Followed Hyperlink" xfId="1985" builtinId="9" hidden="true"/>
    <cellStyle name="Followed Hyperlink" xfId="1987" builtinId="9" hidden="true"/>
    <cellStyle name="Followed Hyperlink" xfId="1989" builtinId="9" hidden="true"/>
    <cellStyle name="Followed Hyperlink" xfId="1991" builtinId="9" hidden="true"/>
    <cellStyle name="Followed Hyperlink" xfId="1993" builtinId="9" hidden="true"/>
    <cellStyle name="Followed Hyperlink" xfId="1995" builtinId="9" hidden="true"/>
    <cellStyle name="Followed Hyperlink" xfId="1997" builtinId="9" hidden="true"/>
    <cellStyle name="Followed Hyperlink" xfId="1999" builtinId="9" hidden="true"/>
    <cellStyle name="Followed Hyperlink" xfId="2001" builtinId="9" hidden="true"/>
    <cellStyle name="Followed Hyperlink" xfId="2003" builtinId="9" hidden="true"/>
    <cellStyle name="Followed Hyperlink" xfId="2005" builtinId="9" hidden="true"/>
    <cellStyle name="Followed Hyperlink" xfId="2007" builtinId="9" hidden="true"/>
    <cellStyle name="Followed Hyperlink" xfId="2009" builtinId="9" hidden="true"/>
    <cellStyle name="Followed Hyperlink" xfId="2011" builtinId="9" hidden="true"/>
    <cellStyle name="Followed Hyperlink" xfId="2013" builtinId="9" hidden="true"/>
    <cellStyle name="Followed Hyperlink" xfId="2015" builtinId="9" hidden="true"/>
    <cellStyle name="Followed Hyperlink" xfId="2017" builtinId="9" hidden="true"/>
    <cellStyle name="Followed Hyperlink" xfId="2019" builtinId="9" hidden="true"/>
    <cellStyle name="Followed Hyperlink" xfId="2021" builtinId="9" hidden="true"/>
    <cellStyle name="Followed Hyperlink" xfId="2023" builtinId="9" hidden="true"/>
    <cellStyle name="Followed Hyperlink" xfId="2025" builtinId="9" hidden="true"/>
    <cellStyle name="Followed Hyperlink" xfId="2027" builtinId="9" hidden="true"/>
    <cellStyle name="Followed Hyperlink" xfId="2029" builtinId="9" hidden="true"/>
    <cellStyle name="Followed Hyperlink" xfId="2031" builtinId="9" hidden="true"/>
    <cellStyle name="Followed Hyperlink" xfId="2033" builtinId="9" hidden="true"/>
    <cellStyle name="Followed Hyperlink" xfId="2035" builtinId="9" hidden="true"/>
    <cellStyle name="Followed Hyperlink" xfId="2037" builtinId="9" hidden="true"/>
    <cellStyle name="Followed Hyperlink" xfId="2039" builtinId="9" hidden="true"/>
    <cellStyle name="Followed Hyperlink" xfId="2041" builtinId="9" hidden="true"/>
    <cellStyle name="Followed Hyperlink" xfId="2043" builtinId="9" hidden="true"/>
    <cellStyle name="Followed Hyperlink" xfId="2045" builtinId="9" hidden="true"/>
    <cellStyle name="Followed Hyperlink" xfId="2047" builtinId="9" hidden="true"/>
    <cellStyle name="Followed Hyperlink" xfId="2049" builtinId="9" hidden="true"/>
    <cellStyle name="Followed Hyperlink" xfId="2051" builtinId="9" hidden="true"/>
    <cellStyle name="Followed Hyperlink" xfId="2053" builtinId="9" hidden="true"/>
    <cellStyle name="Followed Hyperlink" xfId="2055" builtinId="9" hidden="true"/>
    <cellStyle name="Followed Hyperlink" xfId="2057" builtinId="9" hidden="true"/>
    <cellStyle name="Followed Hyperlink" xfId="2059" builtinId="9" hidden="true"/>
    <cellStyle name="Followed Hyperlink" xfId="2061" builtinId="9" hidden="true"/>
    <cellStyle name="Followed Hyperlink" xfId="2063" builtinId="9" hidden="true"/>
    <cellStyle name="Followed Hyperlink" xfId="2065" builtinId="9" hidden="true"/>
    <cellStyle name="Followed Hyperlink" xfId="2067" builtinId="9" hidden="true"/>
    <cellStyle name="Followed Hyperlink" xfId="2069" builtinId="9" hidden="true"/>
    <cellStyle name="Followed Hyperlink" xfId="2071" builtinId="9" hidden="true"/>
    <cellStyle name="Followed Hyperlink" xfId="2073" builtinId="9" hidden="true"/>
    <cellStyle name="Followed Hyperlink" xfId="2075" builtinId="9" hidden="true"/>
    <cellStyle name="Followed Hyperlink" xfId="2077" builtinId="9" hidden="true"/>
    <cellStyle name="Followed Hyperlink" xfId="2079" builtinId="9" hidden="true"/>
    <cellStyle name="Followed Hyperlink" xfId="2081" builtinId="9" hidden="true"/>
    <cellStyle name="Followed Hyperlink" xfId="2083" builtinId="9" hidden="true"/>
    <cellStyle name="Followed Hyperlink" xfId="2085" builtinId="9" hidden="true"/>
    <cellStyle name="Followed Hyperlink" xfId="2087" builtinId="9" hidden="true"/>
    <cellStyle name="Followed Hyperlink" xfId="2089" builtinId="9" hidden="true"/>
    <cellStyle name="Followed Hyperlink" xfId="2091" builtinId="9" hidden="true"/>
    <cellStyle name="Followed Hyperlink" xfId="2093" builtinId="9" hidden="true"/>
    <cellStyle name="Followed Hyperlink" xfId="2095" builtinId="9" hidden="true"/>
    <cellStyle name="Followed Hyperlink" xfId="2097" builtinId="9" hidden="true"/>
    <cellStyle name="Followed Hyperlink" xfId="2099" builtinId="9" hidden="true"/>
    <cellStyle name="Followed Hyperlink" xfId="2101" builtinId="9" hidden="true"/>
    <cellStyle name="Followed Hyperlink" xfId="2103" builtinId="9" hidden="true"/>
    <cellStyle name="Followed Hyperlink" xfId="2105" builtinId="9" hidden="true"/>
    <cellStyle name="Followed Hyperlink" xfId="2107" builtinId="9" hidden="true"/>
    <cellStyle name="Followed Hyperlink" xfId="2109" builtinId="9" hidden="true"/>
    <cellStyle name="Followed Hyperlink" xfId="2111" builtinId="9" hidden="true"/>
    <cellStyle name="Followed Hyperlink" xfId="2113" builtinId="9" hidden="true"/>
    <cellStyle name="Followed Hyperlink" xfId="2115" builtinId="9" hidden="true"/>
    <cellStyle name="Followed Hyperlink" xfId="2117" builtinId="9" hidden="true"/>
    <cellStyle name="Followed Hyperlink" xfId="2119" builtinId="9" hidden="true"/>
    <cellStyle name="Followed Hyperlink" xfId="2121" builtinId="9" hidden="true"/>
    <cellStyle name="Followed Hyperlink" xfId="2123" builtinId="9" hidden="true"/>
    <cellStyle name="Followed Hyperlink" xfId="2125" builtinId="9" hidden="true"/>
    <cellStyle name="Followed Hyperlink" xfId="2127" builtinId="9" hidden="true"/>
    <cellStyle name="Followed Hyperlink" xfId="2129" builtinId="9" hidden="true"/>
    <cellStyle name="Followed Hyperlink" xfId="2131" builtinId="9" hidden="true"/>
    <cellStyle name="Followed Hyperlink" xfId="2133" builtinId="9" hidden="true"/>
    <cellStyle name="Followed Hyperlink" xfId="2135" builtinId="9" hidden="true"/>
    <cellStyle name="Followed Hyperlink" xfId="2137" builtinId="9" hidden="true"/>
    <cellStyle name="Followed Hyperlink" xfId="2139" builtinId="9" hidden="true"/>
    <cellStyle name="Followed Hyperlink" xfId="2141" builtinId="9" hidden="true"/>
    <cellStyle name="Followed Hyperlink" xfId="2143" builtinId="9" hidden="true"/>
    <cellStyle name="Followed Hyperlink" xfId="2145" builtinId="9" hidden="true"/>
    <cellStyle name="Followed Hyperlink" xfId="2147" builtinId="9" hidden="true"/>
    <cellStyle name="Followed Hyperlink" xfId="2149" builtinId="9" hidden="true"/>
    <cellStyle name="Followed Hyperlink" xfId="2151" builtinId="9" hidden="true"/>
    <cellStyle name="Followed Hyperlink" xfId="2153" builtinId="9" hidden="true"/>
    <cellStyle name="Followed Hyperlink" xfId="2155" builtinId="9" hidden="true"/>
    <cellStyle name="Followed Hyperlink" xfId="2157" builtinId="9" hidden="true"/>
    <cellStyle name="Followed Hyperlink" xfId="2159" builtinId="9" hidden="true"/>
    <cellStyle name="Followed Hyperlink" xfId="2161" builtinId="9" hidden="true"/>
    <cellStyle name="Followed Hyperlink" xfId="2163" builtinId="9" hidden="true"/>
    <cellStyle name="Followed Hyperlink" xfId="2165" builtinId="9" hidden="true"/>
    <cellStyle name="Followed Hyperlink" xfId="2167" builtinId="9" hidden="true"/>
    <cellStyle name="Followed Hyperlink" xfId="2169" builtinId="9" hidden="true"/>
    <cellStyle name="Followed Hyperlink" xfId="2171" builtinId="9" hidden="true"/>
    <cellStyle name="Followed Hyperlink" xfId="2173" builtinId="9" hidden="true"/>
    <cellStyle name="Followed Hyperlink" xfId="2175" builtinId="9" hidden="true"/>
    <cellStyle name="Followed Hyperlink" xfId="2177" builtinId="9" hidden="true"/>
    <cellStyle name="Followed Hyperlink" xfId="2179" builtinId="9" hidden="true"/>
    <cellStyle name="Followed Hyperlink" xfId="2181" builtinId="9" hidden="true"/>
    <cellStyle name="Followed Hyperlink" xfId="2183" builtinId="9" hidden="true"/>
    <cellStyle name="Followed Hyperlink" xfId="2185" builtinId="9" hidden="true"/>
    <cellStyle name="Followed Hyperlink" xfId="2187" builtinId="9" hidden="true"/>
    <cellStyle name="Followed Hyperlink" xfId="2189" builtinId="9" hidden="true"/>
    <cellStyle name="Followed Hyperlink" xfId="2191" builtinId="9" hidden="true"/>
    <cellStyle name="Followed Hyperlink" xfId="2193" builtinId="9" hidden="true"/>
    <cellStyle name="Followed Hyperlink" xfId="2195" builtinId="9" hidden="true"/>
    <cellStyle name="Followed Hyperlink" xfId="2197" builtinId="9" hidden="true"/>
    <cellStyle name="Followed Hyperlink" xfId="2199" builtinId="9" hidden="true"/>
    <cellStyle name="Followed Hyperlink" xfId="2201" builtinId="9" hidden="true"/>
    <cellStyle name="Followed Hyperlink" xfId="2203" builtinId="9" hidden="true"/>
    <cellStyle name="Followed Hyperlink" xfId="2205" builtinId="9" hidden="true"/>
    <cellStyle name="Followed Hyperlink" xfId="2207" builtinId="9" hidden="true"/>
    <cellStyle name="Followed Hyperlink" xfId="2209" builtinId="9" hidden="true"/>
    <cellStyle name="Followed Hyperlink" xfId="2211" builtinId="9" hidden="true"/>
    <cellStyle name="Followed Hyperlink" xfId="2213" builtinId="9" hidden="true"/>
    <cellStyle name="Followed Hyperlink" xfId="2215" builtinId="9" hidden="true"/>
    <cellStyle name="Followed Hyperlink" xfId="2217" builtinId="9" hidden="true"/>
    <cellStyle name="Followed Hyperlink" xfId="2219" builtinId="9" hidden="true"/>
    <cellStyle name="Followed Hyperlink" xfId="2221" builtinId="9" hidden="true"/>
    <cellStyle name="Followed Hyperlink" xfId="2223" builtinId="9" hidden="true"/>
    <cellStyle name="Followed Hyperlink" xfId="2225" builtinId="9" hidden="true"/>
    <cellStyle name="Followed Hyperlink" xfId="2227" builtinId="9" hidden="true"/>
    <cellStyle name="Followed Hyperlink" xfId="2229" builtinId="9" hidden="true"/>
    <cellStyle name="Followed Hyperlink" xfId="2231" builtinId="9" hidden="true"/>
    <cellStyle name="Followed Hyperlink" xfId="2233" builtinId="9" hidden="true"/>
    <cellStyle name="Followed Hyperlink" xfId="2235" builtinId="9" hidden="true"/>
    <cellStyle name="Followed Hyperlink" xfId="2237" builtinId="9" hidden="true"/>
    <cellStyle name="Followed Hyperlink" xfId="2239" builtinId="9" hidden="true"/>
    <cellStyle name="Followed Hyperlink" xfId="2241" builtinId="9" hidden="true"/>
    <cellStyle name="Followed Hyperlink" xfId="2243" builtinId="9" hidden="true"/>
    <cellStyle name="Followed Hyperlink" xfId="2245" builtinId="9" hidden="true"/>
    <cellStyle name="Followed Hyperlink" xfId="2247" builtinId="9" hidden="true"/>
    <cellStyle name="Followed Hyperlink" xfId="2249" builtinId="9" hidden="true"/>
    <cellStyle name="Followed Hyperlink" xfId="2251" builtinId="9" hidden="true"/>
    <cellStyle name="Followed Hyperlink" xfId="2253" builtinId="9" hidden="true"/>
    <cellStyle name="Followed Hyperlink" xfId="2255" builtinId="9" hidden="true"/>
    <cellStyle name="Followed Hyperlink" xfId="2257" builtinId="9" hidden="true"/>
    <cellStyle name="Followed Hyperlink" xfId="2259" builtinId="9" hidden="true"/>
    <cellStyle name="Followed Hyperlink" xfId="2261" builtinId="9" hidden="true"/>
    <cellStyle name="Followed Hyperlink" xfId="2263" builtinId="9" hidden="true"/>
    <cellStyle name="Followed Hyperlink" xfId="2265" builtinId="9" hidden="true"/>
    <cellStyle name="Followed Hyperlink" xfId="2267" builtinId="9" hidden="true"/>
    <cellStyle name="Followed Hyperlink" xfId="2269" builtinId="9" hidden="true"/>
    <cellStyle name="Followed Hyperlink" xfId="2271" builtinId="9" hidden="true"/>
    <cellStyle name="Followed Hyperlink" xfId="2273" builtinId="9" hidden="true"/>
    <cellStyle name="Followed Hyperlink" xfId="2275" builtinId="9" hidden="true"/>
    <cellStyle name="Followed Hyperlink" xfId="2277" builtinId="9" hidden="true"/>
    <cellStyle name="Followed Hyperlink" xfId="2279" builtinId="9" hidden="true"/>
    <cellStyle name="Followed Hyperlink" xfId="2281" builtinId="9" hidden="true"/>
    <cellStyle name="Followed Hyperlink" xfId="2283" builtinId="9" hidden="true"/>
    <cellStyle name="Followed Hyperlink" xfId="2285" builtinId="9" hidden="true"/>
    <cellStyle name="Followed Hyperlink" xfId="2287" builtinId="9" hidden="true"/>
    <cellStyle name="Followed Hyperlink" xfId="2289" builtinId="9" hidden="true"/>
    <cellStyle name="Followed Hyperlink" xfId="2291" builtinId="9" hidden="true"/>
    <cellStyle name="Followed Hyperlink" xfId="2293" builtinId="9" hidden="true"/>
    <cellStyle name="Followed Hyperlink" xfId="2295" builtinId="9" hidden="true"/>
    <cellStyle name="Followed Hyperlink" xfId="2297" builtinId="9" hidden="true"/>
    <cellStyle name="Followed Hyperlink" xfId="2299" builtinId="9" hidden="true"/>
    <cellStyle name="Followed Hyperlink" xfId="2301" builtinId="9" hidden="true"/>
    <cellStyle name="Followed Hyperlink" xfId="2303" builtinId="9" hidden="true"/>
    <cellStyle name="Followed Hyperlink" xfId="2305" builtinId="9" hidden="true"/>
    <cellStyle name="Followed Hyperlink" xfId="2307" builtinId="9" hidden="true"/>
    <cellStyle name="Followed Hyperlink" xfId="2309" builtinId="9" hidden="true"/>
    <cellStyle name="Followed Hyperlink" xfId="2311" builtinId="9" hidden="true"/>
    <cellStyle name="Followed Hyperlink" xfId="2313" builtinId="9" hidden="true"/>
    <cellStyle name="Followed Hyperlink" xfId="2315" builtinId="9" hidden="true"/>
    <cellStyle name="Followed Hyperlink" xfId="2317" builtinId="9" hidden="true"/>
    <cellStyle name="Followed Hyperlink" xfId="2319" builtinId="9" hidden="true"/>
    <cellStyle name="Followed Hyperlink" xfId="2321" builtinId="9" hidden="true"/>
    <cellStyle name="Followed Hyperlink" xfId="2323" builtinId="9" hidden="true"/>
    <cellStyle name="Followed Hyperlink" xfId="2325" builtinId="9" hidden="true"/>
    <cellStyle name="Followed Hyperlink" xfId="2327" builtinId="9" hidden="true"/>
    <cellStyle name="Followed Hyperlink" xfId="2329" builtinId="9" hidden="true"/>
    <cellStyle name="Followed Hyperlink" xfId="2331" builtinId="9" hidden="true"/>
    <cellStyle name="Followed Hyperlink" xfId="2333" builtinId="9" hidden="true"/>
    <cellStyle name="Followed Hyperlink" xfId="2335" builtinId="9" hidden="true"/>
    <cellStyle name="Followed Hyperlink" xfId="2337" builtinId="9" hidden="true"/>
    <cellStyle name="Followed Hyperlink" xfId="2339" builtinId="9" hidden="true"/>
    <cellStyle name="Followed Hyperlink" xfId="2341" builtinId="9" hidden="true"/>
    <cellStyle name="Followed Hyperlink" xfId="2343" builtinId="9" hidden="true"/>
    <cellStyle name="Followed Hyperlink" xfId="2345" builtinId="9" hidden="true"/>
    <cellStyle name="Followed Hyperlink" xfId="2347" builtinId="9" hidden="true"/>
    <cellStyle name="Followed Hyperlink" xfId="2349" builtinId="9" hidden="true"/>
    <cellStyle name="Followed Hyperlink" xfId="2351" builtinId="9" hidden="true"/>
    <cellStyle name="Followed Hyperlink" xfId="2353" builtinId="9" hidden="true"/>
    <cellStyle name="Followed Hyperlink" xfId="2355" builtinId="9" hidden="true"/>
    <cellStyle name="Followed Hyperlink" xfId="2357" builtinId="9" hidden="true"/>
    <cellStyle name="Followed Hyperlink" xfId="2359" builtinId="9" hidden="true"/>
    <cellStyle name="Followed Hyperlink" xfId="2361" builtinId="9" hidden="true"/>
    <cellStyle name="Followed Hyperlink" xfId="2363" builtinId="9" hidden="true"/>
    <cellStyle name="Followed Hyperlink" xfId="2365" builtinId="9" hidden="true"/>
    <cellStyle name="Followed Hyperlink" xfId="2367" builtinId="9" hidden="true"/>
    <cellStyle name="Followed Hyperlink" xfId="2369" builtinId="9" hidden="true"/>
    <cellStyle name="Followed Hyperlink" xfId="2371" builtinId="9" hidden="true"/>
    <cellStyle name="Followed Hyperlink" xfId="2373" builtinId="9" hidden="true"/>
    <cellStyle name="Followed Hyperlink" xfId="2375" builtinId="9" hidden="true"/>
    <cellStyle name="Followed Hyperlink" xfId="2377" builtinId="9" hidden="true"/>
    <cellStyle name="Followed Hyperlink" xfId="2379" builtinId="9" hidden="true"/>
    <cellStyle name="Followed Hyperlink" xfId="2381" builtinId="9" hidden="true"/>
    <cellStyle name="Followed Hyperlink" xfId="2383" builtinId="9" hidden="true"/>
    <cellStyle name="Followed Hyperlink" xfId="2385" builtinId="9" hidden="true"/>
    <cellStyle name="Followed Hyperlink" xfId="2387" builtinId="9" hidden="true"/>
    <cellStyle name="Followed Hyperlink" xfId="2389" builtinId="9" hidden="true"/>
    <cellStyle name="Followed Hyperlink" xfId="2391" builtinId="9" hidden="true"/>
    <cellStyle name="Followed Hyperlink" xfId="2393" builtinId="9" hidden="true"/>
    <cellStyle name="Followed Hyperlink" xfId="2395" builtinId="9" hidden="true"/>
    <cellStyle name="Followed Hyperlink" xfId="2397" builtinId="9" hidden="true"/>
    <cellStyle name="Followed Hyperlink" xfId="2399" builtinId="9" hidden="true"/>
    <cellStyle name="Followed Hyperlink" xfId="2401" builtinId="9" hidden="true"/>
    <cellStyle name="Followed Hyperlink" xfId="2403" builtinId="9" hidden="true"/>
    <cellStyle name="Followed Hyperlink" xfId="2405" builtinId="9" hidden="true"/>
    <cellStyle name="Followed Hyperlink" xfId="2407" builtinId="9" hidden="true"/>
    <cellStyle name="Followed Hyperlink" xfId="2409" builtinId="9" hidden="true"/>
    <cellStyle name="Followed Hyperlink" xfId="2411" builtinId="9" hidden="true"/>
    <cellStyle name="Followed Hyperlink" xfId="2413" builtinId="9" hidden="true"/>
    <cellStyle name="Followed Hyperlink" xfId="2415" builtinId="9" hidden="true"/>
    <cellStyle name="Followed Hyperlink" xfId="2417" builtinId="9" hidden="true"/>
    <cellStyle name="Followed Hyperlink" xfId="2419" builtinId="9" hidden="true"/>
    <cellStyle name="Followed Hyperlink" xfId="2421" builtinId="9" hidden="true"/>
    <cellStyle name="Followed Hyperlink" xfId="2423" builtinId="9" hidden="true"/>
    <cellStyle name="Followed Hyperlink" xfId="2425" builtinId="9" hidden="true"/>
    <cellStyle name="Followed Hyperlink" xfId="2427" builtinId="9" hidden="true"/>
    <cellStyle name="Followed Hyperlink" xfId="2429" builtinId="9" hidden="true"/>
    <cellStyle name="Followed Hyperlink" xfId="2431" builtinId="9" hidden="true"/>
    <cellStyle name="Followed Hyperlink" xfId="2433" builtinId="9" hidden="true"/>
    <cellStyle name="Followed Hyperlink" xfId="2435" builtinId="9" hidden="true"/>
    <cellStyle name="Followed Hyperlink" xfId="2437" builtinId="9" hidden="true"/>
    <cellStyle name="Followed Hyperlink" xfId="2439" builtinId="9" hidden="true"/>
    <cellStyle name="Followed Hyperlink" xfId="2441" builtinId="9" hidden="true"/>
    <cellStyle name="Followed Hyperlink" xfId="2443" builtinId="9" hidden="true"/>
    <cellStyle name="Followed Hyperlink" xfId="2445" builtinId="9" hidden="true"/>
    <cellStyle name="Followed Hyperlink" xfId="2447" builtinId="9" hidden="true"/>
    <cellStyle name="Followed Hyperlink" xfId="2449" builtinId="9" hidden="true"/>
    <cellStyle name="Followed Hyperlink" xfId="2451" builtinId="9" hidden="true"/>
    <cellStyle name="Followed Hyperlink" xfId="2453" builtinId="9" hidden="true"/>
    <cellStyle name="Followed Hyperlink" xfId="2455" builtinId="9" hidden="true"/>
    <cellStyle name="Followed Hyperlink" xfId="2457" builtinId="9" hidden="true"/>
    <cellStyle name="Followed Hyperlink" xfId="2459" builtinId="9" hidden="true"/>
    <cellStyle name="Followed Hyperlink" xfId="2461" builtinId="9" hidden="true"/>
    <cellStyle name="Followed Hyperlink" xfId="2463" builtinId="9" hidden="true"/>
    <cellStyle name="Followed Hyperlink" xfId="2465" builtinId="9" hidden="true"/>
    <cellStyle name="Followed Hyperlink" xfId="2467" builtinId="9" hidden="true"/>
    <cellStyle name="Followed Hyperlink" xfId="2469" builtinId="9" hidden="true"/>
    <cellStyle name="Followed Hyperlink" xfId="2471" builtinId="9" hidden="true"/>
    <cellStyle name="Followed Hyperlink" xfId="2473" builtinId="9" hidden="true"/>
    <cellStyle name="Followed Hyperlink" xfId="2475" builtinId="9" hidden="true"/>
    <cellStyle name="Followed Hyperlink" xfId="2477" builtinId="9" hidden="true"/>
    <cellStyle name="Followed Hyperlink" xfId="2479" builtinId="9" hidden="true"/>
    <cellStyle name="Followed Hyperlink" xfId="2481" builtinId="9" hidden="true"/>
    <cellStyle name="Followed Hyperlink" xfId="2483" builtinId="9" hidden="true"/>
    <cellStyle name="Followed Hyperlink" xfId="2485" builtinId="9" hidden="true"/>
    <cellStyle name="Followed Hyperlink" xfId="2487" builtinId="9" hidden="true"/>
    <cellStyle name="Followed Hyperlink" xfId="2489" builtinId="9" hidden="true"/>
    <cellStyle name="Followed Hyperlink" xfId="2491" builtinId="9" hidden="true"/>
    <cellStyle name="Followed Hyperlink" xfId="2493" builtinId="9" hidden="true"/>
    <cellStyle name="Followed Hyperlink" xfId="2495" builtinId="9" hidden="true"/>
    <cellStyle name="Followed Hyperlink" xfId="2497" builtinId="9" hidden="true"/>
    <cellStyle name="Followed Hyperlink" xfId="2499" builtinId="9" hidden="true"/>
    <cellStyle name="Followed Hyperlink" xfId="2501" builtinId="9" hidden="true"/>
    <cellStyle name="Followed Hyperlink" xfId="2503" builtinId="9" hidden="true"/>
    <cellStyle name="Followed Hyperlink" xfId="2505" builtinId="9" hidden="true"/>
    <cellStyle name="Followed Hyperlink" xfId="2507" builtinId="9" hidden="true"/>
    <cellStyle name="Followed Hyperlink" xfId="2509" builtinId="9" hidden="true"/>
    <cellStyle name="Followed Hyperlink" xfId="2511" builtinId="9" hidden="true"/>
    <cellStyle name="Followed Hyperlink" xfId="2513" builtinId="9" hidden="true"/>
    <cellStyle name="Followed Hyperlink" xfId="2515" builtinId="9" hidden="true"/>
    <cellStyle name="Followed Hyperlink" xfId="2517" builtinId="9" hidden="true"/>
    <cellStyle name="Followed Hyperlink" xfId="2519" builtinId="9" hidden="true"/>
    <cellStyle name="Followed Hyperlink" xfId="2521" builtinId="9" hidden="true"/>
    <cellStyle name="Followed Hyperlink" xfId="2523" builtinId="9" hidden="true"/>
    <cellStyle name="Followed Hyperlink" xfId="2525" builtinId="9" hidden="true"/>
    <cellStyle name="Followed Hyperlink" xfId="2527" builtinId="9" hidden="true"/>
    <cellStyle name="Followed Hyperlink" xfId="2529" builtinId="9" hidden="true"/>
    <cellStyle name="Followed Hyperlink" xfId="2531" builtinId="9" hidden="true"/>
    <cellStyle name="Followed Hyperlink" xfId="2533" builtinId="9" hidden="true"/>
    <cellStyle name="Followed Hyperlink" xfId="2535" builtinId="9" hidden="true"/>
    <cellStyle name="Followed Hyperlink" xfId="2537" builtinId="9" hidden="true"/>
    <cellStyle name="Followed Hyperlink" xfId="2539" builtinId="9" hidden="true"/>
    <cellStyle name="Followed Hyperlink" xfId="2541" builtinId="9" hidden="true"/>
    <cellStyle name="Followed Hyperlink" xfId="2543" builtinId="9" hidden="true"/>
    <cellStyle name="Followed Hyperlink" xfId="2545" builtinId="9" hidden="true"/>
    <cellStyle name="Followed Hyperlink" xfId="2547" builtinId="9" hidden="true"/>
    <cellStyle name="Followed Hyperlink" xfId="2549" builtinId="9" hidden="true"/>
    <cellStyle name="Followed Hyperlink" xfId="2551" builtinId="9" hidden="true"/>
    <cellStyle name="Followed Hyperlink" xfId="2553" builtinId="9" hidden="true"/>
    <cellStyle name="Followed Hyperlink" xfId="2555" builtinId="9" hidden="true"/>
    <cellStyle name="Followed Hyperlink" xfId="2557" builtinId="9" hidden="true"/>
    <cellStyle name="Followed Hyperlink" xfId="2559" builtinId="9" hidden="true"/>
    <cellStyle name="Followed Hyperlink" xfId="2561" builtinId="9" hidden="true"/>
    <cellStyle name="Followed Hyperlink" xfId="2563" builtinId="9" hidden="true"/>
    <cellStyle name="Followed Hyperlink" xfId="2565" builtinId="9" hidden="true"/>
    <cellStyle name="Followed Hyperlink" xfId="2567" builtinId="9" hidden="true"/>
    <cellStyle name="Followed Hyperlink" xfId="2569" builtinId="9" hidden="true"/>
    <cellStyle name="Followed Hyperlink" xfId="2571" builtinId="9" hidden="true"/>
    <cellStyle name="Followed Hyperlink" xfId="2573" builtinId="9" hidden="true"/>
    <cellStyle name="Followed Hyperlink" xfId="2575" builtinId="9" hidden="true"/>
    <cellStyle name="Followed Hyperlink" xfId="2577" builtinId="9" hidden="true"/>
    <cellStyle name="Followed Hyperlink" xfId="2579" builtinId="9" hidden="true"/>
    <cellStyle name="Followed Hyperlink" xfId="2581" builtinId="9" hidden="true"/>
    <cellStyle name="Followed Hyperlink" xfId="2583" builtinId="9" hidden="true"/>
    <cellStyle name="Followed Hyperlink" xfId="2585" builtinId="9" hidden="true"/>
    <cellStyle name="Followed Hyperlink" xfId="2587" builtinId="9" hidden="true"/>
    <cellStyle name="Followed Hyperlink" xfId="2589" builtinId="9" hidden="true"/>
    <cellStyle name="Followed Hyperlink" xfId="2591" builtinId="9" hidden="true"/>
    <cellStyle name="Followed Hyperlink" xfId="2593" builtinId="9" hidden="true"/>
    <cellStyle name="Followed Hyperlink" xfId="2595" builtinId="9" hidden="true"/>
    <cellStyle name="Followed Hyperlink" xfId="2597" builtinId="9" hidden="true"/>
    <cellStyle name="Followed Hyperlink" xfId="2599" builtinId="9" hidden="true"/>
    <cellStyle name="Followed Hyperlink" xfId="2601" builtinId="9" hidden="true"/>
    <cellStyle name="Followed Hyperlink" xfId="2603" builtinId="9" hidden="true"/>
    <cellStyle name="Followed Hyperlink" xfId="2605" builtinId="9" hidden="true"/>
    <cellStyle name="Followed Hyperlink" xfId="2607" builtinId="9" hidden="true"/>
    <cellStyle name="Followed Hyperlink" xfId="2609" builtinId="9" hidden="true"/>
    <cellStyle name="Followed Hyperlink" xfId="2611" builtinId="9" hidden="true"/>
    <cellStyle name="Followed Hyperlink" xfId="2613" builtinId="9" hidden="true"/>
    <cellStyle name="Followed Hyperlink" xfId="2615" builtinId="9" hidden="true"/>
    <cellStyle name="Followed Hyperlink" xfId="2617" builtinId="9" hidden="true"/>
    <cellStyle name="Followed Hyperlink" xfId="2619" builtinId="9" hidden="true"/>
    <cellStyle name="Followed Hyperlink" xfId="2621" builtinId="9" hidden="true"/>
    <cellStyle name="Followed Hyperlink" xfId="2623" builtinId="9" hidden="true"/>
    <cellStyle name="Followed Hyperlink" xfId="2625" builtinId="9" hidden="true"/>
    <cellStyle name="Followed Hyperlink" xfId="2627" builtinId="9" hidden="true"/>
    <cellStyle name="Followed Hyperlink" xfId="2629" builtinId="9" hidden="true"/>
    <cellStyle name="Followed Hyperlink" xfId="2631" builtinId="9" hidden="true"/>
    <cellStyle name="Followed Hyperlink" xfId="2633" builtinId="9" hidden="true"/>
    <cellStyle name="Followed Hyperlink" xfId="2635" builtinId="9" hidden="true"/>
    <cellStyle name="Followed Hyperlink" xfId="2637" builtinId="9" hidden="true"/>
    <cellStyle name="Followed Hyperlink" xfId="2639" builtinId="9" hidden="true"/>
    <cellStyle name="Followed Hyperlink" xfId="2641" builtinId="9" hidden="true"/>
    <cellStyle name="Followed Hyperlink" xfId="2643" builtinId="9" hidden="true"/>
    <cellStyle name="Followed Hyperlink" xfId="2645" builtinId="9" hidden="true"/>
    <cellStyle name="Followed Hyperlink" xfId="2647" builtinId="9" hidden="true"/>
    <cellStyle name="Followed Hyperlink" xfId="2649" builtinId="9" hidden="true"/>
    <cellStyle name="Followed Hyperlink" xfId="2651" builtinId="9" hidden="true"/>
    <cellStyle name="Followed Hyperlink" xfId="2653" builtinId="9" hidden="true"/>
    <cellStyle name="Followed Hyperlink" xfId="2655" builtinId="9" hidden="true"/>
    <cellStyle name="Followed Hyperlink" xfId="2657" builtinId="9" hidden="true"/>
    <cellStyle name="Followed Hyperlink" xfId="2659" builtinId="9" hidden="true"/>
    <cellStyle name="Followed Hyperlink" xfId="2661" builtinId="9" hidden="true"/>
    <cellStyle name="Followed Hyperlink" xfId="2663" builtinId="9" hidden="true"/>
    <cellStyle name="Followed Hyperlink" xfId="2665" builtinId="9" hidden="true"/>
    <cellStyle name="Followed Hyperlink" xfId="2667" builtinId="9" hidden="true"/>
    <cellStyle name="Followed Hyperlink" xfId="2669" builtinId="9" hidden="true"/>
    <cellStyle name="Followed Hyperlink" xfId="2671" builtinId="9" hidden="true"/>
    <cellStyle name="Followed Hyperlink" xfId="2673" builtinId="9" hidden="true"/>
    <cellStyle name="Followed Hyperlink" xfId="2675" builtinId="9" hidden="true"/>
    <cellStyle name="Followed Hyperlink" xfId="2677" builtinId="9" hidden="true"/>
    <cellStyle name="Followed Hyperlink" xfId="2679" builtinId="9" hidden="true"/>
    <cellStyle name="Followed Hyperlink" xfId="2681" builtinId="9" hidden="true"/>
    <cellStyle name="Followed Hyperlink" xfId="2683" builtinId="9" hidden="true"/>
    <cellStyle name="Followed Hyperlink" xfId="2685" builtinId="9" hidden="true"/>
    <cellStyle name="Followed Hyperlink" xfId="2687" builtinId="9" hidden="true"/>
    <cellStyle name="Followed Hyperlink" xfId="2689" builtinId="9" hidden="true"/>
    <cellStyle name="Followed Hyperlink" xfId="2691" builtinId="9" hidden="true"/>
    <cellStyle name="Followed Hyperlink" xfId="2693" builtinId="9" hidden="true"/>
    <cellStyle name="Followed Hyperlink" xfId="2695" builtinId="9" hidden="true"/>
    <cellStyle name="Followed Hyperlink" xfId="2697" builtinId="9" hidden="true"/>
    <cellStyle name="Followed Hyperlink" xfId="2699" builtinId="9" hidden="true"/>
    <cellStyle name="Followed Hyperlink" xfId="2701" builtinId="9" hidden="true"/>
    <cellStyle name="Followed Hyperlink" xfId="2703" builtinId="9" hidden="true"/>
    <cellStyle name="Followed Hyperlink" xfId="2705" builtinId="9" hidden="true"/>
    <cellStyle name="Followed Hyperlink" xfId="2707" builtinId="9" hidden="true"/>
    <cellStyle name="Followed Hyperlink" xfId="2709" builtinId="9" hidden="true"/>
    <cellStyle name="Followed Hyperlink" xfId="2711" builtinId="9" hidden="true"/>
    <cellStyle name="Followed Hyperlink" xfId="2713" builtinId="9" hidden="true"/>
    <cellStyle name="Followed Hyperlink" xfId="2715" builtinId="9" hidden="true"/>
    <cellStyle name="Followed Hyperlink" xfId="2717" builtinId="9" hidden="true"/>
    <cellStyle name="Followed Hyperlink" xfId="2719" builtinId="9" hidden="true"/>
    <cellStyle name="Followed Hyperlink" xfId="2721" builtinId="9" hidden="true"/>
    <cellStyle name="Followed Hyperlink" xfId="2723" builtinId="9" hidden="true"/>
    <cellStyle name="Followed Hyperlink" xfId="2725" builtinId="9" hidden="true"/>
    <cellStyle name="Followed Hyperlink" xfId="2727" builtinId="9" hidden="true"/>
    <cellStyle name="Followed Hyperlink" xfId="2729" builtinId="9" hidden="true"/>
    <cellStyle name="Followed Hyperlink" xfId="2731" builtinId="9" hidden="true"/>
    <cellStyle name="Followed Hyperlink" xfId="2733" builtinId="9" hidden="true"/>
    <cellStyle name="Followed Hyperlink" xfId="2735" builtinId="9" hidden="true"/>
    <cellStyle name="Followed Hyperlink" xfId="2737" builtinId="9" hidden="true"/>
    <cellStyle name="Followed Hyperlink" xfId="2739" builtinId="9" hidden="true"/>
    <cellStyle name="Followed Hyperlink" xfId="2741" builtinId="9" hidden="true"/>
    <cellStyle name="Followed Hyperlink" xfId="2743" builtinId="9" hidden="true"/>
    <cellStyle name="Followed Hyperlink" xfId="2745" builtinId="9" hidden="true"/>
    <cellStyle name="Followed Hyperlink" xfId="2747" builtinId="9" hidden="true"/>
    <cellStyle name="Followed Hyperlink" xfId="2749" builtinId="9" hidden="true"/>
    <cellStyle name="Followed Hyperlink" xfId="2751" builtinId="9" hidden="true"/>
    <cellStyle name="Followed Hyperlink" xfId="2753" builtinId="9" hidden="true"/>
    <cellStyle name="Followed Hyperlink" xfId="2755" builtinId="9" hidden="true"/>
    <cellStyle name="Followed Hyperlink" xfId="2757" builtinId="9" hidden="true"/>
    <cellStyle name="Followed Hyperlink" xfId="2759" builtinId="9" hidden="true"/>
    <cellStyle name="Followed Hyperlink" xfId="2761" builtinId="9" hidden="true"/>
    <cellStyle name="Followed Hyperlink" xfId="2763" builtinId="9" hidden="true"/>
    <cellStyle name="Followed Hyperlink" xfId="2765" builtinId="9" hidden="true"/>
    <cellStyle name="Followed Hyperlink" xfId="2767" builtinId="9" hidden="true"/>
    <cellStyle name="Followed Hyperlink" xfId="2769" builtinId="9" hidden="true"/>
    <cellStyle name="Followed Hyperlink" xfId="2771" builtinId="9" hidden="true"/>
    <cellStyle name="Followed Hyperlink" xfId="2773" builtinId="9" hidden="true"/>
    <cellStyle name="Followed Hyperlink" xfId="2775" builtinId="9" hidden="true"/>
    <cellStyle name="Followed Hyperlink" xfId="2777" builtinId="9" hidden="true"/>
    <cellStyle name="Followed Hyperlink" xfId="2779" builtinId="9" hidden="true"/>
    <cellStyle name="Followed Hyperlink" xfId="2781" builtinId="9" hidden="true"/>
    <cellStyle name="Followed Hyperlink" xfId="2783" builtinId="9" hidden="true"/>
    <cellStyle name="Followed Hyperlink" xfId="2785" builtinId="9" hidden="true"/>
    <cellStyle name="Followed Hyperlink" xfId="2787" builtinId="9" hidden="true"/>
    <cellStyle name="Followed Hyperlink" xfId="2789" builtinId="9" hidden="true"/>
    <cellStyle name="Followed Hyperlink" xfId="2791" builtinId="9" hidden="true"/>
    <cellStyle name="Followed Hyperlink" xfId="2793" builtinId="9" hidden="true"/>
    <cellStyle name="Followed Hyperlink" xfId="2795" builtinId="9" hidden="true"/>
    <cellStyle name="Followed Hyperlink" xfId="2797" builtinId="9" hidden="true"/>
    <cellStyle name="Followed Hyperlink" xfId="2799" builtinId="9" hidden="true"/>
    <cellStyle name="Followed Hyperlink" xfId="2801" builtinId="9" hidden="true"/>
    <cellStyle name="Followed Hyperlink" xfId="2803" builtinId="9" hidden="true"/>
    <cellStyle name="Followed Hyperlink" xfId="2805" builtinId="9" hidden="true"/>
    <cellStyle name="Followed Hyperlink" xfId="2807" builtinId="9" hidden="true"/>
    <cellStyle name="Followed Hyperlink" xfId="2809" builtinId="9" hidden="true"/>
    <cellStyle name="Followed Hyperlink" xfId="2811" builtinId="9" hidden="true"/>
    <cellStyle name="Followed Hyperlink" xfId="2813" builtinId="9" hidden="true"/>
    <cellStyle name="Followed Hyperlink" xfId="2815" builtinId="9" hidden="true"/>
    <cellStyle name="Followed Hyperlink" xfId="2817" builtinId="9" hidden="true"/>
    <cellStyle name="Followed Hyperlink" xfId="2819" builtinId="9" hidden="true"/>
    <cellStyle name="Followed Hyperlink" xfId="2821" builtinId="9" hidden="true"/>
    <cellStyle name="Followed Hyperlink" xfId="2823" builtinId="9" hidden="true"/>
    <cellStyle name="Followed Hyperlink" xfId="2825" builtinId="9" hidden="true"/>
    <cellStyle name="Followed Hyperlink" xfId="2827" builtinId="9" hidden="true"/>
    <cellStyle name="Followed Hyperlink" xfId="2829" builtinId="9" hidden="true"/>
    <cellStyle name="Followed Hyperlink" xfId="2831" builtinId="9" hidden="true"/>
    <cellStyle name="Followed Hyperlink" xfId="2833" builtinId="9" hidden="true"/>
    <cellStyle name="Followed Hyperlink" xfId="2835" builtinId="9" hidden="true"/>
    <cellStyle name="Followed Hyperlink" xfId="2837" builtinId="9" hidden="true"/>
    <cellStyle name="Followed Hyperlink" xfId="2839" builtinId="9" hidden="true"/>
    <cellStyle name="Followed Hyperlink" xfId="2841" builtinId="9" hidden="true"/>
    <cellStyle name="Followed Hyperlink" xfId="2843" builtinId="9" hidden="true"/>
    <cellStyle name="Followed Hyperlink" xfId="2845" builtinId="9" hidden="true"/>
    <cellStyle name="Followed Hyperlink" xfId="2847" builtinId="9" hidden="true"/>
    <cellStyle name="Followed Hyperlink" xfId="2849" builtinId="9" hidden="true"/>
    <cellStyle name="Followed Hyperlink" xfId="2851" builtinId="9" hidden="true"/>
    <cellStyle name="Followed Hyperlink" xfId="2853" builtinId="9" hidden="true"/>
    <cellStyle name="Followed Hyperlink" xfId="2855" builtinId="9" hidden="true"/>
    <cellStyle name="Followed Hyperlink" xfId="2857" builtinId="9" hidden="true"/>
    <cellStyle name="Followed Hyperlink" xfId="2859" builtinId="9" hidden="true"/>
    <cellStyle name="Followed Hyperlink" xfId="2861" builtinId="9" hidden="true"/>
    <cellStyle name="Followed Hyperlink" xfId="2863" builtinId="9" hidden="true"/>
    <cellStyle name="Followed Hyperlink" xfId="2865" builtinId="9" hidden="true"/>
    <cellStyle name="Followed Hyperlink" xfId="2867" builtinId="9" hidden="true"/>
    <cellStyle name="Followed Hyperlink" xfId="2869" builtinId="9" hidden="true"/>
    <cellStyle name="Followed Hyperlink" xfId="2871" builtinId="9" hidden="true"/>
    <cellStyle name="Followed Hyperlink" xfId="2873" builtinId="9" hidden="true"/>
    <cellStyle name="Followed Hyperlink" xfId="2875" builtinId="9" hidden="true"/>
    <cellStyle name="Followed Hyperlink" xfId="2877" builtinId="9" hidden="true"/>
    <cellStyle name="Followed Hyperlink" xfId="2879" builtinId="9" hidden="true"/>
    <cellStyle name="Followed Hyperlink" xfId="2881" builtinId="9" hidden="true"/>
    <cellStyle name="Followed Hyperlink" xfId="2883" builtinId="9" hidden="true"/>
    <cellStyle name="Followed Hyperlink" xfId="2885" builtinId="9" hidden="true"/>
    <cellStyle name="Followed Hyperlink" xfId="2887" builtinId="9" hidden="true"/>
    <cellStyle name="Followed Hyperlink" xfId="2889" builtinId="9" hidden="true"/>
    <cellStyle name="Followed Hyperlink" xfId="2891" builtinId="9" hidden="true"/>
    <cellStyle name="Followed Hyperlink" xfId="2893" builtinId="9" hidden="true"/>
    <cellStyle name="Followed Hyperlink" xfId="2895" builtinId="9" hidden="true"/>
    <cellStyle name="Followed Hyperlink" xfId="2897" builtinId="9" hidden="true"/>
    <cellStyle name="Followed Hyperlink" xfId="2899" builtinId="9" hidden="true"/>
    <cellStyle name="Followed Hyperlink" xfId="2901" builtinId="9" hidden="true"/>
    <cellStyle name="Followed Hyperlink" xfId="2903" builtinId="9" hidden="true"/>
    <cellStyle name="Followed Hyperlink" xfId="2905" builtinId="9" hidden="true"/>
    <cellStyle name="Followed Hyperlink" xfId="2907" builtinId="9" hidden="true"/>
    <cellStyle name="Followed Hyperlink" xfId="2909" builtinId="9" hidden="true"/>
    <cellStyle name="Followed Hyperlink" xfId="2911" builtinId="9" hidden="true"/>
    <cellStyle name="Followed Hyperlink" xfId="2913" builtinId="9" hidden="true"/>
    <cellStyle name="Followed Hyperlink" xfId="2915" builtinId="9" hidden="true"/>
    <cellStyle name="Followed Hyperlink" xfId="2917" builtinId="9" hidden="true"/>
    <cellStyle name="Followed Hyperlink" xfId="2919" builtinId="9" hidden="true"/>
    <cellStyle name="Followed Hyperlink" xfId="2921" builtinId="9" hidden="true"/>
    <cellStyle name="Followed Hyperlink" xfId="2923" builtinId="9" hidden="true"/>
    <cellStyle name="Followed Hyperlink" xfId="2925" builtinId="9" hidden="true"/>
    <cellStyle name="Followed Hyperlink" xfId="2927" builtinId="9" hidden="true"/>
    <cellStyle name="Followed Hyperlink" xfId="2929" builtinId="9" hidden="true"/>
    <cellStyle name="Followed Hyperlink" xfId="2931" builtinId="9" hidden="true"/>
    <cellStyle name="Followed Hyperlink" xfId="2933" builtinId="9" hidden="true"/>
    <cellStyle name="Followed Hyperlink" xfId="2935" builtinId="9" hidden="true"/>
    <cellStyle name="Followed Hyperlink" xfId="2937" builtinId="9" hidden="true"/>
    <cellStyle name="Followed Hyperlink" xfId="2939" builtinId="9" hidden="true"/>
    <cellStyle name="Followed Hyperlink" xfId="2941" builtinId="9" hidden="true"/>
    <cellStyle name="Followed Hyperlink" xfId="2943" builtinId="9" hidden="true"/>
    <cellStyle name="Followed Hyperlink" xfId="2945" builtinId="9" hidden="true"/>
    <cellStyle name="Followed Hyperlink" xfId="2947" builtinId="9" hidden="true"/>
    <cellStyle name="Followed Hyperlink" xfId="2949" builtinId="9" hidden="true"/>
    <cellStyle name="Followed Hyperlink" xfId="2951" builtinId="9" hidden="true"/>
    <cellStyle name="Followed Hyperlink" xfId="2953" builtinId="9" hidden="true"/>
    <cellStyle name="Followed Hyperlink" xfId="2955" builtinId="9" hidden="true"/>
    <cellStyle name="Followed Hyperlink" xfId="2957" builtinId="9" hidden="true"/>
    <cellStyle name="Followed Hyperlink" xfId="2959" builtinId="9" hidden="true"/>
    <cellStyle name="Followed Hyperlink" xfId="2961" builtinId="9" hidden="true"/>
    <cellStyle name="Followed Hyperlink" xfId="2963" builtinId="9" hidden="true"/>
    <cellStyle name="Followed Hyperlink" xfId="2965" builtinId="9" hidden="true"/>
    <cellStyle name="Followed Hyperlink" xfId="2967" builtinId="9" hidden="true"/>
    <cellStyle name="Followed Hyperlink" xfId="2969" builtinId="9" hidden="true"/>
    <cellStyle name="Followed Hyperlink" xfId="2971" builtinId="9" hidden="true"/>
    <cellStyle name="Followed Hyperlink" xfId="2973" builtinId="9" hidden="true"/>
    <cellStyle name="Followed Hyperlink" xfId="2975" builtinId="9" hidden="true"/>
    <cellStyle name="Followed Hyperlink" xfId="2977" builtinId="9" hidden="true"/>
    <cellStyle name="Followed Hyperlink" xfId="2979" builtinId="9" hidden="true"/>
    <cellStyle name="Followed Hyperlink" xfId="2981" builtinId="9" hidden="true"/>
    <cellStyle name="Followed Hyperlink" xfId="2983" builtinId="9" hidden="true"/>
    <cellStyle name="Followed Hyperlink" xfId="2985" builtinId="9" hidden="true"/>
    <cellStyle name="Followed Hyperlink" xfId="2987" builtinId="9" hidden="true"/>
    <cellStyle name="Followed Hyperlink" xfId="2989" builtinId="9" hidden="true"/>
    <cellStyle name="Followed Hyperlink" xfId="2991" builtinId="9" hidden="true"/>
    <cellStyle name="Followed Hyperlink" xfId="2993" builtinId="9" hidden="true"/>
    <cellStyle name="Followed Hyperlink" xfId="2995" builtinId="9" hidden="true"/>
    <cellStyle name="Followed Hyperlink" xfId="2997" builtinId="9" hidden="true"/>
    <cellStyle name="Followed Hyperlink" xfId="2999" builtinId="9" hidden="true"/>
    <cellStyle name="Followed Hyperlink" xfId="3001" builtinId="9" hidden="true"/>
    <cellStyle name="Followed Hyperlink" xfId="3003" builtinId="9" hidden="true"/>
    <cellStyle name="Followed Hyperlink" xfId="3005" builtinId="9" hidden="true"/>
    <cellStyle name="Followed Hyperlink" xfId="3007" builtinId="9" hidden="true"/>
    <cellStyle name="Followed Hyperlink" xfId="3009" builtinId="9" hidden="true"/>
    <cellStyle name="Followed Hyperlink" xfId="3011" builtinId="9" hidden="true"/>
    <cellStyle name="Followed Hyperlink" xfId="3013" builtinId="9" hidden="true"/>
    <cellStyle name="Followed Hyperlink" xfId="3015" builtinId="9" hidden="true"/>
    <cellStyle name="Followed Hyperlink" xfId="3017" builtinId="9" hidden="true"/>
    <cellStyle name="Followed Hyperlink" xfId="3019" builtinId="9" hidden="true"/>
    <cellStyle name="Followed Hyperlink" xfId="3021" builtinId="9" hidden="true"/>
    <cellStyle name="Followed Hyperlink" xfId="3023" builtinId="9" hidden="true"/>
    <cellStyle name="Followed Hyperlink" xfId="3025" builtinId="9" hidden="true"/>
    <cellStyle name="Followed Hyperlink" xfId="3027" builtinId="9" hidden="true"/>
    <cellStyle name="Followed Hyperlink" xfId="3029" builtinId="9" hidden="true"/>
    <cellStyle name="Followed Hyperlink" xfId="3031" builtinId="9" hidden="true"/>
    <cellStyle name="Followed Hyperlink" xfId="3033" builtinId="9" hidden="true"/>
    <cellStyle name="Followed Hyperlink" xfId="3035" builtinId="9" hidden="true"/>
    <cellStyle name="Followed Hyperlink" xfId="3037" builtinId="9" hidden="true"/>
    <cellStyle name="Followed Hyperlink" xfId="3039" builtinId="9" hidden="true"/>
    <cellStyle name="Followed Hyperlink" xfId="3041" builtinId="9" hidden="true"/>
    <cellStyle name="Followed Hyperlink" xfId="3043" builtinId="9" hidden="true"/>
    <cellStyle name="Followed Hyperlink" xfId="3045" builtinId="9" hidden="true"/>
    <cellStyle name="Followed Hyperlink" xfId="3047" builtinId="9" hidden="true"/>
    <cellStyle name="Followed Hyperlink" xfId="3049" builtinId="9" hidden="true"/>
    <cellStyle name="Followed Hyperlink" xfId="3051" builtinId="9" hidden="true"/>
    <cellStyle name="Followed Hyperlink" xfId="3053" builtinId="9" hidden="true"/>
    <cellStyle name="Followed Hyperlink" xfId="3055" builtinId="9" hidden="true"/>
    <cellStyle name="Followed Hyperlink" xfId="3057" builtinId="9" hidden="true"/>
    <cellStyle name="Followed Hyperlink" xfId="3059" builtinId="9" hidden="true"/>
    <cellStyle name="Followed Hyperlink" xfId="3061" builtinId="9" hidden="true"/>
    <cellStyle name="Followed Hyperlink" xfId="3063" builtinId="9" hidden="true"/>
    <cellStyle name="Followed Hyperlink" xfId="3065" builtinId="9" hidden="true"/>
    <cellStyle name="Followed Hyperlink" xfId="3067" builtinId="9" hidden="true"/>
    <cellStyle name="Followed Hyperlink" xfId="3069" builtinId="9" hidden="true"/>
    <cellStyle name="Followed Hyperlink" xfId="3071" builtinId="9" hidden="true"/>
    <cellStyle name="Followed Hyperlink" xfId="3073" builtinId="9" hidden="true"/>
    <cellStyle name="Followed Hyperlink" xfId="3075" builtinId="9" hidden="true"/>
    <cellStyle name="Followed Hyperlink" xfId="3077" builtinId="9" hidden="true"/>
    <cellStyle name="Followed Hyperlink" xfId="3079" builtinId="9" hidden="true"/>
    <cellStyle name="Followed Hyperlink" xfId="3081" builtinId="9" hidden="true"/>
    <cellStyle name="Followed Hyperlink" xfId="3083" builtinId="9" hidden="true"/>
    <cellStyle name="Followed Hyperlink" xfId="3085" builtinId="9" hidden="true"/>
    <cellStyle name="Followed Hyperlink" xfId="3087" builtinId="9" hidden="true"/>
    <cellStyle name="Followed Hyperlink" xfId="3089" builtinId="9" hidden="true"/>
    <cellStyle name="Followed Hyperlink" xfId="3091" builtinId="9" hidden="true"/>
    <cellStyle name="Followed Hyperlink" xfId="3093" builtinId="9" hidden="true"/>
    <cellStyle name="Followed Hyperlink" xfId="3095" builtinId="9" hidden="true"/>
    <cellStyle name="Followed Hyperlink" xfId="3097" builtinId="9" hidden="true"/>
    <cellStyle name="Followed Hyperlink" xfId="3099" builtinId="9" hidden="true"/>
    <cellStyle name="Followed Hyperlink" xfId="3101" builtinId="9" hidden="true"/>
    <cellStyle name="Followed Hyperlink" xfId="3103" builtinId="9" hidden="true"/>
    <cellStyle name="Followed Hyperlink" xfId="3105" builtinId="9" hidden="true"/>
    <cellStyle name="Followed Hyperlink" xfId="3107" builtinId="9" hidden="true"/>
    <cellStyle name="Followed Hyperlink" xfId="3109" builtinId="9" hidden="true"/>
    <cellStyle name="Followed Hyperlink" xfId="3111" builtinId="9" hidden="true"/>
    <cellStyle name="Followed Hyperlink" xfId="3113" builtinId="9" hidden="true"/>
    <cellStyle name="Followed Hyperlink" xfId="3115" builtinId="9" hidden="true"/>
    <cellStyle name="Followed Hyperlink" xfId="3117" builtinId="9" hidden="true"/>
    <cellStyle name="Followed Hyperlink" xfId="3119" builtinId="9" hidden="true"/>
    <cellStyle name="Followed Hyperlink" xfId="3121" builtinId="9" hidden="true"/>
    <cellStyle name="Followed Hyperlink" xfId="3123" builtinId="9" hidden="true"/>
    <cellStyle name="Followed Hyperlink" xfId="3125" builtinId="9" hidden="true"/>
    <cellStyle name="Followed Hyperlink" xfId="3127" builtinId="9" hidden="true"/>
    <cellStyle name="Followed Hyperlink" xfId="3129" builtinId="9" hidden="true"/>
    <cellStyle name="Followed Hyperlink" xfId="3131" builtinId="9" hidden="true"/>
    <cellStyle name="Followed Hyperlink" xfId="3133" builtinId="9" hidden="true"/>
    <cellStyle name="Followed Hyperlink" xfId="3135" builtinId="9" hidden="true"/>
    <cellStyle name="Followed Hyperlink" xfId="3137" builtinId="9" hidden="true"/>
    <cellStyle name="Followed Hyperlink" xfId="3139" builtinId="9" hidden="true"/>
    <cellStyle name="Followed Hyperlink" xfId="3141" builtinId="9" hidden="true"/>
    <cellStyle name="Followed Hyperlink" xfId="3143" builtinId="9" hidden="true"/>
    <cellStyle name="Followed Hyperlink" xfId="3145" builtinId="9" hidden="true"/>
    <cellStyle name="Followed Hyperlink" xfId="3147" builtinId="9" hidden="true"/>
    <cellStyle name="Followed Hyperlink" xfId="3149" builtinId="9" hidden="true"/>
    <cellStyle name="Followed Hyperlink" xfId="3151" builtinId="9" hidden="true"/>
    <cellStyle name="Followed Hyperlink" xfId="3153" builtinId="9" hidden="true"/>
    <cellStyle name="Followed Hyperlink" xfId="3155" builtinId="9" hidden="true"/>
    <cellStyle name="Followed Hyperlink" xfId="3157" builtinId="9" hidden="true"/>
    <cellStyle name="Followed Hyperlink" xfId="3159" builtinId="9" hidden="true"/>
    <cellStyle name="Followed Hyperlink" xfId="3161" builtinId="9" hidden="true"/>
    <cellStyle name="Followed Hyperlink" xfId="3163" builtinId="9" hidden="true"/>
    <cellStyle name="Followed Hyperlink" xfId="3165" builtinId="9" hidden="true"/>
    <cellStyle name="Followed Hyperlink" xfId="3167" builtinId="9" hidden="true"/>
    <cellStyle name="Followed Hyperlink" xfId="3169" builtinId="9" hidden="true"/>
    <cellStyle name="Followed Hyperlink" xfId="3171" builtinId="9" hidden="true"/>
    <cellStyle name="Followed Hyperlink" xfId="3173" builtinId="9" hidden="true"/>
    <cellStyle name="Followed Hyperlink" xfId="3175" builtinId="9" hidden="true"/>
    <cellStyle name="Followed Hyperlink" xfId="3177" builtinId="9" hidden="true"/>
    <cellStyle name="Followed Hyperlink" xfId="3179" builtinId="9" hidden="true"/>
    <cellStyle name="Followed Hyperlink" xfId="3181" builtinId="9" hidden="true"/>
    <cellStyle name="Followed Hyperlink" xfId="3183" builtinId="9" hidden="true"/>
    <cellStyle name="Followed Hyperlink" xfId="3185" builtinId="9" hidden="true"/>
    <cellStyle name="Followed Hyperlink" xfId="3187" builtinId="9" hidden="true"/>
    <cellStyle name="Followed Hyperlink" xfId="3189" builtinId="9" hidden="true"/>
    <cellStyle name="Followed Hyperlink" xfId="3191" builtinId="9" hidden="true"/>
    <cellStyle name="Followed Hyperlink" xfId="3193" builtinId="9" hidden="true"/>
    <cellStyle name="Followed Hyperlink" xfId="3195" builtinId="9" hidden="true"/>
    <cellStyle name="Followed Hyperlink" xfId="3197" builtinId="9" hidden="true"/>
    <cellStyle name="Followed Hyperlink" xfId="3199" builtinId="9" hidden="true"/>
    <cellStyle name="Followed Hyperlink" xfId="3201" builtinId="9" hidden="true"/>
    <cellStyle name="Followed Hyperlink" xfId="3203" builtinId="9" hidden="true"/>
    <cellStyle name="Followed Hyperlink" xfId="3205" builtinId="9" hidden="true"/>
    <cellStyle name="Followed Hyperlink" xfId="3207" builtinId="9" hidden="true"/>
    <cellStyle name="Followed Hyperlink" xfId="3209" builtinId="9" hidden="true"/>
    <cellStyle name="Followed Hyperlink" xfId="3211" builtinId="9" hidden="true"/>
    <cellStyle name="Followed Hyperlink" xfId="3213" builtinId="9" hidden="true"/>
    <cellStyle name="Followed Hyperlink" xfId="3215" builtinId="9" hidden="true"/>
    <cellStyle name="Followed Hyperlink" xfId="3217" builtinId="9" hidden="true"/>
    <cellStyle name="Followed Hyperlink" xfId="3219" builtinId="9" hidden="true"/>
    <cellStyle name="Followed Hyperlink" xfId="3221" builtinId="9" hidden="true"/>
    <cellStyle name="Followed Hyperlink" xfId="3223" builtinId="9" hidden="true"/>
    <cellStyle name="Followed Hyperlink" xfId="3225" builtinId="9" hidden="true"/>
    <cellStyle name="Followed Hyperlink" xfId="3227" builtinId="9" hidden="true"/>
    <cellStyle name="Followed Hyperlink" xfId="3229" builtinId="9" hidden="true"/>
    <cellStyle name="Followed Hyperlink" xfId="3231" builtinId="9" hidden="true"/>
    <cellStyle name="Followed Hyperlink" xfId="3233" builtinId="9" hidden="true"/>
    <cellStyle name="Followed Hyperlink" xfId="3235" builtinId="9" hidden="true"/>
    <cellStyle name="Followed Hyperlink" xfId="3237" builtinId="9" hidden="true"/>
    <cellStyle name="Followed Hyperlink" xfId="3239" builtinId="9" hidden="true"/>
    <cellStyle name="Followed Hyperlink" xfId="3241" builtinId="9" hidden="true"/>
    <cellStyle name="Followed Hyperlink" xfId="3243" builtinId="9" hidden="true"/>
    <cellStyle name="Followed Hyperlink" xfId="3245" builtinId="9" hidden="true"/>
    <cellStyle name="Followed Hyperlink" xfId="3247" builtinId="9" hidden="true"/>
    <cellStyle name="Followed Hyperlink" xfId="3249" builtinId="9" hidden="true"/>
    <cellStyle name="Followed Hyperlink" xfId="3251" builtinId="9" hidden="true"/>
    <cellStyle name="Followed Hyperlink" xfId="3253" builtinId="9" hidden="true"/>
    <cellStyle name="Followed Hyperlink" xfId="3255" builtinId="9" hidden="true"/>
    <cellStyle name="Followed Hyperlink" xfId="3257" builtinId="9" hidden="true"/>
    <cellStyle name="Followed Hyperlink" xfId="3259" builtinId="9" hidden="true"/>
    <cellStyle name="Followed Hyperlink" xfId="3261" builtinId="9" hidden="true"/>
    <cellStyle name="Followed Hyperlink" xfId="3263" builtinId="9" hidden="true"/>
    <cellStyle name="Followed Hyperlink" xfId="3265" builtinId="9" hidden="true"/>
    <cellStyle name="Followed Hyperlink" xfId="3267" builtinId="9" hidden="true"/>
    <cellStyle name="Followed Hyperlink" xfId="3269" builtinId="9" hidden="true"/>
    <cellStyle name="Followed Hyperlink" xfId="3271" builtinId="9" hidden="true"/>
    <cellStyle name="Followed Hyperlink" xfId="3273" builtinId="9" hidden="true"/>
    <cellStyle name="Followed Hyperlink" xfId="3275" builtinId="9" hidden="true"/>
    <cellStyle name="Followed Hyperlink" xfId="3277" builtinId="9" hidden="true"/>
    <cellStyle name="Followed Hyperlink" xfId="3279" builtinId="9" hidden="true"/>
    <cellStyle name="Followed Hyperlink" xfId="3281" builtinId="9" hidden="true"/>
    <cellStyle name="Followed Hyperlink" xfId="3283" builtinId="9" hidden="true"/>
    <cellStyle name="Followed Hyperlink" xfId="3285" builtinId="9" hidden="true"/>
    <cellStyle name="Followed Hyperlink" xfId="3287" builtinId="9" hidden="true"/>
    <cellStyle name="Followed Hyperlink" xfId="3289" builtinId="9" hidden="true"/>
    <cellStyle name="Followed Hyperlink" xfId="3291" builtinId="9" hidden="true"/>
    <cellStyle name="Followed Hyperlink" xfId="3293" builtinId="9" hidden="true"/>
    <cellStyle name="Followed Hyperlink" xfId="3295" builtinId="9" hidden="true"/>
    <cellStyle name="Followed Hyperlink" xfId="3297" builtinId="9" hidden="true"/>
    <cellStyle name="Followed Hyperlink" xfId="3299" builtinId="9" hidden="true"/>
    <cellStyle name="Followed Hyperlink" xfId="3301" builtinId="9" hidden="true"/>
    <cellStyle name="Followed Hyperlink" xfId="3303" builtinId="9" hidden="true"/>
    <cellStyle name="Followed Hyperlink" xfId="3305" builtinId="9" hidden="true"/>
    <cellStyle name="Followed Hyperlink" xfId="3307" builtinId="9" hidden="true"/>
    <cellStyle name="Followed Hyperlink" xfId="3309" builtinId="9" hidden="true"/>
    <cellStyle name="Followed Hyperlink" xfId="3311" builtinId="9" hidden="true"/>
    <cellStyle name="Followed Hyperlink" xfId="3313" builtinId="9" hidden="true"/>
    <cellStyle name="Followed Hyperlink" xfId="3315" builtinId="9" hidden="true"/>
    <cellStyle name="Followed Hyperlink" xfId="3317" builtinId="9" hidden="true"/>
    <cellStyle name="Followed Hyperlink" xfId="3319" builtinId="9" hidden="true"/>
    <cellStyle name="Followed Hyperlink" xfId="3321" builtinId="9" hidden="true"/>
    <cellStyle name="Followed Hyperlink" xfId="3323" builtinId="9" hidden="true"/>
    <cellStyle name="Followed Hyperlink" xfId="3325" builtinId="9" hidden="true"/>
    <cellStyle name="Followed Hyperlink" xfId="3327" builtinId="9" hidden="true"/>
    <cellStyle name="Followed Hyperlink" xfId="3329" builtinId="9" hidden="true"/>
    <cellStyle name="Followed Hyperlink" xfId="3331" builtinId="9" hidden="true"/>
    <cellStyle name="Followed Hyperlink" xfId="3333" builtinId="9" hidden="true"/>
    <cellStyle name="Followed Hyperlink" xfId="3335" builtinId="9" hidden="true"/>
    <cellStyle name="Followed Hyperlink" xfId="3337" builtinId="9" hidden="true"/>
    <cellStyle name="Followed Hyperlink" xfId="3339" builtinId="9" hidden="true"/>
    <cellStyle name="Followed Hyperlink" xfId="3341" builtinId="9" hidden="true"/>
    <cellStyle name="Followed Hyperlink" xfId="3343" builtinId="9" hidden="true"/>
    <cellStyle name="Followed Hyperlink" xfId="3345" builtinId="9" hidden="true"/>
    <cellStyle name="Followed Hyperlink" xfId="3347" builtinId="9" hidden="true"/>
    <cellStyle name="Followed Hyperlink" xfId="3349" builtinId="9" hidden="true"/>
    <cellStyle name="Followed Hyperlink" xfId="3351" builtinId="9" hidden="true"/>
    <cellStyle name="Followed Hyperlink" xfId="3353" builtinId="9" hidden="true"/>
    <cellStyle name="Followed Hyperlink" xfId="3355" builtinId="9" hidden="true"/>
    <cellStyle name="Followed Hyperlink" xfId="3357" builtinId="9" hidden="true"/>
    <cellStyle name="Followed Hyperlink" xfId="3359" builtinId="9" hidden="true"/>
    <cellStyle name="Followed Hyperlink" xfId="3361" builtinId="9" hidden="true"/>
    <cellStyle name="Followed Hyperlink" xfId="3363" builtinId="9" hidden="true"/>
    <cellStyle name="Followed Hyperlink" xfId="3365" builtinId="9" hidden="true"/>
    <cellStyle name="Followed Hyperlink" xfId="3367" builtinId="9" hidden="true"/>
    <cellStyle name="Followed Hyperlink" xfId="3369" builtinId="9" hidden="true"/>
    <cellStyle name="Followed Hyperlink" xfId="3371" builtinId="9" hidden="true"/>
    <cellStyle name="Followed Hyperlink" xfId="3373" builtinId="9" hidden="true"/>
    <cellStyle name="Followed Hyperlink" xfId="3375" builtinId="9" hidden="true"/>
    <cellStyle name="Followed Hyperlink" xfId="3377" builtinId="9" hidden="true"/>
    <cellStyle name="Followed Hyperlink" xfId="3379" builtinId="9" hidden="true"/>
    <cellStyle name="Followed Hyperlink" xfId="3381" builtinId="9" hidden="true"/>
    <cellStyle name="Followed Hyperlink" xfId="3383" builtinId="9" hidden="true"/>
    <cellStyle name="Followed Hyperlink" xfId="3385" builtinId="9" hidden="true"/>
    <cellStyle name="Followed Hyperlink" xfId="3387" builtinId="9" hidden="true"/>
    <cellStyle name="Followed Hyperlink" xfId="3389" builtinId="9" hidden="true"/>
    <cellStyle name="Followed Hyperlink" xfId="3391" builtinId="9" hidden="true"/>
    <cellStyle name="Followed Hyperlink" xfId="3393" builtinId="9" hidden="true"/>
    <cellStyle name="Followed Hyperlink" xfId="3395" builtinId="9" hidden="true"/>
    <cellStyle name="Followed Hyperlink" xfId="3397" builtinId="9" hidden="true"/>
    <cellStyle name="Followed Hyperlink" xfId="3399" builtinId="9" hidden="true"/>
    <cellStyle name="Followed Hyperlink" xfId="3401" builtinId="9" hidden="true"/>
    <cellStyle name="Followed Hyperlink" xfId="3403" builtinId="9" hidden="true"/>
    <cellStyle name="Followed Hyperlink" xfId="3405" builtinId="9" hidden="true"/>
    <cellStyle name="Followed Hyperlink" xfId="3407" builtinId="9" hidden="true"/>
    <cellStyle name="Followed Hyperlink" xfId="3409" builtinId="9" hidden="true"/>
    <cellStyle name="Followed Hyperlink" xfId="3411" builtinId="9" hidden="true"/>
    <cellStyle name="Followed Hyperlink" xfId="3413" builtinId="9" hidden="true"/>
    <cellStyle name="Followed Hyperlink" xfId="3415" builtinId="9" hidden="true"/>
    <cellStyle name="Followed Hyperlink" xfId="3417" builtinId="9" hidden="true"/>
    <cellStyle name="Followed Hyperlink" xfId="3419" builtinId="9" hidden="true"/>
    <cellStyle name="Followed Hyperlink" xfId="3421" builtinId="9" hidden="true"/>
    <cellStyle name="Followed Hyperlink" xfId="3423" builtinId="9" hidden="true"/>
    <cellStyle name="Followed Hyperlink" xfId="3425" builtinId="9" hidden="true"/>
    <cellStyle name="Followed Hyperlink" xfId="3427" builtinId="9" hidden="true"/>
    <cellStyle name="Followed Hyperlink" xfId="3429" builtinId="9" hidden="true"/>
    <cellStyle name="Followed Hyperlink" xfId="3431" builtinId="9" hidden="true"/>
    <cellStyle name="Followed Hyperlink" xfId="3433" builtinId="9" hidden="true"/>
    <cellStyle name="Followed Hyperlink" xfId="3435" builtinId="9" hidden="true"/>
    <cellStyle name="Followed Hyperlink" xfId="3437" builtinId="9" hidden="true"/>
    <cellStyle name="Followed Hyperlink" xfId="3439" builtinId="9" hidden="true"/>
    <cellStyle name="Followed Hyperlink" xfId="3441" builtinId="9" hidden="true"/>
    <cellStyle name="Followed Hyperlink" xfId="3443" builtinId="9" hidden="true"/>
    <cellStyle name="Followed Hyperlink" xfId="3445" builtinId="9" hidden="true"/>
    <cellStyle name="Followed Hyperlink" xfId="3447" builtinId="9" hidden="true"/>
    <cellStyle name="Followed Hyperlink" xfId="3449" builtinId="9" hidden="true"/>
    <cellStyle name="Followed Hyperlink" xfId="3451" builtinId="9" hidden="true"/>
    <cellStyle name="Followed Hyperlink" xfId="3453" builtinId="9" hidden="true"/>
    <cellStyle name="Followed Hyperlink" xfId="3455" builtinId="9" hidden="true"/>
    <cellStyle name="Followed Hyperlink" xfId="3457" builtinId="9" hidden="true"/>
    <cellStyle name="Followed Hyperlink" xfId="3459" builtinId="9" hidden="true"/>
    <cellStyle name="Followed Hyperlink" xfId="3461" builtinId="9" hidden="true"/>
    <cellStyle name="Followed Hyperlink" xfId="3463" builtinId="9" hidden="true"/>
    <cellStyle name="Followed Hyperlink" xfId="3465" builtinId="9" hidden="true"/>
    <cellStyle name="Followed Hyperlink" xfId="3467" builtinId="9" hidden="true"/>
    <cellStyle name="Followed Hyperlink" xfId="3469" builtinId="9" hidden="true"/>
    <cellStyle name="Followed Hyperlink" xfId="3471" builtinId="9" hidden="true"/>
    <cellStyle name="Followed Hyperlink" xfId="3473" builtinId="9" hidden="true"/>
    <cellStyle name="Followed Hyperlink" xfId="3475" builtinId="9" hidden="true"/>
    <cellStyle name="Followed Hyperlink" xfId="3477" builtinId="9" hidden="true"/>
    <cellStyle name="Followed Hyperlink" xfId="3479" builtinId="9" hidden="true"/>
    <cellStyle name="Followed Hyperlink" xfId="3481" builtinId="9" hidden="true"/>
    <cellStyle name="Followed Hyperlink" xfId="3483" builtinId="9" hidden="true"/>
    <cellStyle name="Followed Hyperlink" xfId="3485" builtinId="9" hidden="true"/>
    <cellStyle name="Followed Hyperlink" xfId="3487" builtinId="9" hidden="true"/>
    <cellStyle name="Followed Hyperlink" xfId="3489" builtinId="9" hidden="true"/>
    <cellStyle name="Followed Hyperlink" xfId="3491" builtinId="9" hidden="true"/>
    <cellStyle name="Followed Hyperlink" xfId="3493" builtinId="9" hidden="true"/>
    <cellStyle name="Followed Hyperlink" xfId="3495" builtinId="9" hidden="true"/>
    <cellStyle name="Followed Hyperlink" xfId="3497" builtinId="9" hidden="true"/>
    <cellStyle name="Followed Hyperlink" xfId="3499" builtinId="9" hidden="true"/>
    <cellStyle name="Followed Hyperlink" xfId="3501" builtinId="9" hidden="true"/>
    <cellStyle name="Followed Hyperlink" xfId="3503" builtinId="9" hidden="true"/>
    <cellStyle name="Followed Hyperlink" xfId="3505" builtinId="9" hidden="true"/>
    <cellStyle name="Followed Hyperlink" xfId="3507" builtinId="9" hidden="true"/>
    <cellStyle name="Followed Hyperlink" xfId="3509" builtinId="9" hidden="true"/>
    <cellStyle name="Followed Hyperlink" xfId="3511" builtinId="9" hidden="true"/>
    <cellStyle name="Followed Hyperlink" xfId="3513" builtinId="9" hidden="true"/>
    <cellStyle name="Followed Hyperlink" xfId="3515" builtinId="9" hidden="true"/>
    <cellStyle name="Followed Hyperlink" xfId="3517" builtinId="9" hidden="true"/>
    <cellStyle name="Followed Hyperlink" xfId="3519" builtinId="9" hidden="true"/>
    <cellStyle name="Followed Hyperlink" xfId="3521" builtinId="9" hidden="true"/>
    <cellStyle name="Followed Hyperlink" xfId="3523" builtinId="9" hidden="true"/>
    <cellStyle name="Followed Hyperlink" xfId="3525" builtinId="9" hidden="true"/>
    <cellStyle name="Followed Hyperlink" xfId="3527" builtinId="9" hidden="true"/>
    <cellStyle name="Followed Hyperlink" xfId="3529" builtinId="9" hidden="true"/>
    <cellStyle name="Followed Hyperlink" xfId="3531" builtinId="9" hidden="true"/>
    <cellStyle name="Followed Hyperlink" xfId="3533" builtinId="9" hidden="true"/>
    <cellStyle name="Followed Hyperlink" xfId="3535" builtinId="9" hidden="true"/>
    <cellStyle name="Followed Hyperlink" xfId="3537" builtinId="9" hidden="true"/>
    <cellStyle name="Followed Hyperlink" xfId="3539" builtinId="9" hidden="true"/>
    <cellStyle name="Followed Hyperlink" xfId="3541" builtinId="9" hidden="true"/>
    <cellStyle name="Followed Hyperlink" xfId="3543" builtinId="9" hidden="true"/>
    <cellStyle name="Followed Hyperlink" xfId="3545" builtinId="9" hidden="true"/>
    <cellStyle name="Followed Hyperlink" xfId="3547" builtinId="9" hidden="true"/>
    <cellStyle name="Followed Hyperlink" xfId="3549" builtinId="9" hidden="true"/>
    <cellStyle name="Followed Hyperlink" xfId="3551" builtinId="9" hidden="true"/>
    <cellStyle name="Followed Hyperlink" xfId="3553" builtinId="9" hidden="true"/>
    <cellStyle name="Followed Hyperlink" xfId="3555" builtinId="9" hidden="true"/>
    <cellStyle name="Followed Hyperlink" xfId="3557" builtinId="9" hidden="true"/>
    <cellStyle name="Followed Hyperlink" xfId="3559" builtinId="9" hidden="true"/>
    <cellStyle name="Followed Hyperlink" xfId="3561" builtinId="9" hidden="true"/>
    <cellStyle name="Followed Hyperlink" xfId="3563" builtinId="9" hidden="true"/>
    <cellStyle name="Followed Hyperlink" xfId="3565" builtinId="9" hidden="true"/>
    <cellStyle name="Followed Hyperlink" xfId="3567" builtinId="9" hidden="true"/>
    <cellStyle name="Followed Hyperlink" xfId="3569" builtinId="9" hidden="true"/>
    <cellStyle name="Followed Hyperlink" xfId="3571" builtinId="9" hidden="true"/>
    <cellStyle name="Followed Hyperlink" xfId="3573" builtinId="9" hidden="true"/>
    <cellStyle name="Followed Hyperlink" xfId="3575" builtinId="9" hidden="true"/>
    <cellStyle name="Followed Hyperlink" xfId="3577" builtinId="9" hidden="true"/>
    <cellStyle name="Followed Hyperlink" xfId="3579" builtinId="9" hidden="true"/>
    <cellStyle name="Followed Hyperlink" xfId="3581" builtinId="9" hidden="true"/>
    <cellStyle name="Followed Hyperlink" xfId="3583" builtinId="9" hidden="true"/>
    <cellStyle name="Followed Hyperlink" xfId="3585" builtinId="9" hidden="true"/>
    <cellStyle name="Followed Hyperlink" xfId="3587" builtinId="9" hidden="true"/>
    <cellStyle name="Followed Hyperlink" xfId="3589" builtinId="9" hidden="true"/>
    <cellStyle name="Followed Hyperlink" xfId="3591" builtinId="9" hidden="true"/>
    <cellStyle name="Followed Hyperlink" xfId="3593" builtinId="9" hidden="true"/>
    <cellStyle name="Followed Hyperlink" xfId="3595" builtinId="9" hidden="true"/>
    <cellStyle name="Followed Hyperlink" xfId="3597" builtinId="9" hidden="true"/>
    <cellStyle name="Followed Hyperlink" xfId="3599" builtinId="9" hidden="true"/>
    <cellStyle name="Followed Hyperlink" xfId="3601" builtinId="9" hidden="true"/>
    <cellStyle name="Followed Hyperlink" xfId="3603" builtinId="9" hidden="true"/>
    <cellStyle name="Followed Hyperlink" xfId="3605" builtinId="9" hidden="true"/>
    <cellStyle name="Followed Hyperlink" xfId="3607" builtinId="9" hidden="true"/>
    <cellStyle name="Followed Hyperlink" xfId="3609" builtinId="9" hidden="true"/>
    <cellStyle name="Followed Hyperlink" xfId="3611" builtinId="9" hidden="true"/>
    <cellStyle name="Followed Hyperlink" xfId="3613" builtinId="9" hidden="true"/>
    <cellStyle name="Followed Hyperlink" xfId="3615" builtinId="9" hidden="true"/>
    <cellStyle name="Followed Hyperlink" xfId="3617" builtinId="9" hidden="true"/>
    <cellStyle name="Followed Hyperlink" xfId="3619" builtinId="9" hidden="true"/>
    <cellStyle name="Followed Hyperlink" xfId="3621" builtinId="9" hidden="true"/>
    <cellStyle name="Followed Hyperlink" xfId="3623" builtinId="9" hidden="true"/>
    <cellStyle name="Followed Hyperlink" xfId="3625" builtinId="9" hidden="true"/>
    <cellStyle name="Followed Hyperlink" xfId="3627" builtinId="9" hidden="true"/>
    <cellStyle name="Followed Hyperlink" xfId="3629" builtinId="9" hidden="true"/>
    <cellStyle name="Followed Hyperlink" xfId="3631" builtinId="9" hidden="true"/>
    <cellStyle name="Followed Hyperlink" xfId="3633" builtinId="9" hidden="true"/>
    <cellStyle name="Followed Hyperlink" xfId="3635" builtinId="9" hidden="true"/>
    <cellStyle name="Followed Hyperlink" xfId="3637" builtinId="9" hidden="true"/>
    <cellStyle name="Followed Hyperlink" xfId="3639" builtinId="9" hidden="true"/>
    <cellStyle name="Followed Hyperlink" xfId="3641" builtinId="9" hidden="true"/>
    <cellStyle name="Followed Hyperlink" xfId="3643" builtinId="9" hidden="true"/>
    <cellStyle name="Followed Hyperlink" xfId="3645" builtinId="9" hidden="true"/>
    <cellStyle name="Followed Hyperlink" xfId="3647" builtinId="9" hidden="true"/>
    <cellStyle name="Followed Hyperlink" xfId="3649" builtinId="9" hidden="true"/>
    <cellStyle name="Followed Hyperlink" xfId="3651" builtinId="9" hidden="true"/>
    <cellStyle name="Followed Hyperlink" xfId="3653" builtinId="9" hidden="true"/>
    <cellStyle name="Hyperlink" xfId="1" builtinId="8" hidden="true"/>
    <cellStyle name="Hyperlink" xfId="3" builtinId="8" hidden="true"/>
    <cellStyle name="Hyperlink" xfId="5" builtinId="8" hidden="true"/>
    <cellStyle name="Hyperlink" xfId="7" builtinId="8" hidden="true"/>
    <cellStyle name="Hyperlink" xfId="9" builtinId="8" hidden="true"/>
    <cellStyle name="Hyperlink" xfId="11" builtinId="8" hidden="true"/>
    <cellStyle name="Hyperlink" xfId="13" builtinId="8" hidden="true"/>
    <cellStyle name="Hyperlink" xfId="15" builtinId="8" hidden="true"/>
    <cellStyle name="Hyperlink" xfId="17" builtinId="8" hidden="true"/>
    <cellStyle name="Hyperlink" xfId="19" builtinId="8" hidden="true"/>
    <cellStyle name="Hyperlink" xfId="21" builtinId="8" hidden="true"/>
    <cellStyle name="Hyperlink" xfId="23" builtinId="8" hidden="true"/>
    <cellStyle name="Hyperlink" xfId="25" builtinId="8" hidden="true"/>
    <cellStyle name="Hyperlink" xfId="27" builtinId="8" hidden="true"/>
    <cellStyle name="Hyperlink" xfId="29" builtinId="8" hidden="true"/>
    <cellStyle name="Hyperlink" xfId="31" builtinId="8" hidden="true"/>
    <cellStyle name="Hyperlink" xfId="33" builtinId="8" hidden="true"/>
    <cellStyle name="Hyperlink" xfId="35" builtinId="8" hidden="true"/>
    <cellStyle name="Hyperlink" xfId="37" builtinId="8" hidden="true"/>
    <cellStyle name="Hyperlink" xfId="39" builtinId="8" hidden="true"/>
    <cellStyle name="Hyperlink" xfId="41" builtinId="8" hidden="true"/>
    <cellStyle name="Hyperlink" xfId="43" builtinId="8" hidden="true"/>
    <cellStyle name="Hyperlink" xfId="45" builtinId="8" hidden="true"/>
    <cellStyle name="Hyperlink" xfId="47" builtinId="8" hidden="true"/>
    <cellStyle name="Hyperlink" xfId="49" builtinId="8" hidden="true"/>
    <cellStyle name="Hyperlink" xfId="51" builtinId="8" hidden="true"/>
    <cellStyle name="Hyperlink" xfId="53" builtinId="8" hidden="true"/>
    <cellStyle name="Hyperlink" xfId="55" builtinId="8" hidden="true"/>
    <cellStyle name="Hyperlink" xfId="57" builtinId="8" hidden="true"/>
    <cellStyle name="Hyperlink" xfId="59" builtinId="8" hidden="true"/>
    <cellStyle name="Hyperlink" xfId="61" builtinId="8" hidden="true"/>
    <cellStyle name="Hyperlink" xfId="63" builtinId="8" hidden="true"/>
    <cellStyle name="Hyperlink" xfId="65" builtinId="8" hidden="true"/>
    <cellStyle name="Hyperlink" xfId="67" builtinId="8" hidden="true"/>
    <cellStyle name="Hyperlink" xfId="69" builtinId="8" hidden="true"/>
    <cellStyle name="Hyperlink" xfId="71" builtinId="8" hidden="true"/>
    <cellStyle name="Hyperlink" xfId="73" builtinId="8" hidden="true"/>
    <cellStyle name="Hyperlink" xfId="75" builtinId="8" hidden="true"/>
    <cellStyle name="Hyperlink" xfId="77" builtinId="8" hidden="true"/>
    <cellStyle name="Hyperlink" xfId="79" builtinId="8" hidden="true"/>
    <cellStyle name="Hyperlink" xfId="81" builtinId="8" hidden="true"/>
    <cellStyle name="Hyperlink" xfId="83" builtinId="8" hidden="true"/>
    <cellStyle name="Hyperlink" xfId="85" builtinId="8" hidden="true"/>
    <cellStyle name="Hyperlink" xfId="87" builtinId="8" hidden="true"/>
    <cellStyle name="Hyperlink" xfId="89" builtinId="8" hidden="true"/>
    <cellStyle name="Hyperlink" xfId="91" builtinId="8" hidden="true"/>
    <cellStyle name="Hyperlink" xfId="93" builtinId="8" hidden="true"/>
    <cellStyle name="Hyperlink" xfId="95" builtinId="8" hidden="true"/>
    <cellStyle name="Hyperlink" xfId="97" builtinId="8" hidden="true"/>
    <cellStyle name="Hyperlink" xfId="99" builtinId="8" hidden="true"/>
    <cellStyle name="Hyperlink" xfId="101" builtinId="8" hidden="true"/>
    <cellStyle name="Hyperlink" xfId="103" builtinId="8" hidden="true"/>
    <cellStyle name="Hyperlink" xfId="105" builtinId="8" hidden="true"/>
    <cellStyle name="Hyperlink" xfId="107" builtinId="8" hidden="true"/>
    <cellStyle name="Hyperlink" xfId="109" builtinId="8" hidden="true"/>
    <cellStyle name="Hyperlink" xfId="111" builtinId="8" hidden="true"/>
    <cellStyle name="Hyperlink" xfId="113" builtinId="8" hidden="true"/>
    <cellStyle name="Hyperlink" xfId="115" builtinId="8" hidden="true"/>
    <cellStyle name="Hyperlink" xfId="117" builtinId="8" hidden="true"/>
    <cellStyle name="Hyperlink" xfId="119" builtinId="8" hidden="true"/>
    <cellStyle name="Hyperlink" xfId="121" builtinId="8" hidden="true"/>
    <cellStyle name="Hyperlink" xfId="123" builtinId="8" hidden="true"/>
    <cellStyle name="Hyperlink" xfId="125" builtinId="8" hidden="true"/>
    <cellStyle name="Hyperlink" xfId="127" builtinId="8" hidden="true"/>
    <cellStyle name="Hyperlink" xfId="129" builtinId="8" hidden="true"/>
    <cellStyle name="Hyperlink" xfId="131" builtinId="8" hidden="true"/>
    <cellStyle name="Hyperlink" xfId="133" builtinId="8" hidden="true"/>
    <cellStyle name="Hyperlink" xfId="135" builtinId="8" hidden="true"/>
    <cellStyle name="Hyperlink" xfId="137" builtinId="8" hidden="true"/>
    <cellStyle name="Hyperlink" xfId="139" builtinId="8" hidden="true"/>
    <cellStyle name="Hyperlink" xfId="141" builtinId="8" hidden="true"/>
    <cellStyle name="Hyperlink" xfId="143" builtinId="8" hidden="true"/>
    <cellStyle name="Hyperlink" xfId="145" builtinId="8" hidden="true"/>
    <cellStyle name="Hyperlink" xfId="147" builtinId="8" hidden="true"/>
    <cellStyle name="Hyperlink" xfId="149" builtinId="8" hidden="true"/>
    <cellStyle name="Hyperlink" xfId="151" builtinId="8" hidden="true"/>
    <cellStyle name="Hyperlink" xfId="153" builtinId="8" hidden="true"/>
    <cellStyle name="Hyperlink" xfId="155" builtinId="8" hidden="true"/>
    <cellStyle name="Hyperlink" xfId="157" builtinId="8" hidden="true"/>
    <cellStyle name="Hyperlink" xfId="159" builtinId="8" hidden="true"/>
    <cellStyle name="Hyperlink" xfId="161" builtinId="8" hidden="true"/>
    <cellStyle name="Hyperlink" xfId="163" builtinId="8" hidden="true"/>
    <cellStyle name="Hyperlink" xfId="165" builtinId="8" hidden="true"/>
    <cellStyle name="Hyperlink" xfId="167" builtinId="8" hidden="true"/>
    <cellStyle name="Hyperlink" xfId="169" builtinId="8" hidden="true"/>
    <cellStyle name="Hyperlink" xfId="171" builtinId="8" hidden="true"/>
    <cellStyle name="Hyperlink" xfId="173" builtinId="8" hidden="true"/>
    <cellStyle name="Hyperlink" xfId="175" builtinId="8" hidden="true"/>
    <cellStyle name="Hyperlink" xfId="177" builtinId="8" hidden="true"/>
    <cellStyle name="Hyperlink" xfId="179" builtinId="8" hidden="true"/>
    <cellStyle name="Hyperlink" xfId="181" builtinId="8" hidden="true"/>
    <cellStyle name="Hyperlink" xfId="183" builtinId="8" hidden="true"/>
    <cellStyle name="Hyperlink" xfId="185" builtinId="8" hidden="true"/>
    <cellStyle name="Hyperlink" xfId="187" builtinId="8" hidden="true"/>
    <cellStyle name="Hyperlink" xfId="189" builtinId="8" hidden="true"/>
    <cellStyle name="Hyperlink" xfId="191" builtinId="8" hidden="true"/>
    <cellStyle name="Hyperlink" xfId="193" builtinId="8" hidden="true"/>
    <cellStyle name="Hyperlink" xfId="195" builtinId="8" hidden="true"/>
    <cellStyle name="Hyperlink" xfId="197" builtinId="8" hidden="true"/>
    <cellStyle name="Hyperlink" xfId="199" builtinId="8" hidden="true"/>
    <cellStyle name="Hyperlink" xfId="201" builtinId="8" hidden="true"/>
    <cellStyle name="Hyperlink" xfId="203" builtinId="8" hidden="true"/>
    <cellStyle name="Hyperlink" xfId="205" builtinId="8" hidden="true"/>
    <cellStyle name="Hyperlink" xfId="207" builtinId="8" hidden="true"/>
    <cellStyle name="Hyperlink" xfId="209" builtinId="8" hidden="true"/>
    <cellStyle name="Hyperlink" xfId="211" builtinId="8" hidden="true"/>
    <cellStyle name="Hyperlink" xfId="213" builtinId="8" hidden="true"/>
    <cellStyle name="Hyperlink" xfId="215" builtinId="8" hidden="true"/>
    <cellStyle name="Hyperlink" xfId="217" builtinId="8" hidden="true"/>
    <cellStyle name="Hyperlink" xfId="219" builtinId="8" hidden="true"/>
    <cellStyle name="Hyperlink" xfId="221" builtinId="8" hidden="true"/>
    <cellStyle name="Hyperlink" xfId="223" builtinId="8" hidden="true"/>
    <cellStyle name="Hyperlink" xfId="225" builtinId="8" hidden="true"/>
    <cellStyle name="Hyperlink" xfId="227" builtinId="8" hidden="true"/>
    <cellStyle name="Hyperlink" xfId="229" builtinId="8" hidden="true"/>
    <cellStyle name="Hyperlink" xfId="231" builtinId="8" hidden="true"/>
    <cellStyle name="Hyperlink" xfId="233" builtinId="8" hidden="true"/>
    <cellStyle name="Hyperlink" xfId="235" builtinId="8" hidden="true"/>
    <cellStyle name="Hyperlink" xfId="237" builtinId="8" hidden="true"/>
    <cellStyle name="Hyperlink" xfId="239" builtinId="8" hidden="true"/>
    <cellStyle name="Hyperlink" xfId="241" builtinId="8" hidden="true"/>
    <cellStyle name="Hyperlink" xfId="243" builtinId="8" hidden="true"/>
    <cellStyle name="Hyperlink" xfId="245" builtinId="8" hidden="true"/>
    <cellStyle name="Hyperlink" xfId="247" builtinId="8" hidden="true"/>
    <cellStyle name="Hyperlink" xfId="249" builtinId="8" hidden="true"/>
    <cellStyle name="Hyperlink" xfId="251" builtinId="8" hidden="true"/>
    <cellStyle name="Hyperlink" xfId="253" builtinId="8" hidden="true"/>
    <cellStyle name="Hyperlink" xfId="255" builtinId="8" hidden="true"/>
    <cellStyle name="Hyperlink" xfId="257" builtinId="8" hidden="true"/>
    <cellStyle name="Hyperlink" xfId="259" builtinId="8" hidden="true"/>
    <cellStyle name="Hyperlink" xfId="261" builtinId="8" hidden="true"/>
    <cellStyle name="Hyperlink" xfId="263" builtinId="8" hidden="true"/>
    <cellStyle name="Hyperlink" xfId="265" builtinId="8" hidden="true"/>
    <cellStyle name="Hyperlink" xfId="267" builtinId="8" hidden="true"/>
    <cellStyle name="Hyperlink" xfId="269" builtinId="8" hidden="true"/>
    <cellStyle name="Hyperlink" xfId="271" builtinId="8" hidden="true"/>
    <cellStyle name="Hyperlink" xfId="273" builtinId="8" hidden="true"/>
    <cellStyle name="Hyperlink" xfId="275" builtinId="8" hidden="true"/>
    <cellStyle name="Hyperlink" xfId="277" builtinId="8" hidden="true"/>
    <cellStyle name="Hyperlink" xfId="279" builtinId="8" hidden="true"/>
    <cellStyle name="Hyperlink" xfId="281" builtinId="8" hidden="true"/>
    <cellStyle name="Hyperlink" xfId="283" builtinId="8" hidden="true"/>
    <cellStyle name="Hyperlink" xfId="285" builtinId="8" hidden="true"/>
    <cellStyle name="Hyperlink" xfId="287" builtinId="8" hidden="true"/>
    <cellStyle name="Hyperlink" xfId="289" builtinId="8" hidden="true"/>
    <cellStyle name="Hyperlink" xfId="291" builtinId="8" hidden="true"/>
    <cellStyle name="Hyperlink" xfId="293" builtinId="8" hidden="true"/>
    <cellStyle name="Hyperlink" xfId="295" builtinId="8" hidden="true"/>
    <cellStyle name="Hyperlink" xfId="297" builtinId="8" hidden="true"/>
    <cellStyle name="Hyperlink" xfId="299" builtinId="8" hidden="true"/>
    <cellStyle name="Hyperlink" xfId="301" builtinId="8" hidden="true"/>
    <cellStyle name="Hyperlink" xfId="303" builtinId="8" hidden="true"/>
    <cellStyle name="Hyperlink" xfId="305" builtinId="8" hidden="true"/>
    <cellStyle name="Hyperlink" xfId="307" builtinId="8" hidden="true"/>
    <cellStyle name="Hyperlink" xfId="309" builtinId="8" hidden="true"/>
    <cellStyle name="Hyperlink" xfId="311" builtinId="8" hidden="true"/>
    <cellStyle name="Hyperlink" xfId="313" builtinId="8" hidden="true"/>
    <cellStyle name="Hyperlink" xfId="315" builtinId="8" hidden="true"/>
    <cellStyle name="Hyperlink" xfId="317" builtinId="8" hidden="true"/>
    <cellStyle name="Hyperlink" xfId="319" builtinId="8" hidden="true"/>
    <cellStyle name="Hyperlink" xfId="321" builtinId="8" hidden="true"/>
    <cellStyle name="Hyperlink" xfId="323" builtinId="8" hidden="true"/>
    <cellStyle name="Hyperlink" xfId="325" builtinId="8" hidden="true"/>
    <cellStyle name="Hyperlink" xfId="327" builtinId="8" hidden="true"/>
    <cellStyle name="Hyperlink" xfId="329" builtinId="8" hidden="true"/>
    <cellStyle name="Hyperlink" xfId="331" builtinId="8" hidden="true"/>
    <cellStyle name="Hyperlink" xfId="333" builtinId="8" hidden="true"/>
    <cellStyle name="Hyperlink" xfId="335" builtinId="8" hidden="true"/>
    <cellStyle name="Hyperlink" xfId="337" builtinId="8" hidden="true"/>
    <cellStyle name="Hyperlink" xfId="339" builtinId="8" hidden="true"/>
    <cellStyle name="Hyperlink" xfId="341" builtinId="8" hidden="true"/>
    <cellStyle name="Hyperlink" xfId="343" builtinId="8" hidden="true"/>
    <cellStyle name="Hyperlink" xfId="345" builtinId="8" hidden="true"/>
    <cellStyle name="Hyperlink" xfId="347" builtinId="8" hidden="true"/>
    <cellStyle name="Hyperlink" xfId="349" builtinId="8" hidden="true"/>
    <cellStyle name="Hyperlink" xfId="351" builtinId="8" hidden="true"/>
    <cellStyle name="Hyperlink" xfId="353" builtinId="8" hidden="true"/>
    <cellStyle name="Hyperlink" xfId="355" builtinId="8" hidden="true"/>
    <cellStyle name="Hyperlink" xfId="357" builtinId="8" hidden="true"/>
    <cellStyle name="Hyperlink" xfId="359" builtinId="8" hidden="true"/>
    <cellStyle name="Hyperlink" xfId="361" builtinId="8" hidden="true"/>
    <cellStyle name="Hyperlink" xfId="363" builtinId="8" hidden="true"/>
    <cellStyle name="Hyperlink" xfId="365" builtinId="8" hidden="true"/>
    <cellStyle name="Hyperlink" xfId="367" builtinId="8" hidden="true"/>
    <cellStyle name="Hyperlink" xfId="369" builtinId="8" hidden="true"/>
    <cellStyle name="Hyperlink" xfId="371" builtinId="8" hidden="true"/>
    <cellStyle name="Hyperlink" xfId="373" builtinId="8" hidden="true"/>
    <cellStyle name="Hyperlink" xfId="375" builtinId="8" hidden="true"/>
    <cellStyle name="Hyperlink" xfId="377" builtinId="8" hidden="true"/>
    <cellStyle name="Hyperlink" xfId="379" builtinId="8" hidden="true"/>
    <cellStyle name="Hyperlink" xfId="381" builtinId="8" hidden="true"/>
    <cellStyle name="Hyperlink" xfId="383" builtinId="8" hidden="true"/>
    <cellStyle name="Hyperlink" xfId="385" builtinId="8" hidden="true"/>
    <cellStyle name="Hyperlink" xfId="387" builtinId="8" hidden="true"/>
    <cellStyle name="Hyperlink" xfId="389" builtinId="8" hidden="true"/>
    <cellStyle name="Hyperlink" xfId="391" builtinId="8" hidden="true"/>
    <cellStyle name="Hyperlink" xfId="393" builtinId="8" hidden="true"/>
    <cellStyle name="Hyperlink" xfId="395" builtinId="8" hidden="true"/>
    <cellStyle name="Hyperlink" xfId="397" builtinId="8" hidden="true"/>
    <cellStyle name="Hyperlink" xfId="399" builtinId="8" hidden="true"/>
    <cellStyle name="Hyperlink" xfId="401" builtinId="8" hidden="true"/>
    <cellStyle name="Hyperlink" xfId="403" builtinId="8" hidden="true"/>
    <cellStyle name="Hyperlink" xfId="405" builtinId="8" hidden="true"/>
    <cellStyle name="Hyperlink" xfId="407" builtinId="8" hidden="true"/>
    <cellStyle name="Hyperlink" xfId="409" builtinId="8" hidden="true"/>
    <cellStyle name="Hyperlink" xfId="411" builtinId="8" hidden="true"/>
    <cellStyle name="Hyperlink" xfId="413" builtinId="8" hidden="true"/>
    <cellStyle name="Hyperlink" xfId="415" builtinId="8" hidden="true"/>
    <cellStyle name="Hyperlink" xfId="417" builtinId="8" hidden="true"/>
    <cellStyle name="Hyperlink" xfId="419" builtinId="8" hidden="true"/>
    <cellStyle name="Hyperlink" xfId="421" builtinId="8" hidden="true"/>
    <cellStyle name="Hyperlink" xfId="423" builtinId="8" hidden="true"/>
    <cellStyle name="Hyperlink" xfId="425" builtinId="8" hidden="true"/>
    <cellStyle name="Hyperlink" xfId="427" builtinId="8" hidden="true"/>
    <cellStyle name="Hyperlink" xfId="429" builtinId="8" hidden="true"/>
    <cellStyle name="Hyperlink" xfId="431" builtinId="8" hidden="true"/>
    <cellStyle name="Hyperlink" xfId="433" builtinId="8" hidden="true"/>
    <cellStyle name="Hyperlink" xfId="435" builtinId="8" hidden="true"/>
    <cellStyle name="Hyperlink" xfId="437" builtinId="8" hidden="true"/>
    <cellStyle name="Hyperlink" xfId="439" builtinId="8" hidden="true"/>
    <cellStyle name="Hyperlink" xfId="441" builtinId="8" hidden="true"/>
    <cellStyle name="Hyperlink" xfId="443" builtinId="8" hidden="true"/>
    <cellStyle name="Hyperlink" xfId="445" builtinId="8" hidden="true"/>
    <cellStyle name="Hyperlink" xfId="447" builtinId="8" hidden="true"/>
    <cellStyle name="Hyperlink" xfId="449" builtinId="8" hidden="true"/>
    <cellStyle name="Hyperlink" xfId="451" builtinId="8" hidden="true"/>
    <cellStyle name="Hyperlink" xfId="453" builtinId="8" hidden="true"/>
    <cellStyle name="Hyperlink" xfId="455" builtinId="8" hidden="true"/>
    <cellStyle name="Hyperlink" xfId="457" builtinId="8" hidden="true"/>
    <cellStyle name="Hyperlink" xfId="459" builtinId="8" hidden="true"/>
    <cellStyle name="Hyperlink" xfId="461" builtinId="8" hidden="true"/>
    <cellStyle name="Hyperlink" xfId="463" builtinId="8" hidden="true"/>
    <cellStyle name="Hyperlink" xfId="465" builtinId="8" hidden="true"/>
    <cellStyle name="Hyperlink" xfId="467" builtinId="8" hidden="true"/>
    <cellStyle name="Hyperlink" xfId="469" builtinId="8" hidden="true"/>
    <cellStyle name="Hyperlink" xfId="471" builtinId="8" hidden="true"/>
    <cellStyle name="Hyperlink" xfId="473" builtinId="8" hidden="true"/>
    <cellStyle name="Hyperlink" xfId="475" builtinId="8" hidden="true"/>
    <cellStyle name="Hyperlink" xfId="477" builtinId="8" hidden="true"/>
    <cellStyle name="Hyperlink" xfId="479" builtinId="8" hidden="true"/>
    <cellStyle name="Hyperlink" xfId="481" builtinId="8" hidden="true"/>
    <cellStyle name="Hyperlink" xfId="483" builtinId="8" hidden="true"/>
    <cellStyle name="Hyperlink" xfId="485" builtinId="8" hidden="true"/>
    <cellStyle name="Hyperlink" xfId="487" builtinId="8" hidden="true"/>
    <cellStyle name="Hyperlink" xfId="489" builtinId="8" hidden="true"/>
    <cellStyle name="Hyperlink" xfId="491" builtinId="8" hidden="true"/>
    <cellStyle name="Hyperlink" xfId="493" builtinId="8" hidden="true"/>
    <cellStyle name="Hyperlink" xfId="495" builtinId="8" hidden="true"/>
    <cellStyle name="Hyperlink" xfId="497" builtinId="8" hidden="true"/>
    <cellStyle name="Hyperlink" xfId="499" builtinId="8" hidden="true"/>
    <cellStyle name="Hyperlink" xfId="501" builtinId="8" hidden="true"/>
    <cellStyle name="Hyperlink" xfId="503" builtinId="8" hidden="true"/>
    <cellStyle name="Hyperlink" xfId="505" builtinId="8" hidden="true"/>
    <cellStyle name="Hyperlink" xfId="507" builtinId="8" hidden="true"/>
    <cellStyle name="Hyperlink" xfId="509" builtinId="8" hidden="true"/>
    <cellStyle name="Hyperlink" xfId="511" builtinId="8" hidden="true"/>
    <cellStyle name="Hyperlink" xfId="513" builtinId="8" hidden="true"/>
    <cellStyle name="Hyperlink" xfId="515" builtinId="8" hidden="true"/>
    <cellStyle name="Hyperlink" xfId="517" builtinId="8" hidden="true"/>
    <cellStyle name="Hyperlink" xfId="519" builtinId="8" hidden="true"/>
    <cellStyle name="Hyperlink" xfId="521" builtinId="8" hidden="true"/>
    <cellStyle name="Hyperlink" xfId="523" builtinId="8" hidden="true"/>
    <cellStyle name="Hyperlink" xfId="525" builtinId="8" hidden="true"/>
    <cellStyle name="Hyperlink" xfId="527" builtinId="8" hidden="true"/>
    <cellStyle name="Hyperlink" xfId="529" builtinId="8" hidden="true"/>
    <cellStyle name="Hyperlink" xfId="531" builtinId="8" hidden="true"/>
    <cellStyle name="Hyperlink" xfId="533" builtinId="8" hidden="true"/>
    <cellStyle name="Hyperlink" xfId="535" builtinId="8" hidden="true"/>
    <cellStyle name="Hyperlink" xfId="537" builtinId="8" hidden="true"/>
    <cellStyle name="Hyperlink" xfId="539" builtinId="8" hidden="true"/>
    <cellStyle name="Hyperlink" xfId="541" builtinId="8" hidden="true"/>
    <cellStyle name="Hyperlink" xfId="543" builtinId="8" hidden="true"/>
    <cellStyle name="Hyperlink" xfId="545" builtinId="8" hidden="true"/>
    <cellStyle name="Hyperlink" xfId="547" builtinId="8" hidden="true"/>
    <cellStyle name="Hyperlink" xfId="549" builtinId="8" hidden="true"/>
    <cellStyle name="Hyperlink" xfId="551" builtinId="8" hidden="true"/>
    <cellStyle name="Hyperlink" xfId="553" builtinId="8" hidden="true"/>
    <cellStyle name="Hyperlink" xfId="555" builtinId="8" hidden="true"/>
    <cellStyle name="Hyperlink" xfId="557" builtinId="8" hidden="true"/>
    <cellStyle name="Hyperlink" xfId="559" builtinId="8" hidden="true"/>
    <cellStyle name="Hyperlink" xfId="561" builtinId="8" hidden="true"/>
    <cellStyle name="Hyperlink" xfId="563" builtinId="8" hidden="true"/>
    <cellStyle name="Hyperlink" xfId="565" builtinId="8" hidden="true"/>
    <cellStyle name="Hyperlink" xfId="567" builtinId="8" hidden="true"/>
    <cellStyle name="Hyperlink" xfId="569" builtinId="8" hidden="true"/>
    <cellStyle name="Hyperlink" xfId="571" builtinId="8" hidden="true"/>
    <cellStyle name="Hyperlink" xfId="573" builtinId="8" hidden="true"/>
    <cellStyle name="Hyperlink" xfId="575" builtinId="8" hidden="true"/>
    <cellStyle name="Hyperlink" xfId="577" builtinId="8" hidden="true"/>
    <cellStyle name="Hyperlink" xfId="579" builtinId="8" hidden="true"/>
    <cellStyle name="Hyperlink" xfId="581" builtinId="8" hidden="true"/>
    <cellStyle name="Hyperlink" xfId="583" builtinId="8" hidden="true"/>
    <cellStyle name="Hyperlink" xfId="585" builtinId="8" hidden="true"/>
    <cellStyle name="Hyperlink" xfId="587" builtinId="8" hidden="true"/>
    <cellStyle name="Hyperlink" xfId="589" builtinId="8" hidden="true"/>
    <cellStyle name="Hyperlink" xfId="591" builtinId="8" hidden="true"/>
    <cellStyle name="Hyperlink" xfId="593" builtinId="8" hidden="true"/>
    <cellStyle name="Hyperlink" xfId="595" builtinId="8" hidden="true"/>
    <cellStyle name="Hyperlink" xfId="597" builtinId="8" hidden="true"/>
    <cellStyle name="Hyperlink" xfId="599" builtinId="8" hidden="true"/>
    <cellStyle name="Hyperlink" xfId="601" builtinId="8" hidden="true"/>
    <cellStyle name="Hyperlink" xfId="603" builtinId="8" hidden="true"/>
    <cellStyle name="Hyperlink" xfId="605" builtinId="8" hidden="true"/>
    <cellStyle name="Hyperlink" xfId="607" builtinId="8" hidden="true"/>
    <cellStyle name="Hyperlink" xfId="609" builtinId="8" hidden="true"/>
    <cellStyle name="Hyperlink" xfId="611" builtinId="8" hidden="true"/>
    <cellStyle name="Hyperlink" xfId="613" builtinId="8" hidden="true"/>
    <cellStyle name="Hyperlink" xfId="615" builtinId="8" hidden="true"/>
    <cellStyle name="Hyperlink" xfId="617" builtinId="8" hidden="true"/>
    <cellStyle name="Hyperlink" xfId="619" builtinId="8" hidden="true"/>
    <cellStyle name="Hyperlink" xfId="621" builtinId="8" hidden="true"/>
    <cellStyle name="Hyperlink" xfId="623" builtinId="8" hidden="true"/>
    <cellStyle name="Hyperlink" xfId="625" builtinId="8" hidden="true"/>
    <cellStyle name="Hyperlink" xfId="627" builtinId="8" hidden="true"/>
    <cellStyle name="Hyperlink" xfId="629" builtinId="8" hidden="true"/>
    <cellStyle name="Hyperlink" xfId="631" builtinId="8" hidden="true"/>
    <cellStyle name="Hyperlink" xfId="633" builtinId="8" hidden="true"/>
    <cellStyle name="Hyperlink" xfId="635" builtinId="8" hidden="true"/>
    <cellStyle name="Hyperlink" xfId="637" builtinId="8" hidden="true"/>
    <cellStyle name="Hyperlink" xfId="639" builtinId="8" hidden="true"/>
    <cellStyle name="Hyperlink" xfId="641" builtinId="8" hidden="true"/>
    <cellStyle name="Hyperlink" xfId="643" builtinId="8" hidden="true"/>
    <cellStyle name="Hyperlink" xfId="645" builtinId="8" hidden="true"/>
    <cellStyle name="Hyperlink" xfId="647" builtinId="8" hidden="true"/>
    <cellStyle name="Hyperlink" xfId="649" builtinId="8" hidden="true"/>
    <cellStyle name="Hyperlink" xfId="651" builtinId="8" hidden="true"/>
    <cellStyle name="Hyperlink" xfId="653" builtinId="8" hidden="true"/>
    <cellStyle name="Hyperlink" xfId="655" builtinId="8" hidden="true"/>
    <cellStyle name="Hyperlink" xfId="657" builtinId="8" hidden="true"/>
    <cellStyle name="Hyperlink" xfId="659" builtinId="8" hidden="true"/>
    <cellStyle name="Hyperlink" xfId="661" builtinId="8" hidden="true"/>
    <cellStyle name="Hyperlink" xfId="663" builtinId="8" hidden="true"/>
    <cellStyle name="Hyperlink" xfId="665" builtinId="8" hidden="true"/>
    <cellStyle name="Hyperlink" xfId="667" builtinId="8" hidden="true"/>
    <cellStyle name="Hyperlink" xfId="669" builtinId="8" hidden="true"/>
    <cellStyle name="Hyperlink" xfId="671" builtinId="8" hidden="true"/>
    <cellStyle name="Hyperlink" xfId="673" builtinId="8" hidden="true"/>
    <cellStyle name="Hyperlink" xfId="675" builtinId="8" hidden="true"/>
    <cellStyle name="Hyperlink" xfId="677" builtinId="8" hidden="true"/>
    <cellStyle name="Hyperlink" xfId="679" builtinId="8" hidden="true"/>
    <cellStyle name="Hyperlink" xfId="681" builtinId="8" hidden="true"/>
    <cellStyle name="Hyperlink" xfId="683" builtinId="8" hidden="true"/>
    <cellStyle name="Hyperlink" xfId="685" builtinId="8" hidden="true"/>
    <cellStyle name="Hyperlink" xfId="687" builtinId="8" hidden="true"/>
    <cellStyle name="Hyperlink" xfId="689" builtinId="8" hidden="true"/>
    <cellStyle name="Hyperlink" xfId="691" builtinId="8" hidden="true"/>
    <cellStyle name="Hyperlink" xfId="693" builtinId="8" hidden="true"/>
    <cellStyle name="Hyperlink" xfId="695" builtinId="8" hidden="true"/>
    <cellStyle name="Hyperlink" xfId="697" builtinId="8" hidden="true"/>
    <cellStyle name="Hyperlink" xfId="699" builtinId="8" hidden="true"/>
    <cellStyle name="Hyperlink" xfId="701" builtinId="8" hidden="true"/>
    <cellStyle name="Hyperlink" xfId="703" builtinId="8" hidden="true"/>
    <cellStyle name="Hyperlink" xfId="705" builtinId="8" hidden="true"/>
    <cellStyle name="Hyperlink" xfId="707" builtinId="8" hidden="true"/>
    <cellStyle name="Hyperlink" xfId="709" builtinId="8" hidden="true"/>
    <cellStyle name="Hyperlink" xfId="711" builtinId="8" hidden="true"/>
    <cellStyle name="Hyperlink" xfId="713" builtinId="8" hidden="true"/>
    <cellStyle name="Hyperlink" xfId="715" builtinId="8" hidden="true"/>
    <cellStyle name="Hyperlink" xfId="717" builtinId="8" hidden="true"/>
    <cellStyle name="Hyperlink" xfId="719" builtinId="8" hidden="true"/>
    <cellStyle name="Hyperlink" xfId="721" builtinId="8" hidden="true"/>
    <cellStyle name="Hyperlink" xfId="723" builtinId="8" hidden="true"/>
    <cellStyle name="Hyperlink" xfId="725" builtinId="8" hidden="true"/>
    <cellStyle name="Hyperlink" xfId="727" builtinId="8" hidden="true"/>
    <cellStyle name="Hyperlink" xfId="729" builtinId="8" hidden="true"/>
    <cellStyle name="Hyperlink" xfId="731" builtinId="8" hidden="true"/>
    <cellStyle name="Hyperlink" xfId="733" builtinId="8" hidden="true"/>
    <cellStyle name="Hyperlink" xfId="735" builtinId="8" hidden="true"/>
    <cellStyle name="Hyperlink" xfId="737" builtinId="8" hidden="true"/>
    <cellStyle name="Hyperlink" xfId="739" builtinId="8" hidden="true"/>
    <cellStyle name="Hyperlink" xfId="741" builtinId="8" hidden="true"/>
    <cellStyle name="Hyperlink" xfId="743" builtinId="8" hidden="true"/>
    <cellStyle name="Hyperlink" xfId="745" builtinId="8" hidden="true"/>
    <cellStyle name="Hyperlink" xfId="747" builtinId="8" hidden="true"/>
    <cellStyle name="Hyperlink" xfId="749" builtinId="8" hidden="true"/>
    <cellStyle name="Hyperlink" xfId="751" builtinId="8" hidden="true"/>
    <cellStyle name="Hyperlink" xfId="753" builtinId="8" hidden="true"/>
    <cellStyle name="Hyperlink" xfId="755" builtinId="8" hidden="true"/>
    <cellStyle name="Hyperlink" xfId="757" builtinId="8" hidden="true"/>
    <cellStyle name="Hyperlink" xfId="759" builtinId="8" hidden="true"/>
    <cellStyle name="Hyperlink" xfId="761" builtinId="8" hidden="true"/>
    <cellStyle name="Hyperlink" xfId="763" builtinId="8" hidden="true"/>
    <cellStyle name="Hyperlink" xfId="765" builtinId="8" hidden="true"/>
    <cellStyle name="Hyperlink" xfId="767" builtinId="8" hidden="true"/>
    <cellStyle name="Hyperlink" xfId="769" builtinId="8" hidden="true"/>
    <cellStyle name="Hyperlink" xfId="771" builtinId="8" hidden="true"/>
    <cellStyle name="Hyperlink" xfId="773" builtinId="8" hidden="true"/>
    <cellStyle name="Hyperlink" xfId="775" builtinId="8" hidden="true"/>
    <cellStyle name="Hyperlink" xfId="777" builtinId="8" hidden="true"/>
    <cellStyle name="Hyperlink" xfId="779" builtinId="8" hidden="true"/>
    <cellStyle name="Hyperlink" xfId="781" builtinId="8" hidden="true"/>
    <cellStyle name="Hyperlink" xfId="783" builtinId="8" hidden="true"/>
    <cellStyle name="Hyperlink" xfId="785" builtinId="8" hidden="true"/>
    <cellStyle name="Hyperlink" xfId="787" builtinId="8" hidden="true"/>
    <cellStyle name="Hyperlink" xfId="789" builtinId="8" hidden="true"/>
    <cellStyle name="Hyperlink" xfId="791" builtinId="8" hidden="true"/>
    <cellStyle name="Hyperlink" xfId="793" builtinId="8" hidden="true"/>
    <cellStyle name="Hyperlink" xfId="795" builtinId="8" hidden="true"/>
    <cellStyle name="Hyperlink" xfId="797" builtinId="8" hidden="true"/>
    <cellStyle name="Hyperlink" xfId="799" builtinId="8" hidden="true"/>
    <cellStyle name="Hyperlink" xfId="801" builtinId="8" hidden="true"/>
    <cellStyle name="Hyperlink" xfId="803" builtinId="8" hidden="true"/>
    <cellStyle name="Hyperlink" xfId="805" builtinId="8" hidden="true"/>
    <cellStyle name="Hyperlink" xfId="807" builtinId="8" hidden="true"/>
    <cellStyle name="Hyperlink" xfId="809" builtinId="8" hidden="true"/>
    <cellStyle name="Hyperlink" xfId="811" builtinId="8" hidden="true"/>
    <cellStyle name="Hyperlink" xfId="813" builtinId="8" hidden="true"/>
    <cellStyle name="Hyperlink" xfId="815" builtinId="8" hidden="true"/>
    <cellStyle name="Hyperlink" xfId="817" builtinId="8" hidden="true"/>
    <cellStyle name="Hyperlink" xfId="819" builtinId="8" hidden="true"/>
    <cellStyle name="Hyperlink" xfId="821" builtinId="8" hidden="true"/>
    <cellStyle name="Hyperlink" xfId="823" builtinId="8" hidden="true"/>
    <cellStyle name="Hyperlink" xfId="825" builtinId="8" hidden="true"/>
    <cellStyle name="Hyperlink" xfId="827" builtinId="8" hidden="true"/>
    <cellStyle name="Hyperlink" xfId="829" builtinId="8" hidden="true"/>
    <cellStyle name="Hyperlink" xfId="831" builtinId="8" hidden="true"/>
    <cellStyle name="Hyperlink" xfId="833" builtinId="8" hidden="true"/>
    <cellStyle name="Hyperlink" xfId="835" builtinId="8" hidden="true"/>
    <cellStyle name="Hyperlink" xfId="837" builtinId="8" hidden="true"/>
    <cellStyle name="Hyperlink" xfId="839" builtinId="8" hidden="true"/>
    <cellStyle name="Hyperlink" xfId="841" builtinId="8" hidden="true"/>
    <cellStyle name="Hyperlink" xfId="843" builtinId="8" hidden="true"/>
    <cellStyle name="Hyperlink" xfId="845" builtinId="8" hidden="true"/>
    <cellStyle name="Hyperlink" xfId="847" builtinId="8" hidden="true"/>
    <cellStyle name="Hyperlink" xfId="849" builtinId="8" hidden="true"/>
    <cellStyle name="Hyperlink" xfId="851" builtinId="8" hidden="true"/>
    <cellStyle name="Hyperlink" xfId="853" builtinId="8" hidden="true"/>
    <cellStyle name="Hyperlink" xfId="855" builtinId="8" hidden="true"/>
    <cellStyle name="Hyperlink" xfId="857" builtinId="8" hidden="true"/>
    <cellStyle name="Hyperlink" xfId="859" builtinId="8" hidden="true"/>
    <cellStyle name="Hyperlink" xfId="861" builtinId="8" hidden="true"/>
    <cellStyle name="Hyperlink" xfId="863" builtinId="8" hidden="true"/>
    <cellStyle name="Hyperlink" xfId="865" builtinId="8" hidden="true"/>
    <cellStyle name="Hyperlink" xfId="867" builtinId="8" hidden="true"/>
    <cellStyle name="Hyperlink" xfId="869" builtinId="8" hidden="true"/>
    <cellStyle name="Hyperlink" xfId="871" builtinId="8" hidden="true"/>
    <cellStyle name="Hyperlink" xfId="873" builtinId="8" hidden="true"/>
    <cellStyle name="Hyperlink" xfId="875" builtinId="8" hidden="true"/>
    <cellStyle name="Hyperlink" xfId="877" builtinId="8" hidden="true"/>
    <cellStyle name="Hyperlink" xfId="879" builtinId="8" hidden="true"/>
    <cellStyle name="Hyperlink" xfId="881" builtinId="8" hidden="true"/>
    <cellStyle name="Hyperlink" xfId="883" builtinId="8" hidden="true"/>
    <cellStyle name="Hyperlink" xfId="885" builtinId="8" hidden="true"/>
    <cellStyle name="Hyperlink" xfId="887" builtinId="8" hidden="true"/>
    <cellStyle name="Hyperlink" xfId="889" builtinId="8" hidden="true"/>
    <cellStyle name="Hyperlink" xfId="891" builtinId="8" hidden="true"/>
    <cellStyle name="Hyperlink" xfId="893" builtinId="8" hidden="true"/>
    <cellStyle name="Hyperlink" xfId="895" builtinId="8" hidden="true"/>
    <cellStyle name="Hyperlink" xfId="897" builtinId="8" hidden="true"/>
    <cellStyle name="Hyperlink" xfId="899" builtinId="8" hidden="true"/>
    <cellStyle name="Hyperlink" xfId="901" builtinId="8" hidden="true"/>
    <cellStyle name="Hyperlink" xfId="903" builtinId="8" hidden="true"/>
    <cellStyle name="Hyperlink" xfId="905" builtinId="8" hidden="true"/>
    <cellStyle name="Hyperlink" xfId="907" builtinId="8" hidden="true"/>
    <cellStyle name="Hyperlink" xfId="909" builtinId="8" hidden="true"/>
    <cellStyle name="Hyperlink" xfId="911" builtinId="8" hidden="true"/>
    <cellStyle name="Hyperlink" xfId="913" builtinId="8" hidden="true"/>
    <cellStyle name="Hyperlink" xfId="915" builtinId="8" hidden="true"/>
    <cellStyle name="Hyperlink" xfId="917" builtinId="8" hidden="true"/>
    <cellStyle name="Hyperlink" xfId="919" builtinId="8" hidden="true"/>
    <cellStyle name="Hyperlink" xfId="921" builtinId="8" hidden="true"/>
    <cellStyle name="Hyperlink" xfId="923" builtinId="8" hidden="true"/>
    <cellStyle name="Hyperlink" xfId="925" builtinId="8" hidden="true"/>
    <cellStyle name="Hyperlink" xfId="927" builtinId="8" hidden="true"/>
    <cellStyle name="Hyperlink" xfId="929" builtinId="8" hidden="true"/>
    <cellStyle name="Hyperlink" xfId="931" builtinId="8" hidden="true"/>
    <cellStyle name="Hyperlink" xfId="933" builtinId="8" hidden="true"/>
    <cellStyle name="Hyperlink" xfId="935" builtinId="8" hidden="true"/>
    <cellStyle name="Hyperlink" xfId="937" builtinId="8" hidden="true"/>
    <cellStyle name="Hyperlink" xfId="939" builtinId="8" hidden="true"/>
    <cellStyle name="Hyperlink" xfId="941" builtinId="8" hidden="true"/>
    <cellStyle name="Hyperlink" xfId="943" builtinId="8" hidden="true"/>
    <cellStyle name="Hyperlink" xfId="945" builtinId="8" hidden="true"/>
    <cellStyle name="Hyperlink" xfId="947" builtinId="8" hidden="true"/>
    <cellStyle name="Hyperlink" xfId="949" builtinId="8" hidden="true"/>
    <cellStyle name="Hyperlink" xfId="951" builtinId="8" hidden="true"/>
    <cellStyle name="Hyperlink" xfId="953" builtinId="8" hidden="true"/>
    <cellStyle name="Hyperlink" xfId="955" builtinId="8" hidden="true"/>
    <cellStyle name="Hyperlink" xfId="957" builtinId="8" hidden="true"/>
    <cellStyle name="Hyperlink" xfId="959" builtinId="8" hidden="true"/>
    <cellStyle name="Hyperlink" xfId="961" builtinId="8" hidden="true"/>
    <cellStyle name="Hyperlink" xfId="963" builtinId="8" hidden="true"/>
    <cellStyle name="Hyperlink" xfId="965" builtinId="8" hidden="true"/>
    <cellStyle name="Hyperlink" xfId="967" builtinId="8" hidden="true"/>
    <cellStyle name="Hyperlink" xfId="969" builtinId="8" hidden="true"/>
    <cellStyle name="Hyperlink" xfId="972" builtinId="8" hidden="true"/>
    <cellStyle name="Hyperlink" xfId="974" builtinId="8" hidden="true"/>
    <cellStyle name="Hyperlink" xfId="976" builtinId="8" hidden="true"/>
    <cellStyle name="Hyperlink" xfId="978" builtinId="8" hidden="true"/>
    <cellStyle name="Hyperlink" xfId="980" builtinId="8" hidden="true"/>
    <cellStyle name="Hyperlink" xfId="982" builtinId="8" hidden="true"/>
    <cellStyle name="Hyperlink" xfId="984" builtinId="8" hidden="true"/>
    <cellStyle name="Hyperlink" xfId="986" builtinId="8" hidden="true"/>
    <cellStyle name="Hyperlink" xfId="988" builtinId="8" hidden="true"/>
    <cellStyle name="Hyperlink" xfId="990" builtinId="8" hidden="true"/>
    <cellStyle name="Hyperlink" xfId="992" builtinId="8" hidden="true"/>
    <cellStyle name="Hyperlink" xfId="994" builtinId="8" hidden="true"/>
    <cellStyle name="Hyperlink" xfId="996" builtinId="8" hidden="true"/>
    <cellStyle name="Hyperlink" xfId="998" builtinId="8" hidden="true"/>
    <cellStyle name="Hyperlink" xfId="1000" builtinId="8" hidden="true"/>
    <cellStyle name="Hyperlink" xfId="1002" builtinId="8" hidden="true"/>
    <cellStyle name="Hyperlink" xfId="1004" builtinId="8" hidden="true"/>
    <cellStyle name="Hyperlink" xfId="1006" builtinId="8" hidden="true"/>
    <cellStyle name="Hyperlink" xfId="1008" builtinId="8" hidden="true"/>
    <cellStyle name="Hyperlink" xfId="1010" builtinId="8" hidden="true"/>
    <cellStyle name="Hyperlink" xfId="1012" builtinId="8" hidden="true"/>
    <cellStyle name="Hyperlink" xfId="1014" builtinId="8" hidden="true"/>
    <cellStyle name="Hyperlink" xfId="1016" builtinId="8" hidden="true"/>
    <cellStyle name="Hyperlink" xfId="1018" builtinId="8" hidden="true"/>
    <cellStyle name="Hyperlink" xfId="1020" builtinId="8" hidden="true"/>
    <cellStyle name="Hyperlink" xfId="1022" builtinId="8" hidden="true"/>
    <cellStyle name="Hyperlink" xfId="1024" builtinId="8" hidden="true"/>
    <cellStyle name="Hyperlink" xfId="1026" builtinId="8" hidden="true"/>
    <cellStyle name="Hyperlink" xfId="1028" builtinId="8" hidden="true"/>
    <cellStyle name="Hyperlink" xfId="1030" builtinId="8" hidden="true"/>
    <cellStyle name="Hyperlink" xfId="1032" builtinId="8" hidden="true"/>
    <cellStyle name="Hyperlink" xfId="1034" builtinId="8" hidden="true"/>
    <cellStyle name="Hyperlink" xfId="1036" builtinId="8" hidden="true"/>
    <cellStyle name="Hyperlink" xfId="1038" builtinId="8" hidden="true"/>
    <cellStyle name="Hyperlink" xfId="1040" builtinId="8" hidden="true"/>
    <cellStyle name="Hyperlink" xfId="1042" builtinId="8" hidden="true"/>
    <cellStyle name="Hyperlink" xfId="1044" builtinId="8" hidden="true"/>
    <cellStyle name="Hyperlink" xfId="1046" builtinId="8" hidden="true"/>
    <cellStyle name="Hyperlink" xfId="1048" builtinId="8" hidden="true"/>
    <cellStyle name="Hyperlink" xfId="1050" builtinId="8" hidden="true"/>
    <cellStyle name="Hyperlink" xfId="1052" builtinId="8" hidden="true"/>
    <cellStyle name="Hyperlink" xfId="1054" builtinId="8" hidden="true"/>
    <cellStyle name="Hyperlink" xfId="1056" builtinId="8" hidden="true"/>
    <cellStyle name="Hyperlink" xfId="1058" builtinId="8" hidden="true"/>
    <cellStyle name="Hyperlink" xfId="1060" builtinId="8" hidden="true"/>
    <cellStyle name="Hyperlink" xfId="1062" builtinId="8" hidden="true"/>
    <cellStyle name="Hyperlink" xfId="1064" builtinId="8" hidden="true"/>
    <cellStyle name="Hyperlink" xfId="1066" builtinId="8" hidden="true"/>
    <cellStyle name="Hyperlink" xfId="1068" builtinId="8" hidden="true"/>
    <cellStyle name="Hyperlink" xfId="1070" builtinId="8" hidden="true"/>
    <cellStyle name="Hyperlink" xfId="1072" builtinId="8" hidden="true"/>
    <cellStyle name="Hyperlink" xfId="1074" builtinId="8" hidden="true"/>
    <cellStyle name="Hyperlink" xfId="1076" builtinId="8" hidden="true"/>
    <cellStyle name="Hyperlink" xfId="1078" builtinId="8" hidden="true"/>
    <cellStyle name="Hyperlink" xfId="1080" builtinId="8" hidden="true"/>
    <cellStyle name="Hyperlink" xfId="1082" builtinId="8" hidden="true"/>
    <cellStyle name="Hyperlink" xfId="1084" builtinId="8" hidden="true"/>
    <cellStyle name="Hyperlink" xfId="1086" builtinId="8" hidden="true"/>
    <cellStyle name="Hyperlink" xfId="1088" builtinId="8" hidden="true"/>
    <cellStyle name="Hyperlink" xfId="1090" builtinId="8" hidden="true"/>
    <cellStyle name="Hyperlink" xfId="1092" builtinId="8" hidden="true"/>
    <cellStyle name="Hyperlink" xfId="1094" builtinId="8" hidden="true"/>
    <cellStyle name="Hyperlink" xfId="1096" builtinId="8" hidden="true"/>
    <cellStyle name="Hyperlink" xfId="1098" builtinId="8" hidden="true"/>
    <cellStyle name="Hyperlink" xfId="1100" builtinId="8" hidden="true"/>
    <cellStyle name="Hyperlink" xfId="1102" builtinId="8" hidden="true"/>
    <cellStyle name="Hyperlink" xfId="1104" builtinId="8" hidden="true"/>
    <cellStyle name="Hyperlink" xfId="1106" builtinId="8" hidden="true"/>
    <cellStyle name="Hyperlink" xfId="1108" builtinId="8" hidden="true"/>
    <cellStyle name="Hyperlink" xfId="1110" builtinId="8" hidden="true"/>
    <cellStyle name="Hyperlink" xfId="1112" builtinId="8" hidden="true"/>
    <cellStyle name="Hyperlink" xfId="1114" builtinId="8" hidden="true"/>
    <cellStyle name="Hyperlink" xfId="1116" builtinId="8" hidden="true"/>
    <cellStyle name="Hyperlink" xfId="1118" builtinId="8" hidden="true"/>
    <cellStyle name="Hyperlink" xfId="1120" builtinId="8" hidden="true"/>
    <cellStyle name="Hyperlink" xfId="1122" builtinId="8" hidden="true"/>
    <cellStyle name="Hyperlink" xfId="1124" builtinId="8" hidden="true"/>
    <cellStyle name="Hyperlink" xfId="1126" builtinId="8" hidden="true"/>
    <cellStyle name="Hyperlink" xfId="1128" builtinId="8" hidden="true"/>
    <cellStyle name="Hyperlink" xfId="1130" builtinId="8" hidden="true"/>
    <cellStyle name="Hyperlink" xfId="1132" builtinId="8" hidden="true"/>
    <cellStyle name="Hyperlink" xfId="1134" builtinId="8" hidden="true"/>
    <cellStyle name="Hyperlink" xfId="1136" builtinId="8" hidden="true"/>
    <cellStyle name="Hyperlink" xfId="1138" builtinId="8" hidden="true"/>
    <cellStyle name="Hyperlink" xfId="1140" builtinId="8" hidden="true"/>
    <cellStyle name="Hyperlink" xfId="1142" builtinId="8" hidden="true"/>
    <cellStyle name="Hyperlink" xfId="1144" builtinId="8" hidden="true"/>
    <cellStyle name="Hyperlink" xfId="1146" builtinId="8" hidden="true"/>
    <cellStyle name="Hyperlink" xfId="1148" builtinId="8" hidden="true"/>
    <cellStyle name="Hyperlink" xfId="1150" builtinId="8" hidden="true"/>
    <cellStyle name="Hyperlink" xfId="1152" builtinId="8" hidden="true"/>
    <cellStyle name="Hyperlink" xfId="1154" builtinId="8" hidden="true"/>
    <cellStyle name="Hyperlink" xfId="1156" builtinId="8" hidden="true"/>
    <cellStyle name="Hyperlink" xfId="1158" builtinId="8" hidden="true"/>
    <cellStyle name="Hyperlink" xfId="1160" builtinId="8" hidden="true"/>
    <cellStyle name="Hyperlink" xfId="1162" builtinId="8" hidden="true"/>
    <cellStyle name="Hyperlink" xfId="1164" builtinId="8" hidden="true"/>
    <cellStyle name="Hyperlink" xfId="1166" builtinId="8" hidden="true"/>
    <cellStyle name="Hyperlink" xfId="1168" builtinId="8" hidden="true"/>
    <cellStyle name="Hyperlink" xfId="1170" builtinId="8" hidden="true"/>
    <cellStyle name="Hyperlink" xfId="1172" builtinId="8" hidden="true"/>
    <cellStyle name="Hyperlink" xfId="1174" builtinId="8" hidden="true"/>
    <cellStyle name="Hyperlink" xfId="1176" builtinId="8" hidden="true"/>
    <cellStyle name="Hyperlink" xfId="1178" builtinId="8" hidden="true"/>
    <cellStyle name="Hyperlink" xfId="1180" builtinId="8" hidden="true"/>
    <cellStyle name="Hyperlink" xfId="1182" builtinId="8" hidden="true"/>
    <cellStyle name="Hyperlink" xfId="1184" builtinId="8" hidden="true"/>
    <cellStyle name="Hyperlink" xfId="1186" builtinId="8" hidden="true"/>
    <cellStyle name="Hyperlink" xfId="1188" builtinId="8" hidden="true"/>
    <cellStyle name="Hyperlink" xfId="1190" builtinId="8" hidden="true"/>
    <cellStyle name="Hyperlink" xfId="1192" builtinId="8" hidden="true"/>
    <cellStyle name="Hyperlink" xfId="1194" builtinId="8" hidden="true"/>
    <cellStyle name="Hyperlink" xfId="1196" builtinId="8" hidden="true"/>
    <cellStyle name="Hyperlink" xfId="1198" builtinId="8" hidden="true"/>
    <cellStyle name="Hyperlink" xfId="1200" builtinId="8" hidden="true"/>
    <cellStyle name="Hyperlink" xfId="1202" builtinId="8" hidden="true"/>
    <cellStyle name="Hyperlink" xfId="1204" builtinId="8" hidden="true"/>
    <cellStyle name="Hyperlink" xfId="1206" builtinId="8" hidden="true"/>
    <cellStyle name="Hyperlink" xfId="1208" builtinId="8" hidden="true"/>
    <cellStyle name="Hyperlink" xfId="1210" builtinId="8" hidden="true"/>
    <cellStyle name="Hyperlink" xfId="1212" builtinId="8" hidden="true"/>
    <cellStyle name="Hyperlink" xfId="1214" builtinId="8" hidden="true"/>
    <cellStyle name="Hyperlink" xfId="1216" builtinId="8" hidden="true"/>
    <cellStyle name="Hyperlink" xfId="1218" builtinId="8" hidden="true"/>
    <cellStyle name="Hyperlink" xfId="1220" builtinId="8" hidden="true"/>
    <cellStyle name="Hyperlink" xfId="1222" builtinId="8" hidden="true"/>
    <cellStyle name="Hyperlink" xfId="1224" builtinId="8" hidden="true"/>
    <cellStyle name="Hyperlink" xfId="1226" builtinId="8" hidden="true"/>
    <cellStyle name="Hyperlink" xfId="1228" builtinId="8" hidden="true"/>
    <cellStyle name="Hyperlink" xfId="1230" builtinId="8" hidden="true"/>
    <cellStyle name="Hyperlink" xfId="1232" builtinId="8" hidden="true"/>
    <cellStyle name="Hyperlink" xfId="1234" builtinId="8" hidden="true"/>
    <cellStyle name="Hyperlink" xfId="1236" builtinId="8" hidden="true"/>
    <cellStyle name="Hyperlink" xfId="1238" builtinId="8" hidden="true"/>
    <cellStyle name="Hyperlink" xfId="1240" builtinId="8" hidden="true"/>
    <cellStyle name="Hyperlink" xfId="1242" builtinId="8" hidden="true"/>
    <cellStyle name="Hyperlink" xfId="1244" builtinId="8" hidden="true"/>
    <cellStyle name="Hyperlink" xfId="1246" builtinId="8" hidden="true"/>
    <cellStyle name="Hyperlink" xfId="1248" builtinId="8" hidden="true"/>
    <cellStyle name="Hyperlink" xfId="1250" builtinId="8" hidden="true"/>
    <cellStyle name="Hyperlink" xfId="1252" builtinId="8" hidden="true"/>
    <cellStyle name="Hyperlink" xfId="1254" builtinId="8" hidden="true"/>
    <cellStyle name="Hyperlink" xfId="1256" builtinId="8" hidden="true"/>
    <cellStyle name="Hyperlink" xfId="1258" builtinId="8" hidden="true"/>
    <cellStyle name="Hyperlink" xfId="1260" builtinId="8" hidden="true"/>
    <cellStyle name="Hyperlink" xfId="1262" builtinId="8" hidden="true"/>
    <cellStyle name="Hyperlink" xfId="1264" builtinId="8" hidden="true"/>
    <cellStyle name="Hyperlink" xfId="1266" builtinId="8" hidden="true"/>
    <cellStyle name="Hyperlink" xfId="1268" builtinId="8" hidden="true"/>
    <cellStyle name="Hyperlink" xfId="1270" builtinId="8" hidden="true"/>
    <cellStyle name="Hyperlink" xfId="1272" builtinId="8" hidden="true"/>
    <cellStyle name="Hyperlink" xfId="1274" builtinId="8" hidden="true"/>
    <cellStyle name="Hyperlink" xfId="1276" builtinId="8" hidden="true"/>
    <cellStyle name="Hyperlink" xfId="1278" builtinId="8" hidden="true"/>
    <cellStyle name="Hyperlink" xfId="1280" builtinId="8" hidden="true"/>
    <cellStyle name="Hyperlink" xfId="1282" builtinId="8" hidden="true"/>
    <cellStyle name="Hyperlink" xfId="1284" builtinId="8" hidden="true"/>
    <cellStyle name="Hyperlink" xfId="1286" builtinId="8" hidden="true"/>
    <cellStyle name="Hyperlink" xfId="1288" builtinId="8" hidden="true"/>
    <cellStyle name="Hyperlink" xfId="1290" builtinId="8" hidden="true"/>
    <cellStyle name="Hyperlink" xfId="1292" builtinId="8" hidden="true"/>
    <cellStyle name="Hyperlink" xfId="1294" builtinId="8" hidden="true"/>
    <cellStyle name="Hyperlink" xfId="1296" builtinId="8" hidden="true"/>
    <cellStyle name="Hyperlink" xfId="1298" builtinId="8" hidden="true"/>
    <cellStyle name="Hyperlink" xfId="1300" builtinId="8" hidden="true"/>
    <cellStyle name="Hyperlink" xfId="1302" builtinId="8" hidden="true"/>
    <cellStyle name="Hyperlink" xfId="1304" builtinId="8" hidden="true"/>
    <cellStyle name="Hyperlink" xfId="1306" builtinId="8" hidden="true"/>
    <cellStyle name="Hyperlink" xfId="1308" builtinId="8" hidden="true"/>
    <cellStyle name="Hyperlink" xfId="1310" builtinId="8" hidden="true"/>
    <cellStyle name="Hyperlink" xfId="1312" builtinId="8" hidden="true"/>
    <cellStyle name="Hyperlink" xfId="1314" builtinId="8" hidden="true"/>
    <cellStyle name="Hyperlink" xfId="1316" builtinId="8" hidden="true"/>
    <cellStyle name="Hyperlink" xfId="1318" builtinId="8" hidden="true"/>
    <cellStyle name="Hyperlink" xfId="1320" builtinId="8" hidden="true"/>
    <cellStyle name="Hyperlink" xfId="1322" builtinId="8" hidden="true"/>
    <cellStyle name="Hyperlink" xfId="1324" builtinId="8" hidden="true"/>
    <cellStyle name="Hyperlink" xfId="1326" builtinId="8" hidden="true"/>
    <cellStyle name="Hyperlink" xfId="1328" builtinId="8" hidden="true"/>
    <cellStyle name="Hyperlink" xfId="1330" builtinId="8" hidden="true"/>
    <cellStyle name="Hyperlink" xfId="1332" builtinId="8" hidden="true"/>
    <cellStyle name="Hyperlink" xfId="1334" builtinId="8" hidden="true"/>
    <cellStyle name="Hyperlink" xfId="1336" builtinId="8" hidden="true"/>
    <cellStyle name="Hyperlink" xfId="1338" builtinId="8" hidden="true"/>
    <cellStyle name="Hyperlink" xfId="1340" builtinId="8" hidden="true"/>
    <cellStyle name="Hyperlink" xfId="1342" builtinId="8" hidden="true"/>
    <cellStyle name="Hyperlink" xfId="1344" builtinId="8" hidden="true"/>
    <cellStyle name="Hyperlink" xfId="1346" builtinId="8" hidden="true"/>
    <cellStyle name="Hyperlink" xfId="1348" builtinId="8" hidden="true"/>
    <cellStyle name="Hyperlink" xfId="1350" builtinId="8" hidden="true"/>
    <cellStyle name="Hyperlink" xfId="1352" builtinId="8" hidden="true"/>
    <cellStyle name="Hyperlink" xfId="1354" builtinId="8" hidden="true"/>
    <cellStyle name="Hyperlink" xfId="1356" builtinId="8" hidden="true"/>
    <cellStyle name="Hyperlink" xfId="1358" builtinId="8" hidden="true"/>
    <cellStyle name="Hyperlink" xfId="1360" builtinId="8" hidden="true"/>
    <cellStyle name="Hyperlink" xfId="1362" builtinId="8" hidden="true"/>
    <cellStyle name="Hyperlink" xfId="1364" builtinId="8" hidden="true"/>
    <cellStyle name="Hyperlink" xfId="1366" builtinId="8" hidden="true"/>
    <cellStyle name="Hyperlink" xfId="1368" builtinId="8" hidden="true"/>
    <cellStyle name="Hyperlink" xfId="1370" builtinId="8" hidden="true"/>
    <cellStyle name="Hyperlink" xfId="1372" builtinId="8" hidden="true"/>
    <cellStyle name="Hyperlink" xfId="1374" builtinId="8" hidden="true"/>
    <cellStyle name="Hyperlink" xfId="1376" builtinId="8" hidden="true"/>
    <cellStyle name="Hyperlink" xfId="1378" builtinId="8" hidden="true"/>
    <cellStyle name="Hyperlink" xfId="1380" builtinId="8" hidden="true"/>
    <cellStyle name="Hyperlink" xfId="1382" builtinId="8" hidden="true"/>
    <cellStyle name="Hyperlink" xfId="1384" builtinId="8" hidden="true"/>
    <cellStyle name="Hyperlink" xfId="1386" builtinId="8" hidden="true"/>
    <cellStyle name="Hyperlink" xfId="1388" builtinId="8" hidden="true"/>
    <cellStyle name="Hyperlink" xfId="1390" builtinId="8" hidden="true"/>
    <cellStyle name="Hyperlink" xfId="1392" builtinId="8" hidden="true"/>
    <cellStyle name="Hyperlink" xfId="1394" builtinId="8" hidden="true"/>
    <cellStyle name="Hyperlink" xfId="1396" builtinId="8" hidden="true"/>
    <cellStyle name="Hyperlink" xfId="1398" builtinId="8" hidden="true"/>
    <cellStyle name="Hyperlink" xfId="1400" builtinId="8" hidden="true"/>
    <cellStyle name="Hyperlink" xfId="1402" builtinId="8" hidden="true"/>
    <cellStyle name="Hyperlink" xfId="1404" builtinId="8" hidden="true"/>
    <cellStyle name="Hyperlink" xfId="1406" builtinId="8" hidden="true"/>
    <cellStyle name="Hyperlink" xfId="1408" builtinId="8" hidden="true"/>
    <cellStyle name="Hyperlink" xfId="1410" builtinId="8" hidden="true"/>
    <cellStyle name="Hyperlink" xfId="1412" builtinId="8" hidden="true"/>
    <cellStyle name="Hyperlink" xfId="1414" builtinId="8" hidden="true"/>
    <cellStyle name="Hyperlink" xfId="1416" builtinId="8" hidden="true"/>
    <cellStyle name="Hyperlink" xfId="1418" builtinId="8" hidden="true"/>
    <cellStyle name="Hyperlink" xfId="1420" builtinId="8" hidden="true"/>
    <cellStyle name="Hyperlink" xfId="1422" builtinId="8" hidden="true"/>
    <cellStyle name="Hyperlink" xfId="1424" builtinId="8" hidden="true"/>
    <cellStyle name="Hyperlink" xfId="1426" builtinId="8" hidden="true"/>
    <cellStyle name="Hyperlink" xfId="1428" builtinId="8" hidden="true"/>
    <cellStyle name="Hyperlink" xfId="1430" builtinId="8" hidden="true"/>
    <cellStyle name="Hyperlink" xfId="1432" builtinId="8" hidden="true"/>
    <cellStyle name="Hyperlink" xfId="1434" builtinId="8" hidden="true"/>
    <cellStyle name="Hyperlink" xfId="1436" builtinId="8" hidden="true"/>
    <cellStyle name="Hyperlink" xfId="1438" builtinId="8" hidden="true"/>
    <cellStyle name="Hyperlink" xfId="1440" builtinId="8" hidden="true"/>
    <cellStyle name="Hyperlink" xfId="1442" builtinId="8" hidden="true"/>
    <cellStyle name="Hyperlink" xfId="1444" builtinId="8" hidden="true"/>
    <cellStyle name="Hyperlink" xfId="1446" builtinId="8" hidden="true"/>
    <cellStyle name="Hyperlink" xfId="1448" builtinId="8" hidden="true"/>
    <cellStyle name="Hyperlink" xfId="1450" builtinId="8" hidden="true"/>
    <cellStyle name="Hyperlink" xfId="1452" builtinId="8" hidden="true"/>
    <cellStyle name="Hyperlink" xfId="1454" builtinId="8" hidden="true"/>
    <cellStyle name="Hyperlink" xfId="1456" builtinId="8" hidden="true"/>
    <cellStyle name="Hyperlink" xfId="1458" builtinId="8" hidden="true"/>
    <cellStyle name="Hyperlink" xfId="1460" builtinId="8" hidden="true"/>
    <cellStyle name="Hyperlink" xfId="1462" builtinId="8" hidden="true"/>
    <cellStyle name="Hyperlink" xfId="1464" builtinId="8" hidden="true"/>
    <cellStyle name="Hyperlink" xfId="1466" builtinId="8" hidden="true"/>
    <cellStyle name="Hyperlink" xfId="1468" builtinId="8" hidden="true"/>
    <cellStyle name="Hyperlink" xfId="1470" builtinId="8" hidden="true"/>
    <cellStyle name="Hyperlink" xfId="1472" builtinId="8" hidden="true"/>
    <cellStyle name="Hyperlink" xfId="1474" builtinId="8" hidden="true"/>
    <cellStyle name="Hyperlink" xfId="1476" builtinId="8" hidden="true"/>
    <cellStyle name="Hyperlink" xfId="1478" builtinId="8" hidden="true"/>
    <cellStyle name="Hyperlink" xfId="1480" builtinId="8" hidden="true"/>
    <cellStyle name="Hyperlink" xfId="1482" builtinId="8" hidden="true"/>
    <cellStyle name="Hyperlink" xfId="1484" builtinId="8" hidden="true"/>
    <cellStyle name="Hyperlink" xfId="1486" builtinId="8" hidden="true"/>
    <cellStyle name="Hyperlink" xfId="1488" builtinId="8" hidden="true"/>
    <cellStyle name="Hyperlink" xfId="1490" builtinId="8" hidden="true"/>
    <cellStyle name="Hyperlink" xfId="1492" builtinId="8" hidden="true"/>
    <cellStyle name="Hyperlink" xfId="1494" builtinId="8" hidden="true"/>
    <cellStyle name="Hyperlink" xfId="1496" builtinId="8" hidden="true"/>
    <cellStyle name="Hyperlink" xfId="1498" builtinId="8" hidden="true"/>
    <cellStyle name="Hyperlink" xfId="1500" builtinId="8" hidden="true"/>
    <cellStyle name="Hyperlink" xfId="1502" builtinId="8" hidden="true"/>
    <cellStyle name="Hyperlink" xfId="1504" builtinId="8" hidden="true"/>
    <cellStyle name="Hyperlink" xfId="1506" builtinId="8" hidden="true"/>
    <cellStyle name="Hyperlink" xfId="1508" builtinId="8" hidden="true"/>
    <cellStyle name="Hyperlink" xfId="1510" builtinId="8" hidden="true"/>
    <cellStyle name="Hyperlink" xfId="1512" builtinId="8" hidden="true"/>
    <cellStyle name="Hyperlink" xfId="1514" builtinId="8" hidden="true"/>
    <cellStyle name="Hyperlink" xfId="1516" builtinId="8" hidden="true"/>
    <cellStyle name="Hyperlink" xfId="1518" builtinId="8" hidden="true"/>
    <cellStyle name="Hyperlink" xfId="1520" builtinId="8" hidden="true"/>
    <cellStyle name="Hyperlink" xfId="1522" builtinId="8" hidden="true"/>
    <cellStyle name="Hyperlink" xfId="1524" builtinId="8" hidden="true"/>
    <cellStyle name="Hyperlink" xfId="1526" builtinId="8" hidden="true"/>
    <cellStyle name="Hyperlink" xfId="1528" builtinId="8" hidden="true"/>
    <cellStyle name="Hyperlink" xfId="1530" builtinId="8" hidden="true"/>
    <cellStyle name="Hyperlink" xfId="1532" builtinId="8" hidden="true"/>
    <cellStyle name="Hyperlink" xfId="1534" builtinId="8" hidden="true"/>
    <cellStyle name="Hyperlink" xfId="1536" builtinId="8" hidden="true"/>
    <cellStyle name="Hyperlink" xfId="1538" builtinId="8" hidden="true"/>
    <cellStyle name="Hyperlink" xfId="1540" builtinId="8" hidden="true"/>
    <cellStyle name="Hyperlink" xfId="1542" builtinId="8" hidden="true"/>
    <cellStyle name="Hyperlink" xfId="1544" builtinId="8" hidden="true"/>
    <cellStyle name="Hyperlink" xfId="1546" builtinId="8" hidden="true"/>
    <cellStyle name="Hyperlink" xfId="1548" builtinId="8" hidden="true"/>
    <cellStyle name="Hyperlink" xfId="1550" builtinId="8" hidden="true"/>
    <cellStyle name="Hyperlink" xfId="1552" builtinId="8" hidden="true"/>
    <cellStyle name="Hyperlink" xfId="1554" builtinId="8" hidden="true"/>
    <cellStyle name="Hyperlink" xfId="1556" builtinId="8" hidden="true"/>
    <cellStyle name="Hyperlink" xfId="1558" builtinId="8" hidden="true"/>
    <cellStyle name="Hyperlink" xfId="1560" builtinId="8" hidden="true"/>
    <cellStyle name="Hyperlink" xfId="1562" builtinId="8" hidden="true"/>
    <cellStyle name="Hyperlink" xfId="1564" builtinId="8" hidden="true"/>
    <cellStyle name="Hyperlink" xfId="1566" builtinId="8" hidden="true"/>
    <cellStyle name="Hyperlink" xfId="1568" builtinId="8" hidden="true"/>
    <cellStyle name="Hyperlink" xfId="1570" builtinId="8" hidden="true"/>
    <cellStyle name="Hyperlink" xfId="1572" builtinId="8" hidden="true"/>
    <cellStyle name="Hyperlink" xfId="1574" builtinId="8" hidden="true"/>
    <cellStyle name="Hyperlink" xfId="1576" builtinId="8" hidden="true"/>
    <cellStyle name="Hyperlink" xfId="1578" builtinId="8" hidden="true"/>
    <cellStyle name="Hyperlink" xfId="1580" builtinId="8" hidden="true"/>
    <cellStyle name="Hyperlink" xfId="1582" builtinId="8" hidden="true"/>
    <cellStyle name="Hyperlink" xfId="1584" builtinId="8" hidden="true"/>
    <cellStyle name="Hyperlink" xfId="1586" builtinId="8" hidden="true"/>
    <cellStyle name="Hyperlink" xfId="1588" builtinId="8" hidden="true"/>
    <cellStyle name="Hyperlink" xfId="1590" builtinId="8" hidden="true"/>
    <cellStyle name="Hyperlink" xfId="1592" builtinId="8" hidden="true"/>
    <cellStyle name="Hyperlink" xfId="1594" builtinId="8" hidden="true"/>
    <cellStyle name="Hyperlink" xfId="1596" builtinId="8" hidden="true"/>
    <cellStyle name="Hyperlink" xfId="1598" builtinId="8" hidden="true"/>
    <cellStyle name="Hyperlink" xfId="1600" builtinId="8" hidden="true"/>
    <cellStyle name="Hyperlink" xfId="1602" builtinId="8" hidden="true"/>
    <cellStyle name="Hyperlink" xfId="1604" builtinId="8" hidden="true"/>
    <cellStyle name="Hyperlink" xfId="1606" builtinId="8" hidden="true"/>
    <cellStyle name="Hyperlink" xfId="1608" builtinId="8" hidden="true"/>
    <cellStyle name="Hyperlink" xfId="1610" builtinId="8" hidden="true"/>
    <cellStyle name="Hyperlink" xfId="1612" builtinId="8" hidden="true"/>
    <cellStyle name="Hyperlink" xfId="1614" builtinId="8" hidden="true"/>
    <cellStyle name="Hyperlink" xfId="1616" builtinId="8" hidden="true"/>
    <cellStyle name="Hyperlink" xfId="1618" builtinId="8" hidden="true"/>
    <cellStyle name="Hyperlink" xfId="1620" builtinId="8" hidden="true"/>
    <cellStyle name="Hyperlink" xfId="1622" builtinId="8" hidden="true"/>
    <cellStyle name="Hyperlink" xfId="1624" builtinId="8" hidden="true"/>
    <cellStyle name="Hyperlink" xfId="1626" builtinId="8" hidden="true"/>
    <cellStyle name="Hyperlink" xfId="1628" builtinId="8" hidden="true"/>
    <cellStyle name="Hyperlink" xfId="1630" builtinId="8" hidden="true"/>
    <cellStyle name="Hyperlink" xfId="1632" builtinId="8" hidden="true"/>
    <cellStyle name="Hyperlink" xfId="1634" builtinId="8" hidden="true"/>
    <cellStyle name="Hyperlink" xfId="1636" builtinId="8" hidden="true"/>
    <cellStyle name="Hyperlink" xfId="1638" builtinId="8" hidden="true"/>
    <cellStyle name="Hyperlink" xfId="1640" builtinId="8" hidden="true"/>
    <cellStyle name="Hyperlink" xfId="1642" builtinId="8" hidden="true"/>
    <cellStyle name="Hyperlink" xfId="1644" builtinId="8" hidden="true"/>
    <cellStyle name="Hyperlink" xfId="1646" builtinId="8" hidden="true"/>
    <cellStyle name="Hyperlink" xfId="1648" builtinId="8" hidden="true"/>
    <cellStyle name="Hyperlink" xfId="1650" builtinId="8" hidden="true"/>
    <cellStyle name="Hyperlink" xfId="1652" builtinId="8" hidden="true"/>
    <cellStyle name="Hyperlink" xfId="1654" builtinId="8" hidden="true"/>
    <cellStyle name="Hyperlink" xfId="1656" builtinId="8" hidden="true"/>
    <cellStyle name="Hyperlink" xfId="1658" builtinId="8" hidden="true"/>
    <cellStyle name="Hyperlink" xfId="1660" builtinId="8" hidden="true"/>
    <cellStyle name="Hyperlink" xfId="1662" builtinId="8" hidden="true"/>
    <cellStyle name="Hyperlink" xfId="1664" builtinId="8" hidden="true"/>
    <cellStyle name="Hyperlink" xfId="1666" builtinId="8" hidden="true"/>
    <cellStyle name="Hyperlink" xfId="1668" builtinId="8" hidden="true"/>
    <cellStyle name="Hyperlink" xfId="1670" builtinId="8" hidden="true"/>
    <cellStyle name="Hyperlink" xfId="1672" builtinId="8" hidden="true"/>
    <cellStyle name="Hyperlink" xfId="1674" builtinId="8" hidden="true"/>
    <cellStyle name="Hyperlink" xfId="1676" builtinId="8" hidden="true"/>
    <cellStyle name="Hyperlink" xfId="1678" builtinId="8" hidden="true"/>
    <cellStyle name="Hyperlink" xfId="1680" builtinId="8" hidden="true"/>
    <cellStyle name="Hyperlink" xfId="1682" builtinId="8" hidden="true"/>
    <cellStyle name="Hyperlink" xfId="1684" builtinId="8" hidden="true"/>
    <cellStyle name="Hyperlink" xfId="1686" builtinId="8" hidden="true"/>
    <cellStyle name="Hyperlink" xfId="1688" builtinId="8" hidden="true"/>
    <cellStyle name="Hyperlink" xfId="1690" builtinId="8" hidden="true"/>
    <cellStyle name="Hyperlink" xfId="1692" builtinId="8" hidden="true"/>
    <cellStyle name="Hyperlink" xfId="1694" builtinId="8" hidden="true"/>
    <cellStyle name="Hyperlink" xfId="1696" builtinId="8" hidden="true"/>
    <cellStyle name="Hyperlink" xfId="1698" builtinId="8" hidden="true"/>
    <cellStyle name="Hyperlink" xfId="1700" builtinId="8" hidden="true"/>
    <cellStyle name="Hyperlink" xfId="1702" builtinId="8" hidden="true"/>
    <cellStyle name="Hyperlink" xfId="1704" builtinId="8" hidden="true"/>
    <cellStyle name="Hyperlink" xfId="1706" builtinId="8" hidden="true"/>
    <cellStyle name="Hyperlink" xfId="1708" builtinId="8" hidden="true"/>
    <cellStyle name="Hyperlink" xfId="1710" builtinId="8" hidden="true"/>
    <cellStyle name="Hyperlink" xfId="1712" builtinId="8" hidden="true"/>
    <cellStyle name="Hyperlink" xfId="1714" builtinId="8" hidden="true"/>
    <cellStyle name="Hyperlink" xfId="1716" builtinId="8" hidden="true"/>
    <cellStyle name="Hyperlink" xfId="1718" builtinId="8" hidden="true"/>
    <cellStyle name="Hyperlink" xfId="1720" builtinId="8" hidden="true"/>
    <cellStyle name="Hyperlink" xfId="1722" builtinId="8" hidden="true"/>
    <cellStyle name="Hyperlink" xfId="1724" builtinId="8" hidden="true"/>
    <cellStyle name="Hyperlink" xfId="1726" builtinId="8" hidden="true"/>
    <cellStyle name="Hyperlink" xfId="1728" builtinId="8" hidden="true"/>
    <cellStyle name="Hyperlink" xfId="1730" builtinId="8" hidden="true"/>
    <cellStyle name="Hyperlink" xfId="1732" builtinId="8" hidden="true"/>
    <cellStyle name="Hyperlink" xfId="1734" builtinId="8" hidden="true"/>
    <cellStyle name="Hyperlink" xfId="1736" builtinId="8" hidden="true"/>
    <cellStyle name="Hyperlink" xfId="1738" builtinId="8" hidden="true"/>
    <cellStyle name="Hyperlink" xfId="1740" builtinId="8" hidden="true"/>
    <cellStyle name="Hyperlink" xfId="1742" builtinId="8" hidden="true"/>
    <cellStyle name="Hyperlink" xfId="1744" builtinId="8" hidden="true"/>
    <cellStyle name="Hyperlink" xfId="1746" builtinId="8" hidden="true"/>
    <cellStyle name="Hyperlink" xfId="1748" builtinId="8" hidden="true"/>
    <cellStyle name="Hyperlink" xfId="1750" builtinId="8" hidden="true"/>
    <cellStyle name="Hyperlink" xfId="1752" builtinId="8" hidden="true"/>
    <cellStyle name="Hyperlink" xfId="1754" builtinId="8" hidden="true"/>
    <cellStyle name="Hyperlink" xfId="1756" builtinId="8" hidden="true"/>
    <cellStyle name="Hyperlink" xfId="1758" builtinId="8" hidden="true"/>
    <cellStyle name="Hyperlink" xfId="1760" builtinId="8" hidden="true"/>
    <cellStyle name="Hyperlink" xfId="1762" builtinId="8" hidden="true"/>
    <cellStyle name="Hyperlink" xfId="1764" builtinId="8" hidden="true"/>
    <cellStyle name="Hyperlink" xfId="1766" builtinId="8" hidden="true"/>
    <cellStyle name="Hyperlink" xfId="1768" builtinId="8" hidden="true"/>
    <cellStyle name="Hyperlink" xfId="1770" builtinId="8" hidden="true"/>
    <cellStyle name="Hyperlink" xfId="1772" builtinId="8" hidden="true"/>
    <cellStyle name="Hyperlink" xfId="1774" builtinId="8" hidden="true"/>
    <cellStyle name="Hyperlink" xfId="1776" builtinId="8" hidden="true"/>
    <cellStyle name="Hyperlink" xfId="1778" builtinId="8" hidden="true"/>
    <cellStyle name="Hyperlink" xfId="1780" builtinId="8" hidden="true"/>
    <cellStyle name="Hyperlink" xfId="1782" builtinId="8" hidden="true"/>
    <cellStyle name="Hyperlink" xfId="1784" builtinId="8" hidden="true"/>
    <cellStyle name="Hyperlink" xfId="1786" builtinId="8" hidden="true"/>
    <cellStyle name="Hyperlink" xfId="1788" builtinId="8" hidden="true"/>
    <cellStyle name="Hyperlink" xfId="1790" builtinId="8" hidden="true"/>
    <cellStyle name="Hyperlink" xfId="1792" builtinId="8" hidden="true"/>
    <cellStyle name="Hyperlink" xfId="1794" builtinId="8" hidden="true"/>
    <cellStyle name="Hyperlink" xfId="1796" builtinId="8" hidden="true"/>
    <cellStyle name="Hyperlink" xfId="1798" builtinId="8" hidden="true"/>
    <cellStyle name="Hyperlink" xfId="1800" builtinId="8" hidden="true"/>
    <cellStyle name="Hyperlink" xfId="1802" builtinId="8" hidden="true"/>
    <cellStyle name="Hyperlink" xfId="1804" builtinId="8" hidden="true"/>
    <cellStyle name="Hyperlink" xfId="1806" builtinId="8" hidden="true"/>
    <cellStyle name="Hyperlink" xfId="1808" builtinId="8" hidden="true"/>
    <cellStyle name="Hyperlink" xfId="1810" builtinId="8" hidden="true"/>
    <cellStyle name="Hyperlink" xfId="1812" builtinId="8" hidden="true"/>
    <cellStyle name="Hyperlink" xfId="1814" builtinId="8" hidden="true"/>
    <cellStyle name="Hyperlink" xfId="1816" builtinId="8" hidden="true"/>
    <cellStyle name="Hyperlink" xfId="1818" builtinId="8" hidden="true"/>
    <cellStyle name="Hyperlink" xfId="1820" builtinId="8" hidden="true"/>
    <cellStyle name="Hyperlink" xfId="1822" builtinId="8" hidden="true"/>
    <cellStyle name="Hyperlink" xfId="1824" builtinId="8" hidden="true"/>
    <cellStyle name="Hyperlink" xfId="1826" builtinId="8" hidden="true"/>
    <cellStyle name="Hyperlink" xfId="1828" builtinId="8" hidden="true"/>
    <cellStyle name="Hyperlink" xfId="1830" builtinId="8" hidden="true"/>
    <cellStyle name="Hyperlink" xfId="1832" builtinId="8" hidden="true"/>
    <cellStyle name="Hyperlink" xfId="1834" builtinId="8" hidden="true"/>
    <cellStyle name="Hyperlink" xfId="1836" builtinId="8" hidden="true"/>
    <cellStyle name="Hyperlink" xfId="1838" builtinId="8" hidden="true"/>
    <cellStyle name="Hyperlink" xfId="1840" builtinId="8" hidden="true"/>
    <cellStyle name="Hyperlink" xfId="1842" builtinId="8" hidden="true"/>
    <cellStyle name="Hyperlink" xfId="1844" builtinId="8" hidden="true"/>
    <cellStyle name="Hyperlink" xfId="1846" builtinId="8" hidden="true"/>
    <cellStyle name="Hyperlink" xfId="1848" builtinId="8" hidden="true"/>
    <cellStyle name="Hyperlink" xfId="1850" builtinId="8" hidden="true"/>
    <cellStyle name="Hyperlink" xfId="1852" builtinId="8" hidden="true"/>
    <cellStyle name="Hyperlink" xfId="1854" builtinId="8" hidden="true"/>
    <cellStyle name="Hyperlink" xfId="1856" builtinId="8" hidden="true"/>
    <cellStyle name="Hyperlink" xfId="1858" builtinId="8" hidden="true"/>
    <cellStyle name="Hyperlink" xfId="1860" builtinId="8" hidden="true"/>
    <cellStyle name="Hyperlink" xfId="1862" builtinId="8" hidden="true"/>
    <cellStyle name="Hyperlink" xfId="1864" builtinId="8" hidden="true"/>
    <cellStyle name="Hyperlink" xfId="1866" builtinId="8" hidden="true"/>
    <cellStyle name="Hyperlink" xfId="1868" builtinId="8" hidden="true"/>
    <cellStyle name="Hyperlink" xfId="1870" builtinId="8" hidden="true"/>
    <cellStyle name="Hyperlink" xfId="1872" builtinId="8" hidden="true"/>
    <cellStyle name="Hyperlink" xfId="1874" builtinId="8" hidden="true"/>
    <cellStyle name="Hyperlink" xfId="1876" builtinId="8" hidden="true"/>
    <cellStyle name="Hyperlink" xfId="1878" builtinId="8" hidden="true"/>
    <cellStyle name="Hyperlink" xfId="1880" builtinId="8" hidden="true"/>
    <cellStyle name="Hyperlink" xfId="1882" builtinId="8" hidden="true"/>
    <cellStyle name="Hyperlink" xfId="1884" builtinId="8" hidden="true"/>
    <cellStyle name="Hyperlink" xfId="1886" builtinId="8" hidden="true"/>
    <cellStyle name="Hyperlink" xfId="1888" builtinId="8" hidden="true"/>
    <cellStyle name="Hyperlink" xfId="1890" builtinId="8" hidden="true"/>
    <cellStyle name="Hyperlink" xfId="1892" builtinId="8" hidden="true"/>
    <cellStyle name="Hyperlink" xfId="1894" builtinId="8" hidden="true"/>
    <cellStyle name="Hyperlink" xfId="1896" builtinId="8" hidden="true"/>
    <cellStyle name="Hyperlink" xfId="1898" builtinId="8" hidden="true"/>
    <cellStyle name="Hyperlink" xfId="1900" builtinId="8" hidden="true"/>
    <cellStyle name="Hyperlink" xfId="1902" builtinId="8" hidden="true"/>
    <cellStyle name="Hyperlink" xfId="1904" builtinId="8" hidden="true"/>
    <cellStyle name="Hyperlink" xfId="1906" builtinId="8" hidden="true"/>
    <cellStyle name="Hyperlink" xfId="1908" builtinId="8" hidden="true"/>
    <cellStyle name="Hyperlink" xfId="1910" builtinId="8" hidden="true"/>
    <cellStyle name="Hyperlink" xfId="1912" builtinId="8" hidden="true"/>
    <cellStyle name="Hyperlink" xfId="1914" builtinId="8" hidden="true"/>
    <cellStyle name="Hyperlink" xfId="1916" builtinId="8" hidden="true"/>
    <cellStyle name="Hyperlink" xfId="1918" builtinId="8" hidden="true"/>
    <cellStyle name="Hyperlink" xfId="1920" builtinId="8" hidden="true"/>
    <cellStyle name="Hyperlink" xfId="1922" builtinId="8" hidden="true"/>
    <cellStyle name="Hyperlink" xfId="1924" builtinId="8" hidden="true"/>
    <cellStyle name="Hyperlink" xfId="1926" builtinId="8" hidden="true"/>
    <cellStyle name="Hyperlink" xfId="1928" builtinId="8" hidden="true"/>
    <cellStyle name="Hyperlink" xfId="1930" builtinId="8" hidden="true"/>
    <cellStyle name="Hyperlink" xfId="1932" builtinId="8" hidden="true"/>
    <cellStyle name="Hyperlink" xfId="1934" builtinId="8" hidden="true"/>
    <cellStyle name="Hyperlink" xfId="1936" builtinId="8" hidden="true"/>
    <cellStyle name="Hyperlink" xfId="1938" builtinId="8" hidden="true"/>
    <cellStyle name="Hyperlink" xfId="1940" builtinId="8" hidden="true"/>
    <cellStyle name="Hyperlink" xfId="1942" builtinId="8" hidden="true"/>
    <cellStyle name="Hyperlink" xfId="1944" builtinId="8" hidden="true"/>
    <cellStyle name="Hyperlink" xfId="1946" builtinId="8" hidden="true"/>
    <cellStyle name="Hyperlink" xfId="1948" builtinId="8" hidden="true"/>
    <cellStyle name="Hyperlink" xfId="1950" builtinId="8" hidden="true"/>
    <cellStyle name="Hyperlink" xfId="1952" builtinId="8" hidden="true"/>
    <cellStyle name="Hyperlink" xfId="1954" builtinId="8" hidden="true"/>
    <cellStyle name="Hyperlink" xfId="1956" builtinId="8" hidden="true"/>
    <cellStyle name="Hyperlink" xfId="1958" builtinId="8" hidden="true"/>
    <cellStyle name="Hyperlink" xfId="1960" builtinId="8" hidden="true"/>
    <cellStyle name="Hyperlink" xfId="1962" builtinId="8" hidden="true"/>
    <cellStyle name="Hyperlink" xfId="1964" builtinId="8" hidden="true"/>
    <cellStyle name="Hyperlink" xfId="1966" builtinId="8" hidden="true"/>
    <cellStyle name="Hyperlink" xfId="1968" builtinId="8" hidden="true"/>
    <cellStyle name="Hyperlink" xfId="1970" builtinId="8" hidden="true"/>
    <cellStyle name="Hyperlink" xfId="1972" builtinId="8" hidden="true"/>
    <cellStyle name="Hyperlink" xfId="1974" builtinId="8" hidden="true"/>
    <cellStyle name="Hyperlink" xfId="1976" builtinId="8" hidden="true"/>
    <cellStyle name="Hyperlink" xfId="1978" builtinId="8" hidden="true"/>
    <cellStyle name="Hyperlink" xfId="1980" builtinId="8" hidden="true"/>
    <cellStyle name="Hyperlink" xfId="1982" builtinId="8" hidden="true"/>
    <cellStyle name="Hyperlink" xfId="1984" builtinId="8" hidden="true"/>
    <cellStyle name="Hyperlink" xfId="1986" builtinId="8" hidden="true"/>
    <cellStyle name="Hyperlink" xfId="1988" builtinId="8" hidden="true"/>
    <cellStyle name="Hyperlink" xfId="1990" builtinId="8" hidden="true"/>
    <cellStyle name="Hyperlink" xfId="1992" builtinId="8" hidden="true"/>
    <cellStyle name="Hyperlink" xfId="1994" builtinId="8" hidden="true"/>
    <cellStyle name="Hyperlink" xfId="1996" builtinId="8" hidden="true"/>
    <cellStyle name="Hyperlink" xfId="1998" builtinId="8" hidden="true"/>
    <cellStyle name="Hyperlink" xfId="2000" builtinId="8" hidden="true"/>
    <cellStyle name="Hyperlink" xfId="2002" builtinId="8" hidden="true"/>
    <cellStyle name="Hyperlink" xfId="2004" builtinId="8" hidden="true"/>
    <cellStyle name="Hyperlink" xfId="2006" builtinId="8" hidden="true"/>
    <cellStyle name="Hyperlink" xfId="2008" builtinId="8" hidden="true"/>
    <cellStyle name="Hyperlink" xfId="2010" builtinId="8" hidden="true"/>
    <cellStyle name="Hyperlink" xfId="2012" builtinId="8" hidden="true"/>
    <cellStyle name="Hyperlink" xfId="2014" builtinId="8" hidden="true"/>
    <cellStyle name="Hyperlink" xfId="2016" builtinId="8" hidden="true"/>
    <cellStyle name="Hyperlink" xfId="2018" builtinId="8" hidden="true"/>
    <cellStyle name="Hyperlink" xfId="2020" builtinId="8" hidden="true"/>
    <cellStyle name="Hyperlink" xfId="2022" builtinId="8" hidden="true"/>
    <cellStyle name="Hyperlink" xfId="2024" builtinId="8" hidden="true"/>
    <cellStyle name="Hyperlink" xfId="2026" builtinId="8" hidden="true"/>
    <cellStyle name="Hyperlink" xfId="2028" builtinId="8" hidden="true"/>
    <cellStyle name="Hyperlink" xfId="2030" builtinId="8" hidden="true"/>
    <cellStyle name="Hyperlink" xfId="2032" builtinId="8" hidden="true"/>
    <cellStyle name="Hyperlink" xfId="2034" builtinId="8" hidden="true"/>
    <cellStyle name="Hyperlink" xfId="2036" builtinId="8" hidden="true"/>
    <cellStyle name="Hyperlink" xfId="2038" builtinId="8" hidden="true"/>
    <cellStyle name="Hyperlink" xfId="2040" builtinId="8" hidden="true"/>
    <cellStyle name="Hyperlink" xfId="2042" builtinId="8" hidden="true"/>
    <cellStyle name="Hyperlink" xfId="2044" builtinId="8" hidden="true"/>
    <cellStyle name="Hyperlink" xfId="2046" builtinId="8" hidden="true"/>
    <cellStyle name="Hyperlink" xfId="2048" builtinId="8" hidden="true"/>
    <cellStyle name="Hyperlink" xfId="2050" builtinId="8" hidden="true"/>
    <cellStyle name="Hyperlink" xfId="2052" builtinId="8" hidden="true"/>
    <cellStyle name="Hyperlink" xfId="2054" builtinId="8" hidden="true"/>
    <cellStyle name="Hyperlink" xfId="2056" builtinId="8" hidden="true"/>
    <cellStyle name="Hyperlink" xfId="2058" builtinId="8" hidden="true"/>
    <cellStyle name="Hyperlink" xfId="2060" builtinId="8" hidden="true"/>
    <cellStyle name="Hyperlink" xfId="2062" builtinId="8" hidden="true"/>
    <cellStyle name="Hyperlink" xfId="2064" builtinId="8" hidden="true"/>
    <cellStyle name="Hyperlink" xfId="2066" builtinId="8" hidden="true"/>
    <cellStyle name="Hyperlink" xfId="2068" builtinId="8" hidden="true"/>
    <cellStyle name="Hyperlink" xfId="2070" builtinId="8" hidden="true"/>
    <cellStyle name="Hyperlink" xfId="2072" builtinId="8" hidden="true"/>
    <cellStyle name="Hyperlink" xfId="2074" builtinId="8" hidden="true"/>
    <cellStyle name="Hyperlink" xfId="2076" builtinId="8" hidden="true"/>
    <cellStyle name="Hyperlink" xfId="2078" builtinId="8" hidden="true"/>
    <cellStyle name="Hyperlink" xfId="2080" builtinId="8" hidden="true"/>
    <cellStyle name="Hyperlink" xfId="2082" builtinId="8" hidden="true"/>
    <cellStyle name="Hyperlink" xfId="2084" builtinId="8" hidden="true"/>
    <cellStyle name="Hyperlink" xfId="2086" builtinId="8" hidden="true"/>
    <cellStyle name="Hyperlink" xfId="2088" builtinId="8" hidden="true"/>
    <cellStyle name="Hyperlink" xfId="2090" builtinId="8" hidden="true"/>
    <cellStyle name="Hyperlink" xfId="2092" builtinId="8" hidden="true"/>
    <cellStyle name="Hyperlink" xfId="2094" builtinId="8" hidden="true"/>
    <cellStyle name="Hyperlink" xfId="2096" builtinId="8" hidden="true"/>
    <cellStyle name="Hyperlink" xfId="2098" builtinId="8" hidden="true"/>
    <cellStyle name="Hyperlink" xfId="2100" builtinId="8" hidden="true"/>
    <cellStyle name="Hyperlink" xfId="2102" builtinId="8" hidden="true"/>
    <cellStyle name="Hyperlink" xfId="2104" builtinId="8" hidden="true"/>
    <cellStyle name="Hyperlink" xfId="2106" builtinId="8" hidden="true"/>
    <cellStyle name="Hyperlink" xfId="2108" builtinId="8" hidden="true"/>
    <cellStyle name="Hyperlink" xfId="2110" builtinId="8" hidden="true"/>
    <cellStyle name="Hyperlink" xfId="2112" builtinId="8" hidden="true"/>
    <cellStyle name="Hyperlink" xfId="2114" builtinId="8" hidden="true"/>
    <cellStyle name="Hyperlink" xfId="2116" builtinId="8" hidden="true"/>
    <cellStyle name="Hyperlink" xfId="2118" builtinId="8" hidden="true"/>
    <cellStyle name="Hyperlink" xfId="2120" builtinId="8" hidden="true"/>
    <cellStyle name="Hyperlink" xfId="2122" builtinId="8" hidden="true"/>
    <cellStyle name="Hyperlink" xfId="2124" builtinId="8" hidden="true"/>
    <cellStyle name="Hyperlink" xfId="2126" builtinId="8" hidden="true"/>
    <cellStyle name="Hyperlink" xfId="2128" builtinId="8" hidden="true"/>
    <cellStyle name="Hyperlink" xfId="2130" builtinId="8" hidden="true"/>
    <cellStyle name="Hyperlink" xfId="2132" builtinId="8" hidden="true"/>
    <cellStyle name="Hyperlink" xfId="2134" builtinId="8" hidden="true"/>
    <cellStyle name="Hyperlink" xfId="2136" builtinId="8" hidden="true"/>
    <cellStyle name="Hyperlink" xfId="2138" builtinId="8" hidden="true"/>
    <cellStyle name="Hyperlink" xfId="2140" builtinId="8" hidden="true"/>
    <cellStyle name="Hyperlink" xfId="2142" builtinId="8" hidden="true"/>
    <cellStyle name="Hyperlink" xfId="2144" builtinId="8" hidden="true"/>
    <cellStyle name="Hyperlink" xfId="2146" builtinId="8" hidden="true"/>
    <cellStyle name="Hyperlink" xfId="2148" builtinId="8" hidden="true"/>
    <cellStyle name="Hyperlink" xfId="2150" builtinId="8" hidden="true"/>
    <cellStyle name="Hyperlink" xfId="2152" builtinId="8" hidden="true"/>
    <cellStyle name="Hyperlink" xfId="2154" builtinId="8" hidden="true"/>
    <cellStyle name="Hyperlink" xfId="2156" builtinId="8" hidden="true"/>
    <cellStyle name="Hyperlink" xfId="2158" builtinId="8" hidden="true"/>
    <cellStyle name="Hyperlink" xfId="2160" builtinId="8" hidden="true"/>
    <cellStyle name="Hyperlink" xfId="2162" builtinId="8" hidden="true"/>
    <cellStyle name="Hyperlink" xfId="2164" builtinId="8" hidden="true"/>
    <cellStyle name="Hyperlink" xfId="2166" builtinId="8" hidden="true"/>
    <cellStyle name="Hyperlink" xfId="2168" builtinId="8" hidden="true"/>
    <cellStyle name="Hyperlink" xfId="2170" builtinId="8" hidden="true"/>
    <cellStyle name="Hyperlink" xfId="2172" builtinId="8" hidden="true"/>
    <cellStyle name="Hyperlink" xfId="2174" builtinId="8" hidden="true"/>
    <cellStyle name="Hyperlink" xfId="2176" builtinId="8" hidden="true"/>
    <cellStyle name="Hyperlink" xfId="2178" builtinId="8" hidden="true"/>
    <cellStyle name="Hyperlink" xfId="2180" builtinId="8" hidden="true"/>
    <cellStyle name="Hyperlink" xfId="2182" builtinId="8" hidden="true"/>
    <cellStyle name="Hyperlink" xfId="2184" builtinId="8" hidden="true"/>
    <cellStyle name="Hyperlink" xfId="2186" builtinId="8" hidden="true"/>
    <cellStyle name="Hyperlink" xfId="2188" builtinId="8" hidden="true"/>
    <cellStyle name="Hyperlink" xfId="2190" builtinId="8" hidden="true"/>
    <cellStyle name="Hyperlink" xfId="2192" builtinId="8" hidden="true"/>
    <cellStyle name="Hyperlink" xfId="2194" builtinId="8" hidden="true"/>
    <cellStyle name="Hyperlink" xfId="2196" builtinId="8" hidden="true"/>
    <cellStyle name="Hyperlink" xfId="2198" builtinId="8" hidden="true"/>
    <cellStyle name="Hyperlink" xfId="2200" builtinId="8" hidden="true"/>
    <cellStyle name="Hyperlink" xfId="2202" builtinId="8" hidden="true"/>
    <cellStyle name="Hyperlink" xfId="2204" builtinId="8" hidden="true"/>
    <cellStyle name="Hyperlink" xfId="2206" builtinId="8" hidden="true"/>
    <cellStyle name="Hyperlink" xfId="2208" builtinId="8" hidden="true"/>
    <cellStyle name="Hyperlink" xfId="2210" builtinId="8" hidden="true"/>
    <cellStyle name="Hyperlink" xfId="2212" builtinId="8" hidden="true"/>
    <cellStyle name="Hyperlink" xfId="2214" builtinId="8" hidden="true"/>
    <cellStyle name="Hyperlink" xfId="2216" builtinId="8" hidden="true"/>
    <cellStyle name="Hyperlink" xfId="2218" builtinId="8" hidden="true"/>
    <cellStyle name="Hyperlink" xfId="2220" builtinId="8" hidden="true"/>
    <cellStyle name="Hyperlink" xfId="2222" builtinId="8" hidden="true"/>
    <cellStyle name="Hyperlink" xfId="2224" builtinId="8" hidden="true"/>
    <cellStyle name="Hyperlink" xfId="2226" builtinId="8" hidden="true"/>
    <cellStyle name="Hyperlink" xfId="2228" builtinId="8" hidden="true"/>
    <cellStyle name="Hyperlink" xfId="2230" builtinId="8" hidden="true"/>
    <cellStyle name="Hyperlink" xfId="2232" builtinId="8" hidden="true"/>
    <cellStyle name="Hyperlink" xfId="2234" builtinId="8" hidden="true"/>
    <cellStyle name="Hyperlink" xfId="2236" builtinId="8" hidden="true"/>
    <cellStyle name="Hyperlink" xfId="2238" builtinId="8" hidden="true"/>
    <cellStyle name="Hyperlink" xfId="2240" builtinId="8" hidden="true"/>
    <cellStyle name="Hyperlink" xfId="2242" builtinId="8" hidden="true"/>
    <cellStyle name="Hyperlink" xfId="2244" builtinId="8" hidden="true"/>
    <cellStyle name="Hyperlink" xfId="2246" builtinId="8" hidden="true"/>
    <cellStyle name="Hyperlink" xfId="2248" builtinId="8" hidden="true"/>
    <cellStyle name="Hyperlink" xfId="2250" builtinId="8" hidden="true"/>
    <cellStyle name="Hyperlink" xfId="2252" builtinId="8" hidden="true"/>
    <cellStyle name="Hyperlink" xfId="2254" builtinId="8" hidden="true"/>
    <cellStyle name="Hyperlink" xfId="2256" builtinId="8" hidden="true"/>
    <cellStyle name="Hyperlink" xfId="2258" builtinId="8" hidden="true"/>
    <cellStyle name="Hyperlink" xfId="2260" builtinId="8" hidden="true"/>
    <cellStyle name="Hyperlink" xfId="2262" builtinId="8" hidden="true"/>
    <cellStyle name="Hyperlink" xfId="2264" builtinId="8" hidden="true"/>
    <cellStyle name="Hyperlink" xfId="2266" builtinId="8" hidden="true"/>
    <cellStyle name="Hyperlink" xfId="2268" builtinId="8" hidden="true"/>
    <cellStyle name="Hyperlink" xfId="2270" builtinId="8" hidden="true"/>
    <cellStyle name="Hyperlink" xfId="2272" builtinId="8" hidden="true"/>
    <cellStyle name="Hyperlink" xfId="2274" builtinId="8" hidden="true"/>
    <cellStyle name="Hyperlink" xfId="2276" builtinId="8" hidden="true"/>
    <cellStyle name="Hyperlink" xfId="2278" builtinId="8" hidden="true"/>
    <cellStyle name="Hyperlink" xfId="2280" builtinId="8" hidden="true"/>
    <cellStyle name="Hyperlink" xfId="2282" builtinId="8" hidden="true"/>
    <cellStyle name="Hyperlink" xfId="2284" builtinId="8" hidden="true"/>
    <cellStyle name="Hyperlink" xfId="2286" builtinId="8" hidden="true"/>
    <cellStyle name="Hyperlink" xfId="2288" builtinId="8" hidden="true"/>
    <cellStyle name="Hyperlink" xfId="2290" builtinId="8" hidden="true"/>
    <cellStyle name="Hyperlink" xfId="2292" builtinId="8" hidden="true"/>
    <cellStyle name="Hyperlink" xfId="2294" builtinId="8" hidden="true"/>
    <cellStyle name="Hyperlink" xfId="2296" builtinId="8" hidden="true"/>
    <cellStyle name="Hyperlink" xfId="2298" builtinId="8" hidden="true"/>
    <cellStyle name="Hyperlink" xfId="2300" builtinId="8" hidden="true"/>
    <cellStyle name="Hyperlink" xfId="2302" builtinId="8" hidden="true"/>
    <cellStyle name="Hyperlink" xfId="2304" builtinId="8" hidden="true"/>
    <cellStyle name="Hyperlink" xfId="2306" builtinId="8" hidden="true"/>
    <cellStyle name="Hyperlink" xfId="2308" builtinId="8" hidden="true"/>
    <cellStyle name="Hyperlink" xfId="2310" builtinId="8" hidden="true"/>
    <cellStyle name="Hyperlink" xfId="2312" builtinId="8" hidden="true"/>
    <cellStyle name="Hyperlink" xfId="2314" builtinId="8" hidden="true"/>
    <cellStyle name="Hyperlink" xfId="2316" builtinId="8" hidden="true"/>
    <cellStyle name="Hyperlink" xfId="2318" builtinId="8" hidden="true"/>
    <cellStyle name="Hyperlink" xfId="2320" builtinId="8" hidden="true"/>
    <cellStyle name="Hyperlink" xfId="2322" builtinId="8" hidden="true"/>
    <cellStyle name="Hyperlink" xfId="2324" builtinId="8" hidden="true"/>
    <cellStyle name="Hyperlink" xfId="2326" builtinId="8" hidden="true"/>
    <cellStyle name="Hyperlink" xfId="2328" builtinId="8" hidden="true"/>
    <cellStyle name="Hyperlink" xfId="2330" builtinId="8" hidden="true"/>
    <cellStyle name="Hyperlink" xfId="2332" builtinId="8" hidden="true"/>
    <cellStyle name="Hyperlink" xfId="2334" builtinId="8" hidden="true"/>
    <cellStyle name="Hyperlink" xfId="2336" builtinId="8" hidden="true"/>
    <cellStyle name="Hyperlink" xfId="2338" builtinId="8" hidden="true"/>
    <cellStyle name="Hyperlink" xfId="2340" builtinId="8" hidden="true"/>
    <cellStyle name="Hyperlink" xfId="2342" builtinId="8" hidden="true"/>
    <cellStyle name="Hyperlink" xfId="2344" builtinId="8" hidden="true"/>
    <cellStyle name="Hyperlink" xfId="2346" builtinId="8" hidden="true"/>
    <cellStyle name="Hyperlink" xfId="2348" builtinId="8" hidden="true"/>
    <cellStyle name="Hyperlink" xfId="2350" builtinId="8" hidden="true"/>
    <cellStyle name="Hyperlink" xfId="2352" builtinId="8" hidden="true"/>
    <cellStyle name="Hyperlink" xfId="2354" builtinId="8" hidden="true"/>
    <cellStyle name="Hyperlink" xfId="2356" builtinId="8" hidden="true"/>
    <cellStyle name="Hyperlink" xfId="2358" builtinId="8" hidden="true"/>
    <cellStyle name="Hyperlink" xfId="2360" builtinId="8" hidden="true"/>
    <cellStyle name="Hyperlink" xfId="2362" builtinId="8" hidden="true"/>
    <cellStyle name="Hyperlink" xfId="2364" builtinId="8" hidden="true"/>
    <cellStyle name="Hyperlink" xfId="2366" builtinId="8" hidden="true"/>
    <cellStyle name="Hyperlink" xfId="2368" builtinId="8" hidden="true"/>
    <cellStyle name="Hyperlink" xfId="2370" builtinId="8" hidden="true"/>
    <cellStyle name="Hyperlink" xfId="2372" builtinId="8" hidden="true"/>
    <cellStyle name="Hyperlink" xfId="2374" builtinId="8" hidden="true"/>
    <cellStyle name="Hyperlink" xfId="2376" builtinId="8" hidden="true"/>
    <cellStyle name="Hyperlink" xfId="2378" builtinId="8" hidden="true"/>
    <cellStyle name="Hyperlink" xfId="2380" builtinId="8" hidden="true"/>
    <cellStyle name="Hyperlink" xfId="2382" builtinId="8" hidden="true"/>
    <cellStyle name="Hyperlink" xfId="2384" builtinId="8" hidden="true"/>
    <cellStyle name="Hyperlink" xfId="2386" builtinId="8" hidden="true"/>
    <cellStyle name="Hyperlink" xfId="2388" builtinId="8" hidden="true"/>
    <cellStyle name="Hyperlink" xfId="2390" builtinId="8" hidden="true"/>
    <cellStyle name="Hyperlink" xfId="2392" builtinId="8" hidden="true"/>
    <cellStyle name="Hyperlink" xfId="2394" builtinId="8" hidden="true"/>
    <cellStyle name="Hyperlink" xfId="2396" builtinId="8" hidden="true"/>
    <cellStyle name="Hyperlink" xfId="2398" builtinId="8" hidden="true"/>
    <cellStyle name="Hyperlink" xfId="2400" builtinId="8" hidden="true"/>
    <cellStyle name="Hyperlink" xfId="2402" builtinId="8" hidden="true"/>
    <cellStyle name="Hyperlink" xfId="2404" builtinId="8" hidden="true"/>
    <cellStyle name="Hyperlink" xfId="2406" builtinId="8" hidden="true"/>
    <cellStyle name="Hyperlink" xfId="2408" builtinId="8" hidden="true"/>
    <cellStyle name="Hyperlink" xfId="2410" builtinId="8" hidden="true"/>
    <cellStyle name="Hyperlink" xfId="2412" builtinId="8" hidden="true"/>
    <cellStyle name="Hyperlink" xfId="2414" builtinId="8" hidden="true"/>
    <cellStyle name="Hyperlink" xfId="2416" builtinId="8" hidden="true"/>
    <cellStyle name="Hyperlink" xfId="2418" builtinId="8" hidden="true"/>
    <cellStyle name="Hyperlink" xfId="2420" builtinId="8" hidden="true"/>
    <cellStyle name="Hyperlink" xfId="2422" builtinId="8" hidden="true"/>
    <cellStyle name="Hyperlink" xfId="2424" builtinId="8" hidden="true"/>
    <cellStyle name="Hyperlink" xfId="2426" builtinId="8" hidden="true"/>
    <cellStyle name="Hyperlink" xfId="2428" builtinId="8" hidden="true"/>
    <cellStyle name="Hyperlink" xfId="2430" builtinId="8" hidden="true"/>
    <cellStyle name="Hyperlink" xfId="2432" builtinId="8" hidden="true"/>
    <cellStyle name="Hyperlink" xfId="2434" builtinId="8" hidden="true"/>
    <cellStyle name="Hyperlink" xfId="2436" builtinId="8" hidden="true"/>
    <cellStyle name="Hyperlink" xfId="2438" builtinId="8" hidden="true"/>
    <cellStyle name="Hyperlink" xfId="2440" builtinId="8" hidden="true"/>
    <cellStyle name="Hyperlink" xfId="2442" builtinId="8" hidden="true"/>
    <cellStyle name="Hyperlink" xfId="2444" builtinId="8" hidden="true"/>
    <cellStyle name="Hyperlink" xfId="2446" builtinId="8" hidden="true"/>
    <cellStyle name="Hyperlink" xfId="2448" builtinId="8" hidden="true"/>
    <cellStyle name="Hyperlink" xfId="2450" builtinId="8" hidden="true"/>
    <cellStyle name="Hyperlink" xfId="2452" builtinId="8" hidden="true"/>
    <cellStyle name="Hyperlink" xfId="2454" builtinId="8" hidden="true"/>
    <cellStyle name="Hyperlink" xfId="2456" builtinId="8" hidden="true"/>
    <cellStyle name="Hyperlink" xfId="2458" builtinId="8" hidden="true"/>
    <cellStyle name="Hyperlink" xfId="2460" builtinId="8" hidden="true"/>
    <cellStyle name="Hyperlink" xfId="2462" builtinId="8" hidden="true"/>
    <cellStyle name="Hyperlink" xfId="2464" builtinId="8" hidden="true"/>
    <cellStyle name="Hyperlink" xfId="2466" builtinId="8" hidden="true"/>
    <cellStyle name="Hyperlink" xfId="2468" builtinId="8" hidden="true"/>
    <cellStyle name="Hyperlink" xfId="2470" builtinId="8" hidden="true"/>
    <cellStyle name="Hyperlink" xfId="2472" builtinId="8" hidden="true"/>
    <cellStyle name="Hyperlink" xfId="2474" builtinId="8" hidden="true"/>
    <cellStyle name="Hyperlink" xfId="2476" builtinId="8" hidden="true"/>
    <cellStyle name="Hyperlink" xfId="2478" builtinId="8" hidden="true"/>
    <cellStyle name="Hyperlink" xfId="2480" builtinId="8" hidden="true"/>
    <cellStyle name="Hyperlink" xfId="2482" builtinId="8" hidden="true"/>
    <cellStyle name="Hyperlink" xfId="2484" builtinId="8" hidden="true"/>
    <cellStyle name="Hyperlink" xfId="2486" builtinId="8" hidden="true"/>
    <cellStyle name="Hyperlink" xfId="2488" builtinId="8" hidden="true"/>
    <cellStyle name="Hyperlink" xfId="2490" builtinId="8" hidden="true"/>
    <cellStyle name="Hyperlink" xfId="2492" builtinId="8" hidden="true"/>
    <cellStyle name="Hyperlink" xfId="2494" builtinId="8" hidden="true"/>
    <cellStyle name="Hyperlink" xfId="2496" builtinId="8" hidden="true"/>
    <cellStyle name="Hyperlink" xfId="2498" builtinId="8" hidden="true"/>
    <cellStyle name="Hyperlink" xfId="2500" builtinId="8" hidden="true"/>
    <cellStyle name="Hyperlink" xfId="2502" builtinId="8" hidden="true"/>
    <cellStyle name="Hyperlink" xfId="2504" builtinId="8" hidden="true"/>
    <cellStyle name="Hyperlink" xfId="2506" builtinId="8" hidden="true"/>
    <cellStyle name="Hyperlink" xfId="2508" builtinId="8" hidden="true"/>
    <cellStyle name="Hyperlink" xfId="2510" builtinId="8" hidden="true"/>
    <cellStyle name="Hyperlink" xfId="2512" builtinId="8" hidden="true"/>
    <cellStyle name="Hyperlink" xfId="2514" builtinId="8" hidden="true"/>
    <cellStyle name="Hyperlink" xfId="2516" builtinId="8" hidden="true"/>
    <cellStyle name="Hyperlink" xfId="2518" builtinId="8" hidden="true"/>
    <cellStyle name="Hyperlink" xfId="2520" builtinId="8" hidden="true"/>
    <cellStyle name="Hyperlink" xfId="2522" builtinId="8" hidden="true"/>
    <cellStyle name="Hyperlink" xfId="2524" builtinId="8" hidden="true"/>
    <cellStyle name="Hyperlink" xfId="2526" builtinId="8" hidden="true"/>
    <cellStyle name="Hyperlink" xfId="2528" builtinId="8" hidden="true"/>
    <cellStyle name="Hyperlink" xfId="2530" builtinId="8" hidden="true"/>
    <cellStyle name="Hyperlink" xfId="2532" builtinId="8" hidden="true"/>
    <cellStyle name="Hyperlink" xfId="2534" builtinId="8" hidden="true"/>
    <cellStyle name="Hyperlink" xfId="2536" builtinId="8" hidden="true"/>
    <cellStyle name="Hyperlink" xfId="2538" builtinId="8" hidden="true"/>
    <cellStyle name="Hyperlink" xfId="2540" builtinId="8" hidden="true"/>
    <cellStyle name="Hyperlink" xfId="2542" builtinId="8" hidden="true"/>
    <cellStyle name="Hyperlink" xfId="2544" builtinId="8" hidden="true"/>
    <cellStyle name="Hyperlink" xfId="2546" builtinId="8" hidden="true"/>
    <cellStyle name="Hyperlink" xfId="2548" builtinId="8" hidden="true"/>
    <cellStyle name="Hyperlink" xfId="2550" builtinId="8" hidden="true"/>
    <cellStyle name="Hyperlink" xfId="2552" builtinId="8" hidden="true"/>
    <cellStyle name="Hyperlink" xfId="2554" builtinId="8" hidden="true"/>
    <cellStyle name="Hyperlink" xfId="2556" builtinId="8" hidden="true"/>
    <cellStyle name="Hyperlink" xfId="2558" builtinId="8" hidden="true"/>
    <cellStyle name="Hyperlink" xfId="2560" builtinId="8" hidden="true"/>
    <cellStyle name="Hyperlink" xfId="2562" builtinId="8" hidden="true"/>
    <cellStyle name="Hyperlink" xfId="2564" builtinId="8" hidden="true"/>
    <cellStyle name="Hyperlink" xfId="2566" builtinId="8" hidden="true"/>
    <cellStyle name="Hyperlink" xfId="2568" builtinId="8" hidden="true"/>
    <cellStyle name="Hyperlink" xfId="2570" builtinId="8" hidden="true"/>
    <cellStyle name="Hyperlink" xfId="2572" builtinId="8" hidden="true"/>
    <cellStyle name="Hyperlink" xfId="2574" builtinId="8" hidden="true"/>
    <cellStyle name="Hyperlink" xfId="2576" builtinId="8" hidden="true"/>
    <cellStyle name="Hyperlink" xfId="2578" builtinId="8" hidden="true"/>
    <cellStyle name="Hyperlink" xfId="2580" builtinId="8" hidden="true"/>
    <cellStyle name="Hyperlink" xfId="2582" builtinId="8" hidden="true"/>
    <cellStyle name="Hyperlink" xfId="2584" builtinId="8" hidden="true"/>
    <cellStyle name="Hyperlink" xfId="2586" builtinId="8" hidden="true"/>
    <cellStyle name="Hyperlink" xfId="2588" builtinId="8" hidden="true"/>
    <cellStyle name="Hyperlink" xfId="2590" builtinId="8" hidden="true"/>
    <cellStyle name="Hyperlink" xfId="2592" builtinId="8" hidden="true"/>
    <cellStyle name="Hyperlink" xfId="2594" builtinId="8" hidden="true"/>
    <cellStyle name="Hyperlink" xfId="2596" builtinId="8" hidden="true"/>
    <cellStyle name="Hyperlink" xfId="2598" builtinId="8" hidden="true"/>
    <cellStyle name="Hyperlink" xfId="2600" builtinId="8" hidden="true"/>
    <cellStyle name="Hyperlink" xfId="2602" builtinId="8" hidden="true"/>
    <cellStyle name="Hyperlink" xfId="2604" builtinId="8" hidden="true"/>
    <cellStyle name="Hyperlink" xfId="2606" builtinId="8" hidden="true"/>
    <cellStyle name="Hyperlink" xfId="2608" builtinId="8" hidden="true"/>
    <cellStyle name="Hyperlink" xfId="2610" builtinId="8" hidden="true"/>
    <cellStyle name="Hyperlink" xfId="2612" builtinId="8" hidden="true"/>
    <cellStyle name="Hyperlink" xfId="2614" builtinId="8" hidden="true"/>
    <cellStyle name="Hyperlink" xfId="2616" builtinId="8" hidden="true"/>
    <cellStyle name="Hyperlink" xfId="2618" builtinId="8" hidden="true"/>
    <cellStyle name="Hyperlink" xfId="2620" builtinId="8" hidden="true"/>
    <cellStyle name="Hyperlink" xfId="2622" builtinId="8" hidden="true"/>
    <cellStyle name="Hyperlink" xfId="2624" builtinId="8" hidden="true"/>
    <cellStyle name="Hyperlink" xfId="2626" builtinId="8" hidden="true"/>
    <cellStyle name="Hyperlink" xfId="2628" builtinId="8" hidden="true"/>
    <cellStyle name="Hyperlink" xfId="2630" builtinId="8" hidden="true"/>
    <cellStyle name="Hyperlink" xfId="2632" builtinId="8" hidden="true"/>
    <cellStyle name="Hyperlink" xfId="2634" builtinId="8" hidden="true"/>
    <cellStyle name="Hyperlink" xfId="2636" builtinId="8" hidden="true"/>
    <cellStyle name="Hyperlink" xfId="2638" builtinId="8" hidden="true"/>
    <cellStyle name="Hyperlink" xfId="2640" builtinId="8" hidden="true"/>
    <cellStyle name="Hyperlink" xfId="2642" builtinId="8" hidden="true"/>
    <cellStyle name="Hyperlink" xfId="2644" builtinId="8" hidden="true"/>
    <cellStyle name="Hyperlink" xfId="2646" builtinId="8" hidden="true"/>
    <cellStyle name="Hyperlink" xfId="2648" builtinId="8" hidden="true"/>
    <cellStyle name="Hyperlink" xfId="2650" builtinId="8" hidden="true"/>
    <cellStyle name="Hyperlink" xfId="2652" builtinId="8" hidden="true"/>
    <cellStyle name="Hyperlink" xfId="2654" builtinId="8" hidden="true"/>
    <cellStyle name="Hyperlink" xfId="2656" builtinId="8" hidden="true"/>
    <cellStyle name="Hyperlink" xfId="2658" builtinId="8" hidden="true"/>
    <cellStyle name="Hyperlink" xfId="2660" builtinId="8" hidden="true"/>
    <cellStyle name="Hyperlink" xfId="2662" builtinId="8" hidden="true"/>
    <cellStyle name="Hyperlink" xfId="2664" builtinId="8" hidden="true"/>
    <cellStyle name="Hyperlink" xfId="2666" builtinId="8" hidden="true"/>
    <cellStyle name="Hyperlink" xfId="2668" builtinId="8" hidden="true"/>
    <cellStyle name="Hyperlink" xfId="2670" builtinId="8" hidden="true"/>
    <cellStyle name="Hyperlink" xfId="2672" builtinId="8" hidden="true"/>
    <cellStyle name="Hyperlink" xfId="2674" builtinId="8" hidden="true"/>
    <cellStyle name="Hyperlink" xfId="2676" builtinId="8" hidden="true"/>
    <cellStyle name="Hyperlink" xfId="2678" builtinId="8" hidden="true"/>
    <cellStyle name="Hyperlink" xfId="2680" builtinId="8" hidden="true"/>
    <cellStyle name="Hyperlink" xfId="2682" builtinId="8" hidden="true"/>
    <cellStyle name="Hyperlink" xfId="2684" builtinId="8" hidden="true"/>
    <cellStyle name="Hyperlink" xfId="2686" builtinId="8" hidden="true"/>
    <cellStyle name="Hyperlink" xfId="2688" builtinId="8" hidden="true"/>
    <cellStyle name="Hyperlink" xfId="2690" builtinId="8" hidden="true"/>
    <cellStyle name="Hyperlink" xfId="2692" builtinId="8" hidden="true"/>
    <cellStyle name="Hyperlink" xfId="2694" builtinId="8" hidden="true"/>
    <cellStyle name="Hyperlink" xfId="2696" builtinId="8" hidden="true"/>
    <cellStyle name="Hyperlink" xfId="2698" builtinId="8" hidden="true"/>
    <cellStyle name="Hyperlink" xfId="2700" builtinId="8" hidden="true"/>
    <cellStyle name="Hyperlink" xfId="2702" builtinId="8" hidden="true"/>
    <cellStyle name="Hyperlink" xfId="2704" builtinId="8" hidden="true"/>
    <cellStyle name="Hyperlink" xfId="2706" builtinId="8" hidden="true"/>
    <cellStyle name="Hyperlink" xfId="2708" builtinId="8" hidden="true"/>
    <cellStyle name="Hyperlink" xfId="2710" builtinId="8" hidden="true"/>
    <cellStyle name="Hyperlink" xfId="2712" builtinId="8" hidden="true"/>
    <cellStyle name="Hyperlink" xfId="2714" builtinId="8" hidden="true"/>
    <cellStyle name="Hyperlink" xfId="2716" builtinId="8" hidden="true"/>
    <cellStyle name="Hyperlink" xfId="2718" builtinId="8" hidden="true"/>
    <cellStyle name="Hyperlink" xfId="2720" builtinId="8" hidden="true"/>
    <cellStyle name="Hyperlink" xfId="2722" builtinId="8" hidden="true"/>
    <cellStyle name="Hyperlink" xfId="2724" builtinId="8" hidden="true"/>
    <cellStyle name="Hyperlink" xfId="2726" builtinId="8" hidden="true"/>
    <cellStyle name="Hyperlink" xfId="2728" builtinId="8" hidden="true"/>
    <cellStyle name="Hyperlink" xfId="2730" builtinId="8" hidden="true"/>
    <cellStyle name="Hyperlink" xfId="2732" builtinId="8" hidden="true"/>
    <cellStyle name="Hyperlink" xfId="2734" builtinId="8" hidden="true"/>
    <cellStyle name="Hyperlink" xfId="2736" builtinId="8" hidden="true"/>
    <cellStyle name="Hyperlink" xfId="2738" builtinId="8" hidden="true"/>
    <cellStyle name="Hyperlink" xfId="2740" builtinId="8" hidden="true"/>
    <cellStyle name="Hyperlink" xfId="2742" builtinId="8" hidden="true"/>
    <cellStyle name="Hyperlink" xfId="2744" builtinId="8" hidden="true"/>
    <cellStyle name="Hyperlink" xfId="2746" builtinId="8" hidden="true"/>
    <cellStyle name="Hyperlink" xfId="2748" builtinId="8" hidden="true"/>
    <cellStyle name="Hyperlink" xfId="2750" builtinId="8" hidden="true"/>
    <cellStyle name="Hyperlink" xfId="2752" builtinId="8" hidden="true"/>
    <cellStyle name="Hyperlink" xfId="2754" builtinId="8" hidden="true"/>
    <cellStyle name="Hyperlink" xfId="2756" builtinId="8" hidden="true"/>
    <cellStyle name="Hyperlink" xfId="2758" builtinId="8" hidden="true"/>
    <cellStyle name="Hyperlink" xfId="2760" builtinId="8" hidden="true"/>
    <cellStyle name="Hyperlink" xfId="2762" builtinId="8" hidden="true"/>
    <cellStyle name="Hyperlink" xfId="2764" builtinId="8" hidden="true"/>
    <cellStyle name="Hyperlink" xfId="2766" builtinId="8" hidden="true"/>
    <cellStyle name="Hyperlink" xfId="2768" builtinId="8" hidden="true"/>
    <cellStyle name="Hyperlink" xfId="2770" builtinId="8" hidden="true"/>
    <cellStyle name="Hyperlink" xfId="2772" builtinId="8" hidden="true"/>
    <cellStyle name="Hyperlink" xfId="2774" builtinId="8" hidden="true"/>
    <cellStyle name="Hyperlink" xfId="2776" builtinId="8" hidden="true"/>
    <cellStyle name="Hyperlink" xfId="2778" builtinId="8" hidden="true"/>
    <cellStyle name="Hyperlink" xfId="2780" builtinId="8" hidden="true"/>
    <cellStyle name="Hyperlink" xfId="2782" builtinId="8" hidden="true"/>
    <cellStyle name="Hyperlink" xfId="2784" builtinId="8" hidden="true"/>
    <cellStyle name="Hyperlink" xfId="2786" builtinId="8" hidden="true"/>
    <cellStyle name="Hyperlink" xfId="2788" builtinId="8" hidden="true"/>
    <cellStyle name="Hyperlink" xfId="2790" builtinId="8" hidden="true"/>
    <cellStyle name="Hyperlink" xfId="2792" builtinId="8" hidden="true"/>
    <cellStyle name="Hyperlink" xfId="2794" builtinId="8" hidden="true"/>
    <cellStyle name="Hyperlink" xfId="2796" builtinId="8" hidden="true"/>
    <cellStyle name="Hyperlink" xfId="2798" builtinId="8" hidden="true"/>
    <cellStyle name="Hyperlink" xfId="2800" builtinId="8" hidden="true"/>
    <cellStyle name="Hyperlink" xfId="2802" builtinId="8" hidden="true"/>
    <cellStyle name="Hyperlink" xfId="2804" builtinId="8" hidden="true"/>
    <cellStyle name="Hyperlink" xfId="2806" builtinId="8" hidden="true"/>
    <cellStyle name="Hyperlink" xfId="2808" builtinId="8" hidden="true"/>
    <cellStyle name="Hyperlink" xfId="2810" builtinId="8" hidden="true"/>
    <cellStyle name="Hyperlink" xfId="2812" builtinId="8" hidden="true"/>
    <cellStyle name="Hyperlink" xfId="2814" builtinId="8" hidden="true"/>
    <cellStyle name="Hyperlink" xfId="2816" builtinId="8" hidden="true"/>
    <cellStyle name="Hyperlink" xfId="2818" builtinId="8" hidden="true"/>
    <cellStyle name="Hyperlink" xfId="2820" builtinId="8" hidden="true"/>
    <cellStyle name="Hyperlink" xfId="2822" builtinId="8" hidden="true"/>
    <cellStyle name="Hyperlink" xfId="2824" builtinId="8" hidden="true"/>
    <cellStyle name="Hyperlink" xfId="2826" builtinId="8" hidden="true"/>
    <cellStyle name="Hyperlink" xfId="2828" builtinId="8" hidden="true"/>
    <cellStyle name="Hyperlink" xfId="2830" builtinId="8" hidden="true"/>
    <cellStyle name="Hyperlink" xfId="2832" builtinId="8" hidden="true"/>
    <cellStyle name="Hyperlink" xfId="2834" builtinId="8" hidden="true"/>
    <cellStyle name="Hyperlink" xfId="2836" builtinId="8" hidden="true"/>
    <cellStyle name="Hyperlink" xfId="2838" builtinId="8" hidden="true"/>
    <cellStyle name="Hyperlink" xfId="2840" builtinId="8" hidden="true"/>
    <cellStyle name="Hyperlink" xfId="2842" builtinId="8" hidden="true"/>
    <cellStyle name="Hyperlink" xfId="2844" builtinId="8" hidden="true"/>
    <cellStyle name="Hyperlink" xfId="2846" builtinId="8" hidden="true"/>
    <cellStyle name="Hyperlink" xfId="2848" builtinId="8" hidden="true"/>
    <cellStyle name="Hyperlink" xfId="2850" builtinId="8" hidden="true"/>
    <cellStyle name="Hyperlink" xfId="2852" builtinId="8" hidden="true"/>
    <cellStyle name="Hyperlink" xfId="2854" builtinId="8" hidden="true"/>
    <cellStyle name="Hyperlink" xfId="2856" builtinId="8" hidden="true"/>
    <cellStyle name="Hyperlink" xfId="2858" builtinId="8" hidden="true"/>
    <cellStyle name="Hyperlink" xfId="2860" builtinId="8" hidden="true"/>
    <cellStyle name="Hyperlink" xfId="2862" builtinId="8" hidden="true"/>
    <cellStyle name="Hyperlink" xfId="2864" builtinId="8" hidden="true"/>
    <cellStyle name="Hyperlink" xfId="2866" builtinId="8" hidden="true"/>
    <cellStyle name="Hyperlink" xfId="2868" builtinId="8" hidden="true"/>
    <cellStyle name="Hyperlink" xfId="2870" builtinId="8" hidden="true"/>
    <cellStyle name="Hyperlink" xfId="2872" builtinId="8" hidden="true"/>
    <cellStyle name="Hyperlink" xfId="2874" builtinId="8" hidden="true"/>
    <cellStyle name="Hyperlink" xfId="2876" builtinId="8" hidden="true"/>
    <cellStyle name="Hyperlink" xfId="2878" builtinId="8" hidden="true"/>
    <cellStyle name="Hyperlink" xfId="2880" builtinId="8" hidden="true"/>
    <cellStyle name="Hyperlink" xfId="2882" builtinId="8" hidden="true"/>
    <cellStyle name="Hyperlink" xfId="2884" builtinId="8" hidden="true"/>
    <cellStyle name="Hyperlink" xfId="2886" builtinId="8" hidden="true"/>
    <cellStyle name="Hyperlink" xfId="2888" builtinId="8" hidden="true"/>
    <cellStyle name="Hyperlink" xfId="2890" builtinId="8" hidden="true"/>
    <cellStyle name="Hyperlink" xfId="2892" builtinId="8" hidden="true"/>
    <cellStyle name="Hyperlink" xfId="2894" builtinId="8" hidden="true"/>
    <cellStyle name="Hyperlink" xfId="2896" builtinId="8" hidden="true"/>
    <cellStyle name="Hyperlink" xfId="2898" builtinId="8" hidden="true"/>
    <cellStyle name="Hyperlink" xfId="2900" builtinId="8" hidden="true"/>
    <cellStyle name="Hyperlink" xfId="2902" builtinId="8" hidden="true"/>
    <cellStyle name="Hyperlink" xfId="2904" builtinId="8" hidden="true"/>
    <cellStyle name="Hyperlink" xfId="2906" builtinId="8" hidden="true"/>
    <cellStyle name="Hyperlink" xfId="2908" builtinId="8" hidden="true"/>
    <cellStyle name="Hyperlink" xfId="2910" builtinId="8" hidden="true"/>
    <cellStyle name="Hyperlink" xfId="2912" builtinId="8" hidden="true"/>
    <cellStyle name="Hyperlink" xfId="2914" builtinId="8" hidden="true"/>
    <cellStyle name="Hyperlink" xfId="2916" builtinId="8" hidden="true"/>
    <cellStyle name="Hyperlink" xfId="2918" builtinId="8" hidden="true"/>
    <cellStyle name="Hyperlink" xfId="2920" builtinId="8" hidden="true"/>
    <cellStyle name="Hyperlink" xfId="2922" builtinId="8" hidden="true"/>
    <cellStyle name="Hyperlink" xfId="2924" builtinId="8" hidden="true"/>
    <cellStyle name="Hyperlink" xfId="2926" builtinId="8" hidden="true"/>
    <cellStyle name="Hyperlink" xfId="2928" builtinId="8" hidden="true"/>
    <cellStyle name="Hyperlink" xfId="2930" builtinId="8" hidden="true"/>
    <cellStyle name="Hyperlink" xfId="2932" builtinId="8" hidden="true"/>
    <cellStyle name="Hyperlink" xfId="2934" builtinId="8" hidden="true"/>
    <cellStyle name="Hyperlink" xfId="2936" builtinId="8" hidden="true"/>
    <cellStyle name="Hyperlink" xfId="2938" builtinId="8" hidden="true"/>
    <cellStyle name="Hyperlink" xfId="2940" builtinId="8" hidden="true"/>
    <cellStyle name="Hyperlink" xfId="2942" builtinId="8" hidden="true"/>
    <cellStyle name="Hyperlink" xfId="2944" builtinId="8" hidden="true"/>
    <cellStyle name="Hyperlink" xfId="2946" builtinId="8" hidden="true"/>
    <cellStyle name="Hyperlink" xfId="2948" builtinId="8" hidden="true"/>
    <cellStyle name="Hyperlink" xfId="2950" builtinId="8" hidden="true"/>
    <cellStyle name="Hyperlink" xfId="2952" builtinId="8" hidden="true"/>
    <cellStyle name="Hyperlink" xfId="2954" builtinId="8" hidden="true"/>
    <cellStyle name="Hyperlink" xfId="2956" builtinId="8" hidden="true"/>
    <cellStyle name="Hyperlink" xfId="2958" builtinId="8" hidden="true"/>
    <cellStyle name="Hyperlink" xfId="2960" builtinId="8" hidden="true"/>
    <cellStyle name="Hyperlink" xfId="2962" builtinId="8" hidden="true"/>
    <cellStyle name="Hyperlink" xfId="2964" builtinId="8" hidden="true"/>
    <cellStyle name="Hyperlink" xfId="2966" builtinId="8" hidden="true"/>
    <cellStyle name="Hyperlink" xfId="2968" builtinId="8" hidden="true"/>
    <cellStyle name="Hyperlink" xfId="2970" builtinId="8" hidden="true"/>
    <cellStyle name="Hyperlink" xfId="2972" builtinId="8" hidden="true"/>
    <cellStyle name="Hyperlink" xfId="2974" builtinId="8" hidden="true"/>
    <cellStyle name="Hyperlink" xfId="2976" builtinId="8" hidden="true"/>
    <cellStyle name="Hyperlink" xfId="2978" builtinId="8" hidden="true"/>
    <cellStyle name="Hyperlink" xfId="2980" builtinId="8" hidden="true"/>
    <cellStyle name="Hyperlink" xfId="2982" builtinId="8" hidden="true"/>
    <cellStyle name="Hyperlink" xfId="2984" builtinId="8" hidden="true"/>
    <cellStyle name="Hyperlink" xfId="2986" builtinId="8" hidden="true"/>
    <cellStyle name="Hyperlink" xfId="2988" builtinId="8" hidden="true"/>
    <cellStyle name="Hyperlink" xfId="2990" builtinId="8" hidden="true"/>
    <cellStyle name="Hyperlink" xfId="2992" builtinId="8" hidden="true"/>
    <cellStyle name="Hyperlink" xfId="2994" builtinId="8" hidden="true"/>
    <cellStyle name="Hyperlink" xfId="2996" builtinId="8" hidden="true"/>
    <cellStyle name="Hyperlink" xfId="2998" builtinId="8" hidden="true"/>
    <cellStyle name="Hyperlink" xfId="3000" builtinId="8" hidden="true"/>
    <cellStyle name="Hyperlink" xfId="3002" builtinId="8" hidden="true"/>
    <cellStyle name="Hyperlink" xfId="3004" builtinId="8" hidden="true"/>
    <cellStyle name="Hyperlink" xfId="3006" builtinId="8" hidden="true"/>
    <cellStyle name="Hyperlink" xfId="3008" builtinId="8" hidden="true"/>
    <cellStyle name="Hyperlink" xfId="3010" builtinId="8" hidden="true"/>
    <cellStyle name="Hyperlink" xfId="3012" builtinId="8" hidden="true"/>
    <cellStyle name="Hyperlink" xfId="3014" builtinId="8" hidden="true"/>
    <cellStyle name="Hyperlink" xfId="3016" builtinId="8" hidden="true"/>
    <cellStyle name="Hyperlink" xfId="3018" builtinId="8" hidden="true"/>
    <cellStyle name="Hyperlink" xfId="3020" builtinId="8" hidden="true"/>
    <cellStyle name="Hyperlink" xfId="3022" builtinId="8" hidden="true"/>
    <cellStyle name="Hyperlink" xfId="3024" builtinId="8" hidden="true"/>
    <cellStyle name="Hyperlink" xfId="3026" builtinId="8" hidden="true"/>
    <cellStyle name="Hyperlink" xfId="3028" builtinId="8" hidden="true"/>
    <cellStyle name="Hyperlink" xfId="3030" builtinId="8" hidden="true"/>
    <cellStyle name="Hyperlink" xfId="3032" builtinId="8" hidden="true"/>
    <cellStyle name="Hyperlink" xfId="3034" builtinId="8" hidden="true"/>
    <cellStyle name="Hyperlink" xfId="3036" builtinId="8" hidden="true"/>
    <cellStyle name="Hyperlink" xfId="3038" builtinId="8" hidden="true"/>
    <cellStyle name="Hyperlink" xfId="3040" builtinId="8" hidden="true"/>
    <cellStyle name="Hyperlink" xfId="3042" builtinId="8" hidden="true"/>
    <cellStyle name="Hyperlink" xfId="3044" builtinId="8" hidden="true"/>
    <cellStyle name="Hyperlink" xfId="3046" builtinId="8" hidden="true"/>
    <cellStyle name="Hyperlink" xfId="3048" builtinId="8" hidden="true"/>
    <cellStyle name="Hyperlink" xfId="3050" builtinId="8" hidden="true"/>
    <cellStyle name="Hyperlink" xfId="3052" builtinId="8" hidden="true"/>
    <cellStyle name="Hyperlink" xfId="3054" builtinId="8" hidden="true"/>
    <cellStyle name="Hyperlink" xfId="3056" builtinId="8" hidden="true"/>
    <cellStyle name="Hyperlink" xfId="3058" builtinId="8" hidden="true"/>
    <cellStyle name="Hyperlink" xfId="3060" builtinId="8" hidden="true"/>
    <cellStyle name="Hyperlink" xfId="3062" builtinId="8" hidden="true"/>
    <cellStyle name="Hyperlink" xfId="3064" builtinId="8" hidden="true"/>
    <cellStyle name="Hyperlink" xfId="3066" builtinId="8" hidden="true"/>
    <cellStyle name="Hyperlink" xfId="3068" builtinId="8" hidden="true"/>
    <cellStyle name="Hyperlink" xfId="3070" builtinId="8" hidden="true"/>
    <cellStyle name="Hyperlink" xfId="3072" builtinId="8" hidden="true"/>
    <cellStyle name="Hyperlink" xfId="3074" builtinId="8" hidden="true"/>
    <cellStyle name="Hyperlink" xfId="3076" builtinId="8" hidden="true"/>
    <cellStyle name="Hyperlink" xfId="3078" builtinId="8" hidden="true"/>
    <cellStyle name="Hyperlink" xfId="3080" builtinId="8" hidden="true"/>
    <cellStyle name="Hyperlink" xfId="3082" builtinId="8" hidden="true"/>
    <cellStyle name="Hyperlink" xfId="3084" builtinId="8" hidden="true"/>
    <cellStyle name="Hyperlink" xfId="3086" builtinId="8" hidden="true"/>
    <cellStyle name="Hyperlink" xfId="3088" builtinId="8" hidden="true"/>
    <cellStyle name="Hyperlink" xfId="3090" builtinId="8" hidden="true"/>
    <cellStyle name="Hyperlink" xfId="3092" builtinId="8" hidden="true"/>
    <cellStyle name="Hyperlink" xfId="3094" builtinId="8" hidden="true"/>
    <cellStyle name="Hyperlink" xfId="3096" builtinId="8" hidden="true"/>
    <cellStyle name="Hyperlink" xfId="3098" builtinId="8" hidden="true"/>
    <cellStyle name="Hyperlink" xfId="3100" builtinId="8" hidden="true"/>
    <cellStyle name="Hyperlink" xfId="3102" builtinId="8" hidden="true"/>
    <cellStyle name="Hyperlink" xfId="3104" builtinId="8" hidden="true"/>
    <cellStyle name="Hyperlink" xfId="3106" builtinId="8" hidden="true"/>
    <cellStyle name="Hyperlink" xfId="3108" builtinId="8" hidden="true"/>
    <cellStyle name="Hyperlink" xfId="3110" builtinId="8" hidden="true"/>
    <cellStyle name="Hyperlink" xfId="3112" builtinId="8" hidden="true"/>
    <cellStyle name="Hyperlink" xfId="3114" builtinId="8" hidden="true"/>
    <cellStyle name="Hyperlink" xfId="3116" builtinId="8" hidden="true"/>
    <cellStyle name="Hyperlink" xfId="3118" builtinId="8" hidden="true"/>
    <cellStyle name="Hyperlink" xfId="3120" builtinId="8" hidden="true"/>
    <cellStyle name="Hyperlink" xfId="3122" builtinId="8" hidden="true"/>
    <cellStyle name="Hyperlink" xfId="3124" builtinId="8" hidden="true"/>
    <cellStyle name="Hyperlink" xfId="3126" builtinId="8" hidden="true"/>
    <cellStyle name="Hyperlink" xfId="3128" builtinId="8" hidden="true"/>
    <cellStyle name="Hyperlink" xfId="3130" builtinId="8" hidden="true"/>
    <cellStyle name="Hyperlink" xfId="3132" builtinId="8" hidden="true"/>
    <cellStyle name="Hyperlink" xfId="3134" builtinId="8" hidden="true"/>
    <cellStyle name="Hyperlink" xfId="3136" builtinId="8" hidden="true"/>
    <cellStyle name="Hyperlink" xfId="3138" builtinId="8" hidden="true"/>
    <cellStyle name="Hyperlink" xfId="3140" builtinId="8" hidden="true"/>
    <cellStyle name="Hyperlink" xfId="3142" builtinId="8" hidden="true"/>
    <cellStyle name="Hyperlink" xfId="3144" builtinId="8" hidden="true"/>
    <cellStyle name="Hyperlink" xfId="3146" builtinId="8" hidden="true"/>
    <cellStyle name="Hyperlink" xfId="3148" builtinId="8" hidden="true"/>
    <cellStyle name="Hyperlink" xfId="3150" builtinId="8" hidden="true"/>
    <cellStyle name="Hyperlink" xfId="3152" builtinId="8" hidden="true"/>
    <cellStyle name="Hyperlink" xfId="3154" builtinId="8" hidden="true"/>
    <cellStyle name="Hyperlink" xfId="3156" builtinId="8" hidden="true"/>
    <cellStyle name="Hyperlink" xfId="3158" builtinId="8" hidden="true"/>
    <cellStyle name="Hyperlink" xfId="3160" builtinId="8" hidden="true"/>
    <cellStyle name="Hyperlink" xfId="3162" builtinId="8" hidden="true"/>
    <cellStyle name="Hyperlink" xfId="3164" builtinId="8" hidden="true"/>
    <cellStyle name="Hyperlink" xfId="3166" builtinId="8" hidden="true"/>
    <cellStyle name="Hyperlink" xfId="3168" builtinId="8" hidden="true"/>
    <cellStyle name="Hyperlink" xfId="3170" builtinId="8" hidden="true"/>
    <cellStyle name="Hyperlink" xfId="3172" builtinId="8" hidden="true"/>
    <cellStyle name="Hyperlink" xfId="3174" builtinId="8" hidden="true"/>
    <cellStyle name="Hyperlink" xfId="3176" builtinId="8" hidden="true"/>
    <cellStyle name="Hyperlink" xfId="3178" builtinId="8" hidden="true"/>
    <cellStyle name="Hyperlink" xfId="3180" builtinId="8" hidden="true"/>
    <cellStyle name="Hyperlink" xfId="3182" builtinId="8" hidden="true"/>
    <cellStyle name="Hyperlink" xfId="3184" builtinId="8" hidden="true"/>
    <cellStyle name="Hyperlink" xfId="3186" builtinId="8" hidden="true"/>
    <cellStyle name="Hyperlink" xfId="3188" builtinId="8" hidden="true"/>
    <cellStyle name="Hyperlink" xfId="3190" builtinId="8" hidden="true"/>
    <cellStyle name="Hyperlink" xfId="3192" builtinId="8" hidden="true"/>
    <cellStyle name="Hyperlink" xfId="3194" builtinId="8" hidden="true"/>
    <cellStyle name="Hyperlink" xfId="3196" builtinId="8" hidden="true"/>
    <cellStyle name="Hyperlink" xfId="3198" builtinId="8" hidden="true"/>
    <cellStyle name="Hyperlink" xfId="3200" builtinId="8" hidden="true"/>
    <cellStyle name="Hyperlink" xfId="3202" builtinId="8" hidden="true"/>
    <cellStyle name="Hyperlink" xfId="3204" builtinId="8" hidden="true"/>
    <cellStyle name="Hyperlink" xfId="3206" builtinId="8" hidden="true"/>
    <cellStyle name="Hyperlink" xfId="3208" builtinId="8" hidden="true"/>
    <cellStyle name="Hyperlink" xfId="3210" builtinId="8" hidden="true"/>
    <cellStyle name="Hyperlink" xfId="3212" builtinId="8" hidden="true"/>
    <cellStyle name="Hyperlink" xfId="3214" builtinId="8" hidden="true"/>
    <cellStyle name="Hyperlink" xfId="3216" builtinId="8" hidden="true"/>
    <cellStyle name="Hyperlink" xfId="3218" builtinId="8" hidden="true"/>
    <cellStyle name="Hyperlink" xfId="3220" builtinId="8" hidden="true"/>
    <cellStyle name="Hyperlink" xfId="3222" builtinId="8" hidden="true"/>
    <cellStyle name="Hyperlink" xfId="3224" builtinId="8" hidden="true"/>
    <cellStyle name="Hyperlink" xfId="3226" builtinId="8" hidden="true"/>
    <cellStyle name="Hyperlink" xfId="3228" builtinId="8" hidden="true"/>
    <cellStyle name="Hyperlink" xfId="3230" builtinId="8" hidden="true"/>
    <cellStyle name="Hyperlink" xfId="3232" builtinId="8" hidden="true"/>
    <cellStyle name="Hyperlink" xfId="3234" builtinId="8" hidden="true"/>
    <cellStyle name="Hyperlink" xfId="3236" builtinId="8" hidden="true"/>
    <cellStyle name="Hyperlink" xfId="3238" builtinId="8" hidden="true"/>
    <cellStyle name="Hyperlink" xfId="3240" builtinId="8" hidden="true"/>
    <cellStyle name="Hyperlink" xfId="3242" builtinId="8" hidden="true"/>
    <cellStyle name="Hyperlink" xfId="3244" builtinId="8" hidden="true"/>
    <cellStyle name="Hyperlink" xfId="3246" builtinId="8" hidden="true"/>
    <cellStyle name="Hyperlink" xfId="3248" builtinId="8" hidden="true"/>
    <cellStyle name="Hyperlink" xfId="3250" builtinId="8" hidden="true"/>
    <cellStyle name="Hyperlink" xfId="3252" builtinId="8" hidden="true"/>
    <cellStyle name="Hyperlink" xfId="3254" builtinId="8" hidden="true"/>
    <cellStyle name="Hyperlink" xfId="3256" builtinId="8" hidden="true"/>
    <cellStyle name="Hyperlink" xfId="3258" builtinId="8" hidden="true"/>
    <cellStyle name="Hyperlink" xfId="3260" builtinId="8" hidden="true"/>
    <cellStyle name="Hyperlink" xfId="3262" builtinId="8" hidden="true"/>
    <cellStyle name="Hyperlink" xfId="3264" builtinId="8" hidden="true"/>
    <cellStyle name="Hyperlink" xfId="3266" builtinId="8" hidden="true"/>
    <cellStyle name="Hyperlink" xfId="3268" builtinId="8" hidden="true"/>
    <cellStyle name="Hyperlink" xfId="3270" builtinId="8" hidden="true"/>
    <cellStyle name="Hyperlink" xfId="3272" builtinId="8" hidden="true"/>
    <cellStyle name="Hyperlink" xfId="3274" builtinId="8" hidden="true"/>
    <cellStyle name="Hyperlink" xfId="3276" builtinId="8" hidden="true"/>
    <cellStyle name="Hyperlink" xfId="3278" builtinId="8" hidden="true"/>
    <cellStyle name="Hyperlink" xfId="3280" builtinId="8" hidden="true"/>
    <cellStyle name="Hyperlink" xfId="3282" builtinId="8" hidden="true"/>
    <cellStyle name="Hyperlink" xfId="3284" builtinId="8" hidden="true"/>
    <cellStyle name="Hyperlink" xfId="3286" builtinId="8" hidden="true"/>
    <cellStyle name="Hyperlink" xfId="3288" builtinId="8" hidden="true"/>
    <cellStyle name="Hyperlink" xfId="3290" builtinId="8" hidden="true"/>
    <cellStyle name="Hyperlink" xfId="3292" builtinId="8" hidden="true"/>
    <cellStyle name="Hyperlink" xfId="3294" builtinId="8" hidden="true"/>
    <cellStyle name="Hyperlink" xfId="3296" builtinId="8" hidden="true"/>
    <cellStyle name="Hyperlink" xfId="3298" builtinId="8" hidden="true"/>
    <cellStyle name="Hyperlink" xfId="3300" builtinId="8" hidden="true"/>
    <cellStyle name="Hyperlink" xfId="3302" builtinId="8" hidden="true"/>
    <cellStyle name="Hyperlink" xfId="3304" builtinId="8" hidden="true"/>
    <cellStyle name="Hyperlink" xfId="3306" builtinId="8" hidden="true"/>
    <cellStyle name="Hyperlink" xfId="3308" builtinId="8" hidden="true"/>
    <cellStyle name="Hyperlink" xfId="3310" builtinId="8" hidden="true"/>
    <cellStyle name="Hyperlink" xfId="3312" builtinId="8" hidden="true"/>
    <cellStyle name="Hyperlink" xfId="3314" builtinId="8" hidden="true"/>
    <cellStyle name="Hyperlink" xfId="3316" builtinId="8" hidden="true"/>
    <cellStyle name="Hyperlink" xfId="3318" builtinId="8" hidden="true"/>
    <cellStyle name="Hyperlink" xfId="3320" builtinId="8" hidden="true"/>
    <cellStyle name="Hyperlink" xfId="3322" builtinId="8" hidden="true"/>
    <cellStyle name="Hyperlink" xfId="3324" builtinId="8" hidden="true"/>
    <cellStyle name="Hyperlink" xfId="3326" builtinId="8" hidden="true"/>
    <cellStyle name="Hyperlink" xfId="3328" builtinId="8" hidden="true"/>
    <cellStyle name="Hyperlink" xfId="3330" builtinId="8" hidden="true"/>
    <cellStyle name="Hyperlink" xfId="3332" builtinId="8" hidden="true"/>
    <cellStyle name="Hyperlink" xfId="3334" builtinId="8" hidden="true"/>
    <cellStyle name="Hyperlink" xfId="3336" builtinId="8" hidden="true"/>
    <cellStyle name="Hyperlink" xfId="3338" builtinId="8" hidden="true"/>
    <cellStyle name="Hyperlink" xfId="3340" builtinId="8" hidden="true"/>
    <cellStyle name="Hyperlink" xfId="3342" builtinId="8" hidden="true"/>
    <cellStyle name="Hyperlink" xfId="3344" builtinId="8" hidden="true"/>
    <cellStyle name="Hyperlink" xfId="3346" builtinId="8" hidden="true"/>
    <cellStyle name="Hyperlink" xfId="3348" builtinId="8" hidden="true"/>
    <cellStyle name="Hyperlink" xfId="3350" builtinId="8" hidden="true"/>
    <cellStyle name="Hyperlink" xfId="3352" builtinId="8" hidden="true"/>
    <cellStyle name="Hyperlink" xfId="3354" builtinId="8" hidden="true"/>
    <cellStyle name="Hyperlink" xfId="3356" builtinId="8" hidden="true"/>
    <cellStyle name="Hyperlink" xfId="3358" builtinId="8" hidden="true"/>
    <cellStyle name="Hyperlink" xfId="3360" builtinId="8" hidden="true"/>
    <cellStyle name="Hyperlink" xfId="3362" builtinId="8" hidden="true"/>
    <cellStyle name="Hyperlink" xfId="3364" builtinId="8" hidden="true"/>
    <cellStyle name="Hyperlink" xfId="3366" builtinId="8" hidden="true"/>
    <cellStyle name="Hyperlink" xfId="3368" builtinId="8" hidden="true"/>
    <cellStyle name="Hyperlink" xfId="3370" builtinId="8" hidden="true"/>
    <cellStyle name="Hyperlink" xfId="3372" builtinId="8" hidden="true"/>
    <cellStyle name="Hyperlink" xfId="3374" builtinId="8" hidden="true"/>
    <cellStyle name="Hyperlink" xfId="3376" builtinId="8" hidden="true"/>
    <cellStyle name="Hyperlink" xfId="3378" builtinId="8" hidden="true"/>
    <cellStyle name="Hyperlink" xfId="3380" builtinId="8" hidden="true"/>
    <cellStyle name="Hyperlink" xfId="3382" builtinId="8" hidden="true"/>
    <cellStyle name="Hyperlink" xfId="3384" builtinId="8" hidden="true"/>
    <cellStyle name="Hyperlink" xfId="3386" builtinId="8" hidden="true"/>
    <cellStyle name="Hyperlink" xfId="3388" builtinId="8" hidden="true"/>
    <cellStyle name="Hyperlink" xfId="3390" builtinId="8" hidden="true"/>
    <cellStyle name="Hyperlink" xfId="3392" builtinId="8" hidden="true"/>
    <cellStyle name="Hyperlink" xfId="3394" builtinId="8" hidden="true"/>
    <cellStyle name="Hyperlink" xfId="3396" builtinId="8" hidden="true"/>
    <cellStyle name="Hyperlink" xfId="3398" builtinId="8" hidden="true"/>
    <cellStyle name="Hyperlink" xfId="3400" builtinId="8" hidden="true"/>
    <cellStyle name="Hyperlink" xfId="3402" builtinId="8" hidden="true"/>
    <cellStyle name="Hyperlink" xfId="3404" builtinId="8" hidden="true"/>
    <cellStyle name="Hyperlink" xfId="3406" builtinId="8" hidden="true"/>
    <cellStyle name="Hyperlink" xfId="3408" builtinId="8" hidden="true"/>
    <cellStyle name="Hyperlink" xfId="3410" builtinId="8" hidden="true"/>
    <cellStyle name="Hyperlink" xfId="3412" builtinId="8" hidden="true"/>
    <cellStyle name="Hyperlink" xfId="3414" builtinId="8" hidden="true"/>
    <cellStyle name="Hyperlink" xfId="3416" builtinId="8" hidden="true"/>
    <cellStyle name="Hyperlink" xfId="3418" builtinId="8" hidden="true"/>
    <cellStyle name="Hyperlink" xfId="3420" builtinId="8" hidden="true"/>
    <cellStyle name="Hyperlink" xfId="3422" builtinId="8" hidden="true"/>
    <cellStyle name="Hyperlink" xfId="3424" builtinId="8" hidden="true"/>
    <cellStyle name="Hyperlink" xfId="3426" builtinId="8" hidden="true"/>
    <cellStyle name="Hyperlink" xfId="3428" builtinId="8" hidden="true"/>
    <cellStyle name="Hyperlink" xfId="3430" builtinId="8" hidden="true"/>
    <cellStyle name="Hyperlink" xfId="3432" builtinId="8" hidden="true"/>
    <cellStyle name="Hyperlink" xfId="3434" builtinId="8" hidden="true"/>
    <cellStyle name="Hyperlink" xfId="3436" builtinId="8" hidden="true"/>
    <cellStyle name="Hyperlink" xfId="3438" builtinId="8" hidden="true"/>
    <cellStyle name="Hyperlink" xfId="3440" builtinId="8" hidden="true"/>
    <cellStyle name="Hyperlink" xfId="3442" builtinId="8" hidden="true"/>
    <cellStyle name="Hyperlink" xfId="3444" builtinId="8" hidden="true"/>
    <cellStyle name="Hyperlink" xfId="3446" builtinId="8" hidden="true"/>
    <cellStyle name="Hyperlink" xfId="3448" builtinId="8" hidden="true"/>
    <cellStyle name="Hyperlink" xfId="3450" builtinId="8" hidden="true"/>
    <cellStyle name="Hyperlink" xfId="3452" builtinId="8" hidden="true"/>
    <cellStyle name="Hyperlink" xfId="3454" builtinId="8" hidden="true"/>
    <cellStyle name="Hyperlink" xfId="3456" builtinId="8" hidden="true"/>
    <cellStyle name="Hyperlink" xfId="3458" builtinId="8" hidden="true"/>
    <cellStyle name="Hyperlink" xfId="3460" builtinId="8" hidden="true"/>
    <cellStyle name="Hyperlink" xfId="3462" builtinId="8" hidden="true"/>
    <cellStyle name="Hyperlink" xfId="3464" builtinId="8" hidden="true"/>
    <cellStyle name="Hyperlink" xfId="3466" builtinId="8" hidden="true"/>
    <cellStyle name="Hyperlink" xfId="3468" builtinId="8" hidden="true"/>
    <cellStyle name="Hyperlink" xfId="3470" builtinId="8" hidden="true"/>
    <cellStyle name="Hyperlink" xfId="3472" builtinId="8" hidden="true"/>
    <cellStyle name="Hyperlink" xfId="3474" builtinId="8" hidden="true"/>
    <cellStyle name="Hyperlink" xfId="3476" builtinId="8" hidden="true"/>
    <cellStyle name="Hyperlink" xfId="3478" builtinId="8" hidden="true"/>
    <cellStyle name="Hyperlink" xfId="3480" builtinId="8" hidden="true"/>
    <cellStyle name="Hyperlink" xfId="3482" builtinId="8" hidden="true"/>
    <cellStyle name="Hyperlink" xfId="3484" builtinId="8" hidden="true"/>
    <cellStyle name="Hyperlink" xfId="3486" builtinId="8" hidden="true"/>
    <cellStyle name="Hyperlink" xfId="3488" builtinId="8" hidden="true"/>
    <cellStyle name="Hyperlink" xfId="3490" builtinId="8" hidden="true"/>
    <cellStyle name="Hyperlink" xfId="3492" builtinId="8" hidden="true"/>
    <cellStyle name="Hyperlink" xfId="3494" builtinId="8" hidden="true"/>
    <cellStyle name="Hyperlink" xfId="3496" builtinId="8" hidden="true"/>
    <cellStyle name="Hyperlink" xfId="3498" builtinId="8" hidden="true"/>
    <cellStyle name="Hyperlink" xfId="3500" builtinId="8" hidden="true"/>
    <cellStyle name="Hyperlink" xfId="3502" builtinId="8" hidden="true"/>
    <cellStyle name="Hyperlink" xfId="3504" builtinId="8" hidden="true"/>
    <cellStyle name="Hyperlink" xfId="3506" builtinId="8" hidden="true"/>
    <cellStyle name="Hyperlink" xfId="3508" builtinId="8" hidden="true"/>
    <cellStyle name="Hyperlink" xfId="3510" builtinId="8" hidden="true"/>
    <cellStyle name="Hyperlink" xfId="3512" builtinId="8" hidden="true"/>
    <cellStyle name="Hyperlink" xfId="3514" builtinId="8" hidden="true"/>
    <cellStyle name="Hyperlink" xfId="3516" builtinId="8" hidden="true"/>
    <cellStyle name="Hyperlink" xfId="3518" builtinId="8" hidden="true"/>
    <cellStyle name="Hyperlink" xfId="3520" builtinId="8" hidden="true"/>
    <cellStyle name="Hyperlink" xfId="3522" builtinId="8" hidden="true"/>
    <cellStyle name="Hyperlink" xfId="3524" builtinId="8" hidden="true"/>
    <cellStyle name="Hyperlink" xfId="3526" builtinId="8" hidden="true"/>
    <cellStyle name="Hyperlink" xfId="3528" builtinId="8" hidden="true"/>
    <cellStyle name="Hyperlink" xfId="3530" builtinId="8" hidden="true"/>
    <cellStyle name="Hyperlink" xfId="3532" builtinId="8" hidden="true"/>
    <cellStyle name="Hyperlink" xfId="3534" builtinId="8" hidden="true"/>
    <cellStyle name="Hyperlink" xfId="3536" builtinId="8" hidden="true"/>
    <cellStyle name="Hyperlink" xfId="3538" builtinId="8" hidden="true"/>
    <cellStyle name="Hyperlink" xfId="3540" builtinId="8" hidden="true"/>
    <cellStyle name="Hyperlink" xfId="3542" builtinId="8" hidden="true"/>
    <cellStyle name="Hyperlink" xfId="3544" builtinId="8" hidden="true"/>
    <cellStyle name="Hyperlink" xfId="3546" builtinId="8" hidden="true"/>
    <cellStyle name="Hyperlink" xfId="3548" builtinId="8" hidden="true"/>
    <cellStyle name="Hyperlink" xfId="3550" builtinId="8" hidden="true"/>
    <cellStyle name="Hyperlink" xfId="3552" builtinId="8" hidden="true"/>
    <cellStyle name="Hyperlink" xfId="3554" builtinId="8" hidden="true"/>
    <cellStyle name="Hyperlink" xfId="3556" builtinId="8" hidden="true"/>
    <cellStyle name="Hyperlink" xfId="3558" builtinId="8" hidden="true"/>
    <cellStyle name="Hyperlink" xfId="3560" builtinId="8" hidden="true"/>
    <cellStyle name="Hyperlink" xfId="3562" builtinId="8" hidden="true"/>
    <cellStyle name="Hyperlink" xfId="3564" builtinId="8" hidden="true"/>
    <cellStyle name="Hyperlink" xfId="3566" builtinId="8" hidden="true"/>
    <cellStyle name="Hyperlink" xfId="3568" builtinId="8" hidden="true"/>
    <cellStyle name="Hyperlink" xfId="3570" builtinId="8" hidden="true"/>
    <cellStyle name="Hyperlink" xfId="3572" builtinId="8" hidden="true"/>
    <cellStyle name="Hyperlink" xfId="3574" builtinId="8" hidden="true"/>
    <cellStyle name="Hyperlink" xfId="3576" builtinId="8" hidden="true"/>
    <cellStyle name="Hyperlink" xfId="3578" builtinId="8" hidden="true"/>
    <cellStyle name="Hyperlink" xfId="3580" builtinId="8" hidden="true"/>
    <cellStyle name="Hyperlink" xfId="3582" builtinId="8" hidden="true"/>
    <cellStyle name="Hyperlink" xfId="3584" builtinId="8" hidden="true"/>
    <cellStyle name="Hyperlink" xfId="3586" builtinId="8" hidden="true"/>
    <cellStyle name="Hyperlink" xfId="3588" builtinId="8" hidden="true"/>
    <cellStyle name="Hyperlink" xfId="3590" builtinId="8" hidden="true"/>
    <cellStyle name="Hyperlink" xfId="3592" builtinId="8" hidden="true"/>
    <cellStyle name="Hyperlink" xfId="3594" builtinId="8" hidden="true"/>
    <cellStyle name="Hyperlink" xfId="3596" builtinId="8" hidden="true"/>
    <cellStyle name="Hyperlink" xfId="3598" builtinId="8" hidden="true"/>
    <cellStyle name="Hyperlink" xfId="3600" builtinId="8" hidden="true"/>
    <cellStyle name="Hyperlink" xfId="3602" builtinId="8" hidden="true"/>
    <cellStyle name="Hyperlink" xfId="3604" builtinId="8" hidden="true"/>
    <cellStyle name="Hyperlink" xfId="3606" builtinId="8" hidden="true"/>
    <cellStyle name="Hyperlink" xfId="3608" builtinId="8" hidden="true"/>
    <cellStyle name="Hyperlink" xfId="3610" builtinId="8" hidden="true"/>
    <cellStyle name="Hyperlink" xfId="3612" builtinId="8" hidden="true"/>
    <cellStyle name="Hyperlink" xfId="3614" builtinId="8" hidden="true"/>
    <cellStyle name="Hyperlink" xfId="3616" builtinId="8" hidden="true"/>
    <cellStyle name="Hyperlink" xfId="3618" builtinId="8" hidden="true"/>
    <cellStyle name="Hyperlink" xfId="3620" builtinId="8" hidden="true"/>
    <cellStyle name="Hyperlink" xfId="3622" builtinId="8" hidden="true"/>
    <cellStyle name="Hyperlink" xfId="3624" builtinId="8" hidden="true"/>
    <cellStyle name="Hyperlink" xfId="3626" builtinId="8" hidden="true"/>
    <cellStyle name="Hyperlink" xfId="3628" builtinId="8" hidden="true"/>
    <cellStyle name="Hyperlink" xfId="3630" builtinId="8" hidden="true"/>
    <cellStyle name="Hyperlink" xfId="3632" builtinId="8" hidden="true"/>
    <cellStyle name="Hyperlink" xfId="3634" builtinId="8" hidden="true"/>
    <cellStyle name="Hyperlink" xfId="3636" builtinId="8" hidden="true"/>
    <cellStyle name="Hyperlink" xfId="3638" builtinId="8" hidden="true"/>
    <cellStyle name="Hyperlink" xfId="3640" builtinId="8" hidden="true"/>
    <cellStyle name="Hyperlink" xfId="3642" builtinId="8" hidden="true"/>
    <cellStyle name="Hyperlink" xfId="3644" builtinId="8" hidden="true"/>
    <cellStyle name="Hyperlink" xfId="3646" builtinId="8" hidden="true"/>
    <cellStyle name="Hyperlink" xfId="3648" builtinId="8" hidden="true"/>
    <cellStyle name="Hyperlink" xfId="3650" builtinId="8" hidden="true"/>
    <cellStyle name="Hyperlink" xfId="3652" builtinId="8" hidden="true"/>
    <cellStyle name="Normal" xfId="0" builtinId="0"/>
    <cellStyle name="Normal 2" xfId="971" xr:uid="{00000000-0005-0000-0000-0000450E0000}"/>
    <cellStyle name="Normal 3" xfId="3654" xr:uid="{CDCDD54B-C11F-7F43-B493-79260189BD84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<Relationships xmlns="http://schemas.openxmlformats.org/package/2006/relationships"><Relationship Target="worksheets/sheet8.xml" Type="http://schemas.openxmlformats.org/officeDocument/2006/relationships/worksheet" Id="rId8"/><Relationship Target="worksheets/sheet13.xml" Type="http://schemas.openxmlformats.org/officeDocument/2006/relationships/worksheet" Id="rId13"/><Relationship Target="styles.xml" Type="http://schemas.openxmlformats.org/officeDocument/2006/relationships/styles" Id="rId18"/><Relationship Target="worksheets/sheet3.xml" Type="http://schemas.openxmlformats.org/officeDocument/2006/relationships/worksheet" Id="rId3"/><Relationship Target="vbaProject.bin" Type="http://schemas.microsoft.com/office/2006/relationships/vbaProject" Id="rId21"/><Relationship Target="worksheets/sheet7.xml" Type="http://schemas.openxmlformats.org/officeDocument/2006/relationships/worksheet" Id="rId7"/><Relationship Target="worksheets/sheet12.xml" Type="http://schemas.openxmlformats.org/officeDocument/2006/relationships/worksheet" Id="rId12"/><Relationship Target="theme/theme1.xml" Type="http://schemas.openxmlformats.org/officeDocument/2006/relationships/theme" Id="rId17"/><Relationship Target="worksheets/sheet2.xml" Type="http://schemas.openxmlformats.org/officeDocument/2006/relationships/worksheet" Id="rId2"/><Relationship Target="worksheets/sheet16.xml" Type="http://schemas.openxmlformats.org/officeDocument/2006/relationships/worksheet" Id="rId16"/><Relationship Target="worksheets/sheet1.xml" Type="http://schemas.openxmlformats.org/officeDocument/2006/relationships/worksheet" Id="rId1"/><Relationship Target="worksheets/sheet6.xml" Type="http://schemas.openxmlformats.org/officeDocument/2006/relationships/worksheet" Id="rId6"/><Relationship Target="worksheets/sheet11.xml" Type="http://schemas.openxmlformats.org/officeDocument/2006/relationships/worksheet" Id="rId11"/><Relationship Target="worksheets/sheet5.xml" Type="http://schemas.openxmlformats.org/officeDocument/2006/relationships/worksheet" Id="rId5"/><Relationship Target="worksheets/sheet15.xml" Type="http://schemas.openxmlformats.org/officeDocument/2006/relationships/worksheet" Id="rId15"/><Relationship Target="worksheets/sheet10.xml" Type="http://schemas.openxmlformats.org/officeDocument/2006/relationships/worksheet" Id="rId10"/><Relationship Target="sharedStrings.xml" Type="http://schemas.openxmlformats.org/officeDocument/2006/relationships/sharedStrings" Id="rId19"/><Relationship Target="worksheets/sheet4.xml" Type="http://schemas.openxmlformats.org/officeDocument/2006/relationships/worksheet" Id="rId4"/><Relationship Target="worksheets/sheet9.xml" Type="http://schemas.openxmlformats.org/officeDocument/2006/relationships/worksheet" Id="rId9"/><Relationship Target="worksheets/sheet14.xml" Type="http://schemas.openxmlformats.org/officeDocument/2006/relationships/worksheet" Id="rId14"/></Relationships>
</file>

<file path=xl/drawings/_rels/drawing1.xml.rels><?xml version="1.0" encoding="UTF-8"?><Relationships xmlns="http://schemas.openxmlformats.org/package/2006/relationships"><Relationship Target="../media/image2.png" Type="http://schemas.openxmlformats.org/officeDocument/2006/relationships/image" Id="rId2"/><Relationship Target="../media/image1.png" Type="http://schemas.openxmlformats.org/officeDocument/2006/relationships/image" Id="rId1"/></Relationships>
</file>

<file path=xl/drawings/drawing1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true">
          <a:extLst>
            <a:ext xmlns:a14="http://schemas.microsoft.com/office/drawing/2010/main" uri="{63B3BB69-23CF-44E3-9099-C40C66FF867C}">
              <a14:compatExt xmlns:a14="http://schemas.microsoft.com/office/drawing/2010/main" spid="_x0000_s5123"/>
            </a:ext>
            <a:ext xmlns:a16="http://schemas.microsoft.com/office/drawing/2014/main"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xmlns:a16="http://schemas.microsoft.com/office/drawing/2014/main"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true"/>
        </xdr:cNvPicPr>
      </xdr:nvPicPr>
      <xdr:blipFill rotWithShape="true">
        <a:blip r:embed="rId1">
          <a:extLst>
            <a:ext xmlns:a14="http://schemas.microsoft.com/office/drawing/2010/main"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xmlns:a16="http://schemas.microsoft.com/office/drawing/2014/main"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true"/>
        </xdr:cNvPicPr>
      </xdr:nvPicPr>
      <xdr:blipFill rotWithShape="true">
        <a:blip r:embed="rId2">
          <a:extLst>
            <a:ext xmlns:a14="http://schemas.microsoft.com/office/drawing/2010/main"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true">
          <a:extLst>
            <a:ext xmlns:a14="http://schemas.microsoft.com/office/drawing/2010/main" uri="{63B3BB69-23CF-44E3-9099-C40C66FF867C}">
              <a14:compatExt xmlns:a14="http://schemas.microsoft.com/office/drawing/2010/main" spid="_x0000_s19459"/>
            </a:ext>
            <a:ext xmlns:a16="http://schemas.microsoft.com/office/drawing/2014/main"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true">
          <a:extLst>
            <a:ext xmlns:a14="http://schemas.microsoft.com/office/drawing/2010/main" uri="{63B3BB69-23CF-44E3-9099-C40C66FF867C}">
              <a14:compatExt xmlns:a14="http://schemas.microsoft.com/office/drawing/2010/main" spid="_x0000_s19460"/>
            </a:ext>
            <a:ext xmlns:a16="http://schemas.microsoft.com/office/drawing/2014/main"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?><Relationships xmlns="http://schemas.openxmlformats.org/package/2006/relationships"><Relationship Target="../drawings/drawing1.xml" Type="http://schemas.openxmlformats.org/officeDocument/2006/relationships/drawing" Id="rId1"/></Relationships>
</file>

<file path=xl/worksheets/_rels/sheet12.xml.rels><?xml version="1.0" encoding="UTF-8"?><Relationships xmlns="http://schemas.openxmlformats.org/package/2006/relationships"><Relationship Target="../drawings/drawing2.xml" Type="http://schemas.openxmlformats.org/officeDocument/2006/relationships/drawing" Id="rId1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51"/>
  <sheetViews>
    <sheetView zoomScale="125" zoomScaleNormal="125" zoomScalePageLayoutView="125" workbookViewId="0">
      <selection activeCell="B14" sqref="B14"/>
    </sheetView>
  </sheetViews>
  <sheetFormatPr baseColWidth="10" defaultColWidth="8.83203125" defaultRowHeight="13" x14ac:dyDescent="0.15"/>
  <cols>
    <col min="2" max="2" width="34.83203125" customWidth="true"/>
  </cols>
  <sheetData>
    <row r="2" x14ac:dyDescent="0.15">
      <c r="B2" t="s">
        <v>146</v>
      </c>
    </row>
    <row r="3" x14ac:dyDescent="0.15">
      <c r="B3" t="s">
        <v>147</v>
      </c>
    </row>
    <row r="4" x14ac:dyDescent="0.15">
      <c r="B4" s="55" t="s">
        <v>168</v>
      </c>
    </row>
    <row r="6" ht="14" thickBot="true" x14ac:dyDescent="0.2">
      <c r="B6" s="42" t="s">
        <v>142</v>
      </c>
    </row>
    <row r="7" x14ac:dyDescent="0.15">
      <c r="B7" s="55" t="s">
        <v>144</v>
      </c>
    </row>
    <row r="8" x14ac:dyDescent="0.15">
      <c r="B8" s="55" t="s">
        <v>143</v>
      </c>
    </row>
    <row r="9" x14ac:dyDescent="0.15">
      <c r="B9" s="55" t="s">
        <v>145</v>
      </c>
    </row>
    <row r="10" x14ac:dyDescent="0.15">
      <c r="B10" s="55" t="s">
        <v>148</v>
      </c>
    </row>
    <row r="11" x14ac:dyDescent="0.15">
      <c r="B11" s="55" t="s">
        <v>152</v>
      </c>
    </row>
    <row r="12" x14ac:dyDescent="0.15">
      <c r="B12" s="55" t="s">
        <v>154</v>
      </c>
    </row>
    <row r="13" x14ac:dyDescent="0.15">
      <c r="B13" s="55" t="s">
        <v>169</v>
      </c>
    </row>
    <row r="15" ht="14" thickBot="true" x14ac:dyDescent="0.2"/>
    <row r="16" ht="14" thickBot="true" x14ac:dyDescent="0.2">
      <c r="B16" s="43" t="s">
        <v>138</v>
      </c>
      <c r="C16" s="44"/>
      <c r="D16" s="26">
        <v>41373</v>
      </c>
    </row>
    <row r="17" x14ac:dyDescent="0.15">
      <c r="B17" s="45" t="s">
        <v>58</v>
      </c>
      <c r="C17" s="29">
        <v>0</v>
      </c>
    </row>
    <row r="18" x14ac:dyDescent="0.15">
      <c r="B18" s="45" t="s">
        <v>59</v>
      </c>
      <c r="C18" s="29">
        <v>1</v>
      </c>
    </row>
    <row r="19" x14ac:dyDescent="0.15">
      <c r="B19" s="45" t="s">
        <v>60</v>
      </c>
      <c r="C19" s="29">
        <v>2</v>
      </c>
    </row>
    <row r="20" ht="14" thickBot="true" x14ac:dyDescent="0.2">
      <c r="B20" s="46" t="s">
        <v>44</v>
      </c>
      <c r="C20" s="30">
        <v>3</v>
      </c>
    </row>
    <row r="21" x14ac:dyDescent="0.15">
      <c r="B21" s="47" t="s">
        <v>141</v>
      </c>
    </row>
    <row r="22" ht="14" thickBot="true" x14ac:dyDescent="0.2"/>
    <row r="23" ht="14" thickBot="true" x14ac:dyDescent="0.2">
      <c r="B23" s="43" t="s">
        <v>66</v>
      </c>
      <c r="C23" s="44"/>
      <c r="D23" s="26" t="s">
        <v>149</v>
      </c>
    </row>
    <row r="24" x14ac:dyDescent="0.15">
      <c r="B24" s="48" t="s">
        <v>38</v>
      </c>
      <c r="C24" s="27">
        <v>1</v>
      </c>
    </row>
    <row r="25" x14ac:dyDescent="0.15">
      <c r="B25" s="45" t="s">
        <v>40</v>
      </c>
      <c r="C25" s="29">
        <v>1.1000000000000001</v>
      </c>
    </row>
    <row r="26" x14ac:dyDescent="0.15">
      <c r="B26" s="45" t="s">
        <v>41</v>
      </c>
      <c r="C26" s="29">
        <v>1.2</v>
      </c>
    </row>
    <row r="27" x14ac:dyDescent="0.15">
      <c r="B27" s="45"/>
      <c r="C27" s="29"/>
    </row>
    <row r="28" x14ac:dyDescent="0.15">
      <c r="B28" s="45" t="s">
        <v>42</v>
      </c>
      <c r="C28" s="29">
        <v>2.1</v>
      </c>
    </row>
    <row r="29" x14ac:dyDescent="0.15">
      <c r="B29" s="45" t="s">
        <v>43</v>
      </c>
      <c r="C29" s="29">
        <v>2.2000000000000002</v>
      </c>
    </row>
    <row r="30" x14ac:dyDescent="0.15">
      <c r="B30" s="45" t="s">
        <v>68</v>
      </c>
      <c r="C30" s="29">
        <v>2.2999999999999998</v>
      </c>
    </row>
    <row r="31" x14ac:dyDescent="0.15">
      <c r="B31" s="45"/>
      <c r="C31" s="29"/>
    </row>
    <row r="32" x14ac:dyDescent="0.15">
      <c r="B32" s="45" t="s">
        <v>63</v>
      </c>
      <c r="C32" s="29">
        <v>3.11</v>
      </c>
    </row>
    <row r="33" x14ac:dyDescent="0.15">
      <c r="B33" s="45" t="s">
        <v>62</v>
      </c>
      <c r="C33" s="29">
        <v>3.12</v>
      </c>
    </row>
    <row r="34" x14ac:dyDescent="0.15">
      <c r="B34" s="45" t="s">
        <v>69</v>
      </c>
      <c r="C34" s="29">
        <v>3.13</v>
      </c>
    </row>
    <row r="35" x14ac:dyDescent="0.15">
      <c r="B35" s="45"/>
      <c r="C35" s="29"/>
    </row>
    <row r="36" x14ac:dyDescent="0.15">
      <c r="B36" s="45" t="s">
        <v>67</v>
      </c>
      <c r="C36" s="29">
        <v>3.21</v>
      </c>
    </row>
    <row r="37" x14ac:dyDescent="0.15">
      <c r="B37" s="45" t="s">
        <v>64</v>
      </c>
      <c r="C37" s="29">
        <v>3.22</v>
      </c>
    </row>
    <row r="38" x14ac:dyDescent="0.15">
      <c r="B38" s="45" t="s">
        <v>70</v>
      </c>
      <c r="C38" s="29">
        <v>3.23</v>
      </c>
    </row>
    <row r="39" x14ac:dyDescent="0.15">
      <c r="B39" s="45"/>
      <c r="C39" s="29"/>
    </row>
    <row r="40" x14ac:dyDescent="0.15">
      <c r="B40" s="45" t="s">
        <v>65</v>
      </c>
      <c r="C40" s="29">
        <v>8</v>
      </c>
    </row>
    <row r="41" x14ac:dyDescent="0.15">
      <c r="B41" s="45"/>
      <c r="C41" s="29"/>
    </row>
    <row r="42" x14ac:dyDescent="0.15">
      <c r="B42" s="45" t="s">
        <v>72</v>
      </c>
      <c r="C42" s="29">
        <v>4.0999999999999996</v>
      </c>
    </row>
    <row r="43" x14ac:dyDescent="0.15">
      <c r="B43" s="45" t="s">
        <v>71</v>
      </c>
      <c r="C43" s="29">
        <v>4.2</v>
      </c>
    </row>
    <row r="44" x14ac:dyDescent="0.15">
      <c r="B44" s="45" t="s">
        <v>73</v>
      </c>
      <c r="C44" s="29">
        <v>4.3</v>
      </c>
    </row>
    <row r="45" x14ac:dyDescent="0.15">
      <c r="B45" s="28"/>
      <c r="C45" s="29"/>
    </row>
    <row r="46" x14ac:dyDescent="0.15">
      <c r="B46" s="45" t="s">
        <v>139</v>
      </c>
      <c r="C46" s="29">
        <v>6.1</v>
      </c>
    </row>
    <row r="47" x14ac:dyDescent="0.15">
      <c r="B47" s="45" t="s">
        <v>45</v>
      </c>
      <c r="C47" s="29">
        <v>6.2</v>
      </c>
    </row>
    <row r="48" x14ac:dyDescent="0.15">
      <c r="B48" s="45"/>
      <c r="C48" s="29"/>
    </row>
    <row r="49" x14ac:dyDescent="0.15">
      <c r="B49" s="45" t="s">
        <v>44</v>
      </c>
      <c r="C49" s="29">
        <v>5</v>
      </c>
    </row>
    <row r="50" x14ac:dyDescent="0.15">
      <c r="B50" s="45"/>
      <c r="C50" s="29"/>
    </row>
    <row r="51" ht="14" thickBot="true" x14ac:dyDescent="0.2">
      <c r="B51" s="46" t="s">
        <v>74</v>
      </c>
      <c r="C51" s="30">
        <v>7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W206"/>
  <sheetViews>
    <sheetView topLeftCell="E1" workbookViewId="0">
      <selection activeCell="P5" sqref="P5"/>
    </sheetView>
  </sheetViews>
  <sheetFormatPr baseColWidth="10" defaultColWidth="8.83203125" defaultRowHeight="15" customHeight="true" x14ac:dyDescent="0.2"/>
  <cols>
    <col min="1" max="1" width="22.5" style="76" customWidth="true"/>
    <col min="2" max="2" width="7.6640625" style="76" customWidth="true"/>
    <col min="3" max="3" width="8.83203125" style="76"/>
    <col min="4" max="4" width="14.33203125" style="76" customWidth="true"/>
    <col min="5" max="5" width="41.83203125" style="76" bestFit="true" customWidth="true"/>
    <col min="6" max="6" width="9.5" style="76" bestFit="true" customWidth="true"/>
    <col min="7" max="7" width="8.1640625" style="76" bestFit="true" customWidth="true"/>
    <col min="8" max="9" width="8.83203125" style="76"/>
    <col min="10" max="10" width="9.1640625" style="76" bestFit="true" customWidth="true"/>
    <col min="11" max="25" width="8.83203125" style="76"/>
    <col min="26" max="26" width="16.1640625" bestFit="true" customWidth="true"/>
    <col min="27" max="27" width="23.6640625" customWidth="true"/>
    <col min="28" max="28" width="18.83203125" bestFit="true" customWidth="true"/>
    <col min="29" max="29" width="18.83203125" customWidth="true"/>
    <col min="30" max="30" width="16.33203125" customWidth="true"/>
    <col min="32" max="32" width="8.83203125" customWidth="true"/>
    <col min="39" max="39" width="8.83203125" customWidth="true"/>
    <col min="50" max="16384" width="8.83203125" style="76"/>
  </cols>
  <sheetData>
    <row r="1" s="88" customFormat="true" ht="15" customHeight="true" x14ac:dyDescent="0.2">
      <c r="A1" s="87" t="s">
        <v>18</v>
      </c>
      <c r="C1" s="89" t="s">
        <v>8</v>
      </c>
      <c r="D1" s="87" t="s">
        <v>23</v>
      </c>
      <c r="E1" s="87" t="s">
        <v>0</v>
      </c>
      <c r="F1" s="87" t="s">
        <v>7</v>
      </c>
      <c r="G1" s="90" t="s">
        <v>13</v>
      </c>
      <c r="H1" s="87" t="s">
        <v>1</v>
      </c>
      <c r="I1" s="87" t="s">
        <v>2</v>
      </c>
      <c r="J1" s="87" t="s">
        <v>14</v>
      </c>
      <c r="K1" s="87" t="s">
        <v>3</v>
      </c>
      <c r="L1" s="87" t="s">
        <v>4</v>
      </c>
      <c r="M1" s="87" t="s">
        <v>5</v>
      </c>
      <c r="N1" s="87" t="s">
        <v>6</v>
      </c>
      <c r="O1" s="76"/>
      <c r="P1" s="85" t="s">
        <v>176</v>
      </c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</row>
    <row r="2" ht="15" customHeight="true" x14ac:dyDescent="0.2">
      <c r="C2">
        <v>1</v>
      </c>
      <c r="D2"/>
      <c r="E2" s="209" t="s">
        <v>182</v>
      </c>
      <c r="F2" s="3">
        <v>1</v>
      </c>
      <c r="G2" s="209">
        <v>76.938000000000002</v>
      </c>
      <c r="H2" s="209">
        <v>154.4</v>
      </c>
      <c r="I2" s="209"/>
      <c r="J2" s="209"/>
      <c r="K2"/>
      <c r="L2" s="210">
        <v>0</v>
      </c>
      <c r="M2" s="142">
        <v>0</v>
      </c>
      <c r="N2" s="142">
        <v>0</v>
      </c>
      <c r="O2"/>
      <c r="P2"/>
    </row>
    <row r="3" ht="15" customHeight="true" x14ac:dyDescent="0.2">
      <c r="A3" s="91" t="s">
        <v>9</v>
      </c>
      <c r="B3" s="75">
        <v>31</v>
      </c>
      <c r="C3">
        <f>C2+1</f>
        <v>2</v>
      </c>
      <c r="D3"/>
      <c r="E3" s="209" t="s">
        <v>183</v>
      </c>
      <c r="F3" s="3">
        <v>1</v>
      </c>
      <c r="G3" s="210"/>
      <c r="H3" s="210">
        <v>15</v>
      </c>
      <c r="I3" s="210"/>
      <c r="J3" s="3">
        <v>0.5</v>
      </c>
      <c r="K3"/>
      <c r="L3" s="210">
        <v>0</v>
      </c>
      <c r="M3" s="142">
        <v>0</v>
      </c>
      <c r="N3" s="142">
        <v>0</v>
      </c>
      <c r="O3"/>
      <c r="P3"/>
    </row>
    <row r="4" ht="15" customHeight="true" x14ac:dyDescent="0.2">
      <c r="A4" s="91" t="s">
        <v>10</v>
      </c>
      <c r="B4" s="75">
        <v>2</v>
      </c>
      <c r="C4">
        <f t="shared" ref="C4:C47" si="0">C3+1</f>
        <v>3</v>
      </c>
      <c r="D4"/>
      <c r="E4" s="209" t="s">
        <v>184</v>
      </c>
      <c r="F4" s="3">
        <v>0</v>
      </c>
      <c r="G4" s="210"/>
      <c r="H4" s="210">
        <v>482</v>
      </c>
      <c r="I4" s="210">
        <v>1928</v>
      </c>
      <c r="J4" s="3">
        <v>0.95</v>
      </c>
      <c r="K4"/>
      <c r="L4" s="210">
        <v>0</v>
      </c>
      <c r="M4" s="142">
        <v>0.2</v>
      </c>
      <c r="N4" s="142">
        <v>0</v>
      </c>
      <c r="O4"/>
      <c r="P4"/>
      <c r="V4" s="91" t="s">
        <v>29</v>
      </c>
    </row>
    <row r="5" ht="15" customHeight="true" thickBot="true" x14ac:dyDescent="0.25">
      <c r="A5" s="91" t="s">
        <v>11</v>
      </c>
      <c r="B5" s="75">
        <v>13</v>
      </c>
      <c r="C5">
        <f t="shared" si="0"/>
        <v>4</v>
      </c>
      <c r="D5"/>
      <c r="E5" s="209" t="s">
        <v>185</v>
      </c>
      <c r="F5" s="3">
        <v>0</v>
      </c>
      <c r="G5" s="210"/>
      <c r="H5" s="210">
        <v>40</v>
      </c>
      <c r="I5" s="210">
        <v>133.333</v>
      </c>
      <c r="J5" s="3">
        <v>0.95</v>
      </c>
      <c r="K5"/>
      <c r="L5" s="210">
        <v>0</v>
      </c>
      <c r="M5" s="142">
        <v>0.35</v>
      </c>
      <c r="N5" s="142">
        <v>0</v>
      </c>
      <c r="O5"/>
      <c r="P5"/>
      <c r="Q5" s="84"/>
      <c r="R5" s="84"/>
    </row>
    <row r="6" ht="15" customHeight="true" thickBot="true" x14ac:dyDescent="0.25">
      <c r="B6" s="91"/>
      <c r="C6">
        <f t="shared" si="0"/>
        <v>5</v>
      </c>
      <c r="D6"/>
      <c r="E6" s="209" t="s">
        <v>186</v>
      </c>
      <c r="F6" s="3">
        <v>0</v>
      </c>
      <c r="G6" s="210"/>
      <c r="H6" s="210">
        <v>13</v>
      </c>
      <c r="I6" s="210">
        <v>31.707000000000001</v>
      </c>
      <c r="J6" s="3">
        <v>0.95</v>
      </c>
      <c r="K6"/>
      <c r="L6" s="210">
        <v>0</v>
      </c>
      <c r="M6" s="142">
        <v>0.2</v>
      </c>
      <c r="N6" s="142">
        <v>0</v>
      </c>
      <c r="O6"/>
      <c r="P6"/>
      <c r="Q6" s="84"/>
      <c r="R6" s="84"/>
      <c r="W6" s="92" t="s">
        <v>31</v>
      </c>
      <c r="X6" s="93">
        <f>MAX(MainOutputs!G:G)</f>
        <v>0.99787920713424683</v>
      </c>
    </row>
    <row r="7" ht="15" customHeight="true" x14ac:dyDescent="0.2">
      <c r="A7" s="94" t="s">
        <v>27</v>
      </c>
      <c r="B7" s="76">
        <f ca="true">COUNTIF(OFFSET(cornerDiets,1,1,NumLiving+NumDead+1,NumLiving+NumDead),"&gt;0")+NumLiving+NumDead+1</f>
        <v>268</v>
      </c>
      <c r="C7">
        <f t="shared" si="0"/>
        <v>6</v>
      </c>
      <c r="D7"/>
      <c r="E7" s="209" t="s">
        <v>187</v>
      </c>
      <c r="F7" s="3">
        <v>0</v>
      </c>
      <c r="G7" s="210">
        <v>4.5449999999999999</v>
      </c>
      <c r="H7" s="210">
        <v>0.58399999999999996</v>
      </c>
      <c r="I7" s="210">
        <v>1.669</v>
      </c>
      <c r="J7" s="210"/>
      <c r="K7"/>
      <c r="L7" s="210">
        <v>0</v>
      </c>
      <c r="M7" s="142">
        <v>0.2</v>
      </c>
      <c r="N7" s="142">
        <v>0</v>
      </c>
      <c r="O7"/>
      <c r="P7"/>
      <c r="Q7" s="84"/>
      <c r="R7" s="84"/>
    </row>
    <row r="8" ht="15" customHeight="true" x14ac:dyDescent="0.2">
      <c r="A8" s="94" t="s">
        <v>28</v>
      </c>
      <c r="B8" s="76">
        <f ca="true">COUNTIF(OFFSET(cornerFishing,1,2,NumLiving+NumDead,NumGears),"&gt;0")+NumDead*COUNTIF(OFFSET(cornerDiscards,1,2,NumLiving+NumDead,NumGears),"&gt;0")+NumLiving+NumDead+1</f>
        <v>75</v>
      </c>
      <c r="C8">
        <f t="shared" si="0"/>
        <v>7</v>
      </c>
      <c r="D8"/>
      <c r="E8" s="209" t="s">
        <v>188</v>
      </c>
      <c r="F8" s="3">
        <v>0</v>
      </c>
      <c r="G8" s="210"/>
      <c r="H8" s="210">
        <v>1.4</v>
      </c>
      <c r="I8" s="210">
        <v>14.4</v>
      </c>
      <c r="J8" s="3">
        <v>0.99</v>
      </c>
      <c r="K8"/>
      <c r="L8" s="210">
        <v>0</v>
      </c>
      <c r="M8" s="142">
        <v>0.35</v>
      </c>
      <c r="N8" s="142">
        <v>0</v>
      </c>
      <c r="O8"/>
      <c r="P8"/>
      <c r="Q8" s="84"/>
      <c r="R8" s="84"/>
    </row>
    <row r="9" ht="15" customHeight="true" x14ac:dyDescent="0.2">
      <c r="B9" s="91"/>
      <c r="C9">
        <f t="shared" si="0"/>
        <v>8</v>
      </c>
      <c r="D9"/>
      <c r="E9" s="209" t="s">
        <v>189</v>
      </c>
      <c r="F9" s="3">
        <v>0</v>
      </c>
      <c r="G9" s="210"/>
      <c r="H9" s="210">
        <v>1.2</v>
      </c>
      <c r="I9" s="210">
        <v>12.371</v>
      </c>
      <c r="J9" s="3">
        <v>0.99</v>
      </c>
      <c r="K9"/>
      <c r="L9" s="210">
        <v>0</v>
      </c>
      <c r="M9" s="142">
        <v>0.35</v>
      </c>
      <c r="N9" s="142">
        <v>0</v>
      </c>
      <c r="O9"/>
      <c r="P9"/>
      <c r="Q9" s="84"/>
      <c r="R9" s="84"/>
    </row>
    <row r="10" ht="15" customHeight="true" x14ac:dyDescent="0.2">
      <c r="B10" s="91"/>
      <c r="C10">
        <f t="shared" si="0"/>
        <v>9</v>
      </c>
      <c r="D10"/>
      <c r="E10" s="209" t="s">
        <v>190</v>
      </c>
      <c r="F10" s="3">
        <v>0</v>
      </c>
      <c r="G10" s="209">
        <v>5.5549999999999997</v>
      </c>
      <c r="H10" s="209">
        <v>1.3</v>
      </c>
      <c r="I10" s="209">
        <v>13</v>
      </c>
      <c r="J10" s="209"/>
      <c r="K10"/>
      <c r="L10" s="210">
        <v>0</v>
      </c>
      <c r="M10" s="142">
        <v>0.35</v>
      </c>
      <c r="N10" s="142">
        <v>0</v>
      </c>
      <c r="O10"/>
      <c r="P10"/>
    </row>
    <row r="11" ht="15" customHeight="true" x14ac:dyDescent="0.2">
      <c r="C11">
        <f t="shared" si="0"/>
        <v>10</v>
      </c>
      <c r="D11"/>
      <c r="E11" s="209" t="s">
        <v>191</v>
      </c>
      <c r="F11" s="3">
        <v>0</v>
      </c>
      <c r="G11" s="209">
        <v>0.36399999999999999</v>
      </c>
      <c r="H11" s="209">
        <v>1</v>
      </c>
      <c r="I11" s="209">
        <v>10</v>
      </c>
      <c r="J11" s="209"/>
      <c r="K11"/>
      <c r="L11" s="210">
        <v>0</v>
      </c>
      <c r="M11" s="142">
        <v>0.35</v>
      </c>
      <c r="N11" s="142">
        <v>0</v>
      </c>
      <c r="O11"/>
      <c r="P11"/>
    </row>
    <row r="12" ht="15" customHeight="true" x14ac:dyDescent="0.2">
      <c r="C12">
        <f t="shared" si="0"/>
        <v>11</v>
      </c>
      <c r="D12"/>
      <c r="E12" s="209" t="s">
        <v>192</v>
      </c>
      <c r="F12" s="3">
        <v>0</v>
      </c>
      <c r="G12" s="209">
        <v>0.28399999999999997</v>
      </c>
      <c r="H12" s="209">
        <v>0.8</v>
      </c>
      <c r="I12" s="209">
        <v>8</v>
      </c>
      <c r="J12" s="209"/>
      <c r="K12"/>
      <c r="L12" s="210">
        <v>0</v>
      </c>
      <c r="M12" s="142">
        <v>0.2</v>
      </c>
      <c r="N12" s="142">
        <v>0</v>
      </c>
      <c r="O12"/>
      <c r="P12"/>
    </row>
    <row r="13" ht="15" customHeight="true" x14ac:dyDescent="0.2">
      <c r="C13">
        <f t="shared" si="0"/>
        <v>12</v>
      </c>
      <c r="D13"/>
      <c r="E13" s="211" t="s">
        <v>193</v>
      </c>
      <c r="F13" s="3">
        <v>0</v>
      </c>
      <c r="G13" s="209">
        <v>0.48619600000000002</v>
      </c>
      <c r="H13" s="209"/>
      <c r="I13" s="209">
        <v>22.206340000000001</v>
      </c>
      <c r="J13" s="209"/>
      <c r="K13" s="212">
        <v>5.3999999999999999E-2</v>
      </c>
      <c r="L13" s="210">
        <v>0</v>
      </c>
      <c r="M13" s="142">
        <v>0.35</v>
      </c>
      <c r="N13" s="142">
        <v>0</v>
      </c>
      <c r="O13"/>
      <c r="P13"/>
    </row>
    <row r="14" ht="15" customHeight="true" x14ac:dyDescent="0.2">
      <c r="C14">
        <f t="shared" si="0"/>
        <v>13</v>
      </c>
      <c r="D14"/>
      <c r="E14" s="211" t="s">
        <v>194</v>
      </c>
      <c r="F14" s="3">
        <v>0</v>
      </c>
      <c r="G14" s="209">
        <v>1.6180000000000001</v>
      </c>
      <c r="H14" s="209"/>
      <c r="I14" s="209">
        <v>10</v>
      </c>
      <c r="J14" s="209"/>
      <c r="K14" s="212">
        <v>0.15</v>
      </c>
      <c r="L14" s="210">
        <v>0</v>
      </c>
      <c r="M14" s="142">
        <v>0.3</v>
      </c>
      <c r="N14" s="142">
        <v>0</v>
      </c>
      <c r="O14"/>
      <c r="P14"/>
    </row>
    <row r="15" ht="15" customHeight="true" x14ac:dyDescent="0.2">
      <c r="C15">
        <f t="shared" si="0"/>
        <v>14</v>
      </c>
      <c r="D15"/>
      <c r="E15" s="209" t="s">
        <v>195</v>
      </c>
      <c r="F15" s="3">
        <v>0</v>
      </c>
      <c r="G15" s="210"/>
      <c r="H15" s="210">
        <v>1.2</v>
      </c>
      <c r="I15" s="210">
        <v>12</v>
      </c>
      <c r="J15" s="210">
        <v>0.99</v>
      </c>
      <c r="K15"/>
      <c r="L15" s="210">
        <v>0</v>
      </c>
      <c r="M15" s="142">
        <v>0.35</v>
      </c>
      <c r="N15" s="142">
        <v>0</v>
      </c>
      <c r="O15"/>
      <c r="P15"/>
    </row>
    <row r="16" ht="15" customHeight="true" x14ac:dyDescent="0.2">
      <c r="C16">
        <f t="shared" si="0"/>
        <v>15</v>
      </c>
      <c r="D16"/>
      <c r="E16" s="209" t="s">
        <v>196</v>
      </c>
      <c r="F16" s="3">
        <v>0</v>
      </c>
      <c r="G16" s="210"/>
      <c r="H16" s="210">
        <v>0.5</v>
      </c>
      <c r="I16" s="210">
        <v>5</v>
      </c>
      <c r="J16" s="210">
        <v>0.99</v>
      </c>
      <c r="K16"/>
      <c r="L16" s="210">
        <v>0</v>
      </c>
      <c r="M16" s="142">
        <v>0.2</v>
      </c>
      <c r="N16" s="142">
        <v>0</v>
      </c>
      <c r="O16"/>
      <c r="P16"/>
    </row>
    <row r="17" ht="15" customHeight="true" x14ac:dyDescent="0.2">
      <c r="C17">
        <f t="shared" si="0"/>
        <v>16</v>
      </c>
      <c r="D17"/>
      <c r="E17" s="209" t="s">
        <v>197</v>
      </c>
      <c r="F17" s="3">
        <v>0</v>
      </c>
      <c r="G17" s="209">
        <v>0.13100000000000001</v>
      </c>
      <c r="H17" s="209">
        <v>0.49299999999999999</v>
      </c>
      <c r="I17" s="209">
        <v>4.93</v>
      </c>
      <c r="J17" s="209"/>
      <c r="K17"/>
      <c r="L17" s="210">
        <v>0</v>
      </c>
      <c r="M17" s="142">
        <v>0.2</v>
      </c>
      <c r="N17" s="142">
        <v>0</v>
      </c>
      <c r="O17"/>
      <c r="P17"/>
      <c r="V17" s="91" t="s">
        <v>30</v>
      </c>
    </row>
    <row r="18" ht="15" customHeight="true" x14ac:dyDescent="0.2">
      <c r="C18">
        <f t="shared" si="0"/>
        <v>17</v>
      </c>
      <c r="D18"/>
      <c r="E18" s="209" t="s">
        <v>198</v>
      </c>
      <c r="F18" s="3">
        <v>0</v>
      </c>
      <c r="G18" s="209">
        <v>1.3640000000000001</v>
      </c>
      <c r="H18" s="209">
        <v>3.5</v>
      </c>
      <c r="I18" s="209">
        <v>10</v>
      </c>
      <c r="J18" s="209"/>
      <c r="K18"/>
      <c r="L18" s="210">
        <v>0</v>
      </c>
      <c r="M18" s="142">
        <v>0.2</v>
      </c>
      <c r="N18" s="142">
        <v>0</v>
      </c>
      <c r="O18"/>
      <c r="P18"/>
      <c r="V18" s="91"/>
    </row>
    <row r="19" ht="15" customHeight="true" x14ac:dyDescent="0.2">
      <c r="C19">
        <f t="shared" si="0"/>
        <v>18</v>
      </c>
      <c r="D19"/>
      <c r="E19" s="213" t="s">
        <v>199</v>
      </c>
      <c r="F19" s="3">
        <v>0</v>
      </c>
      <c r="G19" s="209">
        <v>0.50244650000000002</v>
      </c>
      <c r="H19" s="209"/>
      <c r="I19" s="209">
        <v>15.68333</v>
      </c>
      <c r="J19" s="209"/>
      <c r="K19" s="212">
        <v>0.13500000000000001</v>
      </c>
      <c r="L19" s="210">
        <v>0</v>
      </c>
      <c r="M19" s="142">
        <v>0.35</v>
      </c>
      <c r="N19" s="142">
        <v>0</v>
      </c>
      <c r="O19"/>
      <c r="P19"/>
    </row>
    <row r="20" ht="15" customHeight="true" thickBot="true" x14ac:dyDescent="0.25">
      <c r="C20">
        <f t="shared" si="0"/>
        <v>19</v>
      </c>
      <c r="D20"/>
      <c r="E20" s="213" t="s">
        <v>200</v>
      </c>
      <c r="F20" s="3">
        <v>0</v>
      </c>
      <c r="G20" s="209">
        <v>0.82299999999999995</v>
      </c>
      <c r="H20" s="209"/>
      <c r="I20" s="209">
        <v>4.3999990000000002</v>
      </c>
      <c r="J20" s="209"/>
      <c r="K20" s="212">
        <v>0.182</v>
      </c>
      <c r="L20" s="210">
        <v>0</v>
      </c>
      <c r="M20" s="142">
        <v>0.2</v>
      </c>
      <c r="N20" s="142">
        <v>0</v>
      </c>
      <c r="O20"/>
      <c r="P20"/>
    </row>
    <row r="21" ht="15" customHeight="true" thickBot="true" x14ac:dyDescent="0.25">
      <c r="A21" s="95" t="s">
        <v>138</v>
      </c>
      <c r="B21" s="96"/>
      <c r="C21">
        <f t="shared" si="0"/>
        <v>20</v>
      </c>
      <c r="D21"/>
      <c r="E21" s="214" t="s">
        <v>201</v>
      </c>
      <c r="F21" s="3">
        <v>0</v>
      </c>
      <c r="G21" s="209">
        <v>1.293229</v>
      </c>
      <c r="H21" s="209"/>
      <c r="I21" s="209">
        <v>18.29156</v>
      </c>
      <c r="J21" s="209"/>
      <c r="K21" s="212">
        <v>0.13700000000000001</v>
      </c>
      <c r="L21" s="210">
        <v>0</v>
      </c>
      <c r="M21" s="142">
        <v>0.35</v>
      </c>
      <c r="N21" s="142">
        <v>0</v>
      </c>
      <c r="O21"/>
      <c r="P21"/>
    </row>
    <row r="22" ht="15" customHeight="true" x14ac:dyDescent="0.2">
      <c r="A22" s="97" t="s">
        <v>58</v>
      </c>
      <c r="B22" s="98">
        <v>0</v>
      </c>
      <c r="C22">
        <f t="shared" si="0"/>
        <v>21</v>
      </c>
      <c r="D22"/>
      <c r="E22" s="214" t="s">
        <v>202</v>
      </c>
      <c r="F22" s="3">
        <v>0</v>
      </c>
      <c r="G22" s="209">
        <v>0.78600000000000003</v>
      </c>
      <c r="H22" s="209"/>
      <c r="I22" s="209">
        <v>4.6999969999999998</v>
      </c>
      <c r="J22" s="209"/>
      <c r="K22" s="215">
        <v>0.17050000000000001</v>
      </c>
      <c r="L22" s="210">
        <v>0</v>
      </c>
      <c r="M22" s="142">
        <v>0.2</v>
      </c>
      <c r="N22" s="142">
        <v>0</v>
      </c>
      <c r="O22"/>
      <c r="P22"/>
    </row>
    <row r="23" ht="15" customHeight="true" x14ac:dyDescent="0.2">
      <c r="A23" s="97" t="s">
        <v>59</v>
      </c>
      <c r="B23" s="98">
        <v>1</v>
      </c>
      <c r="C23">
        <f t="shared" si="0"/>
        <v>22</v>
      </c>
      <c r="D23"/>
      <c r="E23" s="209" t="s">
        <v>203</v>
      </c>
      <c r="F23" s="3">
        <v>0</v>
      </c>
      <c r="G23" s="210"/>
      <c r="H23" s="210">
        <v>0.7</v>
      </c>
      <c r="I23" s="210">
        <v>3.5</v>
      </c>
      <c r="J23" s="210">
        <v>0.99</v>
      </c>
      <c r="K23"/>
      <c r="L23" s="210">
        <v>0</v>
      </c>
      <c r="M23" s="142">
        <v>0.2</v>
      </c>
      <c r="N23" s="142">
        <v>0</v>
      </c>
      <c r="O23"/>
      <c r="P23"/>
    </row>
    <row r="24" ht="15" customHeight="true" x14ac:dyDescent="0.2">
      <c r="A24" s="97" t="s">
        <v>60</v>
      </c>
      <c r="B24" s="98">
        <v>2</v>
      </c>
      <c r="C24">
        <f t="shared" si="0"/>
        <v>23</v>
      </c>
      <c r="D24"/>
      <c r="E24" s="209" t="s">
        <v>204</v>
      </c>
      <c r="F24" s="3">
        <v>0</v>
      </c>
      <c r="G24" s="210"/>
      <c r="H24" s="210">
        <v>0.7</v>
      </c>
      <c r="I24" s="210">
        <v>3.5</v>
      </c>
      <c r="J24" s="210">
        <v>0.99</v>
      </c>
      <c r="K24"/>
      <c r="L24" s="210">
        <v>0</v>
      </c>
      <c r="M24" s="142">
        <v>0.2</v>
      </c>
      <c r="N24" s="142">
        <v>0</v>
      </c>
      <c r="O24"/>
      <c r="P24"/>
    </row>
    <row r="25" ht="15" customHeight="true" thickBot="true" x14ac:dyDescent="0.25">
      <c r="A25" s="99" t="s">
        <v>44</v>
      </c>
      <c r="B25" s="100">
        <v>3</v>
      </c>
      <c r="C25">
        <f t="shared" si="0"/>
        <v>24</v>
      </c>
      <c r="D25"/>
      <c r="E25" s="209" t="s">
        <v>205</v>
      </c>
      <c r="F25" s="3">
        <v>0</v>
      </c>
      <c r="G25" s="209">
        <v>0.58199999999999996</v>
      </c>
      <c r="H25" s="209">
        <v>0.5</v>
      </c>
      <c r="I25" s="209">
        <v>4.5449999999999999</v>
      </c>
      <c r="J25" s="209"/>
      <c r="K25"/>
      <c r="L25" s="210">
        <v>0</v>
      </c>
      <c r="M25" s="142">
        <v>0.2</v>
      </c>
      <c r="N25" s="142">
        <v>0</v>
      </c>
      <c r="O25"/>
      <c r="P25"/>
    </row>
    <row r="26" ht="15" customHeight="true" x14ac:dyDescent="0.2">
      <c r="A26" s="101" t="s">
        <v>141</v>
      </c>
      <c r="C26">
        <f t="shared" si="0"/>
        <v>25</v>
      </c>
      <c r="D26"/>
      <c r="E26" s="209" t="s">
        <v>206</v>
      </c>
      <c r="F26" s="3">
        <v>0</v>
      </c>
      <c r="G26" s="209">
        <v>0.873</v>
      </c>
      <c r="H26" s="209">
        <v>1</v>
      </c>
      <c r="I26" s="209">
        <v>10</v>
      </c>
      <c r="J26" s="209"/>
      <c r="K26"/>
      <c r="L26" s="210">
        <v>0</v>
      </c>
      <c r="M26" s="142">
        <v>0.2</v>
      </c>
      <c r="N26" s="142">
        <v>0</v>
      </c>
      <c r="O26"/>
      <c r="P26"/>
    </row>
    <row r="27" ht="15" customHeight="true" x14ac:dyDescent="0.2">
      <c r="C27">
        <f t="shared" si="0"/>
        <v>26</v>
      </c>
      <c r="D27"/>
      <c r="E27" s="209" t="s">
        <v>207</v>
      </c>
      <c r="F27" s="3">
        <v>0</v>
      </c>
      <c r="G27" s="209">
        <v>4.4999999999999998E-2</v>
      </c>
      <c r="H27" s="209">
        <v>0.5</v>
      </c>
      <c r="I27" s="209">
        <v>5</v>
      </c>
      <c r="J27" s="209"/>
      <c r="K27"/>
      <c r="L27" s="210">
        <v>0</v>
      </c>
      <c r="M27" s="142">
        <v>0.2</v>
      </c>
      <c r="N27" s="142">
        <v>0</v>
      </c>
      <c r="O27"/>
      <c r="P27"/>
    </row>
    <row r="28" ht="15" customHeight="true" x14ac:dyDescent="0.2">
      <c r="C28">
        <f t="shared" si="0"/>
        <v>27</v>
      </c>
      <c r="D28"/>
      <c r="E28" s="209" t="s">
        <v>208</v>
      </c>
      <c r="F28" s="3">
        <v>0</v>
      </c>
      <c r="G28" s="209">
        <v>0.13300000000000001</v>
      </c>
      <c r="H28" s="209">
        <v>0.25</v>
      </c>
      <c r="I28" s="209">
        <v>19.306000000000001</v>
      </c>
      <c r="J28" s="209"/>
      <c r="K28"/>
      <c r="L28" s="210">
        <v>0</v>
      </c>
      <c r="M28" s="142">
        <v>0.2</v>
      </c>
      <c r="N28" s="142">
        <v>0</v>
      </c>
      <c r="O28"/>
      <c r="P28"/>
    </row>
    <row r="29" ht="15" customHeight="true" x14ac:dyDescent="0.2">
      <c r="C29">
        <f t="shared" si="0"/>
        <v>28</v>
      </c>
      <c r="D29"/>
      <c r="E29" s="209" t="s">
        <v>209</v>
      </c>
      <c r="F29" s="3">
        <v>0</v>
      </c>
      <c r="G29" s="209">
        <v>7.3999999999999996E-2</v>
      </c>
      <c r="H29" s="209">
        <v>0.15</v>
      </c>
      <c r="I29" s="209">
        <v>10</v>
      </c>
      <c r="J29" s="209"/>
      <c r="K29"/>
      <c r="L29" s="210">
        <v>0</v>
      </c>
      <c r="M29" s="142">
        <v>0.21</v>
      </c>
      <c r="N29" s="142">
        <v>0</v>
      </c>
      <c r="O29"/>
      <c r="P29"/>
    </row>
    <row r="30" ht="15" customHeight="true" x14ac:dyDescent="0.2">
      <c r="C30">
        <f t="shared" si="0"/>
        <v>29</v>
      </c>
      <c r="D30"/>
      <c r="E30" s="209" t="s">
        <v>175</v>
      </c>
      <c r="F30" s="3">
        <v>0</v>
      </c>
      <c r="G30" s="210">
        <v>1.4999999999999999E-2</v>
      </c>
      <c r="H30" s="210">
        <v>0.123</v>
      </c>
      <c r="I30" s="210">
        <v>123</v>
      </c>
      <c r="J30" s="210"/>
      <c r="K30"/>
      <c r="L30" s="210">
        <v>0</v>
      </c>
      <c r="M30" s="142">
        <v>0.26</v>
      </c>
      <c r="N30" s="142">
        <v>0</v>
      </c>
      <c r="O30"/>
      <c r="P30"/>
    </row>
    <row r="31" ht="15" customHeight="true" x14ac:dyDescent="0.2">
      <c r="C31">
        <f t="shared" si="0"/>
        <v>30</v>
      </c>
      <c r="D31"/>
      <c r="E31" s="209" t="s">
        <v>210</v>
      </c>
      <c r="F31" s="3">
        <v>0</v>
      </c>
      <c r="G31" s="210"/>
      <c r="H31" s="210">
        <v>4</v>
      </c>
      <c r="I31" s="210">
        <v>33</v>
      </c>
      <c r="J31" s="210">
        <v>0.95</v>
      </c>
      <c r="K31"/>
      <c r="L31" s="210">
        <v>0</v>
      </c>
      <c r="M31" s="142">
        <v>0.1</v>
      </c>
      <c r="N31" s="142">
        <v>0</v>
      </c>
      <c r="O31"/>
      <c r="P31"/>
    </row>
    <row r="32" ht="15" customHeight="true" x14ac:dyDescent="0.2">
      <c r="C32">
        <f t="shared" si="0"/>
        <v>31</v>
      </c>
      <c r="D32"/>
      <c r="E32" s="209" t="s">
        <v>211</v>
      </c>
      <c r="F32" s="3">
        <v>0</v>
      </c>
      <c r="G32" s="210"/>
      <c r="H32" s="210">
        <v>1.2</v>
      </c>
      <c r="I32" s="210">
        <v>10</v>
      </c>
      <c r="J32" s="210">
        <v>0.95</v>
      </c>
      <c r="K32"/>
      <c r="L32" s="210">
        <v>0</v>
      </c>
      <c r="M32" s="142">
        <v>0.1</v>
      </c>
      <c r="N32" s="142">
        <v>0</v>
      </c>
      <c r="O32"/>
      <c r="P32"/>
    </row>
    <row r="33" ht="15" customHeight="true" x14ac:dyDescent="0.2">
      <c r="C33">
        <f t="shared" si="0"/>
        <v>32</v>
      </c>
      <c r="D33"/>
      <c r="E33" s="209" t="s">
        <v>212</v>
      </c>
      <c r="F33" s="3">
        <v>2</v>
      </c>
      <c r="G33" s="210">
        <v>10</v>
      </c>
      <c r="H33"/>
      <c r="I33"/>
      <c r="J33"/>
      <c r="K33"/>
      <c r="L33" s="210">
        <v>0</v>
      </c>
      <c r="M33" s="142"/>
      <c r="N33" s="142">
        <v>0</v>
      </c>
      <c r="O33"/>
      <c r="P33" s="55" t="s">
        <v>213</v>
      </c>
    </row>
    <row r="34" ht="15" customHeight="true" x14ac:dyDescent="0.2">
      <c r="C34">
        <f t="shared" si="0"/>
        <v>33</v>
      </c>
      <c r="D34"/>
      <c r="E34" s="209" t="s">
        <v>178</v>
      </c>
      <c r="F34" s="3">
        <v>2</v>
      </c>
      <c r="G34" s="209">
        <v>40</v>
      </c>
      <c r="H34" s="209"/>
      <c r="I34" s="209"/>
      <c r="J34" s="209"/>
      <c r="K34"/>
      <c r="L34" s="210">
        <v>0</v>
      </c>
      <c r="M34" s="142"/>
      <c r="N34" s="142">
        <v>0</v>
      </c>
      <c r="O34"/>
      <c r="P34"/>
    </row>
    <row r="35" ht="15" customHeight="true" x14ac:dyDescent="0.2">
      <c r="C35">
        <f t="shared" si="0"/>
        <v>34</v>
      </c>
      <c r="D35"/>
      <c r="E35" s="216" t="s">
        <v>214</v>
      </c>
      <c r="F35" s="3">
        <v>3</v>
      </c>
      <c r="G35"/>
      <c r="H35"/>
      <c r="I35"/>
      <c r="J35"/>
      <c r="K35"/>
      <c r="L35"/>
      <c r="M35" s="142"/>
      <c r="N35"/>
      <c r="O35"/>
      <c r="P35"/>
    </row>
    <row r="36" ht="15" customHeight="true" x14ac:dyDescent="0.2">
      <c r="C36">
        <f t="shared" si="0"/>
        <v>35</v>
      </c>
      <c r="D36"/>
      <c r="E36" s="209" t="s">
        <v>215</v>
      </c>
      <c r="F36" s="3">
        <v>3</v>
      </c>
      <c r="G36" s="143"/>
      <c r="H36"/>
      <c r="I36"/>
      <c r="J36"/>
      <c r="K36"/>
      <c r="L36"/>
      <c r="M36" s="142"/>
      <c r="N36"/>
      <c r="O36"/>
      <c r="P36"/>
    </row>
    <row r="37" ht="15" customHeight="true" x14ac:dyDescent="0.2">
      <c r="C37">
        <f t="shared" si="0"/>
        <v>36</v>
      </c>
      <c r="D37"/>
      <c r="E37" s="209" t="s">
        <v>216</v>
      </c>
      <c r="F37" s="3">
        <v>3</v>
      </c>
      <c r="G37"/>
      <c r="H37"/>
      <c r="I37"/>
      <c r="J37"/>
      <c r="K37"/>
      <c r="L37"/>
      <c r="M37"/>
      <c r="N37"/>
      <c r="O37"/>
      <c r="P37"/>
    </row>
    <row r="38" ht="15" customHeight="true" x14ac:dyDescent="0.2">
      <c r="C38">
        <f t="shared" si="0"/>
        <v>37</v>
      </c>
      <c r="D38"/>
      <c r="E38" s="209" t="s">
        <v>217</v>
      </c>
      <c r="F38" s="3">
        <v>3</v>
      </c>
      <c r="G38"/>
      <c r="H38"/>
      <c r="I38"/>
      <c r="J38"/>
      <c r="K38"/>
      <c r="L38"/>
      <c r="M38"/>
      <c r="N38"/>
      <c r="O38"/>
      <c r="P38"/>
    </row>
    <row r="39" ht="15" customHeight="true" x14ac:dyDescent="0.2">
      <c r="C39">
        <f t="shared" si="0"/>
        <v>38</v>
      </c>
      <c r="D39"/>
      <c r="E39" s="209" t="s">
        <v>218</v>
      </c>
      <c r="F39" s="3">
        <v>3</v>
      </c>
      <c r="G39"/>
      <c r="H39"/>
      <c r="I39"/>
      <c r="J39"/>
      <c r="K39"/>
      <c r="L39"/>
      <c r="M39"/>
      <c r="N39"/>
      <c r="O39"/>
      <c r="P39"/>
    </row>
    <row r="40" ht="15" customHeight="true" x14ac:dyDescent="0.2">
      <c r="C40">
        <f t="shared" si="0"/>
        <v>39</v>
      </c>
      <c r="D40"/>
      <c r="E40" s="209" t="s">
        <v>219</v>
      </c>
      <c r="F40" s="3">
        <v>3</v>
      </c>
      <c r="G40"/>
      <c r="H40"/>
      <c r="I40"/>
      <c r="J40"/>
      <c r="K40"/>
      <c r="L40"/>
      <c r="M40"/>
      <c r="N40"/>
      <c r="O40"/>
      <c r="P40"/>
    </row>
    <row r="41" customFormat="true" ht="15" customHeight="true" x14ac:dyDescent="0.2">
      <c r="C41">
        <f t="shared" si="0"/>
        <v>40</v>
      </c>
      <c r="E41" s="209" t="s">
        <v>220</v>
      </c>
      <c r="F41" s="3">
        <v>3</v>
      </c>
    </row>
    <row r="42" customFormat="true" ht="15" customHeight="true" x14ac:dyDescent="0.2">
      <c r="C42">
        <f t="shared" si="0"/>
        <v>41</v>
      </c>
      <c r="E42" s="209" t="s">
        <v>221</v>
      </c>
      <c r="F42" s="3">
        <v>3</v>
      </c>
    </row>
    <row r="43" customFormat="true" ht="15" customHeight="true" x14ac:dyDescent="0.2">
      <c r="C43">
        <f t="shared" si="0"/>
        <v>42</v>
      </c>
      <c r="E43" s="209" t="s">
        <v>222</v>
      </c>
      <c r="F43" s="3">
        <v>3</v>
      </c>
    </row>
    <row r="44" customFormat="true" ht="15" customHeight="true" x14ac:dyDescent="0.2">
      <c r="C44">
        <f t="shared" si="0"/>
        <v>43</v>
      </c>
      <c r="E44" s="209" t="s">
        <v>223</v>
      </c>
      <c r="F44" s="3">
        <v>3</v>
      </c>
    </row>
    <row r="45" customFormat="true" ht="15" customHeight="true" x14ac:dyDescent="0.2">
      <c r="C45">
        <f t="shared" si="0"/>
        <v>44</v>
      </c>
      <c r="E45" s="209" t="s">
        <v>224</v>
      </c>
      <c r="F45" s="3">
        <v>3</v>
      </c>
    </row>
    <row r="46" customFormat="true" ht="15" customHeight="true" x14ac:dyDescent="0.2">
      <c r="C46">
        <f t="shared" si="0"/>
        <v>45</v>
      </c>
      <c r="E46" s="209" t="s">
        <v>225</v>
      </c>
      <c r="F46" s="3">
        <v>3</v>
      </c>
    </row>
    <row r="47" customFormat="true" ht="15" customHeight="true" x14ac:dyDescent="0.2">
      <c r="C47">
        <f t="shared" si="0"/>
        <v>46</v>
      </c>
      <c r="E47" s="209" t="s">
        <v>226</v>
      </c>
      <c r="F47" s="3">
        <v>3</v>
      </c>
    </row>
    <row r="48" customFormat="true" ht="15" customHeight="true" x14ac:dyDescent="0.15"/>
    <row r="49" customFormat="true" ht="15" customHeight="true" x14ac:dyDescent="0.15"/>
    <row r="50" customFormat="true" ht="15" customHeight="true" x14ac:dyDescent="0.15"/>
    <row r="51" customFormat="true" ht="15" customHeight="true" x14ac:dyDescent="0.15"/>
    <row r="52" customFormat="true" ht="15" customHeight="true" x14ac:dyDescent="0.15"/>
    <row r="53" customFormat="true" ht="15" customHeight="true" x14ac:dyDescent="0.15"/>
    <row r="54" customFormat="true" ht="15" customHeight="true" x14ac:dyDescent="0.15"/>
    <row r="55" customFormat="true" ht="15" customHeight="true" x14ac:dyDescent="0.15"/>
    <row r="56" customFormat="true" ht="15" customHeight="true" x14ac:dyDescent="0.15"/>
    <row r="57" customFormat="true" ht="15" customHeight="true" x14ac:dyDescent="0.15"/>
    <row r="58" customFormat="true" ht="15" customHeight="true" x14ac:dyDescent="0.15"/>
    <row r="59" customFormat="true" ht="15" customHeight="true" x14ac:dyDescent="0.15"/>
    <row r="60" customFormat="true" ht="15" customHeight="true" x14ac:dyDescent="0.15"/>
    <row r="61" customFormat="true" ht="15" customHeight="true" x14ac:dyDescent="0.15"/>
    <row r="62" customFormat="true" ht="15" customHeight="true" x14ac:dyDescent="0.15"/>
    <row r="63" customFormat="true" ht="15" customHeight="true" x14ac:dyDescent="0.15"/>
    <row r="64" customFormat="true" ht="15" customHeight="true" x14ac:dyDescent="0.15"/>
    <row r="65" customFormat="true" ht="15" customHeight="true" x14ac:dyDescent="0.15"/>
    <row r="66" customFormat="true" ht="15" customHeight="true" x14ac:dyDescent="0.15"/>
    <row r="67" customFormat="true" ht="15" customHeight="true" x14ac:dyDescent="0.15"/>
    <row r="68" customFormat="true" ht="15" customHeight="true" x14ac:dyDescent="0.15"/>
    <row r="69" customFormat="true" ht="15" customHeight="true" x14ac:dyDescent="0.15"/>
    <row r="70" customFormat="true" ht="15" customHeight="true" x14ac:dyDescent="0.15"/>
    <row r="71" customFormat="true" ht="15" customHeight="true" x14ac:dyDescent="0.15"/>
    <row r="72" customFormat="true" ht="15" customHeight="true" x14ac:dyDescent="0.15"/>
    <row r="73" customFormat="true" ht="15" customHeight="true" x14ac:dyDescent="0.15"/>
    <row r="74" customFormat="true" ht="15" customHeight="true" x14ac:dyDescent="0.15"/>
    <row r="75" customFormat="true" ht="15" customHeight="true" x14ac:dyDescent="0.15"/>
    <row r="76" customFormat="true" ht="15" customHeight="true" x14ac:dyDescent="0.15"/>
    <row r="77" customFormat="true" ht="15" customHeight="true" x14ac:dyDescent="0.15"/>
    <row r="78" customFormat="true" ht="15" customHeight="true" x14ac:dyDescent="0.15"/>
    <row r="79" customFormat="true" ht="15" customHeight="true" x14ac:dyDescent="0.15"/>
    <row r="80" customFormat="true" ht="15" customHeight="true" x14ac:dyDescent="0.15"/>
    <row r="81" customFormat="true" ht="15" customHeight="true" x14ac:dyDescent="0.15"/>
    <row r="82" customFormat="true" ht="15" customHeight="true" x14ac:dyDescent="0.15"/>
    <row r="83" customFormat="true" ht="15" customHeight="true" x14ac:dyDescent="0.15"/>
    <row r="84" customFormat="true" ht="15" customHeight="true" x14ac:dyDescent="0.15"/>
    <row r="85" customFormat="true" ht="15" customHeight="true" x14ac:dyDescent="0.15"/>
    <row r="86" customFormat="true" ht="15" customHeight="true" x14ac:dyDescent="0.15"/>
    <row r="87" customFormat="true" ht="15" customHeight="true" x14ac:dyDescent="0.15"/>
    <row r="88" customFormat="true" ht="15" customHeight="true" x14ac:dyDescent="0.15"/>
    <row r="89" customFormat="true" ht="15" customHeight="true" x14ac:dyDescent="0.15"/>
    <row r="90" customFormat="true" ht="15" customHeight="true" x14ac:dyDescent="0.15"/>
    <row r="91" customFormat="true" ht="15" customHeight="true" x14ac:dyDescent="0.15"/>
    <row r="92" customFormat="true" ht="15" customHeight="true" x14ac:dyDescent="0.15"/>
    <row r="93" customFormat="true" ht="15" customHeight="true" x14ac:dyDescent="0.15"/>
    <row r="94" customFormat="true" ht="15" customHeight="true" x14ac:dyDescent="0.15"/>
    <row r="95" customFormat="true" ht="15" customHeight="true" x14ac:dyDescent="0.15"/>
    <row r="96" customFormat="true" ht="15" customHeight="true" x14ac:dyDescent="0.15"/>
    <row r="97" customFormat="true" ht="15" customHeight="true" x14ac:dyDescent="0.15"/>
    <row r="98" customFormat="true" ht="15" customHeight="true" x14ac:dyDescent="0.15"/>
    <row r="99" customFormat="true" ht="15" customHeight="true" x14ac:dyDescent="0.15"/>
    <row r="100" customFormat="true" ht="15" customHeight="true" x14ac:dyDescent="0.15"/>
    <row r="101" customFormat="true" ht="15" customHeight="true" x14ac:dyDescent="0.15"/>
    <row r="102" customFormat="true" ht="15" customHeight="true" x14ac:dyDescent="0.15"/>
    <row r="103" customFormat="true" ht="15" customHeight="true" x14ac:dyDescent="0.15"/>
    <row r="104" customFormat="true" ht="15" customHeight="true" x14ac:dyDescent="0.15"/>
    <row r="105" customFormat="true" ht="15" customHeight="true" x14ac:dyDescent="0.15"/>
    <row r="106" customFormat="true" ht="15" customHeight="true" x14ac:dyDescent="0.15"/>
    <row r="107" customFormat="true" ht="15" customHeight="true" x14ac:dyDescent="0.15"/>
    <row r="108" customFormat="true" ht="15" customHeight="true" x14ac:dyDescent="0.15"/>
    <row r="109" customFormat="true" ht="15" customHeight="true" x14ac:dyDescent="0.15"/>
    <row r="110" customFormat="true" ht="15" customHeight="true" x14ac:dyDescent="0.15"/>
    <row r="111" customFormat="true" ht="15" customHeight="true" x14ac:dyDescent="0.15"/>
    <row r="112" customFormat="true" ht="15" customHeight="true" x14ac:dyDescent="0.15"/>
    <row r="113" customFormat="true" ht="15" customHeight="true" x14ac:dyDescent="0.15"/>
    <row r="114" customFormat="true" ht="15" customHeight="true" x14ac:dyDescent="0.15"/>
    <row r="115" customFormat="true" ht="15" customHeight="true" x14ac:dyDescent="0.15"/>
    <row r="116" customFormat="true" ht="15" customHeight="true" x14ac:dyDescent="0.15"/>
    <row r="117" customFormat="true" ht="15" customHeight="true" x14ac:dyDescent="0.15"/>
    <row r="118" customFormat="true" ht="15" customHeight="true" x14ac:dyDescent="0.15"/>
    <row r="119" customFormat="true" ht="15" customHeight="true" x14ac:dyDescent="0.15"/>
    <row r="120" customFormat="true" ht="15" customHeight="true" x14ac:dyDescent="0.15"/>
    <row r="121" customFormat="true" ht="15" customHeight="true" x14ac:dyDescent="0.15"/>
    <row r="122" customFormat="true" ht="15" customHeight="true" x14ac:dyDescent="0.15"/>
    <row r="123" customFormat="true" ht="15" customHeight="true" x14ac:dyDescent="0.15"/>
    <row r="124" customFormat="true" ht="15" customHeight="true" x14ac:dyDescent="0.15"/>
    <row r="125" customFormat="true" ht="15" customHeight="true" x14ac:dyDescent="0.15"/>
    <row r="126" customFormat="true" ht="15" customHeight="true" x14ac:dyDescent="0.15"/>
    <row r="127" customFormat="true" ht="15" customHeight="true" x14ac:dyDescent="0.15"/>
    <row r="128" customFormat="true" ht="15" customHeight="true" x14ac:dyDescent="0.15"/>
    <row r="129" customFormat="true" ht="15" customHeight="true" x14ac:dyDescent="0.15"/>
    <row r="130" customFormat="true" ht="15" customHeight="true" x14ac:dyDescent="0.15"/>
    <row r="131" customFormat="true" ht="15" customHeight="true" x14ac:dyDescent="0.15"/>
    <row r="132" customFormat="true" ht="15" customHeight="true" x14ac:dyDescent="0.15"/>
    <row r="133" customFormat="true" ht="15" customHeight="true" x14ac:dyDescent="0.15"/>
    <row r="134" customFormat="true" ht="15" customHeight="true" x14ac:dyDescent="0.15"/>
    <row r="135" customFormat="true" ht="15" customHeight="true" x14ac:dyDescent="0.15"/>
    <row r="136" customFormat="true" ht="15" customHeight="true" x14ac:dyDescent="0.15"/>
    <row r="137" customFormat="true" ht="15" customHeight="true" x14ac:dyDescent="0.15"/>
    <row r="138" customFormat="true" ht="15" customHeight="true" x14ac:dyDescent="0.15"/>
    <row r="139" customFormat="true" ht="15" customHeight="true" x14ac:dyDescent="0.15"/>
    <row r="140" customFormat="true" ht="15" customHeight="true" x14ac:dyDescent="0.15"/>
    <row r="141" customFormat="true" ht="15" customHeight="true" x14ac:dyDescent="0.15"/>
    <row r="142" customFormat="true" ht="15" customHeight="true" x14ac:dyDescent="0.15"/>
    <row r="143" customFormat="true" ht="15" customHeight="true" x14ac:dyDescent="0.15"/>
    <row r="144" customFormat="true" ht="15" customHeight="true" x14ac:dyDescent="0.15"/>
    <row r="145" customFormat="true" ht="15" customHeight="true" x14ac:dyDescent="0.15"/>
    <row r="146" customFormat="true" ht="15" customHeight="true" x14ac:dyDescent="0.15"/>
    <row r="147" customFormat="true" ht="15" customHeight="true" x14ac:dyDescent="0.15"/>
    <row r="148" customFormat="true" ht="15" customHeight="true" x14ac:dyDescent="0.15"/>
    <row r="149" customFormat="true" ht="15" customHeight="true" x14ac:dyDescent="0.15"/>
    <row r="150" customFormat="true" ht="15" customHeight="true" x14ac:dyDescent="0.15"/>
    <row r="151" customFormat="true" ht="15" customHeight="true" x14ac:dyDescent="0.15"/>
    <row r="152" customFormat="true" ht="15" customHeight="true" x14ac:dyDescent="0.15"/>
    <row r="153" customFormat="true" ht="15" customHeight="true" x14ac:dyDescent="0.15"/>
    <row r="154" customFormat="true" ht="15" customHeight="true" x14ac:dyDescent="0.15"/>
    <row r="155" customFormat="true" ht="15" customHeight="true" x14ac:dyDescent="0.15"/>
    <row r="156" customFormat="true" ht="15" customHeight="true" x14ac:dyDescent="0.15"/>
    <row r="157" customFormat="true" ht="15" customHeight="true" x14ac:dyDescent="0.15"/>
    <row r="158" customFormat="true" ht="15" customHeight="true" x14ac:dyDescent="0.15"/>
    <row r="159" customFormat="true" ht="15" customHeight="true" x14ac:dyDescent="0.15"/>
    <row r="160" customFormat="true" ht="15" customHeight="true" x14ac:dyDescent="0.15"/>
    <row r="161" customFormat="true" ht="15" customHeight="true" x14ac:dyDescent="0.15"/>
    <row r="162" customFormat="true" ht="15" customHeight="true" x14ac:dyDescent="0.15"/>
    <row r="163" customFormat="true" ht="15" customHeight="true" x14ac:dyDescent="0.15"/>
    <row r="164" customFormat="true" ht="15" customHeight="true" x14ac:dyDescent="0.15"/>
    <row r="165" customFormat="true" ht="15" customHeight="true" x14ac:dyDescent="0.15"/>
    <row r="166" customFormat="true" ht="15" customHeight="true" x14ac:dyDescent="0.15"/>
    <row r="167" customFormat="true" ht="15" customHeight="true" x14ac:dyDescent="0.15"/>
    <row r="168" customFormat="true" ht="15" customHeight="true" x14ac:dyDescent="0.15"/>
    <row r="169" customFormat="true" ht="15" customHeight="true" x14ac:dyDescent="0.15"/>
    <row r="170" customFormat="true" ht="15" customHeight="true" x14ac:dyDescent="0.15"/>
    <row r="171" customFormat="true" ht="15" customHeight="true" x14ac:dyDescent="0.15"/>
    <row r="172" customFormat="true" ht="15" customHeight="true" x14ac:dyDescent="0.15"/>
    <row r="173" customFormat="true" ht="15" customHeight="true" x14ac:dyDescent="0.15"/>
    <row r="174" customFormat="true" ht="15" customHeight="true" x14ac:dyDescent="0.15"/>
    <row r="175" customFormat="true" ht="15" customHeight="true" x14ac:dyDescent="0.15"/>
    <row r="176" customFormat="true" ht="15" customHeight="true" x14ac:dyDescent="0.15"/>
    <row r="177" customFormat="true" ht="15" customHeight="true" x14ac:dyDescent="0.15"/>
    <row r="178" customFormat="true" ht="15" customHeight="true" x14ac:dyDescent="0.15"/>
    <row r="179" customFormat="true" ht="15" customHeight="true" x14ac:dyDescent="0.15"/>
    <row r="180" customFormat="true" ht="15" customHeight="true" x14ac:dyDescent="0.15"/>
    <row r="181" customFormat="true" ht="15" customHeight="true" x14ac:dyDescent="0.15"/>
    <row r="182" customFormat="true" ht="15" customHeight="true" x14ac:dyDescent="0.15"/>
    <row r="183" customFormat="true" ht="15" customHeight="true" x14ac:dyDescent="0.15"/>
    <row r="184" customFormat="true" ht="15" customHeight="true" x14ac:dyDescent="0.15"/>
    <row r="185" customFormat="true" ht="15" customHeight="true" x14ac:dyDescent="0.15"/>
    <row r="186" customFormat="true" ht="15" customHeight="true" x14ac:dyDescent="0.15"/>
    <row r="187" customFormat="true" ht="15" customHeight="true" x14ac:dyDescent="0.15"/>
    <row r="188" customFormat="true" ht="15" customHeight="true" x14ac:dyDescent="0.15"/>
    <row r="189" customFormat="true" ht="15" customHeight="true" x14ac:dyDescent="0.15"/>
    <row r="190" customFormat="true" ht="15" customHeight="true" x14ac:dyDescent="0.15"/>
    <row r="191" customFormat="true" ht="15" customHeight="true" x14ac:dyDescent="0.15"/>
    <row r="192" customFormat="true" ht="15" customHeight="true" x14ac:dyDescent="0.15"/>
    <row r="193" customFormat="true" ht="15" customHeight="true" x14ac:dyDescent="0.15"/>
    <row r="194" customFormat="true" ht="15" customHeight="true" x14ac:dyDescent="0.15"/>
    <row r="195" customFormat="true" ht="15" customHeight="true" x14ac:dyDescent="0.15"/>
    <row r="196" customFormat="true" ht="15" customHeight="true" x14ac:dyDescent="0.15"/>
    <row r="197" customFormat="true" ht="15" customHeight="true" x14ac:dyDescent="0.15"/>
    <row r="198" customFormat="true" ht="15" customHeight="true" x14ac:dyDescent="0.15"/>
    <row r="199" customFormat="true" ht="15" customHeight="true" x14ac:dyDescent="0.15"/>
    <row r="200" customFormat="true" ht="15" customHeight="true" x14ac:dyDescent="0.15"/>
    <row r="201" customFormat="true" ht="15" customHeight="true" x14ac:dyDescent="0.15"/>
    <row r="202" customFormat="true" ht="15" customHeight="true" x14ac:dyDescent="0.15"/>
    <row r="203" customFormat="true" ht="15" customHeight="true" x14ac:dyDescent="0.15"/>
    <row r="204" customFormat="true" ht="15" customHeight="true" x14ac:dyDescent="0.15"/>
    <row r="205" customFormat="true" ht="15" customHeight="true" x14ac:dyDescent="0.15"/>
    <row r="206" customFormat="true" ht="15" customHeight="true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86"/>
  <sheetViews>
    <sheetView workbookViewId="0">
      <pane xSplit="1" ySplit="1" topLeftCell="B3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7.6640625" bestFit="true" customWidth="true"/>
  </cols>
  <sheetData>
    <row r="1" ht="16" x14ac:dyDescent="0.2">
      <c r="A1" s="2" t="s">
        <v>19</v>
      </c>
      <c r="B1" s="209" t="s">
        <v>182</v>
      </c>
      <c r="C1" s="209" t="s">
        <v>183</v>
      </c>
      <c r="D1" s="209" t="s">
        <v>184</v>
      </c>
      <c r="E1" s="209" t="s">
        <v>185</v>
      </c>
      <c r="F1" s="209" t="s">
        <v>186</v>
      </c>
      <c r="G1" s="209" t="s">
        <v>187</v>
      </c>
      <c r="H1" s="209" t="s">
        <v>188</v>
      </c>
      <c r="I1" s="209" t="s">
        <v>189</v>
      </c>
      <c r="J1" s="209" t="s">
        <v>190</v>
      </c>
      <c r="K1" s="209" t="s">
        <v>191</v>
      </c>
      <c r="L1" s="209" t="s">
        <v>192</v>
      </c>
      <c r="M1" s="209" t="s">
        <v>193</v>
      </c>
      <c r="N1" s="209" t="s">
        <v>194</v>
      </c>
      <c r="O1" s="209" t="s">
        <v>195</v>
      </c>
      <c r="P1" s="209" t="s">
        <v>196</v>
      </c>
      <c r="Q1" s="209" t="s">
        <v>197</v>
      </c>
      <c r="R1" s="209" t="s">
        <v>198</v>
      </c>
      <c r="S1" s="209" t="s">
        <v>199</v>
      </c>
      <c r="T1" s="209" t="s">
        <v>200</v>
      </c>
      <c r="U1" s="209" t="s">
        <v>201</v>
      </c>
      <c r="V1" s="209" t="s">
        <v>202</v>
      </c>
      <c r="W1" s="209" t="s">
        <v>203</v>
      </c>
      <c r="X1" s="209" t="s">
        <v>204</v>
      </c>
      <c r="Y1" s="209" t="s">
        <v>205</v>
      </c>
      <c r="Z1" s="209" t="s">
        <v>206</v>
      </c>
      <c r="AA1" s="209" t="s">
        <v>207</v>
      </c>
      <c r="AB1" s="209" t="s">
        <v>208</v>
      </c>
      <c r="AC1" s="209" t="s">
        <v>209</v>
      </c>
      <c r="AD1" s="209" t="s">
        <v>175</v>
      </c>
      <c r="AE1" s="209" t="s">
        <v>210</v>
      </c>
      <c r="AF1" s="209" t="s">
        <v>211</v>
      </c>
      <c r="AG1" s="209" t="s">
        <v>212</v>
      </c>
      <c r="AH1" s="209" t="s">
        <v>178</v>
      </c>
    </row>
    <row r="2" ht="16" x14ac:dyDescent="0.2">
      <c r="A2" s="209" t="s">
        <v>182</v>
      </c>
      <c r="B2" s="145">
        <v>0</v>
      </c>
      <c r="C2">
        <v>0</v>
      </c>
      <c r="D2">
        <v>0.4</v>
      </c>
      <c r="E2">
        <v>0.5</v>
      </c>
      <c r="F2">
        <v>0.33300000000000002</v>
      </c>
      <c r="G2">
        <v>0</v>
      </c>
      <c r="H2">
        <v>0.05</v>
      </c>
      <c r="I2">
        <v>0.32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</row>
    <row r="3" ht="16" x14ac:dyDescent="0.2">
      <c r="A3" s="209" t="s">
        <v>183</v>
      </c>
      <c r="B3">
        <v>0</v>
      </c>
      <c r="C3" s="145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0.05</v>
      </c>
      <c r="AF3">
        <v>0.05</v>
      </c>
      <c r="AG3">
        <v>0</v>
      </c>
      <c r="AH3">
        <v>0</v>
      </c>
    </row>
    <row r="4" ht="16" x14ac:dyDescent="0.2">
      <c r="A4" s="209" t="s">
        <v>184</v>
      </c>
      <c r="B4">
        <v>0</v>
      </c>
      <c r="C4">
        <v>0</v>
      </c>
      <c r="D4" s="145">
        <v>0.05</v>
      </c>
      <c r="E4">
        <v>0.5</v>
      </c>
      <c r="F4">
        <v>0.33300000000000002</v>
      </c>
      <c r="G4">
        <v>0</v>
      </c>
      <c r="H4">
        <v>0.04</v>
      </c>
      <c r="I4">
        <v>0.32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</row>
    <row r="5" ht="16" x14ac:dyDescent="0.2">
      <c r="A5" s="209" t="s">
        <v>185</v>
      </c>
      <c r="B5">
        <v>0</v>
      </c>
      <c r="C5">
        <v>0</v>
      </c>
      <c r="D5">
        <v>0</v>
      </c>
      <c r="E5" s="145">
        <v>0</v>
      </c>
      <c r="F5">
        <v>0.33400000000000002</v>
      </c>
      <c r="G5">
        <v>0.64</v>
      </c>
      <c r="H5">
        <v>0.56999999999999995</v>
      </c>
      <c r="I5">
        <v>0.28999999999999998</v>
      </c>
      <c r="J5">
        <v>0.6</v>
      </c>
      <c r="K5">
        <v>0.81</v>
      </c>
      <c r="L5">
        <v>0.01</v>
      </c>
      <c r="M5">
        <v>0.75</v>
      </c>
      <c r="N5">
        <v>0.39</v>
      </c>
      <c r="O5">
        <v>0.4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0.01</v>
      </c>
      <c r="X5">
        <v>0.01</v>
      </c>
      <c r="Y5">
        <v>0</v>
      </c>
      <c r="Z5">
        <v>0</v>
      </c>
      <c r="AA5">
        <v>0</v>
      </c>
      <c r="AB5">
        <v>0</v>
      </c>
      <c r="AC5">
        <v>0.03</v>
      </c>
      <c r="AD5">
        <v>8.9999999999999993E-3</v>
      </c>
      <c r="AE5">
        <v>0</v>
      </c>
      <c r="AF5">
        <v>0</v>
      </c>
      <c r="AG5">
        <v>0</v>
      </c>
      <c r="AH5">
        <v>0</v>
      </c>
    </row>
    <row r="6" ht="16" x14ac:dyDescent="0.2">
      <c r="A6" s="209" t="s">
        <v>186</v>
      </c>
      <c r="B6">
        <v>0</v>
      </c>
      <c r="C6">
        <v>0</v>
      </c>
      <c r="D6">
        <v>0</v>
      </c>
      <c r="E6">
        <v>0</v>
      </c>
      <c r="F6" s="145">
        <v>0</v>
      </c>
      <c r="G6">
        <v>0.12</v>
      </c>
      <c r="H6">
        <v>0.34</v>
      </c>
      <c r="I6">
        <v>7.0000000000000007E-2</v>
      </c>
      <c r="J6">
        <v>0.4</v>
      </c>
      <c r="K6">
        <v>0.16</v>
      </c>
      <c r="L6">
        <v>0.8</v>
      </c>
      <c r="M6">
        <v>0.25</v>
      </c>
      <c r="N6">
        <v>0.52</v>
      </c>
      <c r="O6">
        <v>0.6</v>
      </c>
      <c r="P6">
        <v>0.17</v>
      </c>
      <c r="Q6">
        <v>8.3000000000000004E-2</v>
      </c>
      <c r="R6">
        <v>0.27</v>
      </c>
      <c r="S6">
        <v>0.61599999999999999</v>
      </c>
      <c r="T6">
        <v>4.5999999999999999E-2</v>
      </c>
      <c r="U6">
        <v>0.76900000000000002</v>
      </c>
      <c r="V6">
        <v>0.21</v>
      </c>
      <c r="W6">
        <v>0.64800000000000002</v>
      </c>
      <c r="X6">
        <v>0.05</v>
      </c>
      <c r="Y6">
        <v>0</v>
      </c>
      <c r="Z6">
        <v>0</v>
      </c>
      <c r="AA6">
        <v>0</v>
      </c>
      <c r="AB6">
        <v>0</v>
      </c>
      <c r="AC6">
        <v>0.04</v>
      </c>
      <c r="AD6">
        <v>0.1</v>
      </c>
      <c r="AE6">
        <v>0</v>
      </c>
      <c r="AF6">
        <v>0</v>
      </c>
      <c r="AG6">
        <v>0</v>
      </c>
      <c r="AH6">
        <v>0</v>
      </c>
    </row>
    <row r="7" ht="16" x14ac:dyDescent="0.2">
      <c r="A7" s="209" t="s">
        <v>187</v>
      </c>
      <c r="B7">
        <v>0</v>
      </c>
      <c r="C7">
        <v>0</v>
      </c>
      <c r="D7">
        <v>0</v>
      </c>
      <c r="E7">
        <v>0</v>
      </c>
      <c r="F7">
        <v>0</v>
      </c>
      <c r="G7" s="145">
        <v>0.04</v>
      </c>
      <c r="H7">
        <v>0</v>
      </c>
      <c r="I7">
        <v>0</v>
      </c>
      <c r="J7">
        <v>0</v>
      </c>
      <c r="K7">
        <v>0.03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</row>
    <row r="8" ht="16" x14ac:dyDescent="0.2">
      <c r="A8" s="209" t="s">
        <v>188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 s="145">
        <v>0</v>
      </c>
      <c r="I8">
        <v>0</v>
      </c>
      <c r="J8">
        <v>0</v>
      </c>
      <c r="K8">
        <v>0</v>
      </c>
      <c r="L8">
        <v>0.02</v>
      </c>
      <c r="M8">
        <v>0</v>
      </c>
      <c r="N8">
        <v>2.4E-2</v>
      </c>
      <c r="O8">
        <v>0</v>
      </c>
      <c r="P8">
        <v>0.47699999999999998</v>
      </c>
      <c r="Q8">
        <v>0.25</v>
      </c>
      <c r="R8">
        <v>0.05</v>
      </c>
      <c r="S8">
        <v>0.18</v>
      </c>
      <c r="T8">
        <v>0.29899999999999999</v>
      </c>
      <c r="U8">
        <v>8.4000000000000005E-2</v>
      </c>
      <c r="V8">
        <v>1.9E-3</v>
      </c>
      <c r="W8">
        <v>1.5E-3</v>
      </c>
      <c r="X8">
        <v>5.0000000000000001E-3</v>
      </c>
      <c r="Y8">
        <v>0.02</v>
      </c>
      <c r="Z8">
        <v>0</v>
      </c>
      <c r="AA8">
        <v>0</v>
      </c>
      <c r="AB8">
        <v>0.25</v>
      </c>
      <c r="AC8">
        <v>0.3</v>
      </c>
      <c r="AD8">
        <v>0.4</v>
      </c>
      <c r="AE8">
        <v>0</v>
      </c>
      <c r="AF8">
        <v>0</v>
      </c>
      <c r="AG8">
        <v>0</v>
      </c>
      <c r="AH8">
        <v>0</v>
      </c>
    </row>
    <row r="9" ht="16" x14ac:dyDescent="0.2">
      <c r="A9" s="209" t="s">
        <v>189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 s="145">
        <v>0</v>
      </c>
      <c r="J9">
        <v>0</v>
      </c>
      <c r="K9">
        <v>0</v>
      </c>
      <c r="L9">
        <v>0.01</v>
      </c>
      <c r="M9">
        <v>0</v>
      </c>
      <c r="N9">
        <v>0.01</v>
      </c>
      <c r="O9">
        <v>0</v>
      </c>
      <c r="P9">
        <v>0.03</v>
      </c>
      <c r="Q9">
        <v>0.15</v>
      </c>
      <c r="R9">
        <v>1E-3</v>
      </c>
      <c r="S9">
        <v>0.01</v>
      </c>
      <c r="T9">
        <v>1E-3</v>
      </c>
      <c r="U9">
        <v>5.0000000000000001E-3</v>
      </c>
      <c r="V9">
        <v>1E-4</v>
      </c>
      <c r="W9">
        <v>1E-4</v>
      </c>
      <c r="X9">
        <v>0</v>
      </c>
      <c r="Y9">
        <v>0.01</v>
      </c>
      <c r="Z9">
        <v>0</v>
      </c>
      <c r="AA9">
        <v>0</v>
      </c>
      <c r="AB9">
        <v>0.03</v>
      </c>
      <c r="AC9">
        <v>7.0000000000000007E-2</v>
      </c>
      <c r="AD9">
        <v>0.05</v>
      </c>
      <c r="AE9">
        <v>0</v>
      </c>
      <c r="AF9">
        <v>0</v>
      </c>
      <c r="AG9">
        <v>0</v>
      </c>
      <c r="AH9">
        <v>0</v>
      </c>
    </row>
    <row r="10" ht="16" x14ac:dyDescent="0.2">
      <c r="A10" s="209" t="s">
        <v>190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 s="145">
        <v>0</v>
      </c>
      <c r="K10">
        <v>0</v>
      </c>
      <c r="L10">
        <v>0.01</v>
      </c>
      <c r="M10">
        <v>0</v>
      </c>
      <c r="N10">
        <v>5.6000000000000001E-2</v>
      </c>
      <c r="O10">
        <v>0</v>
      </c>
      <c r="P10">
        <v>0.06</v>
      </c>
      <c r="Q10">
        <v>0.03</v>
      </c>
      <c r="R10">
        <v>0.05</v>
      </c>
      <c r="S10">
        <v>3.1E-2</v>
      </c>
      <c r="T10">
        <v>8.6999999999999994E-2</v>
      </c>
      <c r="U10">
        <v>0.05</v>
      </c>
      <c r="V10">
        <v>2.8000000000000001E-2</v>
      </c>
      <c r="W10">
        <v>0.11</v>
      </c>
      <c r="X10">
        <v>2.5000000000000001E-2</v>
      </c>
      <c r="Y10">
        <v>4.9000000000000002E-2</v>
      </c>
      <c r="Z10">
        <v>0</v>
      </c>
      <c r="AA10">
        <v>0</v>
      </c>
      <c r="AB10">
        <v>3.0000000000000001E-3</v>
      </c>
      <c r="AC10">
        <v>0.03</v>
      </c>
      <c r="AD10">
        <v>0.02</v>
      </c>
      <c r="AE10">
        <v>0</v>
      </c>
      <c r="AF10">
        <v>0</v>
      </c>
      <c r="AG10">
        <v>0</v>
      </c>
      <c r="AH10">
        <v>0</v>
      </c>
    </row>
    <row r="11" ht="16" x14ac:dyDescent="0.2">
      <c r="A11" s="209" t="s">
        <v>191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 s="145">
        <v>0</v>
      </c>
      <c r="L11">
        <v>0</v>
      </c>
      <c r="M11">
        <v>0</v>
      </c>
      <c r="N11">
        <v>0</v>
      </c>
      <c r="O11">
        <v>0</v>
      </c>
      <c r="P11">
        <v>1E-3</v>
      </c>
      <c r="Q11">
        <v>3.3000000000000002E-2</v>
      </c>
      <c r="R11">
        <v>0</v>
      </c>
      <c r="S11">
        <v>0</v>
      </c>
      <c r="T11">
        <v>0.01</v>
      </c>
      <c r="U11">
        <v>1E-3</v>
      </c>
      <c r="V11">
        <v>2E-3</v>
      </c>
      <c r="W11">
        <v>0</v>
      </c>
      <c r="X11">
        <v>0</v>
      </c>
      <c r="Y11">
        <v>0.02</v>
      </c>
      <c r="Z11">
        <v>0</v>
      </c>
      <c r="AA11">
        <v>0</v>
      </c>
      <c r="AB11">
        <v>3.0000000000000001E-3</v>
      </c>
      <c r="AC11">
        <v>0.02</v>
      </c>
      <c r="AD11">
        <v>0.06</v>
      </c>
      <c r="AE11">
        <v>0</v>
      </c>
      <c r="AF11">
        <v>0</v>
      </c>
      <c r="AG11">
        <v>0</v>
      </c>
      <c r="AH11">
        <v>0</v>
      </c>
    </row>
    <row r="12" ht="16" x14ac:dyDescent="0.2">
      <c r="A12" s="209" t="s">
        <v>192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 s="145">
        <v>0</v>
      </c>
      <c r="M12">
        <v>0</v>
      </c>
      <c r="N12">
        <v>0</v>
      </c>
      <c r="O12">
        <v>0</v>
      </c>
      <c r="P12">
        <v>1E-3</v>
      </c>
      <c r="Q12">
        <v>3.1E-2</v>
      </c>
      <c r="R12">
        <v>0</v>
      </c>
      <c r="S12">
        <v>0</v>
      </c>
      <c r="T12">
        <v>0.02</v>
      </c>
      <c r="U12">
        <v>0</v>
      </c>
      <c r="V12">
        <v>0</v>
      </c>
      <c r="W12">
        <v>0</v>
      </c>
      <c r="X12">
        <v>0</v>
      </c>
      <c r="Y12">
        <v>0.01</v>
      </c>
      <c r="Z12">
        <v>0</v>
      </c>
      <c r="AA12">
        <v>0</v>
      </c>
      <c r="AB12">
        <v>1.2999999999999999E-2</v>
      </c>
      <c r="AC12">
        <v>0</v>
      </c>
      <c r="AD12">
        <v>3.0000000000000001E-3</v>
      </c>
      <c r="AE12">
        <v>0</v>
      </c>
      <c r="AF12">
        <v>0</v>
      </c>
      <c r="AG12">
        <v>0</v>
      </c>
      <c r="AH12">
        <v>0</v>
      </c>
    </row>
    <row r="13" ht="16" x14ac:dyDescent="0.2">
      <c r="A13" s="209" t="s">
        <v>193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 s="145">
        <v>0</v>
      </c>
      <c r="N13">
        <v>0</v>
      </c>
      <c r="O13">
        <v>0</v>
      </c>
      <c r="P13">
        <v>0.01</v>
      </c>
      <c r="Q13">
        <v>5.0999999999999997E-2</v>
      </c>
      <c r="R13">
        <v>0</v>
      </c>
      <c r="S13">
        <v>0</v>
      </c>
      <c r="T13">
        <v>0.03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0.01</v>
      </c>
      <c r="AC13">
        <v>0</v>
      </c>
      <c r="AD13">
        <v>0.01</v>
      </c>
      <c r="AE13">
        <v>0</v>
      </c>
      <c r="AF13">
        <v>0</v>
      </c>
      <c r="AG13">
        <v>0</v>
      </c>
      <c r="AH13">
        <v>0</v>
      </c>
    </row>
    <row r="14" ht="16" x14ac:dyDescent="0.2">
      <c r="A14" s="209" t="s">
        <v>194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 s="145">
        <v>0</v>
      </c>
      <c r="O14">
        <v>0</v>
      </c>
      <c r="P14">
        <v>1E-3</v>
      </c>
      <c r="Q14">
        <v>0</v>
      </c>
      <c r="R14">
        <v>0</v>
      </c>
      <c r="S14">
        <v>0</v>
      </c>
      <c r="T14">
        <v>0.158</v>
      </c>
      <c r="U14">
        <v>0</v>
      </c>
      <c r="V14">
        <v>0</v>
      </c>
      <c r="W14">
        <v>0</v>
      </c>
      <c r="X14">
        <v>0</v>
      </c>
      <c r="Y14">
        <v>0.09</v>
      </c>
      <c r="Z14">
        <v>0.01</v>
      </c>
      <c r="AA14">
        <v>2.5000000000000001E-2</v>
      </c>
      <c r="AB14">
        <v>2.1999999999999999E-2</v>
      </c>
      <c r="AC14">
        <v>0.27</v>
      </c>
      <c r="AD14">
        <v>0</v>
      </c>
      <c r="AE14">
        <v>0</v>
      </c>
      <c r="AF14">
        <v>0</v>
      </c>
      <c r="AG14">
        <v>0</v>
      </c>
      <c r="AH14">
        <v>0</v>
      </c>
    </row>
    <row r="15" ht="16" x14ac:dyDescent="0.2">
      <c r="A15" s="209" t="s">
        <v>195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0.15</v>
      </c>
      <c r="M15">
        <v>0</v>
      </c>
      <c r="N15">
        <v>0</v>
      </c>
      <c r="O15" s="145">
        <v>0</v>
      </c>
      <c r="P15">
        <v>0.05</v>
      </c>
      <c r="Q15">
        <v>0.02</v>
      </c>
      <c r="R15">
        <v>0.1</v>
      </c>
      <c r="S15">
        <v>8.7999999999999995E-2</v>
      </c>
      <c r="T15">
        <v>0.05</v>
      </c>
      <c r="U15">
        <v>8.1000000000000003E-2</v>
      </c>
      <c r="V15">
        <v>0.36399999999999999</v>
      </c>
      <c r="W15">
        <v>0.15</v>
      </c>
      <c r="X15">
        <v>0.05</v>
      </c>
      <c r="Y15">
        <v>0.25</v>
      </c>
      <c r="Z15">
        <v>0.01</v>
      </c>
      <c r="AA15">
        <v>0</v>
      </c>
      <c r="AB15">
        <v>0.01</v>
      </c>
      <c r="AC15">
        <v>0.04</v>
      </c>
      <c r="AD15">
        <v>0.10299999999999999</v>
      </c>
      <c r="AE15">
        <v>0</v>
      </c>
      <c r="AF15">
        <v>0</v>
      </c>
      <c r="AG15">
        <v>0</v>
      </c>
      <c r="AH15">
        <v>0</v>
      </c>
    </row>
    <row r="16" ht="16" x14ac:dyDescent="0.2">
      <c r="A16" s="209" t="s">
        <v>196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 s="217">
        <v>1.0000000000000001E-5</v>
      </c>
      <c r="Q16">
        <v>0</v>
      </c>
      <c r="R16">
        <v>0</v>
      </c>
      <c r="S16">
        <v>0</v>
      </c>
      <c r="T16">
        <v>2E-3</v>
      </c>
      <c r="U16">
        <v>0</v>
      </c>
      <c r="V16">
        <v>1E-3</v>
      </c>
      <c r="W16">
        <v>0</v>
      </c>
      <c r="X16">
        <v>0</v>
      </c>
      <c r="Y16">
        <v>1E-3</v>
      </c>
      <c r="Z16">
        <v>0</v>
      </c>
      <c r="AA16">
        <v>0.01</v>
      </c>
      <c r="AB16">
        <v>0</v>
      </c>
      <c r="AC16">
        <v>0</v>
      </c>
      <c r="AD16">
        <v>2E-3</v>
      </c>
      <c r="AE16">
        <v>0</v>
      </c>
      <c r="AF16">
        <v>0</v>
      </c>
      <c r="AG16">
        <v>0</v>
      </c>
      <c r="AH16">
        <v>0</v>
      </c>
    </row>
    <row r="17" ht="16" x14ac:dyDescent="0.2">
      <c r="A17" s="209" t="s">
        <v>197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 s="145">
        <v>1E-3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0.01</v>
      </c>
      <c r="Z17">
        <v>0</v>
      </c>
      <c r="AA17">
        <v>5.0000000000000001E-3</v>
      </c>
      <c r="AB17">
        <v>1E-3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</row>
    <row r="18" ht="16" x14ac:dyDescent="0.2">
      <c r="A18" s="209" t="s">
        <v>198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0.01</v>
      </c>
      <c r="Q18">
        <v>0.14099999999999999</v>
      </c>
      <c r="R18" s="145">
        <v>0.05</v>
      </c>
      <c r="S18">
        <v>5.1999999999999998E-2</v>
      </c>
      <c r="T18">
        <v>0.03</v>
      </c>
      <c r="U18">
        <v>0.01</v>
      </c>
      <c r="V18">
        <v>0.104</v>
      </c>
      <c r="W18">
        <v>0.02</v>
      </c>
      <c r="X18">
        <v>0.02</v>
      </c>
      <c r="Y18">
        <v>0.2</v>
      </c>
      <c r="Z18">
        <v>0.03</v>
      </c>
      <c r="AA18">
        <v>0</v>
      </c>
      <c r="AB18">
        <v>0.23100000000000001</v>
      </c>
      <c r="AC18">
        <v>0.154</v>
      </c>
      <c r="AD18">
        <v>7.0000000000000007E-2</v>
      </c>
      <c r="AE18">
        <v>0</v>
      </c>
      <c r="AF18">
        <v>0</v>
      </c>
      <c r="AG18">
        <v>0</v>
      </c>
      <c r="AH18">
        <v>0</v>
      </c>
    </row>
    <row r="19" ht="16" x14ac:dyDescent="0.2">
      <c r="A19" s="209" t="s">
        <v>199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0.02</v>
      </c>
      <c r="Q19">
        <v>0.01</v>
      </c>
      <c r="R19">
        <v>2.1999999999999999E-2</v>
      </c>
      <c r="S19" s="145">
        <v>0</v>
      </c>
      <c r="T19">
        <v>9.5000000000000001E-2</v>
      </c>
      <c r="U19">
        <v>0</v>
      </c>
      <c r="V19">
        <v>0</v>
      </c>
      <c r="W19">
        <v>4.0000000000000001E-3</v>
      </c>
      <c r="X19">
        <v>1E-3</v>
      </c>
      <c r="Y19">
        <v>0</v>
      </c>
      <c r="Z19">
        <v>0</v>
      </c>
      <c r="AA19">
        <v>0</v>
      </c>
      <c r="AB19">
        <v>0.1</v>
      </c>
      <c r="AC19">
        <v>0.01</v>
      </c>
      <c r="AD19">
        <v>0.04</v>
      </c>
      <c r="AE19">
        <v>0</v>
      </c>
      <c r="AF19">
        <v>0</v>
      </c>
      <c r="AG19">
        <v>0</v>
      </c>
      <c r="AH19">
        <v>0</v>
      </c>
    </row>
    <row r="20" ht="16" x14ac:dyDescent="0.2">
      <c r="A20" s="209" t="s">
        <v>200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 s="145">
        <v>0.02</v>
      </c>
      <c r="U20">
        <v>0</v>
      </c>
      <c r="V20">
        <v>0</v>
      </c>
      <c r="W20">
        <v>0</v>
      </c>
      <c r="X20">
        <v>2E-3</v>
      </c>
      <c r="Y20">
        <v>0.04</v>
      </c>
      <c r="Z20">
        <v>0.01</v>
      </c>
      <c r="AA20">
        <v>0</v>
      </c>
      <c r="AB20">
        <v>2.1999999999999999E-2</v>
      </c>
      <c r="AC20">
        <v>0.01</v>
      </c>
      <c r="AD20">
        <v>0</v>
      </c>
      <c r="AE20">
        <v>0</v>
      </c>
      <c r="AF20">
        <v>0</v>
      </c>
      <c r="AG20">
        <v>0</v>
      </c>
      <c r="AH20">
        <v>0</v>
      </c>
    </row>
    <row r="21" ht="16" x14ac:dyDescent="0.2">
      <c r="A21" s="209" t="s">
        <v>201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0.06</v>
      </c>
      <c r="Q21">
        <v>3.4000000000000002E-2</v>
      </c>
      <c r="R21">
        <v>7.8E-2</v>
      </c>
      <c r="S21">
        <v>2.1000000000000001E-2</v>
      </c>
      <c r="T21">
        <v>0.15</v>
      </c>
      <c r="U21" s="145">
        <v>0</v>
      </c>
      <c r="V21">
        <v>0.14499999999999999</v>
      </c>
      <c r="W21">
        <v>1.6E-2</v>
      </c>
      <c r="X21">
        <v>8.0000000000000002E-3</v>
      </c>
      <c r="Y21">
        <v>0</v>
      </c>
      <c r="Z21">
        <v>0</v>
      </c>
      <c r="AA21">
        <v>0</v>
      </c>
      <c r="AB21">
        <v>0.1</v>
      </c>
      <c r="AC21">
        <v>1.7000000000000001E-2</v>
      </c>
      <c r="AD21">
        <v>0.13</v>
      </c>
      <c r="AE21">
        <v>0</v>
      </c>
      <c r="AF21">
        <v>0</v>
      </c>
      <c r="AG21">
        <v>0</v>
      </c>
      <c r="AH21">
        <v>0</v>
      </c>
    </row>
    <row r="22" ht="16" x14ac:dyDescent="0.2">
      <c r="A22" s="209" t="s">
        <v>202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 s="145">
        <v>0.02</v>
      </c>
      <c r="W22">
        <v>0</v>
      </c>
      <c r="X22">
        <v>2E-3</v>
      </c>
      <c r="Y22">
        <v>0.05</v>
      </c>
      <c r="Z22">
        <v>0</v>
      </c>
      <c r="AA22">
        <v>0</v>
      </c>
      <c r="AB22">
        <v>1.7999999999999999E-2</v>
      </c>
      <c r="AC22">
        <v>8.9999999999999993E-3</v>
      </c>
      <c r="AD22">
        <v>0</v>
      </c>
      <c r="AE22">
        <v>0</v>
      </c>
      <c r="AF22">
        <v>0</v>
      </c>
      <c r="AG22">
        <v>0</v>
      </c>
      <c r="AH22">
        <v>0</v>
      </c>
    </row>
    <row r="23" ht="16" x14ac:dyDescent="0.2">
      <c r="A23" s="209" t="s">
        <v>203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0.11</v>
      </c>
      <c r="Q23">
        <v>8.5999999999999993E-2</v>
      </c>
      <c r="R23">
        <v>0</v>
      </c>
      <c r="S23">
        <v>1E-3</v>
      </c>
      <c r="T23">
        <v>1E-3</v>
      </c>
      <c r="U23">
        <v>1E-4</v>
      </c>
      <c r="V23">
        <v>0.03</v>
      </c>
      <c r="W23" s="145">
        <v>0.03</v>
      </c>
      <c r="X23">
        <v>0.02</v>
      </c>
      <c r="Y23">
        <v>0.05</v>
      </c>
      <c r="Z23">
        <v>5.0000000000000001E-3</v>
      </c>
      <c r="AA23">
        <v>0.01</v>
      </c>
      <c r="AB23">
        <v>4.9000000000000002E-2</v>
      </c>
      <c r="AC23">
        <v>0</v>
      </c>
      <c r="AD23">
        <v>1E-3</v>
      </c>
      <c r="AE23">
        <v>0</v>
      </c>
      <c r="AF23">
        <v>0</v>
      </c>
      <c r="AG23">
        <v>0</v>
      </c>
      <c r="AH23">
        <v>0</v>
      </c>
    </row>
    <row r="24" ht="16" x14ac:dyDescent="0.2">
      <c r="A24" s="209" t="s">
        <v>204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1E-3</v>
      </c>
      <c r="T24">
        <v>1E-3</v>
      </c>
      <c r="U24">
        <v>1E-4</v>
      </c>
      <c r="V24">
        <v>9.4E-2</v>
      </c>
      <c r="W24">
        <v>0.01</v>
      </c>
      <c r="X24" s="145">
        <v>0.02</v>
      </c>
      <c r="Y24">
        <v>0.1</v>
      </c>
      <c r="Z24">
        <v>0.15</v>
      </c>
      <c r="AA24">
        <v>0.01</v>
      </c>
      <c r="AB24">
        <v>8.4000000000000005E-2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</row>
    <row r="25" ht="16" x14ac:dyDescent="0.2">
      <c r="A25" s="209" t="s">
        <v>205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 s="145">
        <v>0.1</v>
      </c>
      <c r="Z25">
        <v>0</v>
      </c>
      <c r="AA25">
        <v>0.1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</row>
    <row r="26" ht="16" x14ac:dyDescent="0.2">
      <c r="A26" s="209" t="s">
        <v>206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5.0000000000000001E-3</v>
      </c>
      <c r="Y26">
        <v>0</v>
      </c>
      <c r="Z26" s="145">
        <v>0.06</v>
      </c>
      <c r="AA26">
        <v>0.77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</row>
    <row r="27" ht="16" x14ac:dyDescent="0.2">
      <c r="A27" s="209" t="s">
        <v>207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 s="145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</row>
    <row r="28" ht="16" x14ac:dyDescent="0.2">
      <c r="A28" s="209" t="s">
        <v>208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0.03</v>
      </c>
      <c r="AB28" s="145">
        <v>0</v>
      </c>
      <c r="AC28">
        <v>0</v>
      </c>
      <c r="AD28">
        <v>2E-3</v>
      </c>
      <c r="AE28">
        <v>0</v>
      </c>
      <c r="AF28">
        <v>0</v>
      </c>
      <c r="AG28">
        <v>0</v>
      </c>
      <c r="AH28">
        <v>0</v>
      </c>
    </row>
    <row r="29" ht="16" x14ac:dyDescent="0.2">
      <c r="A29" s="209" t="s">
        <v>209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0.04</v>
      </c>
      <c r="AB29">
        <v>0</v>
      </c>
      <c r="AC29" s="145">
        <v>0</v>
      </c>
      <c r="AD29">
        <v>0</v>
      </c>
      <c r="AE29">
        <v>0</v>
      </c>
      <c r="AF29">
        <v>0</v>
      </c>
      <c r="AG29">
        <v>0</v>
      </c>
      <c r="AH29">
        <v>0</v>
      </c>
    </row>
    <row r="30" ht="16" x14ac:dyDescent="0.2">
      <c r="A30" s="209" t="s">
        <v>175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 s="145">
        <v>1E-4</v>
      </c>
      <c r="AE30">
        <v>0</v>
      </c>
      <c r="AF30">
        <v>0</v>
      </c>
      <c r="AG30">
        <v>0</v>
      </c>
      <c r="AH30">
        <v>0</v>
      </c>
    </row>
    <row r="31" ht="16" x14ac:dyDescent="0.2">
      <c r="A31" s="209" t="s">
        <v>210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 s="145">
        <v>0</v>
      </c>
      <c r="AF31">
        <v>0.08</v>
      </c>
      <c r="AG31">
        <v>0</v>
      </c>
      <c r="AH31">
        <v>0</v>
      </c>
    </row>
    <row r="32" ht="16" x14ac:dyDescent="0.2">
      <c r="A32" s="209" t="s">
        <v>211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0.03</v>
      </c>
      <c r="R32">
        <v>0.379</v>
      </c>
      <c r="S32">
        <v>0</v>
      </c>
      <c r="T32">
        <v>0</v>
      </c>
      <c r="U32">
        <v>0</v>
      </c>
      <c r="V32">
        <v>0</v>
      </c>
      <c r="W32">
        <v>0</v>
      </c>
      <c r="X32">
        <v>0.78200000000000003</v>
      </c>
      <c r="Y32">
        <v>0</v>
      </c>
      <c r="Z32">
        <v>0.72499999999999998</v>
      </c>
      <c r="AA32">
        <v>0</v>
      </c>
      <c r="AB32">
        <v>5.3999999999999999E-2</v>
      </c>
      <c r="AC32">
        <v>0</v>
      </c>
      <c r="AD32">
        <v>0</v>
      </c>
      <c r="AE32">
        <v>0</v>
      </c>
      <c r="AF32" s="145">
        <v>7.0000000000000007E-2</v>
      </c>
      <c r="AG32">
        <v>0</v>
      </c>
      <c r="AH32">
        <v>0</v>
      </c>
    </row>
    <row r="33" ht="16" x14ac:dyDescent="0.2">
      <c r="A33" s="209" t="s">
        <v>212</v>
      </c>
      <c r="B33">
        <v>0</v>
      </c>
      <c r="C33">
        <v>0</v>
      </c>
      <c r="D33" s="144">
        <v>0.55000000000000004</v>
      </c>
      <c r="E33">
        <v>0</v>
      </c>
      <c r="F33">
        <v>0</v>
      </c>
      <c r="G33" s="144">
        <v>0.1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 s="3">
        <v>0</v>
      </c>
      <c r="AG33" s="145">
        <v>0</v>
      </c>
      <c r="AH33">
        <v>0</v>
      </c>
    </row>
    <row r="34" ht="16" x14ac:dyDescent="0.2">
      <c r="A34" s="209" t="s">
        <v>178</v>
      </c>
      <c r="B34">
        <v>0</v>
      </c>
      <c r="C34">
        <v>0</v>
      </c>
      <c r="D34" s="144">
        <v>0</v>
      </c>
      <c r="E34">
        <v>0</v>
      </c>
      <c r="F34">
        <v>0</v>
      </c>
      <c r="G34" s="144">
        <v>0.1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0.95</v>
      </c>
      <c r="AF34">
        <v>0.8</v>
      </c>
      <c r="AG34">
        <v>0</v>
      </c>
      <c r="AH34" s="145">
        <v>0</v>
      </c>
    </row>
    <row r="35" ht="16" x14ac:dyDescent="0.2">
      <c r="A35" s="209" t="s">
        <v>179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0.05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</row>
    <row r="36" x14ac:dyDescent="0.15"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</row>
    <row r="39" x14ac:dyDescent="0.15">
      <c r="A39" t="s">
        <v>61</v>
      </c>
      <c r="B39">
        <f>SUM(B2:B35)</f>
        <v>0</v>
      </c>
      <c r="C39">
        <f t="shared" ref="C39:AH39" si="0">SUM(C2:C35)</f>
        <v>0</v>
      </c>
      <c r="D39">
        <f t="shared" si="0"/>
        <v>1</v>
      </c>
      <c r="E39">
        <f t="shared" si="0"/>
        <v>1</v>
      </c>
      <c r="F39">
        <f t="shared" si="0"/>
        <v>1</v>
      </c>
      <c r="G39">
        <f t="shared" si="0"/>
        <v>1</v>
      </c>
      <c r="H39">
        <f t="shared" si="0"/>
        <v>1</v>
      </c>
      <c r="I39">
        <f t="shared" si="0"/>
        <v>1</v>
      </c>
      <c r="J39">
        <f t="shared" si="0"/>
        <v>1</v>
      </c>
      <c r="K39">
        <f t="shared" si="0"/>
        <v>1</v>
      </c>
      <c r="L39">
        <f t="shared" si="0"/>
        <v>1</v>
      </c>
      <c r="M39">
        <f t="shared" si="0"/>
        <v>1</v>
      </c>
      <c r="N39">
        <f t="shared" si="0"/>
        <v>1</v>
      </c>
      <c r="O39">
        <f t="shared" si="0"/>
        <v>1</v>
      </c>
      <c r="P39">
        <f t="shared" si="0"/>
        <v>1.0000100000000003</v>
      </c>
      <c r="Q39">
        <f t="shared" si="0"/>
        <v>1.0000000000000002</v>
      </c>
      <c r="R39">
        <f t="shared" si="0"/>
        <v>1</v>
      </c>
      <c r="S39">
        <f t="shared" si="0"/>
        <v>1</v>
      </c>
      <c r="T39">
        <f t="shared" si="0"/>
        <v>1</v>
      </c>
      <c r="U39">
        <f t="shared" si="0"/>
        <v>1.0002</v>
      </c>
      <c r="V39">
        <f t="shared" si="0"/>
        <v>1</v>
      </c>
      <c r="W39">
        <f t="shared" si="0"/>
        <v>0.99960000000000004</v>
      </c>
      <c r="X39">
        <f t="shared" si="0"/>
        <v>1</v>
      </c>
      <c r="Y39">
        <f t="shared" si="0"/>
        <v>1.0000000000000002</v>
      </c>
      <c r="Z39">
        <f t="shared" si="0"/>
        <v>1</v>
      </c>
      <c r="AA39">
        <f t="shared" si="0"/>
        <v>1</v>
      </c>
      <c r="AB39">
        <f t="shared" si="0"/>
        <v>1</v>
      </c>
      <c r="AC39">
        <f t="shared" si="0"/>
        <v>1</v>
      </c>
      <c r="AD39">
        <f t="shared" si="0"/>
        <v>1.0001</v>
      </c>
      <c r="AE39">
        <f t="shared" si="0"/>
        <v>1</v>
      </c>
      <c r="AF39">
        <f t="shared" si="0"/>
        <v>1</v>
      </c>
      <c r="AG39">
        <f t="shared" si="0"/>
        <v>0</v>
      </c>
      <c r="AH39">
        <f t="shared" si="0"/>
        <v>0</v>
      </c>
    </row>
    <row r="40" x14ac:dyDescent="0.15">
      <c r="A40" t="s">
        <v>180</v>
      </c>
      <c r="B40">
        <f>1-B39</f>
        <v>1</v>
      </c>
      <c r="C40">
        <f t="shared" ref="C40:AH40" si="1">1-C39</f>
        <v>1</v>
      </c>
      <c r="D40">
        <f t="shared" si="1"/>
        <v>0</v>
      </c>
      <c r="E40">
        <f t="shared" si="1"/>
        <v>0</v>
      </c>
      <c r="F40">
        <f t="shared" si="1"/>
        <v>0</v>
      </c>
      <c r="G40">
        <f t="shared" si="1"/>
        <v>0</v>
      </c>
      <c r="H40">
        <f t="shared" si="1"/>
        <v>0</v>
      </c>
      <c r="I40">
        <f t="shared" si="1"/>
        <v>0</v>
      </c>
      <c r="J40">
        <f t="shared" si="1"/>
        <v>0</v>
      </c>
      <c r="K40">
        <f t="shared" si="1"/>
        <v>0</v>
      </c>
      <c r="L40">
        <f t="shared" si="1"/>
        <v>0</v>
      </c>
      <c r="M40">
        <f t="shared" si="1"/>
        <v>0</v>
      </c>
      <c r="N40">
        <f t="shared" si="1"/>
        <v>0</v>
      </c>
      <c r="O40">
        <f t="shared" si="1"/>
        <v>0</v>
      </c>
      <c r="P40">
        <f t="shared" si="1"/>
        <v>-1.0000000000287557E-5</v>
      </c>
      <c r="Q40">
        <f t="shared" si="1"/>
        <v>0</v>
      </c>
      <c r="R40">
        <f t="shared" si="1"/>
        <v>0</v>
      </c>
      <c r="S40">
        <f t="shared" si="1"/>
        <v>0</v>
      </c>
      <c r="T40">
        <f t="shared" si="1"/>
        <v>0</v>
      </c>
      <c r="U40">
        <f t="shared" si="1"/>
        <v>-1.9999999999997797E-4</v>
      </c>
      <c r="V40">
        <f t="shared" si="1"/>
        <v>0</v>
      </c>
      <c r="W40">
        <f t="shared" si="1"/>
        <v>3.9999999999995595E-4</v>
      </c>
      <c r="X40">
        <f t="shared" si="1"/>
        <v>0</v>
      </c>
      <c r="Y40">
        <f t="shared" si="1"/>
        <v>0</v>
      </c>
      <c r="Z40">
        <f t="shared" si="1"/>
        <v>0</v>
      </c>
      <c r="AA40">
        <f t="shared" si="1"/>
        <v>0</v>
      </c>
      <c r="AB40">
        <f t="shared" si="1"/>
        <v>0</v>
      </c>
      <c r="AC40">
        <f t="shared" si="1"/>
        <v>0</v>
      </c>
      <c r="AD40">
        <f t="shared" si="1"/>
        <v>-9.9999999999988987E-5</v>
      </c>
      <c r="AE40">
        <f t="shared" si="1"/>
        <v>0</v>
      </c>
      <c r="AF40">
        <f t="shared" si="1"/>
        <v>0</v>
      </c>
      <c r="AG40">
        <f t="shared" si="1"/>
        <v>1</v>
      </c>
      <c r="AH40">
        <f t="shared" si="1"/>
        <v>1</v>
      </c>
    </row>
    <row r="42" x14ac:dyDescent="0.15">
      <c r="A42" s="55" t="s">
        <v>227</v>
      </c>
    </row>
    <row r="193" ht="15" customHeight="true" x14ac:dyDescent="0.15"/>
    <row r="194" ht="15" customHeight="true" x14ac:dyDescent="0.15"/>
    <row r="195" ht="15" customHeight="true" x14ac:dyDescent="0.15"/>
    <row r="196" ht="15" customHeight="true" x14ac:dyDescent="0.15"/>
    <row r="197" ht="15" customHeight="true" x14ac:dyDescent="0.15"/>
    <row r="198" ht="15" customHeight="true" x14ac:dyDescent="0.15"/>
    <row r="199" ht="15" customHeight="true" x14ac:dyDescent="0.15"/>
    <row r="200" ht="15" customHeight="true" x14ac:dyDescent="0.15"/>
    <row r="201" ht="15" customHeight="true" x14ac:dyDescent="0.15"/>
    <row r="202" ht="15" customHeight="true" x14ac:dyDescent="0.15"/>
    <row r="203" ht="15" customHeight="true" x14ac:dyDescent="0.15"/>
    <row r="204" ht="15" customHeight="true" x14ac:dyDescent="0.15"/>
    <row r="205" ht="15" customHeight="true" x14ac:dyDescent="0.15"/>
    <row r="206" ht="15" customHeight="true" x14ac:dyDescent="0.15"/>
    <row r="207" ht="15" customHeight="true" x14ac:dyDescent="0.15"/>
    <row r="208" ht="15" customHeight="true" x14ac:dyDescent="0.15"/>
    <row r="209" ht="15" customHeight="true" x14ac:dyDescent="0.15"/>
    <row r="210" ht="15" customHeight="true" x14ac:dyDescent="0.15"/>
    <row r="211" ht="15" customHeight="true" x14ac:dyDescent="0.15"/>
    <row r="212" ht="15" customHeight="true" x14ac:dyDescent="0.15"/>
    <row r="213" ht="15" customHeight="true" x14ac:dyDescent="0.15"/>
    <row r="214" ht="15" customHeight="true" x14ac:dyDescent="0.15"/>
    <row r="215" ht="15" customHeight="true" x14ac:dyDescent="0.15"/>
    <row r="216" ht="15" customHeight="true" x14ac:dyDescent="0.15"/>
    <row r="217" ht="15" customHeight="true" x14ac:dyDescent="0.15"/>
    <row r="218" ht="15" customHeight="true" x14ac:dyDescent="0.15"/>
    <row r="219" ht="15" customHeight="true" x14ac:dyDescent="0.15"/>
    <row r="220" ht="15" customHeight="true" x14ac:dyDescent="0.15"/>
    <row r="221" ht="15" customHeight="true" x14ac:dyDescent="0.15"/>
    <row r="222" ht="15" customHeight="true" x14ac:dyDescent="0.15"/>
    <row r="223" ht="15" customHeight="true" x14ac:dyDescent="0.15"/>
    <row r="224" ht="15" customHeight="true" x14ac:dyDescent="0.15"/>
    <row r="225" ht="15" customHeight="true" x14ac:dyDescent="0.15"/>
    <row r="226" ht="15" customHeight="true" x14ac:dyDescent="0.15"/>
    <row r="227" ht="15" customHeight="true" x14ac:dyDescent="0.15"/>
    <row r="228" ht="15" customHeight="true" x14ac:dyDescent="0.15"/>
    <row r="229" ht="15" customHeight="true" x14ac:dyDescent="0.15"/>
    <row r="230" ht="15" customHeight="true" x14ac:dyDescent="0.15"/>
    <row r="231" ht="15" customHeight="true" x14ac:dyDescent="0.15"/>
    <row r="232" ht="15" customHeight="true" x14ac:dyDescent="0.15"/>
    <row r="233" ht="15" customHeight="true" x14ac:dyDescent="0.15"/>
    <row r="234" ht="15" customHeight="true" x14ac:dyDescent="0.15"/>
    <row r="235" ht="15" customHeight="true" x14ac:dyDescent="0.15"/>
    <row r="236" ht="15" customHeight="true" x14ac:dyDescent="0.15"/>
    <row r="237" ht="15" customHeight="true" x14ac:dyDescent="0.15"/>
    <row r="238" ht="15" customHeight="true" x14ac:dyDescent="0.15"/>
    <row r="239" ht="15" customHeight="true" x14ac:dyDescent="0.15"/>
    <row r="240" ht="15" customHeight="true" x14ac:dyDescent="0.15"/>
    <row r="241" ht="15" customHeight="true" x14ac:dyDescent="0.15"/>
    <row r="242" ht="15" customHeight="true" x14ac:dyDescent="0.15"/>
    <row r="243" ht="15" customHeight="true" x14ac:dyDescent="0.15"/>
    <row r="244" ht="15" customHeight="true" x14ac:dyDescent="0.15"/>
    <row r="245" ht="15" customHeight="true" x14ac:dyDescent="0.15"/>
    <row r="246" ht="15" customHeight="true" x14ac:dyDescent="0.15"/>
    <row r="247" ht="15" customHeight="true" x14ac:dyDescent="0.15"/>
    <row r="248" ht="15" customHeight="true" x14ac:dyDescent="0.15"/>
    <row r="249" ht="15" customHeight="true" x14ac:dyDescent="0.15"/>
    <row r="250" ht="15" customHeight="true" x14ac:dyDescent="0.15"/>
    <row r="251" ht="15" customHeight="true" x14ac:dyDescent="0.15"/>
    <row r="252" ht="15" customHeight="true" x14ac:dyDescent="0.15"/>
    <row r="253" ht="15" customHeight="true" x14ac:dyDescent="0.15"/>
    <row r="254" ht="15" customHeight="true" x14ac:dyDescent="0.15"/>
    <row r="255" ht="15" customHeight="true" x14ac:dyDescent="0.15"/>
    <row r="256" ht="15" customHeight="true" x14ac:dyDescent="0.15"/>
    <row r="257" ht="15" customHeight="true" x14ac:dyDescent="0.15"/>
    <row r="258" ht="15" customHeight="true" x14ac:dyDescent="0.15"/>
    <row r="259" ht="15" customHeight="true" x14ac:dyDescent="0.15"/>
    <row r="260" ht="15" customHeight="true" x14ac:dyDescent="0.15"/>
    <row r="261" ht="15" customHeight="true" x14ac:dyDescent="0.15"/>
    <row r="262" ht="15" customHeight="true" x14ac:dyDescent="0.15"/>
    <row r="263" ht="15" customHeight="true" x14ac:dyDescent="0.15"/>
    <row r="264" ht="15" customHeight="true" x14ac:dyDescent="0.15"/>
    <row r="265" ht="15" customHeight="true" x14ac:dyDescent="0.15"/>
    <row r="266" ht="15" customHeight="true" x14ac:dyDescent="0.15"/>
    <row r="267" ht="15" customHeight="true" x14ac:dyDescent="0.15"/>
    <row r="268" ht="15" customHeight="true" x14ac:dyDescent="0.15"/>
    <row r="269" ht="15" customHeight="true" x14ac:dyDescent="0.15"/>
    <row r="270" ht="15" customHeight="true" x14ac:dyDescent="0.15"/>
    <row r="271" ht="15" customHeight="true" x14ac:dyDescent="0.15"/>
    <row r="272" ht="15" customHeight="true" x14ac:dyDescent="0.15"/>
    <row r="273" ht="15" customHeight="true" x14ac:dyDescent="0.15"/>
    <row r="274" ht="15" customHeight="true" x14ac:dyDescent="0.15"/>
    <row r="275" ht="15" customHeight="true" x14ac:dyDescent="0.15"/>
    <row r="276" ht="15" customHeight="true" x14ac:dyDescent="0.15"/>
    <row r="277" ht="15" customHeight="true" x14ac:dyDescent="0.15"/>
    <row r="278" ht="15" customHeight="true" x14ac:dyDescent="0.15"/>
    <row r="279" ht="15" customHeight="true" x14ac:dyDescent="0.15"/>
    <row r="280" ht="15" customHeight="true" x14ac:dyDescent="0.15"/>
    <row r="281" ht="15" customHeight="true" x14ac:dyDescent="0.15"/>
    <row r="282" ht="15" customHeight="true" x14ac:dyDescent="0.15"/>
    <row r="283" ht="15" customHeight="true" x14ac:dyDescent="0.15"/>
    <row r="284" ht="15" customHeight="true" x14ac:dyDescent="0.15"/>
    <row r="285" ht="15" customHeight="true" x14ac:dyDescent="0.15"/>
    <row r="286" ht="15" customHeight="true" x14ac:dyDescent="0.15"/>
    <row r="287" ht="15" customHeight="true" x14ac:dyDescent="0.15"/>
    <row r="288" ht="15" customHeight="true" x14ac:dyDescent="0.15"/>
    <row r="289" ht="15" customHeight="true" x14ac:dyDescent="0.15"/>
    <row r="290" ht="15" customHeight="true" x14ac:dyDescent="0.15"/>
    <row r="291" ht="15" customHeight="true" x14ac:dyDescent="0.15"/>
    <row r="292" ht="15" customHeight="true" x14ac:dyDescent="0.15"/>
    <row r="293" ht="15" customHeight="true" x14ac:dyDescent="0.15"/>
    <row r="294" ht="15" customHeight="true" x14ac:dyDescent="0.15"/>
    <row r="295" ht="15" customHeight="true" x14ac:dyDescent="0.15"/>
    <row r="296" ht="15" customHeight="true" x14ac:dyDescent="0.15"/>
    <row r="297" ht="15" customHeight="true" x14ac:dyDescent="0.15"/>
    <row r="298" ht="15" customHeight="true" x14ac:dyDescent="0.15"/>
    <row r="299" ht="15" customHeight="true" x14ac:dyDescent="0.15"/>
    <row r="300" ht="15" customHeight="true" x14ac:dyDescent="0.15"/>
    <row r="301" ht="15" customHeight="true" x14ac:dyDescent="0.15"/>
    <row r="302" ht="15" customHeight="true" x14ac:dyDescent="0.15"/>
    <row r="303" ht="15" customHeight="true" x14ac:dyDescent="0.15"/>
    <row r="304" ht="15" customHeight="true" x14ac:dyDescent="0.15"/>
    <row r="305" ht="15" customHeight="true" x14ac:dyDescent="0.15"/>
    <row r="306" ht="15" customHeight="true" x14ac:dyDescent="0.15"/>
    <row r="307" ht="15" customHeight="true" x14ac:dyDescent="0.15"/>
    <row r="308" ht="15" customHeight="true" x14ac:dyDescent="0.15"/>
    <row r="309" ht="15" customHeight="true" x14ac:dyDescent="0.15"/>
    <row r="310" ht="15" customHeight="true" x14ac:dyDescent="0.15"/>
    <row r="311" ht="15" customHeight="true" x14ac:dyDescent="0.15"/>
    <row r="312" ht="15" customHeight="true" x14ac:dyDescent="0.15"/>
    <row r="313" ht="15" customHeight="true" x14ac:dyDescent="0.15"/>
    <row r="314" ht="15" customHeight="true" x14ac:dyDescent="0.15"/>
    <row r="315" ht="15" customHeight="true" x14ac:dyDescent="0.15"/>
    <row r="316" ht="15" customHeight="true" x14ac:dyDescent="0.15"/>
    <row r="317" ht="15" customHeight="true" x14ac:dyDescent="0.15"/>
    <row r="318" ht="15" customHeight="true" x14ac:dyDescent="0.15"/>
    <row r="319" ht="15" customHeight="true" x14ac:dyDescent="0.15"/>
    <row r="320" ht="15" customHeight="true" x14ac:dyDescent="0.15"/>
    <row r="321" ht="15" customHeight="true" x14ac:dyDescent="0.15"/>
    <row r="322" ht="15" customHeight="true" x14ac:dyDescent="0.15"/>
    <row r="323" ht="15" customHeight="true" x14ac:dyDescent="0.15"/>
    <row r="324" ht="15" customHeight="true" x14ac:dyDescent="0.15"/>
    <row r="325" ht="15" customHeight="true" x14ac:dyDescent="0.15"/>
    <row r="326" ht="15" customHeight="true" x14ac:dyDescent="0.15"/>
    <row r="327" ht="15" customHeight="true" x14ac:dyDescent="0.15"/>
    <row r="328" ht="15" customHeight="true" x14ac:dyDescent="0.15"/>
    <row r="329" ht="15" customHeight="true" x14ac:dyDescent="0.15"/>
    <row r="330" ht="15" customHeight="true" x14ac:dyDescent="0.15"/>
    <row r="331" ht="15" customHeight="true" x14ac:dyDescent="0.15"/>
    <row r="332" ht="15" customHeight="true" x14ac:dyDescent="0.15"/>
    <row r="333" ht="15" customHeight="true" x14ac:dyDescent="0.15"/>
    <row r="334" ht="15" customHeight="true" x14ac:dyDescent="0.15"/>
    <row r="335" ht="15" customHeight="true" x14ac:dyDescent="0.15"/>
    <row r="336" ht="15" customHeight="true" x14ac:dyDescent="0.15"/>
    <row r="337" ht="15" customHeight="true" x14ac:dyDescent="0.15"/>
    <row r="338" ht="15" customHeight="true" x14ac:dyDescent="0.15"/>
    <row r="339" ht="15" customHeight="true" x14ac:dyDescent="0.15"/>
    <row r="340" ht="15" customHeight="true" x14ac:dyDescent="0.15"/>
    <row r="341" ht="15" customHeight="true" x14ac:dyDescent="0.15"/>
    <row r="342" ht="15" customHeight="true" x14ac:dyDescent="0.15"/>
    <row r="343" ht="15" customHeight="true" x14ac:dyDescent="0.15"/>
    <row r="344" ht="15" customHeight="true" x14ac:dyDescent="0.15"/>
    <row r="345" ht="15" customHeight="true" x14ac:dyDescent="0.15"/>
    <row r="346" ht="15" customHeight="true" x14ac:dyDescent="0.15"/>
    <row r="347" ht="15" customHeight="true" x14ac:dyDescent="0.15"/>
    <row r="348" ht="15" customHeight="true" x14ac:dyDescent="0.15"/>
    <row r="349" ht="15" customHeight="true" x14ac:dyDescent="0.15"/>
    <row r="350" ht="15" customHeight="true" x14ac:dyDescent="0.15"/>
    <row r="351" ht="15" customHeight="true" x14ac:dyDescent="0.15"/>
    <row r="352" ht="15" customHeight="true" x14ac:dyDescent="0.15"/>
    <row r="353" ht="15" customHeight="true" x14ac:dyDescent="0.15"/>
    <row r="354" ht="15" customHeight="true" x14ac:dyDescent="0.15"/>
    <row r="355" ht="15" customHeight="true" x14ac:dyDescent="0.15"/>
    <row r="356" ht="15" customHeight="true" x14ac:dyDescent="0.15"/>
    <row r="357" ht="15" customHeight="true" x14ac:dyDescent="0.15"/>
    <row r="358" ht="15" customHeight="true" x14ac:dyDescent="0.15"/>
    <row r="359" ht="15" customHeight="true" x14ac:dyDescent="0.15"/>
    <row r="360" ht="15" customHeight="true" x14ac:dyDescent="0.15"/>
    <row r="361" ht="15" customHeight="true" x14ac:dyDescent="0.15"/>
    <row r="362" ht="15" customHeight="true" x14ac:dyDescent="0.15"/>
    <row r="363" ht="15" customHeight="true" x14ac:dyDescent="0.15"/>
    <row r="364" ht="15" customHeight="true" x14ac:dyDescent="0.15"/>
    <row r="365" ht="15" customHeight="true" x14ac:dyDescent="0.15"/>
    <row r="366" ht="15" customHeight="true" x14ac:dyDescent="0.15"/>
    <row r="367" ht="15" customHeight="true" x14ac:dyDescent="0.15"/>
    <row r="368" ht="15" customHeight="true" x14ac:dyDescent="0.15"/>
    <row r="369" ht="15" customHeight="true" x14ac:dyDescent="0.15"/>
    <row r="370" ht="15" customHeight="true" x14ac:dyDescent="0.15"/>
    <row r="371" ht="15" customHeight="true" x14ac:dyDescent="0.15"/>
    <row r="372" ht="15" customHeight="true" x14ac:dyDescent="0.15"/>
    <row r="373" ht="15" customHeight="true" x14ac:dyDescent="0.15"/>
    <row r="374" ht="15" customHeight="true" x14ac:dyDescent="0.15"/>
    <row r="375" ht="15" customHeight="true" x14ac:dyDescent="0.15"/>
    <row r="376" ht="15" customHeight="true" x14ac:dyDescent="0.15"/>
    <row r="377" ht="15" customHeight="true" x14ac:dyDescent="0.15"/>
    <row r="378" ht="15" customHeight="true" x14ac:dyDescent="0.15"/>
    <row r="379" ht="15" customHeight="true" x14ac:dyDescent="0.15"/>
    <row r="380" ht="15" customHeight="true" x14ac:dyDescent="0.15"/>
    <row r="381" ht="15" customHeight="true" x14ac:dyDescent="0.15"/>
    <row r="382" ht="15" customHeight="true" x14ac:dyDescent="0.15"/>
    <row r="383" ht="15" customHeight="true" x14ac:dyDescent="0.15"/>
    <row r="384" ht="15" customHeight="true" x14ac:dyDescent="0.15"/>
    <row r="385" ht="15" customHeight="true" x14ac:dyDescent="0.15"/>
    <row r="386" ht="15" customHeight="true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F187"/>
  <sheetViews>
    <sheetView workbookViewId="0">
      <pane xSplit="2" ySplit="1" topLeftCell="C45" activePane="bottomRight" state="frozen"/>
      <selection pane="topRight" activeCell="C1" sqref="C1"/>
      <selection pane="bottomLeft" activeCell="A2" sqref="A2"/>
      <selection pane="bottomRight" activeCell="A10" sqref="A10"/>
    </sheetView>
  </sheetViews>
  <sheetFormatPr baseColWidth="10" defaultColWidth="8.83203125" defaultRowHeight="13" x14ac:dyDescent="0.15"/>
  <cols>
    <col min="1" max="1" width="12.83203125" customWidth="true"/>
    <col min="2" max="2" width="27.6640625" bestFit="true" customWidth="true"/>
    <col min="3" max="3" width="13" bestFit="true" customWidth="true"/>
    <col min="4" max="4" width="7" bestFit="true" customWidth="true"/>
    <col min="5" max="5" width="6.1640625" bestFit="true" customWidth="true"/>
  </cols>
  <sheetData>
    <row r="1" ht="14" x14ac:dyDescent="0.15">
      <c r="A1" s="146" t="s">
        <v>20</v>
      </c>
      <c r="B1" s="1" t="s">
        <v>0</v>
      </c>
      <c r="C1" t="s">
        <v>177</v>
      </c>
      <c r="D1" t="s">
        <v>178</v>
      </c>
      <c r="E1" t="s">
        <v>181</v>
      </c>
      <c r="F1" s="147" t="s">
        <v>61</v>
      </c>
    </row>
    <row r="2" ht="16" x14ac:dyDescent="0.2">
      <c r="A2">
        <v>1</v>
      </c>
      <c r="B2" s="209" t="s">
        <v>182</v>
      </c>
      <c r="C2" s="144">
        <v>0.5</v>
      </c>
      <c r="D2" s="144">
        <v>0.5</v>
      </c>
      <c r="E2">
        <v>0</v>
      </c>
      <c r="F2" s="148">
        <f>SUM(C2:E2)</f>
        <v>1</v>
      </c>
    </row>
    <row r="3" ht="16" x14ac:dyDescent="0.2">
      <c r="A3">
        <v>2</v>
      </c>
      <c r="B3" s="209" t="s">
        <v>183</v>
      </c>
      <c r="C3" s="144">
        <v>0</v>
      </c>
      <c r="D3" s="144">
        <v>1</v>
      </c>
      <c r="E3">
        <v>0</v>
      </c>
      <c r="F3" s="148">
        <f t="shared" ref="F3:F47" si="0">SUM(C3:E3)</f>
        <v>1</v>
      </c>
    </row>
    <row r="4" ht="16" x14ac:dyDescent="0.2">
      <c r="A4">
        <v>3</v>
      </c>
      <c r="B4" s="209" t="s">
        <v>184</v>
      </c>
      <c r="C4">
        <v>0</v>
      </c>
      <c r="D4">
        <v>1</v>
      </c>
      <c r="E4">
        <v>0</v>
      </c>
      <c r="F4" s="148">
        <f t="shared" si="0"/>
        <v>1</v>
      </c>
    </row>
    <row r="5" ht="16" x14ac:dyDescent="0.2">
      <c r="A5">
        <v>4</v>
      </c>
      <c r="B5" s="209" t="s">
        <v>185</v>
      </c>
      <c r="C5">
        <v>0</v>
      </c>
      <c r="D5">
        <v>1</v>
      </c>
      <c r="E5">
        <v>0</v>
      </c>
      <c r="F5" s="148">
        <f t="shared" si="0"/>
        <v>1</v>
      </c>
    </row>
    <row r="6" ht="16" x14ac:dyDescent="0.2">
      <c r="A6">
        <v>5</v>
      </c>
      <c r="B6" s="209" t="s">
        <v>186</v>
      </c>
      <c r="C6">
        <v>0</v>
      </c>
      <c r="D6">
        <v>1</v>
      </c>
      <c r="E6">
        <v>0</v>
      </c>
      <c r="F6" s="148">
        <f t="shared" si="0"/>
        <v>1</v>
      </c>
    </row>
    <row r="7" ht="16" x14ac:dyDescent="0.2">
      <c r="A7">
        <v>6</v>
      </c>
      <c r="B7" s="209" t="s">
        <v>187</v>
      </c>
      <c r="C7">
        <v>0</v>
      </c>
      <c r="D7">
        <v>1</v>
      </c>
      <c r="E7">
        <v>0</v>
      </c>
      <c r="F7" s="148">
        <f t="shared" si="0"/>
        <v>1</v>
      </c>
    </row>
    <row r="8" ht="16" x14ac:dyDescent="0.2">
      <c r="A8">
        <v>7</v>
      </c>
      <c r="B8" s="209" t="s">
        <v>188</v>
      </c>
      <c r="C8">
        <v>0</v>
      </c>
      <c r="D8">
        <v>1</v>
      </c>
      <c r="E8">
        <v>0</v>
      </c>
      <c r="F8" s="148">
        <f t="shared" si="0"/>
        <v>1</v>
      </c>
    </row>
    <row r="9" ht="16" x14ac:dyDescent="0.2">
      <c r="A9">
        <v>8</v>
      </c>
      <c r="B9" s="209" t="s">
        <v>189</v>
      </c>
      <c r="C9">
        <v>0</v>
      </c>
      <c r="D9">
        <v>1</v>
      </c>
      <c r="E9">
        <v>0</v>
      </c>
      <c r="F9" s="148">
        <f t="shared" si="0"/>
        <v>1</v>
      </c>
    </row>
    <row r="10" ht="16" x14ac:dyDescent="0.2">
      <c r="A10">
        <v>9</v>
      </c>
      <c r="B10" s="209" t="s">
        <v>190</v>
      </c>
      <c r="C10">
        <v>0</v>
      </c>
      <c r="D10">
        <v>1</v>
      </c>
      <c r="E10">
        <v>0</v>
      </c>
      <c r="F10" s="148">
        <f t="shared" si="0"/>
        <v>1</v>
      </c>
    </row>
    <row r="11" ht="16" x14ac:dyDescent="0.2">
      <c r="A11">
        <v>10</v>
      </c>
      <c r="B11" s="209" t="s">
        <v>191</v>
      </c>
      <c r="C11">
        <v>0</v>
      </c>
      <c r="D11">
        <v>1</v>
      </c>
      <c r="E11">
        <v>0</v>
      </c>
      <c r="F11" s="148">
        <f t="shared" si="0"/>
        <v>1</v>
      </c>
    </row>
    <row r="12" ht="16" x14ac:dyDescent="0.2">
      <c r="A12">
        <v>11</v>
      </c>
      <c r="B12" s="209" t="s">
        <v>192</v>
      </c>
      <c r="C12">
        <v>0</v>
      </c>
      <c r="D12">
        <v>1</v>
      </c>
      <c r="E12">
        <v>0</v>
      </c>
      <c r="F12" s="148">
        <f t="shared" si="0"/>
        <v>1</v>
      </c>
    </row>
    <row r="13" ht="16" x14ac:dyDescent="0.2">
      <c r="A13">
        <v>12</v>
      </c>
      <c r="B13" s="209" t="s">
        <v>193</v>
      </c>
      <c r="C13">
        <v>0</v>
      </c>
      <c r="D13">
        <v>1</v>
      </c>
      <c r="E13">
        <v>0</v>
      </c>
      <c r="F13" s="148">
        <f t="shared" si="0"/>
        <v>1</v>
      </c>
    </row>
    <row r="14" ht="16" x14ac:dyDescent="0.2">
      <c r="A14">
        <v>13</v>
      </c>
      <c r="B14" s="209" t="s">
        <v>194</v>
      </c>
      <c r="C14">
        <v>0</v>
      </c>
      <c r="D14">
        <v>1</v>
      </c>
      <c r="E14">
        <v>0</v>
      </c>
      <c r="F14" s="148">
        <f t="shared" si="0"/>
        <v>1</v>
      </c>
    </row>
    <row r="15" ht="16" x14ac:dyDescent="0.2">
      <c r="A15">
        <v>14</v>
      </c>
      <c r="B15" s="209" t="s">
        <v>195</v>
      </c>
      <c r="C15">
        <v>0</v>
      </c>
      <c r="D15">
        <v>1</v>
      </c>
      <c r="E15">
        <v>0</v>
      </c>
      <c r="F15" s="148">
        <f t="shared" si="0"/>
        <v>1</v>
      </c>
    </row>
    <row r="16" ht="16" x14ac:dyDescent="0.2">
      <c r="A16">
        <v>15</v>
      </c>
      <c r="B16" s="209" t="s">
        <v>196</v>
      </c>
      <c r="C16">
        <v>0</v>
      </c>
      <c r="D16">
        <v>1</v>
      </c>
      <c r="E16">
        <v>0</v>
      </c>
      <c r="F16" s="148">
        <f t="shared" si="0"/>
        <v>1</v>
      </c>
    </row>
    <row r="17" ht="16" x14ac:dyDescent="0.2">
      <c r="A17">
        <v>16</v>
      </c>
      <c r="B17" s="209" t="s">
        <v>197</v>
      </c>
      <c r="C17">
        <v>0</v>
      </c>
      <c r="D17">
        <v>1</v>
      </c>
      <c r="E17">
        <v>0</v>
      </c>
      <c r="F17" s="148">
        <f t="shared" si="0"/>
        <v>1</v>
      </c>
    </row>
    <row r="18" ht="16" x14ac:dyDescent="0.2">
      <c r="A18">
        <v>17</v>
      </c>
      <c r="B18" s="209" t="s">
        <v>198</v>
      </c>
      <c r="C18">
        <v>0</v>
      </c>
      <c r="D18">
        <v>1</v>
      </c>
      <c r="E18">
        <v>0</v>
      </c>
      <c r="F18" s="148">
        <f t="shared" si="0"/>
        <v>1</v>
      </c>
    </row>
    <row r="19" ht="16" x14ac:dyDescent="0.2">
      <c r="A19">
        <v>18</v>
      </c>
      <c r="B19" s="209" t="s">
        <v>199</v>
      </c>
      <c r="C19">
        <v>0</v>
      </c>
      <c r="D19">
        <v>1</v>
      </c>
      <c r="E19">
        <v>0</v>
      </c>
      <c r="F19" s="148">
        <f t="shared" si="0"/>
        <v>1</v>
      </c>
    </row>
    <row r="20" ht="16" x14ac:dyDescent="0.2">
      <c r="A20">
        <v>19</v>
      </c>
      <c r="B20" s="209" t="s">
        <v>200</v>
      </c>
      <c r="C20">
        <v>0</v>
      </c>
      <c r="D20">
        <v>1</v>
      </c>
      <c r="E20">
        <v>0</v>
      </c>
      <c r="F20" s="148">
        <f t="shared" si="0"/>
        <v>1</v>
      </c>
    </row>
    <row r="21" ht="16" x14ac:dyDescent="0.2">
      <c r="A21">
        <v>20</v>
      </c>
      <c r="B21" s="209" t="s">
        <v>201</v>
      </c>
      <c r="C21">
        <v>0</v>
      </c>
      <c r="D21">
        <v>1</v>
      </c>
      <c r="E21">
        <v>0</v>
      </c>
      <c r="F21" s="148">
        <f t="shared" si="0"/>
        <v>1</v>
      </c>
    </row>
    <row r="22" ht="16" x14ac:dyDescent="0.2">
      <c r="A22">
        <v>21</v>
      </c>
      <c r="B22" s="209" t="s">
        <v>202</v>
      </c>
      <c r="C22">
        <v>0</v>
      </c>
      <c r="D22">
        <v>1</v>
      </c>
      <c r="E22">
        <v>0</v>
      </c>
      <c r="F22" s="148">
        <f t="shared" si="0"/>
        <v>1</v>
      </c>
    </row>
    <row r="23" ht="16" x14ac:dyDescent="0.2">
      <c r="A23">
        <v>22</v>
      </c>
      <c r="B23" s="209" t="s">
        <v>203</v>
      </c>
      <c r="C23">
        <v>0</v>
      </c>
      <c r="D23">
        <v>1</v>
      </c>
      <c r="E23">
        <v>0</v>
      </c>
      <c r="F23" s="148">
        <f t="shared" si="0"/>
        <v>1</v>
      </c>
    </row>
    <row r="24" ht="16" x14ac:dyDescent="0.2">
      <c r="A24">
        <v>23</v>
      </c>
      <c r="B24" s="209" t="s">
        <v>204</v>
      </c>
      <c r="C24">
        <v>0</v>
      </c>
      <c r="D24">
        <v>1</v>
      </c>
      <c r="E24">
        <v>0</v>
      </c>
      <c r="F24" s="148">
        <f t="shared" si="0"/>
        <v>1</v>
      </c>
    </row>
    <row r="25" ht="16" x14ac:dyDescent="0.2">
      <c r="A25">
        <v>24</v>
      </c>
      <c r="B25" s="209" t="s">
        <v>205</v>
      </c>
      <c r="C25">
        <v>0</v>
      </c>
      <c r="D25">
        <v>1</v>
      </c>
      <c r="E25">
        <v>0</v>
      </c>
      <c r="F25" s="148">
        <f t="shared" si="0"/>
        <v>1</v>
      </c>
    </row>
    <row r="26" ht="16" x14ac:dyDescent="0.2">
      <c r="A26">
        <v>25</v>
      </c>
      <c r="B26" s="209" t="s">
        <v>206</v>
      </c>
      <c r="C26">
        <v>0</v>
      </c>
      <c r="D26">
        <v>1</v>
      </c>
      <c r="E26">
        <v>0</v>
      </c>
      <c r="F26" s="148">
        <f t="shared" si="0"/>
        <v>1</v>
      </c>
    </row>
    <row r="27" ht="16" x14ac:dyDescent="0.2">
      <c r="A27">
        <v>26</v>
      </c>
      <c r="B27" s="209" t="s">
        <v>207</v>
      </c>
      <c r="C27">
        <v>0</v>
      </c>
      <c r="D27">
        <v>1</v>
      </c>
      <c r="E27">
        <v>0</v>
      </c>
      <c r="F27" s="148">
        <f t="shared" si="0"/>
        <v>1</v>
      </c>
    </row>
    <row r="28" ht="16" x14ac:dyDescent="0.2">
      <c r="A28">
        <v>27</v>
      </c>
      <c r="B28" s="209" t="s">
        <v>208</v>
      </c>
      <c r="C28">
        <v>0</v>
      </c>
      <c r="D28">
        <v>1</v>
      </c>
      <c r="E28">
        <v>0</v>
      </c>
      <c r="F28" s="148">
        <f t="shared" si="0"/>
        <v>1</v>
      </c>
    </row>
    <row r="29" ht="16" x14ac:dyDescent="0.2">
      <c r="A29">
        <v>28</v>
      </c>
      <c r="B29" s="209" t="s">
        <v>209</v>
      </c>
      <c r="C29">
        <v>0</v>
      </c>
      <c r="D29">
        <v>1</v>
      </c>
      <c r="E29">
        <v>0</v>
      </c>
      <c r="F29" s="148">
        <f t="shared" si="0"/>
        <v>1</v>
      </c>
    </row>
    <row r="30" ht="16" x14ac:dyDescent="0.2">
      <c r="A30">
        <v>29</v>
      </c>
      <c r="B30" s="209" t="s">
        <v>175</v>
      </c>
      <c r="C30">
        <v>0</v>
      </c>
      <c r="D30">
        <v>1</v>
      </c>
      <c r="E30">
        <v>0</v>
      </c>
      <c r="F30" s="148">
        <f t="shared" si="0"/>
        <v>1</v>
      </c>
    </row>
    <row r="31" ht="16" x14ac:dyDescent="0.2">
      <c r="A31">
        <v>30</v>
      </c>
      <c r="B31" s="209" t="s">
        <v>210</v>
      </c>
      <c r="C31">
        <v>0</v>
      </c>
      <c r="D31">
        <v>1</v>
      </c>
      <c r="E31">
        <v>0</v>
      </c>
      <c r="F31" s="148">
        <f t="shared" si="0"/>
        <v>1</v>
      </c>
    </row>
    <row r="32" ht="16" x14ac:dyDescent="0.2">
      <c r="A32">
        <v>31</v>
      </c>
      <c r="B32" s="209" t="s">
        <v>211</v>
      </c>
      <c r="C32">
        <v>0</v>
      </c>
      <c r="D32">
        <v>1</v>
      </c>
      <c r="E32">
        <v>0</v>
      </c>
      <c r="F32" s="148">
        <f t="shared" si="0"/>
        <v>1</v>
      </c>
    </row>
    <row r="33" ht="16" x14ac:dyDescent="0.2">
      <c r="A33">
        <v>32</v>
      </c>
      <c r="B33" s="209" t="s">
        <v>212</v>
      </c>
      <c r="C33">
        <v>0</v>
      </c>
      <c r="D33">
        <v>1</v>
      </c>
      <c r="E33">
        <v>0</v>
      </c>
      <c r="F33" s="148">
        <f t="shared" si="0"/>
        <v>1</v>
      </c>
    </row>
    <row r="34" ht="16" x14ac:dyDescent="0.2">
      <c r="A34">
        <v>33</v>
      </c>
      <c r="B34" s="209" t="s">
        <v>178</v>
      </c>
      <c r="C34">
        <v>0</v>
      </c>
      <c r="D34">
        <v>0</v>
      </c>
      <c r="E34">
        <v>1</v>
      </c>
      <c r="F34" s="148">
        <f t="shared" si="0"/>
        <v>1</v>
      </c>
    </row>
    <row r="35" ht="16" x14ac:dyDescent="0.2">
      <c r="A35">
        <v>34</v>
      </c>
      <c r="B35" s="209" t="s">
        <v>214</v>
      </c>
      <c r="C35">
        <v>0</v>
      </c>
      <c r="D35">
        <v>1</v>
      </c>
      <c r="E35">
        <v>0</v>
      </c>
      <c r="F35" s="148">
        <f t="shared" si="0"/>
        <v>1</v>
      </c>
    </row>
    <row r="36" ht="16" x14ac:dyDescent="0.2">
      <c r="A36">
        <v>35</v>
      </c>
      <c r="B36" s="209" t="s">
        <v>215</v>
      </c>
      <c r="C36">
        <v>0</v>
      </c>
      <c r="D36">
        <v>1</v>
      </c>
      <c r="E36">
        <v>0</v>
      </c>
      <c r="F36" s="148">
        <f t="shared" si="0"/>
        <v>1</v>
      </c>
    </row>
    <row r="37" ht="16" x14ac:dyDescent="0.2">
      <c r="A37">
        <v>36</v>
      </c>
      <c r="B37" s="209" t="s">
        <v>216</v>
      </c>
      <c r="C37">
        <v>0</v>
      </c>
      <c r="D37">
        <v>1</v>
      </c>
      <c r="E37">
        <v>0</v>
      </c>
      <c r="F37" s="148">
        <f t="shared" si="0"/>
        <v>1</v>
      </c>
    </row>
    <row r="38" ht="16" x14ac:dyDescent="0.2">
      <c r="A38">
        <v>37</v>
      </c>
      <c r="B38" s="209" t="s">
        <v>217</v>
      </c>
      <c r="C38">
        <v>0</v>
      </c>
      <c r="D38">
        <v>1</v>
      </c>
      <c r="E38">
        <v>0</v>
      </c>
      <c r="F38" s="148">
        <f t="shared" si="0"/>
        <v>1</v>
      </c>
    </row>
    <row r="39" ht="16" x14ac:dyDescent="0.2">
      <c r="A39">
        <v>38</v>
      </c>
      <c r="B39" s="209" t="s">
        <v>218</v>
      </c>
      <c r="C39">
        <v>0</v>
      </c>
      <c r="D39">
        <v>1</v>
      </c>
      <c r="E39">
        <v>0</v>
      </c>
      <c r="F39" s="148">
        <f t="shared" si="0"/>
        <v>1</v>
      </c>
    </row>
    <row r="40" ht="16" x14ac:dyDescent="0.2">
      <c r="A40">
        <v>39</v>
      </c>
      <c r="B40" s="209" t="s">
        <v>219</v>
      </c>
      <c r="C40">
        <v>0</v>
      </c>
      <c r="D40">
        <v>1</v>
      </c>
      <c r="E40">
        <v>0</v>
      </c>
      <c r="F40" s="148">
        <f t="shared" si="0"/>
        <v>1</v>
      </c>
    </row>
    <row r="41" ht="16" x14ac:dyDescent="0.2">
      <c r="A41">
        <v>40</v>
      </c>
      <c r="B41" s="209" t="s">
        <v>220</v>
      </c>
      <c r="C41">
        <v>0</v>
      </c>
      <c r="D41">
        <v>1</v>
      </c>
      <c r="E41">
        <v>0</v>
      </c>
      <c r="F41" s="148">
        <f t="shared" si="0"/>
        <v>1</v>
      </c>
    </row>
    <row r="42" ht="16" x14ac:dyDescent="0.2">
      <c r="A42">
        <v>41</v>
      </c>
      <c r="B42" s="209" t="s">
        <v>221</v>
      </c>
      <c r="C42">
        <v>0</v>
      </c>
      <c r="D42">
        <v>1</v>
      </c>
      <c r="E42">
        <v>0</v>
      </c>
      <c r="F42" s="148">
        <f t="shared" si="0"/>
        <v>1</v>
      </c>
    </row>
    <row r="43" ht="16" x14ac:dyDescent="0.2">
      <c r="A43">
        <v>42</v>
      </c>
      <c r="B43" s="209" t="s">
        <v>222</v>
      </c>
      <c r="C43">
        <v>0</v>
      </c>
      <c r="D43">
        <v>1</v>
      </c>
      <c r="E43">
        <v>0</v>
      </c>
      <c r="F43" s="148">
        <f t="shared" si="0"/>
        <v>1</v>
      </c>
    </row>
    <row r="44" ht="16" x14ac:dyDescent="0.2">
      <c r="A44">
        <v>43</v>
      </c>
      <c r="B44" s="209" t="s">
        <v>223</v>
      </c>
      <c r="C44">
        <v>0</v>
      </c>
      <c r="D44">
        <v>1</v>
      </c>
      <c r="E44">
        <v>0</v>
      </c>
      <c r="F44" s="148">
        <f t="shared" si="0"/>
        <v>1</v>
      </c>
    </row>
    <row r="45" ht="16" x14ac:dyDescent="0.2">
      <c r="A45">
        <v>44</v>
      </c>
      <c r="B45" s="209" t="s">
        <v>224</v>
      </c>
      <c r="C45">
        <v>0</v>
      </c>
      <c r="D45">
        <v>1</v>
      </c>
      <c r="E45">
        <v>0</v>
      </c>
      <c r="F45" s="148">
        <f t="shared" si="0"/>
        <v>1</v>
      </c>
    </row>
    <row r="46" ht="16" x14ac:dyDescent="0.2">
      <c r="A46">
        <v>45</v>
      </c>
      <c r="B46" s="209" t="s">
        <v>225</v>
      </c>
      <c r="C46">
        <v>0</v>
      </c>
      <c r="D46">
        <v>1</v>
      </c>
      <c r="E46">
        <v>0</v>
      </c>
      <c r="F46" s="148">
        <f t="shared" si="0"/>
        <v>1</v>
      </c>
    </row>
    <row r="47" ht="16" x14ac:dyDescent="0.2">
      <c r="A47">
        <v>46</v>
      </c>
      <c r="B47" s="209" t="s">
        <v>226</v>
      </c>
      <c r="C47">
        <v>0</v>
      </c>
      <c r="D47">
        <v>1</v>
      </c>
      <c r="E47">
        <v>0</v>
      </c>
      <c r="F47" s="148">
        <f t="shared" si="0"/>
        <v>1</v>
      </c>
    </row>
    <row r="49" ht="15" customHeight="true" x14ac:dyDescent="0.15"/>
    <row r="50" x14ac:dyDescent="0.15">
      <c r="B50" s="149" t="s">
        <v>228</v>
      </c>
    </row>
    <row r="51" ht="15" customHeight="true" x14ac:dyDescent="0.15"/>
    <row r="52" ht="15" customHeight="true" x14ac:dyDescent="0.15"/>
    <row r="53" ht="15" customHeight="true" x14ac:dyDescent="0.15"/>
    <row r="54" ht="15" customHeight="true" x14ac:dyDescent="0.15"/>
    <row r="55" ht="15" customHeight="true" x14ac:dyDescent="0.15"/>
    <row r="56" ht="15" customHeight="true" x14ac:dyDescent="0.15"/>
    <row r="57" ht="15" customHeight="true" x14ac:dyDescent="0.15"/>
    <row r="58" ht="15" customHeight="true" x14ac:dyDescent="0.15"/>
    <row r="59" ht="15" customHeight="true" x14ac:dyDescent="0.15"/>
    <row r="60" ht="15" customHeight="true" x14ac:dyDescent="0.15"/>
    <row r="61" ht="15" customHeight="true" x14ac:dyDescent="0.15"/>
    <row r="62" ht="15" customHeight="true" x14ac:dyDescent="0.15"/>
    <row r="63" ht="15" customHeight="true" x14ac:dyDescent="0.15"/>
    <row r="64" ht="15" customHeight="true" x14ac:dyDescent="0.15"/>
    <row r="65" ht="15" customHeight="true" x14ac:dyDescent="0.15"/>
    <row r="66" ht="15" customHeight="true" x14ac:dyDescent="0.15"/>
    <row r="67" ht="15" customHeight="true" x14ac:dyDescent="0.15"/>
    <row r="68" ht="15" customHeight="true" x14ac:dyDescent="0.15"/>
    <row r="69" ht="15" customHeight="true" x14ac:dyDescent="0.15"/>
    <row r="70" ht="15" customHeight="true" x14ac:dyDescent="0.15"/>
    <row r="71" ht="15" customHeight="true" x14ac:dyDescent="0.15"/>
    <row r="72" ht="15" customHeight="true" x14ac:dyDescent="0.15"/>
    <row r="73" ht="15" customHeight="true" x14ac:dyDescent="0.15"/>
    <row r="74" ht="15" customHeight="true" x14ac:dyDescent="0.15"/>
    <row r="75" ht="15" customHeight="true" x14ac:dyDescent="0.15"/>
    <row r="76" ht="15" customHeight="true" x14ac:dyDescent="0.15"/>
    <row r="77" ht="15" customHeight="true" x14ac:dyDescent="0.15"/>
    <row r="78" ht="15" customHeight="true" x14ac:dyDescent="0.15"/>
    <row r="79" ht="15" customHeight="true" x14ac:dyDescent="0.15"/>
    <row r="80" ht="15" customHeight="true" x14ac:dyDescent="0.15"/>
    <row r="81" ht="15" customHeight="true" x14ac:dyDescent="0.15"/>
    <row r="82" ht="15" customHeight="true" x14ac:dyDescent="0.15"/>
    <row r="83" ht="15" customHeight="true" x14ac:dyDescent="0.15"/>
    <row r="84" ht="15" customHeight="true" x14ac:dyDescent="0.15"/>
    <row r="85" ht="15" customHeight="true" x14ac:dyDescent="0.15"/>
    <row r="86" ht="15" customHeight="true" x14ac:dyDescent="0.15"/>
    <row r="87" ht="15" customHeight="true" x14ac:dyDescent="0.15"/>
    <row r="88" ht="15" customHeight="true" x14ac:dyDescent="0.15"/>
    <row r="89" ht="15" customHeight="true" x14ac:dyDescent="0.15"/>
    <row r="90" ht="15" customHeight="true" x14ac:dyDescent="0.15"/>
    <row r="91" ht="15" customHeight="true" x14ac:dyDescent="0.15"/>
    <row r="92" ht="15" customHeight="true" x14ac:dyDescent="0.15"/>
    <row r="93" ht="15" customHeight="true" x14ac:dyDescent="0.15"/>
    <row r="94" ht="15" customHeight="true" x14ac:dyDescent="0.15"/>
    <row r="95" ht="15" customHeight="true" x14ac:dyDescent="0.15"/>
    <row r="96" ht="15" customHeight="true" x14ac:dyDescent="0.15"/>
    <row r="97" ht="15" customHeight="true" x14ac:dyDescent="0.15"/>
    <row r="98" ht="15" customHeight="true" x14ac:dyDescent="0.15"/>
    <row r="99" ht="15" customHeight="true" x14ac:dyDescent="0.15"/>
    <row r="100" ht="15" customHeight="true" x14ac:dyDescent="0.15"/>
    <row r="101" ht="15" customHeight="true" x14ac:dyDescent="0.15"/>
    <row r="102" ht="15" customHeight="true" x14ac:dyDescent="0.15"/>
    <row r="103" ht="15" customHeight="true" x14ac:dyDescent="0.15"/>
    <row r="104" ht="15" customHeight="true" x14ac:dyDescent="0.15"/>
    <row r="105" ht="15" customHeight="true" x14ac:dyDescent="0.15"/>
    <row r="106" ht="15" customHeight="true" x14ac:dyDescent="0.15"/>
    <row r="107" ht="15" customHeight="true" x14ac:dyDescent="0.15"/>
    <row r="108" ht="15" customHeight="true" x14ac:dyDescent="0.15"/>
    <row r="109" ht="15" customHeight="true" x14ac:dyDescent="0.15"/>
    <row r="110" ht="15" customHeight="true" x14ac:dyDescent="0.15"/>
    <row r="111" ht="15" customHeight="true" x14ac:dyDescent="0.15"/>
    <row r="112" ht="15" customHeight="true" x14ac:dyDescent="0.15"/>
    <row r="113" ht="15" customHeight="true" x14ac:dyDescent="0.15"/>
    <row r="114" ht="15" customHeight="true" x14ac:dyDescent="0.15"/>
    <row r="115" ht="15" customHeight="true" x14ac:dyDescent="0.15"/>
    <row r="116" ht="15" customHeight="true" x14ac:dyDescent="0.15"/>
    <row r="117" ht="15" customHeight="true" x14ac:dyDescent="0.15"/>
    <row r="118" ht="15" customHeight="true" x14ac:dyDescent="0.15"/>
    <row r="119" ht="15" customHeight="true" x14ac:dyDescent="0.15"/>
    <row r="120" ht="15" customHeight="true" x14ac:dyDescent="0.15"/>
    <row r="121" ht="15" customHeight="true" x14ac:dyDescent="0.15"/>
    <row r="122" ht="15" customHeight="true" x14ac:dyDescent="0.15"/>
    <row r="123" ht="15" customHeight="true" x14ac:dyDescent="0.15"/>
    <row r="124" ht="15" customHeight="true" x14ac:dyDescent="0.15"/>
    <row r="125" ht="15" customHeight="true" x14ac:dyDescent="0.15"/>
    <row r="126" ht="15" customHeight="true" x14ac:dyDescent="0.15"/>
    <row r="127" ht="15" customHeight="true" x14ac:dyDescent="0.15"/>
    <row r="128" ht="15" customHeight="true" x14ac:dyDescent="0.15"/>
    <row r="129" ht="15" customHeight="true" x14ac:dyDescent="0.15"/>
    <row r="130" ht="15" customHeight="true" x14ac:dyDescent="0.15"/>
    <row r="131" ht="15" customHeight="true" x14ac:dyDescent="0.15"/>
    <row r="132" ht="15" customHeight="true" x14ac:dyDescent="0.15"/>
    <row r="133" ht="15" customHeight="true" x14ac:dyDescent="0.15"/>
    <row r="134" ht="15" customHeight="true" x14ac:dyDescent="0.15"/>
    <row r="135" ht="15" customHeight="true" x14ac:dyDescent="0.15"/>
    <row r="136" ht="15" customHeight="true" x14ac:dyDescent="0.15"/>
    <row r="137" ht="15" customHeight="true" x14ac:dyDescent="0.15"/>
    <row r="138" ht="15" customHeight="true" x14ac:dyDescent="0.15"/>
    <row r="139" ht="15" customHeight="true" x14ac:dyDescent="0.15"/>
    <row r="140" ht="15" customHeight="true" x14ac:dyDescent="0.15"/>
    <row r="141" ht="15" customHeight="true" x14ac:dyDescent="0.15"/>
    <row r="142" ht="15" customHeight="true" x14ac:dyDescent="0.15"/>
    <row r="143" ht="15" customHeight="true" x14ac:dyDescent="0.15"/>
    <row r="144" ht="15" customHeight="true" x14ac:dyDescent="0.15"/>
    <row r="145" ht="15" customHeight="true" x14ac:dyDescent="0.15"/>
    <row r="146" ht="15" customHeight="true" x14ac:dyDescent="0.15"/>
    <row r="147" ht="15" customHeight="true" x14ac:dyDescent="0.15"/>
    <row r="148" ht="15" customHeight="true" x14ac:dyDescent="0.15"/>
    <row r="149" ht="15" customHeight="true" x14ac:dyDescent="0.15"/>
    <row r="150" ht="15" customHeight="true" x14ac:dyDescent="0.15"/>
    <row r="151" ht="15" customHeight="true" x14ac:dyDescent="0.15"/>
    <row r="152" ht="15" customHeight="true" x14ac:dyDescent="0.15"/>
    <row r="153" ht="15" customHeight="true" x14ac:dyDescent="0.15"/>
    <row r="154" ht="15" customHeight="true" x14ac:dyDescent="0.15"/>
    <row r="155" ht="15" customHeight="true" x14ac:dyDescent="0.15"/>
    <row r="156" ht="15" customHeight="true" x14ac:dyDescent="0.15"/>
    <row r="157" ht="15" customHeight="true" x14ac:dyDescent="0.15"/>
    <row r="158" ht="15" customHeight="true" x14ac:dyDescent="0.15"/>
    <row r="159" ht="15" customHeight="true" x14ac:dyDescent="0.15"/>
    <row r="160" ht="15" customHeight="true" x14ac:dyDescent="0.15"/>
    <row r="161" ht="15" customHeight="true" x14ac:dyDescent="0.15"/>
    <row r="162" ht="15" customHeight="true" x14ac:dyDescent="0.15"/>
    <row r="163" ht="15" customHeight="true" x14ac:dyDescent="0.15"/>
    <row r="164" ht="15" customHeight="true" x14ac:dyDescent="0.15"/>
    <row r="165" ht="15" customHeight="true" x14ac:dyDescent="0.15"/>
    <row r="166" ht="15" customHeight="true" x14ac:dyDescent="0.15"/>
    <row r="167" ht="15" customHeight="true" x14ac:dyDescent="0.15"/>
    <row r="168" ht="15" customHeight="true" x14ac:dyDescent="0.15"/>
    <row r="169" ht="15" customHeight="true" x14ac:dyDescent="0.15"/>
    <row r="170" ht="15" customHeight="true" x14ac:dyDescent="0.15"/>
    <row r="171" ht="15" customHeight="true" x14ac:dyDescent="0.15"/>
    <row r="172" ht="15" customHeight="true" x14ac:dyDescent="0.15"/>
    <row r="173" ht="15" customHeight="true" x14ac:dyDescent="0.15"/>
    <row r="174" ht="15" customHeight="true" x14ac:dyDescent="0.15"/>
    <row r="175" ht="15" customHeight="true" x14ac:dyDescent="0.15"/>
    <row r="176" ht="15" customHeight="true" x14ac:dyDescent="0.15"/>
    <row r="177" ht="15" customHeight="true" x14ac:dyDescent="0.15"/>
    <row r="178" ht="15" customHeight="true" x14ac:dyDescent="0.15"/>
    <row r="179" ht="15" customHeight="true" x14ac:dyDescent="0.15"/>
    <row r="180" ht="15" customHeight="true" x14ac:dyDescent="0.15"/>
    <row r="181" ht="15" customHeight="true" x14ac:dyDescent="0.15"/>
    <row r="182" ht="15" customHeight="true" x14ac:dyDescent="0.15"/>
    <row r="183" ht="15" customHeight="true" x14ac:dyDescent="0.15"/>
    <row r="184" ht="15" customHeight="true" x14ac:dyDescent="0.15"/>
    <row r="185" ht="15" customHeight="true" x14ac:dyDescent="0.15"/>
    <row r="186" ht="15" customHeight="true" x14ac:dyDescent="0.15"/>
    <row r="187" ht="15" customHeight="true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P176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B3" sqref="B3"/>
    </sheetView>
  </sheetViews>
  <sheetFormatPr baseColWidth="10" defaultColWidth="8.83203125" defaultRowHeight="13" x14ac:dyDescent="0.15"/>
  <cols>
    <col min="1" max="1" width="8.6640625" bestFit="true" customWidth="true"/>
    <col min="2" max="2" width="34.33203125" bestFit="true" customWidth="true"/>
    <col min="3" max="3" width="19" bestFit="true" customWidth="true"/>
    <col min="4" max="4" width="9.1640625" bestFit="true" customWidth="true"/>
  </cols>
  <sheetData>
    <row r="1" s="147" customFormat="true" ht="57" x14ac:dyDescent="0.2">
      <c r="A1" s="146" t="s">
        <v>21</v>
      </c>
      <c r="B1" s="150" t="s">
        <v>0</v>
      </c>
      <c r="C1" s="209" t="s">
        <v>214</v>
      </c>
      <c r="D1" s="209" t="s">
        <v>215</v>
      </c>
      <c r="E1" s="209" t="s">
        <v>216</v>
      </c>
      <c r="F1" s="209" t="s">
        <v>217</v>
      </c>
      <c r="G1" s="209" t="s">
        <v>218</v>
      </c>
      <c r="H1" s="209" t="s">
        <v>219</v>
      </c>
      <c r="I1" s="209" t="s">
        <v>220</v>
      </c>
      <c r="J1" s="209" t="s">
        <v>221</v>
      </c>
      <c r="K1" s="209" t="s">
        <v>222</v>
      </c>
      <c r="L1" s="209" t="s">
        <v>223</v>
      </c>
      <c r="M1" s="209" t="s">
        <v>224</v>
      </c>
      <c r="N1" s="209" t="s">
        <v>225</v>
      </c>
      <c r="O1" s="209" t="s">
        <v>226</v>
      </c>
      <c r="P1" s="209" t="s">
        <v>229</v>
      </c>
    </row>
    <row r="2" ht="16" x14ac:dyDescent="0.2">
      <c r="A2">
        <v>1</v>
      </c>
      <c r="B2" s="209" t="s">
        <v>182</v>
      </c>
      <c r="C2" s="209">
        <v>0</v>
      </c>
      <c r="D2" s="209">
        <v>0</v>
      </c>
      <c r="E2" s="209">
        <v>0</v>
      </c>
      <c r="F2" s="209">
        <v>0</v>
      </c>
      <c r="G2" s="209">
        <v>0</v>
      </c>
      <c r="H2" s="209">
        <v>0</v>
      </c>
      <c r="I2" s="209">
        <v>0</v>
      </c>
      <c r="J2" s="209">
        <v>0</v>
      </c>
      <c r="K2" s="209">
        <v>0</v>
      </c>
      <c r="L2" s="209">
        <v>0</v>
      </c>
      <c r="M2" s="209">
        <v>0</v>
      </c>
      <c r="N2" s="209">
        <v>0</v>
      </c>
      <c r="O2" s="209">
        <v>0</v>
      </c>
      <c r="P2" s="209">
        <f>SUM(C2:O2)</f>
        <v>0</v>
      </c>
    </row>
    <row r="3" ht="16" x14ac:dyDescent="0.2">
      <c r="A3">
        <v>2</v>
      </c>
      <c r="B3" s="209" t="s">
        <v>183</v>
      </c>
      <c r="C3" s="209">
        <v>0</v>
      </c>
      <c r="D3" s="209">
        <v>0</v>
      </c>
      <c r="E3" s="209">
        <v>0</v>
      </c>
      <c r="F3" s="209">
        <v>0</v>
      </c>
      <c r="G3" s="209">
        <v>0</v>
      </c>
      <c r="H3" s="209">
        <v>0</v>
      </c>
      <c r="I3" s="209">
        <v>0</v>
      </c>
      <c r="J3" s="209">
        <v>0</v>
      </c>
      <c r="K3" s="209">
        <v>0</v>
      </c>
      <c r="L3" s="209">
        <v>0</v>
      </c>
      <c r="M3" s="209">
        <v>0</v>
      </c>
      <c r="N3" s="209">
        <v>0</v>
      </c>
      <c r="O3" s="209">
        <v>0</v>
      </c>
      <c r="P3" s="209">
        <f t="shared" ref="P3:P34" si="0">SUM(C3:O3)</f>
        <v>0</v>
      </c>
    </row>
    <row r="4" ht="16" x14ac:dyDescent="0.2">
      <c r="A4">
        <v>3</v>
      </c>
      <c r="B4" s="209" t="s">
        <v>184</v>
      </c>
      <c r="C4" s="209">
        <v>0</v>
      </c>
      <c r="D4" s="209">
        <v>0</v>
      </c>
      <c r="E4" s="209">
        <v>0</v>
      </c>
      <c r="F4" s="209">
        <v>0</v>
      </c>
      <c r="G4" s="209">
        <v>0</v>
      </c>
      <c r="H4" s="209">
        <v>0</v>
      </c>
      <c r="I4" s="209">
        <v>0</v>
      </c>
      <c r="J4" s="209">
        <v>0</v>
      </c>
      <c r="K4" s="209">
        <v>0</v>
      </c>
      <c r="L4" s="209">
        <v>0</v>
      </c>
      <c r="M4" s="209">
        <v>0</v>
      </c>
      <c r="N4" s="209">
        <v>0</v>
      </c>
      <c r="O4" s="209">
        <v>0</v>
      </c>
      <c r="P4" s="209">
        <f t="shared" si="0"/>
        <v>0</v>
      </c>
    </row>
    <row r="5" ht="16" x14ac:dyDescent="0.2">
      <c r="A5">
        <v>4</v>
      </c>
      <c r="B5" s="209" t="s">
        <v>185</v>
      </c>
      <c r="C5" s="209">
        <v>0</v>
      </c>
      <c r="D5" s="209">
        <v>0</v>
      </c>
      <c r="E5" s="209">
        <v>0</v>
      </c>
      <c r="F5" s="209">
        <v>0</v>
      </c>
      <c r="G5" s="209">
        <v>0</v>
      </c>
      <c r="H5" s="209">
        <v>0</v>
      </c>
      <c r="I5" s="209">
        <v>0</v>
      </c>
      <c r="J5" s="209">
        <v>0</v>
      </c>
      <c r="K5" s="209">
        <v>0</v>
      </c>
      <c r="L5" s="209">
        <v>0</v>
      </c>
      <c r="M5" s="209">
        <v>0</v>
      </c>
      <c r="N5" s="209">
        <v>0</v>
      </c>
      <c r="O5" s="209">
        <v>0</v>
      </c>
      <c r="P5" s="209">
        <f t="shared" si="0"/>
        <v>0</v>
      </c>
    </row>
    <row r="6" ht="16" x14ac:dyDescent="0.2">
      <c r="A6">
        <v>5</v>
      </c>
      <c r="B6" s="209" t="s">
        <v>186</v>
      </c>
      <c r="C6" s="209">
        <v>0</v>
      </c>
      <c r="D6" s="209">
        <v>0</v>
      </c>
      <c r="E6" s="209">
        <v>0</v>
      </c>
      <c r="F6" s="209">
        <v>0</v>
      </c>
      <c r="G6" s="209">
        <v>0</v>
      </c>
      <c r="H6" s="209">
        <v>0</v>
      </c>
      <c r="I6" s="209">
        <v>0</v>
      </c>
      <c r="J6" s="209">
        <v>0</v>
      </c>
      <c r="K6" s="209">
        <v>0</v>
      </c>
      <c r="L6" s="209">
        <v>0</v>
      </c>
      <c r="M6" s="209">
        <v>0</v>
      </c>
      <c r="N6" s="209">
        <v>0</v>
      </c>
      <c r="O6" s="209">
        <v>0</v>
      </c>
      <c r="P6" s="209">
        <f t="shared" si="0"/>
        <v>0</v>
      </c>
    </row>
    <row r="7" ht="16" x14ac:dyDescent="0.2">
      <c r="A7">
        <v>6</v>
      </c>
      <c r="B7" s="209" t="s">
        <v>187</v>
      </c>
      <c r="C7" s="209">
        <v>0</v>
      </c>
      <c r="D7" s="209">
        <v>0</v>
      </c>
      <c r="E7" s="209">
        <v>0</v>
      </c>
      <c r="F7" s="209">
        <v>0</v>
      </c>
      <c r="G7" s="209">
        <v>0</v>
      </c>
      <c r="H7" s="209">
        <v>0</v>
      </c>
      <c r="I7" s="209">
        <v>0</v>
      </c>
      <c r="J7" s="209">
        <v>0</v>
      </c>
      <c r="K7" s="209">
        <v>0</v>
      </c>
      <c r="L7" s="209">
        <v>0</v>
      </c>
      <c r="M7" s="209">
        <v>0</v>
      </c>
      <c r="N7" s="209">
        <v>0</v>
      </c>
      <c r="O7" s="209">
        <v>0</v>
      </c>
      <c r="P7" s="209">
        <f t="shared" si="0"/>
        <v>0</v>
      </c>
    </row>
    <row r="8" ht="16" x14ac:dyDescent="0.2">
      <c r="A8">
        <v>7</v>
      </c>
      <c r="B8" s="209" t="s">
        <v>188</v>
      </c>
      <c r="C8" s="209">
        <v>0.95199999999999996</v>
      </c>
      <c r="D8" s="209">
        <v>0</v>
      </c>
      <c r="E8" s="209">
        <v>0</v>
      </c>
      <c r="F8" s="209">
        <v>0</v>
      </c>
      <c r="G8" s="209">
        <v>0</v>
      </c>
      <c r="H8" s="209">
        <v>0</v>
      </c>
      <c r="I8" s="209">
        <v>0</v>
      </c>
      <c r="J8" s="209">
        <v>0</v>
      </c>
      <c r="K8" s="209">
        <v>0</v>
      </c>
      <c r="L8" s="209">
        <v>0</v>
      </c>
      <c r="M8" s="209">
        <v>0</v>
      </c>
      <c r="N8" s="209">
        <v>0</v>
      </c>
      <c r="O8" s="209">
        <v>0</v>
      </c>
      <c r="P8" s="209">
        <f t="shared" si="0"/>
        <v>0.95199999999999996</v>
      </c>
    </row>
    <row r="9" ht="16" x14ac:dyDescent="0.2">
      <c r="A9">
        <v>8</v>
      </c>
      <c r="B9" s="209" t="s">
        <v>189</v>
      </c>
      <c r="C9" s="209">
        <v>0.44</v>
      </c>
      <c r="D9" s="209">
        <v>0</v>
      </c>
      <c r="E9" s="209">
        <v>0</v>
      </c>
      <c r="F9" s="209">
        <v>0</v>
      </c>
      <c r="G9" s="209">
        <v>0</v>
      </c>
      <c r="H9" s="209">
        <v>0</v>
      </c>
      <c r="I9" s="209">
        <v>0</v>
      </c>
      <c r="J9" s="209">
        <v>0</v>
      </c>
      <c r="K9" s="209">
        <v>0</v>
      </c>
      <c r="L9" s="209">
        <v>0</v>
      </c>
      <c r="M9" s="209">
        <v>0</v>
      </c>
      <c r="N9" s="209">
        <v>0</v>
      </c>
      <c r="O9" s="209">
        <v>0</v>
      </c>
      <c r="P9" s="209">
        <f t="shared" si="0"/>
        <v>0.44</v>
      </c>
    </row>
    <row r="10" ht="16" x14ac:dyDescent="0.2">
      <c r="A10">
        <v>9</v>
      </c>
      <c r="B10" s="209" t="s">
        <v>190</v>
      </c>
      <c r="C10" s="209">
        <v>0.30499999999999999</v>
      </c>
      <c r="D10" s="209">
        <v>0</v>
      </c>
      <c r="E10" s="209">
        <v>0</v>
      </c>
      <c r="F10" s="209">
        <v>0</v>
      </c>
      <c r="G10" s="209">
        <v>0</v>
      </c>
      <c r="H10" s="209">
        <v>0</v>
      </c>
      <c r="I10" s="209">
        <v>0</v>
      </c>
      <c r="J10" s="209">
        <v>0</v>
      </c>
      <c r="K10" s="209">
        <v>0</v>
      </c>
      <c r="L10" s="209">
        <v>0</v>
      </c>
      <c r="M10" s="209">
        <v>0</v>
      </c>
      <c r="N10" s="209">
        <v>0</v>
      </c>
      <c r="O10" s="209">
        <v>0</v>
      </c>
      <c r="P10" s="209">
        <f t="shared" si="0"/>
        <v>0.30499999999999999</v>
      </c>
    </row>
    <row r="11" ht="16" x14ac:dyDescent="0.2">
      <c r="A11">
        <v>10</v>
      </c>
      <c r="B11" s="209" t="s">
        <v>191</v>
      </c>
      <c r="C11" s="209">
        <v>1E-3</v>
      </c>
      <c r="D11" s="209">
        <v>0</v>
      </c>
      <c r="E11" s="209">
        <v>0</v>
      </c>
      <c r="F11" s="209">
        <v>0</v>
      </c>
      <c r="G11" s="209">
        <v>0</v>
      </c>
      <c r="H11" s="209">
        <v>0</v>
      </c>
      <c r="I11" s="209">
        <v>0</v>
      </c>
      <c r="J11" s="209">
        <v>0</v>
      </c>
      <c r="K11" s="209">
        <v>0</v>
      </c>
      <c r="L11" s="209">
        <v>0</v>
      </c>
      <c r="M11" s="209">
        <v>0</v>
      </c>
      <c r="N11" s="209">
        <v>0</v>
      </c>
      <c r="O11" s="209">
        <v>0</v>
      </c>
      <c r="P11" s="209">
        <f t="shared" si="0"/>
        <v>1E-3</v>
      </c>
    </row>
    <row r="12" ht="16" x14ac:dyDescent="0.2">
      <c r="A12">
        <v>11</v>
      </c>
      <c r="B12" s="209" t="s">
        <v>192</v>
      </c>
      <c r="C12" s="209">
        <v>1.0999999999999999E-2</v>
      </c>
      <c r="D12" s="209">
        <v>0</v>
      </c>
      <c r="E12" s="209">
        <v>0</v>
      </c>
      <c r="F12" s="209">
        <v>0</v>
      </c>
      <c r="G12" s="209">
        <v>0</v>
      </c>
      <c r="H12" s="209">
        <v>0</v>
      </c>
      <c r="I12" s="209">
        <v>0</v>
      </c>
      <c r="J12" s="209">
        <v>0</v>
      </c>
      <c r="K12" s="209">
        <v>0</v>
      </c>
      <c r="L12" s="209">
        <v>0</v>
      </c>
      <c r="M12" s="209">
        <v>0</v>
      </c>
      <c r="N12" s="209">
        <v>2.8000000000000001E-2</v>
      </c>
      <c r="O12" s="209">
        <v>0</v>
      </c>
      <c r="P12" s="209">
        <f t="shared" si="0"/>
        <v>3.9E-2</v>
      </c>
    </row>
    <row r="13" ht="16" x14ac:dyDescent="0.2">
      <c r="A13">
        <v>12</v>
      </c>
      <c r="B13" s="209" t="s">
        <v>193</v>
      </c>
      <c r="C13" s="209">
        <v>1.6E-2</v>
      </c>
      <c r="D13" s="209">
        <v>0</v>
      </c>
      <c r="E13" s="209">
        <v>0</v>
      </c>
      <c r="F13" s="209">
        <v>0</v>
      </c>
      <c r="G13" s="209">
        <v>0</v>
      </c>
      <c r="H13" s="209">
        <v>0</v>
      </c>
      <c r="I13" s="209">
        <v>0</v>
      </c>
      <c r="J13" s="209">
        <v>0</v>
      </c>
      <c r="K13" s="209">
        <v>0</v>
      </c>
      <c r="L13" s="209">
        <v>0</v>
      </c>
      <c r="M13" s="209">
        <v>0</v>
      </c>
      <c r="N13" s="209">
        <v>0</v>
      </c>
      <c r="O13" s="209">
        <v>0</v>
      </c>
      <c r="P13" s="209">
        <f t="shared" si="0"/>
        <v>1.6E-2</v>
      </c>
    </row>
    <row r="14" ht="16" x14ac:dyDescent="0.2">
      <c r="A14">
        <v>13</v>
      </c>
      <c r="B14" s="209" t="s">
        <v>194</v>
      </c>
      <c r="C14" s="209">
        <v>0</v>
      </c>
      <c r="D14" s="218">
        <v>9.9999999999999995E-7</v>
      </c>
      <c r="E14" s="209">
        <v>0</v>
      </c>
      <c r="F14" s="209">
        <v>0</v>
      </c>
      <c r="G14" s="209">
        <v>9.9400000000000002E-2</v>
      </c>
      <c r="H14" s="209">
        <v>0</v>
      </c>
      <c r="I14" s="209">
        <v>0</v>
      </c>
      <c r="J14" s="209">
        <v>0</v>
      </c>
      <c r="K14" s="209">
        <v>0</v>
      </c>
      <c r="L14" s="209">
        <v>5.5E-2</v>
      </c>
      <c r="M14" s="209">
        <v>0</v>
      </c>
      <c r="N14" s="209">
        <v>0</v>
      </c>
      <c r="O14" s="209">
        <v>0</v>
      </c>
      <c r="P14" s="209">
        <f t="shared" si="0"/>
        <v>0.15440100000000001</v>
      </c>
    </row>
    <row r="15" ht="16" x14ac:dyDescent="0.2">
      <c r="A15">
        <v>14</v>
      </c>
      <c r="B15" s="209" t="s">
        <v>195</v>
      </c>
      <c r="C15" s="209">
        <v>5.0000000000000001E-3</v>
      </c>
      <c r="D15" s="209">
        <v>0</v>
      </c>
      <c r="E15" s="209">
        <v>0</v>
      </c>
      <c r="F15" s="209">
        <v>0</v>
      </c>
      <c r="G15" s="209">
        <v>0</v>
      </c>
      <c r="H15" s="209">
        <v>0</v>
      </c>
      <c r="I15" s="209">
        <v>0</v>
      </c>
      <c r="J15" s="209">
        <v>0</v>
      </c>
      <c r="K15" s="209">
        <v>0</v>
      </c>
      <c r="L15" s="209">
        <v>0</v>
      </c>
      <c r="M15" s="209">
        <v>0</v>
      </c>
      <c r="N15" s="209">
        <v>0</v>
      </c>
      <c r="O15" s="209">
        <v>0</v>
      </c>
      <c r="P15" s="209">
        <f t="shared" si="0"/>
        <v>5.0000000000000001E-3</v>
      </c>
    </row>
    <row r="16" ht="16" x14ac:dyDescent="0.2">
      <c r="A16">
        <v>15</v>
      </c>
      <c r="B16" s="209" t="s">
        <v>196</v>
      </c>
      <c r="C16" s="209">
        <v>0</v>
      </c>
      <c r="D16" s="209">
        <v>1E-3</v>
      </c>
      <c r="E16" s="209">
        <v>1.4999999999999999E-2</v>
      </c>
      <c r="F16" s="209">
        <v>0</v>
      </c>
      <c r="G16" s="209">
        <v>1E-3</v>
      </c>
      <c r="H16" s="209">
        <v>0</v>
      </c>
      <c r="I16" s="209">
        <v>0</v>
      </c>
      <c r="J16" s="209">
        <v>3.4000000000000002E-2</v>
      </c>
      <c r="K16" s="209">
        <v>0</v>
      </c>
      <c r="L16" s="209">
        <v>0</v>
      </c>
      <c r="M16" s="209">
        <v>0</v>
      </c>
      <c r="N16" s="209">
        <v>0</v>
      </c>
      <c r="O16" s="209">
        <v>0</v>
      </c>
      <c r="P16" s="209">
        <f t="shared" si="0"/>
        <v>5.1000000000000004E-2</v>
      </c>
    </row>
    <row r="17" ht="16" x14ac:dyDescent="0.2">
      <c r="A17">
        <v>16</v>
      </c>
      <c r="B17" s="209" t="s">
        <v>197</v>
      </c>
      <c r="C17" s="209">
        <v>0</v>
      </c>
      <c r="D17" s="209">
        <v>0</v>
      </c>
      <c r="E17" s="209">
        <v>2.4E-2</v>
      </c>
      <c r="F17" s="209">
        <v>0</v>
      </c>
      <c r="G17" s="209">
        <v>2E-3</v>
      </c>
      <c r="H17" s="209">
        <v>0</v>
      </c>
      <c r="I17" s="209">
        <v>0</v>
      </c>
      <c r="J17" s="209">
        <v>0</v>
      </c>
      <c r="K17" s="209">
        <v>0</v>
      </c>
      <c r="L17" s="209">
        <v>0</v>
      </c>
      <c r="M17" s="209">
        <v>0</v>
      </c>
      <c r="N17" s="209">
        <v>1E-3</v>
      </c>
      <c r="O17" s="209">
        <v>0</v>
      </c>
      <c r="P17" s="209">
        <f t="shared" si="0"/>
        <v>2.7000000000000003E-2</v>
      </c>
    </row>
    <row r="18" ht="16" x14ac:dyDescent="0.2">
      <c r="A18">
        <v>17</v>
      </c>
      <c r="B18" s="209" t="s">
        <v>198</v>
      </c>
      <c r="C18" s="209">
        <v>0</v>
      </c>
      <c r="D18" s="209">
        <v>0</v>
      </c>
      <c r="E18" s="209">
        <v>0</v>
      </c>
      <c r="F18" s="209">
        <v>0</v>
      </c>
      <c r="G18" s="209">
        <v>0</v>
      </c>
      <c r="H18" s="209">
        <v>2.3E-2</v>
      </c>
      <c r="I18" s="218">
        <v>7.9999999999999996E-6</v>
      </c>
      <c r="J18" s="209">
        <v>0</v>
      </c>
      <c r="K18" s="209">
        <v>0</v>
      </c>
      <c r="L18" s="209">
        <v>0</v>
      </c>
      <c r="M18" s="209">
        <v>0</v>
      </c>
      <c r="N18" s="209">
        <v>0</v>
      </c>
      <c r="O18" s="209">
        <v>0</v>
      </c>
      <c r="P18" s="209">
        <f t="shared" si="0"/>
        <v>2.3008000000000001E-2</v>
      </c>
    </row>
    <row r="19" ht="16" x14ac:dyDescent="0.2">
      <c r="A19">
        <v>18</v>
      </c>
      <c r="B19" s="209" t="s">
        <v>199</v>
      </c>
      <c r="C19" s="209">
        <v>0</v>
      </c>
      <c r="D19" s="209">
        <v>0</v>
      </c>
      <c r="E19" s="209">
        <v>0</v>
      </c>
      <c r="F19" s="209">
        <v>0</v>
      </c>
      <c r="G19" s="209">
        <v>0</v>
      </c>
      <c r="H19" s="209">
        <v>0</v>
      </c>
      <c r="I19" s="209">
        <v>0</v>
      </c>
      <c r="J19" s="209">
        <v>0</v>
      </c>
      <c r="K19" s="209">
        <v>0</v>
      </c>
      <c r="L19" s="209">
        <v>0</v>
      </c>
      <c r="M19" s="209">
        <v>0</v>
      </c>
      <c r="N19" s="209">
        <v>0</v>
      </c>
      <c r="O19" s="209">
        <v>0</v>
      </c>
      <c r="P19" s="209">
        <f t="shared" si="0"/>
        <v>0</v>
      </c>
    </row>
    <row r="20" ht="16" x14ac:dyDescent="0.2">
      <c r="A20">
        <v>19</v>
      </c>
      <c r="B20" s="209" t="s">
        <v>200</v>
      </c>
      <c r="C20" s="209">
        <v>0</v>
      </c>
      <c r="D20" s="209">
        <v>0</v>
      </c>
      <c r="E20" s="218">
        <v>9.9999999999999995E-7</v>
      </c>
      <c r="F20" s="218">
        <v>1.9999999999999999E-6</v>
      </c>
      <c r="G20" s="209">
        <v>0</v>
      </c>
      <c r="H20" s="209">
        <v>0</v>
      </c>
      <c r="I20" s="209">
        <v>0</v>
      </c>
      <c r="J20" s="209">
        <v>0</v>
      </c>
      <c r="K20" s="209">
        <v>0.122673</v>
      </c>
      <c r="L20" s="209">
        <v>0</v>
      </c>
      <c r="M20" s="209">
        <v>2.1229999999999999E-2</v>
      </c>
      <c r="N20" s="209">
        <v>0</v>
      </c>
      <c r="O20" s="209">
        <v>0</v>
      </c>
      <c r="P20" s="209">
        <f t="shared" si="0"/>
        <v>0.14390600000000001</v>
      </c>
    </row>
    <row r="21" ht="16" x14ac:dyDescent="0.2">
      <c r="A21">
        <v>20</v>
      </c>
      <c r="B21" s="209" t="s">
        <v>201</v>
      </c>
      <c r="C21" s="209">
        <v>0</v>
      </c>
      <c r="D21" s="209">
        <v>0</v>
      </c>
      <c r="E21" s="209">
        <v>0</v>
      </c>
      <c r="F21" s="209">
        <v>0</v>
      </c>
      <c r="G21" s="209">
        <v>0</v>
      </c>
      <c r="H21" s="209">
        <v>0</v>
      </c>
      <c r="I21" s="209">
        <v>0</v>
      </c>
      <c r="J21" s="209">
        <v>0</v>
      </c>
      <c r="K21" s="209">
        <v>0</v>
      </c>
      <c r="L21" s="209">
        <v>0</v>
      </c>
      <c r="M21" s="209">
        <v>0</v>
      </c>
      <c r="N21" s="209">
        <v>0</v>
      </c>
      <c r="O21" s="209">
        <v>0.14729999999999999</v>
      </c>
      <c r="P21" s="209">
        <f t="shared" si="0"/>
        <v>0.14729999999999999</v>
      </c>
    </row>
    <row r="22" ht="16" x14ac:dyDescent="0.2">
      <c r="A22">
        <v>21</v>
      </c>
      <c r="B22" s="209" t="s">
        <v>202</v>
      </c>
      <c r="C22" s="209">
        <v>0</v>
      </c>
      <c r="D22" s="209">
        <v>0</v>
      </c>
      <c r="E22" s="209">
        <v>0</v>
      </c>
      <c r="F22" s="218">
        <v>9.9999999999999995E-7</v>
      </c>
      <c r="G22" s="209">
        <v>0</v>
      </c>
      <c r="H22" s="209">
        <v>0</v>
      </c>
      <c r="I22" s="209">
        <v>0</v>
      </c>
      <c r="J22" s="209">
        <v>0</v>
      </c>
      <c r="K22" s="209">
        <v>0</v>
      </c>
      <c r="L22" s="209">
        <v>0</v>
      </c>
      <c r="M22" s="209">
        <v>0</v>
      </c>
      <c r="N22" s="209">
        <v>0</v>
      </c>
      <c r="O22" s="209">
        <v>0.34370000000000001</v>
      </c>
      <c r="P22" s="209">
        <f t="shared" si="0"/>
        <v>0.34370099999999998</v>
      </c>
    </row>
    <row r="23" ht="16" x14ac:dyDescent="0.2">
      <c r="A23">
        <v>22</v>
      </c>
      <c r="B23" s="209" t="s">
        <v>203</v>
      </c>
      <c r="C23" s="209">
        <v>0</v>
      </c>
      <c r="D23" s="209">
        <v>0</v>
      </c>
      <c r="E23" s="209">
        <v>0</v>
      </c>
      <c r="F23" s="209">
        <v>0</v>
      </c>
      <c r="G23" s="209">
        <v>0</v>
      </c>
      <c r="H23" s="209">
        <v>0</v>
      </c>
      <c r="I23" s="209">
        <v>0</v>
      </c>
      <c r="J23" s="209">
        <v>0</v>
      </c>
      <c r="K23" s="209">
        <v>0</v>
      </c>
      <c r="L23" s="209">
        <v>0</v>
      </c>
      <c r="M23" s="209">
        <v>0</v>
      </c>
      <c r="N23" s="209">
        <v>2.1999999999999999E-2</v>
      </c>
      <c r="O23" s="209">
        <v>0</v>
      </c>
      <c r="P23" s="209">
        <f t="shared" si="0"/>
        <v>2.1999999999999999E-2</v>
      </c>
    </row>
    <row r="24" ht="16" x14ac:dyDescent="0.2">
      <c r="A24">
        <v>23</v>
      </c>
      <c r="B24" s="209" t="s">
        <v>204</v>
      </c>
      <c r="C24" s="209">
        <v>0</v>
      </c>
      <c r="D24" s="209">
        <v>0</v>
      </c>
      <c r="E24" s="209">
        <v>0</v>
      </c>
      <c r="F24" s="209">
        <v>1.2999999999999999E-2</v>
      </c>
      <c r="G24" s="209">
        <v>0</v>
      </c>
      <c r="H24" s="209">
        <v>0</v>
      </c>
      <c r="I24" s="209">
        <v>0</v>
      </c>
      <c r="J24" s="209">
        <v>0</v>
      </c>
      <c r="K24" s="209">
        <v>0</v>
      </c>
      <c r="L24" s="209">
        <v>0</v>
      </c>
      <c r="M24" s="209">
        <v>0</v>
      </c>
      <c r="N24" s="209">
        <v>0.08</v>
      </c>
      <c r="O24" s="209">
        <v>0</v>
      </c>
      <c r="P24" s="209">
        <f t="shared" si="0"/>
        <v>9.2999999999999999E-2</v>
      </c>
    </row>
    <row r="25" ht="16" x14ac:dyDescent="0.2">
      <c r="A25">
        <v>24</v>
      </c>
      <c r="B25" s="209" t="s">
        <v>205</v>
      </c>
      <c r="C25" s="209">
        <v>0</v>
      </c>
      <c r="D25" s="209">
        <v>0</v>
      </c>
      <c r="E25" s="209">
        <v>2E-3</v>
      </c>
      <c r="F25" s="209">
        <v>0</v>
      </c>
      <c r="G25" s="209">
        <v>0</v>
      </c>
      <c r="H25" s="209">
        <v>0</v>
      </c>
      <c r="I25" s="209">
        <v>0</v>
      </c>
      <c r="J25" s="209">
        <v>0</v>
      </c>
      <c r="K25" s="209">
        <v>0</v>
      </c>
      <c r="L25" s="209">
        <v>0</v>
      </c>
      <c r="M25" s="209">
        <v>0</v>
      </c>
      <c r="N25" s="209">
        <v>0</v>
      </c>
      <c r="O25" s="209">
        <v>0</v>
      </c>
      <c r="P25" s="209">
        <f t="shared" si="0"/>
        <v>2E-3</v>
      </c>
    </row>
    <row r="26" ht="16" x14ac:dyDescent="0.2">
      <c r="A26">
        <v>25</v>
      </c>
      <c r="B26" s="209" t="s">
        <v>206</v>
      </c>
      <c r="C26" s="209">
        <v>0</v>
      </c>
      <c r="D26" s="209">
        <v>0</v>
      </c>
      <c r="E26" s="209">
        <v>0</v>
      </c>
      <c r="F26" s="209">
        <v>1E-3</v>
      </c>
      <c r="G26" s="209">
        <v>1E-3</v>
      </c>
      <c r="H26" s="209">
        <v>0</v>
      </c>
      <c r="I26" s="209">
        <v>0</v>
      </c>
      <c r="J26" s="209">
        <v>0</v>
      </c>
      <c r="K26" s="209">
        <v>0</v>
      </c>
      <c r="L26" s="209">
        <v>0</v>
      </c>
      <c r="M26" s="209">
        <v>0</v>
      </c>
      <c r="N26" s="209">
        <v>8.9999999999999993E-3</v>
      </c>
      <c r="O26" s="209">
        <v>0</v>
      </c>
      <c r="P26" s="209">
        <f t="shared" si="0"/>
        <v>1.0999999999999999E-2</v>
      </c>
    </row>
    <row r="27" ht="16" x14ac:dyDescent="0.2">
      <c r="A27">
        <v>26</v>
      </c>
      <c r="B27" s="209" t="s">
        <v>207</v>
      </c>
      <c r="C27" s="209">
        <v>0</v>
      </c>
      <c r="D27" s="209">
        <v>0</v>
      </c>
      <c r="E27" s="209">
        <v>0</v>
      </c>
      <c r="F27" s="209">
        <v>0</v>
      </c>
      <c r="G27" s="209">
        <v>0</v>
      </c>
      <c r="H27" s="209">
        <v>0</v>
      </c>
      <c r="I27" s="209">
        <v>0</v>
      </c>
      <c r="J27" s="209">
        <v>0</v>
      </c>
      <c r="K27" s="209">
        <v>0</v>
      </c>
      <c r="L27" s="209">
        <v>0</v>
      </c>
      <c r="M27" s="209">
        <v>0</v>
      </c>
      <c r="N27" s="209">
        <v>0</v>
      </c>
      <c r="O27" s="209">
        <v>0</v>
      </c>
      <c r="P27" s="209">
        <f t="shared" si="0"/>
        <v>0</v>
      </c>
    </row>
    <row r="28" ht="16" x14ac:dyDescent="0.2">
      <c r="A28">
        <v>27</v>
      </c>
      <c r="B28" s="209" t="s">
        <v>208</v>
      </c>
      <c r="C28" s="209">
        <v>0</v>
      </c>
      <c r="D28" s="209">
        <v>0</v>
      </c>
      <c r="E28" s="209">
        <v>0</v>
      </c>
      <c r="F28" s="209">
        <v>0</v>
      </c>
      <c r="G28" s="209">
        <v>5.0000000000000001E-3</v>
      </c>
      <c r="H28" s="209">
        <v>0</v>
      </c>
      <c r="I28" s="209">
        <v>0</v>
      </c>
      <c r="J28" s="209">
        <v>0</v>
      </c>
      <c r="K28" s="209">
        <v>0</v>
      </c>
      <c r="L28" s="209">
        <v>0</v>
      </c>
      <c r="M28" s="209">
        <v>0</v>
      </c>
      <c r="N28" s="209">
        <v>0</v>
      </c>
      <c r="O28" s="209">
        <v>0</v>
      </c>
      <c r="P28" s="209">
        <f t="shared" si="0"/>
        <v>5.0000000000000001E-3</v>
      </c>
    </row>
    <row r="29" ht="16" x14ac:dyDescent="0.2">
      <c r="A29">
        <v>28</v>
      </c>
      <c r="B29" s="209" t="s">
        <v>209</v>
      </c>
      <c r="C29" s="209">
        <v>0</v>
      </c>
      <c r="D29" s="209">
        <v>0</v>
      </c>
      <c r="E29" s="209">
        <v>0</v>
      </c>
      <c r="F29" s="209">
        <v>0</v>
      </c>
      <c r="G29" s="209">
        <v>0</v>
      </c>
      <c r="H29" s="209">
        <v>0</v>
      </c>
      <c r="I29" s="209">
        <v>0</v>
      </c>
      <c r="J29" s="209">
        <v>0</v>
      </c>
      <c r="K29" s="209">
        <v>0</v>
      </c>
      <c r="L29" s="209">
        <v>0</v>
      </c>
      <c r="M29" s="209">
        <v>0</v>
      </c>
      <c r="N29" s="209">
        <v>0</v>
      </c>
      <c r="O29" s="209">
        <v>0</v>
      </c>
      <c r="P29" s="209">
        <f t="shared" si="0"/>
        <v>0</v>
      </c>
    </row>
    <row r="30" ht="16" x14ac:dyDescent="0.2">
      <c r="A30">
        <v>29</v>
      </c>
      <c r="B30" s="209" t="s">
        <v>175</v>
      </c>
      <c r="C30" s="209">
        <v>0</v>
      </c>
      <c r="D30" s="209">
        <v>0</v>
      </c>
      <c r="E30" s="209">
        <v>0</v>
      </c>
      <c r="F30" s="209">
        <v>0</v>
      </c>
      <c r="G30" s="209">
        <v>0</v>
      </c>
      <c r="H30" s="209">
        <v>0</v>
      </c>
      <c r="I30" s="209">
        <v>0</v>
      </c>
      <c r="J30" s="209">
        <v>0</v>
      </c>
      <c r="K30" s="209">
        <v>0</v>
      </c>
      <c r="L30" s="209">
        <v>0</v>
      </c>
      <c r="M30" s="209">
        <v>0</v>
      </c>
      <c r="N30" s="209">
        <v>0</v>
      </c>
      <c r="O30" s="209">
        <v>0</v>
      </c>
      <c r="P30" s="209">
        <f t="shared" si="0"/>
        <v>0</v>
      </c>
    </row>
    <row r="31" ht="16" x14ac:dyDescent="0.2">
      <c r="A31">
        <v>30</v>
      </c>
      <c r="B31" s="209" t="s">
        <v>210</v>
      </c>
      <c r="C31" s="209">
        <v>0</v>
      </c>
      <c r="D31" s="209">
        <v>0</v>
      </c>
      <c r="E31" s="209">
        <v>0</v>
      </c>
      <c r="F31" s="209">
        <v>0</v>
      </c>
      <c r="G31" s="209">
        <v>0</v>
      </c>
      <c r="H31" s="209">
        <v>0</v>
      </c>
      <c r="I31" s="209">
        <v>0</v>
      </c>
      <c r="J31" s="209">
        <v>0</v>
      </c>
      <c r="K31" s="209">
        <v>0</v>
      </c>
      <c r="L31" s="209">
        <v>0</v>
      </c>
      <c r="M31" s="209">
        <v>0</v>
      </c>
      <c r="N31" s="209">
        <v>0</v>
      </c>
      <c r="O31" s="209">
        <v>0</v>
      </c>
      <c r="P31" s="209">
        <f t="shared" si="0"/>
        <v>0</v>
      </c>
    </row>
    <row r="32" ht="16" x14ac:dyDescent="0.2">
      <c r="A32">
        <v>31</v>
      </c>
      <c r="B32" s="209" t="s">
        <v>211</v>
      </c>
      <c r="C32" s="209">
        <v>0</v>
      </c>
      <c r="D32" s="209">
        <v>0</v>
      </c>
      <c r="E32" s="209">
        <v>0</v>
      </c>
      <c r="F32" s="209">
        <v>0</v>
      </c>
      <c r="G32" s="209">
        <v>0</v>
      </c>
      <c r="H32" s="209">
        <v>0</v>
      </c>
      <c r="I32" s="209">
        <v>0</v>
      </c>
      <c r="J32" s="209">
        <v>0</v>
      </c>
      <c r="K32" s="209">
        <v>0</v>
      </c>
      <c r="L32" s="209">
        <v>0</v>
      </c>
      <c r="M32" s="209">
        <v>0</v>
      </c>
      <c r="N32" s="209">
        <v>0</v>
      </c>
      <c r="O32" s="209">
        <v>0</v>
      </c>
      <c r="P32" s="209">
        <f t="shared" si="0"/>
        <v>0</v>
      </c>
    </row>
    <row r="33" ht="16" x14ac:dyDescent="0.2">
      <c r="A33">
        <v>32</v>
      </c>
      <c r="B33" s="209" t="s">
        <v>212</v>
      </c>
      <c r="C33" s="209">
        <v>0</v>
      </c>
      <c r="D33" s="209">
        <v>0</v>
      </c>
      <c r="E33" s="209">
        <v>0</v>
      </c>
      <c r="F33" s="209">
        <v>0</v>
      </c>
      <c r="G33" s="209">
        <v>0</v>
      </c>
      <c r="H33" s="209">
        <v>0</v>
      </c>
      <c r="I33" s="209">
        <v>0</v>
      </c>
      <c r="J33" s="209">
        <v>0</v>
      </c>
      <c r="K33" s="209">
        <v>0</v>
      </c>
      <c r="L33" s="209">
        <v>0</v>
      </c>
      <c r="M33" s="209">
        <v>0</v>
      </c>
      <c r="N33" s="209">
        <v>0</v>
      </c>
      <c r="O33" s="209">
        <v>0</v>
      </c>
      <c r="P33" s="209">
        <f t="shared" si="0"/>
        <v>0</v>
      </c>
    </row>
    <row r="34" ht="16" x14ac:dyDescent="0.2">
      <c r="A34">
        <v>33</v>
      </c>
      <c r="B34" s="209" t="s">
        <v>178</v>
      </c>
      <c r="C34" s="209">
        <v>0</v>
      </c>
      <c r="D34" s="209">
        <v>0</v>
      </c>
      <c r="E34" s="209">
        <v>0</v>
      </c>
      <c r="F34" s="209">
        <v>0</v>
      </c>
      <c r="G34" s="209">
        <v>0</v>
      </c>
      <c r="H34" s="209">
        <v>0</v>
      </c>
      <c r="I34" s="209">
        <v>0</v>
      </c>
      <c r="J34" s="209">
        <v>0</v>
      </c>
      <c r="K34" s="209">
        <v>0</v>
      </c>
      <c r="L34" s="209">
        <v>0</v>
      </c>
      <c r="M34" s="209">
        <v>0</v>
      </c>
      <c r="N34" s="209">
        <v>0</v>
      </c>
      <c r="O34" s="209">
        <v>0</v>
      </c>
      <c r="P34" s="209">
        <f t="shared" si="0"/>
        <v>0</v>
      </c>
    </row>
    <row r="49" ht="15" customHeight="true" x14ac:dyDescent="0.15"/>
    <row r="50" ht="15" customHeight="true" x14ac:dyDescent="0.15"/>
    <row r="51" ht="15" customHeight="true" x14ac:dyDescent="0.15"/>
    <row r="84" ht="15" customHeight="true" x14ac:dyDescent="0.15"/>
    <row r="85" ht="15" customHeight="true" x14ac:dyDescent="0.15"/>
    <row r="86" ht="15" customHeight="true" x14ac:dyDescent="0.15"/>
    <row r="87" ht="15" customHeight="true" x14ac:dyDescent="0.15"/>
    <row r="88" ht="15" customHeight="true" x14ac:dyDescent="0.15"/>
    <row r="89" ht="15" customHeight="true" x14ac:dyDescent="0.15"/>
    <row r="90" ht="15" customHeight="true" x14ac:dyDescent="0.15"/>
    <row r="91" ht="15" customHeight="true" x14ac:dyDescent="0.15"/>
    <row r="92" ht="15" customHeight="true" x14ac:dyDescent="0.15"/>
    <row r="93" ht="15" customHeight="true" x14ac:dyDescent="0.15"/>
    <row r="94" ht="15" customHeight="true" x14ac:dyDescent="0.15"/>
    <row r="95" ht="15" customHeight="true" x14ac:dyDescent="0.15"/>
    <row r="96" ht="15" customHeight="true" x14ac:dyDescent="0.15"/>
    <row r="97" ht="15" customHeight="true" x14ac:dyDescent="0.15"/>
    <row r="98" ht="15" customHeight="true" x14ac:dyDescent="0.15"/>
    <row r="99" ht="15" customHeight="true" x14ac:dyDescent="0.15"/>
    <row r="100" ht="15" customHeight="true" x14ac:dyDescent="0.15"/>
    <row r="101" ht="15" customHeight="true" x14ac:dyDescent="0.15"/>
    <row r="102" ht="15" customHeight="true" x14ac:dyDescent="0.15"/>
    <row r="103" ht="15" customHeight="true" x14ac:dyDescent="0.15"/>
    <row r="104" ht="15" customHeight="true" x14ac:dyDescent="0.15"/>
    <row r="105" ht="15" customHeight="true" x14ac:dyDescent="0.15"/>
    <row r="106" ht="15" customHeight="true" x14ac:dyDescent="0.15"/>
    <row r="107" ht="15" customHeight="true" x14ac:dyDescent="0.15"/>
    <row r="108" ht="15" customHeight="true" x14ac:dyDescent="0.15"/>
    <row r="109" ht="15" customHeight="true" x14ac:dyDescent="0.15"/>
    <row r="110" ht="15" customHeight="true" x14ac:dyDescent="0.15"/>
    <row r="111" ht="15" customHeight="true" x14ac:dyDescent="0.15"/>
    <row r="112" ht="15" customHeight="true" x14ac:dyDescent="0.15"/>
    <row r="113" ht="15" customHeight="true" x14ac:dyDescent="0.15"/>
    <row r="114" ht="15" customHeight="true" x14ac:dyDescent="0.15"/>
    <row r="115" ht="15" customHeight="true" x14ac:dyDescent="0.15"/>
    <row r="116" ht="15" customHeight="true" x14ac:dyDescent="0.15"/>
    <row r="117" ht="15" customHeight="true" x14ac:dyDescent="0.15"/>
    <row r="118" ht="15" customHeight="true" x14ac:dyDescent="0.15"/>
    <row r="119" ht="15" customHeight="true" x14ac:dyDescent="0.15"/>
    <row r="120" ht="15" customHeight="true" x14ac:dyDescent="0.15"/>
    <row r="121" ht="15" customHeight="true" x14ac:dyDescent="0.15"/>
    <row r="122" ht="15" customHeight="true" x14ac:dyDescent="0.15"/>
    <row r="123" ht="15" customHeight="true" x14ac:dyDescent="0.15"/>
    <row r="124" ht="15" customHeight="true" x14ac:dyDescent="0.15"/>
    <row r="125" ht="15" customHeight="true" x14ac:dyDescent="0.15"/>
    <row r="126" ht="15" customHeight="true" x14ac:dyDescent="0.15"/>
    <row r="127" ht="15" customHeight="true" x14ac:dyDescent="0.15"/>
    <row r="128" ht="15" customHeight="true" x14ac:dyDescent="0.15"/>
    <row r="129" ht="15" customHeight="true" x14ac:dyDescent="0.15"/>
    <row r="130" ht="15" customHeight="true" x14ac:dyDescent="0.15"/>
    <row r="131" ht="15" customHeight="true" x14ac:dyDescent="0.15"/>
    <row r="132" ht="15" customHeight="true" x14ac:dyDescent="0.15"/>
    <row r="133" ht="15" customHeight="true" x14ac:dyDescent="0.15"/>
    <row r="134" ht="15" customHeight="true" x14ac:dyDescent="0.15"/>
    <row r="135" ht="15" customHeight="true" x14ac:dyDescent="0.15"/>
    <row r="136" ht="15" customHeight="true" x14ac:dyDescent="0.15"/>
    <row r="137" ht="15" customHeight="true" x14ac:dyDescent="0.15"/>
    <row r="138" ht="15" customHeight="true" x14ac:dyDescent="0.15"/>
    <row r="139" ht="15" customHeight="true" x14ac:dyDescent="0.15"/>
    <row r="140" ht="15" customHeight="true" x14ac:dyDescent="0.15"/>
    <row r="141" ht="15" customHeight="true" x14ac:dyDescent="0.15"/>
    <row r="142" ht="15" customHeight="true" x14ac:dyDescent="0.15"/>
    <row r="143" ht="15" customHeight="true" x14ac:dyDescent="0.15"/>
    <row r="144" ht="15" customHeight="true" x14ac:dyDescent="0.15"/>
    <row r="145" ht="15" customHeight="true" x14ac:dyDescent="0.15"/>
    <row r="146" ht="15" customHeight="true" x14ac:dyDescent="0.15"/>
    <row r="147" ht="15" customHeight="true" x14ac:dyDescent="0.15"/>
    <row r="148" ht="15" customHeight="true" x14ac:dyDescent="0.15"/>
    <row r="149" ht="15" customHeight="true" x14ac:dyDescent="0.15"/>
    <row r="150" ht="15" customHeight="true" x14ac:dyDescent="0.15"/>
    <row r="151" ht="15" customHeight="true" x14ac:dyDescent="0.15"/>
    <row r="152" ht="15" customHeight="true" x14ac:dyDescent="0.15"/>
    <row r="153" ht="15" customHeight="true" x14ac:dyDescent="0.15"/>
    <row r="154" ht="15" customHeight="true" x14ac:dyDescent="0.15"/>
    <row r="155" ht="15" customHeight="true" x14ac:dyDescent="0.15"/>
    <row r="156" ht="15" customHeight="true" x14ac:dyDescent="0.15"/>
    <row r="157" ht="15" customHeight="true" x14ac:dyDescent="0.15"/>
    <row r="158" ht="15" customHeight="true" x14ac:dyDescent="0.15"/>
    <row r="159" ht="15" customHeight="true" x14ac:dyDescent="0.15"/>
    <row r="160" ht="15" customHeight="true" x14ac:dyDescent="0.15"/>
    <row r="161" ht="15" customHeight="true" x14ac:dyDescent="0.15"/>
    <row r="162" ht="15" customHeight="true" x14ac:dyDescent="0.15"/>
    <row r="163" ht="15" customHeight="true" x14ac:dyDescent="0.15"/>
    <row r="164" ht="15" customHeight="true" x14ac:dyDescent="0.15"/>
    <row r="165" ht="15" customHeight="true" x14ac:dyDescent="0.15"/>
    <row r="166" ht="15" customHeight="true" x14ac:dyDescent="0.15"/>
    <row r="167" ht="15" customHeight="true" x14ac:dyDescent="0.15"/>
    <row r="168" ht="15" customHeight="true" x14ac:dyDescent="0.15"/>
    <row r="169" ht="15" customHeight="true" x14ac:dyDescent="0.15"/>
    <row r="170" ht="15" customHeight="true" x14ac:dyDescent="0.15"/>
    <row r="171" ht="15" customHeight="true" x14ac:dyDescent="0.15"/>
    <row r="172" ht="15" customHeight="true" x14ac:dyDescent="0.15"/>
    <row r="175" ht="15" customHeight="true" x14ac:dyDescent="0.15"/>
    <row r="176" ht="15" customHeight="true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P3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B3" sqref="B3"/>
    </sheetView>
  </sheetViews>
  <sheetFormatPr baseColWidth="10" defaultColWidth="8.83203125" defaultRowHeight="16" x14ac:dyDescent="0.2"/>
  <cols>
    <col min="1" max="1" width="8.6640625" style="82" bestFit="true" customWidth="true"/>
    <col min="2" max="2" width="34.33203125" style="82" bestFit="true" customWidth="true"/>
    <col min="3" max="3" width="16.5" style="82" bestFit="true" customWidth="true"/>
    <col min="4" max="4" width="6.5" style="82" bestFit="true" customWidth="true"/>
    <col min="5" max="16" width="8.83203125" style="82"/>
  </cols>
  <sheetData>
    <row r="1" s="147" customFormat="true" ht="34" x14ac:dyDescent="0.2">
      <c r="A1" s="219" t="s">
        <v>22</v>
      </c>
      <c r="B1" s="220" t="s">
        <v>0</v>
      </c>
      <c r="C1" s="209" t="s">
        <v>214</v>
      </c>
      <c r="D1" s="209" t="s">
        <v>215</v>
      </c>
      <c r="E1" s="209" t="s">
        <v>216</v>
      </c>
      <c r="F1" s="209" t="s">
        <v>217</v>
      </c>
      <c r="G1" s="209" t="s">
        <v>218</v>
      </c>
      <c r="H1" s="209" t="s">
        <v>219</v>
      </c>
      <c r="I1" s="209" t="s">
        <v>220</v>
      </c>
      <c r="J1" s="209" t="s">
        <v>221</v>
      </c>
      <c r="K1" s="209" t="s">
        <v>222</v>
      </c>
      <c r="L1" s="209" t="s">
        <v>223</v>
      </c>
      <c r="M1" s="209" t="s">
        <v>224</v>
      </c>
      <c r="N1" s="209" t="s">
        <v>225</v>
      </c>
      <c r="O1" s="209" t="s">
        <v>226</v>
      </c>
      <c r="P1" s="82" t="s">
        <v>229</v>
      </c>
    </row>
    <row r="2" x14ac:dyDescent="0.2">
      <c r="A2" s="82">
        <v>1</v>
      </c>
      <c r="B2" s="209" t="s">
        <v>182</v>
      </c>
      <c r="C2" s="82">
        <v>0</v>
      </c>
      <c r="D2" s="82">
        <v>0</v>
      </c>
      <c r="E2" s="82">
        <v>0</v>
      </c>
      <c r="F2" s="82">
        <v>0</v>
      </c>
      <c r="G2" s="82">
        <v>0</v>
      </c>
      <c r="H2" s="82">
        <v>0</v>
      </c>
      <c r="I2" s="82">
        <v>0</v>
      </c>
      <c r="J2" s="82">
        <v>0</v>
      </c>
      <c r="K2" s="82">
        <v>0</v>
      </c>
      <c r="L2" s="82">
        <v>0</v>
      </c>
      <c r="M2" s="82">
        <v>0</v>
      </c>
      <c r="N2" s="82">
        <v>0</v>
      </c>
      <c r="O2" s="82">
        <v>0</v>
      </c>
      <c r="P2" s="221">
        <f>SUM(C2:O2)</f>
        <v>0</v>
      </c>
    </row>
    <row r="3" x14ac:dyDescent="0.2">
      <c r="A3" s="82">
        <v>2</v>
      </c>
      <c r="B3" s="209" t="s">
        <v>183</v>
      </c>
      <c r="C3" s="82">
        <v>0</v>
      </c>
      <c r="D3" s="82">
        <v>0</v>
      </c>
      <c r="E3" s="82">
        <v>0</v>
      </c>
      <c r="F3" s="82">
        <v>0</v>
      </c>
      <c r="G3" s="82">
        <v>0</v>
      </c>
      <c r="H3" s="82">
        <v>0</v>
      </c>
      <c r="I3" s="82">
        <v>0</v>
      </c>
      <c r="J3" s="82">
        <v>0</v>
      </c>
      <c r="K3" s="82">
        <v>0</v>
      </c>
      <c r="L3" s="82">
        <v>0</v>
      </c>
      <c r="M3" s="82">
        <v>0</v>
      </c>
      <c r="N3" s="82">
        <v>0</v>
      </c>
      <c r="O3" s="82">
        <v>0</v>
      </c>
      <c r="P3" s="221">
        <f t="shared" ref="P3:P34" si="0">SUM(C3:O3)</f>
        <v>0</v>
      </c>
    </row>
    <row r="4" x14ac:dyDescent="0.2">
      <c r="A4" s="82">
        <v>3</v>
      </c>
      <c r="B4" s="209" t="s">
        <v>184</v>
      </c>
      <c r="C4" s="82">
        <v>0</v>
      </c>
      <c r="D4" s="82">
        <v>0</v>
      </c>
      <c r="E4" s="82">
        <v>0</v>
      </c>
      <c r="F4" s="82">
        <v>0</v>
      </c>
      <c r="G4" s="82">
        <v>0</v>
      </c>
      <c r="H4" s="82">
        <v>0</v>
      </c>
      <c r="I4" s="82">
        <v>0</v>
      </c>
      <c r="J4" s="82">
        <v>0</v>
      </c>
      <c r="K4" s="82">
        <v>0</v>
      </c>
      <c r="L4" s="82">
        <v>0</v>
      </c>
      <c r="M4" s="82">
        <v>0</v>
      </c>
      <c r="N4" s="82">
        <v>0</v>
      </c>
      <c r="O4" s="82">
        <v>0</v>
      </c>
      <c r="P4" s="221">
        <f t="shared" si="0"/>
        <v>0</v>
      </c>
    </row>
    <row r="5" x14ac:dyDescent="0.2">
      <c r="A5" s="82">
        <v>4</v>
      </c>
      <c r="B5" s="209" t="s">
        <v>185</v>
      </c>
      <c r="C5" s="82">
        <v>0</v>
      </c>
      <c r="D5" s="82">
        <v>0</v>
      </c>
      <c r="E5" s="82">
        <v>0</v>
      </c>
      <c r="F5" s="82">
        <v>0</v>
      </c>
      <c r="G5" s="82">
        <v>0</v>
      </c>
      <c r="H5" s="82">
        <v>0</v>
      </c>
      <c r="I5" s="82">
        <v>0</v>
      </c>
      <c r="J5" s="82">
        <v>0</v>
      </c>
      <c r="K5" s="82">
        <v>0</v>
      </c>
      <c r="L5" s="82">
        <v>0</v>
      </c>
      <c r="M5" s="82">
        <v>0</v>
      </c>
      <c r="N5" s="82">
        <v>0</v>
      </c>
      <c r="O5" s="82">
        <v>0</v>
      </c>
      <c r="P5" s="221">
        <f t="shared" si="0"/>
        <v>0</v>
      </c>
    </row>
    <row r="6" x14ac:dyDescent="0.2">
      <c r="A6" s="82">
        <v>5</v>
      </c>
      <c r="B6" s="209" t="s">
        <v>186</v>
      </c>
      <c r="C6" s="82">
        <v>0</v>
      </c>
      <c r="D6" s="82">
        <v>0</v>
      </c>
      <c r="E6" s="82">
        <v>0</v>
      </c>
      <c r="F6" s="82">
        <v>0</v>
      </c>
      <c r="G6" s="82">
        <v>0</v>
      </c>
      <c r="H6" s="82">
        <v>0</v>
      </c>
      <c r="I6" s="82">
        <v>0</v>
      </c>
      <c r="J6" s="82">
        <v>0</v>
      </c>
      <c r="K6" s="82">
        <v>0</v>
      </c>
      <c r="L6" s="82">
        <v>0</v>
      </c>
      <c r="M6" s="82">
        <v>0</v>
      </c>
      <c r="N6" s="82">
        <v>0</v>
      </c>
      <c r="O6" s="82">
        <v>0</v>
      </c>
      <c r="P6" s="221">
        <f t="shared" si="0"/>
        <v>0</v>
      </c>
    </row>
    <row r="7" x14ac:dyDescent="0.2">
      <c r="A7" s="82">
        <v>6</v>
      </c>
      <c r="B7" s="209" t="s">
        <v>187</v>
      </c>
      <c r="C7" s="82">
        <v>0</v>
      </c>
      <c r="D7" s="82">
        <v>0</v>
      </c>
      <c r="E7" s="82">
        <v>0</v>
      </c>
      <c r="F7" s="82">
        <v>0</v>
      </c>
      <c r="G7" s="82">
        <v>0</v>
      </c>
      <c r="H7" s="82">
        <v>0</v>
      </c>
      <c r="I7" s="82">
        <v>0</v>
      </c>
      <c r="J7" s="82">
        <v>0</v>
      </c>
      <c r="K7" s="82">
        <v>0</v>
      </c>
      <c r="L7" s="82">
        <v>0</v>
      </c>
      <c r="M7" s="82">
        <v>0</v>
      </c>
      <c r="N7" s="82">
        <v>0</v>
      </c>
      <c r="O7" s="82">
        <v>0</v>
      </c>
      <c r="P7" s="221">
        <f t="shared" si="0"/>
        <v>0</v>
      </c>
    </row>
    <row r="8" x14ac:dyDescent="0.2">
      <c r="A8" s="82">
        <v>7</v>
      </c>
      <c r="B8" s="209" t="s">
        <v>188</v>
      </c>
      <c r="C8" s="82">
        <v>0</v>
      </c>
      <c r="D8" s="82">
        <v>0</v>
      </c>
      <c r="E8" s="82">
        <v>0</v>
      </c>
      <c r="F8" s="82">
        <v>0</v>
      </c>
      <c r="G8" s="82">
        <v>0</v>
      </c>
      <c r="H8" s="82">
        <v>0</v>
      </c>
      <c r="I8" s="82">
        <v>0</v>
      </c>
      <c r="J8" s="82">
        <v>0</v>
      </c>
      <c r="K8" s="82">
        <v>0</v>
      </c>
      <c r="L8" s="82">
        <v>0</v>
      </c>
      <c r="M8" s="82">
        <v>0</v>
      </c>
      <c r="N8" s="82">
        <v>0</v>
      </c>
      <c r="O8" s="82">
        <v>0</v>
      </c>
      <c r="P8" s="221">
        <f t="shared" si="0"/>
        <v>0</v>
      </c>
    </row>
    <row r="9" x14ac:dyDescent="0.2">
      <c r="A9" s="82">
        <v>8</v>
      </c>
      <c r="B9" s="209" t="s">
        <v>189</v>
      </c>
      <c r="C9" s="82">
        <v>0</v>
      </c>
      <c r="D9" s="82">
        <v>0</v>
      </c>
      <c r="E9" s="82">
        <v>0</v>
      </c>
      <c r="F9" s="82">
        <v>0</v>
      </c>
      <c r="G9" s="82">
        <v>0</v>
      </c>
      <c r="H9" s="82">
        <v>0</v>
      </c>
      <c r="I9" s="82">
        <v>0</v>
      </c>
      <c r="J9" s="82">
        <v>0</v>
      </c>
      <c r="K9" s="82">
        <v>0</v>
      </c>
      <c r="L9" s="82">
        <v>0</v>
      </c>
      <c r="M9" s="82">
        <v>0</v>
      </c>
      <c r="N9" s="82">
        <v>0</v>
      </c>
      <c r="O9" s="82">
        <v>0</v>
      </c>
      <c r="P9" s="221">
        <f t="shared" si="0"/>
        <v>0</v>
      </c>
    </row>
    <row r="10" x14ac:dyDescent="0.2">
      <c r="A10" s="82">
        <v>9</v>
      </c>
      <c r="B10" s="209" t="s">
        <v>190</v>
      </c>
      <c r="C10" s="82">
        <v>0</v>
      </c>
      <c r="D10" s="82">
        <v>0</v>
      </c>
      <c r="E10" s="82">
        <v>0</v>
      </c>
      <c r="F10" s="82">
        <v>0</v>
      </c>
      <c r="G10" s="82">
        <v>0</v>
      </c>
      <c r="H10" s="82">
        <v>0</v>
      </c>
      <c r="I10" s="82">
        <v>0</v>
      </c>
      <c r="J10" s="82">
        <v>0</v>
      </c>
      <c r="K10" s="82">
        <v>0</v>
      </c>
      <c r="L10" s="82">
        <v>0</v>
      </c>
      <c r="M10" s="82">
        <v>0</v>
      </c>
      <c r="N10" s="82">
        <v>0</v>
      </c>
      <c r="O10" s="82">
        <v>0</v>
      </c>
      <c r="P10" s="221">
        <f t="shared" si="0"/>
        <v>0</v>
      </c>
    </row>
    <row r="11" x14ac:dyDescent="0.2">
      <c r="A11" s="82">
        <v>10</v>
      </c>
      <c r="B11" s="209" t="s">
        <v>191</v>
      </c>
      <c r="C11" s="82">
        <v>0</v>
      </c>
      <c r="D11" s="82">
        <v>0</v>
      </c>
      <c r="E11" s="82">
        <v>0</v>
      </c>
      <c r="F11" s="82">
        <v>0</v>
      </c>
      <c r="G11" s="82">
        <v>0</v>
      </c>
      <c r="H11" s="82">
        <v>0</v>
      </c>
      <c r="I11" s="82">
        <v>0</v>
      </c>
      <c r="J11" s="82">
        <v>0</v>
      </c>
      <c r="K11" s="82">
        <v>0</v>
      </c>
      <c r="L11" s="82">
        <v>0</v>
      </c>
      <c r="M11" s="82">
        <v>0</v>
      </c>
      <c r="N11" s="82">
        <v>0</v>
      </c>
      <c r="O11" s="82">
        <v>0</v>
      </c>
      <c r="P11" s="221">
        <f t="shared" si="0"/>
        <v>0</v>
      </c>
    </row>
    <row r="12" x14ac:dyDescent="0.2">
      <c r="A12" s="82">
        <v>11</v>
      </c>
      <c r="B12" s="209" t="s">
        <v>192</v>
      </c>
      <c r="C12" s="82">
        <v>0</v>
      </c>
      <c r="D12" s="82">
        <v>0</v>
      </c>
      <c r="E12" s="82">
        <v>0</v>
      </c>
      <c r="F12" s="82">
        <v>0</v>
      </c>
      <c r="G12" s="82">
        <v>0</v>
      </c>
      <c r="H12" s="82">
        <v>0</v>
      </c>
      <c r="I12" s="82">
        <v>0</v>
      </c>
      <c r="J12" s="82">
        <v>0</v>
      </c>
      <c r="K12" s="82">
        <v>0</v>
      </c>
      <c r="L12" s="82">
        <v>0</v>
      </c>
      <c r="M12" s="82">
        <v>0</v>
      </c>
      <c r="N12" s="82">
        <v>0</v>
      </c>
      <c r="O12" s="82">
        <v>0</v>
      </c>
      <c r="P12" s="221">
        <f t="shared" si="0"/>
        <v>0</v>
      </c>
    </row>
    <row r="13" x14ac:dyDescent="0.2">
      <c r="A13" s="82">
        <v>12</v>
      </c>
      <c r="B13" s="209" t="s">
        <v>193</v>
      </c>
      <c r="C13" s="82">
        <v>0</v>
      </c>
      <c r="D13" s="82">
        <v>0</v>
      </c>
      <c r="E13" s="82">
        <v>0</v>
      </c>
      <c r="F13" s="82">
        <v>0</v>
      </c>
      <c r="G13" s="82">
        <v>0</v>
      </c>
      <c r="H13" s="82">
        <v>0</v>
      </c>
      <c r="I13" s="82">
        <v>0</v>
      </c>
      <c r="J13" s="82">
        <v>0</v>
      </c>
      <c r="K13" s="82">
        <v>0</v>
      </c>
      <c r="L13" s="82">
        <v>0</v>
      </c>
      <c r="M13" s="82">
        <v>0</v>
      </c>
      <c r="N13" s="82">
        <v>0</v>
      </c>
      <c r="O13" s="82">
        <v>0</v>
      </c>
      <c r="P13" s="221">
        <f t="shared" si="0"/>
        <v>0</v>
      </c>
    </row>
    <row r="14" x14ac:dyDescent="0.2">
      <c r="A14" s="82">
        <v>13</v>
      </c>
      <c r="B14" s="209" t="s">
        <v>194</v>
      </c>
      <c r="C14" s="82">
        <v>0</v>
      </c>
      <c r="D14" s="82">
        <v>0</v>
      </c>
      <c r="E14" s="82">
        <v>0</v>
      </c>
      <c r="F14" s="82">
        <v>0</v>
      </c>
      <c r="G14" s="82">
        <v>0</v>
      </c>
      <c r="H14" s="82">
        <v>0</v>
      </c>
      <c r="I14" s="82">
        <v>0</v>
      </c>
      <c r="J14" s="82">
        <v>0</v>
      </c>
      <c r="K14" s="82">
        <v>0</v>
      </c>
      <c r="L14" s="82">
        <v>0</v>
      </c>
      <c r="M14" s="82">
        <v>0</v>
      </c>
      <c r="N14" s="82">
        <v>0</v>
      </c>
      <c r="O14" s="82">
        <v>0</v>
      </c>
      <c r="P14" s="221">
        <f t="shared" si="0"/>
        <v>0</v>
      </c>
    </row>
    <row r="15" x14ac:dyDescent="0.2">
      <c r="A15" s="82">
        <v>14</v>
      </c>
      <c r="B15" s="209" t="s">
        <v>195</v>
      </c>
      <c r="C15" s="82">
        <v>0</v>
      </c>
      <c r="D15" s="82">
        <v>0</v>
      </c>
      <c r="E15" s="82">
        <v>0</v>
      </c>
      <c r="F15" s="82">
        <v>0</v>
      </c>
      <c r="G15" s="82">
        <v>0</v>
      </c>
      <c r="H15" s="82">
        <v>0</v>
      </c>
      <c r="I15" s="82">
        <v>0</v>
      </c>
      <c r="J15" s="82">
        <v>0</v>
      </c>
      <c r="K15" s="82">
        <v>0</v>
      </c>
      <c r="L15" s="82">
        <v>0</v>
      </c>
      <c r="M15" s="82">
        <v>0</v>
      </c>
      <c r="N15" s="82">
        <v>0</v>
      </c>
      <c r="O15" s="82">
        <v>0</v>
      </c>
      <c r="P15" s="221">
        <f t="shared" si="0"/>
        <v>0</v>
      </c>
    </row>
    <row r="16" x14ac:dyDescent="0.2">
      <c r="A16" s="82">
        <v>15</v>
      </c>
      <c r="B16" s="209" t="s">
        <v>196</v>
      </c>
      <c r="C16" s="82">
        <v>0</v>
      </c>
      <c r="D16" s="82">
        <v>0</v>
      </c>
      <c r="E16" s="82">
        <v>0</v>
      </c>
      <c r="F16" s="82">
        <v>0</v>
      </c>
      <c r="G16" s="82">
        <v>0</v>
      </c>
      <c r="H16" s="82">
        <v>0</v>
      </c>
      <c r="I16" s="82">
        <v>0</v>
      </c>
      <c r="J16" s="82">
        <v>0</v>
      </c>
      <c r="K16" s="82">
        <v>0</v>
      </c>
      <c r="L16" s="82">
        <v>0</v>
      </c>
      <c r="M16" s="82">
        <v>0</v>
      </c>
      <c r="N16" s="82">
        <v>0</v>
      </c>
      <c r="O16" s="82">
        <v>0</v>
      </c>
      <c r="P16" s="221">
        <f t="shared" si="0"/>
        <v>0</v>
      </c>
    </row>
    <row r="17" x14ac:dyDescent="0.2">
      <c r="A17" s="82">
        <v>16</v>
      </c>
      <c r="B17" s="209" t="s">
        <v>197</v>
      </c>
      <c r="C17" s="82">
        <v>0</v>
      </c>
      <c r="D17" s="82">
        <v>0</v>
      </c>
      <c r="E17" s="82">
        <v>0</v>
      </c>
      <c r="F17" s="82">
        <v>0</v>
      </c>
      <c r="G17" s="82">
        <v>0</v>
      </c>
      <c r="H17" s="82">
        <v>0</v>
      </c>
      <c r="I17" s="82">
        <v>0</v>
      </c>
      <c r="J17" s="82">
        <v>0</v>
      </c>
      <c r="K17" s="82">
        <v>0</v>
      </c>
      <c r="L17" s="82">
        <v>0</v>
      </c>
      <c r="M17" s="82">
        <v>0</v>
      </c>
      <c r="N17" s="82">
        <v>0</v>
      </c>
      <c r="O17" s="82">
        <v>0</v>
      </c>
      <c r="P17" s="221">
        <f t="shared" si="0"/>
        <v>0</v>
      </c>
    </row>
    <row r="18" x14ac:dyDescent="0.2">
      <c r="A18" s="82">
        <v>17</v>
      </c>
      <c r="B18" s="209" t="s">
        <v>198</v>
      </c>
      <c r="C18" s="82">
        <v>0</v>
      </c>
      <c r="D18" s="82">
        <v>0</v>
      </c>
      <c r="E18" s="82">
        <v>0</v>
      </c>
      <c r="F18" s="82">
        <v>0</v>
      </c>
      <c r="G18" s="82">
        <v>0</v>
      </c>
      <c r="H18" s="82">
        <v>0</v>
      </c>
      <c r="I18" s="82">
        <v>0</v>
      </c>
      <c r="J18" s="82">
        <v>0</v>
      </c>
      <c r="K18" s="82">
        <v>0</v>
      </c>
      <c r="L18" s="82">
        <v>0</v>
      </c>
      <c r="M18" s="82">
        <v>0</v>
      </c>
      <c r="N18" s="82">
        <v>0</v>
      </c>
      <c r="O18" s="82">
        <v>0</v>
      </c>
      <c r="P18" s="221">
        <f t="shared" si="0"/>
        <v>0</v>
      </c>
    </row>
    <row r="19" x14ac:dyDescent="0.2">
      <c r="A19" s="82">
        <v>18</v>
      </c>
      <c r="B19" s="209" t="s">
        <v>199</v>
      </c>
      <c r="C19" s="82">
        <v>0</v>
      </c>
      <c r="D19" s="82">
        <v>0</v>
      </c>
      <c r="E19" s="82">
        <v>0</v>
      </c>
      <c r="F19" s="82">
        <v>0</v>
      </c>
      <c r="G19" s="82">
        <v>0</v>
      </c>
      <c r="H19" s="82">
        <v>0</v>
      </c>
      <c r="I19" s="82">
        <v>0</v>
      </c>
      <c r="J19" s="82">
        <v>0</v>
      </c>
      <c r="K19" s="82">
        <v>0</v>
      </c>
      <c r="L19" s="82">
        <v>0</v>
      </c>
      <c r="M19" s="82">
        <v>7.0000000000000001E-3</v>
      </c>
      <c r="N19" s="82">
        <v>7.0000000000000001E-3</v>
      </c>
      <c r="O19" s="82">
        <v>0</v>
      </c>
      <c r="P19" s="221">
        <f t="shared" si="0"/>
        <v>1.4E-2</v>
      </c>
    </row>
    <row r="20" x14ac:dyDescent="0.2">
      <c r="A20" s="82">
        <v>19</v>
      </c>
      <c r="B20" s="209" t="s">
        <v>200</v>
      </c>
      <c r="C20" s="82">
        <v>0</v>
      </c>
      <c r="D20" s="82">
        <v>0</v>
      </c>
      <c r="E20" s="82">
        <v>0</v>
      </c>
      <c r="F20" s="82">
        <v>0</v>
      </c>
      <c r="G20" s="82">
        <v>0</v>
      </c>
      <c r="H20" s="82">
        <v>0</v>
      </c>
      <c r="I20" s="82">
        <v>0</v>
      </c>
      <c r="J20" s="82">
        <v>0</v>
      </c>
      <c r="K20" s="82">
        <v>0</v>
      </c>
      <c r="L20" s="82">
        <v>0</v>
      </c>
      <c r="M20" s="82">
        <v>0</v>
      </c>
      <c r="N20" s="82">
        <v>0</v>
      </c>
      <c r="O20" s="82">
        <v>0</v>
      </c>
      <c r="P20" s="221">
        <f t="shared" si="0"/>
        <v>0</v>
      </c>
    </row>
    <row r="21" x14ac:dyDescent="0.2">
      <c r="A21" s="82">
        <v>20</v>
      </c>
      <c r="B21" s="209" t="s">
        <v>201</v>
      </c>
      <c r="C21" s="82">
        <v>0</v>
      </c>
      <c r="D21" s="82">
        <v>0</v>
      </c>
      <c r="E21" s="82">
        <v>0</v>
      </c>
      <c r="F21" s="82">
        <v>0</v>
      </c>
      <c r="G21" s="82">
        <v>0</v>
      </c>
      <c r="H21" s="82">
        <v>0</v>
      </c>
      <c r="I21" s="82">
        <v>0</v>
      </c>
      <c r="J21" s="82">
        <v>0</v>
      </c>
      <c r="K21" s="82">
        <v>0</v>
      </c>
      <c r="L21" s="82">
        <v>0</v>
      </c>
      <c r="M21" s="82">
        <v>0</v>
      </c>
      <c r="N21" s="82">
        <v>3.0000000000000001E-3</v>
      </c>
      <c r="O21" s="82">
        <v>0</v>
      </c>
      <c r="P21" s="221">
        <f t="shared" si="0"/>
        <v>3.0000000000000001E-3</v>
      </c>
    </row>
    <row r="22" x14ac:dyDescent="0.2">
      <c r="A22" s="82">
        <v>21</v>
      </c>
      <c r="B22" s="209" t="s">
        <v>202</v>
      </c>
      <c r="C22" s="82">
        <v>0</v>
      </c>
      <c r="D22" s="82">
        <v>0</v>
      </c>
      <c r="E22" s="82">
        <v>0</v>
      </c>
      <c r="F22" s="82">
        <v>0</v>
      </c>
      <c r="G22" s="82">
        <v>0</v>
      </c>
      <c r="H22" s="82">
        <v>0</v>
      </c>
      <c r="I22" s="82">
        <v>0</v>
      </c>
      <c r="J22" s="82">
        <v>0</v>
      </c>
      <c r="K22" s="82">
        <v>0</v>
      </c>
      <c r="L22" s="82">
        <v>0</v>
      </c>
      <c r="M22" s="82">
        <v>0</v>
      </c>
      <c r="N22" s="82">
        <v>0</v>
      </c>
      <c r="O22" s="82">
        <v>0</v>
      </c>
      <c r="P22" s="221">
        <f t="shared" si="0"/>
        <v>0</v>
      </c>
    </row>
    <row r="23" x14ac:dyDescent="0.2">
      <c r="A23" s="82">
        <v>22</v>
      </c>
      <c r="B23" s="209" t="s">
        <v>203</v>
      </c>
      <c r="C23" s="82">
        <v>0</v>
      </c>
      <c r="D23" s="82">
        <v>0</v>
      </c>
      <c r="E23" s="82">
        <v>0</v>
      </c>
      <c r="F23" s="82">
        <v>0</v>
      </c>
      <c r="G23" s="82">
        <v>0</v>
      </c>
      <c r="H23" s="82">
        <v>0</v>
      </c>
      <c r="I23" s="82">
        <v>0</v>
      </c>
      <c r="J23" s="82">
        <v>0</v>
      </c>
      <c r="K23" s="82">
        <v>0</v>
      </c>
      <c r="L23" s="82">
        <v>0</v>
      </c>
      <c r="M23" s="82">
        <v>0</v>
      </c>
      <c r="N23" s="82">
        <v>0</v>
      </c>
      <c r="O23" s="82">
        <v>0</v>
      </c>
      <c r="P23" s="221">
        <f t="shared" si="0"/>
        <v>0</v>
      </c>
    </row>
    <row r="24" x14ac:dyDescent="0.2">
      <c r="A24" s="82">
        <v>23</v>
      </c>
      <c r="B24" s="209" t="s">
        <v>204</v>
      </c>
      <c r="C24" s="82">
        <v>0</v>
      </c>
      <c r="D24" s="82">
        <v>0</v>
      </c>
      <c r="E24" s="82">
        <v>0</v>
      </c>
      <c r="F24" s="82">
        <v>0</v>
      </c>
      <c r="G24" s="82">
        <v>0</v>
      </c>
      <c r="H24" s="82">
        <v>0</v>
      </c>
      <c r="I24" s="82">
        <v>0</v>
      </c>
      <c r="J24" s="82">
        <v>0</v>
      </c>
      <c r="K24" s="82">
        <v>0</v>
      </c>
      <c r="L24" s="82">
        <v>0</v>
      </c>
      <c r="M24" s="82">
        <v>0</v>
      </c>
      <c r="N24" s="82">
        <v>0</v>
      </c>
      <c r="O24" s="82">
        <v>0</v>
      </c>
      <c r="P24" s="221">
        <f t="shared" si="0"/>
        <v>0</v>
      </c>
    </row>
    <row r="25" x14ac:dyDescent="0.2">
      <c r="A25" s="82">
        <v>24</v>
      </c>
      <c r="B25" s="209" t="s">
        <v>205</v>
      </c>
      <c r="C25" s="82">
        <v>0</v>
      </c>
      <c r="D25" s="82">
        <v>0</v>
      </c>
      <c r="E25" s="82">
        <v>0</v>
      </c>
      <c r="F25" s="82">
        <v>0</v>
      </c>
      <c r="G25" s="82">
        <v>0</v>
      </c>
      <c r="H25" s="82">
        <v>0</v>
      </c>
      <c r="I25" s="82">
        <v>0</v>
      </c>
      <c r="J25" s="82">
        <v>0</v>
      </c>
      <c r="K25" s="82">
        <v>0</v>
      </c>
      <c r="L25" s="82">
        <v>0</v>
      </c>
      <c r="M25" s="82">
        <v>0</v>
      </c>
      <c r="N25" s="82">
        <v>0</v>
      </c>
      <c r="O25" s="82">
        <v>0</v>
      </c>
      <c r="P25" s="221">
        <f t="shared" si="0"/>
        <v>0</v>
      </c>
    </row>
    <row r="26" x14ac:dyDescent="0.2">
      <c r="A26" s="82">
        <v>25</v>
      </c>
      <c r="B26" s="209" t="s">
        <v>206</v>
      </c>
      <c r="C26" s="82">
        <v>0</v>
      </c>
      <c r="D26" s="82">
        <v>0</v>
      </c>
      <c r="E26" s="82">
        <v>0</v>
      </c>
      <c r="F26" s="82">
        <v>0</v>
      </c>
      <c r="G26" s="82">
        <v>0</v>
      </c>
      <c r="H26" s="82">
        <v>0</v>
      </c>
      <c r="I26" s="82">
        <v>0</v>
      </c>
      <c r="J26" s="82">
        <v>0</v>
      </c>
      <c r="K26" s="82">
        <v>0</v>
      </c>
      <c r="L26" s="82">
        <v>0</v>
      </c>
      <c r="M26" s="82">
        <v>0</v>
      </c>
      <c r="N26" s="82">
        <v>0</v>
      </c>
      <c r="O26" s="82">
        <v>0</v>
      </c>
      <c r="P26" s="221">
        <f t="shared" si="0"/>
        <v>0</v>
      </c>
    </row>
    <row r="27" x14ac:dyDescent="0.2">
      <c r="A27" s="82">
        <v>26</v>
      </c>
      <c r="B27" s="209" t="s">
        <v>207</v>
      </c>
      <c r="C27" s="82">
        <v>0</v>
      </c>
      <c r="D27" s="82">
        <v>0</v>
      </c>
      <c r="E27" s="82">
        <v>0</v>
      </c>
      <c r="F27" s="82">
        <v>0</v>
      </c>
      <c r="G27" s="82">
        <v>0</v>
      </c>
      <c r="H27" s="82">
        <v>0</v>
      </c>
      <c r="I27" s="82">
        <v>0</v>
      </c>
      <c r="J27" s="82">
        <v>0</v>
      </c>
      <c r="K27" s="82">
        <v>0</v>
      </c>
      <c r="L27" s="82">
        <v>0</v>
      </c>
      <c r="M27" s="82">
        <v>0</v>
      </c>
      <c r="N27" s="82">
        <v>0</v>
      </c>
      <c r="O27" s="82">
        <v>0</v>
      </c>
      <c r="P27" s="221">
        <f t="shared" si="0"/>
        <v>0</v>
      </c>
    </row>
    <row r="28" x14ac:dyDescent="0.2">
      <c r="A28" s="82">
        <v>27</v>
      </c>
      <c r="B28" s="209" t="s">
        <v>208</v>
      </c>
      <c r="C28" s="82">
        <v>0</v>
      </c>
      <c r="D28" s="82">
        <v>0</v>
      </c>
      <c r="E28" s="82">
        <v>0</v>
      </c>
      <c r="F28" s="82">
        <v>0</v>
      </c>
      <c r="G28" s="82">
        <v>0</v>
      </c>
      <c r="H28" s="82">
        <v>0</v>
      </c>
      <c r="I28" s="82">
        <v>0</v>
      </c>
      <c r="J28" s="82">
        <v>0</v>
      </c>
      <c r="K28" s="82">
        <v>0</v>
      </c>
      <c r="L28" s="82">
        <v>0</v>
      </c>
      <c r="M28" s="82">
        <v>0</v>
      </c>
      <c r="N28" s="82">
        <v>0</v>
      </c>
      <c r="O28" s="82">
        <v>0</v>
      </c>
      <c r="P28" s="221">
        <f t="shared" si="0"/>
        <v>0</v>
      </c>
    </row>
    <row r="29" x14ac:dyDescent="0.2">
      <c r="A29" s="82">
        <v>28</v>
      </c>
      <c r="B29" s="209" t="s">
        <v>209</v>
      </c>
      <c r="C29" s="82">
        <v>0</v>
      </c>
      <c r="D29" s="82">
        <v>0</v>
      </c>
      <c r="E29" s="82">
        <v>0</v>
      </c>
      <c r="F29" s="82">
        <v>0</v>
      </c>
      <c r="G29" s="82">
        <v>0</v>
      </c>
      <c r="H29" s="82">
        <v>0</v>
      </c>
      <c r="I29" s="82">
        <v>0</v>
      </c>
      <c r="J29" s="82">
        <v>0</v>
      </c>
      <c r="K29" s="82">
        <v>0</v>
      </c>
      <c r="L29" s="82">
        <v>0</v>
      </c>
      <c r="M29" s="82">
        <v>0</v>
      </c>
      <c r="N29" s="82">
        <v>0</v>
      </c>
      <c r="O29" s="82">
        <v>0</v>
      </c>
      <c r="P29" s="221">
        <f t="shared" si="0"/>
        <v>0</v>
      </c>
    </row>
    <row r="30" x14ac:dyDescent="0.2">
      <c r="A30" s="82">
        <v>29</v>
      </c>
      <c r="B30" s="209" t="s">
        <v>175</v>
      </c>
      <c r="C30" s="82">
        <v>0</v>
      </c>
      <c r="D30" s="82">
        <v>0</v>
      </c>
      <c r="E30" s="82">
        <v>0</v>
      </c>
      <c r="F30" s="82">
        <v>0</v>
      </c>
      <c r="G30" s="82">
        <v>0</v>
      </c>
      <c r="H30" s="82">
        <v>0</v>
      </c>
      <c r="I30" s="82">
        <v>0</v>
      </c>
      <c r="J30" s="82">
        <v>0</v>
      </c>
      <c r="K30" s="82">
        <v>0</v>
      </c>
      <c r="L30" s="82">
        <v>0</v>
      </c>
      <c r="M30" s="82">
        <v>0</v>
      </c>
      <c r="N30" s="82">
        <v>0</v>
      </c>
      <c r="O30" s="82">
        <v>0</v>
      </c>
      <c r="P30" s="221">
        <f t="shared" si="0"/>
        <v>0</v>
      </c>
    </row>
    <row r="31" x14ac:dyDescent="0.2">
      <c r="A31" s="82">
        <v>30</v>
      </c>
      <c r="B31" s="209" t="s">
        <v>210</v>
      </c>
      <c r="C31" s="82">
        <v>0</v>
      </c>
      <c r="D31" s="82">
        <v>0</v>
      </c>
      <c r="E31" s="82">
        <v>0</v>
      </c>
      <c r="F31" s="82">
        <v>0</v>
      </c>
      <c r="G31" s="82">
        <v>0</v>
      </c>
      <c r="H31" s="82">
        <v>0</v>
      </c>
      <c r="I31" s="82">
        <v>0</v>
      </c>
      <c r="J31" s="82">
        <v>0</v>
      </c>
      <c r="K31" s="82">
        <v>0</v>
      </c>
      <c r="L31" s="82">
        <v>0</v>
      </c>
      <c r="M31" s="82">
        <v>0</v>
      </c>
      <c r="N31" s="82">
        <v>0</v>
      </c>
      <c r="O31" s="82">
        <v>0</v>
      </c>
      <c r="P31" s="221">
        <f t="shared" si="0"/>
        <v>0</v>
      </c>
    </row>
    <row r="32" x14ac:dyDescent="0.2">
      <c r="A32" s="82">
        <v>31</v>
      </c>
      <c r="B32" s="209" t="s">
        <v>211</v>
      </c>
      <c r="C32" s="82">
        <v>0</v>
      </c>
      <c r="D32" s="82">
        <v>0</v>
      </c>
      <c r="E32" s="82">
        <v>0</v>
      </c>
      <c r="F32" s="82">
        <v>0</v>
      </c>
      <c r="G32" s="82">
        <v>0</v>
      </c>
      <c r="H32" s="82">
        <v>0</v>
      </c>
      <c r="I32" s="82">
        <v>0</v>
      </c>
      <c r="J32" s="82">
        <v>0</v>
      </c>
      <c r="K32" s="82">
        <v>0</v>
      </c>
      <c r="L32" s="82">
        <v>0</v>
      </c>
      <c r="M32" s="82">
        <v>0</v>
      </c>
      <c r="N32" s="82">
        <v>0</v>
      </c>
      <c r="O32" s="82">
        <v>0</v>
      </c>
      <c r="P32" s="221">
        <f t="shared" si="0"/>
        <v>0</v>
      </c>
    </row>
    <row r="33" x14ac:dyDescent="0.2">
      <c r="A33" s="82">
        <v>32</v>
      </c>
      <c r="B33" s="209" t="s">
        <v>212</v>
      </c>
      <c r="C33" s="82">
        <v>0</v>
      </c>
      <c r="D33" s="82">
        <v>0</v>
      </c>
      <c r="E33" s="82">
        <v>0</v>
      </c>
      <c r="F33" s="82">
        <v>0</v>
      </c>
      <c r="G33" s="82">
        <v>0</v>
      </c>
      <c r="H33" s="82">
        <v>0</v>
      </c>
      <c r="I33" s="82">
        <v>0</v>
      </c>
      <c r="J33" s="82">
        <v>0</v>
      </c>
      <c r="K33" s="82">
        <v>0</v>
      </c>
      <c r="L33" s="82">
        <v>0</v>
      </c>
      <c r="M33" s="82">
        <v>0</v>
      </c>
      <c r="N33" s="82">
        <v>0</v>
      </c>
      <c r="O33" s="82">
        <v>0</v>
      </c>
      <c r="P33" s="221">
        <f t="shared" si="0"/>
        <v>0</v>
      </c>
    </row>
    <row r="34" x14ac:dyDescent="0.2">
      <c r="A34" s="82">
        <v>33</v>
      </c>
      <c r="B34" s="209" t="s">
        <v>178</v>
      </c>
      <c r="C34" s="82">
        <v>0</v>
      </c>
      <c r="D34" s="82">
        <v>0</v>
      </c>
      <c r="E34" s="82">
        <v>0</v>
      </c>
      <c r="F34" s="82">
        <v>0</v>
      </c>
      <c r="G34" s="82">
        <v>0</v>
      </c>
      <c r="H34" s="82">
        <v>0</v>
      </c>
      <c r="I34" s="82">
        <v>0</v>
      </c>
      <c r="J34" s="82">
        <v>0</v>
      </c>
      <c r="K34" s="82">
        <v>0</v>
      </c>
      <c r="L34" s="82">
        <v>0</v>
      </c>
      <c r="M34" s="82">
        <v>0</v>
      </c>
      <c r="N34" s="82">
        <v>0</v>
      </c>
      <c r="O34" s="82">
        <v>0</v>
      </c>
      <c r="P34" s="221">
        <f t="shared" si="0"/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7"/>
  <sheetViews>
    <sheetView workbookViewId="0">
      <selection activeCell="A13" sqref="A13"/>
    </sheetView>
  </sheetViews>
  <sheetFormatPr baseColWidth="10" defaultRowHeight="13" x14ac:dyDescent="0.15"/>
  <cols>
    <col min="1" max="1" width="17.33203125" bestFit="true" customWidth="true"/>
    <col min="5" max="5" width="24.6640625" customWidth="true"/>
    <col min="6" max="6" width="8.1640625" bestFit="true" customWidth="true"/>
    <col min="7" max="7" width="7.5" bestFit="true" customWidth="true"/>
    <col min="8" max="8" width="8.6640625" bestFit="true" customWidth="true"/>
    <col min="9" max="9" width="8.83203125" bestFit="true" customWidth="true"/>
    <col min="10" max="10" width="8.83203125" style="165" bestFit="true" customWidth="true"/>
    <col min="11" max="11" width="8.6640625" style="165" bestFit="true" customWidth="true"/>
    <col min="12" max="12" width="12.33203125" bestFit="true" customWidth="true"/>
    <col min="13" max="13" width="13.5" bestFit="true" customWidth="true"/>
    <col min="14" max="14" width="13.83203125" bestFit="true" customWidth="true"/>
    <col min="15" max="15" width="13.6640625" bestFit="true" customWidth="true"/>
    <col min="16" max="16" width="13.5" bestFit="true" customWidth="true"/>
    <col min="17" max="17" width="12.83203125" bestFit="true" customWidth="true"/>
    <col min="18" max="18" width="14" bestFit="true" customWidth="true"/>
    <col min="19" max="20" width="14.1640625" bestFit="true" customWidth="true"/>
    <col min="21" max="21" width="14" bestFit="true" customWidth="true"/>
    <col min="22" max="22" width="8.6640625" bestFit="true" customWidth="true"/>
    <col min="23" max="23" width="8.83203125" bestFit="true" customWidth="true"/>
    <col min="24" max="24" width="14" bestFit="true" customWidth="true"/>
    <col min="25" max="25" width="21.33203125" style="3" bestFit="true" customWidth="true"/>
    <col min="26" max="26" width="13.6640625" bestFit="true" customWidth="true"/>
    <col min="27" max="27" width="13.83203125" bestFit="true" customWidth="true"/>
    <col min="28" max="28" width="19" bestFit="true" customWidth="true"/>
    <col min="29" max="29" width="26.33203125" style="3" bestFit="true" customWidth="true"/>
    <col min="30" max="30" width="14.1640625" bestFit="true" customWidth="true"/>
    <col min="31" max="31" width="14.33203125" bestFit="true" customWidth="true"/>
    <col min="32" max="32" width="19.5" bestFit="true" customWidth="true"/>
    <col min="33" max="33" width="26.83203125" style="3" bestFit="true" customWidth="true"/>
    <col min="34" max="34" width="24" bestFit="true" customWidth="true"/>
    <col min="35" max="35" width="30" bestFit="true" customWidth="true"/>
    <col min="36" max="36" width="19.1640625" bestFit="true" customWidth="true"/>
    <col min="37" max="37" width="25.5" bestFit="true" customWidth="true"/>
    <col min="38" max="38" width="31.5" bestFit="true" customWidth="true"/>
    <col min="39" max="39" width="20.6640625" bestFit="true" customWidth="true"/>
    <col min="40" max="40" width="25" bestFit="true" customWidth="true"/>
    <col min="41" max="41" width="31" bestFit="true" customWidth="true"/>
    <col min="42" max="42" width="20.1640625" bestFit="true" customWidth="true"/>
  </cols>
  <sheetData>
    <row r="1" s="151" customFormat="true" ht="14" thickBot="true" x14ac:dyDescent="0.2">
      <c r="D1" s="152" t="s">
        <v>8</v>
      </c>
      <c r="E1" s="152" t="s">
        <v>0</v>
      </c>
      <c r="F1" s="153" t="s">
        <v>100</v>
      </c>
      <c r="G1" s="154" t="s">
        <v>85</v>
      </c>
      <c r="H1" s="154" t="s">
        <v>86</v>
      </c>
      <c r="I1" s="154" t="s">
        <v>87</v>
      </c>
      <c r="J1" s="154" t="s">
        <v>88</v>
      </c>
      <c r="K1" s="154" t="s">
        <v>89</v>
      </c>
      <c r="L1" s="155" t="s">
        <v>90</v>
      </c>
      <c r="M1" s="155" t="s">
        <v>94</v>
      </c>
      <c r="N1" s="155" t="s">
        <v>93</v>
      </c>
      <c r="O1" s="155" t="s">
        <v>91</v>
      </c>
      <c r="P1" s="155" t="s">
        <v>92</v>
      </c>
      <c r="Q1" s="156" t="s">
        <v>95</v>
      </c>
      <c r="R1" s="156" t="s">
        <v>96</v>
      </c>
      <c r="S1" s="156" t="s">
        <v>97</v>
      </c>
      <c r="T1" s="156" t="s">
        <v>98</v>
      </c>
      <c r="U1" s="156" t="s">
        <v>99</v>
      </c>
      <c r="V1" s="154" t="s">
        <v>101</v>
      </c>
      <c r="W1" s="154" t="s">
        <v>102</v>
      </c>
      <c r="X1" s="154" t="s">
        <v>103</v>
      </c>
      <c r="Y1" s="154" t="s">
        <v>135</v>
      </c>
      <c r="Z1" s="155" t="s">
        <v>104</v>
      </c>
      <c r="AA1" s="155" t="s">
        <v>105</v>
      </c>
      <c r="AB1" s="155" t="s">
        <v>106</v>
      </c>
      <c r="AC1" s="157" t="s">
        <v>136</v>
      </c>
      <c r="AD1" s="156" t="s">
        <v>107</v>
      </c>
      <c r="AE1" s="156" t="s">
        <v>108</v>
      </c>
      <c r="AF1" s="156" t="s">
        <v>109</v>
      </c>
      <c r="AG1" s="156" t="s">
        <v>137</v>
      </c>
      <c r="AH1" s="154" t="s">
        <v>110</v>
      </c>
      <c r="AI1" s="154" t="s">
        <v>112</v>
      </c>
      <c r="AJ1" s="154" t="s">
        <v>111</v>
      </c>
      <c r="AK1" s="155" t="s">
        <v>116</v>
      </c>
      <c r="AL1" s="155" t="s">
        <v>117</v>
      </c>
      <c r="AM1" s="155" t="s">
        <v>118</v>
      </c>
      <c r="AN1" s="156" t="s">
        <v>113</v>
      </c>
      <c r="AO1" s="156" t="s">
        <v>114</v>
      </c>
      <c r="AP1" s="156" t="s">
        <v>115</v>
      </c>
    </row>
    <row r="2" ht="16" x14ac:dyDescent="0.2">
      <c r="A2" s="158" t="s">
        <v>75</v>
      </c>
      <c r="B2" s="159">
        <v>0.5</v>
      </c>
      <c r="D2">
        <v>1</v>
      </c>
      <c r="E2" s="209" t="s">
        <v>182</v>
      </c>
      <c r="F2" s="160">
        <v>0.995</v>
      </c>
      <c r="G2" s="161">
        <v>0.5</v>
      </c>
      <c r="H2" s="161">
        <v>0.5</v>
      </c>
      <c r="I2" s="161">
        <v>0</v>
      </c>
      <c r="J2" s="161">
        <v>0</v>
      </c>
      <c r="K2" s="161">
        <v>0</v>
      </c>
      <c r="L2">
        <v>42.281318285921003</v>
      </c>
      <c r="Q2">
        <v>114.558440119157</v>
      </c>
    </row>
    <row r="3" ht="16" x14ac:dyDescent="0.2">
      <c r="A3" s="158" t="s">
        <v>76</v>
      </c>
      <c r="B3" s="162">
        <v>1</v>
      </c>
      <c r="D3">
        <v>2</v>
      </c>
      <c r="E3" s="209" t="s">
        <v>183</v>
      </c>
      <c r="F3" s="160">
        <v>0.995</v>
      </c>
      <c r="G3" s="161">
        <v>0.5</v>
      </c>
      <c r="H3" s="161">
        <v>0.5</v>
      </c>
      <c r="I3" s="161">
        <v>0</v>
      </c>
      <c r="J3" s="161">
        <v>0</v>
      </c>
      <c r="K3" s="161">
        <v>0</v>
      </c>
      <c r="L3">
        <v>2.9740429062384202</v>
      </c>
      <c r="Q3">
        <v>8.1615700931237498</v>
      </c>
    </row>
    <row r="4" ht="16" x14ac:dyDescent="0.2">
      <c r="A4" s="158" t="s">
        <v>77</v>
      </c>
      <c r="B4" s="162">
        <v>0</v>
      </c>
      <c r="D4">
        <v>3</v>
      </c>
      <c r="E4" s="209" t="s">
        <v>184</v>
      </c>
      <c r="F4" s="160">
        <v>0.995</v>
      </c>
      <c r="G4" s="161">
        <v>0.5</v>
      </c>
      <c r="H4" s="161">
        <v>0.5</v>
      </c>
      <c r="I4" s="161">
        <v>0.5</v>
      </c>
      <c r="J4" s="161">
        <v>0.5</v>
      </c>
      <c r="K4" s="34">
        <v>0.2</v>
      </c>
      <c r="L4">
        <v>1.8006494049999999</v>
      </c>
      <c r="Q4">
        <v>2.6977700219932501</v>
      </c>
    </row>
    <row r="5" ht="16" x14ac:dyDescent="0.2">
      <c r="A5" s="158" t="s">
        <v>78</v>
      </c>
      <c r="B5" s="162">
        <v>0.5</v>
      </c>
      <c r="D5">
        <v>4</v>
      </c>
      <c r="E5" s="209" t="s">
        <v>185</v>
      </c>
      <c r="F5" s="160">
        <v>0.995</v>
      </c>
      <c r="G5" s="161">
        <v>0.5</v>
      </c>
      <c r="H5" s="161">
        <v>0.5</v>
      </c>
      <c r="I5" s="161">
        <v>0.5</v>
      </c>
      <c r="J5" s="161">
        <v>0.5</v>
      </c>
      <c r="K5" s="34">
        <v>0.2</v>
      </c>
      <c r="L5">
        <v>7.3010502619857798</v>
      </c>
      <c r="Q5">
        <v>10.1392328966114</v>
      </c>
    </row>
    <row r="6" ht="16" x14ac:dyDescent="0.2">
      <c r="A6" s="158" t="s">
        <v>79</v>
      </c>
      <c r="B6" s="162">
        <v>0</v>
      </c>
      <c r="D6">
        <v>5</v>
      </c>
      <c r="E6" s="209" t="s">
        <v>186</v>
      </c>
      <c r="F6" s="160">
        <v>0.995</v>
      </c>
      <c r="G6" s="161">
        <v>0.5</v>
      </c>
      <c r="H6" s="161">
        <v>0.5</v>
      </c>
      <c r="I6" s="161">
        <v>0.5</v>
      </c>
      <c r="J6" s="161">
        <v>0.5</v>
      </c>
      <c r="K6" s="34">
        <v>0.2</v>
      </c>
      <c r="L6">
        <v>11.916110578732299</v>
      </c>
      <c r="Q6">
        <v>17.6429490066621</v>
      </c>
    </row>
    <row r="7" ht="16" x14ac:dyDescent="0.2">
      <c r="A7" s="158" t="s">
        <v>80</v>
      </c>
      <c r="B7" s="162">
        <v>0</v>
      </c>
      <c r="D7">
        <v>6</v>
      </c>
      <c r="E7" s="209" t="s">
        <v>187</v>
      </c>
      <c r="F7" s="160">
        <v>0.995</v>
      </c>
      <c r="G7" s="161">
        <v>0.5</v>
      </c>
      <c r="H7" s="161">
        <v>0.5</v>
      </c>
      <c r="I7" s="161">
        <v>0.5</v>
      </c>
      <c r="J7" s="161">
        <v>0.5</v>
      </c>
      <c r="K7" s="34">
        <v>0.2</v>
      </c>
      <c r="L7">
        <v>2.2807685537352702</v>
      </c>
      <c r="Q7">
        <v>6.6781429371193601</v>
      </c>
    </row>
    <row r="8" ht="16" x14ac:dyDescent="0.2">
      <c r="A8" s="158" t="s">
        <v>81</v>
      </c>
      <c r="B8" s="162">
        <v>0</v>
      </c>
      <c r="D8">
        <v>7</v>
      </c>
      <c r="E8" s="209" t="s">
        <v>188</v>
      </c>
      <c r="F8" s="160">
        <v>0.995</v>
      </c>
      <c r="G8" s="161">
        <v>0.5</v>
      </c>
      <c r="H8" s="161">
        <v>0.5</v>
      </c>
      <c r="I8" s="161">
        <v>0.5</v>
      </c>
      <c r="J8" s="161">
        <v>0.5</v>
      </c>
      <c r="K8" s="34">
        <v>0.2</v>
      </c>
      <c r="L8">
        <v>6.0368204167009596</v>
      </c>
      <c r="Q8">
        <v>9.0668693153090096</v>
      </c>
    </row>
    <row r="9" ht="16" x14ac:dyDescent="0.2">
      <c r="A9" s="158" t="s">
        <v>82</v>
      </c>
      <c r="B9" s="162">
        <v>0.1</v>
      </c>
      <c r="C9" s="149" t="s">
        <v>151</v>
      </c>
      <c r="D9">
        <v>8</v>
      </c>
      <c r="E9" s="209" t="s">
        <v>189</v>
      </c>
      <c r="F9" s="160">
        <v>0.995</v>
      </c>
      <c r="G9" s="161">
        <v>0.5</v>
      </c>
      <c r="H9" s="161">
        <v>0.5</v>
      </c>
      <c r="I9" s="161">
        <v>0.5</v>
      </c>
      <c r="J9" s="161">
        <v>0.5</v>
      </c>
      <c r="K9" s="34">
        <v>0.2</v>
      </c>
      <c r="L9">
        <v>0.93775686462375696</v>
      </c>
      <c r="Q9">
        <v>1.4302447841290999</v>
      </c>
    </row>
    <row r="10" ht="17" thickBot="true" x14ac:dyDescent="0.25">
      <c r="A10" s="158" t="s">
        <v>150</v>
      </c>
      <c r="B10" s="163">
        <f>1/3</f>
        <v>0.33333333333333331</v>
      </c>
      <c r="C10" s="149" t="s">
        <v>151</v>
      </c>
      <c r="D10">
        <v>9</v>
      </c>
      <c r="E10" s="209" t="s">
        <v>190</v>
      </c>
      <c r="F10" s="160">
        <v>0.995</v>
      </c>
      <c r="G10" s="161">
        <v>0.5</v>
      </c>
      <c r="H10" s="161">
        <v>0.5</v>
      </c>
      <c r="I10" s="161">
        <v>0.5</v>
      </c>
      <c r="J10" s="161">
        <v>0.5</v>
      </c>
      <c r="K10" s="34">
        <v>0.2</v>
      </c>
      <c r="L10">
        <v>3.6901933005128802</v>
      </c>
      <c r="Q10">
        <v>7.9232966395940201</v>
      </c>
    </row>
    <row r="11" ht="16" x14ac:dyDescent="0.2">
      <c r="D11">
        <v>10</v>
      </c>
      <c r="E11" s="209" t="s">
        <v>191</v>
      </c>
      <c r="F11" s="160">
        <v>0.995</v>
      </c>
      <c r="G11" s="161">
        <v>0.5</v>
      </c>
      <c r="H11" s="161">
        <v>0.5</v>
      </c>
      <c r="I11" s="161">
        <v>0.5</v>
      </c>
      <c r="J11" s="161">
        <v>0.5</v>
      </c>
      <c r="K11" s="34">
        <v>0.2</v>
      </c>
      <c r="L11">
        <v>0.23243472123346001</v>
      </c>
      <c r="Q11">
        <v>0.54149628682047102</v>
      </c>
    </row>
    <row r="12" ht="16" x14ac:dyDescent="0.2">
      <c r="D12">
        <v>11</v>
      </c>
      <c r="E12" s="209" t="s">
        <v>192</v>
      </c>
      <c r="F12" s="160">
        <v>0.995</v>
      </c>
      <c r="G12" s="161">
        <v>0.5</v>
      </c>
      <c r="H12" s="161">
        <v>0.5</v>
      </c>
      <c r="I12" s="161">
        <v>0.5</v>
      </c>
      <c r="J12" s="161">
        <v>0.5</v>
      </c>
      <c r="K12" s="34">
        <v>0.2</v>
      </c>
      <c r="L12">
        <v>0.21519898930991899</v>
      </c>
      <c r="Q12">
        <v>0.42430110901597401</v>
      </c>
    </row>
    <row r="13" ht="16" x14ac:dyDescent="0.2">
      <c r="D13">
        <v>12</v>
      </c>
      <c r="E13" s="209" t="s">
        <v>193</v>
      </c>
      <c r="F13" s="160">
        <v>0.995</v>
      </c>
      <c r="G13" s="161">
        <v>0.5</v>
      </c>
      <c r="H13" s="161">
        <v>0.5</v>
      </c>
      <c r="I13" s="161">
        <v>0.5</v>
      </c>
      <c r="J13" s="161">
        <v>0.5</v>
      </c>
      <c r="K13" s="34">
        <v>0.2</v>
      </c>
      <c r="L13">
        <v>0.249738937023884</v>
      </c>
      <c r="Q13">
        <v>0.723019551977511</v>
      </c>
    </row>
    <row r="14" ht="16" x14ac:dyDescent="0.2">
      <c r="D14">
        <v>13</v>
      </c>
      <c r="E14" s="209" t="s">
        <v>194</v>
      </c>
      <c r="F14" s="160">
        <v>0.995</v>
      </c>
      <c r="G14" s="161">
        <v>0.5</v>
      </c>
      <c r="H14" s="161">
        <v>0.5</v>
      </c>
      <c r="I14" s="161">
        <v>0.5</v>
      </c>
      <c r="J14" s="161">
        <v>0.5</v>
      </c>
      <c r="K14" s="34">
        <v>0.2</v>
      </c>
      <c r="L14">
        <v>0.84935070190288997</v>
      </c>
      <c r="Q14">
        <v>2.22107806049784</v>
      </c>
    </row>
    <row r="15" ht="16" x14ac:dyDescent="0.2">
      <c r="D15">
        <v>14</v>
      </c>
      <c r="E15" s="209" t="s">
        <v>195</v>
      </c>
      <c r="F15" s="160">
        <v>0.995</v>
      </c>
      <c r="G15" s="161">
        <v>0.5</v>
      </c>
      <c r="H15" s="161">
        <v>0.5</v>
      </c>
      <c r="I15" s="161">
        <v>0.5</v>
      </c>
      <c r="J15" s="161">
        <v>0.5</v>
      </c>
      <c r="K15" s="34">
        <v>0.2</v>
      </c>
      <c r="L15">
        <v>6.7428023478542798</v>
      </c>
      <c r="Q15">
        <v>9.6050656058152004</v>
      </c>
    </row>
    <row r="16" ht="16" x14ac:dyDescent="0.2">
      <c r="D16">
        <v>15</v>
      </c>
      <c r="E16" s="209" t="s">
        <v>196</v>
      </c>
      <c r="F16" s="160">
        <v>0.995</v>
      </c>
      <c r="G16" s="161">
        <v>0.5</v>
      </c>
      <c r="H16" s="161">
        <v>0.5</v>
      </c>
      <c r="I16" s="161">
        <v>0.5</v>
      </c>
      <c r="J16" s="161">
        <v>0.5</v>
      </c>
      <c r="K16" s="34">
        <v>0.2</v>
      </c>
      <c r="L16">
        <v>0.13722408879945799</v>
      </c>
      <c r="Q16">
        <v>0.20876361817987699</v>
      </c>
    </row>
    <row r="17" ht="16" x14ac:dyDescent="0.2">
      <c r="D17">
        <v>16</v>
      </c>
      <c r="E17" s="209" t="s">
        <v>197</v>
      </c>
      <c r="F17" s="160">
        <v>0.995</v>
      </c>
      <c r="G17" s="161">
        <v>0.5</v>
      </c>
      <c r="H17" s="161">
        <v>0.5</v>
      </c>
      <c r="I17" s="161">
        <v>0.5</v>
      </c>
      <c r="J17" s="161">
        <v>0.5</v>
      </c>
      <c r="K17" s="34">
        <v>0.2</v>
      </c>
      <c r="L17">
        <v>9.5066644422379498E-2</v>
      </c>
      <c r="Q17">
        <v>0.186775694356483</v>
      </c>
    </row>
    <row r="18" ht="16" x14ac:dyDescent="0.2">
      <c r="D18">
        <v>17</v>
      </c>
      <c r="E18" s="209" t="s">
        <v>198</v>
      </c>
      <c r="F18" s="160">
        <v>0.995</v>
      </c>
      <c r="G18" s="161">
        <v>0.5</v>
      </c>
      <c r="H18" s="161">
        <v>0.5</v>
      </c>
      <c r="I18" s="161">
        <v>0.5</v>
      </c>
      <c r="J18" s="161">
        <v>0.5</v>
      </c>
      <c r="K18" s="34">
        <v>0.2</v>
      </c>
      <c r="L18">
        <v>0.98720900002247503</v>
      </c>
      <c r="Q18">
        <v>1.7076113781161499</v>
      </c>
    </row>
    <row r="19" ht="16" x14ac:dyDescent="0.2">
      <c r="D19">
        <v>18</v>
      </c>
      <c r="E19" s="209" t="s">
        <v>199</v>
      </c>
      <c r="F19" s="160">
        <v>0.995</v>
      </c>
      <c r="G19" s="161">
        <v>0.5</v>
      </c>
      <c r="H19" s="161">
        <v>0.5</v>
      </c>
      <c r="I19" s="161">
        <v>0.5</v>
      </c>
      <c r="J19" s="161">
        <v>0.5</v>
      </c>
      <c r="K19" s="34">
        <v>0.2</v>
      </c>
      <c r="L19">
        <v>0.41781232119345801</v>
      </c>
      <c r="Q19">
        <v>0.727935414549718</v>
      </c>
    </row>
    <row r="20" ht="16" x14ac:dyDescent="0.2">
      <c r="D20">
        <v>19</v>
      </c>
      <c r="E20" s="209" t="s">
        <v>200</v>
      </c>
      <c r="F20" s="160">
        <v>0.995</v>
      </c>
      <c r="G20" s="161">
        <v>0.5</v>
      </c>
      <c r="H20" s="161">
        <v>0.5</v>
      </c>
      <c r="I20" s="161">
        <v>0.5</v>
      </c>
      <c r="J20" s="161">
        <v>0.5</v>
      </c>
      <c r="K20" s="34">
        <v>0.2</v>
      </c>
      <c r="L20">
        <v>0.54732050615670702</v>
      </c>
      <c r="Q20">
        <v>1.0381373023204301</v>
      </c>
    </row>
    <row r="21" ht="16" x14ac:dyDescent="0.2">
      <c r="D21">
        <v>20</v>
      </c>
      <c r="E21" s="209" t="s">
        <v>201</v>
      </c>
      <c r="F21" s="160">
        <v>0.995</v>
      </c>
      <c r="G21" s="161">
        <v>0.5</v>
      </c>
      <c r="H21" s="161">
        <v>0.5</v>
      </c>
      <c r="I21" s="161">
        <v>0.5</v>
      </c>
      <c r="J21" s="161">
        <v>0.5</v>
      </c>
      <c r="K21" s="34">
        <v>0.2</v>
      </c>
      <c r="L21">
        <v>1.16818910888429</v>
      </c>
      <c r="Q21">
        <v>1.56391266291025</v>
      </c>
    </row>
    <row r="22" ht="16" x14ac:dyDescent="0.2">
      <c r="D22">
        <v>21</v>
      </c>
      <c r="E22" s="209" t="s">
        <v>202</v>
      </c>
      <c r="F22" s="160">
        <v>0.995</v>
      </c>
      <c r="G22" s="161">
        <v>0.5</v>
      </c>
      <c r="H22" s="161">
        <v>0.5</v>
      </c>
      <c r="I22" s="161">
        <v>0.5</v>
      </c>
      <c r="J22" s="161">
        <v>0.5</v>
      </c>
      <c r="K22" s="34">
        <v>0.2</v>
      </c>
      <c r="L22">
        <v>0.75097040099744405</v>
      </c>
      <c r="Q22">
        <v>0.970626259304598</v>
      </c>
    </row>
    <row r="23" ht="16" x14ac:dyDescent="0.2">
      <c r="D23">
        <v>22</v>
      </c>
      <c r="E23" s="209" t="s">
        <v>203</v>
      </c>
      <c r="F23" s="160">
        <v>0.995</v>
      </c>
      <c r="G23" s="161">
        <v>0.5</v>
      </c>
      <c r="H23" s="161">
        <v>0.5</v>
      </c>
      <c r="I23" s="161">
        <v>0.5</v>
      </c>
      <c r="J23" s="161">
        <v>0.5</v>
      </c>
      <c r="K23" s="34">
        <v>0.2</v>
      </c>
      <c r="L23">
        <v>1.40257016362289</v>
      </c>
      <c r="Q23">
        <v>2.12818872167355</v>
      </c>
    </row>
    <row r="24" ht="16" x14ac:dyDescent="0.2">
      <c r="D24">
        <v>23</v>
      </c>
      <c r="E24" s="209" t="s">
        <v>204</v>
      </c>
      <c r="F24" s="160">
        <v>0.995</v>
      </c>
      <c r="G24" s="161">
        <v>0.5</v>
      </c>
      <c r="H24" s="161">
        <v>0.5</v>
      </c>
      <c r="I24" s="161">
        <v>0.5</v>
      </c>
      <c r="J24" s="161">
        <v>0.5</v>
      </c>
      <c r="K24" s="34">
        <v>0.2</v>
      </c>
      <c r="L24">
        <v>2.9719546335419098</v>
      </c>
      <c r="Q24">
        <v>4.5218354929307498</v>
      </c>
    </row>
    <row r="25" ht="16" x14ac:dyDescent="0.2">
      <c r="D25">
        <f>D24+1</f>
        <v>24</v>
      </c>
      <c r="E25" s="209" t="s">
        <v>205</v>
      </c>
      <c r="F25" s="160">
        <v>0.995</v>
      </c>
      <c r="G25" s="161">
        <v>0.5</v>
      </c>
      <c r="H25" s="161">
        <v>0.5</v>
      </c>
      <c r="I25" s="161">
        <v>0.5</v>
      </c>
      <c r="J25" s="161">
        <v>0.5</v>
      </c>
      <c r="K25" s="34">
        <v>0.2</v>
      </c>
      <c r="L25">
        <v>0.36044175460721301</v>
      </c>
      <c r="Q25">
        <v>0.67263130107603797</v>
      </c>
      <c r="V25" s="160"/>
      <c r="W25" s="160"/>
      <c r="Y25"/>
      <c r="AC25"/>
      <c r="AG25"/>
    </row>
    <row r="26" ht="16" x14ac:dyDescent="0.2">
      <c r="D26">
        <f t="shared" ref="D26:D34" si="0">D25+1</f>
        <v>25</v>
      </c>
      <c r="E26" s="209" t="s">
        <v>206</v>
      </c>
      <c r="F26" s="160">
        <v>0.995</v>
      </c>
      <c r="G26" s="161">
        <v>0.5</v>
      </c>
      <c r="H26" s="161">
        <v>0.5</v>
      </c>
      <c r="I26" s="161">
        <v>0.5</v>
      </c>
      <c r="J26" s="161">
        <v>0.5</v>
      </c>
      <c r="K26" s="34">
        <v>0.2</v>
      </c>
      <c r="L26">
        <v>0.45715567884331099</v>
      </c>
      <c r="Q26">
        <v>1.09005087587703</v>
      </c>
      <c r="V26" s="160"/>
      <c r="W26" s="160"/>
      <c r="Y26"/>
      <c r="AC26"/>
      <c r="AG26"/>
    </row>
    <row r="27" ht="16" x14ac:dyDescent="0.2">
      <c r="D27">
        <f t="shared" si="0"/>
        <v>26</v>
      </c>
      <c r="E27" s="209" t="s">
        <v>207</v>
      </c>
      <c r="F27" s="160">
        <v>0.995</v>
      </c>
      <c r="G27" s="161">
        <v>0.5</v>
      </c>
      <c r="H27" s="161">
        <v>0.5</v>
      </c>
      <c r="I27" s="161">
        <v>0.5</v>
      </c>
      <c r="J27" s="161">
        <v>0.5</v>
      </c>
      <c r="K27" s="34">
        <v>0.2</v>
      </c>
      <c r="L27">
        <v>2.2524224533395799E-2</v>
      </c>
      <c r="Q27">
        <v>4.5506138220801101E-2</v>
      </c>
      <c r="Y27"/>
      <c r="AC27"/>
      <c r="AG27"/>
    </row>
    <row r="28" ht="16" x14ac:dyDescent="0.2">
      <c r="D28">
        <f t="shared" si="0"/>
        <v>27</v>
      </c>
      <c r="E28" s="209" t="s">
        <v>208</v>
      </c>
      <c r="F28" s="160">
        <v>0.995</v>
      </c>
      <c r="G28" s="161">
        <v>0.5</v>
      </c>
      <c r="H28" s="161">
        <v>0.5</v>
      </c>
      <c r="I28" s="161">
        <v>0.5</v>
      </c>
      <c r="J28" s="161">
        <v>0.5</v>
      </c>
      <c r="K28" s="34">
        <v>0.2</v>
      </c>
      <c r="L28">
        <v>6.7068740209269201E-2</v>
      </c>
      <c r="Q28">
        <v>0.15200791232062499</v>
      </c>
      <c r="Y28"/>
      <c r="AC28"/>
      <c r="AG28"/>
    </row>
    <row r="29" ht="16" x14ac:dyDescent="0.2">
      <c r="D29">
        <f t="shared" si="0"/>
        <v>28</v>
      </c>
      <c r="E29" s="209" t="s">
        <v>209</v>
      </c>
      <c r="F29" s="160">
        <v>0.995</v>
      </c>
      <c r="G29" s="161">
        <v>0.5</v>
      </c>
      <c r="H29" s="161">
        <v>0.5</v>
      </c>
      <c r="I29" s="161">
        <v>0.5</v>
      </c>
      <c r="J29" s="161">
        <v>0.5</v>
      </c>
      <c r="K29" s="34">
        <v>0.2</v>
      </c>
      <c r="L29">
        <v>4.5410695297424898E-2</v>
      </c>
      <c r="Q29">
        <v>0.105736560117967</v>
      </c>
      <c r="Y29"/>
      <c r="AC29"/>
      <c r="AG29"/>
    </row>
    <row r="30" ht="16" x14ac:dyDescent="0.2">
      <c r="D30">
        <f t="shared" si="0"/>
        <v>29</v>
      </c>
      <c r="E30" s="209" t="s">
        <v>175</v>
      </c>
      <c r="F30" s="160">
        <v>0.995</v>
      </c>
      <c r="G30" s="161">
        <v>0.5</v>
      </c>
      <c r="H30" s="161">
        <v>0.5</v>
      </c>
      <c r="I30" s="161">
        <v>0.5</v>
      </c>
      <c r="J30" s="161">
        <v>0.5</v>
      </c>
      <c r="K30" s="34">
        <v>0.2</v>
      </c>
      <c r="L30">
        <v>7.6729255959553204E-3</v>
      </c>
      <c r="Q30">
        <v>2.05272574192767E-2</v>
      </c>
      <c r="Y30"/>
      <c r="AC30"/>
      <c r="AG30"/>
    </row>
    <row r="31" ht="16" x14ac:dyDescent="0.2">
      <c r="D31">
        <f t="shared" si="0"/>
        <v>30</v>
      </c>
      <c r="E31" s="209" t="s">
        <v>210</v>
      </c>
      <c r="F31" s="160">
        <v>0.995</v>
      </c>
      <c r="G31" s="161">
        <v>0.5</v>
      </c>
      <c r="H31" s="161">
        <v>0.5</v>
      </c>
      <c r="I31" s="161">
        <v>0.5</v>
      </c>
      <c r="J31" s="161">
        <v>0.5</v>
      </c>
      <c r="K31" s="34">
        <v>0.2</v>
      </c>
      <c r="L31">
        <v>9.5180563760993806</v>
      </c>
      <c r="Q31">
        <v>15.2710994552065</v>
      </c>
      <c r="Y31"/>
      <c r="AC31"/>
      <c r="AG31"/>
    </row>
    <row r="32" ht="16" x14ac:dyDescent="0.2">
      <c r="D32">
        <f t="shared" si="0"/>
        <v>31</v>
      </c>
      <c r="E32" s="209" t="s">
        <v>211</v>
      </c>
      <c r="F32" s="160">
        <v>0.995</v>
      </c>
      <c r="G32" s="161">
        <v>0.5</v>
      </c>
      <c r="H32" s="161">
        <v>0.5</v>
      </c>
      <c r="I32" s="161">
        <v>0.5</v>
      </c>
      <c r="J32" s="161">
        <v>0.5</v>
      </c>
      <c r="K32" s="34">
        <v>0.2</v>
      </c>
      <c r="L32">
        <v>38.254266324291102</v>
      </c>
      <c r="Q32">
        <v>61.501875949323299</v>
      </c>
      <c r="Y32"/>
      <c r="AC32"/>
      <c r="AG32"/>
    </row>
    <row r="33" ht="16" x14ac:dyDescent="0.2">
      <c r="D33">
        <f t="shared" si="0"/>
        <v>32</v>
      </c>
      <c r="E33" s="209" t="s">
        <v>212</v>
      </c>
      <c r="F33" s="160">
        <v>0.995</v>
      </c>
      <c r="G33" s="161">
        <v>0.5</v>
      </c>
      <c r="H33" s="161">
        <v>0</v>
      </c>
      <c r="I33" s="161">
        <v>0</v>
      </c>
      <c r="J33" s="161">
        <v>0</v>
      </c>
      <c r="K33" s="34">
        <v>0</v>
      </c>
      <c r="L33">
        <v>5.0548547584415102</v>
      </c>
      <c r="Q33">
        <v>14.277491465233499</v>
      </c>
      <c r="Y33"/>
      <c r="AC33"/>
      <c r="AG33"/>
    </row>
    <row r="34" ht="16" x14ac:dyDescent="0.2">
      <c r="D34">
        <f t="shared" si="0"/>
        <v>33</v>
      </c>
      <c r="E34" s="209" t="s">
        <v>178</v>
      </c>
      <c r="F34" s="160">
        <v>0.995</v>
      </c>
      <c r="G34" s="161">
        <v>0.5</v>
      </c>
      <c r="H34" s="161">
        <v>0</v>
      </c>
      <c r="I34" s="161">
        <v>0</v>
      </c>
      <c r="J34" s="161">
        <v>0</v>
      </c>
      <c r="K34" s="34">
        <v>0</v>
      </c>
      <c r="L34">
        <v>20.3212191204127</v>
      </c>
      <c r="Q34">
        <v>57.717203259948299</v>
      </c>
      <c r="Y34"/>
      <c r="AC34"/>
      <c r="AG34"/>
    </row>
    <row r="35" ht="15" x14ac:dyDescent="0.15">
      <c r="E35" s="141"/>
      <c r="F35" s="160"/>
      <c r="G35" s="161"/>
      <c r="H35" s="161"/>
      <c r="I35" s="161"/>
      <c r="J35" s="161"/>
      <c r="K35" s="34"/>
      <c r="Y35"/>
      <c r="AC35"/>
      <c r="AG35"/>
    </row>
    <row r="36" ht="15" x14ac:dyDescent="0.15">
      <c r="E36" s="141"/>
      <c r="F36" s="160"/>
      <c r="G36" s="161"/>
      <c r="H36" s="161"/>
      <c r="I36" s="161"/>
      <c r="J36" s="161"/>
      <c r="K36" s="34"/>
      <c r="Y36"/>
      <c r="AC36"/>
      <c r="AG36"/>
    </row>
    <row r="37" ht="15" x14ac:dyDescent="0.15">
      <c r="F37" s="160"/>
      <c r="G37" s="164"/>
      <c r="H37" s="164"/>
      <c r="I37" s="164"/>
    </row>
    <row r="38" ht="15" x14ac:dyDescent="0.15">
      <c r="E38" s="141"/>
      <c r="F38" s="160"/>
      <c r="G38" s="161"/>
      <c r="H38" s="161"/>
      <c r="I38" s="161"/>
      <c r="J38" s="161"/>
      <c r="K38" s="161"/>
      <c r="Y38"/>
      <c r="AC38"/>
      <c r="AG38"/>
    </row>
    <row r="39" ht="15" x14ac:dyDescent="0.15">
      <c r="E39" s="141"/>
      <c r="F39" s="160"/>
      <c r="G39" s="161"/>
      <c r="H39" s="161"/>
      <c r="I39" s="161"/>
      <c r="J39" s="161"/>
      <c r="K39" s="161"/>
      <c r="Y39"/>
      <c r="AC39"/>
      <c r="AG39"/>
    </row>
    <row r="40" x14ac:dyDescent="0.15">
      <c r="Y40"/>
      <c r="AC40"/>
      <c r="AG40"/>
    </row>
    <row r="41" x14ac:dyDescent="0.15">
      <c r="Y41"/>
      <c r="AC41"/>
      <c r="AG41"/>
    </row>
    <row r="42" x14ac:dyDescent="0.15">
      <c r="Y42"/>
      <c r="AC42"/>
      <c r="AG42"/>
    </row>
    <row r="43" x14ac:dyDescent="0.15">
      <c r="Y43"/>
      <c r="AC43"/>
      <c r="AG43"/>
    </row>
    <row r="44" x14ac:dyDescent="0.15">
      <c r="Y44"/>
      <c r="AC44"/>
      <c r="AG44"/>
    </row>
    <row r="45" x14ac:dyDescent="0.15">
      <c r="Y45"/>
      <c r="AC45"/>
      <c r="AG45"/>
    </row>
    <row r="46" x14ac:dyDescent="0.15">
      <c r="Y46"/>
      <c r="AC46"/>
      <c r="AG46"/>
    </row>
    <row r="47" x14ac:dyDescent="0.15">
      <c r="Y47"/>
      <c r="AC47"/>
      <c r="AG47"/>
    </row>
    <row r="48" x14ac:dyDescent="0.15">
      <c r="Y48"/>
      <c r="AC48"/>
      <c r="AG48"/>
    </row>
    <row r="49" x14ac:dyDescent="0.15">
      <c r="J49"/>
      <c r="K49"/>
      <c r="Y49"/>
      <c r="AC49"/>
      <c r="AG49"/>
    </row>
    <row r="50" x14ac:dyDescent="0.15">
      <c r="J50"/>
      <c r="K50"/>
      <c r="Y50"/>
      <c r="AC50"/>
      <c r="AG50"/>
    </row>
    <row r="51" x14ac:dyDescent="0.15">
      <c r="J51"/>
      <c r="K51"/>
      <c r="Y51"/>
      <c r="AC51"/>
      <c r="AG51"/>
    </row>
    <row r="52" x14ac:dyDescent="0.15">
      <c r="J52"/>
      <c r="K52"/>
      <c r="Y52"/>
      <c r="AC52"/>
      <c r="AG52"/>
    </row>
    <row r="53" x14ac:dyDescent="0.15">
      <c r="J53"/>
      <c r="K53"/>
      <c r="Y53"/>
      <c r="AC53"/>
      <c r="AG53"/>
    </row>
    <row r="54" x14ac:dyDescent="0.15">
      <c r="J54"/>
      <c r="K54"/>
      <c r="Y54"/>
      <c r="AC54"/>
      <c r="AG54"/>
    </row>
    <row r="55" x14ac:dyDescent="0.15">
      <c r="J55"/>
      <c r="K55"/>
      <c r="Y55"/>
      <c r="AC55"/>
      <c r="AG55"/>
    </row>
    <row r="56" x14ac:dyDescent="0.15">
      <c r="J56"/>
      <c r="K56"/>
      <c r="Y56"/>
      <c r="AC56"/>
      <c r="AG56"/>
    </row>
    <row r="57" x14ac:dyDescent="0.15">
      <c r="J57"/>
      <c r="K57"/>
      <c r="Y57"/>
      <c r="AC57"/>
      <c r="AG57"/>
    </row>
    <row r="58" x14ac:dyDescent="0.15">
      <c r="J58"/>
      <c r="K58"/>
      <c r="Y58"/>
      <c r="AC58"/>
      <c r="AG58"/>
    </row>
    <row r="59" x14ac:dyDescent="0.15">
      <c r="J59"/>
      <c r="K59"/>
      <c r="Y59"/>
      <c r="AC59"/>
      <c r="AG59"/>
    </row>
    <row r="60" x14ac:dyDescent="0.15">
      <c r="J60"/>
      <c r="K60"/>
      <c r="Y60"/>
      <c r="AC60"/>
      <c r="AG60"/>
    </row>
    <row r="61" x14ac:dyDescent="0.15">
      <c r="J61"/>
      <c r="K61"/>
      <c r="Y61"/>
      <c r="AC61"/>
      <c r="AG61"/>
    </row>
    <row r="62" x14ac:dyDescent="0.15">
      <c r="J62"/>
      <c r="K62"/>
      <c r="Y62"/>
      <c r="AC62"/>
      <c r="AG62"/>
    </row>
    <row r="63" x14ac:dyDescent="0.15">
      <c r="J63"/>
      <c r="K63"/>
      <c r="Y63"/>
      <c r="AC63"/>
      <c r="AG63"/>
    </row>
    <row r="64" x14ac:dyDescent="0.15">
      <c r="J64"/>
      <c r="K64"/>
      <c r="Y64"/>
      <c r="AC64"/>
      <c r="AG64"/>
    </row>
    <row r="65" x14ac:dyDescent="0.15">
      <c r="J65"/>
      <c r="K65"/>
      <c r="Y65"/>
      <c r="AC65"/>
      <c r="AG65"/>
    </row>
    <row r="66" x14ac:dyDescent="0.15">
      <c r="J66"/>
      <c r="K66"/>
      <c r="Y66"/>
      <c r="AC66"/>
      <c r="AG66"/>
    </row>
    <row r="67" x14ac:dyDescent="0.15">
      <c r="J67"/>
      <c r="K67"/>
      <c r="Y67"/>
      <c r="AC67"/>
      <c r="AG67"/>
    </row>
    <row r="68" x14ac:dyDescent="0.15">
      <c r="J68"/>
      <c r="K68"/>
      <c r="Y68"/>
      <c r="AC68"/>
      <c r="AG68"/>
    </row>
    <row r="69" x14ac:dyDescent="0.15">
      <c r="J69"/>
      <c r="K69"/>
      <c r="Y69"/>
      <c r="AC69"/>
      <c r="AG69"/>
    </row>
    <row r="70" x14ac:dyDescent="0.15">
      <c r="J70"/>
      <c r="K70"/>
      <c r="Y70"/>
      <c r="AC70"/>
      <c r="AG70"/>
    </row>
    <row r="71" x14ac:dyDescent="0.15">
      <c r="J71"/>
      <c r="K71"/>
      <c r="Y71"/>
      <c r="AC71"/>
      <c r="AG71"/>
    </row>
    <row r="72" x14ac:dyDescent="0.15">
      <c r="J72"/>
      <c r="K72"/>
      <c r="Y72"/>
      <c r="AC72"/>
      <c r="AG72"/>
    </row>
    <row r="73" x14ac:dyDescent="0.15">
      <c r="J73"/>
      <c r="K73"/>
      <c r="Y73"/>
      <c r="AC73"/>
      <c r="AG73"/>
    </row>
    <row r="85" ht="15" customHeight="true" x14ac:dyDescent="0.15"/>
    <row r="86" ht="15" customHeight="true" x14ac:dyDescent="0.15"/>
    <row r="87" ht="15" customHeight="true" x14ac:dyDescent="0.15"/>
    <row r="88" ht="15" customHeight="true" x14ac:dyDescent="0.15"/>
    <row r="89" ht="15" customHeight="true" x14ac:dyDescent="0.15"/>
    <row r="90" ht="15" customHeight="true" x14ac:dyDescent="0.15"/>
    <row r="91" ht="15" customHeight="true" x14ac:dyDescent="0.15"/>
    <row r="92" ht="15" customHeight="true" x14ac:dyDescent="0.15"/>
    <row r="93" ht="15" customHeight="true" x14ac:dyDescent="0.15"/>
    <row r="94" ht="15" customHeight="true" x14ac:dyDescent="0.15"/>
    <row r="95" ht="15" customHeight="true" x14ac:dyDescent="0.15"/>
    <row r="96" ht="15" customHeight="true" x14ac:dyDescent="0.15"/>
    <row r="97" ht="15" customHeight="true" x14ac:dyDescent="0.15"/>
    <row r="98" ht="15" customHeight="true" x14ac:dyDescent="0.15"/>
    <row r="99" ht="15" customHeight="true" x14ac:dyDescent="0.15"/>
    <row r="100" ht="15" customHeight="true" x14ac:dyDescent="0.15"/>
    <row r="101" ht="15" customHeight="true" x14ac:dyDescent="0.15"/>
    <row r="102" ht="15" customHeight="true" x14ac:dyDescent="0.15"/>
    <row r="103" ht="15" customHeight="true" x14ac:dyDescent="0.15"/>
    <row r="104" ht="15" customHeight="true" x14ac:dyDescent="0.15"/>
    <row r="105" ht="15" customHeight="true" x14ac:dyDescent="0.15"/>
    <row r="106" ht="15" customHeight="true" x14ac:dyDescent="0.15"/>
    <row r="107" ht="15" customHeight="true" x14ac:dyDescent="0.15"/>
    <row r="108" ht="15" customHeight="true" x14ac:dyDescent="0.15"/>
    <row r="109" ht="15" customHeight="true" x14ac:dyDescent="0.15"/>
    <row r="110" ht="15" customHeight="true" x14ac:dyDescent="0.15"/>
    <row r="111" ht="15" customHeight="true" x14ac:dyDescent="0.15"/>
    <row r="112" ht="15" customHeight="true" x14ac:dyDescent="0.15"/>
    <row r="113" ht="15" customHeight="true" x14ac:dyDescent="0.15"/>
    <row r="114" ht="15" customHeight="true" x14ac:dyDescent="0.15"/>
    <row r="115" ht="15" customHeight="true" x14ac:dyDescent="0.15"/>
    <row r="116" ht="15" customHeight="true" x14ac:dyDescent="0.15"/>
    <row r="117" ht="15" customHeight="true" x14ac:dyDescent="0.15"/>
    <row r="118" ht="15" customHeight="true" x14ac:dyDescent="0.15"/>
    <row r="119" ht="15" customHeight="true" x14ac:dyDescent="0.15"/>
    <row r="120" ht="15" customHeight="true" x14ac:dyDescent="0.15"/>
    <row r="121" ht="15" customHeight="true" x14ac:dyDescent="0.15"/>
    <row r="122" ht="15" customHeight="true" x14ac:dyDescent="0.15"/>
    <row r="123" ht="15" customHeight="true" x14ac:dyDescent="0.15"/>
    <row r="124" ht="15" customHeight="true" x14ac:dyDescent="0.15"/>
    <row r="125" ht="15" customHeight="true" x14ac:dyDescent="0.15"/>
    <row r="126" ht="15" customHeight="true" x14ac:dyDescent="0.15"/>
    <row r="127" ht="15" customHeight="true" x14ac:dyDescent="0.15"/>
    <row r="128" ht="15" customHeight="true" x14ac:dyDescent="0.15"/>
    <row r="129" ht="15" customHeight="true" x14ac:dyDescent="0.15"/>
    <row r="130" ht="15" customHeight="true" x14ac:dyDescent="0.15"/>
    <row r="131" ht="15" customHeight="true" x14ac:dyDescent="0.15"/>
    <row r="132" ht="15" customHeight="true" x14ac:dyDescent="0.15"/>
    <row r="133" ht="15" customHeight="true" x14ac:dyDescent="0.15"/>
    <row r="134" ht="15" customHeight="true" x14ac:dyDescent="0.15"/>
    <row r="135" ht="15" customHeight="true" x14ac:dyDescent="0.15"/>
    <row r="136" ht="15" customHeight="true" x14ac:dyDescent="0.15"/>
    <row r="137" ht="15" customHeight="true" x14ac:dyDescent="0.15"/>
    <row r="138" ht="15" customHeight="true" x14ac:dyDescent="0.15"/>
    <row r="139" ht="15" customHeight="true" x14ac:dyDescent="0.15"/>
    <row r="140" ht="15" customHeight="true" x14ac:dyDescent="0.15"/>
    <row r="141" ht="15" customHeight="true" x14ac:dyDescent="0.15"/>
    <row r="142" ht="15" customHeight="true" x14ac:dyDescent="0.15"/>
    <row r="143" ht="15" customHeight="true" x14ac:dyDescent="0.15"/>
    <row r="144" ht="15" customHeight="true" x14ac:dyDescent="0.15"/>
    <row r="145" ht="15" customHeight="true" x14ac:dyDescent="0.15"/>
    <row r="146" ht="15" customHeight="true" x14ac:dyDescent="0.15"/>
    <row r="147" ht="15" customHeight="true" x14ac:dyDescent="0.15"/>
    <row r="148" ht="15" customHeight="true" x14ac:dyDescent="0.15"/>
    <row r="149" ht="15" customHeight="true" x14ac:dyDescent="0.15"/>
    <row r="150" ht="15" customHeight="true" x14ac:dyDescent="0.15"/>
    <row r="151" ht="15" customHeight="true" x14ac:dyDescent="0.15"/>
    <row r="152" ht="15" customHeight="true" x14ac:dyDescent="0.15"/>
    <row r="153" ht="15" customHeight="true" x14ac:dyDescent="0.15"/>
    <row r="154" ht="15" customHeight="true" x14ac:dyDescent="0.15"/>
    <row r="155" ht="15" customHeight="true" x14ac:dyDescent="0.15"/>
    <row r="156" ht="15" customHeight="true" x14ac:dyDescent="0.15"/>
    <row r="157" ht="15" customHeight="true" x14ac:dyDescent="0.15"/>
    <row r="158" ht="15" customHeight="true" x14ac:dyDescent="0.15"/>
    <row r="159" ht="15" customHeight="true" x14ac:dyDescent="0.15"/>
    <row r="160" ht="15" customHeight="true" x14ac:dyDescent="0.15"/>
    <row r="161" ht="15" customHeight="true" x14ac:dyDescent="0.15"/>
    <row r="162" ht="15" customHeight="true" x14ac:dyDescent="0.15"/>
    <row r="163" ht="15" customHeight="true" x14ac:dyDescent="0.15"/>
    <row r="164" ht="15" customHeight="true" x14ac:dyDescent="0.15"/>
    <row r="165" ht="15" customHeight="true" x14ac:dyDescent="0.15"/>
    <row r="166" ht="15" customHeight="true" x14ac:dyDescent="0.15"/>
    <row r="167" ht="15" customHeight="true" x14ac:dyDescent="0.15"/>
    <row r="168" ht="15" customHeight="true" x14ac:dyDescent="0.15"/>
    <row r="169" ht="15" customHeight="true" x14ac:dyDescent="0.15"/>
    <row r="170" ht="15" customHeight="true" x14ac:dyDescent="0.15"/>
    <row r="171" ht="15" customHeight="true" x14ac:dyDescent="0.15"/>
    <row r="172" ht="15" customHeight="true" x14ac:dyDescent="0.15"/>
    <row r="173" ht="15" customHeight="true" x14ac:dyDescent="0.15"/>
    <row r="174" ht="15" customHeight="true" x14ac:dyDescent="0.15"/>
    <row r="175" ht="15" customHeight="true" x14ac:dyDescent="0.15"/>
    <row r="176" ht="15" customHeight="true" x14ac:dyDescent="0.15"/>
    <row r="177" ht="15" customHeight="true" x14ac:dyDescent="0.15"/>
    <row r="178" ht="15" customHeight="true" x14ac:dyDescent="0.15"/>
    <row r="179" ht="15" customHeight="true" x14ac:dyDescent="0.15"/>
    <row r="180" ht="15" customHeight="true" x14ac:dyDescent="0.15"/>
    <row r="181" ht="15" customHeight="true" x14ac:dyDescent="0.15"/>
    <row r="182" ht="15" customHeight="true" x14ac:dyDescent="0.15"/>
    <row r="183" ht="15" customHeight="true" x14ac:dyDescent="0.15"/>
    <row r="184" ht="15" customHeight="true" x14ac:dyDescent="0.15"/>
    <row r="185" ht="15" customHeight="true" x14ac:dyDescent="0.15"/>
    <row r="186" ht="15" customHeight="true" x14ac:dyDescent="0.15"/>
    <row r="187" ht="15" customHeight="true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H52"/>
  <sheetViews>
    <sheetView workbookViewId="0">
      <selection activeCell="A6" sqref="A6"/>
    </sheetView>
  </sheetViews>
  <sheetFormatPr baseColWidth="10" defaultColWidth="8.83203125" defaultRowHeight="13" x14ac:dyDescent="0.15"/>
  <cols>
    <col min="1" max="1" width="27.6640625" bestFit="true" customWidth="true"/>
  </cols>
  <sheetData>
    <row r="1" ht="16" x14ac:dyDescent="0.2">
      <c r="A1" s="2" t="s">
        <v>119</v>
      </c>
      <c r="B1" s="209" t="s">
        <v>182</v>
      </c>
      <c r="C1" s="209" t="s">
        <v>183</v>
      </c>
      <c r="D1" s="209" t="s">
        <v>184</v>
      </c>
      <c r="E1" s="209" t="s">
        <v>185</v>
      </c>
      <c r="F1" s="209" t="s">
        <v>186</v>
      </c>
      <c r="G1" s="209" t="s">
        <v>187</v>
      </c>
      <c r="H1" s="209" t="s">
        <v>188</v>
      </c>
      <c r="I1" s="209" t="s">
        <v>189</v>
      </c>
      <c r="J1" s="209" t="s">
        <v>190</v>
      </c>
      <c r="K1" s="209" t="s">
        <v>191</v>
      </c>
      <c r="L1" s="209" t="s">
        <v>192</v>
      </c>
      <c r="M1" s="209" t="s">
        <v>193</v>
      </c>
      <c r="N1" s="209" t="s">
        <v>194</v>
      </c>
      <c r="O1" s="209" t="s">
        <v>195</v>
      </c>
      <c r="P1" s="209" t="s">
        <v>196</v>
      </c>
      <c r="Q1" s="209" t="s">
        <v>197</v>
      </c>
      <c r="R1" s="209" t="s">
        <v>198</v>
      </c>
      <c r="S1" s="209" t="s">
        <v>199</v>
      </c>
      <c r="T1" s="209" t="s">
        <v>200</v>
      </c>
      <c r="U1" s="209" t="s">
        <v>201</v>
      </c>
      <c r="V1" s="209" t="s">
        <v>202</v>
      </c>
      <c r="W1" s="209" t="s">
        <v>203</v>
      </c>
      <c r="X1" s="209" t="s">
        <v>204</v>
      </c>
      <c r="Y1" s="209" t="s">
        <v>205</v>
      </c>
      <c r="Z1" s="209" t="s">
        <v>206</v>
      </c>
      <c r="AA1" s="209" t="s">
        <v>207</v>
      </c>
      <c r="AB1" s="209" t="s">
        <v>208</v>
      </c>
      <c r="AC1" s="209" t="s">
        <v>209</v>
      </c>
      <c r="AD1" s="209" t="s">
        <v>175</v>
      </c>
      <c r="AE1" s="209" t="s">
        <v>210</v>
      </c>
      <c r="AF1" s="209" t="s">
        <v>211</v>
      </c>
      <c r="AG1" s="209" t="s">
        <v>212</v>
      </c>
      <c r="AH1" s="209" t="s">
        <v>178</v>
      </c>
    </row>
    <row r="2" ht="16" x14ac:dyDescent="0.2">
      <c r="A2" s="209" t="s">
        <v>182</v>
      </c>
      <c r="B2" s="3">
        <v>0.7</v>
      </c>
      <c r="C2" s="3">
        <v>0.7</v>
      </c>
      <c r="D2" s="3">
        <v>0.7</v>
      </c>
      <c r="E2" s="3">
        <v>0.7</v>
      </c>
      <c r="F2" s="3">
        <v>0.7</v>
      </c>
      <c r="G2" s="3">
        <v>0.7</v>
      </c>
      <c r="H2" s="3">
        <v>0.7</v>
      </c>
      <c r="I2" s="3">
        <v>0.7</v>
      </c>
      <c r="J2" s="3">
        <v>0.7</v>
      </c>
      <c r="K2" s="3">
        <v>0.7</v>
      </c>
      <c r="L2" s="3">
        <v>0.7</v>
      </c>
      <c r="M2" s="3">
        <v>0.7</v>
      </c>
      <c r="N2" s="3">
        <v>0.7</v>
      </c>
      <c r="O2" s="3">
        <v>0.7</v>
      </c>
      <c r="P2" s="3">
        <v>0.7</v>
      </c>
      <c r="Q2" s="3">
        <v>0.7</v>
      </c>
      <c r="R2" s="3">
        <v>0.7</v>
      </c>
      <c r="S2" s="3">
        <v>0.7</v>
      </c>
      <c r="T2" s="3">
        <v>0.7</v>
      </c>
      <c r="U2" s="3">
        <v>0.7</v>
      </c>
      <c r="V2" s="3">
        <v>0.7</v>
      </c>
      <c r="W2" s="3">
        <v>0.7</v>
      </c>
      <c r="X2" s="3">
        <v>0.7</v>
      </c>
      <c r="Y2" s="3">
        <v>0.7</v>
      </c>
      <c r="Z2" s="3">
        <v>0.7</v>
      </c>
      <c r="AA2" s="3">
        <v>0.7</v>
      </c>
      <c r="AB2" s="3">
        <v>0.7</v>
      </c>
      <c r="AC2" s="3">
        <v>0.7</v>
      </c>
      <c r="AD2" s="3">
        <v>0.7</v>
      </c>
      <c r="AE2" s="3">
        <v>0.7</v>
      </c>
      <c r="AF2" s="3">
        <v>0.7</v>
      </c>
      <c r="AG2" s="3">
        <v>0.7</v>
      </c>
      <c r="AH2" s="3">
        <v>0.7</v>
      </c>
    </row>
    <row r="3" ht="16" x14ac:dyDescent="0.2">
      <c r="A3" s="209" t="s">
        <v>183</v>
      </c>
      <c r="B3" s="3">
        <v>0.7</v>
      </c>
      <c r="C3" s="3">
        <v>0.7</v>
      </c>
      <c r="D3" s="3">
        <v>0.7</v>
      </c>
      <c r="E3" s="3">
        <v>0.7</v>
      </c>
      <c r="F3" s="3">
        <v>0.7</v>
      </c>
      <c r="G3" s="3">
        <v>0.7</v>
      </c>
      <c r="H3" s="3">
        <v>0.7</v>
      </c>
      <c r="I3" s="3">
        <v>0.7</v>
      </c>
      <c r="J3" s="3">
        <v>0.7</v>
      </c>
      <c r="K3" s="3">
        <v>0.7</v>
      </c>
      <c r="L3" s="3">
        <v>0.7</v>
      </c>
      <c r="M3" s="3">
        <v>0.7</v>
      </c>
      <c r="N3" s="3">
        <v>0.7</v>
      </c>
      <c r="O3" s="3">
        <v>0.7</v>
      </c>
      <c r="P3" s="3">
        <v>0.7</v>
      </c>
      <c r="Q3" s="3">
        <v>0.7</v>
      </c>
      <c r="R3" s="3">
        <v>0.7</v>
      </c>
      <c r="S3" s="3">
        <v>0.7</v>
      </c>
      <c r="T3" s="3">
        <v>0.7</v>
      </c>
      <c r="U3" s="3">
        <v>0.7</v>
      </c>
      <c r="V3" s="3">
        <v>0.7</v>
      </c>
      <c r="W3" s="3">
        <v>0.7</v>
      </c>
      <c r="X3" s="3">
        <v>0.7</v>
      </c>
      <c r="Y3" s="3">
        <v>0.7</v>
      </c>
      <c r="Z3" s="3">
        <v>0.7</v>
      </c>
      <c r="AA3" s="3">
        <v>0.7</v>
      </c>
      <c r="AB3" s="3">
        <v>0.7</v>
      </c>
      <c r="AC3" s="3">
        <v>0.7</v>
      </c>
      <c r="AD3" s="3">
        <v>0.7</v>
      </c>
      <c r="AE3" s="3">
        <v>0.7</v>
      </c>
      <c r="AF3" s="3">
        <v>0.7</v>
      </c>
      <c r="AG3" s="3">
        <v>0.7</v>
      </c>
      <c r="AH3" s="3">
        <v>0.7</v>
      </c>
    </row>
    <row r="4" ht="16" x14ac:dyDescent="0.2">
      <c r="A4" s="209" t="s">
        <v>184</v>
      </c>
      <c r="B4" s="3">
        <v>0.7</v>
      </c>
      <c r="C4" s="3">
        <v>0.7</v>
      </c>
      <c r="D4" s="3">
        <v>0.7</v>
      </c>
      <c r="E4" s="3">
        <v>0.7</v>
      </c>
      <c r="F4" s="3">
        <v>0.7</v>
      </c>
      <c r="G4" s="3">
        <v>0.7</v>
      </c>
      <c r="H4" s="3">
        <v>0.7</v>
      </c>
      <c r="I4" s="3">
        <v>0.7</v>
      </c>
      <c r="J4" s="3">
        <v>0.7</v>
      </c>
      <c r="K4" s="3">
        <v>0.7</v>
      </c>
      <c r="L4" s="3">
        <v>0.7</v>
      </c>
      <c r="M4" s="3">
        <v>0.7</v>
      </c>
      <c r="N4" s="3">
        <v>0.7</v>
      </c>
      <c r="O4" s="3">
        <v>0.7</v>
      </c>
      <c r="P4" s="3">
        <v>0.7</v>
      </c>
      <c r="Q4" s="3">
        <v>0.7</v>
      </c>
      <c r="R4" s="3">
        <v>0.7</v>
      </c>
      <c r="S4" s="3">
        <v>0.7</v>
      </c>
      <c r="T4" s="3">
        <v>0.7</v>
      </c>
      <c r="U4" s="3">
        <v>0.7</v>
      </c>
      <c r="V4" s="3">
        <v>0.7</v>
      </c>
      <c r="W4" s="3">
        <v>0.7</v>
      </c>
      <c r="X4" s="3">
        <v>0.7</v>
      </c>
      <c r="Y4" s="3">
        <v>0.7</v>
      </c>
      <c r="Z4" s="3">
        <v>0.7</v>
      </c>
      <c r="AA4" s="3">
        <v>0.7</v>
      </c>
      <c r="AB4" s="3">
        <v>0.7</v>
      </c>
      <c r="AC4" s="3">
        <v>0.7</v>
      </c>
      <c r="AD4" s="3">
        <v>0.7</v>
      </c>
      <c r="AE4" s="3">
        <v>0.7</v>
      </c>
      <c r="AF4" s="3">
        <v>0.7</v>
      </c>
      <c r="AG4" s="3">
        <v>0.7</v>
      </c>
      <c r="AH4" s="3">
        <v>0.7</v>
      </c>
    </row>
    <row r="5" ht="16" x14ac:dyDescent="0.2">
      <c r="A5" s="209" t="s">
        <v>185</v>
      </c>
      <c r="B5" s="3">
        <v>0.7</v>
      </c>
      <c r="C5" s="3">
        <v>0.7</v>
      </c>
      <c r="D5" s="3">
        <v>0.7</v>
      </c>
      <c r="E5" s="3">
        <v>0.7</v>
      </c>
      <c r="F5" s="3">
        <v>0.7</v>
      </c>
      <c r="G5" s="3">
        <v>0.7</v>
      </c>
      <c r="H5" s="3">
        <v>0.7</v>
      </c>
      <c r="I5" s="3">
        <v>0.7</v>
      </c>
      <c r="J5" s="3">
        <v>0.7</v>
      </c>
      <c r="K5" s="3">
        <v>0.7</v>
      </c>
      <c r="L5" s="3">
        <v>0.7</v>
      </c>
      <c r="M5" s="3">
        <v>0.7</v>
      </c>
      <c r="N5" s="3">
        <v>0.7</v>
      </c>
      <c r="O5" s="3">
        <v>0.7</v>
      </c>
      <c r="P5" s="3">
        <v>0.7</v>
      </c>
      <c r="Q5" s="3">
        <v>0.7</v>
      </c>
      <c r="R5" s="3">
        <v>0.7</v>
      </c>
      <c r="S5" s="3">
        <v>0.7</v>
      </c>
      <c r="T5" s="3">
        <v>0.7</v>
      </c>
      <c r="U5" s="3">
        <v>0.7</v>
      </c>
      <c r="V5" s="3">
        <v>0.7</v>
      </c>
      <c r="W5" s="3">
        <v>0.7</v>
      </c>
      <c r="X5" s="3">
        <v>0.7</v>
      </c>
      <c r="Y5" s="3">
        <v>0.7</v>
      </c>
      <c r="Z5" s="3">
        <v>0.7</v>
      </c>
      <c r="AA5" s="3">
        <v>0.7</v>
      </c>
      <c r="AB5" s="3">
        <v>0.7</v>
      </c>
      <c r="AC5" s="3">
        <v>0.7</v>
      </c>
      <c r="AD5" s="3">
        <v>0.7</v>
      </c>
      <c r="AE5" s="3">
        <v>0.7</v>
      </c>
      <c r="AF5" s="3">
        <v>0.7</v>
      </c>
      <c r="AG5" s="3">
        <v>0.7</v>
      </c>
      <c r="AH5" s="3">
        <v>0.7</v>
      </c>
    </row>
    <row r="6" ht="16" x14ac:dyDescent="0.2">
      <c r="A6" s="209" t="s">
        <v>186</v>
      </c>
      <c r="B6" s="3">
        <v>0.7</v>
      </c>
      <c r="C6" s="3">
        <v>0.7</v>
      </c>
      <c r="D6" s="3">
        <v>0.7</v>
      </c>
      <c r="E6" s="3">
        <v>0.7</v>
      </c>
      <c r="F6" s="3">
        <v>0.7</v>
      </c>
      <c r="G6" s="3">
        <v>0.7</v>
      </c>
      <c r="H6" s="3">
        <v>0.7</v>
      </c>
      <c r="I6" s="3">
        <v>0.7</v>
      </c>
      <c r="J6" s="3">
        <v>0.7</v>
      </c>
      <c r="K6" s="3">
        <v>0.7</v>
      </c>
      <c r="L6" s="3">
        <v>0.7</v>
      </c>
      <c r="M6" s="3">
        <v>0.7</v>
      </c>
      <c r="N6" s="3">
        <v>0.7</v>
      </c>
      <c r="O6" s="3">
        <v>0.7</v>
      </c>
      <c r="P6" s="3">
        <v>0.7</v>
      </c>
      <c r="Q6" s="3">
        <v>0.7</v>
      </c>
      <c r="R6" s="3">
        <v>0.7</v>
      </c>
      <c r="S6" s="3">
        <v>0.7</v>
      </c>
      <c r="T6" s="3">
        <v>0.7</v>
      </c>
      <c r="U6" s="3">
        <v>0.7</v>
      </c>
      <c r="V6" s="3">
        <v>0.7</v>
      </c>
      <c r="W6" s="3">
        <v>0.7</v>
      </c>
      <c r="X6" s="3">
        <v>0.7</v>
      </c>
      <c r="Y6" s="3">
        <v>0.7</v>
      </c>
      <c r="Z6" s="3">
        <v>0.7</v>
      </c>
      <c r="AA6" s="3">
        <v>0.7</v>
      </c>
      <c r="AB6" s="3">
        <v>0.7</v>
      </c>
      <c r="AC6" s="3">
        <v>0.7</v>
      </c>
      <c r="AD6" s="3">
        <v>0.7</v>
      </c>
      <c r="AE6" s="3">
        <v>0.7</v>
      </c>
      <c r="AF6" s="3">
        <v>0.7</v>
      </c>
      <c r="AG6" s="3">
        <v>0.7</v>
      </c>
      <c r="AH6" s="3">
        <v>0.7</v>
      </c>
    </row>
    <row r="7" ht="16" x14ac:dyDescent="0.2">
      <c r="A7" s="209" t="s">
        <v>187</v>
      </c>
      <c r="B7" s="3">
        <v>0.7</v>
      </c>
      <c r="C7" s="3">
        <v>0.7</v>
      </c>
      <c r="D7" s="3">
        <v>0.7</v>
      </c>
      <c r="E7" s="3">
        <v>0.7</v>
      </c>
      <c r="F7" s="3">
        <v>0.7</v>
      </c>
      <c r="G7" s="3">
        <v>0.7</v>
      </c>
      <c r="H7" s="3">
        <v>0.7</v>
      </c>
      <c r="I7" s="3">
        <v>0.7</v>
      </c>
      <c r="J7" s="3">
        <v>0.7</v>
      </c>
      <c r="K7" s="3">
        <v>0.7</v>
      </c>
      <c r="L7" s="3">
        <v>0.7</v>
      </c>
      <c r="M7" s="3">
        <v>0.7</v>
      </c>
      <c r="N7" s="3">
        <v>0.7</v>
      </c>
      <c r="O7" s="3">
        <v>0.7</v>
      </c>
      <c r="P7" s="3">
        <v>0.7</v>
      </c>
      <c r="Q7" s="3">
        <v>0.7</v>
      </c>
      <c r="R7" s="3">
        <v>0.7</v>
      </c>
      <c r="S7" s="3">
        <v>0.7</v>
      </c>
      <c r="T7" s="3">
        <v>0.7</v>
      </c>
      <c r="U7" s="3">
        <v>0.7</v>
      </c>
      <c r="V7" s="3">
        <v>0.7</v>
      </c>
      <c r="W7" s="3">
        <v>0.7</v>
      </c>
      <c r="X7" s="3">
        <v>0.7</v>
      </c>
      <c r="Y7" s="3">
        <v>0.7</v>
      </c>
      <c r="Z7" s="3">
        <v>0.7</v>
      </c>
      <c r="AA7" s="3">
        <v>0.7</v>
      </c>
      <c r="AB7" s="3">
        <v>0.7</v>
      </c>
      <c r="AC7" s="3">
        <v>0.7</v>
      </c>
      <c r="AD7" s="3">
        <v>0.7</v>
      </c>
      <c r="AE7" s="3">
        <v>0.7</v>
      </c>
      <c r="AF7" s="3">
        <v>0.7</v>
      </c>
      <c r="AG7" s="3">
        <v>0.7</v>
      </c>
      <c r="AH7" s="3">
        <v>0.7</v>
      </c>
    </row>
    <row r="8" ht="16" x14ac:dyDescent="0.2">
      <c r="A8" s="209" t="s">
        <v>188</v>
      </c>
      <c r="B8" s="3">
        <v>0.7</v>
      </c>
      <c r="C8" s="3">
        <v>0.7</v>
      </c>
      <c r="D8" s="3">
        <v>0.7</v>
      </c>
      <c r="E8" s="3">
        <v>0.7</v>
      </c>
      <c r="F8" s="3">
        <v>0.7</v>
      </c>
      <c r="G8" s="3">
        <v>0.7</v>
      </c>
      <c r="H8" s="3">
        <v>0.7</v>
      </c>
      <c r="I8" s="3">
        <v>0.7</v>
      </c>
      <c r="J8" s="3">
        <v>0.7</v>
      </c>
      <c r="K8" s="3">
        <v>0.7</v>
      </c>
      <c r="L8" s="3">
        <v>0.7</v>
      </c>
      <c r="M8" s="3">
        <v>0.7</v>
      </c>
      <c r="N8" s="3">
        <v>0.7</v>
      </c>
      <c r="O8" s="3">
        <v>0.7</v>
      </c>
      <c r="P8" s="3">
        <v>0.7</v>
      </c>
      <c r="Q8" s="3">
        <v>0.7</v>
      </c>
      <c r="R8" s="3">
        <v>0.7</v>
      </c>
      <c r="S8" s="3">
        <v>0.7</v>
      </c>
      <c r="T8" s="3">
        <v>0.7</v>
      </c>
      <c r="U8" s="3">
        <v>0.7</v>
      </c>
      <c r="V8" s="3">
        <v>0.7</v>
      </c>
      <c r="W8" s="3">
        <v>0.7</v>
      </c>
      <c r="X8" s="3">
        <v>0.7</v>
      </c>
      <c r="Y8" s="3">
        <v>0.7</v>
      </c>
      <c r="Z8" s="3">
        <v>0.7</v>
      </c>
      <c r="AA8" s="3">
        <v>0.7</v>
      </c>
      <c r="AB8" s="3">
        <v>0.7</v>
      </c>
      <c r="AC8" s="3">
        <v>0.7</v>
      </c>
      <c r="AD8" s="3">
        <v>0.7</v>
      </c>
      <c r="AE8" s="3">
        <v>0.7</v>
      </c>
      <c r="AF8" s="3">
        <v>0.7</v>
      </c>
      <c r="AG8" s="3">
        <v>0.7</v>
      </c>
      <c r="AH8" s="3">
        <v>0.7</v>
      </c>
    </row>
    <row r="9" ht="16" x14ac:dyDescent="0.2">
      <c r="A9" s="209" t="s">
        <v>189</v>
      </c>
      <c r="B9" s="3">
        <v>0.7</v>
      </c>
      <c r="C9" s="3">
        <v>0.7</v>
      </c>
      <c r="D9" s="3">
        <v>0.7</v>
      </c>
      <c r="E9" s="3">
        <v>0.7</v>
      </c>
      <c r="F9" s="3">
        <v>0.7</v>
      </c>
      <c r="G9" s="3">
        <v>0.7</v>
      </c>
      <c r="H9" s="3">
        <v>0.7</v>
      </c>
      <c r="I9" s="3">
        <v>0.7</v>
      </c>
      <c r="J9" s="3">
        <v>0.7</v>
      </c>
      <c r="K9" s="3">
        <v>0.7</v>
      </c>
      <c r="L9" s="3">
        <v>0.7</v>
      </c>
      <c r="M9" s="3">
        <v>0.7</v>
      </c>
      <c r="N9" s="3">
        <v>0.7</v>
      </c>
      <c r="O9" s="3">
        <v>0.7</v>
      </c>
      <c r="P9" s="3">
        <v>0.7</v>
      </c>
      <c r="Q9" s="3">
        <v>0.7</v>
      </c>
      <c r="R9" s="3">
        <v>0.7</v>
      </c>
      <c r="S9" s="3">
        <v>0.7</v>
      </c>
      <c r="T9" s="3">
        <v>0.7</v>
      </c>
      <c r="U9" s="3">
        <v>0.7</v>
      </c>
      <c r="V9" s="3">
        <v>0.7</v>
      </c>
      <c r="W9" s="3">
        <v>0.7</v>
      </c>
      <c r="X9" s="3">
        <v>0.7</v>
      </c>
      <c r="Y9" s="3">
        <v>0.7</v>
      </c>
      <c r="Z9" s="3">
        <v>0.7</v>
      </c>
      <c r="AA9" s="3">
        <v>0.7</v>
      </c>
      <c r="AB9" s="3">
        <v>0.7</v>
      </c>
      <c r="AC9" s="3">
        <v>0.7</v>
      </c>
      <c r="AD9" s="3">
        <v>0.7</v>
      </c>
      <c r="AE9" s="3">
        <v>0.7</v>
      </c>
      <c r="AF9" s="3">
        <v>0.7</v>
      </c>
      <c r="AG9" s="3">
        <v>0.7</v>
      </c>
      <c r="AH9" s="3">
        <v>0.7</v>
      </c>
    </row>
    <row r="10" ht="16" x14ac:dyDescent="0.2">
      <c r="A10" s="209" t="s">
        <v>190</v>
      </c>
      <c r="B10" s="3">
        <v>0.7</v>
      </c>
      <c r="C10" s="3">
        <v>0.7</v>
      </c>
      <c r="D10" s="3">
        <v>0.7</v>
      </c>
      <c r="E10" s="3">
        <v>0.7</v>
      </c>
      <c r="F10" s="3">
        <v>0.7</v>
      </c>
      <c r="G10" s="3">
        <v>0.7</v>
      </c>
      <c r="H10" s="3">
        <v>0.7</v>
      </c>
      <c r="I10" s="3">
        <v>0.7</v>
      </c>
      <c r="J10" s="3">
        <v>0.7</v>
      </c>
      <c r="K10" s="3">
        <v>0.7</v>
      </c>
      <c r="L10" s="3">
        <v>0.7</v>
      </c>
      <c r="M10" s="3">
        <v>0.7</v>
      </c>
      <c r="N10" s="3">
        <v>0.7</v>
      </c>
      <c r="O10" s="3">
        <v>0.7</v>
      </c>
      <c r="P10" s="3">
        <v>0.7</v>
      </c>
      <c r="Q10" s="3">
        <v>0.7</v>
      </c>
      <c r="R10" s="3">
        <v>0.7</v>
      </c>
      <c r="S10" s="3">
        <v>0.7</v>
      </c>
      <c r="T10" s="3">
        <v>0.7</v>
      </c>
      <c r="U10" s="3">
        <v>0.7</v>
      </c>
      <c r="V10" s="3">
        <v>0.7</v>
      </c>
      <c r="W10" s="3">
        <v>0.7</v>
      </c>
      <c r="X10" s="3">
        <v>0.7</v>
      </c>
      <c r="Y10" s="3">
        <v>0.7</v>
      </c>
      <c r="Z10" s="3">
        <v>0.7</v>
      </c>
      <c r="AA10" s="3">
        <v>0.7</v>
      </c>
      <c r="AB10" s="3">
        <v>0.7</v>
      </c>
      <c r="AC10" s="3">
        <v>0.7</v>
      </c>
      <c r="AD10" s="3">
        <v>0.7</v>
      </c>
      <c r="AE10" s="3">
        <v>0.7</v>
      </c>
      <c r="AF10" s="3">
        <v>0.7</v>
      </c>
      <c r="AG10" s="3">
        <v>0.7</v>
      </c>
      <c r="AH10" s="3">
        <v>0.7</v>
      </c>
    </row>
    <row r="11" ht="16" x14ac:dyDescent="0.2">
      <c r="A11" s="209" t="s">
        <v>191</v>
      </c>
      <c r="B11" s="3">
        <v>0.7</v>
      </c>
      <c r="C11" s="3">
        <v>0.7</v>
      </c>
      <c r="D11" s="3">
        <v>0.7</v>
      </c>
      <c r="E11" s="3">
        <v>0.7</v>
      </c>
      <c r="F11" s="3">
        <v>0.7</v>
      </c>
      <c r="G11" s="3">
        <v>0.7</v>
      </c>
      <c r="H11" s="3">
        <v>0.7</v>
      </c>
      <c r="I11" s="3">
        <v>0.7</v>
      </c>
      <c r="J11" s="3">
        <v>0.7</v>
      </c>
      <c r="K11" s="3">
        <v>0.7</v>
      </c>
      <c r="L11" s="3">
        <v>0.7</v>
      </c>
      <c r="M11" s="3">
        <v>0.7</v>
      </c>
      <c r="N11" s="3">
        <v>0.7</v>
      </c>
      <c r="O11" s="3">
        <v>0.7</v>
      </c>
      <c r="P11" s="3">
        <v>0.7</v>
      </c>
      <c r="Q11" s="3">
        <v>0.7</v>
      </c>
      <c r="R11" s="3">
        <v>0.7</v>
      </c>
      <c r="S11" s="3">
        <v>0.7</v>
      </c>
      <c r="T11" s="3">
        <v>0.7</v>
      </c>
      <c r="U11" s="3">
        <v>0.7</v>
      </c>
      <c r="V11" s="3">
        <v>0.7</v>
      </c>
      <c r="W11" s="3">
        <v>0.7</v>
      </c>
      <c r="X11" s="3">
        <v>0.7</v>
      </c>
      <c r="Y11" s="3">
        <v>0.7</v>
      </c>
      <c r="Z11" s="3">
        <v>0.7</v>
      </c>
      <c r="AA11" s="3">
        <v>0.7</v>
      </c>
      <c r="AB11" s="3">
        <v>0.7</v>
      </c>
      <c r="AC11" s="3">
        <v>0.7</v>
      </c>
      <c r="AD11" s="3">
        <v>0.7</v>
      </c>
      <c r="AE11" s="3">
        <v>0.7</v>
      </c>
      <c r="AF11" s="3">
        <v>0.7</v>
      </c>
      <c r="AG11" s="3">
        <v>0.7</v>
      </c>
      <c r="AH11" s="3">
        <v>0.7</v>
      </c>
    </row>
    <row r="12" ht="16" x14ac:dyDescent="0.2">
      <c r="A12" s="209" t="s">
        <v>192</v>
      </c>
      <c r="B12" s="3">
        <v>0.7</v>
      </c>
      <c r="C12" s="3">
        <v>0.7</v>
      </c>
      <c r="D12" s="3">
        <v>0.7</v>
      </c>
      <c r="E12" s="3">
        <v>0.7</v>
      </c>
      <c r="F12" s="3">
        <v>0.7</v>
      </c>
      <c r="G12" s="3">
        <v>0.7</v>
      </c>
      <c r="H12" s="3">
        <v>0.7</v>
      </c>
      <c r="I12" s="3">
        <v>0.7</v>
      </c>
      <c r="J12" s="3">
        <v>0.7</v>
      </c>
      <c r="K12" s="3">
        <v>0.7</v>
      </c>
      <c r="L12" s="3">
        <v>0.7</v>
      </c>
      <c r="M12" s="3">
        <v>0.7</v>
      </c>
      <c r="N12" s="3">
        <v>0.7</v>
      </c>
      <c r="O12" s="3">
        <v>0.7</v>
      </c>
      <c r="P12" s="3">
        <v>0.7</v>
      </c>
      <c r="Q12" s="3">
        <v>0.7</v>
      </c>
      <c r="R12" s="3">
        <v>0.7</v>
      </c>
      <c r="S12" s="3">
        <v>0.7</v>
      </c>
      <c r="T12" s="3">
        <v>0.7</v>
      </c>
      <c r="U12" s="3">
        <v>0.7</v>
      </c>
      <c r="V12" s="3">
        <v>0.7</v>
      </c>
      <c r="W12" s="3">
        <v>0.7</v>
      </c>
      <c r="X12" s="3">
        <v>0.7</v>
      </c>
      <c r="Y12" s="3">
        <v>0.7</v>
      </c>
      <c r="Z12" s="3">
        <v>0.7</v>
      </c>
      <c r="AA12" s="3">
        <v>0.7</v>
      </c>
      <c r="AB12" s="3">
        <v>0.7</v>
      </c>
      <c r="AC12" s="3">
        <v>0.7</v>
      </c>
      <c r="AD12" s="3">
        <v>0.7</v>
      </c>
      <c r="AE12" s="3">
        <v>0.7</v>
      </c>
      <c r="AF12" s="3">
        <v>0.7</v>
      </c>
      <c r="AG12" s="3">
        <v>0.7</v>
      </c>
      <c r="AH12" s="3">
        <v>0.7</v>
      </c>
    </row>
    <row r="13" ht="16" x14ac:dyDescent="0.2">
      <c r="A13" s="209" t="s">
        <v>193</v>
      </c>
      <c r="B13" s="3">
        <v>0.7</v>
      </c>
      <c r="C13" s="3">
        <v>0.7</v>
      </c>
      <c r="D13" s="3">
        <v>0.7</v>
      </c>
      <c r="E13" s="3">
        <v>0.7</v>
      </c>
      <c r="F13" s="3">
        <v>0.7</v>
      </c>
      <c r="G13" s="3">
        <v>0.7</v>
      </c>
      <c r="H13" s="3">
        <v>0.7</v>
      </c>
      <c r="I13" s="3">
        <v>0.7</v>
      </c>
      <c r="J13" s="3">
        <v>0.7</v>
      </c>
      <c r="K13" s="3">
        <v>0.7</v>
      </c>
      <c r="L13" s="3">
        <v>0.7</v>
      </c>
      <c r="M13" s="3">
        <v>0.7</v>
      </c>
      <c r="N13" s="3">
        <v>0.7</v>
      </c>
      <c r="O13" s="3">
        <v>0.7</v>
      </c>
      <c r="P13" s="3">
        <v>0.7</v>
      </c>
      <c r="Q13" s="3">
        <v>0.7</v>
      </c>
      <c r="R13" s="3">
        <v>0.7</v>
      </c>
      <c r="S13" s="3">
        <v>0.7</v>
      </c>
      <c r="T13" s="3">
        <v>0.7</v>
      </c>
      <c r="U13" s="3">
        <v>0.7</v>
      </c>
      <c r="V13" s="3">
        <v>0.7</v>
      </c>
      <c r="W13" s="3">
        <v>0.7</v>
      </c>
      <c r="X13" s="3">
        <v>0.7</v>
      </c>
      <c r="Y13" s="3">
        <v>0.7</v>
      </c>
      <c r="Z13" s="3">
        <v>0.7</v>
      </c>
      <c r="AA13" s="3">
        <v>0.7</v>
      </c>
      <c r="AB13" s="3">
        <v>0.7</v>
      </c>
      <c r="AC13" s="3">
        <v>0.7</v>
      </c>
      <c r="AD13" s="3">
        <v>0.7</v>
      </c>
      <c r="AE13" s="3">
        <v>0.7</v>
      </c>
      <c r="AF13" s="3">
        <v>0.7</v>
      </c>
      <c r="AG13" s="3">
        <v>0.7</v>
      </c>
      <c r="AH13" s="3">
        <v>0.7</v>
      </c>
    </row>
    <row r="14" ht="16" x14ac:dyDescent="0.2">
      <c r="A14" s="209" t="s">
        <v>194</v>
      </c>
      <c r="B14" s="3">
        <v>0.7</v>
      </c>
      <c r="C14" s="3">
        <v>0.7</v>
      </c>
      <c r="D14" s="3">
        <v>0.7</v>
      </c>
      <c r="E14" s="3">
        <v>0.7</v>
      </c>
      <c r="F14" s="3">
        <v>0.7</v>
      </c>
      <c r="G14" s="3">
        <v>0.7</v>
      </c>
      <c r="H14" s="3">
        <v>0.7</v>
      </c>
      <c r="I14" s="3">
        <v>0.7</v>
      </c>
      <c r="J14" s="3">
        <v>0.7</v>
      </c>
      <c r="K14" s="3">
        <v>0.7</v>
      </c>
      <c r="L14" s="3">
        <v>0.7</v>
      </c>
      <c r="M14" s="3">
        <v>0.7</v>
      </c>
      <c r="N14" s="3">
        <v>0.7</v>
      </c>
      <c r="O14" s="3">
        <v>0.7</v>
      </c>
      <c r="P14" s="3">
        <v>0.7</v>
      </c>
      <c r="Q14" s="3">
        <v>0.7</v>
      </c>
      <c r="R14" s="3">
        <v>0.7</v>
      </c>
      <c r="S14" s="3">
        <v>0.7</v>
      </c>
      <c r="T14" s="3">
        <v>0.7</v>
      </c>
      <c r="U14" s="3">
        <v>0.7</v>
      </c>
      <c r="V14" s="3">
        <v>0.7</v>
      </c>
      <c r="W14" s="3">
        <v>0.7</v>
      </c>
      <c r="X14" s="3">
        <v>0.7</v>
      </c>
      <c r="Y14" s="3">
        <v>0.7</v>
      </c>
      <c r="Z14" s="3">
        <v>0.7</v>
      </c>
      <c r="AA14" s="3">
        <v>0.7</v>
      </c>
      <c r="AB14" s="3">
        <v>0.7</v>
      </c>
      <c r="AC14" s="3">
        <v>0.7</v>
      </c>
      <c r="AD14" s="3">
        <v>0.7</v>
      </c>
      <c r="AE14" s="3">
        <v>0.7</v>
      </c>
      <c r="AF14" s="3">
        <v>0.7</v>
      </c>
      <c r="AG14" s="3">
        <v>0.7</v>
      </c>
      <c r="AH14" s="3">
        <v>0.7</v>
      </c>
    </row>
    <row r="15" ht="16" x14ac:dyDescent="0.2">
      <c r="A15" s="209" t="s">
        <v>195</v>
      </c>
      <c r="B15" s="3">
        <v>0.7</v>
      </c>
      <c r="C15" s="3">
        <v>0.7</v>
      </c>
      <c r="D15" s="3">
        <v>0.7</v>
      </c>
      <c r="E15" s="3">
        <v>0.7</v>
      </c>
      <c r="F15" s="3">
        <v>0.7</v>
      </c>
      <c r="G15" s="3">
        <v>0.7</v>
      </c>
      <c r="H15" s="3">
        <v>0.7</v>
      </c>
      <c r="I15" s="3">
        <v>0.7</v>
      </c>
      <c r="J15" s="3">
        <v>0.7</v>
      </c>
      <c r="K15" s="3">
        <v>0.7</v>
      </c>
      <c r="L15" s="3">
        <v>0.7</v>
      </c>
      <c r="M15" s="3">
        <v>0.7</v>
      </c>
      <c r="N15" s="3">
        <v>0.7</v>
      </c>
      <c r="O15" s="3">
        <v>0.7</v>
      </c>
      <c r="P15" s="3">
        <v>0.7</v>
      </c>
      <c r="Q15" s="3">
        <v>0.7</v>
      </c>
      <c r="R15" s="3">
        <v>0.7</v>
      </c>
      <c r="S15" s="3">
        <v>0.7</v>
      </c>
      <c r="T15" s="3">
        <v>0.7</v>
      </c>
      <c r="U15" s="3">
        <v>0.7</v>
      </c>
      <c r="V15" s="3">
        <v>0.7</v>
      </c>
      <c r="W15" s="3">
        <v>0.7</v>
      </c>
      <c r="X15" s="3">
        <v>0.7</v>
      </c>
      <c r="Y15" s="3">
        <v>0.7</v>
      </c>
      <c r="Z15" s="3">
        <v>0.7</v>
      </c>
      <c r="AA15" s="3">
        <v>0.7</v>
      </c>
      <c r="AB15" s="3">
        <v>0.7</v>
      </c>
      <c r="AC15" s="3">
        <v>0.7</v>
      </c>
      <c r="AD15" s="3">
        <v>0.7</v>
      </c>
      <c r="AE15" s="3">
        <v>0.7</v>
      </c>
      <c r="AF15" s="3">
        <v>0.7</v>
      </c>
      <c r="AG15" s="3">
        <v>0.7</v>
      </c>
      <c r="AH15" s="3">
        <v>0.7</v>
      </c>
    </row>
    <row r="16" ht="16" x14ac:dyDescent="0.2">
      <c r="A16" s="209" t="s">
        <v>196</v>
      </c>
      <c r="B16" s="3">
        <v>0.7</v>
      </c>
      <c r="C16" s="3">
        <v>0.7</v>
      </c>
      <c r="D16" s="3">
        <v>0.7</v>
      </c>
      <c r="E16" s="3">
        <v>0.7</v>
      </c>
      <c r="F16" s="3">
        <v>0.7</v>
      </c>
      <c r="G16" s="3">
        <v>0.7</v>
      </c>
      <c r="H16" s="3">
        <v>0.7</v>
      </c>
      <c r="I16" s="3">
        <v>0.7</v>
      </c>
      <c r="J16" s="3">
        <v>0.7</v>
      </c>
      <c r="K16" s="3">
        <v>0.7</v>
      </c>
      <c r="L16" s="3">
        <v>0.7</v>
      </c>
      <c r="M16" s="3">
        <v>0.7</v>
      </c>
      <c r="N16" s="3">
        <v>0.7</v>
      </c>
      <c r="O16" s="3">
        <v>0.7</v>
      </c>
      <c r="P16" s="3">
        <v>0.7</v>
      </c>
      <c r="Q16" s="3">
        <v>0.7</v>
      </c>
      <c r="R16" s="3">
        <v>0.7</v>
      </c>
      <c r="S16" s="3">
        <v>0.7</v>
      </c>
      <c r="T16" s="3">
        <v>0.7</v>
      </c>
      <c r="U16" s="3">
        <v>0.7</v>
      </c>
      <c r="V16" s="3">
        <v>0.7</v>
      </c>
      <c r="W16" s="3">
        <v>0.7</v>
      </c>
      <c r="X16" s="3">
        <v>0.7</v>
      </c>
      <c r="Y16" s="3">
        <v>0.7</v>
      </c>
      <c r="Z16" s="3">
        <v>0.7</v>
      </c>
      <c r="AA16" s="3">
        <v>0.7</v>
      </c>
      <c r="AB16" s="3">
        <v>0.7</v>
      </c>
      <c r="AC16" s="3">
        <v>0.7</v>
      </c>
      <c r="AD16" s="3">
        <v>0.7</v>
      </c>
      <c r="AE16" s="3">
        <v>0.7</v>
      </c>
      <c r="AF16" s="3">
        <v>0.7</v>
      </c>
      <c r="AG16" s="3">
        <v>0.7</v>
      </c>
      <c r="AH16" s="3">
        <v>0.7</v>
      </c>
    </row>
    <row r="17" ht="16" x14ac:dyDescent="0.2">
      <c r="A17" s="209" t="s">
        <v>197</v>
      </c>
      <c r="B17" s="3">
        <v>0.7</v>
      </c>
      <c r="C17" s="3">
        <v>0.7</v>
      </c>
      <c r="D17" s="3">
        <v>0.7</v>
      </c>
      <c r="E17" s="3">
        <v>0.7</v>
      </c>
      <c r="F17" s="3">
        <v>0.7</v>
      </c>
      <c r="G17" s="3">
        <v>0.7</v>
      </c>
      <c r="H17" s="3">
        <v>0.7</v>
      </c>
      <c r="I17" s="3">
        <v>0.7</v>
      </c>
      <c r="J17" s="3">
        <v>0.7</v>
      </c>
      <c r="K17" s="3">
        <v>0.7</v>
      </c>
      <c r="L17" s="3">
        <v>0.7</v>
      </c>
      <c r="M17" s="3">
        <v>0.7</v>
      </c>
      <c r="N17" s="3">
        <v>0.7</v>
      </c>
      <c r="O17" s="3">
        <v>0.7</v>
      </c>
      <c r="P17" s="3">
        <v>0.7</v>
      </c>
      <c r="Q17" s="3">
        <v>0.7</v>
      </c>
      <c r="R17" s="3">
        <v>0.7</v>
      </c>
      <c r="S17" s="3">
        <v>0.7</v>
      </c>
      <c r="T17" s="3">
        <v>0.7</v>
      </c>
      <c r="U17" s="3">
        <v>0.7</v>
      </c>
      <c r="V17" s="3">
        <v>0.7</v>
      </c>
      <c r="W17" s="3">
        <v>0.7</v>
      </c>
      <c r="X17" s="3">
        <v>0.7</v>
      </c>
      <c r="Y17" s="3">
        <v>0.7</v>
      </c>
      <c r="Z17" s="3">
        <v>0.7</v>
      </c>
      <c r="AA17" s="3">
        <v>0.7</v>
      </c>
      <c r="AB17" s="3">
        <v>0.7</v>
      </c>
      <c r="AC17" s="3">
        <v>0.7</v>
      </c>
      <c r="AD17" s="3">
        <v>0.7</v>
      </c>
      <c r="AE17" s="3">
        <v>0.7</v>
      </c>
      <c r="AF17" s="3">
        <v>0.7</v>
      </c>
      <c r="AG17" s="3">
        <v>0.7</v>
      </c>
      <c r="AH17" s="3">
        <v>0.7</v>
      </c>
    </row>
    <row r="18" ht="16" x14ac:dyDescent="0.2">
      <c r="A18" s="209" t="s">
        <v>198</v>
      </c>
      <c r="B18" s="3">
        <v>0.7</v>
      </c>
      <c r="C18" s="3">
        <v>0.7</v>
      </c>
      <c r="D18" s="3">
        <v>0.7</v>
      </c>
      <c r="E18" s="3">
        <v>0.7</v>
      </c>
      <c r="F18" s="3">
        <v>0.7</v>
      </c>
      <c r="G18" s="3">
        <v>0.7</v>
      </c>
      <c r="H18" s="3">
        <v>0.7</v>
      </c>
      <c r="I18" s="3">
        <v>0.7</v>
      </c>
      <c r="J18" s="3">
        <v>0.7</v>
      </c>
      <c r="K18" s="3">
        <v>0.7</v>
      </c>
      <c r="L18" s="3">
        <v>0.7</v>
      </c>
      <c r="M18" s="3">
        <v>0.7</v>
      </c>
      <c r="N18" s="3">
        <v>0.7</v>
      </c>
      <c r="O18" s="3">
        <v>0.7</v>
      </c>
      <c r="P18" s="3">
        <v>0.7</v>
      </c>
      <c r="Q18" s="3">
        <v>0.7</v>
      </c>
      <c r="R18" s="3">
        <v>0.7</v>
      </c>
      <c r="S18" s="3">
        <v>0.7</v>
      </c>
      <c r="T18" s="3">
        <v>0.7</v>
      </c>
      <c r="U18" s="3">
        <v>0.7</v>
      </c>
      <c r="V18" s="3">
        <v>0.7</v>
      </c>
      <c r="W18" s="3">
        <v>0.7</v>
      </c>
      <c r="X18" s="3">
        <v>0.7</v>
      </c>
      <c r="Y18" s="3">
        <v>0.7</v>
      </c>
      <c r="Z18" s="3">
        <v>0.7</v>
      </c>
      <c r="AA18" s="3">
        <v>0.7</v>
      </c>
      <c r="AB18" s="3">
        <v>0.7</v>
      </c>
      <c r="AC18" s="3">
        <v>0.7</v>
      </c>
      <c r="AD18" s="3">
        <v>0.7</v>
      </c>
      <c r="AE18" s="3">
        <v>0.7</v>
      </c>
      <c r="AF18" s="3">
        <v>0.7</v>
      </c>
      <c r="AG18" s="3">
        <v>0.7</v>
      </c>
      <c r="AH18" s="3">
        <v>0.7</v>
      </c>
    </row>
    <row r="19" ht="16" x14ac:dyDescent="0.2">
      <c r="A19" s="209" t="s">
        <v>199</v>
      </c>
      <c r="B19" s="3">
        <v>0.7</v>
      </c>
      <c r="C19" s="3">
        <v>0.7</v>
      </c>
      <c r="D19" s="3">
        <v>0.7</v>
      </c>
      <c r="E19" s="3">
        <v>0.7</v>
      </c>
      <c r="F19" s="3">
        <v>0.7</v>
      </c>
      <c r="G19" s="3">
        <v>0.7</v>
      </c>
      <c r="H19" s="3">
        <v>0.7</v>
      </c>
      <c r="I19" s="3">
        <v>0.7</v>
      </c>
      <c r="J19" s="3">
        <v>0.7</v>
      </c>
      <c r="K19" s="3">
        <v>0.7</v>
      </c>
      <c r="L19" s="3">
        <v>0.7</v>
      </c>
      <c r="M19" s="3">
        <v>0.7</v>
      </c>
      <c r="N19" s="3">
        <v>0.7</v>
      </c>
      <c r="O19" s="3">
        <v>0.7</v>
      </c>
      <c r="P19" s="3">
        <v>0.7</v>
      </c>
      <c r="Q19" s="3">
        <v>0.7</v>
      </c>
      <c r="R19" s="3">
        <v>0.7</v>
      </c>
      <c r="S19" s="3">
        <v>0.7</v>
      </c>
      <c r="T19" s="3">
        <v>0.7</v>
      </c>
      <c r="U19" s="3">
        <v>0.7</v>
      </c>
      <c r="V19" s="3">
        <v>0.7</v>
      </c>
      <c r="W19" s="3">
        <v>0.7</v>
      </c>
      <c r="X19" s="3">
        <v>0.7</v>
      </c>
      <c r="Y19" s="3">
        <v>0.7</v>
      </c>
      <c r="Z19" s="3">
        <v>0.7</v>
      </c>
      <c r="AA19" s="3">
        <v>0.7</v>
      </c>
      <c r="AB19" s="3">
        <v>0.7</v>
      </c>
      <c r="AC19" s="3">
        <v>0.7</v>
      </c>
      <c r="AD19" s="3">
        <v>0.7</v>
      </c>
      <c r="AE19" s="3">
        <v>0.7</v>
      </c>
      <c r="AF19" s="3">
        <v>0.7</v>
      </c>
      <c r="AG19" s="3">
        <v>0.7</v>
      </c>
      <c r="AH19" s="3">
        <v>0.7</v>
      </c>
    </row>
    <row r="20" ht="16" x14ac:dyDescent="0.2">
      <c r="A20" s="209" t="s">
        <v>200</v>
      </c>
      <c r="B20" s="3">
        <v>0.7</v>
      </c>
      <c r="C20" s="3">
        <v>0.7</v>
      </c>
      <c r="D20" s="3">
        <v>0.7</v>
      </c>
      <c r="E20" s="3">
        <v>0.7</v>
      </c>
      <c r="F20" s="3">
        <v>0.7</v>
      </c>
      <c r="G20" s="3">
        <v>0.7</v>
      </c>
      <c r="H20" s="3">
        <v>0.7</v>
      </c>
      <c r="I20" s="3">
        <v>0.7</v>
      </c>
      <c r="J20" s="3">
        <v>0.7</v>
      </c>
      <c r="K20" s="3">
        <v>0.7</v>
      </c>
      <c r="L20" s="3">
        <v>0.7</v>
      </c>
      <c r="M20" s="3">
        <v>0.7</v>
      </c>
      <c r="N20" s="3">
        <v>0.7</v>
      </c>
      <c r="O20" s="3">
        <v>0.7</v>
      </c>
      <c r="P20" s="3">
        <v>0.7</v>
      </c>
      <c r="Q20" s="3">
        <v>0.7</v>
      </c>
      <c r="R20" s="3">
        <v>0.7</v>
      </c>
      <c r="S20" s="3">
        <v>0.7</v>
      </c>
      <c r="T20" s="3">
        <v>0.7</v>
      </c>
      <c r="U20" s="3">
        <v>0.7</v>
      </c>
      <c r="V20" s="3">
        <v>0.7</v>
      </c>
      <c r="W20" s="3">
        <v>0.7</v>
      </c>
      <c r="X20" s="3">
        <v>0.7</v>
      </c>
      <c r="Y20" s="3">
        <v>0.7</v>
      </c>
      <c r="Z20" s="3">
        <v>0.7</v>
      </c>
      <c r="AA20" s="3">
        <v>0.7</v>
      </c>
      <c r="AB20" s="3">
        <v>0.7</v>
      </c>
      <c r="AC20" s="3">
        <v>0.7</v>
      </c>
      <c r="AD20" s="3">
        <v>0.7</v>
      </c>
      <c r="AE20" s="3">
        <v>0.7</v>
      </c>
      <c r="AF20" s="3">
        <v>0.7</v>
      </c>
      <c r="AG20" s="3">
        <v>0.7</v>
      </c>
      <c r="AH20" s="3">
        <v>0.7</v>
      </c>
    </row>
    <row r="21" ht="16" x14ac:dyDescent="0.2">
      <c r="A21" s="209" t="s">
        <v>201</v>
      </c>
      <c r="B21" s="3">
        <v>0.7</v>
      </c>
      <c r="C21" s="3">
        <v>0.7</v>
      </c>
      <c r="D21" s="3">
        <v>0.7</v>
      </c>
      <c r="E21" s="3">
        <v>0.7</v>
      </c>
      <c r="F21" s="3">
        <v>0.7</v>
      </c>
      <c r="G21" s="3">
        <v>0.7</v>
      </c>
      <c r="H21" s="3">
        <v>0.7</v>
      </c>
      <c r="I21" s="3">
        <v>0.7</v>
      </c>
      <c r="J21" s="3">
        <v>0.7</v>
      </c>
      <c r="K21" s="3">
        <v>0.7</v>
      </c>
      <c r="L21" s="3">
        <v>0.7</v>
      </c>
      <c r="M21" s="3">
        <v>0.7</v>
      </c>
      <c r="N21" s="3">
        <v>0.7</v>
      </c>
      <c r="O21" s="3">
        <v>0.7</v>
      </c>
      <c r="P21" s="3">
        <v>0.7</v>
      </c>
      <c r="Q21" s="3">
        <v>0.7</v>
      </c>
      <c r="R21" s="3">
        <v>0.7</v>
      </c>
      <c r="S21" s="3">
        <v>0.7</v>
      </c>
      <c r="T21" s="3">
        <v>0.7</v>
      </c>
      <c r="U21" s="3">
        <v>0.7</v>
      </c>
      <c r="V21" s="3">
        <v>0.7</v>
      </c>
      <c r="W21" s="3">
        <v>0.7</v>
      </c>
      <c r="X21" s="3">
        <v>0.7</v>
      </c>
      <c r="Y21" s="3">
        <v>0.7</v>
      </c>
      <c r="Z21" s="3">
        <v>0.7</v>
      </c>
      <c r="AA21" s="3">
        <v>0.7</v>
      </c>
      <c r="AB21" s="3">
        <v>0.7</v>
      </c>
      <c r="AC21" s="3">
        <v>0.7</v>
      </c>
      <c r="AD21" s="3">
        <v>0.7</v>
      </c>
      <c r="AE21" s="3">
        <v>0.7</v>
      </c>
      <c r="AF21" s="3">
        <v>0.7</v>
      </c>
      <c r="AG21" s="3">
        <v>0.7</v>
      </c>
      <c r="AH21" s="3">
        <v>0.7</v>
      </c>
    </row>
    <row r="22" ht="16" x14ac:dyDescent="0.2">
      <c r="A22" s="209" t="s">
        <v>202</v>
      </c>
      <c r="B22" s="3">
        <v>0.7</v>
      </c>
      <c r="C22" s="3">
        <v>0.7</v>
      </c>
      <c r="D22" s="3">
        <v>0.7</v>
      </c>
      <c r="E22" s="3">
        <v>0.7</v>
      </c>
      <c r="F22" s="3">
        <v>0.7</v>
      </c>
      <c r="G22" s="3">
        <v>0.7</v>
      </c>
      <c r="H22" s="3">
        <v>0.7</v>
      </c>
      <c r="I22" s="3">
        <v>0.7</v>
      </c>
      <c r="J22" s="3">
        <v>0.7</v>
      </c>
      <c r="K22" s="3">
        <v>0.7</v>
      </c>
      <c r="L22" s="3">
        <v>0.7</v>
      </c>
      <c r="M22" s="3">
        <v>0.7</v>
      </c>
      <c r="N22" s="3">
        <v>0.7</v>
      </c>
      <c r="O22" s="3">
        <v>0.7</v>
      </c>
      <c r="P22" s="3">
        <v>0.7</v>
      </c>
      <c r="Q22" s="3">
        <v>0.7</v>
      </c>
      <c r="R22" s="3">
        <v>0.7</v>
      </c>
      <c r="S22" s="3">
        <v>0.7</v>
      </c>
      <c r="T22" s="3">
        <v>0.7</v>
      </c>
      <c r="U22" s="3">
        <v>0.7</v>
      </c>
      <c r="V22" s="3">
        <v>0.7</v>
      </c>
      <c r="W22" s="3">
        <v>0.7</v>
      </c>
      <c r="X22" s="3">
        <v>0.7</v>
      </c>
      <c r="Y22" s="3">
        <v>0.7</v>
      </c>
      <c r="Z22" s="3">
        <v>0.7</v>
      </c>
      <c r="AA22" s="3">
        <v>0.7</v>
      </c>
      <c r="AB22" s="3">
        <v>0.7</v>
      </c>
      <c r="AC22" s="3">
        <v>0.7</v>
      </c>
      <c r="AD22" s="3">
        <v>0.7</v>
      </c>
      <c r="AE22" s="3">
        <v>0.7</v>
      </c>
      <c r="AF22" s="3">
        <v>0.7</v>
      </c>
      <c r="AG22" s="3">
        <v>0.7</v>
      </c>
      <c r="AH22" s="3">
        <v>0.7</v>
      </c>
    </row>
    <row r="23" ht="16" x14ac:dyDescent="0.2">
      <c r="A23" s="209" t="s">
        <v>203</v>
      </c>
      <c r="B23" s="3">
        <v>0.7</v>
      </c>
      <c r="C23" s="3">
        <v>0.7</v>
      </c>
      <c r="D23" s="3">
        <v>0.7</v>
      </c>
      <c r="E23" s="3">
        <v>0.7</v>
      </c>
      <c r="F23" s="3">
        <v>0.7</v>
      </c>
      <c r="G23" s="3">
        <v>0.7</v>
      </c>
      <c r="H23" s="3">
        <v>0.7</v>
      </c>
      <c r="I23" s="3">
        <v>0.7</v>
      </c>
      <c r="J23" s="3">
        <v>0.7</v>
      </c>
      <c r="K23" s="3">
        <v>0.7</v>
      </c>
      <c r="L23" s="3">
        <v>0.7</v>
      </c>
      <c r="M23" s="3">
        <v>0.7</v>
      </c>
      <c r="N23" s="3">
        <v>0.7</v>
      </c>
      <c r="O23" s="3">
        <v>0.7</v>
      </c>
      <c r="P23" s="3">
        <v>0.7</v>
      </c>
      <c r="Q23" s="3">
        <v>0.7</v>
      </c>
      <c r="R23" s="3">
        <v>0.7</v>
      </c>
      <c r="S23" s="3">
        <v>0.7</v>
      </c>
      <c r="T23" s="3">
        <v>0.7</v>
      </c>
      <c r="U23" s="3">
        <v>0.7</v>
      </c>
      <c r="V23" s="3">
        <v>0.7</v>
      </c>
      <c r="W23" s="3">
        <v>0.7</v>
      </c>
      <c r="X23" s="3">
        <v>0.7</v>
      </c>
      <c r="Y23" s="3">
        <v>0.7</v>
      </c>
      <c r="Z23" s="3">
        <v>0.7</v>
      </c>
      <c r="AA23" s="3">
        <v>0.7</v>
      </c>
      <c r="AB23" s="3">
        <v>0.7</v>
      </c>
      <c r="AC23" s="3">
        <v>0.7</v>
      </c>
      <c r="AD23" s="3">
        <v>0.7</v>
      </c>
      <c r="AE23" s="3">
        <v>0.7</v>
      </c>
      <c r="AF23" s="3">
        <v>0.7</v>
      </c>
      <c r="AG23" s="3">
        <v>0.7</v>
      </c>
      <c r="AH23" s="3">
        <v>0.7</v>
      </c>
    </row>
    <row r="24" ht="16" x14ac:dyDescent="0.2">
      <c r="A24" s="209" t="s">
        <v>204</v>
      </c>
      <c r="B24" s="3">
        <v>0.7</v>
      </c>
      <c r="C24" s="3">
        <v>0.7</v>
      </c>
      <c r="D24" s="3">
        <v>0.7</v>
      </c>
      <c r="E24" s="3">
        <v>0.7</v>
      </c>
      <c r="F24" s="3">
        <v>0.7</v>
      </c>
      <c r="G24" s="3">
        <v>0.7</v>
      </c>
      <c r="H24" s="3">
        <v>0.7</v>
      </c>
      <c r="I24" s="3">
        <v>0.7</v>
      </c>
      <c r="J24" s="3">
        <v>0.7</v>
      </c>
      <c r="K24" s="3">
        <v>0.7</v>
      </c>
      <c r="L24" s="3">
        <v>0.7</v>
      </c>
      <c r="M24" s="3">
        <v>0.7</v>
      </c>
      <c r="N24" s="3">
        <v>0.7</v>
      </c>
      <c r="O24" s="3">
        <v>0.7</v>
      </c>
      <c r="P24" s="3">
        <v>0.7</v>
      </c>
      <c r="Q24" s="3">
        <v>0.7</v>
      </c>
      <c r="R24" s="3">
        <v>0.7</v>
      </c>
      <c r="S24" s="3">
        <v>0.7</v>
      </c>
      <c r="T24" s="3">
        <v>0.7</v>
      </c>
      <c r="U24" s="3">
        <v>0.7</v>
      </c>
      <c r="V24" s="3">
        <v>0.7</v>
      </c>
      <c r="W24" s="3">
        <v>0.7</v>
      </c>
      <c r="X24" s="3">
        <v>0.7</v>
      </c>
      <c r="Y24" s="3">
        <v>0.7</v>
      </c>
      <c r="Z24" s="3">
        <v>0.7</v>
      </c>
      <c r="AA24" s="3">
        <v>0.7</v>
      </c>
      <c r="AB24" s="3">
        <v>0.7</v>
      </c>
      <c r="AC24" s="3">
        <v>0.7</v>
      </c>
      <c r="AD24" s="3">
        <v>0.7</v>
      </c>
      <c r="AE24" s="3">
        <v>0.7</v>
      </c>
      <c r="AF24" s="3">
        <v>0.7</v>
      </c>
      <c r="AG24" s="3">
        <v>0.7</v>
      </c>
      <c r="AH24" s="3">
        <v>0.7</v>
      </c>
    </row>
    <row r="25" ht="16" x14ac:dyDescent="0.2">
      <c r="A25" s="209" t="s">
        <v>205</v>
      </c>
      <c r="B25" s="3">
        <v>0.7</v>
      </c>
      <c r="C25" s="3">
        <v>0.7</v>
      </c>
      <c r="D25" s="3">
        <v>0.7</v>
      </c>
      <c r="E25" s="3">
        <v>0.7</v>
      </c>
      <c r="F25" s="3">
        <v>0.7</v>
      </c>
      <c r="G25" s="3">
        <v>0.7</v>
      </c>
      <c r="H25" s="3">
        <v>0.7</v>
      </c>
      <c r="I25" s="3">
        <v>0.7</v>
      </c>
      <c r="J25" s="3">
        <v>0.7</v>
      </c>
      <c r="K25" s="3">
        <v>0.7</v>
      </c>
      <c r="L25" s="3">
        <v>0.7</v>
      </c>
      <c r="M25" s="3">
        <v>0.7</v>
      </c>
      <c r="N25" s="3">
        <v>0.7</v>
      </c>
      <c r="O25" s="3">
        <v>0.7</v>
      </c>
      <c r="P25" s="3">
        <v>0.7</v>
      </c>
      <c r="Q25" s="3">
        <v>0.7</v>
      </c>
      <c r="R25" s="3">
        <v>0.7</v>
      </c>
      <c r="S25" s="3">
        <v>0.7</v>
      </c>
      <c r="T25" s="3">
        <v>0.7</v>
      </c>
      <c r="U25" s="3">
        <v>0.7</v>
      </c>
      <c r="V25" s="3">
        <v>0.7</v>
      </c>
      <c r="W25" s="3">
        <v>0.7</v>
      </c>
      <c r="X25" s="3">
        <v>0.7</v>
      </c>
      <c r="Y25" s="3">
        <v>0.7</v>
      </c>
      <c r="Z25" s="3">
        <v>0.7</v>
      </c>
      <c r="AA25" s="3">
        <v>0.7</v>
      </c>
      <c r="AB25" s="3">
        <v>0.7</v>
      </c>
      <c r="AC25" s="3">
        <v>0.7</v>
      </c>
      <c r="AD25" s="3">
        <v>0.7</v>
      </c>
      <c r="AE25" s="3">
        <v>0.7</v>
      </c>
      <c r="AF25" s="3">
        <v>0.7</v>
      </c>
      <c r="AG25" s="3">
        <v>0.7</v>
      </c>
      <c r="AH25" s="3">
        <v>0.7</v>
      </c>
    </row>
    <row r="26" ht="16" x14ac:dyDescent="0.2">
      <c r="A26" s="209" t="s">
        <v>206</v>
      </c>
      <c r="B26" s="3">
        <v>0.7</v>
      </c>
      <c r="C26" s="3">
        <v>0.7</v>
      </c>
      <c r="D26" s="3">
        <v>0.7</v>
      </c>
      <c r="E26" s="3">
        <v>0.7</v>
      </c>
      <c r="F26" s="3">
        <v>0.7</v>
      </c>
      <c r="G26" s="3">
        <v>0.7</v>
      </c>
      <c r="H26" s="3">
        <v>0.7</v>
      </c>
      <c r="I26" s="3">
        <v>0.7</v>
      </c>
      <c r="J26" s="3">
        <v>0.7</v>
      </c>
      <c r="K26" s="3">
        <v>0.7</v>
      </c>
      <c r="L26" s="3">
        <v>0.7</v>
      </c>
      <c r="M26" s="3">
        <v>0.7</v>
      </c>
      <c r="N26" s="3">
        <v>0.7</v>
      </c>
      <c r="O26" s="3">
        <v>0.7</v>
      </c>
      <c r="P26" s="3">
        <v>0.7</v>
      </c>
      <c r="Q26" s="3">
        <v>0.7</v>
      </c>
      <c r="R26" s="3">
        <v>0.7</v>
      </c>
      <c r="S26" s="3">
        <v>0.7</v>
      </c>
      <c r="T26" s="3">
        <v>0.7</v>
      </c>
      <c r="U26" s="3">
        <v>0.7</v>
      </c>
      <c r="V26" s="3">
        <v>0.7</v>
      </c>
      <c r="W26" s="3">
        <v>0.7</v>
      </c>
      <c r="X26" s="3">
        <v>0.7</v>
      </c>
      <c r="Y26" s="3">
        <v>0.7</v>
      </c>
      <c r="Z26" s="3">
        <v>0.7</v>
      </c>
      <c r="AA26" s="3">
        <v>0.7</v>
      </c>
      <c r="AB26" s="3">
        <v>0.7</v>
      </c>
      <c r="AC26" s="3">
        <v>0.7</v>
      </c>
      <c r="AD26" s="3">
        <v>0.7</v>
      </c>
      <c r="AE26" s="3">
        <v>0.7</v>
      </c>
      <c r="AF26" s="3">
        <v>0.7</v>
      </c>
      <c r="AG26" s="3">
        <v>0.7</v>
      </c>
      <c r="AH26" s="3">
        <v>0.7</v>
      </c>
    </row>
    <row r="27" ht="16" x14ac:dyDescent="0.2">
      <c r="A27" s="209" t="s">
        <v>207</v>
      </c>
      <c r="B27" s="3">
        <v>0.7</v>
      </c>
      <c r="C27" s="3">
        <v>0.7</v>
      </c>
      <c r="D27" s="3">
        <v>0.7</v>
      </c>
      <c r="E27" s="3">
        <v>0.7</v>
      </c>
      <c r="F27" s="3">
        <v>0.7</v>
      </c>
      <c r="G27" s="3">
        <v>0.7</v>
      </c>
      <c r="H27" s="3">
        <v>0.7</v>
      </c>
      <c r="I27" s="3">
        <v>0.7</v>
      </c>
      <c r="J27" s="3">
        <v>0.7</v>
      </c>
      <c r="K27" s="3">
        <v>0.7</v>
      </c>
      <c r="L27" s="3">
        <v>0.7</v>
      </c>
      <c r="M27" s="3">
        <v>0.7</v>
      </c>
      <c r="N27" s="3">
        <v>0.7</v>
      </c>
      <c r="O27" s="3">
        <v>0.7</v>
      </c>
      <c r="P27" s="3">
        <v>0.7</v>
      </c>
      <c r="Q27" s="3">
        <v>0.7</v>
      </c>
      <c r="R27" s="3">
        <v>0.7</v>
      </c>
      <c r="S27" s="3">
        <v>0.7</v>
      </c>
      <c r="T27" s="3">
        <v>0.7</v>
      </c>
      <c r="U27" s="3">
        <v>0.7</v>
      </c>
      <c r="V27" s="3">
        <v>0.7</v>
      </c>
      <c r="W27" s="3">
        <v>0.7</v>
      </c>
      <c r="X27" s="3">
        <v>0.7</v>
      </c>
      <c r="Y27" s="3">
        <v>0.7</v>
      </c>
      <c r="Z27" s="3">
        <v>0.7</v>
      </c>
      <c r="AA27" s="3">
        <v>0.7</v>
      </c>
      <c r="AB27" s="3">
        <v>0.7</v>
      </c>
      <c r="AC27" s="3">
        <v>0.7</v>
      </c>
      <c r="AD27" s="3">
        <v>0.7</v>
      </c>
      <c r="AE27" s="3">
        <v>0.7</v>
      </c>
      <c r="AF27" s="3">
        <v>0.7</v>
      </c>
      <c r="AG27" s="3">
        <v>0.7</v>
      </c>
      <c r="AH27" s="3">
        <v>0.7</v>
      </c>
    </row>
    <row r="28" ht="16" x14ac:dyDescent="0.2">
      <c r="A28" s="209" t="s">
        <v>208</v>
      </c>
      <c r="B28" s="3">
        <v>0.7</v>
      </c>
      <c r="C28" s="3">
        <v>0.7</v>
      </c>
      <c r="D28" s="3">
        <v>0.7</v>
      </c>
      <c r="E28" s="3">
        <v>0.7</v>
      </c>
      <c r="F28" s="3">
        <v>0.7</v>
      </c>
      <c r="G28" s="3">
        <v>0.7</v>
      </c>
      <c r="H28" s="3">
        <v>0.7</v>
      </c>
      <c r="I28" s="3">
        <v>0.7</v>
      </c>
      <c r="J28" s="3">
        <v>0.7</v>
      </c>
      <c r="K28" s="3">
        <v>0.7</v>
      </c>
      <c r="L28" s="3">
        <v>0.7</v>
      </c>
      <c r="M28" s="3">
        <v>0.7</v>
      </c>
      <c r="N28" s="3">
        <v>0.7</v>
      </c>
      <c r="O28" s="3">
        <v>0.7</v>
      </c>
      <c r="P28" s="3">
        <v>0.7</v>
      </c>
      <c r="Q28" s="3">
        <v>0.7</v>
      </c>
      <c r="R28" s="3">
        <v>0.7</v>
      </c>
      <c r="S28" s="3">
        <v>0.7</v>
      </c>
      <c r="T28" s="3">
        <v>0.7</v>
      </c>
      <c r="U28" s="3">
        <v>0.7</v>
      </c>
      <c r="V28" s="3">
        <v>0.7</v>
      </c>
      <c r="W28" s="3">
        <v>0.7</v>
      </c>
      <c r="X28" s="3">
        <v>0.7</v>
      </c>
      <c r="Y28" s="3">
        <v>0.7</v>
      </c>
      <c r="Z28" s="3">
        <v>0.7</v>
      </c>
      <c r="AA28" s="3">
        <v>0.7</v>
      </c>
      <c r="AB28" s="3">
        <v>0.7</v>
      </c>
      <c r="AC28" s="3">
        <v>0.7</v>
      </c>
      <c r="AD28" s="3">
        <v>0.7</v>
      </c>
      <c r="AE28" s="3">
        <v>0.7</v>
      </c>
      <c r="AF28" s="3">
        <v>0.7</v>
      </c>
      <c r="AG28" s="3">
        <v>0.7</v>
      </c>
      <c r="AH28" s="3">
        <v>0.7</v>
      </c>
    </row>
    <row r="29" ht="16" x14ac:dyDescent="0.2">
      <c r="A29" s="209" t="s">
        <v>209</v>
      </c>
      <c r="B29" s="3">
        <v>0.7</v>
      </c>
      <c r="C29" s="3">
        <v>0.7</v>
      </c>
      <c r="D29" s="3">
        <v>0.7</v>
      </c>
      <c r="E29" s="3">
        <v>0.7</v>
      </c>
      <c r="F29" s="3">
        <v>0.7</v>
      </c>
      <c r="G29" s="3">
        <v>0.7</v>
      </c>
      <c r="H29" s="3">
        <v>0.7</v>
      </c>
      <c r="I29" s="3">
        <v>0.7</v>
      </c>
      <c r="J29" s="3">
        <v>0.7</v>
      </c>
      <c r="K29" s="3">
        <v>0.7</v>
      </c>
      <c r="L29" s="3">
        <v>0.7</v>
      </c>
      <c r="M29" s="3">
        <v>0.7</v>
      </c>
      <c r="N29" s="3">
        <v>0.7</v>
      </c>
      <c r="O29" s="3">
        <v>0.7</v>
      </c>
      <c r="P29" s="3">
        <v>0.7</v>
      </c>
      <c r="Q29" s="3">
        <v>0.7</v>
      </c>
      <c r="R29" s="3">
        <v>0.7</v>
      </c>
      <c r="S29" s="3">
        <v>0.7</v>
      </c>
      <c r="T29" s="3">
        <v>0.7</v>
      </c>
      <c r="U29" s="3">
        <v>0.7</v>
      </c>
      <c r="V29" s="3">
        <v>0.7</v>
      </c>
      <c r="W29" s="3">
        <v>0.7</v>
      </c>
      <c r="X29" s="3">
        <v>0.7</v>
      </c>
      <c r="Y29" s="3">
        <v>0.7</v>
      </c>
      <c r="Z29" s="3">
        <v>0.7</v>
      </c>
      <c r="AA29" s="3">
        <v>0.7</v>
      </c>
      <c r="AB29" s="3">
        <v>0.7</v>
      </c>
      <c r="AC29" s="3">
        <v>0.7</v>
      </c>
      <c r="AD29" s="3">
        <v>0.7</v>
      </c>
      <c r="AE29" s="3">
        <v>0.7</v>
      </c>
      <c r="AF29" s="3">
        <v>0.7</v>
      </c>
      <c r="AG29" s="3">
        <v>0.7</v>
      </c>
      <c r="AH29" s="3">
        <v>0.7</v>
      </c>
    </row>
    <row r="30" ht="16" x14ac:dyDescent="0.2">
      <c r="A30" s="209" t="s">
        <v>175</v>
      </c>
      <c r="B30" s="3">
        <v>0.7</v>
      </c>
      <c r="C30" s="3">
        <v>0.7</v>
      </c>
      <c r="D30" s="3">
        <v>0.7</v>
      </c>
      <c r="E30" s="3">
        <v>0.7</v>
      </c>
      <c r="F30" s="3">
        <v>0.7</v>
      </c>
      <c r="G30" s="3">
        <v>0.7</v>
      </c>
      <c r="H30" s="3">
        <v>0.7</v>
      </c>
      <c r="I30" s="3">
        <v>0.7</v>
      </c>
      <c r="J30" s="3">
        <v>0.7</v>
      </c>
      <c r="K30" s="3">
        <v>0.7</v>
      </c>
      <c r="L30" s="3">
        <v>0.7</v>
      </c>
      <c r="M30" s="3">
        <v>0.7</v>
      </c>
      <c r="N30" s="3">
        <v>0.7</v>
      </c>
      <c r="O30" s="3">
        <v>0.7</v>
      </c>
      <c r="P30" s="3">
        <v>0.7</v>
      </c>
      <c r="Q30" s="3">
        <v>0.7</v>
      </c>
      <c r="R30" s="3">
        <v>0.7</v>
      </c>
      <c r="S30" s="3">
        <v>0.7</v>
      </c>
      <c r="T30" s="3">
        <v>0.7</v>
      </c>
      <c r="U30" s="3">
        <v>0.7</v>
      </c>
      <c r="V30" s="3">
        <v>0.7</v>
      </c>
      <c r="W30" s="3">
        <v>0.7</v>
      </c>
      <c r="X30" s="3">
        <v>0.7</v>
      </c>
      <c r="Y30" s="3">
        <v>0.7</v>
      </c>
      <c r="Z30" s="3">
        <v>0.7</v>
      </c>
      <c r="AA30" s="3">
        <v>0.7</v>
      </c>
      <c r="AB30" s="3">
        <v>0.7</v>
      </c>
      <c r="AC30" s="3">
        <v>0.7</v>
      </c>
      <c r="AD30" s="3">
        <v>0.7</v>
      </c>
      <c r="AE30" s="3">
        <v>0.7</v>
      </c>
      <c r="AF30" s="3">
        <v>0.7</v>
      </c>
      <c r="AG30" s="3">
        <v>0.7</v>
      </c>
      <c r="AH30" s="3">
        <v>0.7</v>
      </c>
    </row>
    <row r="31" ht="16" x14ac:dyDescent="0.2">
      <c r="A31" s="209" t="s">
        <v>210</v>
      </c>
      <c r="B31" s="3">
        <v>0.7</v>
      </c>
      <c r="C31" s="3">
        <v>0.7</v>
      </c>
      <c r="D31" s="3">
        <v>0.7</v>
      </c>
      <c r="E31" s="3">
        <v>0.7</v>
      </c>
      <c r="F31" s="3">
        <v>0.7</v>
      </c>
      <c r="G31" s="3">
        <v>0.7</v>
      </c>
      <c r="H31" s="3">
        <v>0.7</v>
      </c>
      <c r="I31" s="3">
        <v>0.7</v>
      </c>
      <c r="J31" s="3">
        <v>0.7</v>
      </c>
      <c r="K31" s="3">
        <v>0.7</v>
      </c>
      <c r="L31" s="3">
        <v>0.7</v>
      </c>
      <c r="M31" s="3">
        <v>0.7</v>
      </c>
      <c r="N31" s="3">
        <v>0.7</v>
      </c>
      <c r="O31" s="3">
        <v>0.7</v>
      </c>
      <c r="P31" s="3">
        <v>0.7</v>
      </c>
      <c r="Q31" s="3">
        <v>0.7</v>
      </c>
      <c r="R31" s="3">
        <v>0.7</v>
      </c>
      <c r="S31" s="3">
        <v>0.7</v>
      </c>
      <c r="T31" s="3">
        <v>0.7</v>
      </c>
      <c r="U31" s="3">
        <v>0.7</v>
      </c>
      <c r="V31" s="3">
        <v>0.7</v>
      </c>
      <c r="W31" s="3">
        <v>0.7</v>
      </c>
      <c r="X31" s="3">
        <v>0.7</v>
      </c>
      <c r="Y31" s="3">
        <v>0.7</v>
      </c>
      <c r="Z31" s="3">
        <v>0.7</v>
      </c>
      <c r="AA31" s="3">
        <v>0.7</v>
      </c>
      <c r="AB31" s="3">
        <v>0.7</v>
      </c>
      <c r="AC31" s="3">
        <v>0.7</v>
      </c>
      <c r="AD31" s="3">
        <v>0.7</v>
      </c>
      <c r="AE31" s="3">
        <v>0.7</v>
      </c>
      <c r="AF31" s="3">
        <v>0.7</v>
      </c>
      <c r="AG31" s="3">
        <v>0.7</v>
      </c>
      <c r="AH31" s="3">
        <v>0.7</v>
      </c>
    </row>
    <row r="32" ht="16" x14ac:dyDescent="0.2">
      <c r="A32" s="209" t="s">
        <v>211</v>
      </c>
      <c r="B32" s="3">
        <v>0.7</v>
      </c>
      <c r="C32" s="3">
        <v>0.7</v>
      </c>
      <c r="D32" s="3">
        <v>0.7</v>
      </c>
      <c r="E32" s="3">
        <v>0.7</v>
      </c>
      <c r="F32" s="3">
        <v>0.7</v>
      </c>
      <c r="G32" s="3">
        <v>0.7</v>
      </c>
      <c r="H32" s="3">
        <v>0.7</v>
      </c>
      <c r="I32" s="3">
        <v>0.7</v>
      </c>
      <c r="J32" s="3">
        <v>0.7</v>
      </c>
      <c r="K32" s="3">
        <v>0.7</v>
      </c>
      <c r="L32" s="3">
        <v>0.7</v>
      </c>
      <c r="M32" s="3">
        <v>0.7</v>
      </c>
      <c r="N32" s="3">
        <v>0.7</v>
      </c>
      <c r="O32" s="3">
        <v>0.7</v>
      </c>
      <c r="P32" s="3">
        <v>0.7</v>
      </c>
      <c r="Q32" s="3">
        <v>0.7</v>
      </c>
      <c r="R32" s="3">
        <v>0.7</v>
      </c>
      <c r="S32" s="3">
        <v>0.7</v>
      </c>
      <c r="T32" s="3">
        <v>0.7</v>
      </c>
      <c r="U32" s="3">
        <v>0.7</v>
      </c>
      <c r="V32" s="3">
        <v>0.7</v>
      </c>
      <c r="W32" s="3">
        <v>0.7</v>
      </c>
      <c r="X32" s="3">
        <v>0.7</v>
      </c>
      <c r="Y32" s="3">
        <v>0.7</v>
      </c>
      <c r="Z32" s="3">
        <v>0.7</v>
      </c>
      <c r="AA32" s="3">
        <v>0.7</v>
      </c>
      <c r="AB32" s="3">
        <v>0.7</v>
      </c>
      <c r="AC32" s="3">
        <v>0.7</v>
      </c>
      <c r="AD32" s="3">
        <v>0.7</v>
      </c>
      <c r="AE32" s="3">
        <v>0.7</v>
      </c>
      <c r="AF32" s="3">
        <v>0.7</v>
      </c>
      <c r="AG32" s="3">
        <v>0.7</v>
      </c>
      <c r="AH32" s="3">
        <v>0.7</v>
      </c>
    </row>
    <row r="33" ht="16" x14ac:dyDescent="0.2">
      <c r="A33" s="209" t="s">
        <v>212</v>
      </c>
      <c r="B33" s="3">
        <v>0.7</v>
      </c>
      <c r="C33" s="3">
        <v>0.7</v>
      </c>
      <c r="D33" s="3">
        <v>0.7</v>
      </c>
      <c r="E33" s="3">
        <v>0.7</v>
      </c>
      <c r="F33" s="3">
        <v>0.7</v>
      </c>
      <c r="G33" s="3">
        <v>0.7</v>
      </c>
      <c r="H33" s="3">
        <v>0.7</v>
      </c>
      <c r="I33" s="3">
        <v>0.7</v>
      </c>
      <c r="J33" s="3">
        <v>0.7</v>
      </c>
      <c r="K33" s="3">
        <v>0.7</v>
      </c>
      <c r="L33" s="3">
        <v>0.7</v>
      </c>
      <c r="M33" s="3">
        <v>0.7</v>
      </c>
      <c r="N33" s="3">
        <v>0.7</v>
      </c>
      <c r="O33" s="3">
        <v>0.7</v>
      </c>
      <c r="P33" s="3">
        <v>0.7</v>
      </c>
      <c r="Q33" s="3">
        <v>0.7</v>
      </c>
      <c r="R33" s="3">
        <v>0.7</v>
      </c>
      <c r="S33" s="3">
        <v>0.7</v>
      </c>
      <c r="T33" s="3">
        <v>0.7</v>
      </c>
      <c r="U33" s="3">
        <v>0.7</v>
      </c>
      <c r="V33" s="3">
        <v>0.7</v>
      </c>
      <c r="W33" s="3">
        <v>0.7</v>
      </c>
      <c r="X33" s="3">
        <v>0.7</v>
      </c>
      <c r="Y33" s="3">
        <v>0.7</v>
      </c>
      <c r="Z33" s="3">
        <v>0.7</v>
      </c>
      <c r="AA33" s="3">
        <v>0.7</v>
      </c>
      <c r="AB33" s="3">
        <v>0.7</v>
      </c>
      <c r="AC33" s="3">
        <v>0.7</v>
      </c>
      <c r="AD33" s="3">
        <v>0.7</v>
      </c>
      <c r="AE33" s="3">
        <v>0.7</v>
      </c>
      <c r="AF33" s="3">
        <v>0.7</v>
      </c>
      <c r="AG33" s="3">
        <v>0.7</v>
      </c>
      <c r="AH33" s="3">
        <v>0.7</v>
      </c>
    </row>
    <row r="34" ht="16" x14ac:dyDescent="0.2">
      <c r="A34" s="209" t="s">
        <v>178</v>
      </c>
      <c r="B34" s="3">
        <v>0.7</v>
      </c>
      <c r="C34" s="3">
        <v>0.7</v>
      </c>
      <c r="D34" s="3">
        <v>0.7</v>
      </c>
      <c r="E34" s="3">
        <v>0.7</v>
      </c>
      <c r="F34" s="3">
        <v>0.7</v>
      </c>
      <c r="G34" s="3">
        <v>0.7</v>
      </c>
      <c r="H34" s="3">
        <v>0.7</v>
      </c>
      <c r="I34" s="3">
        <v>0.7</v>
      </c>
      <c r="J34" s="3">
        <v>0.7</v>
      </c>
      <c r="K34" s="3">
        <v>0.7</v>
      </c>
      <c r="L34" s="3">
        <v>0.7</v>
      </c>
      <c r="M34" s="3">
        <v>0.7</v>
      </c>
      <c r="N34" s="3">
        <v>0.7</v>
      </c>
      <c r="O34" s="3">
        <v>0.7</v>
      </c>
      <c r="P34" s="3">
        <v>0.7</v>
      </c>
      <c r="Q34" s="3">
        <v>0.7</v>
      </c>
      <c r="R34" s="3">
        <v>0.7</v>
      </c>
      <c r="S34" s="3">
        <v>0.7</v>
      </c>
      <c r="T34" s="3">
        <v>0.7</v>
      </c>
      <c r="U34" s="3">
        <v>0.7</v>
      </c>
      <c r="V34" s="3">
        <v>0.7</v>
      </c>
      <c r="W34" s="3">
        <v>0.7</v>
      </c>
      <c r="X34" s="3">
        <v>0.7</v>
      </c>
      <c r="Y34" s="3">
        <v>0.7</v>
      </c>
      <c r="Z34" s="3">
        <v>0.7</v>
      </c>
      <c r="AA34" s="3">
        <v>0.7</v>
      </c>
      <c r="AB34" s="3">
        <v>0.7</v>
      </c>
      <c r="AC34" s="3">
        <v>0.7</v>
      </c>
      <c r="AD34" s="3">
        <v>0.7</v>
      </c>
      <c r="AE34" s="3">
        <v>0.7</v>
      </c>
      <c r="AF34" s="3">
        <v>0.7</v>
      </c>
      <c r="AG34" s="3">
        <v>0.7</v>
      </c>
      <c r="AH34" s="3">
        <v>0.7</v>
      </c>
    </row>
    <row r="35" ht="16" x14ac:dyDescent="0.2">
      <c r="A35" s="209" t="s">
        <v>179</v>
      </c>
      <c r="B35" s="3">
        <v>0.7</v>
      </c>
      <c r="C35" s="3">
        <v>0.7</v>
      </c>
      <c r="D35" s="3">
        <v>0.7</v>
      </c>
      <c r="E35" s="3">
        <v>0.7</v>
      </c>
      <c r="F35" s="3">
        <v>0.7</v>
      </c>
      <c r="G35" s="3">
        <v>0.7</v>
      </c>
      <c r="H35" s="3">
        <v>0.7</v>
      </c>
      <c r="I35" s="3">
        <v>0.7</v>
      </c>
      <c r="J35" s="3">
        <v>0.7</v>
      </c>
      <c r="K35" s="3">
        <v>0.7</v>
      </c>
      <c r="L35" s="3">
        <v>0.7</v>
      </c>
      <c r="M35" s="3">
        <v>0.7</v>
      </c>
      <c r="N35" s="3">
        <v>0.7</v>
      </c>
      <c r="O35" s="3">
        <v>0.7</v>
      </c>
      <c r="P35" s="3">
        <v>0.7</v>
      </c>
      <c r="Q35" s="3">
        <v>0.7</v>
      </c>
      <c r="R35" s="3">
        <v>0.7</v>
      </c>
      <c r="S35" s="3">
        <v>0.7</v>
      </c>
      <c r="T35" s="3">
        <v>0.7</v>
      </c>
      <c r="U35" s="3">
        <v>0.7</v>
      </c>
      <c r="V35" s="3">
        <v>0.7</v>
      </c>
      <c r="W35" s="3">
        <v>0.7</v>
      </c>
      <c r="X35" s="3">
        <v>0.7</v>
      </c>
      <c r="Y35" s="3">
        <v>0.7</v>
      </c>
      <c r="Z35" s="3">
        <v>0.7</v>
      </c>
      <c r="AA35" s="3">
        <v>0.7</v>
      </c>
      <c r="AB35" s="3">
        <v>0.7</v>
      </c>
      <c r="AC35" s="3">
        <v>0.7</v>
      </c>
      <c r="AD35" s="3">
        <v>0.7</v>
      </c>
      <c r="AE35" s="3">
        <v>0.7</v>
      </c>
      <c r="AF35" s="3">
        <v>0.7</v>
      </c>
      <c r="AG35" s="3">
        <v>0.7</v>
      </c>
      <c r="AH35" s="3">
        <v>0.7</v>
      </c>
    </row>
    <row r="36" x14ac:dyDescent="0.15"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</row>
    <row r="39" x14ac:dyDescent="0.15">
      <c r="A39" t="s">
        <v>230</v>
      </c>
    </row>
    <row r="49" ht="14" customHeight="true" x14ac:dyDescent="0.15"/>
    <row r="50" ht="14" customHeight="true" x14ac:dyDescent="0.15"/>
    <row r="51" ht="14" customHeight="true" x14ac:dyDescent="0.15"/>
    <row r="52" ht="14" customHeight="true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H52"/>
  <sheetViews>
    <sheetView workbookViewId="0">
      <selection activeCell="A5" sqref="A5"/>
    </sheetView>
  </sheetViews>
  <sheetFormatPr baseColWidth="10" defaultColWidth="8.83203125" defaultRowHeight="14" customHeight="true" x14ac:dyDescent="0.15"/>
  <cols>
    <col min="1" max="1" width="23" bestFit="true" customWidth="true"/>
  </cols>
  <sheetData>
    <row r="1" ht="16" x14ac:dyDescent="0.2">
      <c r="A1" s="2" t="s">
        <v>140</v>
      </c>
      <c r="B1" s="209" t="s">
        <v>182</v>
      </c>
      <c r="C1" s="209" t="s">
        <v>183</v>
      </c>
      <c r="D1" s="209" t="s">
        <v>184</v>
      </c>
      <c r="E1" s="209" t="s">
        <v>185</v>
      </c>
      <c r="F1" s="209" t="s">
        <v>186</v>
      </c>
      <c r="G1" s="209" t="s">
        <v>187</v>
      </c>
      <c r="H1" s="209" t="s">
        <v>188</v>
      </c>
      <c r="I1" s="209" t="s">
        <v>189</v>
      </c>
      <c r="J1" s="209" t="s">
        <v>190</v>
      </c>
      <c r="K1" s="209" t="s">
        <v>191</v>
      </c>
      <c r="L1" s="209" t="s">
        <v>192</v>
      </c>
      <c r="M1" s="209" t="s">
        <v>193</v>
      </c>
      <c r="N1" s="209" t="s">
        <v>194</v>
      </c>
      <c r="O1" s="209" t="s">
        <v>195</v>
      </c>
      <c r="P1" s="209" t="s">
        <v>196</v>
      </c>
      <c r="Q1" s="209" t="s">
        <v>197</v>
      </c>
      <c r="R1" s="209" t="s">
        <v>198</v>
      </c>
      <c r="S1" s="209" t="s">
        <v>199</v>
      </c>
      <c r="T1" s="209" t="s">
        <v>200</v>
      </c>
      <c r="U1" s="209" t="s">
        <v>201</v>
      </c>
      <c r="V1" s="209" t="s">
        <v>202</v>
      </c>
      <c r="W1" s="209" t="s">
        <v>203</v>
      </c>
      <c r="X1" s="209" t="s">
        <v>204</v>
      </c>
      <c r="Y1" s="209" t="s">
        <v>205</v>
      </c>
      <c r="Z1" s="209" t="s">
        <v>206</v>
      </c>
      <c r="AA1" s="209" t="s">
        <v>207</v>
      </c>
      <c r="AB1" s="209" t="s">
        <v>208</v>
      </c>
      <c r="AC1" s="209" t="s">
        <v>209</v>
      </c>
      <c r="AD1" s="209" t="s">
        <v>175</v>
      </c>
      <c r="AE1" s="209" t="s">
        <v>210</v>
      </c>
      <c r="AF1" s="209" t="s">
        <v>211</v>
      </c>
      <c r="AG1" s="209" t="s">
        <v>212</v>
      </c>
      <c r="AH1" s="209" t="s">
        <v>178</v>
      </c>
    </row>
    <row r="2" ht="16" x14ac:dyDescent="0.2">
      <c r="A2" s="209" t="s">
        <v>182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3">
        <v>0</v>
      </c>
      <c r="AC2" s="3">
        <v>0</v>
      </c>
      <c r="AD2" s="3">
        <v>0</v>
      </c>
      <c r="AE2" s="3">
        <v>0</v>
      </c>
      <c r="AF2" s="3">
        <v>0</v>
      </c>
      <c r="AG2" s="3">
        <v>0</v>
      </c>
      <c r="AH2" s="3">
        <v>0</v>
      </c>
    </row>
    <row r="3" ht="16" x14ac:dyDescent="0.2">
      <c r="A3" s="209" t="s">
        <v>183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  <c r="AC3" s="3">
        <v>0</v>
      </c>
      <c r="AD3" s="3">
        <v>0</v>
      </c>
      <c r="AE3" s="3">
        <v>0</v>
      </c>
      <c r="AF3" s="3">
        <v>0</v>
      </c>
      <c r="AG3" s="3">
        <v>0</v>
      </c>
      <c r="AH3" s="3">
        <v>0</v>
      </c>
    </row>
    <row r="4" ht="16" x14ac:dyDescent="0.2">
      <c r="A4" s="209" t="s">
        <v>184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222">
        <v>1</v>
      </c>
      <c r="I4" s="222">
        <v>1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  <c r="AC4" s="3">
        <v>0</v>
      </c>
      <c r="AD4" s="3">
        <v>0</v>
      </c>
      <c r="AE4" s="3">
        <v>0</v>
      </c>
      <c r="AF4" s="3">
        <v>0</v>
      </c>
      <c r="AG4" s="3">
        <v>0</v>
      </c>
      <c r="AH4" s="3">
        <v>0</v>
      </c>
    </row>
    <row r="5" ht="16" x14ac:dyDescent="0.2">
      <c r="A5" s="209" t="s">
        <v>185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222">
        <v>1</v>
      </c>
      <c r="I5" s="222">
        <v>1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  <c r="AC5" s="3">
        <v>0</v>
      </c>
      <c r="AD5" s="3">
        <v>0</v>
      </c>
      <c r="AE5" s="3">
        <v>0</v>
      </c>
      <c r="AF5" s="3">
        <v>0</v>
      </c>
      <c r="AG5" s="3">
        <v>0</v>
      </c>
      <c r="AH5" s="3">
        <v>0</v>
      </c>
    </row>
    <row r="6" ht="16" x14ac:dyDescent="0.2">
      <c r="A6" s="209" t="s">
        <v>186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222">
        <v>1</v>
      </c>
      <c r="I6" s="222">
        <v>1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  <c r="AC6" s="3">
        <v>0</v>
      </c>
      <c r="AD6" s="3">
        <v>0</v>
      </c>
      <c r="AE6" s="3">
        <v>0</v>
      </c>
      <c r="AF6" s="3">
        <v>0</v>
      </c>
      <c r="AG6" s="3">
        <v>0</v>
      </c>
      <c r="AH6" s="3">
        <v>0</v>
      </c>
    </row>
    <row r="7" ht="16" x14ac:dyDescent="0.2">
      <c r="A7" s="209" t="s">
        <v>187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  <c r="AC7" s="3">
        <v>0</v>
      </c>
      <c r="AD7" s="3">
        <v>0</v>
      </c>
      <c r="AE7" s="3">
        <v>0</v>
      </c>
      <c r="AF7" s="3">
        <v>0</v>
      </c>
      <c r="AG7" s="3">
        <v>0</v>
      </c>
      <c r="AH7" s="3">
        <v>0</v>
      </c>
    </row>
    <row r="8" ht="16" x14ac:dyDescent="0.2">
      <c r="A8" s="209" t="s">
        <v>188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  <c r="AC8" s="3">
        <v>0</v>
      </c>
      <c r="AD8" s="3">
        <v>0</v>
      </c>
      <c r="AE8" s="3">
        <v>0</v>
      </c>
      <c r="AF8" s="3">
        <v>0</v>
      </c>
      <c r="AG8" s="3">
        <v>0</v>
      </c>
      <c r="AH8" s="3">
        <v>0</v>
      </c>
    </row>
    <row r="9" ht="16" x14ac:dyDescent="0.2">
      <c r="A9" s="209" t="s">
        <v>189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  <c r="AC9" s="3">
        <v>0</v>
      </c>
      <c r="AD9" s="3">
        <v>0</v>
      </c>
      <c r="AE9" s="3">
        <v>0</v>
      </c>
      <c r="AF9" s="3">
        <v>0</v>
      </c>
      <c r="AG9" s="3">
        <v>0</v>
      </c>
      <c r="AH9" s="3">
        <v>0</v>
      </c>
    </row>
    <row r="10" ht="16" x14ac:dyDescent="0.2">
      <c r="A10" s="209" t="s">
        <v>190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  <c r="AC10" s="3">
        <v>0</v>
      </c>
      <c r="AD10" s="3">
        <v>0</v>
      </c>
      <c r="AE10" s="3">
        <v>0</v>
      </c>
      <c r="AF10" s="3">
        <v>0</v>
      </c>
      <c r="AG10" s="3">
        <v>0</v>
      </c>
      <c r="AH10" s="3">
        <v>0</v>
      </c>
    </row>
    <row r="11" ht="16" x14ac:dyDescent="0.2">
      <c r="A11" s="209" t="s">
        <v>191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  <c r="AC11" s="3">
        <v>0</v>
      </c>
      <c r="AD11" s="3">
        <v>0</v>
      </c>
      <c r="AE11" s="3">
        <v>0</v>
      </c>
      <c r="AF11" s="3">
        <v>0</v>
      </c>
      <c r="AG11" s="3">
        <v>0</v>
      </c>
      <c r="AH11" s="3">
        <v>0</v>
      </c>
    </row>
    <row r="12" ht="16" x14ac:dyDescent="0.2">
      <c r="A12" s="209" t="s">
        <v>192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3">
        <v>0</v>
      </c>
      <c r="T12" s="3">
        <v>0</v>
      </c>
      <c r="U12" s="3">
        <v>0</v>
      </c>
      <c r="V12" s="3">
        <v>0</v>
      </c>
      <c r="W12" s="3">
        <v>0</v>
      </c>
      <c r="X12" s="3">
        <v>0</v>
      </c>
      <c r="Y12" s="3">
        <v>0</v>
      </c>
      <c r="Z12" s="3">
        <v>0</v>
      </c>
      <c r="AA12" s="3">
        <v>0</v>
      </c>
      <c r="AB12" s="3">
        <v>0</v>
      </c>
      <c r="AC12" s="3">
        <v>0</v>
      </c>
      <c r="AD12" s="3">
        <v>0</v>
      </c>
      <c r="AE12" s="3">
        <v>0</v>
      </c>
      <c r="AF12" s="3">
        <v>0</v>
      </c>
      <c r="AG12" s="3">
        <v>0</v>
      </c>
      <c r="AH12" s="3">
        <v>0</v>
      </c>
    </row>
    <row r="13" ht="16" x14ac:dyDescent="0.2">
      <c r="A13" s="209" t="s">
        <v>193</v>
      </c>
      <c r="B13" s="3">
        <v>0</v>
      </c>
      <c r="C13" s="3">
        <v>0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3">
        <v>0</v>
      </c>
      <c r="AC13" s="3">
        <v>0</v>
      </c>
      <c r="AD13" s="3">
        <v>0</v>
      </c>
      <c r="AE13" s="3">
        <v>0</v>
      </c>
      <c r="AF13" s="3">
        <v>0</v>
      </c>
      <c r="AG13" s="3">
        <v>0</v>
      </c>
      <c r="AH13" s="3">
        <v>0</v>
      </c>
    </row>
    <row r="14" ht="16" x14ac:dyDescent="0.2">
      <c r="A14" s="209" t="s">
        <v>194</v>
      </c>
      <c r="B14" s="3">
        <v>0</v>
      </c>
      <c r="C14" s="3">
        <v>0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3">
        <v>0</v>
      </c>
      <c r="T14" s="3">
        <v>0</v>
      </c>
      <c r="U14" s="3">
        <v>0</v>
      </c>
      <c r="V14" s="3">
        <v>0</v>
      </c>
      <c r="W14" s="3">
        <v>0</v>
      </c>
      <c r="X14" s="3">
        <v>0</v>
      </c>
      <c r="Y14" s="3">
        <v>0</v>
      </c>
      <c r="Z14" s="3">
        <v>0</v>
      </c>
      <c r="AA14" s="3">
        <v>0</v>
      </c>
      <c r="AB14" s="3">
        <v>0</v>
      </c>
      <c r="AC14" s="3">
        <v>0</v>
      </c>
      <c r="AD14" s="3">
        <v>0</v>
      </c>
      <c r="AE14" s="3">
        <v>0</v>
      </c>
      <c r="AF14" s="3">
        <v>0</v>
      </c>
      <c r="AG14" s="3">
        <v>0</v>
      </c>
      <c r="AH14" s="3">
        <v>0</v>
      </c>
    </row>
    <row r="15" ht="16" x14ac:dyDescent="0.2">
      <c r="A15" s="209" t="s">
        <v>195</v>
      </c>
      <c r="B15" s="3">
        <v>0</v>
      </c>
      <c r="C15" s="3">
        <v>0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>
        <v>0</v>
      </c>
      <c r="J15" s="3">
        <v>0</v>
      </c>
      <c r="K15" s="3">
        <v>0</v>
      </c>
      <c r="L15" s="3">
        <v>0</v>
      </c>
      <c r="M15" s="3">
        <v>0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3">
        <v>0</v>
      </c>
      <c r="T15" s="3">
        <v>0</v>
      </c>
      <c r="U15" s="3">
        <v>0</v>
      </c>
      <c r="V15" s="3">
        <v>0</v>
      </c>
      <c r="W15" s="3">
        <v>0</v>
      </c>
      <c r="X15" s="3">
        <v>0</v>
      </c>
      <c r="Y15" s="3">
        <v>0</v>
      </c>
      <c r="Z15" s="3">
        <v>0</v>
      </c>
      <c r="AA15" s="3">
        <v>0</v>
      </c>
      <c r="AB15" s="3">
        <v>0</v>
      </c>
      <c r="AC15" s="3">
        <v>0</v>
      </c>
      <c r="AD15" s="3">
        <v>0</v>
      </c>
      <c r="AE15" s="3">
        <v>0</v>
      </c>
      <c r="AF15" s="3">
        <v>0</v>
      </c>
      <c r="AG15" s="3">
        <v>0</v>
      </c>
      <c r="AH15" s="3">
        <v>0</v>
      </c>
    </row>
    <row r="16" ht="16" x14ac:dyDescent="0.2">
      <c r="A16" s="209" t="s">
        <v>196</v>
      </c>
      <c r="B16" s="3">
        <v>0</v>
      </c>
      <c r="C16" s="3">
        <v>0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3">
        <v>0</v>
      </c>
      <c r="T16" s="3">
        <v>0</v>
      </c>
      <c r="U16" s="3">
        <v>0</v>
      </c>
      <c r="V16" s="3">
        <v>0</v>
      </c>
      <c r="W16" s="3">
        <v>0</v>
      </c>
      <c r="X16" s="3">
        <v>0</v>
      </c>
      <c r="Y16" s="3">
        <v>0</v>
      </c>
      <c r="Z16" s="3">
        <v>0</v>
      </c>
      <c r="AA16" s="3">
        <v>0</v>
      </c>
      <c r="AB16" s="3">
        <v>0</v>
      </c>
      <c r="AC16" s="3">
        <v>0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</row>
    <row r="17" ht="16" x14ac:dyDescent="0.2">
      <c r="A17" s="209" t="s">
        <v>197</v>
      </c>
      <c r="B17" s="3">
        <v>0</v>
      </c>
      <c r="C17" s="3">
        <v>0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0</v>
      </c>
      <c r="J17" s="3">
        <v>0</v>
      </c>
      <c r="K17" s="3">
        <v>0</v>
      </c>
      <c r="L17" s="3">
        <v>0</v>
      </c>
      <c r="M17" s="3">
        <v>0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3">
        <v>0</v>
      </c>
      <c r="T17" s="3">
        <v>0</v>
      </c>
      <c r="U17" s="3">
        <v>0</v>
      </c>
      <c r="V17" s="3">
        <v>0</v>
      </c>
      <c r="W17" s="3">
        <v>0</v>
      </c>
      <c r="X17" s="3">
        <v>0</v>
      </c>
      <c r="Y17" s="3">
        <v>0</v>
      </c>
      <c r="Z17" s="3">
        <v>0</v>
      </c>
      <c r="AA17" s="3">
        <v>0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</row>
    <row r="18" ht="16" x14ac:dyDescent="0.2">
      <c r="A18" s="209" t="s">
        <v>198</v>
      </c>
      <c r="B18" s="3">
        <v>0</v>
      </c>
      <c r="C18" s="3">
        <v>0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0</v>
      </c>
      <c r="N18" s="3">
        <v>0</v>
      </c>
      <c r="O18" s="3">
        <v>0</v>
      </c>
      <c r="P18" s="3">
        <v>0</v>
      </c>
      <c r="Q18" s="3">
        <v>0</v>
      </c>
      <c r="R18" s="3">
        <v>0</v>
      </c>
      <c r="S18" s="3">
        <v>0</v>
      </c>
      <c r="T18" s="3">
        <v>0</v>
      </c>
      <c r="U18" s="3">
        <v>0</v>
      </c>
      <c r="V18" s="3">
        <v>0</v>
      </c>
      <c r="W18" s="3">
        <v>0</v>
      </c>
      <c r="X18" s="3">
        <v>0</v>
      </c>
      <c r="Y18" s="3">
        <v>0</v>
      </c>
      <c r="Z18" s="3">
        <v>0</v>
      </c>
      <c r="AA18" s="3">
        <v>0</v>
      </c>
      <c r="AB18" s="3">
        <v>0</v>
      </c>
      <c r="AC18" s="3">
        <v>0</v>
      </c>
      <c r="AD18" s="3">
        <v>0</v>
      </c>
      <c r="AE18" s="3">
        <v>0</v>
      </c>
      <c r="AF18" s="3">
        <v>0</v>
      </c>
      <c r="AG18" s="3">
        <v>0</v>
      </c>
      <c r="AH18" s="3">
        <v>0</v>
      </c>
    </row>
    <row r="19" ht="16" x14ac:dyDescent="0.2">
      <c r="A19" s="209" t="s">
        <v>199</v>
      </c>
      <c r="B19" s="3">
        <v>0</v>
      </c>
      <c r="C19" s="3">
        <v>0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>
        <v>0</v>
      </c>
      <c r="J19" s="3">
        <v>0</v>
      </c>
      <c r="K19" s="3">
        <v>0</v>
      </c>
      <c r="L19" s="3">
        <v>0</v>
      </c>
      <c r="M19" s="3">
        <v>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3">
        <v>0</v>
      </c>
      <c r="T19" s="3">
        <v>0</v>
      </c>
      <c r="U19" s="3">
        <v>0</v>
      </c>
      <c r="V19" s="3">
        <v>0</v>
      </c>
      <c r="W19" s="3">
        <v>0</v>
      </c>
      <c r="X19" s="3">
        <v>0</v>
      </c>
      <c r="Y19" s="3">
        <v>0</v>
      </c>
      <c r="Z19" s="3">
        <v>0</v>
      </c>
      <c r="AA19" s="3">
        <v>0</v>
      </c>
      <c r="AB19" s="3">
        <v>0</v>
      </c>
      <c r="AC19" s="3">
        <v>0</v>
      </c>
      <c r="AD19" s="3">
        <v>0</v>
      </c>
      <c r="AE19" s="3">
        <v>0</v>
      </c>
      <c r="AF19" s="3">
        <v>0</v>
      </c>
      <c r="AG19" s="3">
        <v>0</v>
      </c>
      <c r="AH19" s="3">
        <v>0</v>
      </c>
    </row>
    <row r="20" ht="16" x14ac:dyDescent="0.2">
      <c r="A20" s="209" t="s">
        <v>200</v>
      </c>
      <c r="B20" s="3">
        <v>0</v>
      </c>
      <c r="C20" s="3">
        <v>0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3">
        <v>0</v>
      </c>
      <c r="T20" s="3">
        <v>0</v>
      </c>
      <c r="U20" s="3">
        <v>0</v>
      </c>
      <c r="V20" s="3">
        <v>0</v>
      </c>
      <c r="W20" s="3">
        <v>0</v>
      </c>
      <c r="X20" s="3">
        <v>0</v>
      </c>
      <c r="Y20" s="3">
        <v>0</v>
      </c>
      <c r="Z20" s="3">
        <v>0</v>
      </c>
      <c r="AA20" s="3">
        <v>0</v>
      </c>
      <c r="AB20" s="3">
        <v>0</v>
      </c>
      <c r="AC20" s="3">
        <v>0</v>
      </c>
      <c r="AD20" s="3">
        <v>0</v>
      </c>
      <c r="AE20" s="3">
        <v>0</v>
      </c>
      <c r="AF20" s="3">
        <v>0</v>
      </c>
      <c r="AG20" s="3">
        <v>0</v>
      </c>
      <c r="AH20" s="3">
        <v>0</v>
      </c>
    </row>
    <row r="21" ht="16" x14ac:dyDescent="0.2">
      <c r="A21" s="209" t="s">
        <v>201</v>
      </c>
      <c r="B21" s="3">
        <v>0</v>
      </c>
      <c r="C21" s="3">
        <v>0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>
        <v>0</v>
      </c>
      <c r="J21" s="3">
        <v>0</v>
      </c>
      <c r="K21" s="3">
        <v>0</v>
      </c>
      <c r="L21" s="3">
        <v>0</v>
      </c>
      <c r="M21" s="3">
        <v>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3">
        <v>0</v>
      </c>
      <c r="T21" s="3">
        <v>0</v>
      </c>
      <c r="U21" s="3">
        <v>0</v>
      </c>
      <c r="V21" s="3">
        <v>0</v>
      </c>
      <c r="W21" s="3">
        <v>0</v>
      </c>
      <c r="X21" s="3">
        <v>0</v>
      </c>
      <c r="Y21" s="3">
        <v>0</v>
      </c>
      <c r="Z21" s="3">
        <v>0</v>
      </c>
      <c r="AA21" s="3">
        <v>0</v>
      </c>
      <c r="AB21" s="3">
        <v>0</v>
      </c>
      <c r="AC21" s="3">
        <v>0</v>
      </c>
      <c r="AD21" s="3">
        <v>0</v>
      </c>
      <c r="AE21" s="3">
        <v>0</v>
      </c>
      <c r="AF21" s="3">
        <v>0</v>
      </c>
      <c r="AG21" s="3">
        <v>0</v>
      </c>
      <c r="AH21" s="3">
        <v>0</v>
      </c>
    </row>
    <row r="22" ht="16" x14ac:dyDescent="0.2">
      <c r="A22" s="209" t="s">
        <v>202</v>
      </c>
      <c r="B22" s="3">
        <v>0</v>
      </c>
      <c r="C22" s="3">
        <v>0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M22" s="3">
        <v>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3">
        <v>0</v>
      </c>
      <c r="T22" s="3">
        <v>0</v>
      </c>
      <c r="U22" s="3">
        <v>0</v>
      </c>
      <c r="V22" s="3">
        <v>0</v>
      </c>
      <c r="W22" s="3">
        <v>0</v>
      </c>
      <c r="X22" s="3">
        <v>0</v>
      </c>
      <c r="Y22" s="3">
        <v>0</v>
      </c>
      <c r="Z22" s="3">
        <v>0</v>
      </c>
      <c r="AA22" s="3">
        <v>0</v>
      </c>
      <c r="AB22" s="3">
        <v>0</v>
      </c>
      <c r="AC22" s="3">
        <v>0</v>
      </c>
      <c r="AD22" s="3">
        <v>0</v>
      </c>
      <c r="AE22" s="3">
        <v>0</v>
      </c>
      <c r="AF22" s="3">
        <v>0</v>
      </c>
      <c r="AG22" s="3">
        <v>0</v>
      </c>
      <c r="AH22" s="3">
        <v>0</v>
      </c>
    </row>
    <row r="23" ht="16" x14ac:dyDescent="0.2">
      <c r="A23" s="209" t="s">
        <v>203</v>
      </c>
      <c r="B23" s="3">
        <v>0</v>
      </c>
      <c r="C23" s="3">
        <v>0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>
        <v>0</v>
      </c>
      <c r="J23" s="3">
        <v>0</v>
      </c>
      <c r="K23" s="3">
        <v>0</v>
      </c>
      <c r="L23" s="3">
        <v>0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3">
        <v>0</v>
      </c>
      <c r="T23" s="3">
        <v>0</v>
      </c>
      <c r="U23" s="3">
        <v>0</v>
      </c>
      <c r="V23" s="3">
        <v>0</v>
      </c>
      <c r="W23" s="3">
        <v>0</v>
      </c>
      <c r="X23" s="3">
        <v>0</v>
      </c>
      <c r="Y23" s="3">
        <v>0</v>
      </c>
      <c r="Z23" s="3">
        <v>0</v>
      </c>
      <c r="AA23" s="3">
        <v>0</v>
      </c>
      <c r="AB23" s="3">
        <v>0</v>
      </c>
      <c r="AC23" s="3">
        <v>0</v>
      </c>
      <c r="AD23" s="3">
        <v>0</v>
      </c>
      <c r="AE23" s="3">
        <v>0</v>
      </c>
      <c r="AF23" s="3">
        <v>0</v>
      </c>
      <c r="AG23" s="3">
        <v>0</v>
      </c>
      <c r="AH23" s="3">
        <v>0</v>
      </c>
    </row>
    <row r="24" ht="16" x14ac:dyDescent="0.2">
      <c r="A24" s="209" t="s">
        <v>204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>
        <v>0</v>
      </c>
      <c r="L24" s="3">
        <v>0</v>
      </c>
      <c r="M24" s="3">
        <v>0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3">
        <v>0</v>
      </c>
      <c r="T24" s="3">
        <v>0</v>
      </c>
      <c r="U24" s="3">
        <v>0</v>
      </c>
      <c r="V24" s="3">
        <v>0</v>
      </c>
      <c r="W24" s="3">
        <v>0</v>
      </c>
      <c r="X24" s="3">
        <v>0</v>
      </c>
      <c r="Y24" s="3">
        <v>0</v>
      </c>
      <c r="Z24" s="3">
        <v>0</v>
      </c>
      <c r="AA24" s="3">
        <v>0</v>
      </c>
      <c r="AB24" s="3">
        <v>0</v>
      </c>
      <c r="AC24" s="3">
        <v>0</v>
      </c>
      <c r="AD24" s="3">
        <v>0</v>
      </c>
      <c r="AE24" s="3">
        <v>0</v>
      </c>
      <c r="AF24" s="3">
        <v>0</v>
      </c>
      <c r="AG24" s="3">
        <v>0</v>
      </c>
      <c r="AH24" s="3">
        <v>0</v>
      </c>
    </row>
    <row r="25" ht="16" x14ac:dyDescent="0.2">
      <c r="A25" s="209" t="s">
        <v>205</v>
      </c>
      <c r="B25" s="3">
        <v>0</v>
      </c>
      <c r="C25" s="3">
        <v>0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0</v>
      </c>
      <c r="J25" s="3">
        <v>0</v>
      </c>
      <c r="K25" s="3">
        <v>0</v>
      </c>
      <c r="L25" s="3">
        <v>0</v>
      </c>
      <c r="M25" s="3">
        <v>0</v>
      </c>
      <c r="N25" s="3">
        <v>0</v>
      </c>
      <c r="O25" s="3">
        <v>0</v>
      </c>
      <c r="P25" s="3">
        <v>0</v>
      </c>
      <c r="Q25" s="3">
        <v>0</v>
      </c>
      <c r="R25" s="3">
        <v>0</v>
      </c>
      <c r="S25" s="3">
        <v>0</v>
      </c>
      <c r="T25" s="3">
        <v>0</v>
      </c>
      <c r="U25" s="3">
        <v>0</v>
      </c>
      <c r="V25" s="3">
        <v>0</v>
      </c>
      <c r="W25" s="3">
        <v>0</v>
      </c>
      <c r="X25" s="3">
        <v>0</v>
      </c>
      <c r="Y25" s="3">
        <v>0</v>
      </c>
      <c r="Z25" s="3">
        <v>0</v>
      </c>
      <c r="AA25" s="3">
        <v>0</v>
      </c>
      <c r="AB25" s="3">
        <v>0</v>
      </c>
      <c r="AC25" s="3">
        <v>0</v>
      </c>
      <c r="AD25" s="3">
        <v>0</v>
      </c>
      <c r="AE25" s="3">
        <v>0</v>
      </c>
      <c r="AF25" s="3">
        <v>0</v>
      </c>
      <c r="AG25" s="3">
        <v>0</v>
      </c>
      <c r="AH25" s="3">
        <v>0</v>
      </c>
    </row>
    <row r="26" ht="16" x14ac:dyDescent="0.2">
      <c r="A26" s="209" t="s">
        <v>206</v>
      </c>
      <c r="B26" s="3">
        <v>0</v>
      </c>
      <c r="C26" s="3">
        <v>0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>
        <v>0</v>
      </c>
      <c r="L26" s="3">
        <v>0</v>
      </c>
      <c r="M26" s="3">
        <v>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3">
        <v>0</v>
      </c>
      <c r="T26" s="3">
        <v>0</v>
      </c>
      <c r="U26" s="3">
        <v>0</v>
      </c>
      <c r="V26" s="3">
        <v>0</v>
      </c>
      <c r="W26" s="3">
        <v>0</v>
      </c>
      <c r="X26" s="3">
        <v>0</v>
      </c>
      <c r="Y26" s="3">
        <v>0</v>
      </c>
      <c r="Z26" s="3">
        <v>0</v>
      </c>
      <c r="AA26" s="3">
        <v>0</v>
      </c>
      <c r="AB26" s="3">
        <v>0</v>
      </c>
      <c r="AC26" s="3">
        <v>0</v>
      </c>
      <c r="AD26" s="3">
        <v>0</v>
      </c>
      <c r="AE26" s="3">
        <v>0</v>
      </c>
      <c r="AF26" s="3">
        <v>0</v>
      </c>
      <c r="AG26" s="3">
        <v>0</v>
      </c>
      <c r="AH26" s="3">
        <v>0</v>
      </c>
    </row>
    <row r="27" ht="16" x14ac:dyDescent="0.2">
      <c r="A27" s="209" t="s">
        <v>207</v>
      </c>
      <c r="B27" s="3">
        <v>0</v>
      </c>
      <c r="C27" s="3"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0</v>
      </c>
      <c r="K27" s="3">
        <v>0</v>
      </c>
      <c r="L27" s="3">
        <v>0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3">
        <v>0</v>
      </c>
      <c r="T27" s="3">
        <v>0</v>
      </c>
      <c r="U27" s="3">
        <v>0</v>
      </c>
      <c r="V27" s="3">
        <v>0</v>
      </c>
      <c r="W27" s="3">
        <v>0</v>
      </c>
      <c r="X27" s="3">
        <v>0</v>
      </c>
      <c r="Y27" s="3">
        <v>0</v>
      </c>
      <c r="Z27" s="3">
        <v>0</v>
      </c>
      <c r="AA27" s="3">
        <v>0</v>
      </c>
      <c r="AB27" s="3">
        <v>0</v>
      </c>
      <c r="AC27" s="3">
        <v>0</v>
      </c>
      <c r="AD27" s="3">
        <v>0</v>
      </c>
      <c r="AE27" s="3">
        <v>0</v>
      </c>
      <c r="AF27" s="3">
        <v>0</v>
      </c>
      <c r="AG27" s="3">
        <v>0</v>
      </c>
      <c r="AH27" s="3">
        <v>0</v>
      </c>
    </row>
    <row r="28" ht="16" x14ac:dyDescent="0.2">
      <c r="A28" s="209" t="s">
        <v>208</v>
      </c>
      <c r="B28" s="3">
        <v>0</v>
      </c>
      <c r="C28" s="3"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3">
        <v>0</v>
      </c>
      <c r="T28" s="3">
        <v>0</v>
      </c>
      <c r="U28" s="3">
        <v>0</v>
      </c>
      <c r="V28" s="3">
        <v>0</v>
      </c>
      <c r="W28" s="3">
        <v>0</v>
      </c>
      <c r="X28" s="3">
        <v>0</v>
      </c>
      <c r="Y28" s="3">
        <v>0</v>
      </c>
      <c r="Z28" s="3">
        <v>0</v>
      </c>
      <c r="AA28" s="3">
        <v>0</v>
      </c>
      <c r="AB28" s="3">
        <v>0</v>
      </c>
      <c r="AC28" s="3">
        <v>0</v>
      </c>
      <c r="AD28" s="3">
        <v>0</v>
      </c>
      <c r="AE28" s="3">
        <v>0</v>
      </c>
      <c r="AF28" s="3">
        <v>0</v>
      </c>
      <c r="AG28" s="3">
        <v>0</v>
      </c>
      <c r="AH28" s="3">
        <v>0</v>
      </c>
    </row>
    <row r="29" ht="16" x14ac:dyDescent="0.2">
      <c r="A29" s="209" t="s">
        <v>209</v>
      </c>
      <c r="B29" s="3">
        <v>0</v>
      </c>
      <c r="C29" s="3">
        <v>0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0</v>
      </c>
      <c r="J29" s="3">
        <v>0</v>
      </c>
      <c r="K29" s="3">
        <v>0</v>
      </c>
      <c r="L29" s="3">
        <v>0</v>
      </c>
      <c r="M29" s="3">
        <v>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3">
        <v>0</v>
      </c>
      <c r="T29" s="3">
        <v>0</v>
      </c>
      <c r="U29" s="3">
        <v>0</v>
      </c>
      <c r="V29" s="3">
        <v>0</v>
      </c>
      <c r="W29" s="3">
        <v>0</v>
      </c>
      <c r="X29" s="3">
        <v>0</v>
      </c>
      <c r="Y29" s="3">
        <v>0</v>
      </c>
      <c r="Z29" s="3">
        <v>0</v>
      </c>
      <c r="AA29" s="3">
        <v>0</v>
      </c>
      <c r="AB29" s="3">
        <v>0</v>
      </c>
      <c r="AC29" s="3">
        <v>0</v>
      </c>
      <c r="AD29" s="3">
        <v>0</v>
      </c>
      <c r="AE29" s="3">
        <v>0</v>
      </c>
      <c r="AF29" s="3">
        <v>0</v>
      </c>
      <c r="AG29" s="3">
        <v>0</v>
      </c>
      <c r="AH29" s="3">
        <v>0</v>
      </c>
    </row>
    <row r="30" ht="16" x14ac:dyDescent="0.2">
      <c r="A30" s="209" t="s">
        <v>175</v>
      </c>
      <c r="B30" s="3">
        <v>0</v>
      </c>
      <c r="C30" s="3">
        <v>0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>
        <v>0</v>
      </c>
      <c r="J30" s="3">
        <v>0</v>
      </c>
      <c r="K30" s="3">
        <v>0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3">
        <v>0</v>
      </c>
      <c r="T30" s="3">
        <v>0</v>
      </c>
      <c r="U30" s="3">
        <v>0</v>
      </c>
      <c r="V30" s="3">
        <v>0</v>
      </c>
      <c r="W30" s="3">
        <v>0</v>
      </c>
      <c r="X30" s="3">
        <v>0</v>
      </c>
      <c r="Y30" s="3">
        <v>0</v>
      </c>
      <c r="Z30" s="3">
        <v>0</v>
      </c>
      <c r="AA30" s="3">
        <v>0</v>
      </c>
      <c r="AB30" s="3">
        <v>0</v>
      </c>
      <c r="AC30" s="3">
        <v>0</v>
      </c>
      <c r="AD30" s="3">
        <v>0</v>
      </c>
      <c r="AE30" s="3">
        <v>0</v>
      </c>
      <c r="AF30" s="3">
        <v>0</v>
      </c>
      <c r="AG30" s="3">
        <v>0</v>
      </c>
      <c r="AH30" s="3">
        <v>0</v>
      </c>
    </row>
    <row r="31" ht="16" x14ac:dyDescent="0.2">
      <c r="A31" s="209" t="s">
        <v>210</v>
      </c>
      <c r="B31" s="3">
        <v>0</v>
      </c>
      <c r="C31" s="3">
        <v>0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>
        <v>0</v>
      </c>
      <c r="J31" s="3">
        <v>0</v>
      </c>
      <c r="K31" s="3">
        <v>0</v>
      </c>
      <c r="L31" s="3">
        <v>0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3">
        <v>0</v>
      </c>
      <c r="T31" s="3">
        <v>0</v>
      </c>
      <c r="U31" s="3">
        <v>0</v>
      </c>
      <c r="V31" s="3">
        <v>0</v>
      </c>
      <c r="W31" s="3">
        <v>0</v>
      </c>
      <c r="X31" s="3">
        <v>0</v>
      </c>
      <c r="Y31" s="3">
        <v>0</v>
      </c>
      <c r="Z31" s="3">
        <v>0</v>
      </c>
      <c r="AA31" s="3">
        <v>0</v>
      </c>
      <c r="AB31" s="3">
        <v>0</v>
      </c>
      <c r="AC31" s="3">
        <v>0</v>
      </c>
      <c r="AD31" s="3">
        <v>0</v>
      </c>
      <c r="AE31" s="3">
        <v>0</v>
      </c>
      <c r="AF31" s="3">
        <v>0</v>
      </c>
      <c r="AG31" s="3">
        <v>0</v>
      </c>
      <c r="AH31" s="3">
        <v>0</v>
      </c>
    </row>
    <row r="32" ht="16" x14ac:dyDescent="0.2">
      <c r="A32" s="209" t="s">
        <v>211</v>
      </c>
      <c r="B32" s="3">
        <v>0</v>
      </c>
      <c r="C32" s="3">
        <v>0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>
        <v>0</v>
      </c>
      <c r="J32" s="3">
        <v>0</v>
      </c>
      <c r="K32" s="3">
        <v>0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3">
        <v>0</v>
      </c>
      <c r="T32" s="3">
        <v>0</v>
      </c>
      <c r="U32" s="3">
        <v>0</v>
      </c>
      <c r="V32" s="3">
        <v>0</v>
      </c>
      <c r="W32" s="3">
        <v>0</v>
      </c>
      <c r="X32" s="3">
        <v>0</v>
      </c>
      <c r="Y32" s="3">
        <v>0</v>
      </c>
      <c r="Z32" s="3">
        <v>0</v>
      </c>
      <c r="AA32" s="3">
        <v>0</v>
      </c>
      <c r="AB32" s="3">
        <v>0</v>
      </c>
      <c r="AC32" s="3">
        <v>0</v>
      </c>
      <c r="AD32" s="3">
        <v>0</v>
      </c>
      <c r="AE32" s="3">
        <v>0</v>
      </c>
      <c r="AF32" s="3">
        <v>0</v>
      </c>
      <c r="AG32" s="3">
        <v>0</v>
      </c>
      <c r="AH32" s="3">
        <v>0</v>
      </c>
    </row>
    <row r="33" ht="16" x14ac:dyDescent="0.2">
      <c r="A33" s="209" t="s">
        <v>212</v>
      </c>
      <c r="B33" s="3">
        <v>0</v>
      </c>
      <c r="C33" s="3">
        <v>0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>
        <v>0</v>
      </c>
      <c r="J33" s="3">
        <v>0</v>
      </c>
      <c r="K33" s="3">
        <v>0</v>
      </c>
      <c r="L33" s="3">
        <v>0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3">
        <v>0</v>
      </c>
      <c r="T33" s="3">
        <v>0</v>
      </c>
      <c r="U33" s="3">
        <v>0</v>
      </c>
      <c r="V33" s="3">
        <v>0</v>
      </c>
      <c r="W33" s="3">
        <v>0</v>
      </c>
      <c r="X33" s="3">
        <v>0</v>
      </c>
      <c r="Y33" s="3">
        <v>0</v>
      </c>
      <c r="Z33" s="3">
        <v>0</v>
      </c>
      <c r="AA33" s="3">
        <v>0</v>
      </c>
      <c r="AB33" s="3">
        <v>0</v>
      </c>
      <c r="AC33" s="3">
        <v>0</v>
      </c>
      <c r="AD33" s="3">
        <v>0</v>
      </c>
      <c r="AE33" s="3">
        <v>0</v>
      </c>
      <c r="AF33" s="3">
        <v>0</v>
      </c>
      <c r="AG33" s="3">
        <v>0</v>
      </c>
      <c r="AH33" s="3">
        <v>0</v>
      </c>
    </row>
    <row r="34" ht="16" x14ac:dyDescent="0.2">
      <c r="A34" s="209" t="s">
        <v>178</v>
      </c>
      <c r="B34" s="3">
        <v>0</v>
      </c>
      <c r="C34" s="3">
        <v>0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>
        <v>0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3">
        <v>0</v>
      </c>
      <c r="T34" s="3">
        <v>0</v>
      </c>
      <c r="U34" s="3">
        <v>0</v>
      </c>
      <c r="V34" s="3">
        <v>0</v>
      </c>
      <c r="W34" s="3">
        <v>0</v>
      </c>
      <c r="X34" s="3">
        <v>0</v>
      </c>
      <c r="Y34" s="3">
        <v>0</v>
      </c>
      <c r="Z34" s="3">
        <v>0</v>
      </c>
      <c r="AA34" s="3">
        <v>0</v>
      </c>
      <c r="AB34" s="3">
        <v>0</v>
      </c>
      <c r="AC34" s="3">
        <v>0</v>
      </c>
      <c r="AD34" s="3">
        <v>0</v>
      </c>
      <c r="AE34" s="3">
        <v>0</v>
      </c>
      <c r="AF34" s="3">
        <v>0</v>
      </c>
      <c r="AG34" s="3">
        <v>0</v>
      </c>
      <c r="AH34" s="3">
        <v>0</v>
      </c>
    </row>
    <row r="35" ht="16" x14ac:dyDescent="0.2">
      <c r="A35" s="209" t="s">
        <v>179</v>
      </c>
      <c r="B35" s="3">
        <v>0</v>
      </c>
      <c r="C35" s="3">
        <v>0</v>
      </c>
      <c r="D35" s="3">
        <v>0</v>
      </c>
      <c r="E35" s="3">
        <v>0</v>
      </c>
      <c r="F35" s="3">
        <v>0</v>
      </c>
      <c r="G35" s="3">
        <v>0</v>
      </c>
      <c r="H35" s="3">
        <v>0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3">
        <v>0</v>
      </c>
      <c r="T35" s="3">
        <v>0</v>
      </c>
      <c r="U35" s="3">
        <v>0</v>
      </c>
      <c r="V35" s="3">
        <v>0</v>
      </c>
      <c r="W35" s="3">
        <v>0</v>
      </c>
      <c r="X35" s="3">
        <v>0</v>
      </c>
      <c r="Y35" s="3">
        <v>0</v>
      </c>
      <c r="Z35" s="3">
        <v>0</v>
      </c>
      <c r="AA35" s="3">
        <v>0</v>
      </c>
      <c r="AB35" s="3">
        <v>0</v>
      </c>
      <c r="AC35" s="3">
        <v>0</v>
      </c>
      <c r="AD35" s="3">
        <v>0</v>
      </c>
      <c r="AE35" s="3">
        <v>0</v>
      </c>
      <c r="AF35" s="3">
        <v>0</v>
      </c>
      <c r="AG35" s="3">
        <v>0</v>
      </c>
      <c r="AH35" s="3">
        <v>0</v>
      </c>
    </row>
    <row r="36" ht="13" x14ac:dyDescent="0.15"/>
    <row r="37" ht="13" x14ac:dyDescent="0.15"/>
    <row r="38" ht="13" x14ac:dyDescent="0.15"/>
    <row r="39" ht="13" x14ac:dyDescent="0.15">
      <c r="A39" t="s">
        <v>230</v>
      </c>
    </row>
    <row r="40" ht="13" x14ac:dyDescent="0.15"/>
    <row r="41" ht="13" x14ac:dyDescent="0.15"/>
    <row r="42" ht="13" x14ac:dyDescent="0.15"/>
    <row r="43" ht="13" x14ac:dyDescent="0.15"/>
    <row r="44" ht="13" x14ac:dyDescent="0.15"/>
    <row r="45" ht="13" x14ac:dyDescent="0.15"/>
    <row r="46" ht="13" x14ac:dyDescent="0.15"/>
    <row r="47" ht="13" x14ac:dyDescent="0.15"/>
    <row r="48" ht="13" x14ac:dyDescent="0.15"/>
    <row r="49" ht="13" x14ac:dyDescent="0.15"/>
    <row r="50" ht="13" x14ac:dyDescent="0.15"/>
    <row r="51" ht="13" x14ac:dyDescent="0.15"/>
    <row r="52" ht="13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O51"/>
  <sheetViews>
    <sheetView workbookViewId="0">
      <selection activeCell="A3" sqref="A3"/>
    </sheetView>
  </sheetViews>
  <sheetFormatPr baseColWidth="10" defaultRowHeight="14" customHeight="true" x14ac:dyDescent="0.15"/>
  <cols>
    <col min="1" max="1" width="12.6640625" customWidth="true"/>
    <col min="2" max="2" width="34.33203125" bestFit="true" customWidth="true"/>
    <col min="3" max="3" width="19" bestFit="true" customWidth="true"/>
    <col min="4" max="4" width="9.1640625" bestFit="true" customWidth="true"/>
    <col min="15" max="15" width="23.5" bestFit="true" customWidth="true"/>
  </cols>
  <sheetData>
    <row r="1" ht="29" x14ac:dyDescent="0.2">
      <c r="A1" s="146" t="s">
        <v>84</v>
      </c>
      <c r="B1" s="150" t="s">
        <v>0</v>
      </c>
      <c r="C1" s="209" t="s">
        <v>214</v>
      </c>
      <c r="D1" s="209" t="s">
        <v>215</v>
      </c>
      <c r="E1" s="209" t="s">
        <v>216</v>
      </c>
      <c r="F1" s="209" t="s">
        <v>217</v>
      </c>
      <c r="G1" s="209" t="s">
        <v>218</v>
      </c>
      <c r="H1" s="209" t="s">
        <v>219</v>
      </c>
      <c r="I1" s="209" t="s">
        <v>220</v>
      </c>
      <c r="J1" s="209" t="s">
        <v>221</v>
      </c>
      <c r="K1" s="209" t="s">
        <v>222</v>
      </c>
      <c r="L1" s="209" t="s">
        <v>223</v>
      </c>
      <c r="M1" s="209" t="s">
        <v>224</v>
      </c>
      <c r="N1" s="209" t="s">
        <v>225</v>
      </c>
      <c r="O1" s="209" t="s">
        <v>226</v>
      </c>
    </row>
    <row r="2" ht="16" x14ac:dyDescent="0.2">
      <c r="A2">
        <v>1</v>
      </c>
      <c r="B2" s="209" t="s">
        <v>182</v>
      </c>
      <c r="C2" s="209">
        <v>0</v>
      </c>
      <c r="D2" s="209">
        <v>0</v>
      </c>
      <c r="E2" s="209">
        <v>0</v>
      </c>
      <c r="F2" s="209">
        <v>0</v>
      </c>
      <c r="G2" s="209">
        <v>0</v>
      </c>
      <c r="H2" s="209">
        <v>0</v>
      </c>
      <c r="I2" s="209">
        <v>0</v>
      </c>
      <c r="J2" s="209">
        <v>0</v>
      </c>
      <c r="K2" s="209">
        <v>0</v>
      </c>
      <c r="L2" s="209">
        <v>0</v>
      </c>
      <c r="M2" s="209">
        <v>0</v>
      </c>
      <c r="N2" s="209">
        <v>0</v>
      </c>
      <c r="O2" s="209">
        <v>0</v>
      </c>
    </row>
    <row r="3" ht="16" x14ac:dyDescent="0.2">
      <c r="A3">
        <v>2</v>
      </c>
      <c r="B3" s="209" t="s">
        <v>183</v>
      </c>
      <c r="C3" s="209">
        <v>0</v>
      </c>
      <c r="D3" s="209">
        <v>0</v>
      </c>
      <c r="E3" s="209">
        <v>0</v>
      </c>
      <c r="F3" s="209">
        <v>0</v>
      </c>
      <c r="G3" s="209">
        <v>0</v>
      </c>
      <c r="H3" s="209">
        <v>0</v>
      </c>
      <c r="I3" s="209">
        <v>0</v>
      </c>
      <c r="J3" s="209">
        <v>0</v>
      </c>
      <c r="K3" s="209">
        <v>0</v>
      </c>
      <c r="L3" s="209">
        <v>0</v>
      </c>
      <c r="M3" s="209">
        <v>0</v>
      </c>
      <c r="N3" s="209">
        <v>0</v>
      </c>
      <c r="O3" s="209">
        <v>0</v>
      </c>
    </row>
    <row r="4" ht="16" x14ac:dyDescent="0.2">
      <c r="A4">
        <v>3</v>
      </c>
      <c r="B4" s="209" t="s">
        <v>184</v>
      </c>
      <c r="C4" s="209">
        <v>0</v>
      </c>
      <c r="D4" s="209">
        <v>0</v>
      </c>
      <c r="E4" s="209">
        <v>0</v>
      </c>
      <c r="F4" s="209">
        <v>0</v>
      </c>
      <c r="G4" s="209">
        <v>0</v>
      </c>
      <c r="H4" s="209">
        <v>0</v>
      </c>
      <c r="I4" s="209">
        <v>0</v>
      </c>
      <c r="J4" s="209">
        <v>0</v>
      </c>
      <c r="K4" s="209">
        <v>0</v>
      </c>
      <c r="L4" s="209">
        <v>0</v>
      </c>
      <c r="M4" s="209">
        <v>0</v>
      </c>
      <c r="N4" s="209">
        <v>0</v>
      </c>
      <c r="O4" s="209">
        <v>0</v>
      </c>
    </row>
    <row r="5" ht="16" x14ac:dyDescent="0.2">
      <c r="A5">
        <v>4</v>
      </c>
      <c r="B5" s="209" t="s">
        <v>185</v>
      </c>
      <c r="C5" s="209">
        <v>0</v>
      </c>
      <c r="D5" s="209">
        <v>0</v>
      </c>
      <c r="E5" s="209">
        <v>0</v>
      </c>
      <c r="F5" s="209">
        <v>0</v>
      </c>
      <c r="G5" s="209">
        <v>0</v>
      </c>
      <c r="H5" s="209">
        <v>0</v>
      </c>
      <c r="I5" s="209">
        <v>0</v>
      </c>
      <c r="J5" s="209">
        <v>0</v>
      </c>
      <c r="K5" s="209">
        <v>0</v>
      </c>
      <c r="L5" s="209">
        <v>0</v>
      </c>
      <c r="M5" s="209">
        <v>0</v>
      </c>
      <c r="N5" s="209">
        <v>0</v>
      </c>
      <c r="O5" s="209">
        <v>0</v>
      </c>
    </row>
    <row r="6" ht="16" x14ac:dyDescent="0.2">
      <c r="A6">
        <v>5</v>
      </c>
      <c r="B6" s="209" t="s">
        <v>186</v>
      </c>
      <c r="C6" s="209">
        <v>0</v>
      </c>
      <c r="D6" s="209">
        <v>0</v>
      </c>
      <c r="E6" s="209">
        <v>0</v>
      </c>
      <c r="F6" s="209">
        <v>0</v>
      </c>
      <c r="G6" s="209">
        <v>0</v>
      </c>
      <c r="H6" s="209">
        <v>0</v>
      </c>
      <c r="I6" s="209">
        <v>0</v>
      </c>
      <c r="J6" s="209">
        <v>0</v>
      </c>
      <c r="K6" s="209">
        <v>0</v>
      </c>
      <c r="L6" s="209">
        <v>0</v>
      </c>
      <c r="M6" s="209">
        <v>0</v>
      </c>
      <c r="N6" s="209">
        <v>0</v>
      </c>
      <c r="O6" s="209">
        <v>0</v>
      </c>
    </row>
    <row r="7" ht="16" x14ac:dyDescent="0.2">
      <c r="A7">
        <v>6</v>
      </c>
      <c r="B7" s="209" t="s">
        <v>187</v>
      </c>
      <c r="C7" s="209">
        <v>0</v>
      </c>
      <c r="D7" s="209">
        <v>0</v>
      </c>
      <c r="E7" s="209">
        <v>0</v>
      </c>
      <c r="F7" s="209">
        <v>0</v>
      </c>
      <c r="G7" s="209">
        <v>0</v>
      </c>
      <c r="H7" s="209">
        <v>0</v>
      </c>
      <c r="I7" s="209">
        <v>0</v>
      </c>
      <c r="J7" s="209">
        <v>0</v>
      </c>
      <c r="K7" s="209">
        <v>0</v>
      </c>
      <c r="L7" s="209">
        <v>0</v>
      </c>
      <c r="M7" s="209">
        <v>0</v>
      </c>
      <c r="N7" s="209">
        <v>0</v>
      </c>
      <c r="O7" s="209">
        <v>0</v>
      </c>
    </row>
    <row r="8" ht="16" x14ac:dyDescent="0.2">
      <c r="A8">
        <v>7</v>
      </c>
      <c r="B8" s="209" t="s">
        <v>188</v>
      </c>
      <c r="C8" s="209">
        <v>0.7</v>
      </c>
      <c r="D8" s="209">
        <v>0</v>
      </c>
      <c r="E8" s="209">
        <v>0</v>
      </c>
      <c r="F8" s="209">
        <v>0</v>
      </c>
      <c r="G8" s="209">
        <v>0</v>
      </c>
      <c r="H8" s="209">
        <v>0</v>
      </c>
      <c r="I8" s="209">
        <v>0</v>
      </c>
      <c r="J8" s="209">
        <v>0</v>
      </c>
      <c r="K8" s="209">
        <v>0</v>
      </c>
      <c r="L8" s="209">
        <v>0</v>
      </c>
      <c r="M8" s="209">
        <v>0</v>
      </c>
      <c r="N8" s="209">
        <v>0</v>
      </c>
      <c r="O8" s="209">
        <v>0</v>
      </c>
    </row>
    <row r="9" ht="16" x14ac:dyDescent="0.2">
      <c r="A9">
        <v>8</v>
      </c>
      <c r="B9" s="209" t="s">
        <v>189</v>
      </c>
      <c r="C9" s="209">
        <v>0.7</v>
      </c>
      <c r="D9" s="209">
        <v>0</v>
      </c>
      <c r="E9" s="209">
        <v>0</v>
      </c>
      <c r="F9" s="209">
        <v>0</v>
      </c>
      <c r="G9" s="209">
        <v>0</v>
      </c>
      <c r="H9" s="209">
        <v>0</v>
      </c>
      <c r="I9" s="209">
        <v>0</v>
      </c>
      <c r="J9" s="209">
        <v>0</v>
      </c>
      <c r="K9" s="209">
        <v>0</v>
      </c>
      <c r="L9" s="209">
        <v>0</v>
      </c>
      <c r="M9" s="209">
        <v>0</v>
      </c>
      <c r="N9" s="209">
        <v>0</v>
      </c>
      <c r="O9" s="209">
        <v>0</v>
      </c>
    </row>
    <row r="10" ht="16" x14ac:dyDescent="0.2">
      <c r="A10">
        <v>9</v>
      </c>
      <c r="B10" s="209" t="s">
        <v>190</v>
      </c>
      <c r="C10" s="209">
        <v>0.7</v>
      </c>
      <c r="D10" s="209">
        <v>0</v>
      </c>
      <c r="E10" s="209">
        <v>0</v>
      </c>
      <c r="F10" s="209">
        <v>0</v>
      </c>
      <c r="G10" s="209">
        <v>0</v>
      </c>
      <c r="H10" s="209">
        <v>0</v>
      </c>
      <c r="I10" s="209">
        <v>0</v>
      </c>
      <c r="J10" s="209">
        <v>0</v>
      </c>
      <c r="K10" s="209">
        <v>0</v>
      </c>
      <c r="L10" s="209">
        <v>0</v>
      </c>
      <c r="M10" s="209">
        <v>0</v>
      </c>
      <c r="N10" s="209">
        <v>0</v>
      </c>
      <c r="O10" s="209">
        <v>0</v>
      </c>
    </row>
    <row r="11" ht="16" x14ac:dyDescent="0.2">
      <c r="A11">
        <v>10</v>
      </c>
      <c r="B11" s="209" t="s">
        <v>191</v>
      </c>
      <c r="C11" s="209">
        <v>0.7</v>
      </c>
      <c r="D11" s="209">
        <v>0</v>
      </c>
      <c r="E11" s="209">
        <v>0</v>
      </c>
      <c r="F11" s="209">
        <v>0</v>
      </c>
      <c r="G11" s="209">
        <v>0</v>
      </c>
      <c r="H11" s="209">
        <v>0</v>
      </c>
      <c r="I11" s="209">
        <v>0</v>
      </c>
      <c r="J11" s="209">
        <v>0</v>
      </c>
      <c r="K11" s="209">
        <v>0</v>
      </c>
      <c r="L11" s="209">
        <v>0</v>
      </c>
      <c r="M11" s="209">
        <v>0</v>
      </c>
      <c r="N11" s="209">
        <v>0</v>
      </c>
      <c r="O11" s="209">
        <v>0</v>
      </c>
    </row>
    <row r="12" ht="16" x14ac:dyDescent="0.2">
      <c r="A12">
        <v>11</v>
      </c>
      <c r="B12" s="209" t="s">
        <v>192</v>
      </c>
      <c r="C12" s="209">
        <v>0.7</v>
      </c>
      <c r="D12" s="209">
        <v>0</v>
      </c>
      <c r="E12" s="209">
        <v>0</v>
      </c>
      <c r="F12" s="209">
        <v>0</v>
      </c>
      <c r="G12" s="209">
        <v>0</v>
      </c>
      <c r="H12" s="209">
        <v>0</v>
      </c>
      <c r="I12" s="209">
        <v>0</v>
      </c>
      <c r="J12" s="209">
        <v>0</v>
      </c>
      <c r="K12" s="209">
        <v>0</v>
      </c>
      <c r="L12" s="209">
        <v>0</v>
      </c>
      <c r="M12" s="209">
        <v>0</v>
      </c>
      <c r="N12" s="209">
        <v>0.7</v>
      </c>
      <c r="O12" s="209">
        <v>0</v>
      </c>
    </row>
    <row r="13" ht="16" x14ac:dyDescent="0.2">
      <c r="A13">
        <v>12</v>
      </c>
      <c r="B13" s="209" t="s">
        <v>193</v>
      </c>
      <c r="C13" s="209">
        <v>0.7</v>
      </c>
      <c r="D13" s="209">
        <v>0</v>
      </c>
      <c r="E13" s="209">
        <v>0</v>
      </c>
      <c r="F13" s="209">
        <v>0</v>
      </c>
      <c r="G13" s="209">
        <v>0</v>
      </c>
      <c r="H13" s="209">
        <v>0</v>
      </c>
      <c r="I13" s="209">
        <v>0</v>
      </c>
      <c r="J13" s="209">
        <v>0</v>
      </c>
      <c r="K13" s="209">
        <v>0</v>
      </c>
      <c r="L13" s="209">
        <v>0</v>
      </c>
      <c r="M13" s="209">
        <v>0</v>
      </c>
      <c r="N13" s="209">
        <v>0</v>
      </c>
      <c r="O13" s="209">
        <v>0</v>
      </c>
    </row>
    <row r="14" ht="16" x14ac:dyDescent="0.2">
      <c r="A14">
        <v>13</v>
      </c>
      <c r="B14" s="209" t="s">
        <v>194</v>
      </c>
      <c r="C14" s="209">
        <v>0</v>
      </c>
      <c r="D14" s="209">
        <v>0.7</v>
      </c>
      <c r="E14" s="209">
        <v>0</v>
      </c>
      <c r="F14" s="209">
        <v>0</v>
      </c>
      <c r="G14" s="209">
        <v>0.7</v>
      </c>
      <c r="H14" s="209">
        <v>0</v>
      </c>
      <c r="I14" s="209">
        <v>0</v>
      </c>
      <c r="J14" s="209">
        <v>0</v>
      </c>
      <c r="K14" s="209">
        <v>0</v>
      </c>
      <c r="L14" s="209">
        <v>0.7</v>
      </c>
      <c r="M14" s="209">
        <v>0</v>
      </c>
      <c r="N14" s="209">
        <v>0</v>
      </c>
      <c r="O14" s="209">
        <v>0</v>
      </c>
    </row>
    <row r="15" ht="16" x14ac:dyDescent="0.2">
      <c r="A15">
        <v>14</v>
      </c>
      <c r="B15" s="209" t="s">
        <v>195</v>
      </c>
      <c r="C15" s="209">
        <v>0.7</v>
      </c>
      <c r="D15" s="209">
        <v>0</v>
      </c>
      <c r="E15" s="209">
        <v>0</v>
      </c>
      <c r="F15" s="209">
        <v>0</v>
      </c>
      <c r="G15" s="209">
        <v>0</v>
      </c>
      <c r="H15" s="209">
        <v>0</v>
      </c>
      <c r="I15" s="209">
        <v>0</v>
      </c>
      <c r="J15" s="209">
        <v>0</v>
      </c>
      <c r="K15" s="209">
        <v>0</v>
      </c>
      <c r="L15" s="209">
        <v>0</v>
      </c>
      <c r="M15" s="209">
        <v>0</v>
      </c>
      <c r="N15" s="209">
        <v>0</v>
      </c>
      <c r="O15" s="209">
        <v>0</v>
      </c>
    </row>
    <row r="16" ht="16" x14ac:dyDescent="0.2">
      <c r="A16">
        <v>15</v>
      </c>
      <c r="B16" s="209" t="s">
        <v>196</v>
      </c>
      <c r="C16" s="209">
        <v>0</v>
      </c>
      <c r="D16" s="209">
        <v>0.7</v>
      </c>
      <c r="E16" s="209">
        <v>0.7</v>
      </c>
      <c r="F16" s="209">
        <v>0</v>
      </c>
      <c r="G16" s="209">
        <v>0.7</v>
      </c>
      <c r="H16" s="209">
        <v>0</v>
      </c>
      <c r="I16" s="209">
        <v>0</v>
      </c>
      <c r="J16" s="209">
        <v>0.7</v>
      </c>
      <c r="K16" s="209">
        <v>0</v>
      </c>
      <c r="L16" s="209">
        <v>0</v>
      </c>
      <c r="M16" s="209">
        <v>0</v>
      </c>
      <c r="N16" s="209">
        <v>0</v>
      </c>
      <c r="O16" s="209">
        <v>0</v>
      </c>
    </row>
    <row r="17" ht="16" x14ac:dyDescent="0.2">
      <c r="A17">
        <v>16</v>
      </c>
      <c r="B17" s="209" t="s">
        <v>197</v>
      </c>
      <c r="C17" s="209">
        <v>0</v>
      </c>
      <c r="D17" s="209">
        <v>0</v>
      </c>
      <c r="E17" s="209">
        <v>0.7</v>
      </c>
      <c r="F17" s="209">
        <v>0</v>
      </c>
      <c r="G17" s="209">
        <v>0.7</v>
      </c>
      <c r="H17" s="209">
        <v>0</v>
      </c>
      <c r="I17" s="209">
        <v>0</v>
      </c>
      <c r="J17" s="209">
        <v>0</v>
      </c>
      <c r="K17" s="209">
        <v>0</v>
      </c>
      <c r="L17" s="209">
        <v>0</v>
      </c>
      <c r="M17" s="209">
        <v>0</v>
      </c>
      <c r="N17" s="209">
        <v>0.7</v>
      </c>
      <c r="O17" s="209">
        <v>0</v>
      </c>
    </row>
    <row r="18" ht="16" x14ac:dyDescent="0.2">
      <c r="A18">
        <v>17</v>
      </c>
      <c r="B18" s="209" t="s">
        <v>198</v>
      </c>
      <c r="C18" s="209">
        <v>0</v>
      </c>
      <c r="D18" s="209">
        <v>0</v>
      </c>
      <c r="E18" s="209">
        <v>0</v>
      </c>
      <c r="F18" s="209">
        <v>0</v>
      </c>
      <c r="G18" s="209">
        <v>0</v>
      </c>
      <c r="H18" s="209">
        <v>0.7</v>
      </c>
      <c r="I18" s="209">
        <v>0.7</v>
      </c>
      <c r="J18" s="209">
        <v>0</v>
      </c>
      <c r="K18" s="209">
        <v>0</v>
      </c>
      <c r="L18" s="209">
        <v>0</v>
      </c>
      <c r="M18" s="209">
        <v>0</v>
      </c>
      <c r="N18" s="209">
        <v>0</v>
      </c>
      <c r="O18" s="209">
        <v>0</v>
      </c>
    </row>
    <row r="19" ht="16" x14ac:dyDescent="0.2">
      <c r="A19">
        <v>18</v>
      </c>
      <c r="B19" s="209" t="s">
        <v>199</v>
      </c>
      <c r="C19" s="209">
        <v>0</v>
      </c>
      <c r="D19" s="209">
        <v>0</v>
      </c>
      <c r="E19" s="209">
        <v>0</v>
      </c>
      <c r="F19" s="209">
        <v>0</v>
      </c>
      <c r="G19" s="209">
        <v>0</v>
      </c>
      <c r="H19" s="209">
        <v>0</v>
      </c>
      <c r="I19" s="209">
        <v>0</v>
      </c>
      <c r="J19" s="209">
        <v>0</v>
      </c>
      <c r="K19" s="209">
        <v>0</v>
      </c>
      <c r="L19" s="209">
        <v>0</v>
      </c>
      <c r="M19" s="209">
        <v>0</v>
      </c>
      <c r="N19" s="209">
        <v>0</v>
      </c>
      <c r="O19" s="209">
        <v>0</v>
      </c>
    </row>
    <row r="20" ht="16" x14ac:dyDescent="0.2">
      <c r="A20">
        <v>19</v>
      </c>
      <c r="B20" s="209" t="s">
        <v>200</v>
      </c>
      <c r="C20" s="209">
        <v>0</v>
      </c>
      <c r="D20" s="209">
        <v>0</v>
      </c>
      <c r="E20" s="209">
        <v>0.7</v>
      </c>
      <c r="F20" s="209">
        <v>0.7</v>
      </c>
      <c r="G20" s="209">
        <v>0</v>
      </c>
      <c r="H20" s="209">
        <v>0</v>
      </c>
      <c r="I20" s="209">
        <v>0</v>
      </c>
      <c r="J20" s="209">
        <v>0</v>
      </c>
      <c r="K20" s="209">
        <v>0.7</v>
      </c>
      <c r="L20" s="209">
        <v>0</v>
      </c>
      <c r="M20" s="209">
        <v>0.7</v>
      </c>
      <c r="N20" s="209">
        <v>0</v>
      </c>
      <c r="O20" s="209">
        <v>0</v>
      </c>
    </row>
    <row r="21" ht="16" x14ac:dyDescent="0.2">
      <c r="A21">
        <v>20</v>
      </c>
      <c r="B21" s="209" t="s">
        <v>201</v>
      </c>
      <c r="C21" s="209">
        <v>0</v>
      </c>
      <c r="D21" s="209">
        <v>0</v>
      </c>
      <c r="E21" s="209">
        <v>0</v>
      </c>
      <c r="F21" s="209">
        <v>0</v>
      </c>
      <c r="G21" s="209">
        <v>0</v>
      </c>
      <c r="H21" s="209">
        <v>0</v>
      </c>
      <c r="I21" s="209">
        <v>0</v>
      </c>
      <c r="J21" s="209">
        <v>0</v>
      </c>
      <c r="K21" s="209">
        <v>0</v>
      </c>
      <c r="L21" s="209">
        <v>0</v>
      </c>
      <c r="M21" s="209">
        <v>0</v>
      </c>
      <c r="N21" s="209">
        <v>0</v>
      </c>
      <c r="O21" s="223">
        <v>0.7</v>
      </c>
    </row>
    <row r="22" ht="16" x14ac:dyDescent="0.2">
      <c r="A22">
        <v>21</v>
      </c>
      <c r="B22" s="209" t="s">
        <v>202</v>
      </c>
      <c r="C22" s="209">
        <v>0</v>
      </c>
      <c r="D22" s="209">
        <v>0</v>
      </c>
      <c r="E22" s="209">
        <v>0</v>
      </c>
      <c r="F22" s="209">
        <v>0.7</v>
      </c>
      <c r="G22" s="209">
        <v>0</v>
      </c>
      <c r="H22" s="209">
        <v>0</v>
      </c>
      <c r="I22" s="209">
        <v>0</v>
      </c>
      <c r="J22" s="209">
        <v>0</v>
      </c>
      <c r="K22" s="209">
        <v>0</v>
      </c>
      <c r="L22" s="209">
        <v>0</v>
      </c>
      <c r="M22" s="209">
        <v>0</v>
      </c>
      <c r="N22" s="209">
        <v>0</v>
      </c>
      <c r="O22" s="223">
        <v>0.7</v>
      </c>
    </row>
    <row r="23" ht="16" x14ac:dyDescent="0.2">
      <c r="A23">
        <v>22</v>
      </c>
      <c r="B23" s="209" t="s">
        <v>203</v>
      </c>
      <c r="C23" s="209">
        <v>0</v>
      </c>
      <c r="D23" s="209">
        <v>0</v>
      </c>
      <c r="E23" s="209">
        <v>0</v>
      </c>
      <c r="F23" s="209">
        <v>0</v>
      </c>
      <c r="G23" s="209">
        <v>0</v>
      </c>
      <c r="H23" s="209">
        <v>0</v>
      </c>
      <c r="I23" s="209">
        <v>0</v>
      </c>
      <c r="J23" s="209">
        <v>0</v>
      </c>
      <c r="K23" s="209">
        <v>0</v>
      </c>
      <c r="L23" s="209">
        <v>0</v>
      </c>
      <c r="M23" s="209">
        <v>0</v>
      </c>
      <c r="N23" s="209">
        <v>0.7</v>
      </c>
      <c r="O23" s="209">
        <v>0</v>
      </c>
    </row>
    <row r="24" ht="16" x14ac:dyDescent="0.2">
      <c r="A24">
        <v>23</v>
      </c>
      <c r="B24" s="209" t="s">
        <v>204</v>
      </c>
      <c r="C24" s="209">
        <v>0</v>
      </c>
      <c r="D24" s="209">
        <v>0</v>
      </c>
      <c r="E24" s="209">
        <v>0</v>
      </c>
      <c r="F24" s="209">
        <v>0.7</v>
      </c>
      <c r="G24" s="209">
        <v>0</v>
      </c>
      <c r="H24" s="209">
        <v>0</v>
      </c>
      <c r="I24" s="209">
        <v>0</v>
      </c>
      <c r="J24" s="209">
        <v>0</v>
      </c>
      <c r="K24" s="209">
        <v>0</v>
      </c>
      <c r="L24" s="209">
        <v>0</v>
      </c>
      <c r="M24" s="209">
        <v>0</v>
      </c>
      <c r="N24" s="209">
        <v>0.7</v>
      </c>
      <c r="O24" s="209">
        <v>0</v>
      </c>
    </row>
    <row r="25" ht="16" x14ac:dyDescent="0.2">
      <c r="A25">
        <v>24</v>
      </c>
      <c r="B25" s="209" t="s">
        <v>205</v>
      </c>
      <c r="C25" s="209">
        <v>0</v>
      </c>
      <c r="D25" s="209">
        <v>0</v>
      </c>
      <c r="E25" s="209">
        <v>0.7</v>
      </c>
      <c r="F25" s="209">
        <v>0</v>
      </c>
      <c r="G25" s="209">
        <v>0</v>
      </c>
      <c r="H25" s="209">
        <v>0</v>
      </c>
      <c r="I25" s="209">
        <v>0</v>
      </c>
      <c r="J25" s="209">
        <v>0</v>
      </c>
      <c r="K25" s="209">
        <v>0</v>
      </c>
      <c r="L25" s="209">
        <v>0</v>
      </c>
      <c r="M25" s="209">
        <v>0</v>
      </c>
      <c r="N25" s="209">
        <v>0</v>
      </c>
      <c r="O25" s="209">
        <v>0</v>
      </c>
    </row>
    <row r="26" ht="16" x14ac:dyDescent="0.2">
      <c r="A26">
        <v>25</v>
      </c>
      <c r="B26" s="209" t="s">
        <v>206</v>
      </c>
      <c r="C26" s="209">
        <v>0</v>
      </c>
      <c r="D26" s="209">
        <v>0</v>
      </c>
      <c r="E26" s="209">
        <v>0</v>
      </c>
      <c r="F26" s="209">
        <v>0.7</v>
      </c>
      <c r="G26" s="209">
        <v>0.7</v>
      </c>
      <c r="H26" s="209">
        <v>0</v>
      </c>
      <c r="I26" s="209">
        <v>0</v>
      </c>
      <c r="J26" s="209">
        <v>0</v>
      </c>
      <c r="K26" s="209">
        <v>0</v>
      </c>
      <c r="L26" s="209">
        <v>0</v>
      </c>
      <c r="M26" s="209">
        <v>0</v>
      </c>
      <c r="N26" s="209">
        <v>0.7</v>
      </c>
      <c r="O26" s="209">
        <v>0</v>
      </c>
    </row>
    <row r="27" ht="16" x14ac:dyDescent="0.2">
      <c r="A27">
        <v>26</v>
      </c>
      <c r="B27" s="209" t="s">
        <v>207</v>
      </c>
      <c r="C27" s="209">
        <v>0</v>
      </c>
      <c r="D27" s="209">
        <v>0</v>
      </c>
      <c r="E27" s="209">
        <v>0</v>
      </c>
      <c r="F27" s="209">
        <v>0</v>
      </c>
      <c r="G27" s="209">
        <v>0</v>
      </c>
      <c r="H27" s="209">
        <v>0</v>
      </c>
      <c r="I27" s="209">
        <v>0</v>
      </c>
      <c r="J27" s="209">
        <v>0</v>
      </c>
      <c r="K27" s="209">
        <v>0</v>
      </c>
      <c r="L27" s="209">
        <v>0</v>
      </c>
      <c r="M27" s="209">
        <v>0</v>
      </c>
      <c r="N27" s="209">
        <v>0</v>
      </c>
      <c r="O27" s="209">
        <v>0</v>
      </c>
    </row>
    <row r="28" ht="16" x14ac:dyDescent="0.2">
      <c r="A28">
        <v>27</v>
      </c>
      <c r="B28" s="209" t="s">
        <v>208</v>
      </c>
      <c r="C28" s="209">
        <v>0</v>
      </c>
      <c r="D28" s="209">
        <v>0</v>
      </c>
      <c r="E28" s="209">
        <v>0</v>
      </c>
      <c r="F28" s="209">
        <v>0</v>
      </c>
      <c r="G28" s="209">
        <v>0.7</v>
      </c>
      <c r="H28" s="209">
        <v>0</v>
      </c>
      <c r="I28" s="209">
        <v>0</v>
      </c>
      <c r="J28" s="209">
        <v>0</v>
      </c>
      <c r="K28" s="209">
        <v>0</v>
      </c>
      <c r="L28" s="209">
        <v>0</v>
      </c>
      <c r="M28" s="209">
        <v>0</v>
      </c>
      <c r="N28" s="209">
        <v>0</v>
      </c>
      <c r="O28" s="209">
        <v>0</v>
      </c>
    </row>
    <row r="29" ht="16" x14ac:dyDescent="0.2">
      <c r="A29">
        <v>28</v>
      </c>
      <c r="B29" s="209" t="s">
        <v>209</v>
      </c>
      <c r="C29" s="209">
        <v>0</v>
      </c>
      <c r="D29" s="209">
        <v>0</v>
      </c>
      <c r="E29" s="209">
        <v>0</v>
      </c>
      <c r="F29" s="209">
        <v>0</v>
      </c>
      <c r="G29" s="209">
        <v>0</v>
      </c>
      <c r="H29" s="209">
        <v>0</v>
      </c>
      <c r="I29" s="209">
        <v>0</v>
      </c>
      <c r="J29" s="209">
        <v>0</v>
      </c>
      <c r="K29" s="209">
        <v>0</v>
      </c>
      <c r="L29" s="209">
        <v>0</v>
      </c>
      <c r="M29" s="209">
        <v>0</v>
      </c>
      <c r="N29" s="209">
        <v>0</v>
      </c>
      <c r="O29" s="209">
        <v>0</v>
      </c>
    </row>
    <row r="30" ht="16" x14ac:dyDescent="0.2">
      <c r="A30">
        <v>29</v>
      </c>
      <c r="B30" s="209" t="s">
        <v>175</v>
      </c>
      <c r="C30" s="209">
        <v>0</v>
      </c>
      <c r="D30" s="209">
        <v>0</v>
      </c>
      <c r="E30" s="209">
        <v>0</v>
      </c>
      <c r="F30" s="209">
        <v>0</v>
      </c>
      <c r="G30" s="209">
        <v>0</v>
      </c>
      <c r="H30" s="209">
        <v>0</v>
      </c>
      <c r="I30" s="209">
        <v>0</v>
      </c>
      <c r="J30" s="209">
        <v>0</v>
      </c>
      <c r="K30" s="209">
        <v>0</v>
      </c>
      <c r="L30" s="209">
        <v>0</v>
      </c>
      <c r="M30" s="209">
        <v>0</v>
      </c>
      <c r="N30" s="209">
        <v>0</v>
      </c>
      <c r="O30" s="209">
        <v>0</v>
      </c>
    </row>
    <row r="31" ht="16" x14ac:dyDescent="0.2">
      <c r="A31">
        <v>30</v>
      </c>
      <c r="B31" s="209" t="s">
        <v>210</v>
      </c>
      <c r="C31" s="209">
        <v>0</v>
      </c>
      <c r="D31" s="209">
        <v>0</v>
      </c>
      <c r="E31" s="209">
        <v>0</v>
      </c>
      <c r="F31" s="209">
        <v>0</v>
      </c>
      <c r="G31" s="209">
        <v>0</v>
      </c>
      <c r="H31" s="209">
        <v>0</v>
      </c>
      <c r="I31" s="209">
        <v>0</v>
      </c>
      <c r="J31" s="209">
        <v>0</v>
      </c>
      <c r="K31" s="209">
        <v>0</v>
      </c>
      <c r="L31" s="209">
        <v>0</v>
      </c>
      <c r="M31" s="209">
        <v>0</v>
      </c>
      <c r="N31" s="209">
        <v>0</v>
      </c>
      <c r="O31" s="209">
        <v>0</v>
      </c>
    </row>
    <row r="32" ht="16" x14ac:dyDescent="0.2">
      <c r="A32">
        <v>31</v>
      </c>
      <c r="B32" s="209" t="s">
        <v>211</v>
      </c>
      <c r="C32" s="209">
        <v>0</v>
      </c>
      <c r="D32" s="209">
        <v>0</v>
      </c>
      <c r="E32" s="209">
        <v>0</v>
      </c>
      <c r="F32" s="209">
        <v>0</v>
      </c>
      <c r="G32" s="209">
        <v>0</v>
      </c>
      <c r="H32" s="209">
        <v>0</v>
      </c>
      <c r="I32" s="209">
        <v>0</v>
      </c>
      <c r="J32" s="209">
        <v>0</v>
      </c>
      <c r="K32" s="209">
        <v>0</v>
      </c>
      <c r="L32" s="209">
        <v>0</v>
      </c>
      <c r="M32" s="209">
        <v>0</v>
      </c>
      <c r="N32" s="209">
        <v>0</v>
      </c>
      <c r="O32" s="209">
        <v>0</v>
      </c>
    </row>
    <row r="33" ht="16" x14ac:dyDescent="0.2">
      <c r="A33">
        <v>32</v>
      </c>
      <c r="B33" s="209" t="s">
        <v>212</v>
      </c>
      <c r="C33" s="209">
        <v>0</v>
      </c>
      <c r="D33" s="209">
        <v>0</v>
      </c>
      <c r="E33" s="209">
        <v>0</v>
      </c>
      <c r="F33" s="209">
        <v>0</v>
      </c>
      <c r="G33" s="209">
        <v>0</v>
      </c>
      <c r="H33" s="209">
        <v>0</v>
      </c>
      <c r="I33" s="209">
        <v>0</v>
      </c>
      <c r="J33" s="209">
        <v>0</v>
      </c>
      <c r="K33" s="209">
        <v>0</v>
      </c>
      <c r="L33" s="209">
        <v>0</v>
      </c>
      <c r="M33" s="209">
        <v>0</v>
      </c>
      <c r="N33" s="209">
        <v>0</v>
      </c>
      <c r="O33" s="209">
        <v>0</v>
      </c>
    </row>
    <row r="34" ht="16" x14ac:dyDescent="0.2">
      <c r="A34">
        <v>33</v>
      </c>
      <c r="B34" s="209" t="s">
        <v>178</v>
      </c>
      <c r="C34" s="209">
        <v>0</v>
      </c>
      <c r="D34" s="209">
        <v>0</v>
      </c>
      <c r="E34" s="209">
        <v>0</v>
      </c>
      <c r="F34" s="209">
        <v>0</v>
      </c>
      <c r="G34" s="209">
        <v>0</v>
      </c>
      <c r="H34" s="209">
        <v>0</v>
      </c>
      <c r="I34" s="209">
        <v>0</v>
      </c>
      <c r="J34" s="209">
        <v>0</v>
      </c>
      <c r="K34" s="209">
        <v>0</v>
      </c>
      <c r="L34" s="209">
        <v>0</v>
      </c>
      <c r="M34" s="209">
        <v>0</v>
      </c>
      <c r="N34" s="209">
        <v>0</v>
      </c>
      <c r="O34" s="209">
        <v>0</v>
      </c>
    </row>
    <row r="35" ht="13" x14ac:dyDescent="0.15"/>
    <row r="36" ht="13" x14ac:dyDescent="0.15"/>
    <row r="37" ht="13" x14ac:dyDescent="0.15"/>
    <row r="38" ht="13" x14ac:dyDescent="0.15"/>
    <row r="39" ht="13" x14ac:dyDescent="0.15">
      <c r="A39" t="s">
        <v>230</v>
      </c>
    </row>
    <row r="40" ht="13" x14ac:dyDescent="0.15"/>
    <row r="41" ht="13" x14ac:dyDescent="0.15"/>
    <row r="42" ht="13" x14ac:dyDescent="0.15"/>
    <row r="43" ht="13" x14ac:dyDescent="0.15"/>
    <row r="44" ht="13" x14ac:dyDescent="0.15"/>
    <row r="45" ht="13" x14ac:dyDescent="0.15"/>
    <row r="46" ht="13" x14ac:dyDescent="0.15"/>
    <row r="47" ht="13" x14ac:dyDescent="0.15"/>
    <row r="48" ht="13" x14ac:dyDescent="0.15"/>
    <row r="49" ht="13" x14ac:dyDescent="0.15"/>
    <row r="50" ht="13" x14ac:dyDescent="0.15"/>
    <row r="51" ht="13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O51"/>
  <sheetViews>
    <sheetView workbookViewId="0">
      <selection activeCell="B4" sqref="B4"/>
    </sheetView>
  </sheetViews>
  <sheetFormatPr baseColWidth="10" defaultRowHeight="14" customHeight="true" x14ac:dyDescent="0.15"/>
  <cols>
    <col min="1" max="1" width="12.6640625" customWidth="true"/>
    <col min="2" max="2" width="34.33203125" bestFit="true" customWidth="true"/>
    <col min="3" max="3" width="19" bestFit="true" customWidth="true"/>
  </cols>
  <sheetData>
    <row r="1" ht="29" x14ac:dyDescent="0.2">
      <c r="A1" s="146" t="s">
        <v>83</v>
      </c>
      <c r="B1" s="220" t="s">
        <v>0</v>
      </c>
      <c r="C1" s="209" t="s">
        <v>214</v>
      </c>
      <c r="D1" s="209" t="s">
        <v>215</v>
      </c>
      <c r="E1" s="209" t="s">
        <v>216</v>
      </c>
      <c r="F1" s="209" t="s">
        <v>217</v>
      </c>
      <c r="G1" s="209" t="s">
        <v>218</v>
      </c>
      <c r="H1" s="209" t="s">
        <v>219</v>
      </c>
      <c r="I1" s="209" t="s">
        <v>220</v>
      </c>
      <c r="J1" s="209" t="s">
        <v>221</v>
      </c>
      <c r="K1" s="209" t="s">
        <v>222</v>
      </c>
      <c r="L1" s="209" t="s">
        <v>223</v>
      </c>
      <c r="M1" s="209" t="s">
        <v>224</v>
      </c>
      <c r="N1" s="209" t="s">
        <v>225</v>
      </c>
      <c r="O1" s="209" t="s">
        <v>226</v>
      </c>
    </row>
    <row r="2" ht="16" x14ac:dyDescent="0.2">
      <c r="A2">
        <v>1</v>
      </c>
      <c r="B2" s="209" t="s">
        <v>182</v>
      </c>
      <c r="C2" s="82">
        <v>0</v>
      </c>
      <c r="D2" s="82">
        <v>0</v>
      </c>
      <c r="E2" s="82">
        <v>0</v>
      </c>
      <c r="F2" s="82">
        <v>0</v>
      </c>
      <c r="G2" s="82">
        <v>0</v>
      </c>
      <c r="H2" s="82">
        <v>0</v>
      </c>
      <c r="I2" s="82">
        <v>0</v>
      </c>
      <c r="J2" s="82">
        <v>0</v>
      </c>
      <c r="K2" s="82">
        <v>0</v>
      </c>
      <c r="L2" s="82">
        <v>0</v>
      </c>
      <c r="M2" s="82">
        <v>0</v>
      </c>
      <c r="N2" s="82">
        <v>0</v>
      </c>
      <c r="O2" s="82">
        <v>0</v>
      </c>
    </row>
    <row r="3" ht="16" x14ac:dyDescent="0.2">
      <c r="A3">
        <v>2</v>
      </c>
      <c r="B3" s="209" t="s">
        <v>183</v>
      </c>
      <c r="C3" s="82">
        <v>0</v>
      </c>
      <c r="D3" s="82">
        <v>0</v>
      </c>
      <c r="E3" s="82">
        <v>0</v>
      </c>
      <c r="F3" s="82">
        <v>0</v>
      </c>
      <c r="G3" s="82">
        <v>0</v>
      </c>
      <c r="H3" s="82">
        <v>0</v>
      </c>
      <c r="I3" s="82">
        <v>0</v>
      </c>
      <c r="J3" s="82">
        <v>0</v>
      </c>
      <c r="K3" s="82">
        <v>0</v>
      </c>
      <c r="L3" s="82">
        <v>0</v>
      </c>
      <c r="M3" s="82">
        <v>0</v>
      </c>
      <c r="N3" s="82">
        <v>0</v>
      </c>
      <c r="O3" s="82">
        <v>0</v>
      </c>
    </row>
    <row r="4" ht="16" x14ac:dyDescent="0.2">
      <c r="A4">
        <v>3</v>
      </c>
      <c r="B4" s="209" t="s">
        <v>184</v>
      </c>
      <c r="C4" s="82">
        <v>0</v>
      </c>
      <c r="D4" s="82">
        <v>0</v>
      </c>
      <c r="E4" s="82">
        <v>0</v>
      </c>
      <c r="F4" s="82">
        <v>0</v>
      </c>
      <c r="G4" s="82">
        <v>0</v>
      </c>
      <c r="H4" s="82">
        <v>0</v>
      </c>
      <c r="I4" s="82">
        <v>0</v>
      </c>
      <c r="J4" s="82">
        <v>0</v>
      </c>
      <c r="K4" s="82">
        <v>0</v>
      </c>
      <c r="L4" s="82">
        <v>0</v>
      </c>
      <c r="M4" s="82">
        <v>0</v>
      </c>
      <c r="N4" s="82">
        <v>0</v>
      </c>
      <c r="O4" s="82">
        <v>0</v>
      </c>
    </row>
    <row r="5" ht="16" x14ac:dyDescent="0.2">
      <c r="A5">
        <v>4</v>
      </c>
      <c r="B5" s="209" t="s">
        <v>185</v>
      </c>
      <c r="C5" s="82">
        <v>0</v>
      </c>
      <c r="D5" s="82">
        <v>0</v>
      </c>
      <c r="E5" s="82">
        <v>0</v>
      </c>
      <c r="F5" s="82">
        <v>0</v>
      </c>
      <c r="G5" s="82">
        <v>0</v>
      </c>
      <c r="H5" s="82">
        <v>0</v>
      </c>
      <c r="I5" s="82">
        <v>0</v>
      </c>
      <c r="J5" s="82">
        <v>0</v>
      </c>
      <c r="K5" s="82">
        <v>0</v>
      </c>
      <c r="L5" s="82">
        <v>0</v>
      </c>
      <c r="M5" s="82">
        <v>0</v>
      </c>
      <c r="N5" s="82">
        <v>0</v>
      </c>
      <c r="O5" s="82">
        <v>0</v>
      </c>
    </row>
    <row r="6" ht="16" x14ac:dyDescent="0.2">
      <c r="A6">
        <v>5</v>
      </c>
      <c r="B6" s="209" t="s">
        <v>186</v>
      </c>
      <c r="C6" s="82">
        <v>0</v>
      </c>
      <c r="D6" s="82">
        <v>0</v>
      </c>
      <c r="E6" s="82">
        <v>0</v>
      </c>
      <c r="F6" s="82">
        <v>0</v>
      </c>
      <c r="G6" s="82">
        <v>0</v>
      </c>
      <c r="H6" s="82">
        <v>0</v>
      </c>
      <c r="I6" s="82">
        <v>0</v>
      </c>
      <c r="J6" s="82">
        <v>0</v>
      </c>
      <c r="K6" s="82">
        <v>0</v>
      </c>
      <c r="L6" s="82">
        <v>0</v>
      </c>
      <c r="M6" s="82">
        <v>0</v>
      </c>
      <c r="N6" s="82">
        <v>0</v>
      </c>
      <c r="O6" s="82">
        <v>0</v>
      </c>
    </row>
    <row r="7" ht="16" x14ac:dyDescent="0.2">
      <c r="A7">
        <v>6</v>
      </c>
      <c r="B7" s="209" t="s">
        <v>187</v>
      </c>
      <c r="C7" s="82">
        <v>0</v>
      </c>
      <c r="D7" s="82">
        <v>0</v>
      </c>
      <c r="E7" s="82">
        <v>0</v>
      </c>
      <c r="F7" s="82">
        <v>0</v>
      </c>
      <c r="G7" s="82">
        <v>0</v>
      </c>
      <c r="H7" s="82">
        <v>0</v>
      </c>
      <c r="I7" s="82">
        <v>0</v>
      </c>
      <c r="J7" s="82">
        <v>0</v>
      </c>
      <c r="K7" s="82">
        <v>0</v>
      </c>
      <c r="L7" s="82">
        <v>0</v>
      </c>
      <c r="M7" s="82">
        <v>0</v>
      </c>
      <c r="N7" s="82">
        <v>0</v>
      </c>
      <c r="O7" s="82">
        <v>0</v>
      </c>
    </row>
    <row r="8" ht="16" x14ac:dyDescent="0.2">
      <c r="A8">
        <v>7</v>
      </c>
      <c r="B8" s="209" t="s">
        <v>188</v>
      </c>
      <c r="C8" s="82">
        <v>0</v>
      </c>
      <c r="D8" s="82">
        <v>0</v>
      </c>
      <c r="E8" s="82">
        <v>0</v>
      </c>
      <c r="F8" s="82">
        <v>0</v>
      </c>
      <c r="G8" s="82">
        <v>0</v>
      </c>
      <c r="H8" s="82">
        <v>0</v>
      </c>
      <c r="I8" s="82">
        <v>0</v>
      </c>
      <c r="J8" s="82">
        <v>0</v>
      </c>
      <c r="K8" s="82">
        <v>0</v>
      </c>
      <c r="L8" s="82">
        <v>0</v>
      </c>
      <c r="M8" s="82">
        <v>0</v>
      </c>
      <c r="N8" s="82">
        <v>0</v>
      </c>
      <c r="O8" s="82">
        <v>0</v>
      </c>
    </row>
    <row r="9" ht="16" x14ac:dyDescent="0.2">
      <c r="A9">
        <v>8</v>
      </c>
      <c r="B9" s="209" t="s">
        <v>189</v>
      </c>
      <c r="C9" s="82">
        <v>0</v>
      </c>
      <c r="D9" s="82">
        <v>0</v>
      </c>
      <c r="E9" s="82">
        <v>0</v>
      </c>
      <c r="F9" s="82">
        <v>0</v>
      </c>
      <c r="G9" s="82">
        <v>0</v>
      </c>
      <c r="H9" s="82">
        <v>0</v>
      </c>
      <c r="I9" s="82">
        <v>0</v>
      </c>
      <c r="J9" s="82">
        <v>0</v>
      </c>
      <c r="K9" s="82">
        <v>0</v>
      </c>
      <c r="L9" s="82">
        <v>0</v>
      </c>
      <c r="M9" s="82">
        <v>0</v>
      </c>
      <c r="N9" s="82">
        <v>0</v>
      </c>
      <c r="O9" s="82">
        <v>0</v>
      </c>
    </row>
    <row r="10" ht="16" x14ac:dyDescent="0.2">
      <c r="A10">
        <v>9</v>
      </c>
      <c r="B10" s="209" t="s">
        <v>190</v>
      </c>
      <c r="C10" s="82">
        <v>0</v>
      </c>
      <c r="D10" s="82">
        <v>0</v>
      </c>
      <c r="E10" s="82">
        <v>0</v>
      </c>
      <c r="F10" s="82">
        <v>0</v>
      </c>
      <c r="G10" s="82">
        <v>0</v>
      </c>
      <c r="H10" s="82">
        <v>0</v>
      </c>
      <c r="I10" s="82">
        <v>0</v>
      </c>
      <c r="J10" s="82">
        <v>0</v>
      </c>
      <c r="K10" s="82">
        <v>0</v>
      </c>
      <c r="L10" s="82">
        <v>0</v>
      </c>
      <c r="M10" s="82">
        <v>0</v>
      </c>
      <c r="N10" s="82">
        <v>0</v>
      </c>
      <c r="O10" s="82">
        <v>0</v>
      </c>
    </row>
    <row r="11" ht="16" x14ac:dyDescent="0.2">
      <c r="A11">
        <v>10</v>
      </c>
      <c r="B11" s="209" t="s">
        <v>191</v>
      </c>
      <c r="C11" s="82">
        <v>0</v>
      </c>
      <c r="D11" s="82">
        <v>0</v>
      </c>
      <c r="E11" s="82">
        <v>0</v>
      </c>
      <c r="F11" s="82">
        <v>0</v>
      </c>
      <c r="G11" s="82">
        <v>0</v>
      </c>
      <c r="H11" s="82">
        <v>0</v>
      </c>
      <c r="I11" s="82">
        <v>0</v>
      </c>
      <c r="J11" s="82">
        <v>0</v>
      </c>
      <c r="K11" s="82">
        <v>0</v>
      </c>
      <c r="L11" s="82">
        <v>0</v>
      </c>
      <c r="M11" s="82">
        <v>0</v>
      </c>
      <c r="N11" s="82">
        <v>0</v>
      </c>
      <c r="O11" s="82">
        <v>0</v>
      </c>
    </row>
    <row r="12" ht="16" x14ac:dyDescent="0.2">
      <c r="A12">
        <v>11</v>
      </c>
      <c r="B12" s="209" t="s">
        <v>192</v>
      </c>
      <c r="C12" s="82">
        <v>0</v>
      </c>
      <c r="D12" s="82">
        <v>0</v>
      </c>
      <c r="E12" s="82">
        <v>0</v>
      </c>
      <c r="F12" s="82">
        <v>0</v>
      </c>
      <c r="G12" s="82">
        <v>0</v>
      </c>
      <c r="H12" s="82">
        <v>0</v>
      </c>
      <c r="I12" s="82">
        <v>0</v>
      </c>
      <c r="J12" s="82">
        <v>0</v>
      </c>
      <c r="K12" s="82">
        <v>0</v>
      </c>
      <c r="L12" s="82">
        <v>0</v>
      </c>
      <c r="M12" s="82">
        <v>0</v>
      </c>
      <c r="N12" s="82">
        <v>0</v>
      </c>
      <c r="O12" s="82">
        <v>0</v>
      </c>
    </row>
    <row r="13" ht="16" x14ac:dyDescent="0.2">
      <c r="A13">
        <v>12</v>
      </c>
      <c r="B13" s="209" t="s">
        <v>193</v>
      </c>
      <c r="C13" s="82">
        <v>0</v>
      </c>
      <c r="D13" s="82">
        <v>0</v>
      </c>
      <c r="E13" s="82">
        <v>0</v>
      </c>
      <c r="F13" s="82">
        <v>0</v>
      </c>
      <c r="G13" s="82">
        <v>0</v>
      </c>
      <c r="H13" s="82">
        <v>0</v>
      </c>
      <c r="I13" s="82">
        <v>0</v>
      </c>
      <c r="J13" s="82">
        <v>0</v>
      </c>
      <c r="K13" s="82">
        <v>0</v>
      </c>
      <c r="L13" s="82">
        <v>0</v>
      </c>
      <c r="M13" s="82">
        <v>0</v>
      </c>
      <c r="N13" s="82">
        <v>0</v>
      </c>
      <c r="O13" s="82">
        <v>0</v>
      </c>
    </row>
    <row r="14" ht="16" x14ac:dyDescent="0.2">
      <c r="A14">
        <v>13</v>
      </c>
      <c r="B14" s="209" t="s">
        <v>194</v>
      </c>
      <c r="C14" s="82">
        <v>0</v>
      </c>
      <c r="D14" s="82">
        <v>0</v>
      </c>
      <c r="E14" s="82">
        <v>0</v>
      </c>
      <c r="F14" s="82">
        <v>0</v>
      </c>
      <c r="G14" s="82">
        <v>0</v>
      </c>
      <c r="H14" s="82">
        <v>0</v>
      </c>
      <c r="I14" s="82">
        <v>0</v>
      </c>
      <c r="J14" s="82">
        <v>0</v>
      </c>
      <c r="K14" s="82">
        <v>0</v>
      </c>
      <c r="L14" s="82">
        <v>0</v>
      </c>
      <c r="M14" s="82">
        <v>0</v>
      </c>
      <c r="N14" s="82">
        <v>0</v>
      </c>
      <c r="O14" s="82">
        <v>0</v>
      </c>
    </row>
    <row r="15" ht="16" x14ac:dyDescent="0.2">
      <c r="A15">
        <v>14</v>
      </c>
      <c r="B15" s="209" t="s">
        <v>195</v>
      </c>
      <c r="C15" s="82">
        <v>0</v>
      </c>
      <c r="D15" s="82">
        <v>0</v>
      </c>
      <c r="E15" s="82">
        <v>0</v>
      </c>
      <c r="F15" s="82">
        <v>0</v>
      </c>
      <c r="G15" s="82">
        <v>0</v>
      </c>
      <c r="H15" s="82">
        <v>0</v>
      </c>
      <c r="I15" s="82">
        <v>0</v>
      </c>
      <c r="J15" s="82">
        <v>0</v>
      </c>
      <c r="K15" s="82">
        <v>0</v>
      </c>
      <c r="L15" s="82">
        <v>0</v>
      </c>
      <c r="M15" s="82">
        <v>0</v>
      </c>
      <c r="N15" s="82">
        <v>0</v>
      </c>
      <c r="O15" s="82">
        <v>0</v>
      </c>
    </row>
    <row r="16" ht="16" x14ac:dyDescent="0.2">
      <c r="A16">
        <v>15</v>
      </c>
      <c r="B16" s="209" t="s">
        <v>196</v>
      </c>
      <c r="C16" s="82">
        <v>0</v>
      </c>
      <c r="D16" s="82">
        <v>0</v>
      </c>
      <c r="E16" s="82">
        <v>0</v>
      </c>
      <c r="F16" s="82">
        <v>0</v>
      </c>
      <c r="G16" s="82">
        <v>0</v>
      </c>
      <c r="H16" s="82">
        <v>0</v>
      </c>
      <c r="I16" s="82">
        <v>0</v>
      </c>
      <c r="J16" s="82">
        <v>0</v>
      </c>
      <c r="K16" s="82">
        <v>0</v>
      </c>
      <c r="L16" s="82">
        <v>0</v>
      </c>
      <c r="M16" s="82">
        <v>0</v>
      </c>
      <c r="N16" s="82">
        <v>0</v>
      </c>
      <c r="O16" s="82">
        <v>0</v>
      </c>
    </row>
    <row r="17" ht="16" x14ac:dyDescent="0.2">
      <c r="A17">
        <v>16</v>
      </c>
      <c r="B17" s="209" t="s">
        <v>197</v>
      </c>
      <c r="C17" s="82">
        <v>0</v>
      </c>
      <c r="D17" s="82">
        <v>0</v>
      </c>
      <c r="E17" s="82">
        <v>0</v>
      </c>
      <c r="F17" s="82">
        <v>0</v>
      </c>
      <c r="G17" s="82">
        <v>0</v>
      </c>
      <c r="H17" s="82">
        <v>0</v>
      </c>
      <c r="I17" s="82">
        <v>0</v>
      </c>
      <c r="J17" s="82">
        <v>0</v>
      </c>
      <c r="K17" s="82">
        <v>0</v>
      </c>
      <c r="L17" s="82">
        <v>0</v>
      </c>
      <c r="M17" s="82">
        <v>0</v>
      </c>
      <c r="N17" s="82">
        <v>0</v>
      </c>
      <c r="O17" s="82">
        <v>0</v>
      </c>
    </row>
    <row r="18" ht="16" x14ac:dyDescent="0.2">
      <c r="A18">
        <v>17</v>
      </c>
      <c r="B18" s="209" t="s">
        <v>198</v>
      </c>
      <c r="C18" s="82">
        <v>0</v>
      </c>
      <c r="D18" s="82">
        <v>0</v>
      </c>
      <c r="E18" s="82">
        <v>0</v>
      </c>
      <c r="F18" s="82">
        <v>0</v>
      </c>
      <c r="G18" s="82">
        <v>0</v>
      </c>
      <c r="H18" s="82">
        <v>0</v>
      </c>
      <c r="I18" s="82">
        <v>0</v>
      </c>
      <c r="J18" s="82">
        <v>0</v>
      </c>
      <c r="K18" s="82">
        <v>0</v>
      </c>
      <c r="L18" s="82">
        <v>0</v>
      </c>
      <c r="M18" s="82">
        <v>0</v>
      </c>
      <c r="N18" s="82">
        <v>0</v>
      </c>
      <c r="O18" s="82">
        <v>0</v>
      </c>
    </row>
    <row r="19" ht="16" x14ac:dyDescent="0.2">
      <c r="A19">
        <v>18</v>
      </c>
      <c r="B19" s="209" t="s">
        <v>199</v>
      </c>
      <c r="C19" s="82">
        <v>0</v>
      </c>
      <c r="D19" s="82">
        <v>0</v>
      </c>
      <c r="E19" s="82">
        <v>0</v>
      </c>
      <c r="F19" s="82">
        <v>0</v>
      </c>
      <c r="G19" s="82">
        <v>0</v>
      </c>
      <c r="H19" s="82">
        <v>0</v>
      </c>
      <c r="I19" s="82">
        <v>0</v>
      </c>
      <c r="J19" s="82">
        <v>0</v>
      </c>
      <c r="K19" s="82">
        <v>0</v>
      </c>
      <c r="L19" s="82">
        <v>0</v>
      </c>
      <c r="M19" s="82">
        <v>0.7</v>
      </c>
      <c r="N19" s="82">
        <v>0.7</v>
      </c>
      <c r="O19" s="82">
        <v>0</v>
      </c>
    </row>
    <row r="20" ht="16" x14ac:dyDescent="0.2">
      <c r="A20">
        <v>19</v>
      </c>
      <c r="B20" s="209" t="s">
        <v>200</v>
      </c>
      <c r="C20" s="82">
        <v>0</v>
      </c>
      <c r="D20" s="82">
        <v>0</v>
      </c>
      <c r="E20" s="82">
        <v>0</v>
      </c>
      <c r="F20" s="82">
        <v>0</v>
      </c>
      <c r="G20" s="82">
        <v>0</v>
      </c>
      <c r="H20" s="82">
        <v>0</v>
      </c>
      <c r="I20" s="82">
        <v>0</v>
      </c>
      <c r="J20" s="82">
        <v>0</v>
      </c>
      <c r="K20" s="82">
        <v>0</v>
      </c>
      <c r="L20" s="82">
        <v>0</v>
      </c>
      <c r="M20" s="82">
        <v>0</v>
      </c>
      <c r="N20" s="82">
        <v>0</v>
      </c>
      <c r="O20" s="82">
        <v>0</v>
      </c>
    </row>
    <row r="21" ht="16" x14ac:dyDescent="0.2">
      <c r="A21">
        <v>20</v>
      </c>
      <c r="B21" s="209" t="s">
        <v>201</v>
      </c>
      <c r="C21" s="82">
        <v>0</v>
      </c>
      <c r="D21" s="82">
        <v>0</v>
      </c>
      <c r="E21" s="82">
        <v>0</v>
      </c>
      <c r="F21" s="82">
        <v>0</v>
      </c>
      <c r="G21" s="82">
        <v>0</v>
      </c>
      <c r="H21" s="82">
        <v>0</v>
      </c>
      <c r="I21" s="82">
        <v>0</v>
      </c>
      <c r="J21" s="82">
        <v>0</v>
      </c>
      <c r="K21" s="82">
        <v>0</v>
      </c>
      <c r="L21" s="82">
        <v>0</v>
      </c>
      <c r="M21" s="82">
        <v>0</v>
      </c>
      <c r="N21" s="82">
        <v>0.7</v>
      </c>
      <c r="O21" s="82">
        <v>0</v>
      </c>
    </row>
    <row r="22" ht="16" x14ac:dyDescent="0.2">
      <c r="A22">
        <v>21</v>
      </c>
      <c r="B22" s="209" t="s">
        <v>202</v>
      </c>
      <c r="C22" s="82">
        <v>0</v>
      </c>
      <c r="D22" s="82">
        <v>0</v>
      </c>
      <c r="E22" s="82">
        <v>0</v>
      </c>
      <c r="F22" s="82">
        <v>0</v>
      </c>
      <c r="G22" s="82">
        <v>0</v>
      </c>
      <c r="H22" s="82">
        <v>0</v>
      </c>
      <c r="I22" s="82">
        <v>0</v>
      </c>
      <c r="J22" s="82">
        <v>0</v>
      </c>
      <c r="K22" s="82">
        <v>0</v>
      </c>
      <c r="L22" s="82">
        <v>0</v>
      </c>
      <c r="M22" s="82">
        <v>0</v>
      </c>
      <c r="N22" s="82">
        <v>0</v>
      </c>
      <c r="O22" s="82">
        <v>0</v>
      </c>
    </row>
    <row r="23" ht="16" x14ac:dyDescent="0.2">
      <c r="A23">
        <v>22</v>
      </c>
      <c r="B23" s="209" t="s">
        <v>203</v>
      </c>
      <c r="C23" s="82">
        <v>0</v>
      </c>
      <c r="D23" s="82">
        <v>0</v>
      </c>
      <c r="E23" s="82">
        <v>0</v>
      </c>
      <c r="F23" s="82">
        <v>0</v>
      </c>
      <c r="G23" s="82">
        <v>0</v>
      </c>
      <c r="H23" s="82">
        <v>0</v>
      </c>
      <c r="I23" s="82">
        <v>0</v>
      </c>
      <c r="J23" s="82">
        <v>0</v>
      </c>
      <c r="K23" s="82">
        <v>0</v>
      </c>
      <c r="L23" s="82">
        <v>0</v>
      </c>
      <c r="M23" s="82">
        <v>0</v>
      </c>
      <c r="N23" s="82">
        <v>0</v>
      </c>
      <c r="O23" s="82">
        <v>0</v>
      </c>
    </row>
    <row r="24" ht="16" x14ac:dyDescent="0.2">
      <c r="A24">
        <v>23</v>
      </c>
      <c r="B24" s="209" t="s">
        <v>204</v>
      </c>
      <c r="C24" s="82">
        <v>0</v>
      </c>
      <c r="D24" s="82">
        <v>0</v>
      </c>
      <c r="E24" s="82">
        <v>0</v>
      </c>
      <c r="F24" s="82">
        <v>0</v>
      </c>
      <c r="G24" s="82">
        <v>0</v>
      </c>
      <c r="H24" s="82">
        <v>0</v>
      </c>
      <c r="I24" s="82">
        <v>0</v>
      </c>
      <c r="J24" s="82">
        <v>0</v>
      </c>
      <c r="K24" s="82">
        <v>0</v>
      </c>
      <c r="L24" s="82">
        <v>0</v>
      </c>
      <c r="M24" s="82">
        <v>0</v>
      </c>
      <c r="N24" s="82">
        <v>0</v>
      </c>
      <c r="O24" s="82">
        <v>0</v>
      </c>
    </row>
    <row r="25" ht="16" x14ac:dyDescent="0.2">
      <c r="A25">
        <v>24</v>
      </c>
      <c r="B25" s="209" t="s">
        <v>205</v>
      </c>
      <c r="C25" s="82">
        <v>0</v>
      </c>
      <c r="D25" s="82">
        <v>0</v>
      </c>
      <c r="E25" s="82">
        <v>0</v>
      </c>
      <c r="F25" s="82">
        <v>0</v>
      </c>
      <c r="G25" s="82">
        <v>0</v>
      </c>
      <c r="H25" s="82">
        <v>0</v>
      </c>
      <c r="I25" s="82">
        <v>0</v>
      </c>
      <c r="J25" s="82">
        <v>0</v>
      </c>
      <c r="K25" s="82">
        <v>0</v>
      </c>
      <c r="L25" s="82">
        <v>0</v>
      </c>
      <c r="M25" s="82">
        <v>0</v>
      </c>
      <c r="N25" s="82">
        <v>0</v>
      </c>
      <c r="O25" s="82">
        <v>0</v>
      </c>
    </row>
    <row r="26" ht="16" x14ac:dyDescent="0.2">
      <c r="A26">
        <v>25</v>
      </c>
      <c r="B26" s="209" t="s">
        <v>206</v>
      </c>
      <c r="C26" s="82">
        <v>0</v>
      </c>
      <c r="D26" s="82">
        <v>0</v>
      </c>
      <c r="E26" s="82">
        <v>0</v>
      </c>
      <c r="F26" s="82">
        <v>0</v>
      </c>
      <c r="G26" s="82">
        <v>0</v>
      </c>
      <c r="H26" s="82">
        <v>0</v>
      </c>
      <c r="I26" s="82">
        <v>0</v>
      </c>
      <c r="J26" s="82">
        <v>0</v>
      </c>
      <c r="K26" s="82">
        <v>0</v>
      </c>
      <c r="L26" s="82">
        <v>0</v>
      </c>
      <c r="M26" s="82">
        <v>0</v>
      </c>
      <c r="N26" s="82">
        <v>0</v>
      </c>
      <c r="O26" s="82">
        <v>0</v>
      </c>
    </row>
    <row r="27" ht="16" x14ac:dyDescent="0.2">
      <c r="A27">
        <v>26</v>
      </c>
      <c r="B27" s="209" t="s">
        <v>207</v>
      </c>
      <c r="C27" s="82">
        <v>0</v>
      </c>
      <c r="D27" s="82">
        <v>0</v>
      </c>
      <c r="E27" s="82">
        <v>0</v>
      </c>
      <c r="F27" s="82">
        <v>0</v>
      </c>
      <c r="G27" s="82">
        <v>0</v>
      </c>
      <c r="H27" s="82">
        <v>0</v>
      </c>
      <c r="I27" s="82">
        <v>0</v>
      </c>
      <c r="J27" s="82">
        <v>0</v>
      </c>
      <c r="K27" s="82">
        <v>0</v>
      </c>
      <c r="L27" s="82">
        <v>0</v>
      </c>
      <c r="M27" s="82">
        <v>0</v>
      </c>
      <c r="N27" s="82">
        <v>0</v>
      </c>
      <c r="O27" s="82">
        <v>0</v>
      </c>
    </row>
    <row r="28" ht="16" x14ac:dyDescent="0.2">
      <c r="A28">
        <v>27</v>
      </c>
      <c r="B28" s="209" t="s">
        <v>208</v>
      </c>
      <c r="C28" s="82">
        <v>0</v>
      </c>
      <c r="D28" s="82">
        <v>0</v>
      </c>
      <c r="E28" s="82">
        <v>0</v>
      </c>
      <c r="F28" s="82">
        <v>0</v>
      </c>
      <c r="G28" s="82">
        <v>0</v>
      </c>
      <c r="H28" s="82">
        <v>0</v>
      </c>
      <c r="I28" s="82">
        <v>0</v>
      </c>
      <c r="J28" s="82">
        <v>0</v>
      </c>
      <c r="K28" s="82">
        <v>0</v>
      </c>
      <c r="L28" s="82">
        <v>0</v>
      </c>
      <c r="M28" s="82">
        <v>0</v>
      </c>
      <c r="N28" s="82">
        <v>0</v>
      </c>
      <c r="O28" s="82">
        <v>0</v>
      </c>
    </row>
    <row r="29" ht="16" x14ac:dyDescent="0.2">
      <c r="A29">
        <v>28</v>
      </c>
      <c r="B29" s="209" t="s">
        <v>209</v>
      </c>
      <c r="C29" s="82">
        <v>0</v>
      </c>
      <c r="D29" s="82">
        <v>0</v>
      </c>
      <c r="E29" s="82">
        <v>0</v>
      </c>
      <c r="F29" s="82">
        <v>0</v>
      </c>
      <c r="G29" s="82">
        <v>0</v>
      </c>
      <c r="H29" s="82">
        <v>0</v>
      </c>
      <c r="I29" s="82">
        <v>0</v>
      </c>
      <c r="J29" s="82">
        <v>0</v>
      </c>
      <c r="K29" s="82">
        <v>0</v>
      </c>
      <c r="L29" s="82">
        <v>0</v>
      </c>
      <c r="M29" s="82">
        <v>0</v>
      </c>
      <c r="N29" s="82">
        <v>0</v>
      </c>
      <c r="O29" s="82">
        <v>0</v>
      </c>
    </row>
    <row r="30" ht="16" x14ac:dyDescent="0.2">
      <c r="A30">
        <v>29</v>
      </c>
      <c r="B30" s="209" t="s">
        <v>175</v>
      </c>
      <c r="C30" s="82">
        <v>0</v>
      </c>
      <c r="D30" s="82">
        <v>0</v>
      </c>
      <c r="E30" s="82">
        <v>0</v>
      </c>
      <c r="F30" s="82">
        <v>0</v>
      </c>
      <c r="G30" s="82">
        <v>0</v>
      </c>
      <c r="H30" s="82">
        <v>0</v>
      </c>
      <c r="I30" s="82">
        <v>0</v>
      </c>
      <c r="J30" s="82">
        <v>0</v>
      </c>
      <c r="K30" s="82">
        <v>0</v>
      </c>
      <c r="L30" s="82">
        <v>0</v>
      </c>
      <c r="M30" s="82">
        <v>0</v>
      </c>
      <c r="N30" s="82">
        <v>0</v>
      </c>
      <c r="O30" s="82">
        <v>0</v>
      </c>
    </row>
    <row r="31" ht="16" x14ac:dyDescent="0.2">
      <c r="A31">
        <v>30</v>
      </c>
      <c r="B31" s="209" t="s">
        <v>210</v>
      </c>
      <c r="C31" s="82">
        <v>0</v>
      </c>
      <c r="D31" s="82">
        <v>0</v>
      </c>
      <c r="E31" s="82">
        <v>0</v>
      </c>
      <c r="F31" s="82">
        <v>0</v>
      </c>
      <c r="G31" s="82">
        <v>0</v>
      </c>
      <c r="H31" s="82">
        <v>0</v>
      </c>
      <c r="I31" s="82">
        <v>0</v>
      </c>
      <c r="J31" s="82">
        <v>0</v>
      </c>
      <c r="K31" s="82">
        <v>0</v>
      </c>
      <c r="L31" s="82">
        <v>0</v>
      </c>
      <c r="M31" s="82">
        <v>0</v>
      </c>
      <c r="N31" s="82">
        <v>0</v>
      </c>
      <c r="O31" s="82">
        <v>0</v>
      </c>
    </row>
    <row r="32" ht="16" x14ac:dyDescent="0.2">
      <c r="A32">
        <v>31</v>
      </c>
      <c r="B32" s="209" t="s">
        <v>211</v>
      </c>
      <c r="C32" s="82">
        <v>0</v>
      </c>
      <c r="D32" s="82">
        <v>0</v>
      </c>
      <c r="E32" s="82">
        <v>0</v>
      </c>
      <c r="F32" s="82">
        <v>0</v>
      </c>
      <c r="G32" s="82">
        <v>0</v>
      </c>
      <c r="H32" s="82">
        <v>0</v>
      </c>
      <c r="I32" s="82">
        <v>0</v>
      </c>
      <c r="J32" s="82">
        <v>0</v>
      </c>
      <c r="K32" s="82">
        <v>0</v>
      </c>
      <c r="L32" s="82">
        <v>0</v>
      </c>
      <c r="M32" s="82">
        <v>0</v>
      </c>
      <c r="N32" s="82">
        <v>0</v>
      </c>
      <c r="O32" s="82">
        <v>0</v>
      </c>
    </row>
    <row r="33" ht="16" x14ac:dyDescent="0.2">
      <c r="A33">
        <v>32</v>
      </c>
      <c r="B33" s="209" t="s">
        <v>212</v>
      </c>
      <c r="C33" s="82">
        <v>0</v>
      </c>
      <c r="D33" s="82">
        <v>0</v>
      </c>
      <c r="E33" s="82">
        <v>0</v>
      </c>
      <c r="F33" s="82">
        <v>0</v>
      </c>
      <c r="G33" s="82">
        <v>0</v>
      </c>
      <c r="H33" s="82">
        <v>0</v>
      </c>
      <c r="I33" s="82">
        <v>0</v>
      </c>
      <c r="J33" s="82">
        <v>0</v>
      </c>
      <c r="K33" s="82">
        <v>0</v>
      </c>
      <c r="L33" s="82">
        <v>0</v>
      </c>
      <c r="M33" s="82">
        <v>0</v>
      </c>
      <c r="N33" s="82">
        <v>0</v>
      </c>
      <c r="O33" s="82">
        <v>0</v>
      </c>
    </row>
    <row r="34" ht="16" x14ac:dyDescent="0.2">
      <c r="A34">
        <v>33</v>
      </c>
      <c r="B34" s="209" t="s">
        <v>178</v>
      </c>
      <c r="C34" s="82">
        <v>0</v>
      </c>
      <c r="D34" s="82">
        <v>0</v>
      </c>
      <c r="E34" s="82">
        <v>0</v>
      </c>
      <c r="F34" s="82">
        <v>0</v>
      </c>
      <c r="G34" s="82">
        <v>0</v>
      </c>
      <c r="H34" s="82">
        <v>0</v>
      </c>
      <c r="I34" s="82">
        <v>0</v>
      </c>
      <c r="J34" s="82">
        <v>0</v>
      </c>
      <c r="K34" s="82">
        <v>0</v>
      </c>
      <c r="L34" s="82">
        <v>0</v>
      </c>
      <c r="M34" s="82">
        <v>0</v>
      </c>
      <c r="N34" s="82">
        <v>0</v>
      </c>
      <c r="O34" s="82">
        <v>0</v>
      </c>
    </row>
    <row r="35" ht="13" x14ac:dyDescent="0.15"/>
    <row r="36" ht="13" x14ac:dyDescent="0.15"/>
    <row r="37" ht="13" x14ac:dyDescent="0.15"/>
    <row r="38" ht="13" x14ac:dyDescent="0.15">
      <c r="A38" t="s">
        <v>230</v>
      </c>
    </row>
    <row r="39" ht="13" x14ac:dyDescent="0.15"/>
    <row r="40" ht="13" x14ac:dyDescent="0.15"/>
    <row r="41" ht="13" x14ac:dyDescent="0.15"/>
    <row r="42" ht="13" x14ac:dyDescent="0.15"/>
    <row r="43" ht="13" x14ac:dyDescent="0.15"/>
    <row r="44" ht="13" x14ac:dyDescent="0.15"/>
    <row r="45" ht="13" x14ac:dyDescent="0.15"/>
    <row r="46" ht="13" x14ac:dyDescent="0.15"/>
    <row r="47" ht="13" x14ac:dyDescent="0.15"/>
    <row r="48" ht="13" x14ac:dyDescent="0.15"/>
    <row r="49" ht="13" x14ac:dyDescent="0.15"/>
    <row r="50" ht="13" x14ac:dyDescent="0.15"/>
    <row r="51" ht="13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J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B3" sqref="B3"/>
    </sheetView>
  </sheetViews>
  <sheetFormatPr baseColWidth="10" defaultColWidth="8.83203125" defaultRowHeight="15" customHeight="true" x14ac:dyDescent="0.15"/>
  <cols>
    <col min="1" max="1" width="8.83203125" style="59"/>
    <col min="2" max="2" width="41.83203125" style="59" bestFit="true" customWidth="true"/>
    <col min="3" max="3" width="9.33203125" style="59" bestFit="true" customWidth="true"/>
    <col min="4" max="4" width="13" style="59" bestFit="true" customWidth="true"/>
    <col min="5" max="6" width="9.33203125" style="59" bestFit="true" customWidth="true"/>
    <col min="7" max="7" width="9.33203125" style="60" bestFit="true" customWidth="true"/>
    <col min="8" max="8" width="9.33203125" style="59" bestFit="true" customWidth="true"/>
    <col min="9" max="9" width="11" style="59" customWidth="true"/>
    <col min="10" max="10" width="8.83203125" style="59"/>
    <col min="15" max="16384" width="8.83203125" style="59"/>
  </cols>
  <sheetData>
    <row r="1" ht="15" customHeight="true" x14ac:dyDescent="0.15">
      <c r="A1" s="2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1" t="s">
        <v>14</v>
      </c>
      <c r="H1" s="1" t="s">
        <v>26</v>
      </c>
      <c r="I1" s="1" t="s">
        <v>24</v>
      </c>
    </row>
    <row r="2" ht="15" customHeight="true" x14ac:dyDescent="0.15">
      <c r="A2" s="168">
        <v>1</v>
      </c>
      <c r="B2" s="168" t="s">
        <v>182</v>
      </c>
      <c r="C2" s="5">
        <v>1</v>
      </c>
      <c r="D2" s="6">
        <v>76.938003540039062</v>
      </c>
      <c r="E2" s="6">
        <v>154.39999389648438</v>
      </c>
      <c r="F2" s="7"/>
      <c r="G2" s="4">
        <v>0.17177118360996246</v>
      </c>
      <c r="H2" s="7"/>
      <c r="I2">
        <v>0</v>
      </c>
      <c r="J2"/>
    </row>
    <row r="3" ht="15" customHeight="true" x14ac:dyDescent="0.15">
      <c r="A3" s="169">
        <v>2</v>
      </c>
      <c r="B3" s="169" t="s">
        <v>183</v>
      </c>
      <c r="C3" s="5">
        <v>1</v>
      </c>
      <c r="D3" s="4">
        <v>5.5837368965148926</v>
      </c>
      <c r="E3" s="6">
        <v>15</v>
      </c>
      <c r="F3" s="7"/>
      <c r="G3" s="6">
        <v>0.5</v>
      </c>
      <c r="H3" s="7"/>
      <c r="I3">
        <v>0</v>
      </c>
      <c r="J3"/>
    </row>
    <row r="4" ht="15" customHeight="true" x14ac:dyDescent="0.15">
      <c r="A4" s="170">
        <v>3</v>
      </c>
      <c r="B4" s="170" t="s">
        <v>184</v>
      </c>
      <c r="C4" s="5">
        <v>2.0526316165924072</v>
      </c>
      <c r="D4" s="4">
        <v>1.8006494045257568</v>
      </c>
      <c r="E4" s="6">
        <v>482</v>
      </c>
      <c r="F4" s="6">
        <v>1928</v>
      </c>
      <c r="G4" s="6">
        <v>0.94999998807907104</v>
      </c>
      <c r="H4" s="4">
        <v>0.25</v>
      </c>
      <c r="I4">
        <v>0</v>
      </c>
      <c r="J4"/>
    </row>
    <row r="5" ht="15" customHeight="true" x14ac:dyDescent="0.15">
      <c r="A5" s="171">
        <v>4</v>
      </c>
      <c r="B5" s="171" t="s">
        <v>185</v>
      </c>
      <c r="C5" s="5">
        <v>2.5263156890869141</v>
      </c>
      <c r="D5" s="4">
        <v>7.6302285194396973</v>
      </c>
      <c r="E5" s="6">
        <v>40</v>
      </c>
      <c r="F5" s="6">
        <v>133.33299255371094</v>
      </c>
      <c r="G5" s="6">
        <v>0.94999974966049194</v>
      </c>
      <c r="H5" s="4">
        <v>0.30000075697898865</v>
      </c>
      <c r="I5">
        <v>0</v>
      </c>
      <c r="J5"/>
    </row>
    <row r="6" ht="15" customHeight="true" x14ac:dyDescent="0.15">
      <c r="A6" s="172">
        <v>5</v>
      </c>
      <c r="B6" s="172" t="s">
        <v>186</v>
      </c>
      <c r="C6" s="5">
        <v>2.8603155612945557</v>
      </c>
      <c r="D6" s="4">
        <v>12.746584892272949</v>
      </c>
      <c r="E6" s="6">
        <v>13</v>
      </c>
      <c r="F6" s="6">
        <v>31.707000732421875</v>
      </c>
      <c r="G6" s="6">
        <v>0.95000004768371582</v>
      </c>
      <c r="H6" s="4">
        <v>0.41000407934188843</v>
      </c>
      <c r="I6">
        <v>0</v>
      </c>
      <c r="J6"/>
    </row>
    <row r="7" ht="15" customHeight="true" x14ac:dyDescent="0.15">
      <c r="A7" s="173">
        <v>6</v>
      </c>
      <c r="B7" s="173" t="s">
        <v>187</v>
      </c>
      <c r="C7" s="5">
        <v>3.2917499542236328</v>
      </c>
      <c r="D7" s="6">
        <v>4.5450000762939453</v>
      </c>
      <c r="E7" s="6">
        <v>0.58399999141693115</v>
      </c>
      <c r="F7" s="6">
        <v>1.6690000295639038</v>
      </c>
      <c r="G7" s="4">
        <v>0.15545617043972015</v>
      </c>
      <c r="H7" s="4">
        <v>0.34991011023521423</v>
      </c>
      <c r="I7">
        <v>0</v>
      </c>
      <c r="J7"/>
    </row>
    <row r="8" ht="15" customHeight="true" x14ac:dyDescent="0.15">
      <c r="A8" s="174">
        <v>7</v>
      </c>
      <c r="B8" s="174" t="s">
        <v>188</v>
      </c>
      <c r="C8" s="5">
        <v>3.5446121692657471</v>
      </c>
      <c r="D8" s="4">
        <v>6.3424501419067383</v>
      </c>
      <c r="E8" s="6">
        <v>1.3999999761581421</v>
      </c>
      <c r="F8" s="6">
        <v>14.399999618530273</v>
      </c>
      <c r="G8" s="6">
        <v>0.99000006914138794</v>
      </c>
      <c r="H8" s="4">
        <v>9.7222223877906799E-2</v>
      </c>
      <c r="I8">
        <v>0.95200002193450928</v>
      </c>
      <c r="J8"/>
    </row>
    <row r="9" ht="15" customHeight="true" x14ac:dyDescent="0.15">
      <c r="A9" s="175">
        <v>8</v>
      </c>
      <c r="B9" s="175" t="s">
        <v>189</v>
      </c>
      <c r="C9" s="5">
        <v>2.9096958637237549</v>
      </c>
      <c r="D9" s="4">
        <v>1.014710545539856</v>
      </c>
      <c r="E9" s="6">
        <v>1.2000000476837158</v>
      </c>
      <c r="F9" s="6">
        <v>12.371000289916992</v>
      </c>
      <c r="G9" s="6">
        <v>0.99000006914138794</v>
      </c>
      <c r="H9" s="4">
        <v>9.7001053392887115E-2</v>
      </c>
      <c r="I9">
        <v>0.43999999761581421</v>
      </c>
      <c r="J9"/>
    </row>
    <row r="10" ht="15" customHeight="true" x14ac:dyDescent="0.15">
      <c r="A10" s="176">
        <v>9</v>
      </c>
      <c r="B10" s="176" t="s">
        <v>190</v>
      </c>
      <c r="C10" s="5">
        <v>3.6599159240722656</v>
      </c>
      <c r="D10" s="6">
        <v>5.554999828338623</v>
      </c>
      <c r="E10" s="6">
        <v>1.2999999523162842</v>
      </c>
      <c r="F10" s="6">
        <v>13</v>
      </c>
      <c r="G10" s="4">
        <v>0.6778796911239624</v>
      </c>
      <c r="H10" s="4">
        <v>9.9999994039535522E-2</v>
      </c>
      <c r="I10">
        <v>0.30500000715255737</v>
      </c>
      <c r="J10"/>
    </row>
    <row r="11" ht="15" customHeight="true" x14ac:dyDescent="0.15">
      <c r="A11" s="177">
        <v>10</v>
      </c>
      <c r="B11" s="177" t="s">
        <v>191</v>
      </c>
      <c r="C11" s="5">
        <v>3.6027185916900635</v>
      </c>
      <c r="D11" s="6">
        <v>0.36399999260902405</v>
      </c>
      <c r="E11" s="6">
        <v>1</v>
      </c>
      <c r="F11" s="6">
        <v>10</v>
      </c>
      <c r="G11" s="4">
        <v>0.75926220417022705</v>
      </c>
      <c r="H11" s="4">
        <v>0.10000000149011612</v>
      </c>
      <c r="I11">
        <v>1.0000000474974513E-3</v>
      </c>
      <c r="J11"/>
    </row>
    <row r="12" ht="15" customHeight="true" x14ac:dyDescent="0.15">
      <c r="A12" s="178">
        <v>11</v>
      </c>
      <c r="B12" s="178" t="s">
        <v>192</v>
      </c>
      <c r="C12" s="5">
        <v>4.0091114044189453</v>
      </c>
      <c r="D12" s="6">
        <v>0.28400000929832458</v>
      </c>
      <c r="E12" s="6">
        <v>0.80000001192092896</v>
      </c>
      <c r="F12" s="6">
        <v>8</v>
      </c>
      <c r="G12" s="4">
        <v>0.86938166618347168</v>
      </c>
      <c r="H12" s="4">
        <v>0.10000000149011612</v>
      </c>
      <c r="I12">
        <v>3.9000000804662704E-2</v>
      </c>
      <c r="J12"/>
    </row>
    <row r="13" ht="15" customHeight="true" x14ac:dyDescent="0.15">
      <c r="A13" s="179">
        <v>12</v>
      </c>
      <c r="B13" s="179" t="s">
        <v>193</v>
      </c>
      <c r="C13" s="5">
        <v>3.6098155975341797</v>
      </c>
      <c r="D13" s="6">
        <v>0.48619601130485535</v>
      </c>
      <c r="E13" s="4">
        <v>1.1991424560546875</v>
      </c>
      <c r="F13" s="6">
        <v>22.206340789794922</v>
      </c>
      <c r="G13" s="4">
        <v>0.35817483067512512</v>
      </c>
      <c r="H13" s="6">
        <v>5.4000001400709152E-2</v>
      </c>
      <c r="I13">
        <v>1.6000000759959221E-2</v>
      </c>
      <c r="J13"/>
    </row>
    <row r="14" ht="15" customHeight="true" x14ac:dyDescent="0.15">
      <c r="A14" s="180">
        <v>13</v>
      </c>
      <c r="B14" s="180" t="s">
        <v>194</v>
      </c>
      <c r="C14" s="5">
        <v>3.7917501926422119</v>
      </c>
      <c r="D14" s="6">
        <v>1.6180000305175781</v>
      </c>
      <c r="E14" s="4">
        <v>1.5</v>
      </c>
      <c r="F14" s="6">
        <v>10</v>
      </c>
      <c r="G14" s="4">
        <v>0.54163342714309692</v>
      </c>
      <c r="H14" s="6">
        <v>0.15000000596046448</v>
      </c>
      <c r="I14">
        <v>0.15440100431442261</v>
      </c>
      <c r="J14"/>
    </row>
    <row r="15" ht="15" customHeight="true" x14ac:dyDescent="0.15">
      <c r="A15" s="181">
        <v>14</v>
      </c>
      <c r="B15" s="181" t="s">
        <v>195</v>
      </c>
      <c r="C15" s="5">
        <v>3.7267155647277832</v>
      </c>
      <c r="D15" s="4">
        <v>6.9751405715942383</v>
      </c>
      <c r="E15" s="6">
        <v>1.2000000476837158</v>
      </c>
      <c r="F15" s="6">
        <v>12</v>
      </c>
      <c r="G15" s="6">
        <v>0.99000012874603271</v>
      </c>
      <c r="H15" s="4">
        <v>0.10000000149011612</v>
      </c>
      <c r="I15">
        <v>4.999999888241291E-3</v>
      </c>
      <c r="J15"/>
    </row>
    <row r="16" ht="15" customHeight="true" x14ac:dyDescent="0.15">
      <c r="A16" s="182">
        <v>15</v>
      </c>
      <c r="B16" s="182" t="s">
        <v>196</v>
      </c>
      <c r="C16" s="5">
        <v>4.5411462783813477</v>
      </c>
      <c r="D16" s="4">
        <v>0.14248190820217133</v>
      </c>
      <c r="E16" s="6">
        <v>0.5</v>
      </c>
      <c r="F16" s="6">
        <v>5</v>
      </c>
      <c r="G16" s="6">
        <v>0.98999994993209839</v>
      </c>
      <c r="H16" s="4">
        <v>0.10000000149011612</v>
      </c>
      <c r="I16">
        <v>5.0999999046325684E-2</v>
      </c>
      <c r="J16"/>
    </row>
    <row r="17" ht="15" customHeight="true" x14ac:dyDescent="0.15">
      <c r="A17" s="183">
        <v>16</v>
      </c>
      <c r="B17" s="183" t="s">
        <v>197</v>
      </c>
      <c r="C17" s="5">
        <v>4.5076937675476074</v>
      </c>
      <c r="D17" s="6">
        <v>0.13099999725818634</v>
      </c>
      <c r="E17" s="6">
        <v>0.49300000071525574</v>
      </c>
      <c r="F17" s="6">
        <v>4.929999828338623</v>
      </c>
      <c r="G17" s="4">
        <v>0.89482414722442627</v>
      </c>
      <c r="H17" s="4">
        <v>0.10000000149011612</v>
      </c>
      <c r="I17">
        <v>2.7000000700354576E-2</v>
      </c>
      <c r="J17"/>
    </row>
    <row r="18" ht="15" customHeight="true" x14ac:dyDescent="0.15">
      <c r="A18" s="184">
        <v>17</v>
      </c>
      <c r="B18" s="184" t="s">
        <v>198</v>
      </c>
      <c r="C18" s="5">
        <v>3.9305346012115479</v>
      </c>
      <c r="D18" s="6">
        <v>1.3639999628067017</v>
      </c>
      <c r="E18" s="6">
        <v>3.5</v>
      </c>
      <c r="F18" s="6">
        <v>10</v>
      </c>
      <c r="G18" s="4">
        <v>0.82280272245407104</v>
      </c>
      <c r="H18" s="4">
        <v>0.34999999403953552</v>
      </c>
      <c r="I18">
        <v>2.3008000105619431E-2</v>
      </c>
      <c r="J18"/>
    </row>
    <row r="19" ht="15" customHeight="true" x14ac:dyDescent="0.15">
      <c r="A19" s="185">
        <v>18</v>
      </c>
      <c r="B19" s="185" t="s">
        <v>199</v>
      </c>
      <c r="C19" s="5">
        <v>4.1673388481140137</v>
      </c>
      <c r="D19" s="6">
        <v>0.50244647264480591</v>
      </c>
      <c r="E19" s="4">
        <v>2.1172494888305664</v>
      </c>
      <c r="F19" s="6">
        <v>15.683329582214355</v>
      </c>
      <c r="G19" s="4">
        <v>0.98681545257568359</v>
      </c>
      <c r="H19" s="6">
        <v>0.13500000536441803</v>
      </c>
      <c r="I19">
        <v>1.4000000432133675E-2</v>
      </c>
      <c r="J19"/>
    </row>
    <row r="20" ht="15" customHeight="true" x14ac:dyDescent="0.15">
      <c r="A20" s="186">
        <v>19</v>
      </c>
      <c r="B20" s="186" t="s">
        <v>200</v>
      </c>
      <c r="C20" s="5">
        <v>4.7542476654052734</v>
      </c>
      <c r="D20" s="6">
        <v>0.82300001382827759</v>
      </c>
      <c r="E20" s="4">
        <v>0.80079984664916992</v>
      </c>
      <c r="F20" s="6">
        <v>4.3999991416931152</v>
      </c>
      <c r="G20" s="4">
        <v>0.7573363184928894</v>
      </c>
      <c r="H20" s="6">
        <v>0.18199999630451202</v>
      </c>
      <c r="I20">
        <v>0.14390599727630615</v>
      </c>
      <c r="J20"/>
    </row>
    <row r="21" ht="15" customHeight="true" x14ac:dyDescent="0.15">
      <c r="A21" s="187">
        <v>20</v>
      </c>
      <c r="B21" s="187" t="s">
        <v>201</v>
      </c>
      <c r="C21" s="5">
        <v>4.039802074432373</v>
      </c>
      <c r="D21" s="6">
        <v>1.2932289838790894</v>
      </c>
      <c r="E21" s="4">
        <v>2.5059435367584229</v>
      </c>
      <c r="F21" s="6">
        <v>18.291559219360352</v>
      </c>
      <c r="G21" s="4">
        <v>0.99238646030426025</v>
      </c>
      <c r="H21" s="6">
        <v>0.13699999451637268</v>
      </c>
      <c r="I21">
        <v>0.15030001103878021</v>
      </c>
      <c r="J21"/>
    </row>
    <row r="22" ht="15" customHeight="true" x14ac:dyDescent="0.15">
      <c r="A22" s="188">
        <v>21</v>
      </c>
      <c r="B22" s="188" t="s">
        <v>202</v>
      </c>
      <c r="C22" s="5">
        <v>4.6153578758239746</v>
      </c>
      <c r="D22" s="6">
        <v>0.78600001335144043</v>
      </c>
      <c r="E22" s="4">
        <v>0.8013494610786438</v>
      </c>
      <c r="F22" s="6">
        <v>4.6999969482421875</v>
      </c>
      <c r="G22" s="4">
        <v>0.99787920713424683</v>
      </c>
      <c r="H22" s="6">
        <v>0.17049999535083771</v>
      </c>
      <c r="I22">
        <v>0.34370100498199463</v>
      </c>
      <c r="J22"/>
    </row>
    <row r="23" ht="15" customHeight="true" x14ac:dyDescent="0.15">
      <c r="A23" s="189">
        <v>22</v>
      </c>
      <c r="B23" s="189" t="s">
        <v>203</v>
      </c>
      <c r="C23" s="5">
        <v>4.1667203903198242</v>
      </c>
      <c r="D23" s="4">
        <v>1.4362211227416992</v>
      </c>
      <c r="E23" s="6">
        <v>0.69999998807907104</v>
      </c>
      <c r="F23" s="6">
        <v>3.5</v>
      </c>
      <c r="G23" s="6">
        <v>0.99000006914138794</v>
      </c>
      <c r="H23" s="4">
        <v>0.20000000298023224</v>
      </c>
      <c r="I23">
        <v>2.199999988079071E-2</v>
      </c>
      <c r="J23"/>
    </row>
    <row r="24" ht="15" customHeight="true" x14ac:dyDescent="0.15">
      <c r="A24" s="190">
        <v>23</v>
      </c>
      <c r="B24" s="190" t="s">
        <v>204</v>
      </c>
      <c r="C24" s="5">
        <v>3.4581003189086914</v>
      </c>
      <c r="D24" s="4">
        <v>3.6859774589538574</v>
      </c>
      <c r="E24" s="6">
        <v>0.69999998807907104</v>
      </c>
      <c r="F24" s="6">
        <v>3.5</v>
      </c>
      <c r="G24" s="6">
        <v>0.99000012874603271</v>
      </c>
      <c r="H24" s="4">
        <v>0.20000000298023224</v>
      </c>
      <c r="I24">
        <v>9.299999475479126E-2</v>
      </c>
      <c r="J24"/>
    </row>
    <row r="25" ht="15" customHeight="true" x14ac:dyDescent="0.15">
      <c r="A25" s="191">
        <v>24</v>
      </c>
      <c r="B25" s="191" t="s">
        <v>205</v>
      </c>
      <c r="C25" s="5">
        <v>4.9724617004394531</v>
      </c>
      <c r="D25" s="6">
        <v>0.5820000171661377</v>
      </c>
      <c r="E25" s="6">
        <v>0.5</v>
      </c>
      <c r="F25" s="6">
        <v>4.5450000762939453</v>
      </c>
      <c r="G25" s="4">
        <v>0.99319243431091309</v>
      </c>
      <c r="H25" s="4">
        <v>0.11001099646091461</v>
      </c>
      <c r="I25">
        <v>2.0000000949949026E-3</v>
      </c>
      <c r="J25"/>
    </row>
    <row r="26" ht="15" customHeight="true" x14ac:dyDescent="0.15">
      <c r="A26" s="192">
        <v>25</v>
      </c>
      <c r="B26" s="192" t="s">
        <v>206</v>
      </c>
      <c r="C26" s="5">
        <v>3.5607738494873047</v>
      </c>
      <c r="D26" s="6">
        <v>0.87300002574920654</v>
      </c>
      <c r="E26" s="6">
        <v>1</v>
      </c>
      <c r="F26" s="6">
        <v>10</v>
      </c>
      <c r="G26" s="4">
        <v>0.88494223356246948</v>
      </c>
      <c r="H26" s="4">
        <v>0.10000000149011612</v>
      </c>
      <c r="I26">
        <v>1.0999999940395355E-2</v>
      </c>
      <c r="J26"/>
    </row>
    <row r="27" ht="15" customHeight="true" x14ac:dyDescent="0.15">
      <c r="A27" s="193">
        <v>26</v>
      </c>
      <c r="B27" s="193" t="s">
        <v>207</v>
      </c>
      <c r="C27" s="5">
        <v>4.8047914505004883</v>
      </c>
      <c r="D27" s="6">
        <v>4.5000001788139343E-2</v>
      </c>
      <c r="E27" s="6">
        <v>0.5</v>
      </c>
      <c r="F27" s="6">
        <v>5</v>
      </c>
      <c r="G27" s="4">
        <v>0</v>
      </c>
      <c r="H27" s="4">
        <v>0.10000000149011612</v>
      </c>
      <c r="I27">
        <v>0</v>
      </c>
      <c r="J27"/>
    </row>
    <row r="28" ht="15" customHeight="true" x14ac:dyDescent="0.15">
      <c r="A28" s="194">
        <v>27</v>
      </c>
      <c r="B28" s="194" t="s">
        <v>208</v>
      </c>
      <c r="C28" s="5">
        <v>4.7363386154174805</v>
      </c>
      <c r="D28" s="6">
        <v>0.13300000131130219</v>
      </c>
      <c r="E28" s="6">
        <v>0.25</v>
      </c>
      <c r="F28" s="6">
        <v>19.305999755859375</v>
      </c>
      <c r="G28" s="4">
        <v>0.46434980630874634</v>
      </c>
      <c r="H28" s="4">
        <v>1.2949341908097267E-2</v>
      </c>
      <c r="I28">
        <v>4.999999888241291E-3</v>
      </c>
      <c r="J28"/>
    </row>
    <row r="29" ht="15" customHeight="true" x14ac:dyDescent="0.15">
      <c r="A29" s="195">
        <v>28</v>
      </c>
      <c r="B29" s="195" t="s">
        <v>209</v>
      </c>
      <c r="C29" s="5">
        <v>4.6166911125183105</v>
      </c>
      <c r="D29" s="6">
        <v>7.4000000953674316E-2</v>
      </c>
      <c r="E29" s="6">
        <v>0.15000000596046448</v>
      </c>
      <c r="F29" s="6">
        <v>10</v>
      </c>
      <c r="G29" s="4">
        <v>0.81081080436706543</v>
      </c>
      <c r="H29" s="4">
        <v>1.5000000596046448E-2</v>
      </c>
      <c r="I29">
        <v>0</v>
      </c>
      <c r="J29"/>
    </row>
    <row r="30" ht="15" customHeight="true" x14ac:dyDescent="0.15">
      <c r="A30" s="196">
        <v>29</v>
      </c>
      <c r="B30" s="196" t="s">
        <v>175</v>
      </c>
      <c r="C30" s="5">
        <v>4.5832633972167969</v>
      </c>
      <c r="D30" s="6">
        <v>1.4999999664723873E-2</v>
      </c>
      <c r="E30" s="6">
        <v>0.12300000339746475</v>
      </c>
      <c r="F30" s="6">
        <v>123</v>
      </c>
      <c r="G30" s="4">
        <v>9.9989987909793854E-2</v>
      </c>
      <c r="H30" s="4">
        <v>1.0000000474974513E-3</v>
      </c>
      <c r="I30">
        <v>0</v>
      </c>
      <c r="J30"/>
    </row>
    <row r="31" ht="15" customHeight="true" x14ac:dyDescent="0.15">
      <c r="A31" s="197">
        <v>30</v>
      </c>
      <c r="B31" s="197" t="s">
        <v>210</v>
      </c>
      <c r="C31" s="5">
        <v>2</v>
      </c>
      <c r="D31" s="4">
        <v>10.404479026794434</v>
      </c>
      <c r="E31" s="6">
        <v>4</v>
      </c>
      <c r="F31" s="6">
        <v>33</v>
      </c>
      <c r="G31" s="6">
        <v>0.95000004768371582</v>
      </c>
      <c r="H31" s="4">
        <v>0.12121212482452393</v>
      </c>
      <c r="I31">
        <v>0</v>
      </c>
      <c r="J31"/>
    </row>
    <row r="32" ht="15" customHeight="true" x14ac:dyDescent="0.15">
      <c r="A32" s="198">
        <v>31</v>
      </c>
      <c r="B32" s="198" t="s">
        <v>211</v>
      </c>
      <c r="C32" s="5">
        <v>2.1612904071807861</v>
      </c>
      <c r="D32" s="4">
        <v>49.421276092529297</v>
      </c>
      <c r="E32" s="6">
        <v>1.2000000476837158</v>
      </c>
      <c r="F32" s="6">
        <v>10</v>
      </c>
      <c r="G32" s="6">
        <v>0.94999998807907104</v>
      </c>
      <c r="H32" s="4">
        <v>0.12000000476837158</v>
      </c>
      <c r="I32">
        <v>0</v>
      </c>
      <c r="J32"/>
    </row>
    <row r="33" ht="15" customHeight="true" x14ac:dyDescent="0.15">
      <c r="A33" s="199">
        <v>32</v>
      </c>
      <c r="B33" s="199" t="s">
        <v>212</v>
      </c>
      <c r="C33" s="5">
        <v>1</v>
      </c>
      <c r="D33" s="6">
        <v>10</v>
      </c>
      <c r="E33" s="7"/>
      <c r="F33" s="7"/>
      <c r="G33" s="4">
        <v>0.38829591870307922</v>
      </c>
      <c r="H33" s="7"/>
      <c r="I33">
        <v>0</v>
      </c>
      <c r="J33"/>
    </row>
    <row r="34" ht="15" customHeight="true" x14ac:dyDescent="0.15">
      <c r="A34" s="200">
        <v>33</v>
      </c>
      <c r="B34" s="200" t="s">
        <v>178</v>
      </c>
      <c r="C34" s="5">
        <v>1</v>
      </c>
      <c r="D34" s="6">
        <v>40</v>
      </c>
      <c r="E34" s="7"/>
      <c r="F34" s="7"/>
      <c r="G34" s="4">
        <v>7.6920092105865479E-2</v>
      </c>
      <c r="H34" s="7"/>
      <c r="I34">
        <v>0</v>
      </c>
      <c r="J34"/>
    </row>
    <row r="35" ht="15" customHeight="true" x14ac:dyDescent="0.15">
      <c r="A35" s="201">
        <v>34</v>
      </c>
      <c r="B35" s="201" t="s">
        <v>214</v>
      </c>
      <c r="C35" s="5">
        <v>4.4075751304626465</v>
      </c>
      <c r="D35" s="7"/>
      <c r="E35" s="7"/>
      <c r="F35" s="7"/>
      <c r="G35" s="7"/>
      <c r="H35" s="7"/>
      <c r="I35">
        <v>1.7300001382827759</v>
      </c>
      <c r="J35"/>
    </row>
    <row r="36" ht="15" customHeight="true" x14ac:dyDescent="0.15">
      <c r="A36" s="202">
        <v>35</v>
      </c>
      <c r="B36" s="202" t="s">
        <v>215</v>
      </c>
      <c r="C36" s="5">
        <v>5.540398120880127</v>
      </c>
      <c r="D36" s="7"/>
      <c r="E36" s="7"/>
      <c r="F36" s="7"/>
      <c r="G36" s="7"/>
      <c r="H36" s="7"/>
      <c r="I36">
        <v>1.0010000551119447E-3</v>
      </c>
      <c r="J36"/>
    </row>
    <row r="37" ht="15" customHeight="true" x14ac:dyDescent="0.15">
      <c r="A37" s="203">
        <v>36</v>
      </c>
      <c r="B37" s="203" t="s">
        <v>216</v>
      </c>
      <c r="C37" s="5">
        <v>5.5426101684570312</v>
      </c>
      <c r="D37" s="7"/>
      <c r="E37" s="7"/>
      <c r="F37" s="7"/>
      <c r="G37" s="7"/>
      <c r="H37" s="7"/>
      <c r="I37">
        <v>4.1000999510288239E-2</v>
      </c>
      <c r="J37"/>
    </row>
    <row r="38" ht="15" customHeight="true" x14ac:dyDescent="0.15">
      <c r="A38" s="204">
        <v>37</v>
      </c>
      <c r="B38" s="204" t="s">
        <v>217</v>
      </c>
      <c r="C38" s="5">
        <v>4.465700626373291</v>
      </c>
      <c r="D38" s="7"/>
      <c r="E38" s="7"/>
      <c r="F38" s="7"/>
      <c r="G38" s="7"/>
      <c r="H38" s="7"/>
      <c r="I38">
        <v>1.4003000222146511E-2</v>
      </c>
      <c r="J38"/>
    </row>
    <row r="39" ht="15" customHeight="true" x14ac:dyDescent="0.15">
      <c r="A39" s="205">
        <v>38</v>
      </c>
      <c r="B39" s="205" t="s">
        <v>218</v>
      </c>
      <c r="C39" s="5">
        <v>4.8533115386962891</v>
      </c>
      <c r="D39" s="7"/>
      <c r="E39" s="7"/>
      <c r="F39" s="7"/>
      <c r="G39" s="7"/>
      <c r="H39" s="7"/>
      <c r="I39">
        <v>0.10840000212192535</v>
      </c>
      <c r="J39"/>
    </row>
    <row r="40" ht="15" customHeight="true" x14ac:dyDescent="0.15">
      <c r="A40" s="206">
        <v>39</v>
      </c>
      <c r="B40" s="206" t="s">
        <v>219</v>
      </c>
      <c r="C40" s="5">
        <v>4.9305343627929688</v>
      </c>
      <c r="D40" s="7"/>
      <c r="E40" s="7"/>
      <c r="F40" s="7"/>
      <c r="G40" s="7"/>
      <c r="H40" s="7"/>
      <c r="I40">
        <v>2.3000000044703484E-2</v>
      </c>
      <c r="J40"/>
    </row>
    <row r="41" ht="15" customHeight="true" x14ac:dyDescent="0.15">
      <c r="A41" s="231">
        <v>40</v>
      </c>
      <c r="B41" s="231" t="s">
        <v>220</v>
      </c>
      <c r="C41" s="5">
        <v>4.9305343627929688</v>
      </c>
      <c r="D41" s="7"/>
      <c r="E41" s="7"/>
      <c r="F41" s="7"/>
      <c r="G41" s="7"/>
      <c r="H41" s="7"/>
      <c r="I41">
        <v>7.9999999798019417E-6</v>
      </c>
      <c r="J41"/>
    </row>
    <row r="42" ht="15" customHeight="true" x14ac:dyDescent="0.15">
      <c r="A42" s="232">
        <v>41</v>
      </c>
      <c r="B42" s="232" t="s">
        <v>221</v>
      </c>
      <c r="C42" s="5">
        <v>5.5411472320556641</v>
      </c>
      <c r="D42" s="7"/>
      <c r="E42" s="7"/>
      <c r="F42" s="7"/>
      <c r="G42" s="7"/>
      <c r="H42" s="7"/>
      <c r="I42">
        <v>3.4000001847743988E-2</v>
      </c>
      <c r="J42"/>
    </row>
    <row r="43" ht="15" customHeight="true" x14ac:dyDescent="0.15">
      <c r="A43" s="233">
        <v>42</v>
      </c>
      <c r="B43" s="233" t="s">
        <v>222</v>
      </c>
      <c r="C43" s="5">
        <v>5.7542476654052734</v>
      </c>
      <c r="D43" s="7"/>
      <c r="E43" s="7"/>
      <c r="F43" s="7"/>
      <c r="G43" s="7"/>
      <c r="H43" s="7"/>
      <c r="I43">
        <v>0.12267299741506577</v>
      </c>
      <c r="J43"/>
    </row>
    <row r="44" ht="15" customHeight="true" x14ac:dyDescent="0.15">
      <c r="A44" s="234">
        <v>43</v>
      </c>
      <c r="B44" s="234" t="s">
        <v>223</v>
      </c>
      <c r="C44" s="5">
        <v>4.791750431060791</v>
      </c>
      <c r="D44" s="7"/>
      <c r="E44" s="7"/>
      <c r="F44" s="7"/>
      <c r="G44" s="7"/>
      <c r="H44" s="7"/>
      <c r="I44">
        <v>5.4999999701976776E-2</v>
      </c>
      <c r="J44"/>
    </row>
    <row r="45" ht="15" customHeight="true" x14ac:dyDescent="0.15">
      <c r="A45" s="235">
        <v>44</v>
      </c>
      <c r="B45" s="235" t="s">
        <v>224</v>
      </c>
      <c r="C45" s="5">
        <v>5.6087160110473633</v>
      </c>
      <c r="D45" s="7"/>
      <c r="E45" s="7"/>
      <c r="F45" s="7"/>
      <c r="G45" s="7"/>
      <c r="H45" s="7"/>
      <c r="I45">
        <v>2.8230000287294388E-2</v>
      </c>
      <c r="J45"/>
    </row>
    <row r="46" ht="15" customHeight="true" x14ac:dyDescent="0.15">
      <c r="A46" s="236">
        <v>45</v>
      </c>
      <c r="B46" s="236" t="s">
        <v>225</v>
      </c>
      <c r="C46" s="5">
        <v>4.722775936126709</v>
      </c>
      <c r="D46" s="7"/>
      <c r="E46" s="7"/>
      <c r="F46" s="7"/>
      <c r="G46" s="7"/>
      <c r="H46" s="7"/>
      <c r="I46">
        <v>0.15000000596046448</v>
      </c>
      <c r="J46"/>
    </row>
    <row r="47" ht="15" customHeight="true" x14ac:dyDescent="0.15">
      <c r="A47" s="237">
        <v>46</v>
      </c>
      <c r="B47" s="237" t="s">
        <v>226</v>
      </c>
      <c r="C47" s="5">
        <v>5.4426913261413574</v>
      </c>
      <c r="D47" s="7"/>
      <c r="E47" s="7"/>
      <c r="F47" s="7"/>
      <c r="G47" s="7"/>
      <c r="H47" s="7"/>
      <c r="I47">
        <v>0.49099999666213989</v>
      </c>
      <c r="J47"/>
    </row>
    <row r="48" ht="15" customHeight="true" x14ac:dyDescent="0.15">
      <c r="A48"/>
      <c r="B48"/>
      <c r="C48"/>
      <c r="D48"/>
      <c r="E48"/>
      <c r="F48"/>
      <c r="G48"/>
      <c r="H48"/>
      <c r="I48"/>
      <c r="J48"/>
    </row>
    <row r="49" ht="15" customHeight="true" x14ac:dyDescent="0.15">
      <c r="A49"/>
      <c r="B49"/>
      <c r="C49"/>
      <c r="D49"/>
      <c r="E49"/>
      <c r="F49"/>
      <c r="G49"/>
      <c r="H49"/>
      <c r="I49"/>
      <c r="J49"/>
    </row>
    <row r="50" ht="15" customHeight="true" x14ac:dyDescent="0.15">
      <c r="A50"/>
      <c r="B50"/>
      <c r="C50"/>
      <c r="D50"/>
      <c r="E50"/>
      <c r="F50"/>
      <c r="G50"/>
      <c r="H50"/>
      <c r="I50"/>
      <c r="J50"/>
    </row>
    <row r="51" ht="15" customHeight="true" x14ac:dyDescent="0.15">
      <c r="A51"/>
      <c r="B51"/>
      <c r="C51"/>
      <c r="D51"/>
      <c r="E51"/>
      <c r="F51"/>
      <c r="G51"/>
      <c r="H51"/>
      <c r="I51"/>
      <c r="J51"/>
    </row>
    <row r="52" ht="15" customHeight="true" x14ac:dyDescent="0.15">
      <c r="A52"/>
      <c r="B52"/>
      <c r="C52"/>
      <c r="D52"/>
      <c r="E52"/>
      <c r="F52"/>
      <c r="G52"/>
      <c r="H52"/>
      <c r="I52"/>
      <c r="J52"/>
    </row>
    <row r="53" ht="15" customHeight="true" x14ac:dyDescent="0.15">
      <c r="A53"/>
      <c r="B53"/>
      <c r="C53"/>
      <c r="D53"/>
      <c r="E53"/>
      <c r="F53"/>
      <c r="G53"/>
      <c r="H53"/>
      <c r="I53"/>
      <c r="J53"/>
    </row>
    <row r="54" ht="15" customHeight="true" x14ac:dyDescent="0.15">
      <c r="A54"/>
      <c r="B54"/>
      <c r="C54"/>
      <c r="D54"/>
      <c r="E54"/>
      <c r="F54"/>
      <c r="G54"/>
      <c r="H54"/>
      <c r="I54"/>
      <c r="J54"/>
    </row>
    <row r="55" ht="15" customHeight="true" x14ac:dyDescent="0.15">
      <c r="A55"/>
      <c r="B55"/>
      <c r="C55"/>
      <c r="D55"/>
      <c r="E55"/>
      <c r="F55"/>
      <c r="G55"/>
      <c r="H55"/>
      <c r="I55"/>
      <c r="J55"/>
    </row>
    <row r="56" ht="15" customHeight="true" x14ac:dyDescent="0.15">
      <c r="A56"/>
      <c r="B56"/>
      <c r="C56"/>
      <c r="D56"/>
      <c r="E56"/>
      <c r="F56"/>
      <c r="G56"/>
      <c r="H56"/>
      <c r="I56"/>
      <c r="J56"/>
    </row>
    <row r="57" ht="15" customHeight="true" x14ac:dyDescent="0.15">
      <c r="A57"/>
      <c r="B57"/>
      <c r="C57"/>
      <c r="D57"/>
      <c r="E57"/>
      <c r="F57"/>
      <c r="G57"/>
      <c r="H57"/>
      <c r="I57"/>
      <c r="J57"/>
    </row>
    <row r="58" ht="15" customHeight="true" x14ac:dyDescent="0.15">
      <c r="A58"/>
      <c r="B58"/>
      <c r="C58"/>
      <c r="D58"/>
      <c r="E58"/>
      <c r="F58"/>
      <c r="G58"/>
      <c r="H58"/>
      <c r="I58"/>
      <c r="J58"/>
    </row>
    <row r="59" ht="15" customHeight="true" x14ac:dyDescent="0.15">
      <c r="A59"/>
      <c r="B59"/>
      <c r="C59"/>
      <c r="D59"/>
      <c r="E59"/>
      <c r="F59"/>
      <c r="G59"/>
      <c r="H59"/>
      <c r="I59"/>
      <c r="J59"/>
    </row>
    <row r="60" ht="15" customHeight="true" x14ac:dyDescent="0.15">
      <c r="A60"/>
      <c r="B60"/>
      <c r="C60"/>
      <c r="D60"/>
      <c r="E60"/>
      <c r="F60"/>
      <c r="G60"/>
      <c r="H60"/>
      <c r="I60"/>
      <c r="J60"/>
    </row>
    <row r="61" ht="15" customHeight="true" x14ac:dyDescent="0.15">
      <c r="A61"/>
      <c r="B61"/>
      <c r="C61"/>
      <c r="D61"/>
      <c r="E61"/>
      <c r="F61"/>
      <c r="G61"/>
      <c r="H61"/>
      <c r="I61"/>
      <c r="J61"/>
    </row>
    <row r="62" ht="15" customHeight="true" x14ac:dyDescent="0.15">
      <c r="A62"/>
      <c r="B62"/>
      <c r="C62"/>
      <c r="D62"/>
      <c r="E62"/>
      <c r="F62"/>
      <c r="G62"/>
      <c r="H62"/>
      <c r="I62"/>
      <c r="J62"/>
    </row>
    <row r="63" ht="15" customHeight="true" x14ac:dyDescent="0.15">
      <c r="A63"/>
      <c r="B63"/>
      <c r="C63"/>
      <c r="D63"/>
      <c r="E63"/>
      <c r="F63"/>
      <c r="G63"/>
      <c r="H63"/>
      <c r="I63"/>
      <c r="J63"/>
    </row>
    <row r="64" ht="15" customHeight="true" x14ac:dyDescent="0.15">
      <c r="A64"/>
      <c r="B64"/>
      <c r="C64"/>
      <c r="D64"/>
      <c r="E64"/>
      <c r="F64"/>
      <c r="G64"/>
      <c r="H64"/>
      <c r="I64"/>
      <c r="J64"/>
    </row>
    <row r="65" ht="15" customHeight="true" x14ac:dyDescent="0.15">
      <c r="A65"/>
      <c r="B65"/>
      <c r="C65"/>
      <c r="D65"/>
      <c r="E65"/>
      <c r="F65"/>
      <c r="G65"/>
      <c r="H65"/>
      <c r="I65"/>
      <c r="J65"/>
    </row>
    <row r="66" ht="15" customHeight="true" x14ac:dyDescent="0.15">
      <c r="A66"/>
      <c r="B66"/>
      <c r="C66"/>
      <c r="D66"/>
      <c r="E66"/>
      <c r="F66"/>
      <c r="G66"/>
      <c r="H66"/>
      <c r="I66"/>
      <c r="J66"/>
    </row>
    <row r="67" ht="15" customHeight="true" x14ac:dyDescent="0.15">
      <c r="A67"/>
      <c r="B67"/>
      <c r="C67"/>
      <c r="D67"/>
      <c r="E67"/>
      <c r="F67"/>
      <c r="G67"/>
      <c r="H67"/>
      <c r="I67"/>
      <c r="J67"/>
    </row>
    <row r="68" ht="15" customHeight="true" x14ac:dyDescent="0.15">
      <c r="A68"/>
      <c r="B68"/>
      <c r="C68"/>
      <c r="D68"/>
      <c r="E68"/>
      <c r="F68"/>
      <c r="G68"/>
      <c r="H68"/>
      <c r="I68"/>
      <c r="J68"/>
    </row>
    <row r="69" ht="15" customHeight="true" x14ac:dyDescent="0.15">
      <c r="A69"/>
      <c r="B69"/>
      <c r="C69"/>
      <c r="D69"/>
      <c r="E69"/>
      <c r="F69"/>
      <c r="G69"/>
      <c r="H69"/>
      <c r="I69"/>
      <c r="J69"/>
    </row>
    <row r="70" ht="15" customHeight="true" x14ac:dyDescent="0.15">
      <c r="A70"/>
      <c r="B70"/>
      <c r="C70"/>
      <c r="D70"/>
      <c r="E70"/>
      <c r="F70"/>
      <c r="G70"/>
      <c r="H70"/>
      <c r="I70"/>
      <c r="J70"/>
    </row>
    <row r="71" ht="15" customHeight="true" x14ac:dyDescent="0.15">
      <c r="A71"/>
      <c r="B71"/>
      <c r="C71"/>
      <c r="D71"/>
      <c r="E71"/>
      <c r="F71"/>
      <c r="G71"/>
      <c r="H71"/>
      <c r="I71"/>
      <c r="J71"/>
    </row>
    <row r="72" ht="15" customHeight="true" x14ac:dyDescent="0.15">
      <c r="A72"/>
      <c r="B72"/>
      <c r="C72"/>
      <c r="D72"/>
      <c r="E72"/>
      <c r="F72"/>
      <c r="G72"/>
      <c r="H72"/>
      <c r="I72"/>
      <c r="J72"/>
    </row>
    <row r="73" ht="15" customHeight="true" x14ac:dyDescent="0.15">
      <c r="A73"/>
      <c r="B73"/>
      <c r="C73"/>
      <c r="D73"/>
      <c r="E73"/>
      <c r="F73"/>
      <c r="G73"/>
      <c r="H73"/>
      <c r="I73"/>
      <c r="J73"/>
    </row>
    <row r="74" ht="15" customHeight="true" x14ac:dyDescent="0.15">
      <c r="A74"/>
      <c r="B74"/>
      <c r="C74"/>
      <c r="D74"/>
      <c r="E74"/>
      <c r="F74"/>
      <c r="G74"/>
      <c r="H74"/>
      <c r="I74"/>
      <c r="J74"/>
    </row>
    <row r="75" ht="15" customHeight="true" x14ac:dyDescent="0.15">
      <c r="A75"/>
      <c r="B75"/>
      <c r="C75"/>
      <c r="D75"/>
      <c r="E75"/>
      <c r="F75"/>
      <c r="G75"/>
      <c r="H75"/>
      <c r="I75"/>
      <c r="J75"/>
    </row>
    <row r="76" ht="15" customHeight="true" x14ac:dyDescent="0.15">
      <c r="A76"/>
      <c r="B76"/>
      <c r="C76"/>
      <c r="D76"/>
      <c r="E76"/>
      <c r="F76"/>
      <c r="G76"/>
      <c r="H76"/>
      <c r="I76"/>
      <c r="J76"/>
    </row>
    <row r="77" ht="15" customHeight="true" x14ac:dyDescent="0.15">
      <c r="A77"/>
      <c r="B77"/>
      <c r="C77"/>
      <c r="D77"/>
      <c r="E77"/>
      <c r="F77"/>
      <c r="G77"/>
      <c r="H77"/>
      <c r="I77"/>
      <c r="J77"/>
    </row>
    <row r="78" ht="15" customHeight="true" x14ac:dyDescent="0.15">
      <c r="A78"/>
      <c r="B78"/>
      <c r="C78"/>
      <c r="D78"/>
      <c r="E78"/>
      <c r="F78"/>
      <c r="G78"/>
      <c r="H78"/>
      <c r="I78"/>
      <c r="J78"/>
    </row>
    <row r="79" ht="15" customHeight="true" x14ac:dyDescent="0.15">
      <c r="A79"/>
      <c r="B79"/>
      <c r="C79"/>
      <c r="D79"/>
      <c r="E79"/>
      <c r="F79"/>
      <c r="G79"/>
      <c r="H79"/>
      <c r="I79"/>
      <c r="J79"/>
    </row>
    <row r="80" ht="15" customHeight="true" x14ac:dyDescent="0.15">
      <c r="A80"/>
      <c r="B80"/>
      <c r="C80"/>
      <c r="D80"/>
      <c r="E80"/>
      <c r="F80"/>
      <c r="G80"/>
      <c r="H80"/>
      <c r="I80"/>
      <c r="J80"/>
    </row>
    <row r="81" ht="15" customHeight="true" x14ac:dyDescent="0.15">
      <c r="A81"/>
      <c r="B81"/>
      <c r="C81"/>
      <c r="D81"/>
      <c r="E81"/>
      <c r="F81"/>
      <c r="G81"/>
      <c r="H81"/>
      <c r="I81"/>
      <c r="J81"/>
    </row>
    <row r="82" ht="15" customHeight="true" x14ac:dyDescent="0.15">
      <c r="A82"/>
      <c r="B82"/>
      <c r="C82"/>
      <c r="D82"/>
      <c r="E82"/>
      <c r="F82"/>
      <c r="G82"/>
      <c r="H82"/>
      <c r="I82"/>
      <c r="J82"/>
    </row>
    <row r="83" ht="15" customHeight="true" x14ac:dyDescent="0.15">
      <c r="A83"/>
      <c r="B83"/>
      <c r="C83"/>
      <c r="D83"/>
      <c r="E83"/>
      <c r="F83"/>
      <c r="G83"/>
      <c r="H83"/>
      <c r="I83"/>
      <c r="J83"/>
    </row>
    <row r="84" ht="15" customHeight="true" x14ac:dyDescent="0.15">
      <c r="A84"/>
      <c r="B84"/>
      <c r="C84"/>
      <c r="D84"/>
      <c r="E84"/>
      <c r="F84"/>
      <c r="G84"/>
      <c r="H84"/>
      <c r="I84"/>
      <c r="J84"/>
    </row>
    <row r="85" ht="15" customHeight="true" x14ac:dyDescent="0.15">
      <c r="A85"/>
      <c r="B85"/>
      <c r="C85"/>
      <c r="D85"/>
      <c r="E85"/>
      <c r="F85"/>
      <c r="G85"/>
      <c r="H85"/>
      <c r="I85"/>
      <c r="J85"/>
    </row>
    <row r="86" ht="15" customHeight="true" x14ac:dyDescent="0.15">
      <c r="A86"/>
      <c r="B86"/>
      <c r="C86"/>
      <c r="D86"/>
      <c r="E86"/>
      <c r="F86"/>
      <c r="G86"/>
      <c r="H86"/>
      <c r="I86"/>
      <c r="J86"/>
    </row>
    <row r="87" ht="15" customHeight="true" x14ac:dyDescent="0.15">
      <c r="A87"/>
      <c r="B87"/>
      <c r="C87"/>
      <c r="D87"/>
      <c r="E87"/>
      <c r="F87"/>
      <c r="G87"/>
      <c r="H87"/>
      <c r="I87"/>
      <c r="J87"/>
    </row>
    <row r="88" ht="15" customHeight="true" x14ac:dyDescent="0.15">
      <c r="A88"/>
      <c r="B88"/>
      <c r="C88"/>
      <c r="D88"/>
      <c r="E88"/>
      <c r="F88"/>
      <c r="G88"/>
      <c r="H88"/>
      <c r="I88"/>
      <c r="J88"/>
    </row>
    <row r="89" ht="15" customHeight="true" x14ac:dyDescent="0.15">
      <c r="A89"/>
      <c r="B89"/>
      <c r="C89"/>
      <c r="D89"/>
      <c r="E89"/>
      <c r="F89"/>
      <c r="G89"/>
      <c r="H89"/>
      <c r="I89"/>
      <c r="J89"/>
    </row>
    <row r="90" ht="15" customHeight="true" x14ac:dyDescent="0.15">
      <c r="A90"/>
      <c r="B90"/>
      <c r="C90"/>
      <c r="D90"/>
      <c r="E90"/>
      <c r="F90"/>
      <c r="G90"/>
      <c r="H90"/>
      <c r="I90"/>
      <c r="J90"/>
    </row>
    <row r="91" ht="15" customHeight="true" x14ac:dyDescent="0.15">
      <c r="A91"/>
      <c r="B91"/>
      <c r="C91"/>
      <c r="D91"/>
      <c r="E91"/>
      <c r="F91"/>
      <c r="G91"/>
      <c r="H91"/>
      <c r="I91"/>
      <c r="J91"/>
    </row>
    <row r="92" ht="15" customHeight="true" x14ac:dyDescent="0.15">
      <c r="A92"/>
      <c r="B92"/>
      <c r="C92"/>
      <c r="D92"/>
      <c r="E92"/>
      <c r="F92"/>
      <c r="G92"/>
      <c r="H92"/>
      <c r="I92"/>
      <c r="J92"/>
    </row>
    <row r="93" ht="15" customHeight="true" x14ac:dyDescent="0.15">
      <c r="A93"/>
      <c r="B93"/>
      <c r="C93"/>
      <c r="D93"/>
      <c r="E93"/>
      <c r="F93"/>
      <c r="G93"/>
      <c r="H93"/>
      <c r="I93"/>
      <c r="J93"/>
    </row>
    <row r="94" ht="15" customHeight="true" x14ac:dyDescent="0.15">
      <c r="A94"/>
      <c r="B94"/>
      <c r="C94"/>
      <c r="D94"/>
      <c r="E94"/>
      <c r="F94"/>
      <c r="G94"/>
      <c r="H94"/>
      <c r="I94"/>
      <c r="J94"/>
    </row>
    <row r="95" ht="15" customHeight="true" x14ac:dyDescent="0.15">
      <c r="A95"/>
      <c r="B95"/>
      <c r="C95"/>
      <c r="D95"/>
      <c r="E95"/>
      <c r="F95"/>
      <c r="G95"/>
      <c r="H95"/>
      <c r="I95"/>
      <c r="J95"/>
    </row>
    <row r="96" ht="15" customHeight="true" x14ac:dyDescent="0.15">
      <c r="A96"/>
      <c r="B96"/>
      <c r="C96"/>
      <c r="D96"/>
      <c r="E96"/>
      <c r="F96"/>
      <c r="G96"/>
      <c r="H96"/>
      <c r="I96"/>
      <c r="J96"/>
    </row>
    <row r="97" ht="15" customHeight="true" x14ac:dyDescent="0.15">
      <c r="A97"/>
      <c r="B97"/>
      <c r="C97"/>
      <c r="D97"/>
      <c r="E97"/>
      <c r="F97"/>
      <c r="G97"/>
      <c r="H97"/>
      <c r="I97"/>
      <c r="J97"/>
    </row>
    <row r="98" ht="15" customHeight="true" x14ac:dyDescent="0.15">
      <c r="A98"/>
      <c r="B98"/>
      <c r="C98"/>
      <c r="D98"/>
      <c r="E98"/>
      <c r="F98"/>
      <c r="G98"/>
      <c r="H98"/>
      <c r="I98"/>
      <c r="J98"/>
    </row>
    <row r="99" ht="15" customHeight="true" x14ac:dyDescent="0.15">
      <c r="A99"/>
      <c r="B99"/>
      <c r="C99"/>
      <c r="D99"/>
      <c r="E99"/>
      <c r="F99"/>
      <c r="G99"/>
      <c r="H99"/>
      <c r="I99"/>
      <c r="J99"/>
    </row>
    <row r="100" ht="15" customHeight="true" x14ac:dyDescent="0.15">
      <c r="A100"/>
      <c r="B100"/>
      <c r="C100"/>
      <c r="D100"/>
      <c r="E100"/>
      <c r="F100"/>
      <c r="G100"/>
      <c r="H100"/>
      <c r="I100"/>
      <c r="J100"/>
    </row>
    <row r="101" ht="15" customHeight="true" x14ac:dyDescent="0.15">
      <c r="A101"/>
      <c r="B101"/>
      <c r="C101"/>
      <c r="D101"/>
      <c r="E101"/>
      <c r="F101"/>
      <c r="G101"/>
      <c r="H101"/>
      <c r="I101"/>
      <c r="J101"/>
    </row>
    <row r="102" ht="15" customHeight="true" x14ac:dyDescent="0.15">
      <c r="A102"/>
      <c r="B102"/>
      <c r="C102"/>
      <c r="D102"/>
      <c r="E102"/>
      <c r="F102"/>
      <c r="G102"/>
      <c r="H102"/>
      <c r="I102"/>
      <c r="J102"/>
    </row>
    <row r="103" ht="15" customHeight="true" x14ac:dyDescent="0.15">
      <c r="A103"/>
      <c r="B103"/>
      <c r="C103"/>
      <c r="D103"/>
      <c r="E103"/>
      <c r="F103"/>
      <c r="G103"/>
      <c r="H103"/>
      <c r="I103"/>
      <c r="J103"/>
    </row>
    <row r="104" ht="15" customHeight="true" x14ac:dyDescent="0.15">
      <c r="A104"/>
      <c r="B104"/>
      <c r="C104"/>
      <c r="D104"/>
      <c r="E104"/>
      <c r="F104"/>
      <c r="G104"/>
      <c r="H104"/>
      <c r="I104"/>
      <c r="J104"/>
    </row>
    <row r="105" ht="15" customHeight="true" x14ac:dyDescent="0.15">
      <c r="A105"/>
      <c r="B105"/>
      <c r="C105"/>
      <c r="D105"/>
      <c r="E105"/>
      <c r="F105"/>
      <c r="G105"/>
      <c r="H105"/>
      <c r="I105"/>
      <c r="J105"/>
    </row>
    <row r="106" ht="15" customHeight="true" x14ac:dyDescent="0.15">
      <c r="A106"/>
      <c r="B106"/>
      <c r="C106"/>
      <c r="D106"/>
      <c r="E106"/>
      <c r="F106"/>
      <c r="G106"/>
      <c r="H106"/>
      <c r="I106"/>
      <c r="J106"/>
    </row>
    <row r="107" ht="15" customHeight="true" x14ac:dyDescent="0.15">
      <c r="A107"/>
      <c r="B107"/>
      <c r="C107"/>
      <c r="D107"/>
      <c r="E107"/>
      <c r="F107"/>
      <c r="G107"/>
      <c r="H107"/>
      <c r="I107"/>
      <c r="J107"/>
    </row>
    <row r="108" ht="15" customHeight="true" x14ac:dyDescent="0.15">
      <c r="A108"/>
      <c r="B108"/>
      <c r="C108"/>
      <c r="D108"/>
      <c r="E108"/>
      <c r="F108"/>
      <c r="G108"/>
      <c r="H108"/>
      <c r="I108"/>
      <c r="J108"/>
    </row>
    <row r="109" ht="15" customHeight="true" x14ac:dyDescent="0.15">
      <c r="A109"/>
      <c r="B109"/>
      <c r="C109"/>
      <c r="D109"/>
      <c r="E109"/>
      <c r="F109"/>
      <c r="G109"/>
      <c r="H109"/>
      <c r="I109"/>
      <c r="J109"/>
    </row>
    <row r="110" ht="15" customHeight="true" x14ac:dyDescent="0.15">
      <c r="A110"/>
      <c r="B110"/>
      <c r="C110"/>
      <c r="D110"/>
      <c r="E110"/>
      <c r="F110"/>
      <c r="G110"/>
      <c r="H110"/>
      <c r="I110"/>
      <c r="J110"/>
    </row>
    <row r="111" ht="15" customHeight="true" x14ac:dyDescent="0.15">
      <c r="A111"/>
      <c r="B111"/>
      <c r="C111"/>
      <c r="D111"/>
      <c r="E111"/>
      <c r="F111"/>
      <c r="G111"/>
      <c r="H111"/>
      <c r="I111"/>
      <c r="J111"/>
    </row>
    <row r="112" ht="15" customHeight="true" x14ac:dyDescent="0.15">
      <c r="A112"/>
      <c r="B112"/>
      <c r="C112"/>
      <c r="D112"/>
      <c r="E112"/>
      <c r="F112"/>
      <c r="G112"/>
      <c r="H112"/>
      <c r="I112"/>
      <c r="J112"/>
    </row>
    <row r="113" ht="15" customHeight="true" x14ac:dyDescent="0.15">
      <c r="A113"/>
      <c r="B113"/>
      <c r="C113"/>
      <c r="D113"/>
      <c r="E113"/>
      <c r="F113"/>
      <c r="G113"/>
      <c r="H113"/>
      <c r="I113"/>
      <c r="J113"/>
    </row>
    <row r="114" ht="15" customHeight="true" x14ac:dyDescent="0.15">
      <c r="A114"/>
      <c r="B114"/>
      <c r="C114"/>
      <c r="D114"/>
      <c r="E114"/>
      <c r="F114"/>
      <c r="G114"/>
      <c r="H114"/>
      <c r="I114"/>
      <c r="J114"/>
    </row>
    <row r="115" ht="15" customHeight="true" x14ac:dyDescent="0.15">
      <c r="A115"/>
      <c r="B115"/>
      <c r="C115"/>
      <c r="D115"/>
      <c r="E115"/>
      <c r="F115"/>
      <c r="G115"/>
      <c r="H115"/>
      <c r="I115"/>
      <c r="J115"/>
    </row>
    <row r="116" ht="15" customHeight="true" x14ac:dyDescent="0.15">
      <c r="A116"/>
      <c r="B116"/>
      <c r="C116"/>
      <c r="D116"/>
      <c r="E116"/>
      <c r="F116"/>
      <c r="G116"/>
      <c r="H116"/>
      <c r="I116"/>
      <c r="J116"/>
    </row>
    <row r="117" ht="15" customHeight="true" x14ac:dyDescent="0.15">
      <c r="A117"/>
      <c r="B117"/>
      <c r="C117"/>
      <c r="D117"/>
      <c r="E117"/>
      <c r="F117"/>
      <c r="G117"/>
      <c r="H117"/>
      <c r="I117"/>
      <c r="J117"/>
    </row>
    <row r="118" ht="15" customHeight="true" x14ac:dyDescent="0.15">
      <c r="A118"/>
      <c r="B118"/>
      <c r="C118"/>
      <c r="D118"/>
      <c r="E118"/>
      <c r="F118"/>
      <c r="G118"/>
      <c r="H118"/>
      <c r="I118"/>
      <c r="J118"/>
    </row>
    <row r="119" ht="15" customHeight="true" x14ac:dyDescent="0.15">
      <c r="A119"/>
      <c r="B119"/>
      <c r="C119"/>
      <c r="D119"/>
      <c r="E119"/>
      <c r="F119"/>
      <c r="G119"/>
      <c r="H119"/>
      <c r="I119"/>
      <c r="J119"/>
    </row>
    <row r="120" ht="15" customHeight="true" x14ac:dyDescent="0.15">
      <c r="A120"/>
      <c r="B120"/>
      <c r="C120"/>
      <c r="D120"/>
      <c r="E120"/>
      <c r="F120"/>
      <c r="G120"/>
      <c r="H120"/>
      <c r="I120"/>
      <c r="J120"/>
    </row>
    <row r="121" ht="15" customHeight="true" x14ac:dyDescent="0.15">
      <c r="A121"/>
      <c r="B121"/>
      <c r="C121"/>
      <c r="D121"/>
      <c r="E121"/>
      <c r="F121"/>
      <c r="G121"/>
      <c r="H121"/>
      <c r="I121"/>
      <c r="J121"/>
    </row>
    <row r="122" ht="15" customHeight="true" x14ac:dyDescent="0.15">
      <c r="A122"/>
      <c r="B122"/>
      <c r="C122"/>
      <c r="D122"/>
      <c r="E122"/>
      <c r="F122"/>
      <c r="G122"/>
      <c r="H122"/>
      <c r="I122"/>
      <c r="J122"/>
    </row>
    <row r="123" ht="15" customHeight="true" x14ac:dyDescent="0.15">
      <c r="A123"/>
      <c r="B123"/>
      <c r="C123"/>
      <c r="D123"/>
      <c r="E123"/>
      <c r="F123"/>
      <c r="G123"/>
      <c r="H123"/>
      <c r="I123"/>
      <c r="J123"/>
    </row>
    <row r="124" ht="15" customHeight="true" x14ac:dyDescent="0.15">
      <c r="A124"/>
      <c r="B124"/>
      <c r="C124"/>
      <c r="D124"/>
      <c r="E124"/>
      <c r="F124"/>
      <c r="G124"/>
      <c r="H124"/>
      <c r="I124"/>
      <c r="J124"/>
    </row>
    <row r="125" ht="15" customHeight="true" x14ac:dyDescent="0.15">
      <c r="A125"/>
      <c r="B125"/>
      <c r="C125"/>
      <c r="D125"/>
      <c r="E125"/>
      <c r="F125"/>
      <c r="G125"/>
      <c r="H125"/>
      <c r="I125"/>
      <c r="J125"/>
    </row>
    <row r="126" ht="15" customHeight="true" x14ac:dyDescent="0.15">
      <c r="A126"/>
      <c r="B126"/>
      <c r="C126"/>
      <c r="D126"/>
      <c r="E126"/>
      <c r="F126"/>
      <c r="G126"/>
      <c r="H126"/>
      <c r="I126"/>
      <c r="J126"/>
    </row>
    <row r="127" ht="15" customHeight="true" x14ac:dyDescent="0.15">
      <c r="A127"/>
      <c r="B127"/>
      <c r="C127"/>
      <c r="D127"/>
      <c r="E127"/>
      <c r="F127"/>
      <c r="G127"/>
      <c r="H127"/>
      <c r="I127"/>
      <c r="J127"/>
    </row>
    <row r="128" ht="15" customHeight="true" x14ac:dyDescent="0.15">
      <c r="A128"/>
      <c r="B128"/>
      <c r="C128"/>
      <c r="D128"/>
      <c r="E128"/>
      <c r="F128"/>
      <c r="G128"/>
      <c r="H128"/>
      <c r="I128"/>
      <c r="J128"/>
    </row>
    <row r="129" ht="15" customHeight="true" x14ac:dyDescent="0.15">
      <c r="A129"/>
      <c r="B129"/>
      <c r="C129"/>
      <c r="D129"/>
      <c r="E129"/>
      <c r="F129"/>
      <c r="G129"/>
      <c r="H129"/>
      <c r="I129"/>
      <c r="J129"/>
    </row>
    <row r="130" ht="15" customHeight="true" x14ac:dyDescent="0.15">
      <c r="A130"/>
      <c r="B130"/>
      <c r="C130"/>
      <c r="D130"/>
      <c r="E130"/>
      <c r="F130"/>
      <c r="G130"/>
      <c r="H130"/>
      <c r="I130"/>
      <c r="J130"/>
    </row>
    <row r="131" ht="15" customHeight="true" x14ac:dyDescent="0.15">
      <c r="A131"/>
      <c r="B131"/>
      <c r="C131"/>
      <c r="D131"/>
      <c r="E131"/>
      <c r="F131"/>
      <c r="G131"/>
      <c r="H131"/>
      <c r="I131"/>
      <c r="J131"/>
    </row>
    <row r="132" ht="15" customHeight="true" x14ac:dyDescent="0.15">
      <c r="A132"/>
      <c r="B132"/>
      <c r="C132"/>
      <c r="D132"/>
      <c r="E132"/>
      <c r="F132"/>
      <c r="G132"/>
      <c r="H132"/>
      <c r="I132"/>
      <c r="J132"/>
    </row>
    <row r="133" ht="15" customHeight="true" x14ac:dyDescent="0.15">
      <c r="A133"/>
      <c r="B133"/>
      <c r="C133"/>
      <c r="D133"/>
      <c r="E133"/>
      <c r="F133"/>
      <c r="G133"/>
      <c r="H133"/>
      <c r="I133"/>
      <c r="J133"/>
    </row>
    <row r="134" ht="15" customHeight="true" x14ac:dyDescent="0.15">
      <c r="A134"/>
      <c r="B134"/>
      <c r="C134"/>
      <c r="D134"/>
      <c r="E134"/>
      <c r="F134"/>
      <c r="G134"/>
      <c r="H134"/>
      <c r="I134"/>
      <c r="J134"/>
    </row>
    <row r="135" ht="15" customHeight="true" x14ac:dyDescent="0.15">
      <c r="A135"/>
      <c r="B135"/>
      <c r="C135"/>
      <c r="D135"/>
      <c r="E135"/>
      <c r="F135"/>
      <c r="G135"/>
      <c r="H135"/>
      <c r="I135"/>
      <c r="J135"/>
    </row>
    <row r="136" ht="15" customHeight="true" x14ac:dyDescent="0.15">
      <c r="A136"/>
      <c r="B136"/>
      <c r="C136"/>
      <c r="D136"/>
      <c r="E136"/>
      <c r="F136"/>
      <c r="G136"/>
      <c r="H136"/>
      <c r="I136"/>
      <c r="J136"/>
    </row>
    <row r="137" ht="15" customHeight="true" x14ac:dyDescent="0.15">
      <c r="A137"/>
      <c r="B137"/>
      <c r="C137"/>
      <c r="D137"/>
      <c r="E137"/>
      <c r="F137"/>
      <c r="G137"/>
      <c r="H137"/>
      <c r="I137"/>
      <c r="J137"/>
    </row>
    <row r="138" ht="15" customHeight="true" x14ac:dyDescent="0.15">
      <c r="A138"/>
      <c r="B138"/>
      <c r="C138"/>
      <c r="D138"/>
      <c r="E138"/>
      <c r="F138"/>
      <c r="G138"/>
      <c r="H138"/>
      <c r="I138"/>
      <c r="J138"/>
    </row>
    <row r="139" ht="15" customHeight="true" x14ac:dyDescent="0.15">
      <c r="A139"/>
      <c r="B139"/>
      <c r="C139"/>
      <c r="D139"/>
      <c r="E139"/>
      <c r="F139"/>
      <c r="G139"/>
      <c r="H139"/>
      <c r="I139"/>
      <c r="J139"/>
    </row>
    <row r="140" ht="15" customHeight="true" x14ac:dyDescent="0.15">
      <c r="A140"/>
      <c r="B140"/>
      <c r="C140"/>
      <c r="D140"/>
      <c r="E140"/>
      <c r="F140"/>
      <c r="G140"/>
      <c r="H140"/>
      <c r="I140"/>
      <c r="J140"/>
    </row>
    <row r="141" ht="15" customHeight="true" x14ac:dyDescent="0.15">
      <c r="A141"/>
      <c r="B141"/>
      <c r="C141"/>
      <c r="D141"/>
      <c r="E141"/>
      <c r="F141"/>
      <c r="G141"/>
      <c r="H141"/>
      <c r="I141"/>
      <c r="J141"/>
    </row>
    <row r="142" ht="15" customHeight="true" x14ac:dyDescent="0.15">
      <c r="A142"/>
      <c r="B142"/>
      <c r="C142"/>
      <c r="D142"/>
      <c r="E142"/>
      <c r="F142"/>
      <c r="G142"/>
      <c r="H142"/>
      <c r="I142"/>
      <c r="J142"/>
    </row>
    <row r="143" ht="15" customHeight="true" x14ac:dyDescent="0.15">
      <c r="A143"/>
      <c r="B143"/>
      <c r="C143"/>
      <c r="D143"/>
      <c r="E143"/>
      <c r="F143"/>
      <c r="G143"/>
      <c r="H143"/>
      <c r="I143"/>
      <c r="J143"/>
    </row>
    <row r="144" ht="15" customHeight="true" x14ac:dyDescent="0.15">
      <c r="A144"/>
      <c r="B144"/>
      <c r="C144"/>
      <c r="D144"/>
      <c r="E144"/>
      <c r="F144"/>
      <c r="G144"/>
      <c r="H144"/>
      <c r="I144"/>
      <c r="J144"/>
    </row>
    <row r="145" ht="15" customHeight="true" x14ac:dyDescent="0.15">
      <c r="A145"/>
      <c r="B145"/>
      <c r="C145"/>
      <c r="D145"/>
      <c r="E145"/>
      <c r="F145"/>
      <c r="G145"/>
      <c r="H145"/>
      <c r="I145"/>
      <c r="J145"/>
    </row>
    <row r="146" ht="15" customHeight="true" x14ac:dyDescent="0.15">
      <c r="A146"/>
      <c r="B146"/>
      <c r="C146"/>
      <c r="D146"/>
      <c r="E146"/>
      <c r="F146"/>
      <c r="G146"/>
      <c r="H146"/>
      <c r="I146"/>
      <c r="J146"/>
    </row>
    <row r="147" ht="15" customHeight="true" x14ac:dyDescent="0.15">
      <c r="A147"/>
      <c r="B147"/>
      <c r="C147"/>
      <c r="D147"/>
      <c r="E147"/>
      <c r="F147"/>
      <c r="G147"/>
      <c r="H147"/>
      <c r="I147"/>
      <c r="J147"/>
    </row>
    <row r="148" ht="15" customHeight="true" x14ac:dyDescent="0.15">
      <c r="A148"/>
      <c r="B148"/>
      <c r="C148"/>
      <c r="D148"/>
      <c r="E148"/>
      <c r="F148"/>
      <c r="G148"/>
      <c r="H148"/>
      <c r="I148"/>
      <c r="J148"/>
    </row>
    <row r="149" ht="15" customHeight="true" x14ac:dyDescent="0.15">
      <c r="A149"/>
      <c r="B149"/>
      <c r="C149"/>
      <c r="D149"/>
      <c r="E149"/>
      <c r="F149"/>
      <c r="G149"/>
      <c r="H149"/>
      <c r="I149"/>
      <c r="J149"/>
    </row>
    <row r="150" ht="15" customHeight="true" x14ac:dyDescent="0.15">
      <c r="A150"/>
      <c r="B150"/>
      <c r="C150"/>
      <c r="D150"/>
      <c r="E150"/>
      <c r="F150"/>
      <c r="G150"/>
      <c r="H150"/>
      <c r="I150"/>
      <c r="J150"/>
    </row>
    <row r="151" ht="15" customHeight="true" x14ac:dyDescent="0.15">
      <c r="A151"/>
      <c r="B151"/>
      <c r="C151"/>
      <c r="D151"/>
      <c r="E151"/>
      <c r="F151"/>
      <c r="G151"/>
      <c r="H151"/>
      <c r="I151"/>
      <c r="J151"/>
    </row>
    <row r="152" ht="15" customHeight="true" x14ac:dyDescent="0.15">
      <c r="A152"/>
      <c r="B152"/>
      <c r="C152"/>
      <c r="D152"/>
      <c r="E152"/>
      <c r="F152"/>
      <c r="G152"/>
      <c r="H152"/>
      <c r="I152"/>
      <c r="J152"/>
    </row>
    <row r="153" ht="15" customHeight="true" x14ac:dyDescent="0.15">
      <c r="A153"/>
      <c r="B153"/>
      <c r="C153"/>
      <c r="D153"/>
      <c r="E153"/>
      <c r="F153"/>
      <c r="G153"/>
      <c r="H153"/>
      <c r="I153"/>
      <c r="J153"/>
    </row>
    <row r="154" ht="15" customHeight="true" x14ac:dyDescent="0.15">
      <c r="A154"/>
      <c r="B154"/>
      <c r="C154"/>
      <c r="D154"/>
      <c r="E154"/>
      <c r="F154"/>
      <c r="G154"/>
      <c r="H154"/>
      <c r="I154"/>
      <c r="J154"/>
    </row>
    <row r="155" ht="15" customHeight="true" x14ac:dyDescent="0.15">
      <c r="A155"/>
      <c r="B155"/>
      <c r="C155"/>
      <c r="D155"/>
      <c r="E155"/>
      <c r="F155"/>
      <c r="G155"/>
      <c r="H155"/>
      <c r="I155"/>
      <c r="J155"/>
    </row>
    <row r="156" ht="15" customHeight="true" x14ac:dyDescent="0.15">
      <c r="A156"/>
      <c r="B156"/>
      <c r="C156"/>
      <c r="D156"/>
      <c r="E156"/>
      <c r="F156"/>
      <c r="G156"/>
      <c r="H156"/>
      <c r="I156"/>
      <c r="J156"/>
    </row>
    <row r="157" ht="15" customHeight="true" x14ac:dyDescent="0.15">
      <c r="A157"/>
      <c r="B157"/>
      <c r="C157"/>
      <c r="D157"/>
      <c r="E157"/>
      <c r="F157"/>
      <c r="G157"/>
      <c r="H157"/>
      <c r="I157"/>
      <c r="J157"/>
    </row>
    <row r="158" ht="15" customHeight="true" x14ac:dyDescent="0.15">
      <c r="A158"/>
      <c r="B158"/>
      <c r="C158"/>
      <c r="D158"/>
      <c r="E158"/>
      <c r="F158"/>
      <c r="G158"/>
      <c r="H158"/>
      <c r="I158"/>
      <c r="J158"/>
    </row>
    <row r="159" ht="15" customHeight="true" x14ac:dyDescent="0.15">
      <c r="A159"/>
      <c r="B159"/>
      <c r="C159"/>
      <c r="D159"/>
      <c r="E159"/>
      <c r="F159"/>
      <c r="G159"/>
      <c r="H159"/>
      <c r="I159"/>
      <c r="J159"/>
    </row>
    <row r="160" ht="15" customHeight="true" x14ac:dyDescent="0.15">
      <c r="A160"/>
      <c r="B160"/>
      <c r="C160"/>
      <c r="D160"/>
      <c r="E160"/>
      <c r="F160"/>
      <c r="G160"/>
      <c r="H160"/>
      <c r="I160"/>
      <c r="J160"/>
    </row>
    <row r="161" ht="15" customHeight="true" x14ac:dyDescent="0.15">
      <c r="A161"/>
      <c r="B161"/>
      <c r="C161"/>
      <c r="D161"/>
      <c r="E161"/>
      <c r="F161"/>
      <c r="G161"/>
      <c r="H161"/>
      <c r="I161"/>
      <c r="J161"/>
    </row>
    <row r="162" ht="15" customHeight="true" x14ac:dyDescent="0.15">
      <c r="A162"/>
      <c r="B162"/>
      <c r="C162"/>
      <c r="D162"/>
      <c r="E162"/>
      <c r="F162"/>
      <c r="G162"/>
      <c r="H162"/>
      <c r="I162"/>
      <c r="J162"/>
    </row>
    <row r="163" ht="15" customHeight="true" x14ac:dyDescent="0.15">
      <c r="A163"/>
      <c r="B163"/>
      <c r="C163"/>
      <c r="D163"/>
      <c r="E163"/>
      <c r="F163"/>
      <c r="G163"/>
      <c r="H163"/>
      <c r="I163"/>
      <c r="J163"/>
    </row>
    <row r="164" ht="15" customHeight="true" x14ac:dyDescent="0.15">
      <c r="A164"/>
      <c r="B164"/>
      <c r="C164"/>
      <c r="D164"/>
      <c r="E164"/>
      <c r="F164"/>
      <c r="G164"/>
      <c r="H164"/>
      <c r="I164"/>
      <c r="J164"/>
    </row>
    <row r="165" ht="15" customHeight="true" x14ac:dyDescent="0.15">
      <c r="A165"/>
      <c r="B165"/>
      <c r="C165"/>
      <c r="D165"/>
      <c r="E165"/>
      <c r="F165"/>
      <c r="G165"/>
      <c r="H165"/>
      <c r="I165"/>
      <c r="J165"/>
    </row>
    <row r="166" ht="15" customHeight="true" x14ac:dyDescent="0.15">
      <c r="A166"/>
      <c r="B166"/>
      <c r="C166"/>
      <c r="D166"/>
      <c r="E166"/>
      <c r="F166"/>
      <c r="G166"/>
      <c r="H166"/>
      <c r="I166"/>
      <c r="J166"/>
    </row>
    <row r="167" ht="15" customHeight="true" x14ac:dyDescent="0.15">
      <c r="A167"/>
      <c r="B167"/>
      <c r="C167"/>
      <c r="D167"/>
      <c r="E167"/>
      <c r="F167"/>
      <c r="G167"/>
      <c r="H167"/>
      <c r="I167"/>
      <c r="J167"/>
    </row>
    <row r="168" ht="15" customHeight="true" x14ac:dyDescent="0.15">
      <c r="A168"/>
      <c r="B168"/>
      <c r="C168"/>
      <c r="D168"/>
      <c r="E168"/>
      <c r="F168"/>
      <c r="G168"/>
      <c r="H168"/>
      <c r="I168"/>
      <c r="J168"/>
    </row>
    <row r="169" ht="15" customHeight="true" x14ac:dyDescent="0.15">
      <c r="A169"/>
      <c r="B169"/>
      <c r="C169"/>
      <c r="D169"/>
      <c r="E169"/>
      <c r="F169"/>
      <c r="G169"/>
      <c r="H169"/>
      <c r="I169"/>
      <c r="J169"/>
    </row>
    <row r="170" ht="15" customHeight="true" x14ac:dyDescent="0.15">
      <c r="A170"/>
      <c r="B170"/>
      <c r="C170"/>
      <c r="D170"/>
      <c r="E170"/>
      <c r="F170"/>
      <c r="G170"/>
      <c r="H170"/>
      <c r="I170"/>
      <c r="J170"/>
    </row>
    <row r="171" ht="15" customHeight="true" x14ac:dyDescent="0.15">
      <c r="A171"/>
      <c r="B171"/>
      <c r="C171"/>
      <c r="D171"/>
      <c r="E171"/>
      <c r="F171"/>
      <c r="G171"/>
      <c r="H171"/>
      <c r="I171"/>
      <c r="J171"/>
    </row>
    <row r="172" ht="15" customHeight="true" x14ac:dyDescent="0.15">
      <c r="A172"/>
      <c r="B172"/>
      <c r="C172"/>
      <c r="D172"/>
      <c r="E172"/>
      <c r="F172"/>
      <c r="G172"/>
      <c r="H172"/>
      <c r="I172"/>
      <c r="J172"/>
    </row>
    <row r="173" ht="15" customHeight="true" x14ac:dyDescent="0.15">
      <c r="A173"/>
      <c r="B173"/>
      <c r="C173"/>
      <c r="D173"/>
      <c r="E173"/>
      <c r="F173"/>
      <c r="G173"/>
      <c r="H173"/>
      <c r="I173"/>
      <c r="J173"/>
    </row>
    <row r="174" ht="15" customHeight="true" x14ac:dyDescent="0.15">
      <c r="A174"/>
      <c r="B174"/>
      <c r="C174"/>
      <c r="D174"/>
      <c r="E174"/>
      <c r="F174"/>
      <c r="G174"/>
      <c r="H174"/>
      <c r="I174"/>
      <c r="J174"/>
    </row>
    <row r="175" ht="15" customHeight="true" x14ac:dyDescent="0.15">
      <c r="A175"/>
      <c r="B175"/>
      <c r="C175"/>
      <c r="D175"/>
      <c r="E175"/>
      <c r="F175"/>
      <c r="G175"/>
      <c r="H175"/>
      <c r="I175"/>
      <c r="J175"/>
    </row>
    <row r="176" ht="15" customHeight="true" x14ac:dyDescent="0.15">
      <c r="A176"/>
      <c r="B176"/>
      <c r="C176"/>
      <c r="D176"/>
      <c r="E176"/>
      <c r="F176"/>
      <c r="G176"/>
      <c r="H176"/>
      <c r="I176"/>
      <c r="J176"/>
    </row>
    <row r="177" ht="15" customHeight="true" x14ac:dyDescent="0.15">
      <c r="A177"/>
      <c r="B177"/>
      <c r="C177"/>
      <c r="D177"/>
      <c r="E177"/>
      <c r="F177"/>
      <c r="G177"/>
      <c r="H177"/>
      <c r="I177"/>
      <c r="J177"/>
    </row>
    <row r="178" ht="15" customHeight="true" x14ac:dyDescent="0.15">
      <c r="A178"/>
      <c r="B178"/>
      <c r="C178"/>
      <c r="D178"/>
      <c r="E178"/>
      <c r="F178"/>
      <c r="G178"/>
      <c r="H178"/>
      <c r="I178"/>
      <c r="J178"/>
    </row>
    <row r="179" ht="15" customHeight="true" x14ac:dyDescent="0.15">
      <c r="A179"/>
      <c r="B179"/>
      <c r="C179"/>
      <c r="D179"/>
      <c r="E179"/>
      <c r="F179"/>
      <c r="G179"/>
      <c r="H179"/>
      <c r="I179"/>
      <c r="J179"/>
    </row>
    <row r="180" ht="15" customHeight="true" x14ac:dyDescent="0.15">
      <c r="A180"/>
      <c r="B180"/>
      <c r="C180"/>
      <c r="D180"/>
      <c r="E180"/>
      <c r="F180"/>
      <c r="G180"/>
      <c r="H180"/>
      <c r="I180"/>
      <c r="J180"/>
    </row>
    <row r="181" ht="15" customHeight="true" x14ac:dyDescent="0.15">
      <c r="A181"/>
      <c r="B181"/>
      <c r="C181"/>
      <c r="D181"/>
      <c r="E181"/>
      <c r="F181"/>
      <c r="G181"/>
      <c r="H181"/>
      <c r="I181"/>
      <c r="J181"/>
    </row>
    <row r="182" ht="15" customHeight="true" x14ac:dyDescent="0.15">
      <c r="A182"/>
      <c r="B182"/>
      <c r="C182"/>
      <c r="D182"/>
      <c r="E182"/>
      <c r="F182"/>
      <c r="G182"/>
      <c r="H182"/>
      <c r="I182"/>
      <c r="J182"/>
    </row>
    <row r="183" ht="15" customHeight="true" x14ac:dyDescent="0.15">
      <c r="A183"/>
      <c r="B183"/>
      <c r="C183"/>
      <c r="D183"/>
      <c r="E183"/>
      <c r="F183"/>
      <c r="G183"/>
      <c r="H183"/>
      <c r="I183"/>
      <c r="J183"/>
    </row>
    <row r="184" ht="15" customHeight="true" x14ac:dyDescent="0.15">
      <c r="A184"/>
      <c r="B184"/>
      <c r="C184"/>
      <c r="D184"/>
      <c r="E184"/>
      <c r="F184"/>
      <c r="G184"/>
      <c r="H184"/>
      <c r="I184"/>
      <c r="J184"/>
    </row>
    <row r="185" ht="15" customHeight="true" x14ac:dyDescent="0.15">
      <c r="A185"/>
      <c r="B185"/>
      <c r="C185"/>
      <c r="D185"/>
      <c r="E185"/>
      <c r="F185"/>
      <c r="G185"/>
      <c r="H185"/>
      <c r="I185"/>
      <c r="J185"/>
    </row>
    <row r="186" ht="15" customHeight="true" x14ac:dyDescent="0.15">
      <c r="A186"/>
      <c r="B186"/>
      <c r="C186"/>
      <c r="D186"/>
      <c r="E186"/>
      <c r="F186"/>
      <c r="G186"/>
      <c r="H186"/>
      <c r="I186"/>
      <c r="J186"/>
    </row>
    <row r="187" ht="15" customHeight="true" x14ac:dyDescent="0.15">
      <c r="A187"/>
      <c r="B187"/>
      <c r="C187"/>
      <c r="D187"/>
      <c r="E187"/>
      <c r="F187"/>
      <c r="G187"/>
      <c r="H187"/>
      <c r="I187"/>
      <c r="J187"/>
    </row>
    <row r="188" ht="15" customHeight="true" x14ac:dyDescent="0.15">
      <c r="A188"/>
      <c r="B188"/>
      <c r="C188"/>
      <c r="D188"/>
      <c r="E188"/>
      <c r="F188"/>
      <c r="G188"/>
      <c r="H188"/>
      <c r="I188"/>
      <c r="J188"/>
    </row>
    <row r="189" ht="15" customHeight="true" x14ac:dyDescent="0.15">
      <c r="A189"/>
      <c r="B189"/>
      <c r="C189"/>
      <c r="D189"/>
      <c r="E189"/>
      <c r="F189"/>
      <c r="G189"/>
      <c r="H189"/>
      <c r="I189"/>
      <c r="J189"/>
    </row>
    <row r="190" ht="15" customHeight="true" x14ac:dyDescent="0.15">
      <c r="A190"/>
      <c r="B190"/>
      <c r="C190"/>
      <c r="D190"/>
      <c r="E190"/>
      <c r="F190"/>
      <c r="G190"/>
      <c r="H190"/>
      <c r="I190"/>
      <c r="J190"/>
    </row>
    <row r="191" ht="15" customHeight="true" x14ac:dyDescent="0.15">
      <c r="A191"/>
      <c r="B191"/>
      <c r="C191"/>
      <c r="D191"/>
      <c r="E191"/>
      <c r="F191"/>
      <c r="G191"/>
      <c r="H191"/>
      <c r="I191"/>
      <c r="J191"/>
    </row>
    <row r="192" ht="15" customHeight="true" x14ac:dyDescent="0.15">
      <c r="A192"/>
      <c r="B192"/>
      <c r="C192"/>
      <c r="D192"/>
      <c r="E192"/>
      <c r="F192"/>
      <c r="G192"/>
      <c r="H192"/>
      <c r="I192"/>
      <c r="J192"/>
    </row>
    <row r="193" ht="15" customHeight="true" x14ac:dyDescent="0.15">
      <c r="A193"/>
      <c r="B193"/>
      <c r="C193"/>
      <c r="D193"/>
      <c r="E193"/>
      <c r="F193"/>
      <c r="G193"/>
      <c r="H193"/>
      <c r="I193"/>
      <c r="J193"/>
    </row>
    <row r="194" ht="15" customHeight="true" x14ac:dyDescent="0.15">
      <c r="A194"/>
      <c r="B194"/>
      <c r="C194"/>
      <c r="D194"/>
      <c r="E194"/>
      <c r="F194"/>
      <c r="G194"/>
      <c r="H194"/>
      <c r="I194"/>
      <c r="J194"/>
    </row>
    <row r="195" ht="15" customHeight="true" x14ac:dyDescent="0.15">
      <c r="A195"/>
      <c r="B195"/>
      <c r="C195"/>
      <c r="D195"/>
      <c r="E195"/>
      <c r="F195"/>
      <c r="G195"/>
      <c r="H195"/>
      <c r="I195"/>
      <c r="J195"/>
    </row>
    <row r="196" ht="15" customHeight="true" x14ac:dyDescent="0.15">
      <c r="A196"/>
      <c r="B196"/>
      <c r="C196"/>
      <c r="D196"/>
      <c r="E196"/>
      <c r="F196"/>
      <c r="G196"/>
      <c r="H196"/>
      <c r="I196"/>
      <c r="J196"/>
    </row>
    <row r="197" ht="15" customHeight="true" x14ac:dyDescent="0.15">
      <c r="A197"/>
      <c r="B197"/>
      <c r="C197"/>
      <c r="D197"/>
      <c r="E197"/>
      <c r="F197"/>
      <c r="G197"/>
      <c r="H197"/>
      <c r="I197"/>
      <c r="J197"/>
    </row>
    <row r="198" ht="15" customHeight="true" x14ac:dyDescent="0.15">
      <c r="A198"/>
      <c r="B198"/>
      <c r="C198"/>
      <c r="D198"/>
      <c r="E198"/>
      <c r="F198"/>
      <c r="G198"/>
      <c r="H198"/>
      <c r="I198"/>
      <c r="J198"/>
    </row>
    <row r="199" ht="15" customHeight="true" x14ac:dyDescent="0.15">
      <c r="A199"/>
      <c r="B199"/>
      <c r="C199"/>
      <c r="D199"/>
      <c r="E199"/>
      <c r="F199"/>
      <c r="G199"/>
      <c r="H199"/>
      <c r="I199"/>
      <c r="J199"/>
    </row>
    <row r="200" ht="15" customHeight="true" x14ac:dyDescent="0.15">
      <c r="A200"/>
      <c r="B200"/>
      <c r="C200"/>
      <c r="D200"/>
      <c r="E200"/>
      <c r="F200"/>
      <c r="G200"/>
      <c r="H200"/>
      <c r="I200"/>
      <c r="J200"/>
    </row>
    <row r="201" ht="15" customHeight="true" x14ac:dyDescent="0.15">
      <c r="A201"/>
      <c r="B201"/>
      <c r="C201"/>
      <c r="D201"/>
      <c r="E201"/>
      <c r="F201"/>
      <c r="G201"/>
      <c r="H201"/>
      <c r="I201"/>
      <c r="J201"/>
    </row>
    <row r="202" ht="15" customHeight="true" x14ac:dyDescent="0.15">
      <c r="A202"/>
      <c r="B202"/>
      <c r="C202"/>
      <c r="D202"/>
      <c r="E202"/>
      <c r="F202"/>
      <c r="G202"/>
      <c r="H202"/>
      <c r="I202"/>
      <c r="J202"/>
    </row>
    <row r="203" ht="15" customHeight="true" x14ac:dyDescent="0.15">
      <c r="A203"/>
      <c r="B203"/>
      <c r="C203"/>
      <c r="D203"/>
      <c r="E203"/>
      <c r="F203"/>
      <c r="G203"/>
      <c r="H203"/>
      <c r="I203"/>
      <c r="J203"/>
    </row>
    <row r="204" ht="15" customHeight="true" x14ac:dyDescent="0.15">
      <c r="A204"/>
      <c r="B204"/>
      <c r="C204"/>
      <c r="D204"/>
      <c r="E204"/>
      <c r="F204"/>
      <c r="G204"/>
      <c r="H204"/>
      <c r="I204"/>
      <c r="J204"/>
    </row>
    <row r="205" ht="15" customHeight="true" x14ac:dyDescent="0.15">
      <c r="A205"/>
      <c r="B205"/>
      <c r="C205"/>
      <c r="D205"/>
      <c r="E205"/>
      <c r="F205"/>
      <c r="G205"/>
      <c r="H205"/>
      <c r="I205"/>
      <c r="J205"/>
    </row>
    <row r="206" ht="15" customHeight="true" x14ac:dyDescent="0.15">
      <c r="A206"/>
      <c r="B206"/>
      <c r="C206"/>
      <c r="D206"/>
      <c r="E206"/>
      <c r="F206"/>
      <c r="G206"/>
      <c r="H206"/>
      <c r="I206"/>
      <c r="J206"/>
    </row>
    <row r="207" ht="15" customHeight="true" x14ac:dyDescent="0.15">
      <c r="A207"/>
      <c r="B207"/>
      <c r="C207"/>
      <c r="D207"/>
      <c r="E207"/>
      <c r="F207"/>
      <c r="G207"/>
      <c r="H207"/>
      <c r="I207"/>
      <c r="J207"/>
    </row>
    <row r="208" ht="15" customHeight="true" x14ac:dyDescent="0.15">
      <c r="A208"/>
      <c r="B208"/>
      <c r="C208"/>
      <c r="D208"/>
      <c r="E208"/>
      <c r="F208"/>
      <c r="G208"/>
      <c r="H208"/>
      <c r="I208"/>
      <c r="J208"/>
    </row>
    <row r="209" ht="15" customHeight="true" x14ac:dyDescent="0.15">
      <c r="A209"/>
      <c r="B209"/>
      <c r="C209"/>
      <c r="D209"/>
      <c r="E209"/>
      <c r="F209"/>
      <c r="G209"/>
      <c r="H209"/>
      <c r="I209"/>
      <c r="J209"/>
    </row>
    <row r="210" ht="15" customHeight="true" x14ac:dyDescent="0.15">
      <c r="A210"/>
      <c r="B210"/>
      <c r="C210"/>
      <c r="D210"/>
      <c r="E210"/>
      <c r="F210"/>
      <c r="G210"/>
      <c r="H210"/>
      <c r="I210"/>
      <c r="J210"/>
    </row>
    <row r="211" ht="15" customHeight="true" x14ac:dyDescent="0.15">
      <c r="A211"/>
      <c r="B211"/>
      <c r="C211"/>
      <c r="D211"/>
      <c r="E211"/>
      <c r="F211"/>
      <c r="G211"/>
      <c r="H211"/>
      <c r="I211"/>
      <c r="J211"/>
    </row>
    <row r="212" ht="15" customHeight="true" x14ac:dyDescent="0.15">
      <c r="A212"/>
      <c r="B212"/>
      <c r="C212"/>
      <c r="D212"/>
      <c r="E212"/>
      <c r="F212"/>
      <c r="G212"/>
      <c r="H212"/>
      <c r="I212"/>
      <c r="J212"/>
    </row>
    <row r="213" ht="15" customHeight="true" x14ac:dyDescent="0.15">
      <c r="A213"/>
      <c r="B213"/>
      <c r="C213"/>
      <c r="D213"/>
      <c r="E213"/>
      <c r="F213"/>
      <c r="G213"/>
      <c r="H213"/>
      <c r="I213"/>
      <c r="J213"/>
    </row>
    <row r="214" ht="15" customHeight="true" x14ac:dyDescent="0.15">
      <c r="A214"/>
      <c r="B214"/>
      <c r="C214"/>
      <c r="D214"/>
      <c r="E214"/>
      <c r="F214"/>
      <c r="G214"/>
      <c r="H214"/>
      <c r="I214"/>
      <c r="J214"/>
    </row>
    <row r="215" ht="15" customHeight="true" x14ac:dyDescent="0.15">
      <c r="A215"/>
      <c r="B215"/>
      <c r="C215"/>
      <c r="D215"/>
      <c r="E215"/>
      <c r="F215"/>
      <c r="G215"/>
      <c r="H215"/>
      <c r="I215"/>
      <c r="J215"/>
    </row>
    <row r="216" ht="15" customHeight="true" x14ac:dyDescent="0.15">
      <c r="A216"/>
      <c r="B216"/>
      <c r="C216"/>
      <c r="D216"/>
      <c r="E216"/>
      <c r="F216"/>
      <c r="G216"/>
      <c r="H216"/>
      <c r="I216"/>
      <c r="J216"/>
    </row>
    <row r="217" ht="15" customHeight="true" x14ac:dyDescent="0.15">
      <c r="A217"/>
      <c r="B217"/>
      <c r="C217"/>
      <c r="D217"/>
      <c r="E217"/>
      <c r="F217"/>
      <c r="G217"/>
      <c r="H217"/>
      <c r="I217"/>
      <c r="J217"/>
    </row>
    <row r="218" ht="15" customHeight="true" x14ac:dyDescent="0.15">
      <c r="A218"/>
      <c r="B218"/>
      <c r="C218"/>
      <c r="D218"/>
      <c r="E218"/>
      <c r="F218"/>
      <c r="G218"/>
      <c r="H218"/>
      <c r="I218"/>
      <c r="J218"/>
    </row>
    <row r="219" ht="15" customHeight="true" x14ac:dyDescent="0.15">
      <c r="A219"/>
      <c r="B219"/>
      <c r="C219"/>
      <c r="D219"/>
      <c r="E219"/>
      <c r="F219"/>
      <c r="G219"/>
      <c r="H219"/>
      <c r="I219"/>
      <c r="J219"/>
    </row>
    <row r="220" ht="15" customHeight="true" x14ac:dyDescent="0.15">
      <c r="A220"/>
      <c r="B220"/>
      <c r="C220"/>
      <c r="D220"/>
      <c r="E220"/>
      <c r="F220"/>
      <c r="G220"/>
      <c r="H220"/>
      <c r="I220"/>
      <c r="J220"/>
    </row>
    <row r="221" ht="15" customHeight="true" x14ac:dyDescent="0.15">
      <c r="A221"/>
      <c r="B221"/>
      <c r="C221"/>
      <c r="D221"/>
      <c r="E221"/>
      <c r="F221"/>
      <c r="G221"/>
      <c r="H221"/>
      <c r="I221"/>
      <c r="J221"/>
    </row>
    <row r="222" ht="15" customHeight="true" x14ac:dyDescent="0.15">
      <c r="A222"/>
      <c r="B222"/>
      <c r="C222"/>
      <c r="D222"/>
      <c r="E222"/>
      <c r="F222"/>
      <c r="G222"/>
      <c r="H222"/>
      <c r="I222"/>
      <c r="J222"/>
    </row>
    <row r="223" ht="15" customHeight="true" x14ac:dyDescent="0.15">
      <c r="A223"/>
      <c r="B223"/>
      <c r="C223"/>
      <c r="D223"/>
      <c r="E223"/>
      <c r="F223"/>
      <c r="G223"/>
      <c r="H223"/>
      <c r="I223"/>
      <c r="J223"/>
    </row>
    <row r="224" ht="15" customHeight="true" x14ac:dyDescent="0.15">
      <c r="A224"/>
      <c r="B224"/>
      <c r="C224"/>
      <c r="D224"/>
      <c r="E224"/>
      <c r="F224"/>
      <c r="G224"/>
      <c r="H224"/>
      <c r="I224"/>
      <c r="J224"/>
    </row>
    <row r="225" ht="15" customHeight="true" x14ac:dyDescent="0.15">
      <c r="A225"/>
      <c r="B225"/>
      <c r="C225"/>
      <c r="D225"/>
      <c r="E225"/>
      <c r="F225"/>
      <c r="G225"/>
      <c r="H225"/>
      <c r="I225"/>
      <c r="J225"/>
    </row>
    <row r="226" ht="15" customHeight="true" x14ac:dyDescent="0.15">
      <c r="A226"/>
      <c r="B226"/>
      <c r="C226"/>
      <c r="D226"/>
      <c r="E226"/>
      <c r="F226"/>
      <c r="G226"/>
      <c r="H226"/>
      <c r="I226"/>
      <c r="J226"/>
    </row>
    <row r="227" ht="15" customHeight="true" x14ac:dyDescent="0.15">
      <c r="A227"/>
      <c r="B227"/>
      <c r="C227"/>
      <c r="D227"/>
      <c r="E227"/>
      <c r="F227"/>
      <c r="G227"/>
      <c r="H227"/>
      <c r="I227"/>
      <c r="J227"/>
    </row>
    <row r="228" ht="15" customHeight="true" x14ac:dyDescent="0.15">
      <c r="A228"/>
      <c r="B228"/>
      <c r="C228"/>
      <c r="D228"/>
      <c r="E228"/>
      <c r="F228"/>
      <c r="G228"/>
      <c r="H228"/>
      <c r="I228"/>
      <c r="J228"/>
    </row>
    <row r="229" ht="15" customHeight="true" x14ac:dyDescent="0.15">
      <c r="A229"/>
      <c r="B229"/>
      <c r="C229"/>
      <c r="D229"/>
      <c r="E229"/>
      <c r="F229"/>
      <c r="G229"/>
      <c r="H229"/>
      <c r="I229"/>
      <c r="J229"/>
    </row>
    <row r="230" ht="15" customHeight="true" x14ac:dyDescent="0.15">
      <c r="A230"/>
      <c r="B230"/>
      <c r="C230"/>
      <c r="D230"/>
      <c r="E230"/>
      <c r="F230"/>
      <c r="G230"/>
      <c r="H230"/>
      <c r="I230"/>
      <c r="J230"/>
    </row>
    <row r="231" ht="15" customHeight="true" x14ac:dyDescent="0.15">
      <c r="A231"/>
      <c r="B231"/>
      <c r="C231"/>
      <c r="D231"/>
      <c r="E231"/>
      <c r="F231"/>
      <c r="G231"/>
      <c r="H231"/>
      <c r="I231"/>
      <c r="J231"/>
    </row>
    <row r="232" ht="15" customHeight="true" x14ac:dyDescent="0.15">
      <c r="A232"/>
      <c r="B232"/>
      <c r="C232"/>
      <c r="D232"/>
      <c r="E232"/>
      <c r="F232"/>
      <c r="G232"/>
      <c r="H232"/>
      <c r="I232"/>
      <c r="J232"/>
    </row>
    <row r="233" ht="15" customHeight="true" x14ac:dyDescent="0.15">
      <c r="A233"/>
      <c r="B233"/>
      <c r="C233"/>
      <c r="D233"/>
      <c r="E233"/>
      <c r="F233"/>
      <c r="G233"/>
      <c r="H233"/>
      <c r="I233"/>
      <c r="J233"/>
    </row>
    <row r="234" ht="15" customHeight="true" x14ac:dyDescent="0.15">
      <c r="A234"/>
      <c r="B234"/>
      <c r="C234"/>
      <c r="D234"/>
      <c r="E234"/>
      <c r="F234"/>
      <c r="G234"/>
      <c r="H234"/>
      <c r="I234"/>
      <c r="J234"/>
    </row>
    <row r="235" ht="15" customHeight="true" x14ac:dyDescent="0.15">
      <c r="A235"/>
      <c r="B235"/>
      <c r="C235"/>
      <c r="D235"/>
      <c r="E235"/>
      <c r="F235"/>
      <c r="G235"/>
      <c r="H235"/>
      <c r="I235"/>
      <c r="J235"/>
    </row>
    <row r="236" ht="15" customHeight="true" x14ac:dyDescent="0.15">
      <c r="A236"/>
      <c r="B236"/>
      <c r="C236"/>
      <c r="D236"/>
      <c r="E236"/>
      <c r="F236"/>
      <c r="G236"/>
      <c r="H236"/>
      <c r="I236"/>
      <c r="J236"/>
    </row>
    <row r="237" ht="15" customHeight="true" x14ac:dyDescent="0.15">
      <c r="A237"/>
      <c r="B237"/>
      <c r="C237"/>
      <c r="D237"/>
      <c r="E237"/>
      <c r="F237"/>
      <c r="G237"/>
      <c r="H237"/>
      <c r="I237"/>
      <c r="J237"/>
    </row>
    <row r="238" ht="15" customHeight="true" x14ac:dyDescent="0.15">
      <c r="A238"/>
      <c r="B238"/>
      <c r="C238"/>
      <c r="D238"/>
      <c r="E238"/>
      <c r="F238"/>
      <c r="G238"/>
      <c r="H238"/>
      <c r="I238"/>
      <c r="J238"/>
    </row>
    <row r="239" ht="15" customHeight="true" x14ac:dyDescent="0.15">
      <c r="A239"/>
      <c r="B239"/>
      <c r="C239"/>
      <c r="D239"/>
      <c r="E239"/>
      <c r="F239"/>
      <c r="G239"/>
      <c r="H239"/>
      <c r="I239"/>
      <c r="J239"/>
    </row>
    <row r="240" ht="15" customHeight="true" x14ac:dyDescent="0.15">
      <c r="A240"/>
      <c r="B240"/>
      <c r="C240"/>
      <c r="D240"/>
      <c r="E240"/>
      <c r="F240"/>
      <c r="G240"/>
      <c r="H240"/>
      <c r="I240"/>
      <c r="J240"/>
    </row>
    <row r="241" ht="15" customHeight="true" x14ac:dyDescent="0.15">
      <c r="A241"/>
      <c r="B241"/>
      <c r="C241"/>
      <c r="D241"/>
      <c r="E241"/>
      <c r="F241"/>
      <c r="G241"/>
      <c r="H241"/>
      <c r="I241"/>
      <c r="J241"/>
    </row>
    <row r="242" ht="15" customHeight="true" x14ac:dyDescent="0.15">
      <c r="A242"/>
      <c r="B242"/>
      <c r="C242"/>
      <c r="D242"/>
      <c r="E242"/>
      <c r="F242"/>
      <c r="G242"/>
      <c r="H242"/>
      <c r="I242"/>
      <c r="J242"/>
    </row>
    <row r="243" ht="15" customHeight="true" x14ac:dyDescent="0.15">
      <c r="A243"/>
      <c r="B243"/>
      <c r="C243"/>
      <c r="D243"/>
      <c r="E243"/>
      <c r="F243"/>
      <c r="G243"/>
      <c r="H243"/>
      <c r="I243"/>
      <c r="J243"/>
    </row>
    <row r="244" ht="15" customHeight="true" x14ac:dyDescent="0.15">
      <c r="A244"/>
      <c r="B244"/>
      <c r="C244"/>
      <c r="D244"/>
      <c r="E244"/>
      <c r="F244"/>
      <c r="G244"/>
      <c r="H244"/>
      <c r="I244"/>
      <c r="J244"/>
    </row>
    <row r="245" ht="15" customHeight="true" x14ac:dyDescent="0.15">
      <c r="A245"/>
      <c r="B245"/>
      <c r="C245"/>
      <c r="D245"/>
      <c r="E245"/>
      <c r="F245"/>
      <c r="G245"/>
      <c r="H245"/>
      <c r="I245"/>
      <c r="J245"/>
    </row>
    <row r="246" ht="15" customHeight="true" x14ac:dyDescent="0.15">
      <c r="A246"/>
      <c r="B246"/>
      <c r="C246"/>
      <c r="D246"/>
      <c r="E246"/>
      <c r="F246"/>
      <c r="G246"/>
      <c r="H246"/>
      <c r="I246"/>
      <c r="J246"/>
    </row>
    <row r="247" ht="15" customHeight="true" x14ac:dyDescent="0.15">
      <c r="A247"/>
      <c r="B247"/>
      <c r="C247"/>
      <c r="D247"/>
      <c r="E247"/>
      <c r="F247"/>
      <c r="G247"/>
      <c r="H247"/>
      <c r="I247"/>
      <c r="J247"/>
    </row>
    <row r="248" ht="15" customHeight="true" x14ac:dyDescent="0.15">
      <c r="A248"/>
      <c r="B248"/>
      <c r="C248"/>
      <c r="D248"/>
      <c r="E248"/>
      <c r="F248"/>
      <c r="G248"/>
      <c r="H248"/>
      <c r="I248"/>
      <c r="J248"/>
    </row>
    <row r="249" ht="15" customHeight="true" x14ac:dyDescent="0.15">
      <c r="A249"/>
      <c r="B249"/>
      <c r="C249"/>
      <c r="D249"/>
      <c r="E249"/>
      <c r="F249"/>
      <c r="G249"/>
      <c r="H249"/>
      <c r="I249"/>
      <c r="J249"/>
    </row>
    <row r="250" ht="15" customHeight="true" x14ac:dyDescent="0.15">
      <c r="A250"/>
      <c r="B250"/>
      <c r="C250"/>
      <c r="D250"/>
      <c r="E250"/>
      <c r="F250"/>
      <c r="G250"/>
      <c r="H250"/>
      <c r="I250"/>
      <c r="J250"/>
    </row>
    <row r="251" ht="15" customHeight="true" x14ac:dyDescent="0.15">
      <c r="A251"/>
      <c r="B251"/>
      <c r="C251"/>
      <c r="D251"/>
      <c r="E251"/>
      <c r="F251"/>
      <c r="G251"/>
      <c r="H251"/>
      <c r="I251"/>
      <c r="J251"/>
    </row>
    <row r="252" ht="15" customHeight="true" x14ac:dyDescent="0.15">
      <c r="A252"/>
      <c r="B252"/>
      <c r="C252"/>
      <c r="D252"/>
      <c r="E252"/>
      <c r="F252"/>
      <c r="G252"/>
      <c r="H252"/>
      <c r="I252"/>
      <c r="J252"/>
    </row>
    <row r="253" ht="15" customHeight="true" x14ac:dyDescent="0.15">
      <c r="A253"/>
      <c r="B253"/>
      <c r="C253"/>
      <c r="D253"/>
      <c r="E253"/>
      <c r="F253"/>
      <c r="G253"/>
      <c r="H253"/>
      <c r="I253"/>
      <c r="J253"/>
    </row>
    <row r="254" ht="15" customHeight="true" x14ac:dyDescent="0.15">
      <c r="A254"/>
      <c r="B254"/>
      <c r="C254"/>
      <c r="D254"/>
      <c r="E254"/>
      <c r="F254"/>
      <c r="G254"/>
      <c r="H254"/>
      <c r="I254"/>
      <c r="J254"/>
    </row>
    <row r="255" ht="15" customHeight="true" x14ac:dyDescent="0.15">
      <c r="A255"/>
      <c r="B255"/>
      <c r="C255"/>
      <c r="D255"/>
      <c r="E255"/>
      <c r="F255"/>
      <c r="G255"/>
      <c r="H255"/>
      <c r="I255"/>
      <c r="J255"/>
    </row>
    <row r="256" ht="15" customHeight="true" x14ac:dyDescent="0.15">
      <c r="A256"/>
      <c r="B256"/>
      <c r="C256"/>
      <c r="D256"/>
      <c r="E256"/>
      <c r="F256"/>
      <c r="G256"/>
      <c r="H256"/>
      <c r="I256"/>
      <c r="J256"/>
    </row>
    <row r="257" ht="15" customHeight="true" x14ac:dyDescent="0.15">
      <c r="A257"/>
      <c r="B257"/>
      <c r="C257"/>
      <c r="D257"/>
      <c r="E257"/>
      <c r="F257"/>
      <c r="G257"/>
      <c r="H257"/>
      <c r="I257"/>
      <c r="J257"/>
    </row>
    <row r="258" ht="15" customHeight="true" x14ac:dyDescent="0.15">
      <c r="A258"/>
      <c r="B258"/>
      <c r="C258"/>
      <c r="D258"/>
      <c r="E258"/>
      <c r="F258"/>
      <c r="G258"/>
      <c r="H258"/>
      <c r="I258"/>
      <c r="J258"/>
    </row>
    <row r="259" ht="15" customHeight="true" x14ac:dyDescent="0.15">
      <c r="A259"/>
      <c r="B259"/>
      <c r="C259"/>
      <c r="D259"/>
      <c r="E259"/>
      <c r="F259"/>
      <c r="G259"/>
      <c r="H259"/>
      <c r="I259"/>
      <c r="J259"/>
    </row>
    <row r="260" ht="15" customHeight="true" x14ac:dyDescent="0.15">
      <c r="A260"/>
      <c r="B260"/>
      <c r="C260"/>
      <c r="D260"/>
      <c r="E260"/>
      <c r="F260"/>
      <c r="G260"/>
      <c r="H260"/>
      <c r="I260"/>
      <c r="J260"/>
    </row>
    <row r="261" ht="15" customHeight="true" x14ac:dyDescent="0.15">
      <c r="A261"/>
      <c r="B261"/>
      <c r="C261"/>
      <c r="D261"/>
      <c r="E261"/>
      <c r="F261"/>
      <c r="G261"/>
      <c r="H261"/>
      <c r="I261"/>
      <c r="J261"/>
    </row>
    <row r="262" ht="15" customHeight="true" x14ac:dyDescent="0.15">
      <c r="A262"/>
      <c r="B262"/>
      <c r="C262"/>
      <c r="D262"/>
      <c r="E262"/>
      <c r="F262"/>
      <c r="G262"/>
      <c r="H262"/>
      <c r="I262"/>
      <c r="J262"/>
    </row>
    <row r="263" ht="15" customHeight="true" x14ac:dyDescent="0.15">
      <c r="A263"/>
      <c r="B263"/>
      <c r="C263"/>
      <c r="D263"/>
      <c r="E263"/>
      <c r="F263"/>
      <c r="G263"/>
      <c r="H263"/>
      <c r="I263"/>
      <c r="J263"/>
    </row>
    <row r="264" ht="15" customHeight="true" x14ac:dyDescent="0.15">
      <c r="A264"/>
      <c r="B264"/>
      <c r="C264"/>
      <c r="D264"/>
      <c r="E264"/>
      <c r="F264"/>
      <c r="G264"/>
      <c r="H264"/>
      <c r="I264"/>
      <c r="J264"/>
    </row>
    <row r="265" ht="15" customHeight="true" x14ac:dyDescent="0.15">
      <c r="A265"/>
      <c r="B265"/>
      <c r="C265"/>
      <c r="D265"/>
      <c r="E265"/>
      <c r="F265"/>
      <c r="G265"/>
      <c r="H265"/>
      <c r="I265"/>
      <c r="J265"/>
    </row>
    <row r="266" ht="15" customHeight="true" x14ac:dyDescent="0.15">
      <c r="A266"/>
      <c r="B266"/>
      <c r="C266"/>
      <c r="D266"/>
      <c r="E266"/>
      <c r="F266"/>
      <c r="G266"/>
      <c r="H266"/>
      <c r="I266"/>
      <c r="J266"/>
    </row>
    <row r="267" ht="15" customHeight="true" x14ac:dyDescent="0.15">
      <c r="A267"/>
      <c r="B267"/>
      <c r="C267"/>
      <c r="D267"/>
      <c r="E267"/>
      <c r="F267"/>
      <c r="G267"/>
      <c r="H267"/>
      <c r="I267"/>
      <c r="J267"/>
    </row>
    <row r="268" ht="15" customHeight="true" x14ac:dyDescent="0.15">
      <c r="A268"/>
      <c r="B268"/>
      <c r="C268"/>
      <c r="D268"/>
      <c r="E268"/>
      <c r="F268"/>
      <c r="G268"/>
      <c r="H268"/>
      <c r="I268"/>
      <c r="J268"/>
    </row>
    <row r="269" ht="15" customHeight="true" x14ac:dyDescent="0.15">
      <c r="A269"/>
      <c r="B269"/>
      <c r="C269"/>
      <c r="D269"/>
      <c r="E269"/>
      <c r="F269"/>
      <c r="G269"/>
      <c r="H269"/>
      <c r="I269"/>
      <c r="J269"/>
    </row>
    <row r="270" ht="15" customHeight="true" x14ac:dyDescent="0.15">
      <c r="A270"/>
      <c r="B270"/>
      <c r="C270"/>
      <c r="D270"/>
      <c r="E270"/>
      <c r="F270"/>
      <c r="G270"/>
      <c r="H270"/>
      <c r="I270"/>
      <c r="J270"/>
    </row>
    <row r="271" ht="15" customHeight="true" x14ac:dyDescent="0.15">
      <c r="A271"/>
      <c r="B271"/>
      <c r="C271"/>
      <c r="D271"/>
      <c r="E271"/>
      <c r="F271"/>
      <c r="G271"/>
      <c r="H271"/>
      <c r="I271"/>
      <c r="J271"/>
    </row>
    <row r="272" ht="15" customHeight="true" x14ac:dyDescent="0.15">
      <c r="A272"/>
      <c r="B272"/>
      <c r="C272"/>
      <c r="D272"/>
      <c r="E272"/>
      <c r="F272"/>
      <c r="G272"/>
      <c r="H272"/>
      <c r="I272"/>
      <c r="J272"/>
    </row>
    <row r="273" ht="15" customHeight="true" x14ac:dyDescent="0.15">
      <c r="A273"/>
      <c r="B273"/>
      <c r="C273"/>
      <c r="D273"/>
      <c r="E273"/>
      <c r="F273"/>
      <c r="G273"/>
      <c r="H273"/>
      <c r="I273"/>
      <c r="J273"/>
    </row>
    <row r="274" ht="15" customHeight="true" x14ac:dyDescent="0.15">
      <c r="A274"/>
      <c r="B274"/>
      <c r="C274"/>
      <c r="D274"/>
      <c r="E274"/>
      <c r="F274"/>
      <c r="G274"/>
      <c r="H274"/>
      <c r="I274"/>
      <c r="J274"/>
    </row>
    <row r="275" ht="15" customHeight="true" x14ac:dyDescent="0.15">
      <c r="A275"/>
      <c r="B275"/>
      <c r="C275"/>
      <c r="D275"/>
      <c r="E275"/>
      <c r="F275"/>
      <c r="G275"/>
      <c r="H275"/>
      <c r="I275"/>
      <c r="J275"/>
    </row>
    <row r="276" ht="15" customHeight="true" x14ac:dyDescent="0.15">
      <c r="A276"/>
      <c r="B276"/>
      <c r="C276"/>
      <c r="D276"/>
      <c r="E276"/>
      <c r="F276"/>
      <c r="G276"/>
      <c r="H276"/>
      <c r="I276"/>
      <c r="J276"/>
    </row>
    <row r="277" ht="15" customHeight="true" x14ac:dyDescent="0.15">
      <c r="A277"/>
      <c r="B277"/>
      <c r="C277"/>
      <c r="D277"/>
      <c r="E277"/>
      <c r="F277"/>
      <c r="G277"/>
      <c r="H277"/>
      <c r="I277"/>
      <c r="J277"/>
    </row>
    <row r="278" ht="15" customHeight="true" x14ac:dyDescent="0.15">
      <c r="A278"/>
      <c r="B278"/>
      <c r="C278"/>
      <c r="D278"/>
      <c r="E278"/>
      <c r="F278"/>
      <c r="G278"/>
      <c r="H278"/>
      <c r="I278"/>
      <c r="J278"/>
    </row>
    <row r="279" ht="15" customHeight="true" x14ac:dyDescent="0.15">
      <c r="A279"/>
      <c r="B279"/>
      <c r="C279"/>
      <c r="D279"/>
      <c r="E279"/>
      <c r="F279"/>
      <c r="G279"/>
      <c r="H279"/>
      <c r="I279"/>
      <c r="J279"/>
    </row>
    <row r="280" ht="15" customHeight="true" x14ac:dyDescent="0.15">
      <c r="A280"/>
      <c r="B280"/>
      <c r="C280"/>
      <c r="D280"/>
      <c r="E280"/>
      <c r="F280"/>
      <c r="G280"/>
      <c r="H280"/>
      <c r="I280"/>
      <c r="J280"/>
    </row>
    <row r="281" ht="15" customHeight="true" x14ac:dyDescent="0.15">
      <c r="A281"/>
      <c r="B281"/>
      <c r="C281"/>
      <c r="D281"/>
      <c r="E281"/>
      <c r="F281"/>
      <c r="G281"/>
      <c r="H281"/>
      <c r="I281"/>
      <c r="J281"/>
    </row>
    <row r="282" ht="15" customHeight="true" x14ac:dyDescent="0.15">
      <c r="A282"/>
      <c r="B282"/>
      <c r="C282"/>
      <c r="D282"/>
      <c r="E282"/>
      <c r="F282"/>
      <c r="G282"/>
      <c r="H282"/>
      <c r="I282"/>
      <c r="J282"/>
    </row>
    <row r="283" ht="15" customHeight="true" x14ac:dyDescent="0.15">
      <c r="A283"/>
      <c r="B283"/>
      <c r="C283"/>
      <c r="D283"/>
      <c r="E283"/>
      <c r="F283"/>
      <c r="G283"/>
      <c r="H283"/>
      <c r="I283"/>
      <c r="J283"/>
    </row>
    <row r="284" ht="15" customHeight="true" x14ac:dyDescent="0.15">
      <c r="A284"/>
      <c r="B284"/>
      <c r="C284"/>
      <c r="D284"/>
      <c r="E284"/>
      <c r="F284"/>
      <c r="G284"/>
      <c r="H284"/>
      <c r="I284"/>
      <c r="J284"/>
    </row>
    <row r="285" ht="15" customHeight="true" x14ac:dyDescent="0.15">
      <c r="A285"/>
      <c r="B285"/>
      <c r="C285"/>
      <c r="D285"/>
      <c r="E285"/>
      <c r="F285"/>
      <c r="G285"/>
      <c r="H285"/>
      <c r="I285"/>
      <c r="J285"/>
    </row>
    <row r="286" ht="15" customHeight="true" x14ac:dyDescent="0.15">
      <c r="A286"/>
      <c r="B286"/>
      <c r="C286"/>
      <c r="D286"/>
      <c r="E286"/>
      <c r="F286"/>
      <c r="G286"/>
      <c r="H286"/>
      <c r="I286"/>
      <c r="J286"/>
    </row>
    <row r="287" ht="15" customHeight="true" x14ac:dyDescent="0.15">
      <c r="A287"/>
      <c r="B287"/>
      <c r="C287"/>
      <c r="D287"/>
      <c r="E287"/>
      <c r="F287"/>
      <c r="G287"/>
      <c r="H287"/>
      <c r="I287"/>
      <c r="J287"/>
    </row>
    <row r="288" ht="15" customHeight="true" x14ac:dyDescent="0.15">
      <c r="A288"/>
      <c r="B288"/>
      <c r="C288"/>
      <c r="D288"/>
      <c r="E288"/>
      <c r="F288"/>
      <c r="G288"/>
      <c r="H288"/>
      <c r="I288"/>
      <c r="J288"/>
    </row>
    <row r="289" ht="15" customHeight="true" x14ac:dyDescent="0.15">
      <c r="A289"/>
      <c r="B289"/>
      <c r="C289"/>
      <c r="D289"/>
      <c r="E289"/>
      <c r="F289"/>
      <c r="G289"/>
      <c r="H289"/>
      <c r="I289"/>
      <c r="J289"/>
    </row>
    <row r="290" ht="15" customHeight="true" x14ac:dyDescent="0.15">
      <c r="A290"/>
      <c r="B290"/>
      <c r="C290"/>
      <c r="D290"/>
      <c r="E290"/>
      <c r="F290"/>
      <c r="G290"/>
      <c r="H290"/>
      <c r="I290"/>
      <c r="J290"/>
    </row>
    <row r="291" ht="15" customHeight="true" x14ac:dyDescent="0.15">
      <c r="A291"/>
      <c r="B291"/>
      <c r="C291"/>
      <c r="D291"/>
      <c r="E291"/>
      <c r="F291"/>
      <c r="G291"/>
      <c r="H291"/>
      <c r="I291"/>
      <c r="J291"/>
    </row>
    <row r="292" ht="15" customHeight="true" x14ac:dyDescent="0.15">
      <c r="A292"/>
      <c r="B292"/>
      <c r="C292"/>
      <c r="D292"/>
      <c r="E292"/>
      <c r="F292"/>
      <c r="G292"/>
      <c r="H292"/>
      <c r="I292"/>
      <c r="J292"/>
    </row>
    <row r="293" ht="15" customHeight="true" x14ac:dyDescent="0.15">
      <c r="A293"/>
      <c r="B293"/>
      <c r="C293"/>
      <c r="D293"/>
      <c r="E293"/>
      <c r="F293"/>
      <c r="G293"/>
      <c r="H293"/>
      <c r="I293"/>
      <c r="J293"/>
    </row>
    <row r="294" ht="15" customHeight="true" x14ac:dyDescent="0.15">
      <c r="A294"/>
      <c r="B294"/>
      <c r="C294"/>
      <c r="D294"/>
      <c r="E294"/>
      <c r="F294"/>
      <c r="G294"/>
      <c r="H294"/>
      <c r="I294"/>
      <c r="J294"/>
    </row>
    <row r="295" ht="15" customHeight="true" x14ac:dyDescent="0.15">
      <c r="A295"/>
      <c r="B295"/>
      <c r="C295"/>
      <c r="D295"/>
      <c r="E295"/>
      <c r="F295"/>
      <c r="G295"/>
      <c r="H295"/>
      <c r="I295"/>
      <c r="J295"/>
    </row>
    <row r="296" ht="15" customHeight="true" x14ac:dyDescent="0.15">
      <c r="A296"/>
      <c r="B296"/>
      <c r="C296"/>
      <c r="D296"/>
      <c r="E296"/>
      <c r="F296"/>
      <c r="G296"/>
      <c r="H296"/>
      <c r="I296"/>
      <c r="J296"/>
    </row>
    <row r="297" ht="15" customHeight="true" x14ac:dyDescent="0.15">
      <c r="A297"/>
      <c r="B297"/>
      <c r="C297"/>
      <c r="D297"/>
      <c r="E297"/>
      <c r="F297"/>
      <c r="G297"/>
      <c r="H297"/>
      <c r="I297"/>
      <c r="J297"/>
    </row>
    <row r="298" ht="15" customHeight="true" x14ac:dyDescent="0.15">
      <c r="A298"/>
      <c r="B298"/>
      <c r="C298"/>
      <c r="D298"/>
      <c r="E298"/>
      <c r="F298"/>
      <c r="G298"/>
      <c r="H298"/>
      <c r="I298"/>
      <c r="J298"/>
    </row>
    <row r="299" ht="15" customHeight="true" x14ac:dyDescent="0.15">
      <c r="A299"/>
      <c r="B299"/>
      <c r="C299"/>
      <c r="D299"/>
      <c r="E299"/>
      <c r="F299"/>
      <c r="G299"/>
      <c r="H299"/>
      <c r="I299"/>
      <c r="J299"/>
    </row>
    <row r="300" ht="15" customHeight="true" x14ac:dyDescent="0.15">
      <c r="A300"/>
      <c r="B300"/>
      <c r="C300"/>
      <c r="D300"/>
      <c r="E300"/>
      <c r="F300"/>
      <c r="G300"/>
      <c r="H300"/>
      <c r="I300"/>
      <c r="J300"/>
    </row>
    <row r="301" ht="15" customHeight="true" x14ac:dyDescent="0.15">
      <c r="A301"/>
      <c r="B301"/>
      <c r="C301"/>
      <c r="D301"/>
      <c r="E301"/>
      <c r="F301"/>
      <c r="G301"/>
      <c r="H301"/>
      <c r="I301"/>
      <c r="J301"/>
    </row>
    <row r="302" ht="15" customHeight="true" x14ac:dyDescent="0.15">
      <c r="A302"/>
      <c r="B302"/>
      <c r="C302"/>
      <c r="D302"/>
      <c r="E302"/>
      <c r="F302"/>
      <c r="G302"/>
      <c r="H302"/>
      <c r="I302"/>
      <c r="J302"/>
    </row>
    <row r="303" ht="15" customHeight="true" x14ac:dyDescent="0.15">
      <c r="A303"/>
      <c r="B303"/>
      <c r="C303"/>
      <c r="D303"/>
      <c r="E303"/>
      <c r="F303"/>
      <c r="G303"/>
      <c r="H303"/>
      <c r="I303"/>
      <c r="J303"/>
    </row>
    <row r="304" ht="15" customHeight="true" x14ac:dyDescent="0.15">
      <c r="A304"/>
      <c r="B304"/>
      <c r="C304"/>
      <c r="D304"/>
      <c r="E304"/>
      <c r="F304"/>
      <c r="G304"/>
      <c r="H304"/>
      <c r="I304"/>
      <c r="J304"/>
    </row>
    <row r="305" ht="15" customHeight="true" x14ac:dyDescent="0.15">
      <c r="A305"/>
      <c r="B305"/>
      <c r="C305"/>
      <c r="D305"/>
      <c r="E305"/>
      <c r="F305"/>
      <c r="G305"/>
      <c r="H305"/>
      <c r="I305"/>
      <c r="J305"/>
    </row>
    <row r="306" ht="15" customHeight="true" x14ac:dyDescent="0.15">
      <c r="A306"/>
      <c r="B306"/>
      <c r="C306"/>
      <c r="D306"/>
      <c r="E306"/>
      <c r="F306"/>
      <c r="G306"/>
      <c r="H306"/>
      <c r="I306"/>
      <c r="J306"/>
    </row>
    <row r="307" ht="15" customHeight="true" x14ac:dyDescent="0.15">
      <c r="A307"/>
      <c r="B307"/>
      <c r="C307"/>
      <c r="D307"/>
      <c r="E307"/>
      <c r="F307"/>
      <c r="G307"/>
      <c r="H307"/>
      <c r="I307"/>
      <c r="J307"/>
    </row>
    <row r="308" ht="15" customHeight="true" x14ac:dyDescent="0.15">
      <c r="A308"/>
      <c r="B308"/>
      <c r="C308"/>
      <c r="D308"/>
      <c r="E308"/>
      <c r="F308"/>
      <c r="G308"/>
      <c r="H308"/>
      <c r="I308"/>
      <c r="J308"/>
    </row>
    <row r="309" ht="15" customHeight="true" x14ac:dyDescent="0.15">
      <c r="A309"/>
      <c r="B309"/>
      <c r="C309"/>
      <c r="D309"/>
      <c r="E309"/>
      <c r="F309"/>
      <c r="G309"/>
      <c r="H309"/>
      <c r="I309"/>
      <c r="J309"/>
    </row>
    <row r="310" ht="15" customHeight="true" x14ac:dyDescent="0.15">
      <c r="A310"/>
      <c r="B310"/>
      <c r="C310"/>
      <c r="D310"/>
      <c r="E310"/>
      <c r="F310"/>
      <c r="G310"/>
      <c r="H310"/>
      <c r="I310"/>
      <c r="J310"/>
    </row>
    <row r="311" ht="15" customHeight="true" x14ac:dyDescent="0.15">
      <c r="A311"/>
      <c r="B311"/>
      <c r="C311"/>
      <c r="D311"/>
      <c r="E311"/>
      <c r="F311"/>
      <c r="G311"/>
      <c r="H311"/>
      <c r="I311"/>
      <c r="J311"/>
    </row>
    <row r="312" ht="15" customHeight="true" x14ac:dyDescent="0.15">
      <c r="A312"/>
      <c r="B312"/>
      <c r="C312"/>
      <c r="D312"/>
      <c r="E312"/>
      <c r="F312"/>
      <c r="G312"/>
      <c r="H312"/>
      <c r="I312"/>
      <c r="J312"/>
    </row>
    <row r="313" ht="15" customHeight="true" x14ac:dyDescent="0.15">
      <c r="A313"/>
      <c r="B313"/>
      <c r="C313"/>
      <c r="D313"/>
      <c r="E313"/>
      <c r="F313"/>
      <c r="G313"/>
      <c r="H313"/>
      <c r="I313"/>
      <c r="J313"/>
    </row>
    <row r="314" ht="15" customHeight="true" x14ac:dyDescent="0.15">
      <c r="A314"/>
      <c r="B314"/>
      <c r="C314"/>
      <c r="D314"/>
      <c r="E314"/>
      <c r="F314"/>
      <c r="G314"/>
      <c r="H314"/>
      <c r="I314"/>
      <c r="J314"/>
    </row>
    <row r="315" ht="15" customHeight="true" x14ac:dyDescent="0.15">
      <c r="A315"/>
      <c r="B315"/>
      <c r="C315"/>
      <c r="D315"/>
      <c r="E315"/>
      <c r="F315"/>
      <c r="G315"/>
      <c r="H315"/>
      <c r="I315"/>
      <c r="J315"/>
    </row>
    <row r="316" ht="15" customHeight="true" x14ac:dyDescent="0.15">
      <c r="A316"/>
      <c r="B316"/>
      <c r="C316"/>
      <c r="D316"/>
      <c r="E316"/>
      <c r="F316"/>
      <c r="G316"/>
      <c r="H316"/>
      <c r="I316"/>
      <c r="J316"/>
    </row>
    <row r="317" ht="15" customHeight="true" x14ac:dyDescent="0.15">
      <c r="A317"/>
      <c r="B317"/>
      <c r="C317"/>
      <c r="D317"/>
      <c r="E317"/>
      <c r="F317"/>
      <c r="G317"/>
      <c r="H317"/>
      <c r="I317"/>
      <c r="J317"/>
    </row>
    <row r="318" ht="15" customHeight="true" x14ac:dyDescent="0.15">
      <c r="A318"/>
      <c r="B318"/>
      <c r="C318"/>
      <c r="D318"/>
      <c r="E318"/>
      <c r="F318"/>
      <c r="G318"/>
      <c r="H318"/>
      <c r="I318"/>
      <c r="J318"/>
    </row>
    <row r="319" ht="15" customHeight="true" x14ac:dyDescent="0.15">
      <c r="A319"/>
      <c r="B319"/>
      <c r="C319"/>
      <c r="D319"/>
      <c r="E319"/>
      <c r="F319"/>
      <c r="G319"/>
      <c r="H319"/>
      <c r="I319"/>
      <c r="J319"/>
    </row>
    <row r="320" ht="15" customHeight="true" x14ac:dyDescent="0.15">
      <c r="A320"/>
      <c r="B320"/>
      <c r="C320"/>
      <c r="D320"/>
      <c r="E320"/>
      <c r="F320"/>
      <c r="G320"/>
      <c r="H320"/>
      <c r="I320"/>
      <c r="J320"/>
    </row>
    <row r="321" ht="15" customHeight="true" x14ac:dyDescent="0.15">
      <c r="A321"/>
      <c r="B321"/>
      <c r="C321"/>
      <c r="D321"/>
      <c r="E321"/>
      <c r="F321"/>
      <c r="G321"/>
      <c r="H321"/>
      <c r="I321"/>
      <c r="J321"/>
    </row>
    <row r="322" ht="15" customHeight="true" x14ac:dyDescent="0.15">
      <c r="A322"/>
      <c r="B322"/>
      <c r="C322"/>
      <c r="D322"/>
      <c r="E322"/>
      <c r="F322"/>
      <c r="G322"/>
      <c r="H322"/>
      <c r="I322"/>
      <c r="J322"/>
    </row>
    <row r="323" ht="15" customHeight="true" x14ac:dyDescent="0.15">
      <c r="A323"/>
      <c r="B323"/>
      <c r="C323"/>
      <c r="D323"/>
      <c r="E323"/>
      <c r="F323"/>
      <c r="G323"/>
      <c r="H323"/>
      <c r="I323"/>
      <c r="J323"/>
    </row>
    <row r="324" ht="15" customHeight="true" x14ac:dyDescent="0.15">
      <c r="A324"/>
      <c r="B324"/>
      <c r="C324"/>
      <c r="D324"/>
      <c r="E324"/>
      <c r="F324"/>
      <c r="G324"/>
      <c r="H324"/>
      <c r="I324"/>
      <c r="J324"/>
    </row>
    <row r="325" ht="15" customHeight="true" x14ac:dyDescent="0.15">
      <c r="A325"/>
      <c r="B325"/>
      <c r="C325"/>
      <c r="D325"/>
      <c r="E325"/>
      <c r="F325"/>
      <c r="G325"/>
      <c r="H325"/>
      <c r="I325"/>
      <c r="J325"/>
    </row>
    <row r="326" ht="15" customHeight="true" x14ac:dyDescent="0.15">
      <c r="A326"/>
      <c r="B326"/>
      <c r="C326"/>
      <c r="D326"/>
      <c r="E326"/>
      <c r="F326"/>
      <c r="G326"/>
      <c r="H326"/>
      <c r="I326"/>
      <c r="J326"/>
    </row>
    <row r="327" ht="15" customHeight="true" x14ac:dyDescent="0.15">
      <c r="A327"/>
      <c r="B327"/>
      <c r="C327"/>
      <c r="D327"/>
      <c r="E327"/>
      <c r="F327"/>
      <c r="G327"/>
      <c r="H327"/>
      <c r="I327"/>
      <c r="J327"/>
    </row>
    <row r="328" ht="15" customHeight="true" x14ac:dyDescent="0.15">
      <c r="A328"/>
      <c r="B328"/>
      <c r="C328"/>
      <c r="D328"/>
      <c r="E328"/>
      <c r="F328"/>
      <c r="G328"/>
      <c r="H328"/>
      <c r="I328"/>
      <c r="J328"/>
    </row>
    <row r="329" ht="15" customHeight="true" x14ac:dyDescent="0.15">
      <c r="A329"/>
      <c r="B329"/>
      <c r="C329"/>
      <c r="D329"/>
      <c r="E329"/>
      <c r="F329"/>
      <c r="G329"/>
      <c r="H329"/>
      <c r="I329"/>
      <c r="J329"/>
    </row>
    <row r="330" ht="15" customHeight="true" x14ac:dyDescent="0.15">
      <c r="A330"/>
      <c r="B330"/>
      <c r="C330"/>
      <c r="D330"/>
      <c r="E330"/>
      <c r="F330"/>
      <c r="G330"/>
      <c r="H330"/>
      <c r="I330"/>
      <c r="J330"/>
    </row>
    <row r="331" ht="15" customHeight="true" x14ac:dyDescent="0.15">
      <c r="A331"/>
      <c r="B331"/>
      <c r="C331"/>
      <c r="D331"/>
      <c r="E331"/>
      <c r="F331"/>
      <c r="G331"/>
      <c r="H331"/>
      <c r="I331"/>
      <c r="J331"/>
    </row>
    <row r="332" ht="15" customHeight="true" x14ac:dyDescent="0.15">
      <c r="A332"/>
      <c r="B332"/>
      <c r="C332"/>
      <c r="D332"/>
      <c r="E332"/>
      <c r="F332"/>
      <c r="G332"/>
      <c r="H332"/>
      <c r="I332"/>
      <c r="J332"/>
    </row>
    <row r="333" ht="15" customHeight="true" x14ac:dyDescent="0.15">
      <c r="A333"/>
      <c r="B333"/>
      <c r="C333"/>
      <c r="D333"/>
      <c r="E333"/>
      <c r="F333"/>
      <c r="G333"/>
      <c r="H333"/>
      <c r="I333"/>
      <c r="J333"/>
    </row>
    <row r="334" ht="15" customHeight="true" x14ac:dyDescent="0.15">
      <c r="A334"/>
      <c r="B334"/>
      <c r="C334"/>
      <c r="D334"/>
      <c r="E334"/>
      <c r="F334"/>
      <c r="G334"/>
      <c r="H334"/>
      <c r="I334"/>
      <c r="J334"/>
    </row>
    <row r="335" ht="15" customHeight="true" x14ac:dyDescent="0.15">
      <c r="A335"/>
      <c r="B335"/>
      <c r="C335"/>
      <c r="D335"/>
      <c r="E335"/>
      <c r="F335"/>
      <c r="G335"/>
      <c r="H335"/>
      <c r="I335"/>
      <c r="J335"/>
    </row>
    <row r="336" ht="15" customHeight="true" x14ac:dyDescent="0.15">
      <c r="A336"/>
      <c r="B336"/>
      <c r="C336"/>
      <c r="D336"/>
      <c r="E336"/>
      <c r="F336"/>
      <c r="G336"/>
      <c r="H336"/>
      <c r="I336"/>
      <c r="J336"/>
    </row>
    <row r="337" ht="15" customHeight="true" x14ac:dyDescent="0.15">
      <c r="A337"/>
      <c r="B337"/>
      <c r="C337"/>
      <c r="D337"/>
      <c r="E337"/>
      <c r="F337"/>
      <c r="G337"/>
      <c r="H337"/>
      <c r="I337"/>
      <c r="J337"/>
    </row>
    <row r="338" ht="15" customHeight="true" x14ac:dyDescent="0.15">
      <c r="A338"/>
      <c r="B338"/>
      <c r="C338"/>
      <c r="D338"/>
      <c r="E338"/>
      <c r="F338"/>
      <c r="G338"/>
      <c r="H338"/>
      <c r="I338"/>
      <c r="J338"/>
    </row>
    <row r="339" ht="15" customHeight="true" x14ac:dyDescent="0.15">
      <c r="A339"/>
      <c r="B339"/>
      <c r="C339"/>
      <c r="D339"/>
      <c r="E339"/>
      <c r="F339"/>
      <c r="G339"/>
      <c r="H339"/>
      <c r="I339"/>
      <c r="J339"/>
    </row>
    <row r="340" ht="15" customHeight="true" x14ac:dyDescent="0.15">
      <c r="A340"/>
      <c r="B340"/>
      <c r="C340"/>
      <c r="D340"/>
      <c r="E340"/>
      <c r="F340"/>
      <c r="G340"/>
      <c r="H340"/>
      <c r="I340"/>
      <c r="J340"/>
    </row>
    <row r="341" ht="15" customHeight="true" x14ac:dyDescent="0.15">
      <c r="A341"/>
      <c r="B341"/>
      <c r="C341"/>
      <c r="D341"/>
      <c r="E341"/>
      <c r="F341"/>
      <c r="G341"/>
      <c r="H341"/>
      <c r="I341"/>
      <c r="J341"/>
    </row>
    <row r="342" ht="15" customHeight="true" x14ac:dyDescent="0.15">
      <c r="A342"/>
      <c r="B342"/>
      <c r="C342"/>
      <c r="D342"/>
      <c r="E342"/>
      <c r="F342"/>
      <c r="G342"/>
      <c r="H342"/>
      <c r="I342"/>
      <c r="J342"/>
    </row>
    <row r="343" ht="15" customHeight="true" x14ac:dyDescent="0.15">
      <c r="A343"/>
      <c r="B343"/>
      <c r="C343"/>
      <c r="D343"/>
      <c r="E343"/>
      <c r="F343"/>
      <c r="G343"/>
      <c r="H343"/>
      <c r="I343"/>
      <c r="J343"/>
    </row>
    <row r="344" ht="15" customHeight="true" x14ac:dyDescent="0.15">
      <c r="A344"/>
      <c r="B344"/>
      <c r="C344"/>
      <c r="D344"/>
      <c r="E344"/>
      <c r="F344"/>
      <c r="G344"/>
      <c r="H344"/>
      <c r="I344"/>
      <c r="J344"/>
    </row>
    <row r="345" ht="15" customHeight="true" x14ac:dyDescent="0.15">
      <c r="A345"/>
      <c r="B345"/>
      <c r="C345"/>
      <c r="D345"/>
      <c r="E345"/>
      <c r="F345"/>
      <c r="G345"/>
      <c r="H345"/>
      <c r="I345"/>
      <c r="J345"/>
    </row>
    <row r="346" ht="15" customHeight="true" x14ac:dyDescent="0.15">
      <c r="A346"/>
      <c r="B346"/>
      <c r="C346"/>
      <c r="D346"/>
      <c r="E346"/>
      <c r="F346"/>
      <c r="G346"/>
      <c r="H346"/>
      <c r="I346"/>
      <c r="J346"/>
    </row>
    <row r="347" ht="15" customHeight="true" x14ac:dyDescent="0.15">
      <c r="A347"/>
      <c r="B347"/>
      <c r="C347"/>
      <c r="D347"/>
      <c r="E347"/>
      <c r="F347"/>
      <c r="G347"/>
      <c r="H347"/>
      <c r="I347"/>
      <c r="J347"/>
    </row>
    <row r="348" ht="15" customHeight="true" x14ac:dyDescent="0.15">
      <c r="A348"/>
      <c r="B348"/>
      <c r="C348"/>
      <c r="D348"/>
      <c r="E348"/>
      <c r="F348"/>
      <c r="G348"/>
      <c r="H348"/>
      <c r="I348"/>
      <c r="J348"/>
    </row>
    <row r="349" ht="15" customHeight="true" x14ac:dyDescent="0.15">
      <c r="A349"/>
      <c r="B349"/>
      <c r="C349"/>
      <c r="D349"/>
      <c r="E349"/>
      <c r="F349"/>
      <c r="G349"/>
      <c r="H349"/>
      <c r="I349"/>
      <c r="J349"/>
    </row>
    <row r="350" ht="15" customHeight="true" x14ac:dyDescent="0.15">
      <c r="A350"/>
      <c r="B350"/>
      <c r="C350"/>
      <c r="D350"/>
      <c r="E350"/>
      <c r="F350"/>
      <c r="G350"/>
      <c r="H350"/>
      <c r="I350"/>
      <c r="J350"/>
    </row>
    <row r="351" ht="15" customHeight="true" x14ac:dyDescent="0.15">
      <c r="A351"/>
      <c r="B351"/>
      <c r="C351"/>
      <c r="D351"/>
      <c r="E351"/>
      <c r="F351"/>
      <c r="G351"/>
      <c r="H351"/>
      <c r="I351"/>
      <c r="J351"/>
    </row>
    <row r="352" ht="15" customHeight="true" x14ac:dyDescent="0.15">
      <c r="A352"/>
      <c r="B352"/>
      <c r="C352"/>
      <c r="D352"/>
      <c r="E352"/>
      <c r="F352"/>
      <c r="G352"/>
      <c r="H352"/>
      <c r="I352"/>
      <c r="J352"/>
    </row>
    <row r="353" ht="15" customHeight="true" x14ac:dyDescent="0.15">
      <c r="A353"/>
      <c r="B353"/>
      <c r="C353"/>
      <c r="D353"/>
      <c r="E353"/>
      <c r="F353"/>
      <c r="G353"/>
      <c r="H353"/>
      <c r="I353"/>
      <c r="J353"/>
    </row>
    <row r="354" ht="15" customHeight="true" x14ac:dyDescent="0.15">
      <c r="A354"/>
      <c r="B354"/>
      <c r="C354"/>
      <c r="D354"/>
      <c r="E354"/>
      <c r="F354"/>
      <c r="G354"/>
      <c r="H354"/>
      <c r="I354"/>
      <c r="J354"/>
    </row>
    <row r="355" ht="15" customHeight="true" x14ac:dyDescent="0.15">
      <c r="A355"/>
      <c r="B355"/>
      <c r="C355"/>
      <c r="D355"/>
      <c r="E355"/>
      <c r="F355"/>
      <c r="G355"/>
      <c r="H355"/>
      <c r="I355"/>
      <c r="J355"/>
    </row>
    <row r="356" ht="15" customHeight="true" x14ac:dyDescent="0.15">
      <c r="A356"/>
      <c r="B356"/>
      <c r="C356"/>
      <c r="D356"/>
      <c r="E356"/>
      <c r="F356"/>
      <c r="G356"/>
      <c r="H356"/>
      <c r="I356"/>
      <c r="J356"/>
    </row>
    <row r="357" ht="15" customHeight="true" x14ac:dyDescent="0.15">
      <c r="A357"/>
      <c r="B357"/>
      <c r="C357"/>
      <c r="D357"/>
      <c r="E357"/>
      <c r="F357"/>
      <c r="G357"/>
      <c r="H357"/>
      <c r="I357"/>
      <c r="J357"/>
    </row>
    <row r="358" ht="15" customHeight="true" x14ac:dyDescent="0.15">
      <c r="A358"/>
      <c r="B358"/>
      <c r="C358"/>
      <c r="D358"/>
      <c r="E358"/>
      <c r="F358"/>
      <c r="G358"/>
      <c r="H358"/>
      <c r="I358"/>
      <c r="J358"/>
    </row>
    <row r="359" ht="15" customHeight="true" x14ac:dyDescent="0.15">
      <c r="A359"/>
      <c r="B359"/>
      <c r="C359"/>
      <c r="D359"/>
      <c r="E359"/>
      <c r="F359"/>
      <c r="G359"/>
      <c r="H359"/>
      <c r="I359"/>
      <c r="J359"/>
    </row>
    <row r="360" ht="15" customHeight="true" x14ac:dyDescent="0.15">
      <c r="A360"/>
      <c r="B360"/>
      <c r="C360"/>
      <c r="D360"/>
      <c r="E360"/>
      <c r="F360"/>
      <c r="G360"/>
      <c r="H360"/>
      <c r="I360"/>
      <c r="J360"/>
    </row>
    <row r="361" ht="15" customHeight="true" x14ac:dyDescent="0.15">
      <c r="A361"/>
      <c r="B361"/>
      <c r="C361"/>
      <c r="D361"/>
      <c r="E361"/>
      <c r="F361"/>
      <c r="G361"/>
      <c r="H361"/>
      <c r="I361"/>
      <c r="J361"/>
    </row>
    <row r="362" ht="15" customHeight="true" x14ac:dyDescent="0.15">
      <c r="A362"/>
      <c r="B362"/>
      <c r="C362"/>
      <c r="D362"/>
      <c r="E362"/>
      <c r="F362"/>
      <c r="G362"/>
      <c r="H362"/>
      <c r="I362"/>
      <c r="J362"/>
    </row>
    <row r="363" ht="15" customHeight="true" x14ac:dyDescent="0.15">
      <c r="A363"/>
      <c r="B363"/>
      <c r="C363"/>
      <c r="D363"/>
      <c r="E363"/>
      <c r="F363"/>
      <c r="G363"/>
      <c r="H363"/>
      <c r="I363"/>
      <c r="J363"/>
    </row>
    <row r="364" ht="15" customHeight="true" x14ac:dyDescent="0.15">
      <c r="A364"/>
      <c r="B364"/>
      <c r="C364"/>
      <c r="D364"/>
      <c r="E364"/>
      <c r="F364"/>
      <c r="G364"/>
      <c r="H364"/>
      <c r="I364"/>
      <c r="J364"/>
    </row>
    <row r="365" ht="15" customHeight="true" x14ac:dyDescent="0.15">
      <c r="A365"/>
      <c r="B365"/>
      <c r="C365"/>
      <c r="D365"/>
      <c r="E365"/>
      <c r="F365"/>
      <c r="G365"/>
      <c r="H365"/>
      <c r="I365"/>
      <c r="J365"/>
    </row>
    <row r="366" ht="15" customHeight="true" x14ac:dyDescent="0.15">
      <c r="A366"/>
      <c r="B366"/>
      <c r="C366"/>
      <c r="D366"/>
      <c r="E366"/>
      <c r="F366"/>
      <c r="G366"/>
      <c r="H366"/>
      <c r="I366"/>
      <c r="J366"/>
    </row>
    <row r="367" ht="15" customHeight="true" x14ac:dyDescent="0.15">
      <c r="A367"/>
      <c r="B367"/>
      <c r="C367"/>
      <c r="D367"/>
      <c r="E367"/>
      <c r="F367"/>
      <c r="G367"/>
      <c r="H367"/>
      <c r="I367"/>
      <c r="J367"/>
    </row>
    <row r="368" ht="15" customHeight="true" x14ac:dyDescent="0.15">
      <c r="A368"/>
      <c r="B368"/>
      <c r="C368"/>
      <c r="D368"/>
      <c r="E368"/>
      <c r="F368"/>
      <c r="G368"/>
      <c r="H368"/>
      <c r="I368"/>
      <c r="J368"/>
    </row>
    <row r="369" ht="15" customHeight="true" x14ac:dyDescent="0.15">
      <c r="A369"/>
      <c r="B369"/>
      <c r="C369"/>
      <c r="D369"/>
      <c r="E369"/>
      <c r="F369"/>
      <c r="G369"/>
      <c r="H369"/>
      <c r="I369"/>
      <c r="J369"/>
    </row>
    <row r="370" ht="15" customHeight="true" x14ac:dyDescent="0.15">
      <c r="A370"/>
      <c r="B370"/>
      <c r="C370"/>
      <c r="D370"/>
      <c r="E370"/>
      <c r="F370"/>
      <c r="G370"/>
      <c r="H370"/>
      <c r="I370"/>
      <c r="J370"/>
    </row>
    <row r="371" ht="15" customHeight="true" x14ac:dyDescent="0.15">
      <c r="A371"/>
      <c r="B371"/>
      <c r="C371"/>
      <c r="D371"/>
      <c r="E371"/>
      <c r="F371"/>
      <c r="G371"/>
      <c r="H371"/>
      <c r="I371"/>
      <c r="J371"/>
    </row>
    <row r="372" ht="15" customHeight="true" x14ac:dyDescent="0.15">
      <c r="A372"/>
      <c r="B372"/>
      <c r="C372"/>
      <c r="D372"/>
      <c r="E372"/>
      <c r="F372"/>
      <c r="G372"/>
      <c r="H372"/>
      <c r="I372"/>
      <c r="J372"/>
    </row>
    <row r="373" ht="15" customHeight="true" x14ac:dyDescent="0.15">
      <c r="A373"/>
      <c r="B373"/>
      <c r="C373"/>
      <c r="D373"/>
      <c r="E373"/>
      <c r="F373"/>
      <c r="G373"/>
      <c r="H373"/>
      <c r="I373"/>
      <c r="J373"/>
    </row>
    <row r="374" ht="15" customHeight="true" x14ac:dyDescent="0.15">
      <c r="A374"/>
      <c r="B374"/>
      <c r="C374"/>
      <c r="D374"/>
      <c r="E374"/>
      <c r="F374"/>
      <c r="G374"/>
      <c r="H374"/>
      <c r="I374"/>
      <c r="J374"/>
    </row>
    <row r="375" ht="15" customHeight="true" x14ac:dyDescent="0.15">
      <c r="A375"/>
      <c r="B375"/>
      <c r="C375"/>
      <c r="D375"/>
      <c r="E375"/>
      <c r="F375"/>
      <c r="G375"/>
      <c r="H375"/>
      <c r="I375"/>
      <c r="J375"/>
    </row>
    <row r="376" ht="15" customHeight="true" x14ac:dyDescent="0.15">
      <c r="A376"/>
      <c r="B376"/>
      <c r="C376"/>
      <c r="D376"/>
      <c r="E376"/>
      <c r="F376"/>
      <c r="G376"/>
      <c r="H376"/>
      <c r="I376"/>
      <c r="J376"/>
    </row>
    <row r="377" ht="15" customHeight="true" x14ac:dyDescent="0.15">
      <c r="A377"/>
      <c r="B377"/>
      <c r="C377"/>
      <c r="D377"/>
      <c r="E377"/>
      <c r="F377"/>
      <c r="G377"/>
      <c r="H377"/>
      <c r="I377"/>
      <c r="J377"/>
    </row>
    <row r="378" ht="15" customHeight="true" x14ac:dyDescent="0.15">
      <c r="A378"/>
      <c r="B378"/>
      <c r="C378"/>
      <c r="D378"/>
      <c r="E378"/>
      <c r="F378"/>
      <c r="G378"/>
      <c r="H378"/>
      <c r="I378"/>
      <c r="J378"/>
    </row>
    <row r="379" ht="15" customHeight="true" x14ac:dyDescent="0.15">
      <c r="A379"/>
      <c r="B379"/>
      <c r="C379"/>
      <c r="D379"/>
      <c r="E379"/>
      <c r="F379"/>
      <c r="G379"/>
      <c r="H379"/>
      <c r="I379"/>
      <c r="J379"/>
    </row>
    <row r="380" ht="15" customHeight="true" x14ac:dyDescent="0.15">
      <c r="A380"/>
      <c r="B380"/>
      <c r="C380"/>
      <c r="D380"/>
      <c r="E380"/>
      <c r="F380"/>
      <c r="G380"/>
      <c r="H380"/>
      <c r="I380"/>
      <c r="J380"/>
    </row>
    <row r="381" ht="15" customHeight="true" x14ac:dyDescent="0.15">
      <c r="A381"/>
      <c r="B381"/>
      <c r="C381"/>
      <c r="D381"/>
      <c r="E381"/>
      <c r="F381"/>
      <c r="G381"/>
      <c r="H381"/>
      <c r="I381"/>
      <c r="J381"/>
    </row>
    <row r="382" ht="15" customHeight="true" x14ac:dyDescent="0.15">
      <c r="A382"/>
      <c r="B382"/>
      <c r="C382"/>
      <c r="D382"/>
      <c r="E382"/>
      <c r="F382"/>
      <c r="G382"/>
      <c r="H382"/>
      <c r="I382"/>
      <c r="J382"/>
    </row>
    <row r="383" ht="15" customHeight="true" x14ac:dyDescent="0.15">
      <c r="A383"/>
      <c r="B383"/>
      <c r="C383"/>
      <c r="D383"/>
      <c r="E383"/>
      <c r="F383"/>
      <c r="G383"/>
      <c r="H383"/>
      <c r="I383"/>
      <c r="J383"/>
    </row>
    <row r="384" ht="15" customHeight="true" x14ac:dyDescent="0.15">
      <c r="A384"/>
      <c r="B384"/>
      <c r="C384"/>
      <c r="D384"/>
      <c r="E384"/>
      <c r="F384"/>
      <c r="G384"/>
      <c r="H384"/>
      <c r="I384"/>
      <c r="J384"/>
    </row>
    <row r="385" ht="15" customHeight="true" x14ac:dyDescent="0.15">
      <c r="A385"/>
      <c r="B385"/>
      <c r="C385"/>
      <c r="D385"/>
      <c r="E385"/>
      <c r="F385"/>
      <c r="G385"/>
      <c r="H385"/>
      <c r="I385"/>
      <c r="J385"/>
    </row>
    <row r="386" ht="15" customHeight="true" x14ac:dyDescent="0.15">
      <c r="A386"/>
      <c r="B386"/>
      <c r="C386"/>
      <c r="D386"/>
      <c r="E386"/>
      <c r="F386"/>
      <c r="G386"/>
      <c r="H386"/>
      <c r="I386"/>
      <c r="J386"/>
    </row>
    <row r="387" ht="15" customHeight="true" x14ac:dyDescent="0.15">
      <c r="A387"/>
      <c r="B387"/>
      <c r="C387"/>
      <c r="D387"/>
      <c r="E387"/>
      <c r="F387"/>
      <c r="G387"/>
      <c r="H387"/>
      <c r="I387"/>
      <c r="J387"/>
    </row>
    <row r="388" ht="15" customHeight="true" x14ac:dyDescent="0.15">
      <c r="A388"/>
      <c r="B388"/>
      <c r="C388"/>
      <c r="D388"/>
      <c r="E388"/>
      <c r="F388"/>
      <c r="G388"/>
      <c r="H388"/>
      <c r="I388"/>
      <c r="J388"/>
    </row>
    <row r="389" ht="15" customHeight="true" x14ac:dyDescent="0.15">
      <c r="A389"/>
      <c r="B389"/>
      <c r="C389"/>
      <c r="D389"/>
      <c r="E389"/>
      <c r="F389"/>
      <c r="G389"/>
      <c r="H389"/>
      <c r="I389"/>
      <c r="J389"/>
    </row>
    <row r="390" ht="15" customHeight="true" x14ac:dyDescent="0.15">
      <c r="A390"/>
      <c r="B390"/>
      <c r="C390"/>
      <c r="D390"/>
      <c r="E390"/>
      <c r="F390"/>
      <c r="G390"/>
      <c r="H390"/>
      <c r="I390"/>
      <c r="J390"/>
    </row>
    <row r="391" ht="15" customHeight="true" x14ac:dyDescent="0.15">
      <c r="A391"/>
      <c r="B391"/>
      <c r="C391"/>
      <c r="D391"/>
      <c r="E391"/>
      <c r="F391"/>
      <c r="G391"/>
      <c r="H391"/>
      <c r="I391"/>
      <c r="J391"/>
    </row>
    <row r="392" ht="15" customHeight="true" x14ac:dyDescent="0.15">
      <c r="A392"/>
      <c r="B392"/>
      <c r="C392"/>
      <c r="D392"/>
      <c r="E392"/>
      <c r="F392"/>
      <c r="G392"/>
      <c r="H392"/>
      <c r="I392"/>
      <c r="J392"/>
    </row>
    <row r="393" ht="15" customHeight="true" x14ac:dyDescent="0.15">
      <c r="A393"/>
      <c r="B393"/>
      <c r="C393"/>
      <c r="D393"/>
      <c r="E393"/>
      <c r="F393"/>
      <c r="G393"/>
      <c r="H393"/>
      <c r="I393"/>
      <c r="J393"/>
    </row>
    <row r="394" ht="15" customHeight="true" x14ac:dyDescent="0.15">
      <c r="A394"/>
      <c r="B394"/>
      <c r="C394"/>
      <c r="D394"/>
      <c r="E394"/>
      <c r="F394"/>
      <c r="G394"/>
      <c r="H394"/>
      <c r="I394"/>
      <c r="J394"/>
    </row>
    <row r="395" ht="15" customHeight="true" x14ac:dyDescent="0.15">
      <c r="A395"/>
      <c r="B395"/>
      <c r="C395"/>
      <c r="D395"/>
      <c r="E395"/>
      <c r="F395"/>
      <c r="G395"/>
      <c r="H395"/>
      <c r="I395"/>
      <c r="J395"/>
    </row>
    <row r="396" ht="15" customHeight="true" x14ac:dyDescent="0.15">
      <c r="A396"/>
      <c r="B396"/>
      <c r="C396"/>
      <c r="D396"/>
      <c r="E396"/>
      <c r="F396"/>
      <c r="G396"/>
      <c r="H396"/>
      <c r="I396"/>
      <c r="J396"/>
    </row>
    <row r="397" ht="15" customHeight="true" x14ac:dyDescent="0.15">
      <c r="A397"/>
      <c r="B397"/>
      <c r="C397"/>
      <c r="D397"/>
      <c r="E397"/>
      <c r="F397"/>
      <c r="G397"/>
      <c r="H397"/>
      <c r="I397"/>
      <c r="J397"/>
    </row>
    <row r="398" ht="15" customHeight="true" x14ac:dyDescent="0.15">
      <c r="A398"/>
      <c r="B398"/>
      <c r="C398"/>
      <c r="D398"/>
      <c r="E398"/>
      <c r="F398"/>
      <c r="G398"/>
      <c r="H398"/>
      <c r="I398"/>
      <c r="J398"/>
    </row>
    <row r="399" ht="15" customHeight="true" x14ac:dyDescent="0.15">
      <c r="A399"/>
      <c r="B399"/>
      <c r="C399"/>
      <c r="D399"/>
      <c r="E399"/>
      <c r="F399"/>
      <c r="G399"/>
      <c r="H399"/>
      <c r="I399"/>
      <c r="J399"/>
    </row>
    <row r="400" ht="15" customHeight="true" x14ac:dyDescent="0.15">
      <c r="A400"/>
      <c r="B400"/>
      <c r="C400"/>
      <c r="D400"/>
      <c r="E400"/>
      <c r="F400"/>
      <c r="G400"/>
      <c r="H400"/>
      <c r="I400"/>
      <c r="J400"/>
    </row>
    <row r="401" ht="15" customHeight="true" x14ac:dyDescent="0.15">
      <c r="A401"/>
      <c r="B401"/>
      <c r="C401"/>
      <c r="D401"/>
      <c r="E401"/>
      <c r="F401"/>
      <c r="G401"/>
      <c r="H401"/>
      <c r="I401"/>
      <c r="J401"/>
    </row>
    <row r="402" ht="15" customHeight="true" x14ac:dyDescent="0.15">
      <c r="A402"/>
      <c r="B402"/>
      <c r="C402"/>
      <c r="D402"/>
      <c r="E402"/>
      <c r="F402"/>
      <c r="G402"/>
      <c r="H402"/>
      <c r="I402"/>
      <c r="J402"/>
    </row>
    <row r="403" ht="15" customHeight="true" x14ac:dyDescent="0.15">
      <c r="A403"/>
      <c r="B403"/>
      <c r="C403"/>
      <c r="D403"/>
      <c r="E403"/>
      <c r="F403"/>
      <c r="G403"/>
      <c r="H403"/>
      <c r="I403"/>
      <c r="J403"/>
    </row>
    <row r="404" ht="15" customHeight="true" x14ac:dyDescent="0.15">
      <c r="A404"/>
      <c r="B404"/>
      <c r="C404"/>
      <c r="D404"/>
      <c r="E404"/>
      <c r="F404"/>
      <c r="G404"/>
      <c r="H404"/>
      <c r="I404"/>
      <c r="J404"/>
    </row>
    <row r="405" ht="15" customHeight="true" x14ac:dyDescent="0.15">
      <c r="A405"/>
      <c r="B405"/>
      <c r="C405"/>
      <c r="D405"/>
      <c r="E405"/>
      <c r="F405"/>
      <c r="G405"/>
      <c r="H405"/>
      <c r="I405"/>
      <c r="J405"/>
    </row>
    <row r="406" ht="15" customHeight="true" x14ac:dyDescent="0.15">
      <c r="A406"/>
      <c r="B406"/>
      <c r="C406"/>
      <c r="D406"/>
      <c r="E406"/>
      <c r="F406"/>
      <c r="G406"/>
      <c r="H406"/>
      <c r="I406"/>
      <c r="J406"/>
    </row>
    <row r="407" ht="15" customHeight="true" x14ac:dyDescent="0.15">
      <c r="A407"/>
      <c r="B407"/>
      <c r="C407"/>
      <c r="D407"/>
      <c r="E407"/>
      <c r="F407"/>
      <c r="G407"/>
      <c r="H407"/>
      <c r="I407"/>
      <c r="J407"/>
    </row>
    <row r="408" ht="15" customHeight="true" x14ac:dyDescent="0.15">
      <c r="A408"/>
      <c r="B408"/>
      <c r="C408"/>
      <c r="D408"/>
      <c r="E408"/>
      <c r="F408"/>
      <c r="G408"/>
      <c r="H408"/>
      <c r="I408"/>
      <c r="J408"/>
    </row>
    <row r="409" ht="15" customHeight="true" x14ac:dyDescent="0.15">
      <c r="A409"/>
      <c r="B409"/>
      <c r="C409"/>
      <c r="D409"/>
      <c r="E409"/>
      <c r="F409"/>
      <c r="G409"/>
      <c r="H409"/>
      <c r="I409"/>
      <c r="J409"/>
    </row>
    <row r="410" ht="15" customHeight="true" x14ac:dyDescent="0.15">
      <c r="A410"/>
      <c r="B410"/>
      <c r="C410"/>
      <c r="D410"/>
      <c r="E410"/>
      <c r="F410"/>
      <c r="G410"/>
      <c r="H410"/>
      <c r="I410"/>
      <c r="J410"/>
    </row>
    <row r="411" ht="15" customHeight="true" x14ac:dyDescent="0.15">
      <c r="A411"/>
      <c r="B411"/>
      <c r="C411"/>
      <c r="D411"/>
      <c r="E411"/>
      <c r="F411"/>
      <c r="G411"/>
      <c r="H411"/>
      <c r="I411"/>
      <c r="J411"/>
    </row>
    <row r="412" ht="15" customHeight="true" x14ac:dyDescent="0.15">
      <c r="A412"/>
      <c r="B412"/>
      <c r="C412"/>
      <c r="D412"/>
      <c r="E412"/>
      <c r="F412"/>
      <c r="G412"/>
      <c r="H412"/>
      <c r="I412"/>
      <c r="J412"/>
    </row>
    <row r="413" ht="15" customHeight="true" x14ac:dyDescent="0.15">
      <c r="A413"/>
      <c r="B413"/>
      <c r="C413"/>
      <c r="D413"/>
      <c r="E413"/>
      <c r="F413"/>
      <c r="G413"/>
      <c r="H413"/>
      <c r="I413"/>
      <c r="J413"/>
    </row>
    <row r="414" ht="15" customHeight="true" x14ac:dyDescent="0.15">
      <c r="A414"/>
      <c r="B414"/>
      <c r="C414"/>
      <c r="D414"/>
      <c r="E414"/>
      <c r="F414"/>
      <c r="G414"/>
      <c r="H414"/>
      <c r="I414"/>
      <c r="J414"/>
    </row>
    <row r="415" ht="15" customHeight="true" x14ac:dyDescent="0.15">
      <c r="A415"/>
      <c r="B415"/>
      <c r="C415"/>
      <c r="D415"/>
      <c r="E415"/>
      <c r="F415"/>
      <c r="G415"/>
      <c r="H415"/>
      <c r="I415"/>
      <c r="J415"/>
    </row>
    <row r="416" ht="15" customHeight="true" x14ac:dyDescent="0.15">
      <c r="A416"/>
      <c r="B416"/>
      <c r="C416"/>
      <c r="D416"/>
      <c r="E416"/>
      <c r="F416"/>
      <c r="G416"/>
      <c r="H416"/>
      <c r="I416"/>
      <c r="J416"/>
    </row>
    <row r="417" ht="15" customHeight="true" x14ac:dyDescent="0.15">
      <c r="A417"/>
      <c r="B417"/>
      <c r="C417"/>
      <c r="D417"/>
      <c r="E417"/>
      <c r="F417"/>
      <c r="G417"/>
      <c r="H417"/>
      <c r="I417"/>
      <c r="J417"/>
    </row>
    <row r="418" ht="15" customHeight="true" x14ac:dyDescent="0.15">
      <c r="A418"/>
      <c r="B418"/>
      <c r="C418"/>
      <c r="D418"/>
      <c r="E418"/>
      <c r="F418"/>
      <c r="G418"/>
      <c r="H418"/>
      <c r="I418"/>
      <c r="J418"/>
    </row>
    <row r="419" ht="15" customHeight="true" x14ac:dyDescent="0.15">
      <c r="A419"/>
      <c r="B419"/>
      <c r="C419"/>
      <c r="D419"/>
      <c r="E419"/>
      <c r="F419"/>
      <c r="G419"/>
      <c r="H419"/>
      <c r="I419"/>
      <c r="J419"/>
    </row>
    <row r="420" ht="15" customHeight="true" x14ac:dyDescent="0.15">
      <c r="A420"/>
      <c r="B420"/>
      <c r="C420"/>
      <c r="D420"/>
      <c r="E420"/>
      <c r="F420"/>
      <c r="G420"/>
      <c r="H420"/>
      <c r="I420"/>
      <c r="J420"/>
    </row>
    <row r="421" ht="15" customHeight="true" x14ac:dyDescent="0.15">
      <c r="A421"/>
      <c r="B421"/>
      <c r="C421"/>
      <c r="D421"/>
      <c r="E421"/>
      <c r="F421"/>
      <c r="G421"/>
      <c r="H421"/>
      <c r="I421"/>
      <c r="J421"/>
    </row>
    <row r="422" ht="15" customHeight="true" x14ac:dyDescent="0.15">
      <c r="A422"/>
      <c r="B422"/>
      <c r="C422"/>
      <c r="D422"/>
      <c r="E422"/>
      <c r="F422"/>
      <c r="G422"/>
      <c r="H422"/>
      <c r="I422"/>
      <c r="J422"/>
    </row>
    <row r="423" ht="15" customHeight="true" x14ac:dyDescent="0.15">
      <c r="A423"/>
      <c r="B423"/>
      <c r="C423"/>
      <c r="D423"/>
      <c r="E423"/>
      <c r="F423"/>
      <c r="G423"/>
      <c r="H423"/>
      <c r="I423"/>
      <c r="J423"/>
    </row>
    <row r="424" ht="15" customHeight="true" x14ac:dyDescent="0.15">
      <c r="A424"/>
      <c r="B424"/>
      <c r="C424"/>
      <c r="D424"/>
      <c r="E424"/>
      <c r="F424"/>
      <c r="G424"/>
      <c r="H424"/>
      <c r="I424"/>
      <c r="J424"/>
    </row>
    <row r="425" ht="15" customHeight="true" x14ac:dyDescent="0.15">
      <c r="A425"/>
      <c r="B425"/>
      <c r="C425"/>
      <c r="D425"/>
      <c r="E425"/>
      <c r="F425"/>
      <c r="G425"/>
      <c r="H425"/>
      <c r="I425"/>
      <c r="J425"/>
    </row>
    <row r="426" ht="15" customHeight="true" x14ac:dyDescent="0.15">
      <c r="A426"/>
      <c r="B426"/>
      <c r="C426"/>
      <c r="D426"/>
      <c r="E426"/>
      <c r="F426"/>
      <c r="G426"/>
      <c r="H426"/>
      <c r="I426"/>
      <c r="J426"/>
    </row>
    <row r="427" ht="15" customHeight="true" x14ac:dyDescent="0.15">
      <c r="A427"/>
      <c r="B427"/>
      <c r="C427"/>
      <c r="D427"/>
      <c r="E427"/>
      <c r="F427"/>
      <c r="G427"/>
      <c r="H427"/>
      <c r="I427"/>
      <c r="J427"/>
    </row>
    <row r="428" ht="15" customHeight="true" x14ac:dyDescent="0.15">
      <c r="A428"/>
      <c r="B428"/>
      <c r="C428"/>
      <c r="D428"/>
      <c r="E428"/>
      <c r="F428"/>
      <c r="G428"/>
      <c r="H428"/>
      <c r="I428"/>
      <c r="J428"/>
    </row>
    <row r="429" ht="15" customHeight="true" x14ac:dyDescent="0.15">
      <c r="A429"/>
      <c r="B429"/>
      <c r="C429"/>
      <c r="D429"/>
      <c r="E429"/>
      <c r="F429"/>
      <c r="G429"/>
      <c r="H429"/>
      <c r="I429"/>
      <c r="J429"/>
    </row>
    <row r="430" ht="15" customHeight="true" x14ac:dyDescent="0.15">
      <c r="A430"/>
      <c r="B430"/>
      <c r="C430"/>
      <c r="D430"/>
      <c r="E430"/>
      <c r="F430"/>
      <c r="G430"/>
      <c r="H430"/>
      <c r="I430"/>
      <c r="J430"/>
    </row>
    <row r="431" ht="15" customHeight="true" x14ac:dyDescent="0.15">
      <c r="A431"/>
      <c r="B431"/>
      <c r="C431"/>
      <c r="D431"/>
      <c r="E431"/>
      <c r="F431"/>
      <c r="G431"/>
      <c r="H431"/>
      <c r="I431"/>
      <c r="J431"/>
    </row>
    <row r="432" ht="15" customHeight="true" x14ac:dyDescent="0.15">
      <c r="A432"/>
      <c r="B432"/>
      <c r="C432"/>
      <c r="D432"/>
      <c r="E432"/>
      <c r="F432"/>
      <c r="G432"/>
      <c r="H432"/>
      <c r="I432"/>
      <c r="J432"/>
    </row>
    <row r="433" ht="15" customHeight="true" x14ac:dyDescent="0.15">
      <c r="A433"/>
      <c r="B433"/>
      <c r="C433"/>
      <c r="D433"/>
      <c r="E433"/>
      <c r="F433"/>
      <c r="G433"/>
      <c r="H433"/>
      <c r="I433"/>
      <c r="J433"/>
    </row>
    <row r="434" ht="15" customHeight="true" x14ac:dyDescent="0.15">
      <c r="A434"/>
      <c r="B434"/>
      <c r="C434"/>
      <c r="D434"/>
      <c r="E434"/>
      <c r="F434"/>
      <c r="G434"/>
      <c r="H434"/>
      <c r="I434"/>
      <c r="J434"/>
    </row>
    <row r="435" ht="15" customHeight="true" x14ac:dyDescent="0.15">
      <c r="A435"/>
      <c r="B435"/>
      <c r="C435"/>
      <c r="D435"/>
      <c r="E435"/>
      <c r="F435"/>
      <c r="G435"/>
      <c r="H435"/>
      <c r="I435"/>
      <c r="J435"/>
    </row>
    <row r="436" ht="15" customHeight="true" x14ac:dyDescent="0.15">
      <c r="A436"/>
      <c r="B436"/>
      <c r="C436"/>
      <c r="D436"/>
      <c r="E436"/>
      <c r="F436"/>
      <c r="G436"/>
      <c r="H436"/>
      <c r="I436"/>
      <c r="J436"/>
    </row>
    <row r="437" ht="15" customHeight="true" x14ac:dyDescent="0.15">
      <c r="A437"/>
      <c r="B437"/>
      <c r="C437"/>
      <c r="D437"/>
      <c r="E437"/>
      <c r="F437"/>
      <c r="G437"/>
      <c r="H437"/>
      <c r="I437"/>
      <c r="J437"/>
    </row>
    <row r="438" ht="15" customHeight="true" x14ac:dyDescent="0.15">
      <c r="A438"/>
      <c r="B438"/>
      <c r="C438"/>
      <c r="D438"/>
      <c r="E438"/>
      <c r="F438"/>
      <c r="G438"/>
      <c r="H438"/>
      <c r="I438"/>
      <c r="J438"/>
    </row>
    <row r="439" ht="15" customHeight="true" x14ac:dyDescent="0.15">
      <c r="A439"/>
      <c r="B439"/>
      <c r="C439"/>
      <c r="D439"/>
      <c r="E439"/>
      <c r="F439"/>
      <c r="G439"/>
      <c r="H439"/>
      <c r="I439"/>
      <c r="J439"/>
    </row>
    <row r="440" ht="15" customHeight="true" x14ac:dyDescent="0.15">
      <c r="A440"/>
      <c r="B440"/>
      <c r="C440"/>
      <c r="D440"/>
      <c r="E440"/>
      <c r="F440"/>
      <c r="G440"/>
      <c r="H440"/>
      <c r="I440"/>
      <c r="J440"/>
    </row>
    <row r="441" ht="15" customHeight="true" x14ac:dyDescent="0.15">
      <c r="A441"/>
      <c r="B441"/>
      <c r="C441"/>
      <c r="D441"/>
      <c r="E441"/>
      <c r="F441"/>
      <c r="G441"/>
      <c r="H441"/>
      <c r="I441"/>
      <c r="J441"/>
    </row>
    <row r="442" ht="15" customHeight="true" x14ac:dyDescent="0.15">
      <c r="A442"/>
      <c r="B442"/>
      <c r="C442"/>
      <c r="D442"/>
      <c r="E442"/>
      <c r="F442"/>
      <c r="G442"/>
      <c r="H442"/>
      <c r="I442"/>
      <c r="J442"/>
    </row>
    <row r="443" ht="15" customHeight="true" x14ac:dyDescent="0.15">
      <c r="A443"/>
      <c r="B443"/>
      <c r="C443"/>
      <c r="D443"/>
      <c r="E443"/>
      <c r="F443"/>
      <c r="G443"/>
      <c r="H443"/>
      <c r="I443"/>
      <c r="J443"/>
    </row>
    <row r="444" ht="15" customHeight="true" x14ac:dyDescent="0.15">
      <c r="A444"/>
      <c r="B444"/>
      <c r="C444"/>
      <c r="D444"/>
      <c r="E444"/>
      <c r="F444"/>
      <c r="G444"/>
      <c r="H444"/>
      <c r="I444"/>
      <c r="J444"/>
    </row>
    <row r="445" ht="15" customHeight="true" x14ac:dyDescent="0.15">
      <c r="A445"/>
      <c r="B445"/>
      <c r="C445"/>
      <c r="D445"/>
      <c r="E445"/>
      <c r="F445"/>
      <c r="G445"/>
      <c r="H445"/>
      <c r="I445"/>
      <c r="J445"/>
    </row>
    <row r="446" ht="15" customHeight="true" x14ac:dyDescent="0.15">
      <c r="A446"/>
      <c r="B446"/>
      <c r="C446"/>
      <c r="D446"/>
      <c r="E446"/>
      <c r="F446"/>
      <c r="G446"/>
      <c r="H446"/>
      <c r="I446"/>
      <c r="J446"/>
    </row>
    <row r="447" ht="15" customHeight="true" x14ac:dyDescent="0.15">
      <c r="A447"/>
      <c r="B447"/>
      <c r="C447"/>
      <c r="D447"/>
      <c r="E447"/>
      <c r="F447"/>
      <c r="G447"/>
      <c r="H447"/>
      <c r="I447"/>
      <c r="J447"/>
    </row>
    <row r="448" ht="15" customHeight="true" x14ac:dyDescent="0.15">
      <c r="A448"/>
      <c r="B448"/>
      <c r="C448"/>
      <c r="D448"/>
      <c r="E448"/>
      <c r="F448"/>
      <c r="G448"/>
      <c r="H448"/>
      <c r="I448"/>
      <c r="J448"/>
    </row>
    <row r="449" ht="15" customHeight="true" x14ac:dyDescent="0.15">
      <c r="A449"/>
      <c r="B449"/>
      <c r="C449"/>
      <c r="D449"/>
      <c r="E449"/>
      <c r="F449"/>
      <c r="G449"/>
      <c r="H449"/>
      <c r="I449"/>
      <c r="J449"/>
    </row>
    <row r="450" ht="15" customHeight="true" x14ac:dyDescent="0.15">
      <c r="A450"/>
      <c r="B450"/>
      <c r="C450"/>
      <c r="D450"/>
      <c r="E450"/>
      <c r="F450"/>
      <c r="G450"/>
      <c r="H450"/>
      <c r="I450"/>
      <c r="J450"/>
    </row>
    <row r="451" ht="15" customHeight="true" x14ac:dyDescent="0.15">
      <c r="A451"/>
      <c r="B451"/>
      <c r="C451"/>
      <c r="D451"/>
      <c r="E451"/>
      <c r="F451"/>
      <c r="G451"/>
      <c r="H451"/>
      <c r="I451"/>
      <c r="J451"/>
    </row>
    <row r="452" ht="15" customHeight="true" x14ac:dyDescent="0.15">
      <c r="A452"/>
      <c r="B452"/>
      <c r="C452"/>
      <c r="D452"/>
      <c r="E452"/>
      <c r="F452"/>
      <c r="G452"/>
      <c r="H452"/>
      <c r="I452"/>
      <c r="J452"/>
    </row>
    <row r="453" ht="15" customHeight="true" x14ac:dyDescent="0.15">
      <c r="A453"/>
      <c r="B453"/>
      <c r="C453"/>
      <c r="D453"/>
      <c r="E453"/>
      <c r="F453"/>
      <c r="G453"/>
      <c r="H453"/>
      <c r="I453"/>
      <c r="J453"/>
    </row>
    <row r="454" ht="15" customHeight="true" x14ac:dyDescent="0.15">
      <c r="A454"/>
      <c r="B454"/>
      <c r="C454"/>
      <c r="D454"/>
      <c r="E454"/>
      <c r="F454"/>
      <c r="G454"/>
      <c r="H454"/>
      <c r="I454"/>
      <c r="J454"/>
    </row>
    <row r="455" ht="15" customHeight="true" x14ac:dyDescent="0.15">
      <c r="A455"/>
      <c r="B455"/>
      <c r="C455"/>
      <c r="D455"/>
      <c r="E455"/>
      <c r="F455"/>
      <c r="G455"/>
      <c r="H455"/>
      <c r="I455"/>
      <c r="J455"/>
    </row>
    <row r="456" ht="15" customHeight="true" x14ac:dyDescent="0.15">
      <c r="A456"/>
      <c r="B456"/>
      <c r="C456"/>
      <c r="D456"/>
      <c r="E456"/>
      <c r="F456"/>
      <c r="G456"/>
      <c r="H456"/>
      <c r="I456"/>
      <c r="J456"/>
    </row>
    <row r="457" ht="15" customHeight="true" x14ac:dyDescent="0.15">
      <c r="A457"/>
      <c r="B457"/>
      <c r="C457"/>
      <c r="D457"/>
      <c r="E457"/>
      <c r="F457"/>
      <c r="G457"/>
      <c r="H457"/>
      <c r="I457"/>
      <c r="J457"/>
    </row>
    <row r="458" ht="15" customHeight="true" x14ac:dyDescent="0.15">
      <c r="A458"/>
      <c r="B458"/>
      <c r="C458"/>
      <c r="D458"/>
      <c r="E458"/>
      <c r="F458"/>
      <c r="G458"/>
      <c r="H458"/>
      <c r="I458"/>
      <c r="J458"/>
    </row>
    <row r="459" ht="15" customHeight="true" x14ac:dyDescent="0.15">
      <c r="A459"/>
      <c r="B459"/>
      <c r="C459"/>
      <c r="D459"/>
      <c r="E459"/>
      <c r="F459"/>
      <c r="G459"/>
      <c r="H459"/>
      <c r="I459"/>
      <c r="J459"/>
    </row>
    <row r="460" ht="15" customHeight="true" x14ac:dyDescent="0.15">
      <c r="A460"/>
      <c r="B460"/>
      <c r="C460"/>
      <c r="D460"/>
      <c r="E460"/>
      <c r="F460"/>
      <c r="G460"/>
      <c r="H460"/>
      <c r="I460"/>
      <c r="J460"/>
    </row>
    <row r="461" ht="15" customHeight="true" x14ac:dyDescent="0.15">
      <c r="A461"/>
      <c r="B461"/>
      <c r="C461"/>
      <c r="D461"/>
      <c r="E461"/>
      <c r="F461"/>
      <c r="G461"/>
      <c r="H461"/>
      <c r="I461"/>
      <c r="J461"/>
    </row>
    <row r="462" ht="15" customHeight="true" x14ac:dyDescent="0.15">
      <c r="A462"/>
      <c r="B462"/>
      <c r="C462"/>
      <c r="D462"/>
      <c r="E462"/>
      <c r="F462"/>
      <c r="G462"/>
      <c r="H462"/>
      <c r="I462"/>
      <c r="J462"/>
    </row>
    <row r="463" ht="15" customHeight="true" x14ac:dyDescent="0.15">
      <c r="A463"/>
      <c r="B463"/>
      <c r="C463"/>
      <c r="D463"/>
      <c r="E463"/>
      <c r="F463"/>
      <c r="G463"/>
      <c r="H463"/>
      <c r="I463"/>
      <c r="J463"/>
    </row>
    <row r="464" ht="15" customHeight="true" x14ac:dyDescent="0.15">
      <c r="A464"/>
      <c r="B464"/>
      <c r="C464"/>
      <c r="D464"/>
      <c r="E464"/>
      <c r="F464"/>
      <c r="G464"/>
      <c r="H464"/>
      <c r="I464"/>
      <c r="J464"/>
    </row>
    <row r="465" ht="15" customHeight="true" x14ac:dyDescent="0.15">
      <c r="A465"/>
      <c r="B465"/>
      <c r="C465"/>
      <c r="D465"/>
      <c r="E465"/>
      <c r="F465"/>
      <c r="G465"/>
      <c r="H465"/>
      <c r="I465"/>
      <c r="J465"/>
    </row>
    <row r="466" ht="15" customHeight="true" x14ac:dyDescent="0.15">
      <c r="A466"/>
      <c r="B466"/>
      <c r="C466"/>
      <c r="D466"/>
      <c r="E466"/>
      <c r="F466"/>
      <c r="G466"/>
      <c r="H466"/>
      <c r="I466"/>
      <c r="J466"/>
    </row>
    <row r="467" ht="15" customHeight="true" x14ac:dyDescent="0.15">
      <c r="A467"/>
      <c r="B467"/>
      <c r="C467"/>
      <c r="D467"/>
      <c r="E467"/>
      <c r="F467"/>
      <c r="G467"/>
      <c r="H467"/>
      <c r="I467"/>
      <c r="J467"/>
    </row>
    <row r="468" ht="15" customHeight="true" x14ac:dyDescent="0.15">
      <c r="A468"/>
      <c r="B468"/>
      <c r="C468"/>
      <c r="D468"/>
      <c r="E468"/>
      <c r="F468"/>
      <c r="G468"/>
      <c r="H468"/>
      <c r="I468"/>
      <c r="J468"/>
    </row>
    <row r="469" ht="15" customHeight="true" x14ac:dyDescent="0.15">
      <c r="A469"/>
      <c r="B469"/>
      <c r="C469"/>
      <c r="D469"/>
      <c r="E469"/>
      <c r="F469"/>
      <c r="G469"/>
      <c r="H469"/>
      <c r="I469"/>
      <c r="J469"/>
    </row>
    <row r="470" ht="15" customHeight="true" x14ac:dyDescent="0.15">
      <c r="A470"/>
      <c r="B470"/>
      <c r="C470"/>
      <c r="D470"/>
      <c r="E470"/>
      <c r="F470"/>
      <c r="G470"/>
      <c r="H470"/>
      <c r="I470"/>
      <c r="J470"/>
    </row>
    <row r="471" ht="15" customHeight="true" x14ac:dyDescent="0.15">
      <c r="A471"/>
      <c r="B471"/>
      <c r="C471"/>
      <c r="D471"/>
      <c r="E471"/>
      <c r="F471"/>
      <c r="G471"/>
      <c r="H471"/>
      <c r="I471"/>
      <c r="J471"/>
    </row>
    <row r="472" ht="15" customHeight="true" x14ac:dyDescent="0.15">
      <c r="A472"/>
      <c r="B472"/>
      <c r="C472"/>
      <c r="D472"/>
      <c r="E472"/>
      <c r="F472"/>
      <c r="G472"/>
      <c r="H472"/>
      <c r="I472"/>
      <c r="J472"/>
    </row>
    <row r="473" ht="15" customHeight="true" x14ac:dyDescent="0.15">
      <c r="A473"/>
      <c r="B473"/>
      <c r="C473"/>
      <c r="D473"/>
      <c r="E473"/>
      <c r="F473"/>
      <c r="G473"/>
      <c r="H473"/>
      <c r="I473"/>
      <c r="J473"/>
    </row>
    <row r="474" ht="15" customHeight="true" x14ac:dyDescent="0.15">
      <c r="A474"/>
      <c r="B474"/>
      <c r="C474"/>
      <c r="D474"/>
      <c r="E474"/>
      <c r="F474"/>
      <c r="G474"/>
      <c r="H474"/>
      <c r="I474"/>
      <c r="J474"/>
    </row>
    <row r="475" ht="15" customHeight="true" x14ac:dyDescent="0.15">
      <c r="A475"/>
      <c r="B475"/>
      <c r="C475"/>
      <c r="D475"/>
      <c r="E475"/>
      <c r="F475"/>
      <c r="G475"/>
      <c r="H475"/>
      <c r="I475"/>
      <c r="J475"/>
    </row>
    <row r="476" ht="15" customHeight="true" x14ac:dyDescent="0.15">
      <c r="A476"/>
      <c r="B476"/>
      <c r="C476"/>
      <c r="D476"/>
      <c r="E476"/>
      <c r="F476"/>
      <c r="G476"/>
      <c r="H476"/>
      <c r="I476"/>
      <c r="J476"/>
    </row>
    <row r="477" ht="15" customHeight="true" x14ac:dyDescent="0.15">
      <c r="A477"/>
      <c r="B477"/>
      <c r="C477"/>
      <c r="D477"/>
      <c r="E477"/>
      <c r="F477"/>
      <c r="G477"/>
      <c r="H477"/>
      <c r="I477"/>
      <c r="J477"/>
    </row>
    <row r="478" ht="15" customHeight="true" x14ac:dyDescent="0.15">
      <c r="A478"/>
      <c r="B478"/>
      <c r="C478"/>
      <c r="D478"/>
      <c r="E478"/>
      <c r="F478"/>
      <c r="G478"/>
      <c r="H478"/>
      <c r="I478"/>
      <c r="J478"/>
    </row>
    <row r="479" ht="15" customHeight="true" x14ac:dyDescent="0.15">
      <c r="A479"/>
      <c r="B479"/>
      <c r="C479"/>
      <c r="D479"/>
      <c r="E479"/>
      <c r="F479"/>
      <c r="G479"/>
      <c r="H479"/>
      <c r="I479"/>
      <c r="J479"/>
    </row>
    <row r="480" ht="15" customHeight="true" x14ac:dyDescent="0.15">
      <c r="A480"/>
      <c r="B480"/>
      <c r="C480"/>
      <c r="D480"/>
      <c r="E480"/>
      <c r="F480"/>
      <c r="G480"/>
      <c r="H480"/>
      <c r="I480"/>
      <c r="J480"/>
    </row>
    <row r="481" ht="15" customHeight="true" x14ac:dyDescent="0.15">
      <c r="A481"/>
      <c r="B481"/>
      <c r="C481"/>
      <c r="D481"/>
      <c r="E481"/>
      <c r="F481"/>
      <c r="G481"/>
      <c r="H481"/>
      <c r="I481"/>
      <c r="J481"/>
    </row>
    <row r="482" ht="15" customHeight="true" x14ac:dyDescent="0.15">
      <c r="A482"/>
      <c r="B482"/>
      <c r="C482"/>
      <c r="D482"/>
      <c r="E482"/>
      <c r="F482"/>
      <c r="G482"/>
      <c r="H482"/>
      <c r="I482"/>
      <c r="J482"/>
    </row>
    <row r="483" ht="15" customHeight="true" x14ac:dyDescent="0.15">
      <c r="A483"/>
      <c r="B483"/>
      <c r="C483"/>
      <c r="D483"/>
      <c r="E483"/>
      <c r="F483"/>
      <c r="G483"/>
      <c r="H483"/>
      <c r="I483"/>
      <c r="J483"/>
    </row>
    <row r="484" ht="15" customHeight="true" x14ac:dyDescent="0.15">
      <c r="A484"/>
      <c r="B484"/>
      <c r="C484"/>
      <c r="D484"/>
      <c r="E484"/>
      <c r="F484"/>
      <c r="G484"/>
      <c r="H484"/>
      <c r="I484"/>
      <c r="J484"/>
    </row>
    <row r="485" ht="15" customHeight="true" x14ac:dyDescent="0.15">
      <c r="A485"/>
      <c r="B485"/>
      <c r="C485"/>
      <c r="D485"/>
      <c r="E485"/>
      <c r="F485"/>
      <c r="G485"/>
      <c r="H485"/>
      <c r="I485"/>
      <c r="J485"/>
    </row>
    <row r="486" ht="15" customHeight="true" x14ac:dyDescent="0.15">
      <c r="A486"/>
      <c r="B486"/>
      <c r="C486"/>
      <c r="D486"/>
      <c r="E486"/>
      <c r="F486"/>
      <c r="G486"/>
      <c r="H486"/>
      <c r="I486"/>
      <c r="J486"/>
    </row>
    <row r="487" ht="15" customHeight="true" x14ac:dyDescent="0.15">
      <c r="A487"/>
      <c r="B487"/>
      <c r="C487"/>
      <c r="D487"/>
      <c r="E487"/>
      <c r="F487"/>
      <c r="G487"/>
      <c r="H487"/>
      <c r="I487"/>
      <c r="J487"/>
    </row>
    <row r="488" ht="15" customHeight="true" x14ac:dyDescent="0.15">
      <c r="A488"/>
      <c r="B488"/>
      <c r="C488"/>
      <c r="D488"/>
      <c r="E488"/>
      <c r="F488"/>
      <c r="G488"/>
      <c r="H488"/>
      <c r="I488"/>
      <c r="J488"/>
    </row>
    <row r="489" ht="15" customHeight="true" x14ac:dyDescent="0.15">
      <c r="A489"/>
      <c r="B489"/>
      <c r="C489"/>
      <c r="D489"/>
      <c r="E489"/>
      <c r="F489"/>
      <c r="G489"/>
      <c r="H489"/>
      <c r="I489"/>
      <c r="J489"/>
    </row>
    <row r="490" ht="15" customHeight="true" x14ac:dyDescent="0.15">
      <c r="A490"/>
      <c r="B490"/>
      <c r="C490"/>
      <c r="D490"/>
      <c r="E490"/>
      <c r="F490"/>
      <c r="G490"/>
      <c r="H490"/>
      <c r="I490"/>
      <c r="J490"/>
    </row>
    <row r="491" ht="15" customHeight="true" x14ac:dyDescent="0.15">
      <c r="A491"/>
      <c r="B491"/>
      <c r="C491"/>
      <c r="D491"/>
      <c r="E491"/>
      <c r="F491"/>
      <c r="G491"/>
      <c r="H491"/>
      <c r="I491"/>
      <c r="J491"/>
    </row>
    <row r="492" ht="15" customHeight="true" x14ac:dyDescent="0.15">
      <c r="A492"/>
      <c r="B492"/>
      <c r="C492"/>
      <c r="D492"/>
      <c r="E492"/>
      <c r="F492"/>
      <c r="G492"/>
      <c r="H492"/>
      <c r="I492"/>
      <c r="J492"/>
    </row>
    <row r="493" ht="15" customHeight="true" x14ac:dyDescent="0.15">
      <c r="A493"/>
      <c r="B493"/>
      <c r="C493"/>
      <c r="D493"/>
      <c r="E493"/>
      <c r="F493"/>
      <c r="G493"/>
      <c r="H493"/>
      <c r="I493"/>
      <c r="J493"/>
    </row>
    <row r="494" ht="15" customHeight="true" x14ac:dyDescent="0.15">
      <c r="A494"/>
      <c r="B494"/>
      <c r="C494"/>
      <c r="D494"/>
      <c r="E494"/>
      <c r="F494"/>
      <c r="G494"/>
      <c r="H494"/>
      <c r="I494"/>
      <c r="J494"/>
    </row>
    <row r="495" ht="15" customHeight="true" x14ac:dyDescent="0.15">
      <c r="A495"/>
      <c r="B495"/>
      <c r="C495"/>
      <c r="D495"/>
      <c r="E495"/>
      <c r="F495"/>
      <c r="G495"/>
      <c r="H495"/>
      <c r="I495"/>
      <c r="J495"/>
    </row>
    <row r="496" ht="15" customHeight="true" x14ac:dyDescent="0.15">
      <c r="A496"/>
      <c r="B496"/>
      <c r="C496"/>
      <c r="D496"/>
      <c r="E496"/>
      <c r="F496"/>
      <c r="G496"/>
      <c r="H496"/>
      <c r="I496"/>
      <c r="J496"/>
    </row>
    <row r="497" ht="15" customHeight="true" x14ac:dyDescent="0.15">
      <c r="A497"/>
      <c r="B497"/>
      <c r="C497"/>
      <c r="D497"/>
      <c r="E497"/>
      <c r="F497"/>
      <c r="G497"/>
      <c r="H497"/>
      <c r="I497"/>
      <c r="J497"/>
    </row>
    <row r="498" ht="15" customHeight="true" x14ac:dyDescent="0.15">
      <c r="A498"/>
      <c r="B498"/>
      <c r="C498"/>
      <c r="D498"/>
      <c r="E498"/>
      <c r="F498"/>
      <c r="G498"/>
      <c r="H498"/>
      <c r="I498"/>
      <c r="J498"/>
    </row>
    <row r="499" ht="15" customHeight="true" x14ac:dyDescent="0.15">
      <c r="A499"/>
      <c r="B499"/>
      <c r="C499"/>
      <c r="D499"/>
      <c r="E499"/>
      <c r="F499"/>
      <c r="G499"/>
      <c r="H499"/>
      <c r="I499"/>
      <c r="J499"/>
    </row>
    <row r="500" ht="15" customHeight="true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AV40" activePane="bottomRight" state="frozen"/>
      <selection pane="topRight" activeCell="D1" sqref="D1"/>
      <selection pane="bottomLeft" activeCell="A2" sqref="A2"/>
      <selection pane="bottomRight" activeCell="A51" sqref="A51:XFD51"/>
    </sheetView>
  </sheetViews>
  <sheetFormatPr baseColWidth="10" defaultColWidth="8.83203125" defaultRowHeight="15" customHeight="true" x14ac:dyDescent="0.15"/>
  <cols>
    <col min="1" max="1" width="40.33203125" style="59" bestFit="true" customWidth="true"/>
    <col min="2" max="4" width="9.5" style="59" bestFit="true" customWidth="true"/>
    <col min="5" max="7" width="9" style="59" bestFit="true" customWidth="true"/>
    <col min="8" max="16" width="12.6640625" style="59" bestFit="true" customWidth="true"/>
    <col min="17" max="17" width="12.33203125" style="59" bestFit="true" customWidth="true"/>
    <col min="18" max="18" width="8.83203125" style="59"/>
    <col min="19" max="21" width="9.33203125" style="59" bestFit="true" customWidth="true"/>
    <col min="22" max="23" width="8.83203125" style="59"/>
    <col min="24" max="24" width="9.33203125" style="59" bestFit="true" customWidth="true"/>
    <col min="25" max="27" width="8.83203125" style="59"/>
    <col min="28" max="58" width="9" style="59" bestFit="true" customWidth="true"/>
    <col min="59" max="59" width="12.33203125" style="59" bestFit="true" customWidth="true"/>
    <col min="60" max="60" width="9" style="59" bestFit="true" customWidth="true"/>
    <col min="61" max="61" width="11.33203125" style="59" bestFit="true" customWidth="true"/>
    <col min="62" max="77" width="9" style="59" bestFit="true" customWidth="true"/>
    <col min="78" max="78" width="12.33203125" style="59" bestFit="true" customWidth="true"/>
    <col min="79" max="79" width="9" style="59" bestFit="true" customWidth="true"/>
    <col min="80" max="80" width="12.33203125" style="59" bestFit="true" customWidth="true"/>
    <col min="81" max="107" width="9" style="59" bestFit="true" customWidth="true"/>
    <col min="108" max="108" width="11.33203125" style="59" bestFit="true" customWidth="true"/>
    <col min="109" max="124" width="9" style="59" bestFit="true" customWidth="true"/>
    <col min="125" max="125" width="10.33203125" style="59" bestFit="true" customWidth="true"/>
    <col min="126" max="129" width="9.33203125" style="59" bestFit="true" customWidth="true"/>
    <col min="130" max="130" width="9" style="59" bestFit="true" customWidth="true"/>
    <col min="131" max="134" width="9.33203125" style="59" bestFit="true" customWidth="true"/>
    <col min="135" max="165" width="9" style="59" bestFit="true" customWidth="true"/>
    <col min="166" max="166" width="12.33203125" style="59" bestFit="true" customWidth="true"/>
    <col min="167" max="170" width="9" style="59" bestFit="true" customWidth="true"/>
    <col min="171" max="176" width="8.83203125" style="59"/>
    <col min="177" max="177" width="13.83203125" style="59" bestFit="true" customWidth="true"/>
    <col min="178" max="16384" width="8.83203125" style="59"/>
  </cols>
  <sheetData>
    <row r="1" ht="15" customHeight="true" x14ac:dyDescent="0.15">
      <c r="A1" t="s">
        <v>15</v>
      </c>
      <c r="B1" t="s">
        <v>1</v>
      </c>
      <c r="C1" t="s">
        <v>16</v>
      </c>
      <c r="D1" t="s">
        <v>232</v>
      </c>
      <c r="E1" t="s">
        <v>233</v>
      </c>
      <c r="F1" t="s">
        <v>234</v>
      </c>
      <c r="G1" t="s">
        <v>235</v>
      </c>
      <c r="H1" t="s">
        <v>236</v>
      </c>
      <c r="I1" t="s">
        <v>237</v>
      </c>
      <c r="J1" t="s">
        <v>238</v>
      </c>
      <c r="K1" t="s">
        <v>239</v>
      </c>
      <c r="L1" t="s">
        <v>240</v>
      </c>
      <c r="M1" t="s">
        <v>241</v>
      </c>
      <c r="N1" t="s">
        <v>242</v>
      </c>
      <c r="O1" t="s">
        <v>243</v>
      </c>
      <c r="P1" t="s">
        <v>244</v>
      </c>
      <c r="Q1" t="s">
        <v>182</v>
      </c>
      <c r="R1" t="s">
        <v>183</v>
      </c>
      <c r="S1" t="s">
        <v>184</v>
      </c>
      <c r="T1" t="s">
        <v>185</v>
      </c>
      <c r="U1" t="s">
        <v>186</v>
      </c>
      <c r="V1" t="s">
        <v>187</v>
      </c>
      <c r="W1" t="s">
        <v>188</v>
      </c>
      <c r="X1" t="s">
        <v>189</v>
      </c>
      <c r="Y1" t="s">
        <v>190</v>
      </c>
      <c r="Z1" t="s">
        <v>191</v>
      </c>
      <c r="AA1" t="s">
        <v>192</v>
      </c>
      <c r="AB1" t="s">
        <v>193</v>
      </c>
      <c r="AC1" t="s">
        <v>194</v>
      </c>
      <c r="AD1" t="s">
        <v>195</v>
      </c>
      <c r="AE1" t="s">
        <v>196</v>
      </c>
      <c r="AF1" t="s">
        <v>197</v>
      </c>
      <c r="AG1" t="s">
        <v>198</v>
      </c>
      <c r="AH1" t="s">
        <v>199</v>
      </c>
      <c r="AI1" t="s">
        <v>200</v>
      </c>
      <c r="AJ1" t="s">
        <v>201</v>
      </c>
      <c r="AK1" t="s">
        <v>202</v>
      </c>
      <c r="AL1" t="s">
        <v>203</v>
      </c>
      <c r="AM1" t="s">
        <v>204</v>
      </c>
      <c r="AN1" t="s">
        <v>205</v>
      </c>
      <c r="AO1" t="s">
        <v>206</v>
      </c>
      <c r="AP1" t="s">
        <v>207</v>
      </c>
      <c r="AQ1" t="s">
        <v>208</v>
      </c>
      <c r="AR1" t="s">
        <v>209</v>
      </c>
      <c r="AS1" t="s">
        <v>175</v>
      </c>
      <c r="AT1" t="s">
        <v>210</v>
      </c>
      <c r="AU1" t="s">
        <v>211</v>
      </c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ht="15" customHeight="true" x14ac:dyDescent="0.15">
      <c r="A2" t="s">
        <v>182</v>
      </c>
      <c r="B2">
        <v>154.39999389648438</v>
      </c>
      <c r="C2">
        <v>127.87852478027344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 s="264">
        <v>18.049089431762695</v>
      </c>
      <c r="T2" s="17">
        <v>6.611565113067627</v>
      </c>
      <c r="U2" s="15">
        <v>1.7492517232894897</v>
      </c>
      <c r="V2"/>
      <c r="W2" s="8">
        <v>5.9353817254304886E-2</v>
      </c>
      <c r="X2" s="8">
        <v>5.2210282534360886E-2</v>
      </c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ht="15" customHeight="true" x14ac:dyDescent="0.15">
      <c r="A3" t="s">
        <v>183</v>
      </c>
      <c r="B3">
        <v>15</v>
      </c>
      <c r="C3">
        <v>7.5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 s="65">
        <v>3.0745344161987305</v>
      </c>
      <c r="AU3" s="293">
        <v>4.4254660606384277</v>
      </c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ht="15" customHeight="true" x14ac:dyDescent="0.15">
      <c r="A4" t="s">
        <v>184</v>
      </c>
      <c r="B4">
        <v>482</v>
      </c>
      <c r="C4">
        <v>24.100006103515625</v>
      </c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 s="299">
        <v>96.400001525878906</v>
      </c>
      <c r="T4" s="300">
        <v>282.4984130859375</v>
      </c>
      <c r="U4" s="297">
        <v>74.741889953613281</v>
      </c>
      <c r="V4"/>
      <c r="W4" s="9">
        <v>2.0288519859313965</v>
      </c>
      <c r="X4" s="9">
        <v>2.2308368682861328</v>
      </c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ht="15" customHeight="true" x14ac:dyDescent="0.15">
      <c r="A5" t="s">
        <v>185</v>
      </c>
      <c r="B5">
        <v>40</v>
      </c>
      <c r="C5">
        <v>2.0000100135803223</v>
      </c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 s="298">
        <v>17.691226959228516</v>
      </c>
      <c r="V5" s="13">
        <v>0.6362571120262146</v>
      </c>
      <c r="W5" s="292">
        <v>6.8227090835571289</v>
      </c>
      <c r="X5" s="15">
        <v>0.47709780931472778</v>
      </c>
      <c r="Y5" s="296">
        <v>5.6785979270935059</v>
      </c>
      <c r="Z5" s="12">
        <v>0.38641044497489929</v>
      </c>
      <c r="AA5" s="8">
        <v>2.9776303563266993E-3</v>
      </c>
      <c r="AB5" s="21">
        <v>1.0612363815307617</v>
      </c>
      <c r="AC5" s="247">
        <v>0.82700002193450928</v>
      </c>
      <c r="AD5" s="263">
        <v>4.3878993988037109</v>
      </c>
      <c r="AE5"/>
      <c r="AF5"/>
      <c r="AG5"/>
      <c r="AH5"/>
      <c r="AI5"/>
      <c r="AJ5"/>
      <c r="AK5"/>
      <c r="AL5" s="8">
        <v>6.5906085073947906E-3</v>
      </c>
      <c r="AM5" s="8">
        <v>1.6907645389437675E-2</v>
      </c>
      <c r="AN5"/>
      <c r="AO5"/>
      <c r="AP5"/>
      <c r="AQ5"/>
      <c r="AR5" s="8">
        <v>2.9094803612679243E-3</v>
      </c>
      <c r="AS5" s="8">
        <v>2.1759951487183571E-3</v>
      </c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ht="15" customHeight="true" x14ac:dyDescent="0.15">
      <c r="A6" t="s">
        <v>186</v>
      </c>
      <c r="B6">
        <v>13</v>
      </c>
      <c r="C6">
        <v>0.64999938011169434</v>
      </c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 s="20">
        <v>7.1413055062294006E-2</v>
      </c>
      <c r="W6" s="64">
        <v>2.4361534118652344</v>
      </c>
      <c r="X6" s="20">
        <v>6.8936809897422791E-2</v>
      </c>
      <c r="Y6" s="74">
        <v>2.2661755084991455</v>
      </c>
      <c r="Z6" s="9">
        <v>4.5690666884183884E-2</v>
      </c>
      <c r="AA6" s="15">
        <v>0.1425950676202774</v>
      </c>
      <c r="AB6" s="13">
        <v>0.21175543963909149</v>
      </c>
      <c r="AC6" s="251">
        <v>0.66006702184677124</v>
      </c>
      <c r="AD6" s="207">
        <v>3.9399585723876953</v>
      </c>
      <c r="AE6" s="8">
        <v>9.5012420788407326E-3</v>
      </c>
      <c r="AF6" s="8">
        <v>4.2053526267409325E-3</v>
      </c>
      <c r="AG6" s="247">
        <v>0.2889244556427002</v>
      </c>
      <c r="AH6" s="66">
        <v>0.3808157742023468</v>
      </c>
      <c r="AI6" s="11">
        <v>1.3068218715488911E-2</v>
      </c>
      <c r="AJ6" s="263">
        <v>1.4268286228179932</v>
      </c>
      <c r="AK6" s="9">
        <v>6.0861911624670029E-2</v>
      </c>
      <c r="AL6" s="18">
        <v>0.25564908981323242</v>
      </c>
      <c r="AM6" s="9">
        <v>5.0605401396751404E-2</v>
      </c>
      <c r="AN6"/>
      <c r="AO6"/>
      <c r="AP6"/>
      <c r="AQ6"/>
      <c r="AR6" s="8">
        <v>2.3221906740218401E-3</v>
      </c>
      <c r="AS6" s="11">
        <v>1.4473016373813152E-2</v>
      </c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ht="15" customHeight="true" x14ac:dyDescent="0.15">
      <c r="A7" t="s">
        <v>187</v>
      </c>
      <c r="B7">
        <v>0.58399999141693115</v>
      </c>
      <c r="C7">
        <v>0.49321359395980835</v>
      </c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 s="80">
        <v>6.6760003566741943E-2</v>
      </c>
      <c r="W7"/>
      <c r="X7"/>
      <c r="Y7"/>
      <c r="Z7" s="242">
        <v>2.4026401340961456E-2</v>
      </c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ht="15" customHeight="true" x14ac:dyDescent="0.15">
      <c r="A8" t="s">
        <v>188</v>
      </c>
      <c r="B8">
        <v>1.3999999761581421</v>
      </c>
      <c r="C8">
        <v>1.399990264326334E-2</v>
      </c>
      <c r="D8" s="238">
        <v>0.15009972453117371</v>
      </c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 s="20">
        <v>7.1644238196313381E-3</v>
      </c>
      <c r="AB8"/>
      <c r="AC8" s="17">
        <v>6.1225544661283493E-2</v>
      </c>
      <c r="AD8"/>
      <c r="AE8" s="250">
        <v>5.3578019142150879E-2</v>
      </c>
      <c r="AF8" s="16">
        <v>2.5456644594669342E-2</v>
      </c>
      <c r="AG8" s="24">
        <v>0.107529416680336</v>
      </c>
      <c r="AH8" s="288">
        <v>0.2236369401216507</v>
      </c>
      <c r="AI8" s="285">
        <v>0.17071299254894257</v>
      </c>
      <c r="AJ8" s="290">
        <v>0.31322869658470154</v>
      </c>
      <c r="AK8" s="8">
        <v>1.1066662846133113E-3</v>
      </c>
      <c r="AL8" s="8">
        <v>1.1893160408362746E-3</v>
      </c>
      <c r="AM8" s="19">
        <v>1.0170296765863895E-2</v>
      </c>
      <c r="AN8" s="20">
        <v>8.3412248641252518E-3</v>
      </c>
      <c r="AO8"/>
      <c r="AP8"/>
      <c r="AQ8" s="72">
        <v>0.1012108102440834</v>
      </c>
      <c r="AR8" s="23">
        <v>3.5002250224351883E-2</v>
      </c>
      <c r="AS8" s="71">
        <v>0.11634717136621475</v>
      </c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ht="15" customHeight="true" x14ac:dyDescent="0.15">
      <c r="A9" t="s">
        <v>189</v>
      </c>
      <c r="B9">
        <v>1.2000000476837158</v>
      </c>
      <c r="C9">
        <v>1.1999917216598988E-2</v>
      </c>
      <c r="D9" s="239">
        <v>0.43362119793891907</v>
      </c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 s="18">
        <v>2.2390620782971382E-2</v>
      </c>
      <c r="AB9"/>
      <c r="AC9" s="266">
        <v>0.15945433080196381</v>
      </c>
      <c r="AD9"/>
      <c r="AE9" s="16">
        <v>2.1062232553958893E-2</v>
      </c>
      <c r="AF9" s="267">
        <v>9.547007828950882E-2</v>
      </c>
      <c r="AG9" s="15">
        <v>1.3442257419228554E-2</v>
      </c>
      <c r="AH9" s="58">
        <v>7.7657945454120636E-2</v>
      </c>
      <c r="AI9" s="9">
        <v>3.5687021445482969E-3</v>
      </c>
      <c r="AJ9" s="79">
        <v>0.11653789877891541</v>
      </c>
      <c r="AK9" s="8">
        <v>3.6406418075785041E-4</v>
      </c>
      <c r="AL9" s="8">
        <v>4.9558811588212848E-4</v>
      </c>
      <c r="AM9"/>
      <c r="AN9" s="247">
        <v>2.6068419218063354E-2</v>
      </c>
      <c r="AO9"/>
      <c r="AP9"/>
      <c r="AQ9" s="265">
        <v>7.5914196670055389E-2</v>
      </c>
      <c r="AR9" s="17">
        <v>5.1049042493104935E-2</v>
      </c>
      <c r="AS9" s="24">
        <v>9.0903528034687042E-2</v>
      </c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ht="15" customHeight="true" x14ac:dyDescent="0.15">
      <c r="A10" t="s">
        <v>190</v>
      </c>
      <c r="B10">
        <v>1.2999999523162842</v>
      </c>
      <c r="C10">
        <v>0.4187563955783844</v>
      </c>
      <c r="D10" s="17">
        <v>5.4905492812395096E-2</v>
      </c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 s="9">
        <v>4.0900092571973801E-3</v>
      </c>
      <c r="AB10"/>
      <c r="AC10" s="269">
        <v>0.16311071813106537</v>
      </c>
      <c r="AD10"/>
      <c r="AE10" s="20">
        <v>7.6947142370045185E-3</v>
      </c>
      <c r="AF10" s="11">
        <v>3.4878305159509182E-3</v>
      </c>
      <c r="AG10" s="283">
        <v>0.12277227640151978</v>
      </c>
      <c r="AH10" s="67">
        <v>4.3974984437227249E-2</v>
      </c>
      <c r="AI10" s="17">
        <v>5.6713655591011047E-2</v>
      </c>
      <c r="AJ10" s="279">
        <v>0.21287530660629272</v>
      </c>
      <c r="AK10" s="14">
        <v>1.8620619550347328E-2</v>
      </c>
      <c r="AL10" s="24">
        <v>9.9579907953739166E-2</v>
      </c>
      <c r="AM10" s="62">
        <v>5.8059953153133392E-2</v>
      </c>
      <c r="AN10" s="16">
        <v>2.3332908749580383E-2</v>
      </c>
      <c r="AO10"/>
      <c r="AP10"/>
      <c r="AQ10" s="11">
        <v>1.3866956578567624E-3</v>
      </c>
      <c r="AR10" s="9">
        <v>3.9963996969163418E-3</v>
      </c>
      <c r="AS10" s="20">
        <v>6.6419998183846474E-3</v>
      </c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ht="15" customHeight="true" x14ac:dyDescent="0.15">
      <c r="A11" t="s">
        <v>191</v>
      </c>
      <c r="B11">
        <v>1</v>
      </c>
      <c r="C11">
        <v>0.24073779582977295</v>
      </c>
      <c r="D11" s="11">
        <v>2.7472530491650105E-3</v>
      </c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 s="11">
        <v>1.9571492448449135E-3</v>
      </c>
      <c r="AF11" s="255">
        <v>5.8550521731376648E-2</v>
      </c>
      <c r="AG11"/>
      <c r="AH11"/>
      <c r="AI11" s="249">
        <v>9.9483497440814972E-2</v>
      </c>
      <c r="AJ11" s="58">
        <v>6.4973756670951843E-2</v>
      </c>
      <c r="AK11" s="18">
        <v>2.0297789946198463E-2</v>
      </c>
      <c r="AL11"/>
      <c r="AM11"/>
      <c r="AN11" s="259">
        <v>0.14534011483192444</v>
      </c>
      <c r="AO11"/>
      <c r="AP11"/>
      <c r="AQ11" s="247">
        <v>2.1162347868084908E-2</v>
      </c>
      <c r="AR11" s="242">
        <v>4.0659341961145401E-2</v>
      </c>
      <c r="AS11" s="207">
        <v>0.3040904700756073</v>
      </c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ht="15" customHeight="true" x14ac:dyDescent="0.15">
      <c r="A12" t="s">
        <v>192</v>
      </c>
      <c r="B12">
        <v>0.80000001192092896</v>
      </c>
      <c r="C12">
        <v>0.10449466854333878</v>
      </c>
      <c r="D12" s="68">
        <v>3.8732394576072693E-2</v>
      </c>
      <c r="E12"/>
      <c r="F12"/>
      <c r="G12"/>
      <c r="H12"/>
      <c r="I12"/>
      <c r="J12"/>
      <c r="K12"/>
      <c r="L12"/>
      <c r="M12"/>
      <c r="N12"/>
      <c r="O12" s="246">
        <v>9.8591551184654236E-2</v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 s="9">
        <v>2.5084589142352343E-3</v>
      </c>
      <c r="AF12" s="56">
        <v>7.0495523512363434E-2</v>
      </c>
      <c r="AG12"/>
      <c r="AH12"/>
      <c r="AI12" s="262">
        <v>0.25501403212547302</v>
      </c>
      <c r="AJ12"/>
      <c r="AK12"/>
      <c r="AL12"/>
      <c r="AM12"/>
      <c r="AN12" s="73">
        <v>9.3140490353107452E-2</v>
      </c>
      <c r="AO12"/>
      <c r="AP12"/>
      <c r="AQ12" s="258">
        <v>0.11753547936677933</v>
      </c>
      <c r="AR12"/>
      <c r="AS12" s="61">
        <v>1.9487487152218819E-2</v>
      </c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ht="15" customHeight="true" x14ac:dyDescent="0.15">
      <c r="A13" t="s">
        <v>193</v>
      </c>
      <c r="B13">
        <v>1.1991424560546875</v>
      </c>
      <c r="C13">
        <v>0.76963979005813599</v>
      </c>
      <c r="D13" s="21">
        <v>3.2908540219068527E-2</v>
      </c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 s="15">
        <v>1.4652574434876442E-2</v>
      </c>
      <c r="AF13" s="257">
        <v>6.7744962871074677E-2</v>
      </c>
      <c r="AG13"/>
      <c r="AH13"/>
      <c r="AI13" s="245">
        <v>0.22344070672988892</v>
      </c>
      <c r="AJ13"/>
      <c r="AK13"/>
      <c r="AL13"/>
      <c r="AM13"/>
      <c r="AN13"/>
      <c r="AO13"/>
      <c r="AP13"/>
      <c r="AQ13" s="17">
        <v>5.2811991423368454E-2</v>
      </c>
      <c r="AR13"/>
      <c r="AS13" s="22">
        <v>3.7943858653306961E-2</v>
      </c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ht="15" customHeight="true" x14ac:dyDescent="0.15">
      <c r="A14" t="s">
        <v>194</v>
      </c>
      <c r="B14">
        <v>1.5</v>
      </c>
      <c r="C14">
        <v>0.68754982948303223</v>
      </c>
      <c r="D14"/>
      <c r="E14" s="8">
        <v>6.180469540595368E-7</v>
      </c>
      <c r="F14"/>
      <c r="G14"/>
      <c r="H14" s="242">
        <v>6.1433866620063782E-2</v>
      </c>
      <c r="I14"/>
      <c r="J14"/>
      <c r="K14"/>
      <c r="L14"/>
      <c r="M14" s="61">
        <v>3.3992581069469452E-2</v>
      </c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 s="8">
        <v>4.4029811397194862E-4</v>
      </c>
      <c r="AF14"/>
      <c r="AG14"/>
      <c r="AH14"/>
      <c r="AI14" s="281">
        <v>0.35361525416374207</v>
      </c>
      <c r="AJ14"/>
      <c r="AK14"/>
      <c r="AL14"/>
      <c r="AM14"/>
      <c r="AN14" s="79">
        <v>0.14713665843009949</v>
      </c>
      <c r="AO14" s="25">
        <v>5.3955502808094025E-2</v>
      </c>
      <c r="AP14" s="11">
        <v>3.4765144810080528E-3</v>
      </c>
      <c r="AQ14" s="61">
        <v>3.4913074225187302E-2</v>
      </c>
      <c r="AR14" s="71">
        <v>0.12348578870296478</v>
      </c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ht="15" customHeight="true" x14ac:dyDescent="0.15">
      <c r="A15" t="s">
        <v>195</v>
      </c>
      <c r="B15">
        <v>1.2000000476837158</v>
      </c>
      <c r="C15">
        <v>1.1999846436083317E-2</v>
      </c>
      <c r="D15" s="8">
        <v>7.1683141868561506E-4</v>
      </c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 s="242">
        <v>4.8859231173992157E-2</v>
      </c>
      <c r="AB15"/>
      <c r="AC15"/>
      <c r="AD15"/>
      <c r="AE15" s="9">
        <v>5.1067238673567772E-3</v>
      </c>
      <c r="AF15" s="11">
        <v>1.8518049037083983E-3</v>
      </c>
      <c r="AG15" s="287">
        <v>0.19555160403251648</v>
      </c>
      <c r="AH15" s="71">
        <v>9.9416337907314301E-2</v>
      </c>
      <c r="AI15" s="247">
        <v>2.5957895442843437E-2</v>
      </c>
      <c r="AJ15" s="289">
        <v>0.27464479207992554</v>
      </c>
      <c r="AK15" s="268">
        <v>0.19278290867805481</v>
      </c>
      <c r="AL15" s="63">
        <v>0.10814374685287476</v>
      </c>
      <c r="AM15" s="24">
        <v>9.2477858066558838E-2</v>
      </c>
      <c r="AN15" s="57">
        <v>9.480777382850647E-2</v>
      </c>
      <c r="AO15" s="12">
        <v>1.251587737351656E-2</v>
      </c>
      <c r="AP15"/>
      <c r="AQ15" s="9">
        <v>3.6812131293118E-3</v>
      </c>
      <c r="AR15" s="9">
        <v>4.2436420917510986E-3</v>
      </c>
      <c r="AS15" s="61">
        <v>2.7241885662078857E-2</v>
      </c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ht="15" customHeight="true" x14ac:dyDescent="0.15">
      <c r="A16" t="s">
        <v>196</v>
      </c>
      <c r="B16">
        <v>0.5</v>
      </c>
      <c r="C16">
        <v>5.0000250339508057E-3</v>
      </c>
      <c r="D16"/>
      <c r="E16" s="14">
        <v>7.0184352807700634E-3</v>
      </c>
      <c r="F16" s="240">
        <v>0.10527652502059937</v>
      </c>
      <c r="G16"/>
      <c r="H16" s="14">
        <v>7.0184352807700634E-3</v>
      </c>
      <c r="I16"/>
      <c r="J16"/>
      <c r="K16" s="244">
        <v>0.23862679302692413</v>
      </c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 s="8">
        <v>4.9999489419860765E-5</v>
      </c>
      <c r="AF16"/>
      <c r="AG16"/>
      <c r="AH16"/>
      <c r="AI16" s="253">
        <v>5.0830308347940445E-2</v>
      </c>
      <c r="AJ16"/>
      <c r="AK16" s="251">
        <v>2.5927487760782242E-2</v>
      </c>
      <c r="AL16"/>
      <c r="AM16"/>
      <c r="AN16" s="10">
        <v>1.8565095961093903E-2</v>
      </c>
      <c r="AO16"/>
      <c r="AP16" s="22">
        <v>1.5791479498147964E-2</v>
      </c>
      <c r="AQ16"/>
      <c r="AR16"/>
      <c r="AS16" s="251">
        <v>2.5895435363054276E-2</v>
      </c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ht="15" customHeight="true" x14ac:dyDescent="0.15">
      <c r="A17" t="s">
        <v>197</v>
      </c>
      <c r="B17">
        <v>0.49300000071525574</v>
      </c>
      <c r="C17">
        <v>5.1851697266101837E-2</v>
      </c>
      <c r="D17"/>
      <c r="E17"/>
      <c r="F17" s="241">
        <v>0.18320611119270325</v>
      </c>
      <c r="G17"/>
      <c r="H17" s="22">
        <v>1.5267176553606987E-2</v>
      </c>
      <c r="I17"/>
      <c r="J17"/>
      <c r="K17"/>
      <c r="L17"/>
      <c r="M17"/>
      <c r="N17"/>
      <c r="O17" s="13">
        <v>7.6335882768034935E-3</v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 s="12">
        <v>4.9300002865493298E-3</v>
      </c>
      <c r="AG17"/>
      <c r="AH17"/>
      <c r="AI17"/>
      <c r="AJ17"/>
      <c r="AK17"/>
      <c r="AL17"/>
      <c r="AM17"/>
      <c r="AN17" s="256">
        <v>0.20192290842533112</v>
      </c>
      <c r="AO17"/>
      <c r="AP17" s="16">
        <v>8.587786927819252E-3</v>
      </c>
      <c r="AQ17" s="250">
        <v>1.9600749015808105E-2</v>
      </c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ht="15" customHeight="true" x14ac:dyDescent="0.15">
      <c r="A18" t="s">
        <v>198</v>
      </c>
      <c r="B18">
        <v>3.5</v>
      </c>
      <c r="C18">
        <v>0.62019050121307373</v>
      </c>
      <c r="D18"/>
      <c r="E18"/>
      <c r="F18"/>
      <c r="G18"/>
      <c r="H18"/>
      <c r="I18" s="9">
        <v>1.6862170770764351E-2</v>
      </c>
      <c r="J18" s="8">
        <v>5.8651025938161183E-6</v>
      </c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 s="11">
        <v>5.222890991717577E-3</v>
      </c>
      <c r="AF18" s="18">
        <v>6.6761016845703125E-2</v>
      </c>
      <c r="AG18" s="282">
        <v>0.5</v>
      </c>
      <c r="AH18" s="261">
        <v>0.30041185021400452</v>
      </c>
      <c r="AI18" s="61">
        <v>7.9645149409770966E-2</v>
      </c>
      <c r="AJ18" s="68">
        <v>0.17339037358760834</v>
      </c>
      <c r="AK18" s="267">
        <v>0.28166905045509338</v>
      </c>
      <c r="AL18" s="247">
        <v>7.3735855519771576E-2</v>
      </c>
      <c r="AM18" s="260">
        <v>0.18916305899620056</v>
      </c>
      <c r="AN18" s="78">
        <v>0.38785779476165771</v>
      </c>
      <c r="AO18" s="260">
        <v>0.19200880825519562</v>
      </c>
      <c r="AP18"/>
      <c r="AQ18" s="246">
        <v>0.43485212326049805</v>
      </c>
      <c r="AR18" s="61">
        <v>8.3548389375209808E-2</v>
      </c>
      <c r="AS18" s="21">
        <v>9.467528760433197E-2</v>
      </c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ht="15" customHeight="true" x14ac:dyDescent="0.15">
      <c r="A19" t="s">
        <v>199</v>
      </c>
      <c r="B19">
        <v>2.1172494888305664</v>
      </c>
      <c r="C19">
        <v>2.7914976701140404E-2</v>
      </c>
      <c r="D19"/>
      <c r="E19"/>
      <c r="F19"/>
      <c r="G19"/>
      <c r="H19"/>
      <c r="I19"/>
      <c r="J19"/>
      <c r="K19"/>
      <c r="L19"/>
      <c r="M19"/>
      <c r="N19" s="20">
        <v>1.3931832276284695E-2</v>
      </c>
      <c r="O19" s="20">
        <v>1.3931832276284695E-2</v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 s="14">
        <v>2.8357341885566711E-2</v>
      </c>
      <c r="AF19" s="20">
        <v>1.2853707186877728E-2</v>
      </c>
      <c r="AG19" s="275">
        <v>0.59723776578903198</v>
      </c>
      <c r="AH19"/>
      <c r="AI19" s="276">
        <v>0.68467777967453003</v>
      </c>
      <c r="AJ19"/>
      <c r="AK19"/>
      <c r="AL19" s="18">
        <v>4.0034398436546326E-2</v>
      </c>
      <c r="AM19" s="15">
        <v>2.5676211342215538E-2</v>
      </c>
      <c r="AN19"/>
      <c r="AO19"/>
      <c r="AP19"/>
      <c r="AQ19" s="272">
        <v>0.511039137840271</v>
      </c>
      <c r="AR19" s="19">
        <v>1.4727937057614326E-2</v>
      </c>
      <c r="AS19" s="70">
        <v>0.14686661958694458</v>
      </c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ht="15" customHeight="true" x14ac:dyDescent="0.15">
      <c r="A20" t="s">
        <v>200</v>
      </c>
      <c r="B20">
        <v>0.80079984664916992</v>
      </c>
      <c r="C20">
        <v>0.1943250447511673</v>
      </c>
      <c r="D20"/>
      <c r="E20"/>
      <c r="F20" s="8">
        <v>1.2150668453614344E-6</v>
      </c>
      <c r="G20" s="8">
        <v>2.4301336907228688E-6</v>
      </c>
      <c r="H20"/>
      <c r="I20"/>
      <c r="J20"/>
      <c r="K20"/>
      <c r="L20" s="245">
        <v>0.14905588328838348</v>
      </c>
      <c r="M20"/>
      <c r="N20" s="22">
        <v>2.5795867666602135E-2</v>
      </c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 s="263">
        <v>8.7999984622001648E-2</v>
      </c>
      <c r="AJ20"/>
      <c r="AK20"/>
      <c r="AL20"/>
      <c r="AM20" s="250">
        <v>3.1350962817668915E-2</v>
      </c>
      <c r="AN20" s="268">
        <v>0.1285632997751236</v>
      </c>
      <c r="AO20" s="266">
        <v>0.10607533901929855</v>
      </c>
      <c r="AP20"/>
      <c r="AQ20" s="261">
        <v>6.8638339638710022E-2</v>
      </c>
      <c r="AR20" s="15">
        <v>8.9914947748184204E-3</v>
      </c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ht="15" customHeight="true" x14ac:dyDescent="0.15">
      <c r="A21" t="s">
        <v>201</v>
      </c>
      <c r="B21">
        <v>2.5059435367584229</v>
      </c>
      <c r="C21">
        <v>1.9079100340604782E-2</v>
      </c>
      <c r="D21"/>
      <c r="E21"/>
      <c r="F21"/>
      <c r="G21"/>
      <c r="H21"/>
      <c r="I21"/>
      <c r="J21"/>
      <c r="K21"/>
      <c r="L21"/>
      <c r="M21"/>
      <c r="N21"/>
      <c r="O21" s="8">
        <v>2.3197748232632875E-3</v>
      </c>
      <c r="P21" s="62">
        <v>0.11390094459056854</v>
      </c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 s="14">
        <v>3.3052258193492889E-2</v>
      </c>
      <c r="AF21" s="20">
        <v>1.697937585413456E-2</v>
      </c>
      <c r="AG21" s="284">
        <v>0.82268494367599487</v>
      </c>
      <c r="AH21" s="251">
        <v>0.12795932590961456</v>
      </c>
      <c r="AI21" s="280">
        <v>0.42001837491989136</v>
      </c>
      <c r="AJ21"/>
      <c r="AK21" s="279">
        <v>0.414202481508255</v>
      </c>
      <c r="AL21" s="23">
        <v>6.2216799706220627E-2</v>
      </c>
      <c r="AM21" s="22">
        <v>7.9805955290794373E-2</v>
      </c>
      <c r="AN21"/>
      <c r="AO21"/>
      <c r="AP21"/>
      <c r="AQ21" s="57">
        <v>0.19854937493801117</v>
      </c>
      <c r="AR21" s="9">
        <v>9.7275897860527039E-3</v>
      </c>
      <c r="AS21" s="69">
        <v>0.18544743955135345</v>
      </c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ht="15" customHeight="true" x14ac:dyDescent="0.15">
      <c r="A22" t="s">
        <v>202</v>
      </c>
      <c r="B22">
        <v>0.8013494610786438</v>
      </c>
      <c r="C22">
        <v>1.6994961770251393E-3</v>
      </c>
      <c r="D22"/>
      <c r="E22"/>
      <c r="F22"/>
      <c r="G22" s="8">
        <v>1.2722646260954207E-6</v>
      </c>
      <c r="H22"/>
      <c r="I22"/>
      <c r="J22"/>
      <c r="K22"/>
      <c r="L22"/>
      <c r="M22"/>
      <c r="N22"/>
      <c r="O22"/>
      <c r="P22" s="248">
        <v>0.43727734684944153</v>
      </c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 s="264">
        <v>9.3999937176704407E-2</v>
      </c>
      <c r="AL22"/>
      <c r="AM22" s="242">
        <v>3.2826770097017288E-2</v>
      </c>
      <c r="AN22" s="240">
        <v>0.168269082903862</v>
      </c>
      <c r="AO22"/>
      <c r="AP22"/>
      <c r="AQ22" s="72">
        <v>5.8802243322134018E-2</v>
      </c>
      <c r="AR22" s="12">
        <v>8.4732826799154282E-3</v>
      </c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ht="15" customHeight="true" x14ac:dyDescent="0.15">
      <c r="A23" t="s">
        <v>203</v>
      </c>
      <c r="B23">
        <v>0.69999998807907104</v>
      </c>
      <c r="C23">
        <v>6.99995132163167E-3</v>
      </c>
      <c r="D23"/>
      <c r="E23"/>
      <c r="F23"/>
      <c r="G23"/>
      <c r="H23"/>
      <c r="I23"/>
      <c r="J23"/>
      <c r="K23"/>
      <c r="L23"/>
      <c r="M23"/>
      <c r="N23"/>
      <c r="O23" s="247">
        <v>1.5317975543439388E-2</v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 s="57">
        <v>5.4562803357839584E-2</v>
      </c>
      <c r="AF23" s="260">
        <v>3.8671884685754776E-2</v>
      </c>
      <c r="AG23"/>
      <c r="AH23" s="19">
        <v>5.486643873155117E-3</v>
      </c>
      <c r="AI23" s="9">
        <v>2.5213384069502354E-3</v>
      </c>
      <c r="AJ23" s="11">
        <v>1.6467132372781634E-3</v>
      </c>
      <c r="AK23" s="263">
        <v>7.7164947986602783E-2</v>
      </c>
      <c r="AL23" s="243">
        <v>0.10504200309514999</v>
      </c>
      <c r="AM23" s="273">
        <v>0.17965088784694672</v>
      </c>
      <c r="AN23" s="270">
        <v>9.208853542804718E-2</v>
      </c>
      <c r="AO23" s="17">
        <v>3.0392257496714592E-2</v>
      </c>
      <c r="AP23" s="11">
        <v>1.5666112303733826E-3</v>
      </c>
      <c r="AQ23" s="269">
        <v>8.7602943181991577E-2</v>
      </c>
      <c r="AR23"/>
      <c r="AS23" s="11">
        <v>1.2844926677644253E-3</v>
      </c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ht="15" customHeight="true" x14ac:dyDescent="0.15">
      <c r="A24" t="s">
        <v>204</v>
      </c>
      <c r="B24">
        <v>0.69999998807907104</v>
      </c>
      <c r="C24">
        <v>6.9999098777770996E-3</v>
      </c>
      <c r="D24"/>
      <c r="E24"/>
      <c r="F24"/>
      <c r="G24" s="20">
        <v>3.5268799401819706E-3</v>
      </c>
      <c r="H24"/>
      <c r="I24"/>
      <c r="J24"/>
      <c r="K24"/>
      <c r="L24"/>
      <c r="M24"/>
      <c r="N24"/>
      <c r="O24" s="22">
        <v>2.1703876554965973E-2</v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 s="9">
        <v>2.1378409583121538E-3</v>
      </c>
      <c r="AI24" s="11">
        <v>9.824258740991354E-4</v>
      </c>
      <c r="AJ24" s="8">
        <v>6.4163288334384561E-4</v>
      </c>
      <c r="AK24" s="277">
        <v>9.4209633767604828E-2</v>
      </c>
      <c r="AL24" s="18">
        <v>1.364301610738039E-2</v>
      </c>
      <c r="AM24" s="249">
        <v>6.9999992847442627E-2</v>
      </c>
      <c r="AN24" s="253">
        <v>7.1763597428798676E-2</v>
      </c>
      <c r="AO24" s="286">
        <v>0.35526534914970398</v>
      </c>
      <c r="AP24" s="8">
        <v>6.104215863160789E-4</v>
      </c>
      <c r="AQ24" s="208">
        <v>5.8515451848506927E-2</v>
      </c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ht="15" customHeight="true" x14ac:dyDescent="0.15">
      <c r="A25" t="s">
        <v>205</v>
      </c>
      <c r="B25">
        <v>0.5</v>
      </c>
      <c r="C25">
        <v>3.403782844543457E-3</v>
      </c>
      <c r="D25"/>
      <c r="E25"/>
      <c r="F25" s="19">
        <v>3.4364261664450169E-3</v>
      </c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 s="274">
        <v>0.4544999897480011</v>
      </c>
      <c r="AO25"/>
      <c r="AP25" s="24">
        <v>3.8659796118736267E-2</v>
      </c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ht="15" customHeight="true" x14ac:dyDescent="0.15">
      <c r="A26" t="s">
        <v>206</v>
      </c>
      <c r="B26">
        <v>1</v>
      </c>
      <c r="C26">
        <v>0.11505776643753052</v>
      </c>
      <c r="D26"/>
      <c r="E26"/>
      <c r="F26"/>
      <c r="G26" s="11">
        <v>1.1454754276201129E-3</v>
      </c>
      <c r="H26" s="11">
        <v>1.1454754276201129E-3</v>
      </c>
      <c r="I26"/>
      <c r="J26"/>
      <c r="K26"/>
      <c r="L26"/>
      <c r="M26"/>
      <c r="N26"/>
      <c r="O26" s="12">
        <v>1.0309278033673763E-2</v>
      </c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 s="69">
        <v>7.3888428509235382E-2</v>
      </c>
      <c r="AN26"/>
      <c r="AO26" s="278">
        <v>0.60000002384185791</v>
      </c>
      <c r="AP26" s="271">
        <v>0.1984536200761795</v>
      </c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ht="15" customHeight="true" x14ac:dyDescent="0.15">
      <c r="A27" t="s">
        <v>207</v>
      </c>
      <c r="B27">
        <v>0.5</v>
      </c>
      <c r="C27">
        <v>0.5</v>
      </c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ht="15" customHeight="true" x14ac:dyDescent="0.15">
      <c r="A28" t="s">
        <v>208</v>
      </c>
      <c r="B28">
        <v>0.25</v>
      </c>
      <c r="C28">
        <v>0.13391254842281342</v>
      </c>
      <c r="D28"/>
      <c r="E28"/>
      <c r="F28"/>
      <c r="G28"/>
      <c r="H28" s="243">
        <v>3.7593983113765717E-2</v>
      </c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 s="252">
        <v>5.0751883536577225E-2</v>
      </c>
      <c r="AQ28"/>
      <c r="AR28"/>
      <c r="AS28" s="78">
        <v>2.7741586789488792E-2</v>
      </c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ht="15" customHeight="true" x14ac:dyDescent="0.15">
      <c r="A29" t="s">
        <v>209</v>
      </c>
      <c r="B29">
        <v>0.15000000596046448</v>
      </c>
      <c r="C29">
        <v>2.8378380462527275E-2</v>
      </c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 s="254">
        <v>0.12162163108587265</v>
      </c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ht="15" customHeight="true" x14ac:dyDescent="0.15">
      <c r="A30" t="s">
        <v>175</v>
      </c>
      <c r="B30">
        <v>0.12300000339746475</v>
      </c>
      <c r="C30">
        <v>0.11070123314857483</v>
      </c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 s="249">
        <v>1.2298768386244774E-2</v>
      </c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ht="15" customHeight="true" x14ac:dyDescent="0.15">
      <c r="A31" t="s">
        <v>210</v>
      </c>
      <c r="B31">
        <v>4</v>
      </c>
      <c r="C31">
        <v>0.19999980926513672</v>
      </c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 s="295">
        <v>3.8000001907348633</v>
      </c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ht="15" customHeight="true" x14ac:dyDescent="0.15">
      <c r="A32" t="s">
        <v>211</v>
      </c>
      <c r="B32">
        <v>1.2000000476837158</v>
      </c>
      <c r="C32">
        <v>6.0000017285346985E-2</v>
      </c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 s="8">
        <v>3.9203555206768215E-4</v>
      </c>
      <c r="AG32" s="261">
        <v>0.1046019122004509</v>
      </c>
      <c r="AH32"/>
      <c r="AI32"/>
      <c r="AJ32"/>
      <c r="AK32"/>
      <c r="AL32"/>
      <c r="AM32" s="292">
        <v>0.20413313806056976</v>
      </c>
      <c r="AN32"/>
      <c r="AO32" s="291">
        <v>0.12806731462478638</v>
      </c>
      <c r="AP32"/>
      <c r="AQ32" s="11">
        <v>2.8055871371179819E-3</v>
      </c>
      <c r="AR32"/>
      <c r="AS32"/>
      <c r="AT32"/>
      <c r="AU32" s="294">
        <v>0.70000004768371582</v>
      </c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ht="15" customHeight="true" x14ac:dyDescent="0.15">
      <c r="A33" t="s">
        <v>212</v>
      </c>
      <c r="B33"/>
      <c r="C33">
        <v>0.38829591870307922</v>
      </c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 s="6">
        <v>1909.40869140625</v>
      </c>
      <c r="T33"/>
      <c r="U33"/>
      <c r="V33" s="6">
        <v>0.75856053829193115</v>
      </c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ht="15" customHeight="true" x14ac:dyDescent="0.15">
      <c r="A34" t="s">
        <v>178</v>
      </c>
      <c r="B34"/>
      <c r="C34">
        <v>7.6920092105865479E-2</v>
      </c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6">
        <v>0.75856053829193115</v>
      </c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 s="6">
        <v>326.180419921875</v>
      </c>
      <c r="AU34" s="6">
        <v>395.37020874023438</v>
      </c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ht="15" customHeight="true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ht="15" customHeight="true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ht="15" customHeight="true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ht="15" customHeight="true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ht="15" customHeight="true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ht="15" customHeight="true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ht="15" customHeight="true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ht="15" customHeight="true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ht="15" customHeight="true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ht="15" customHeight="true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ht="15" customHeight="true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ht="15" customHeight="true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ht="15" customHeight="true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ht="15" customHeight="true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ht="15" customHeight="true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ht="15" customHeight="true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ht="15" customHeight="true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ht="15" customHeight="true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ht="15" customHeight="true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ht="15" customHeight="true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ht="15" customHeight="true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ht="15" customHeight="true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ht="15" customHeight="true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ht="15" customHeight="true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ht="15" customHeight="true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ht="15" customHeight="true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ht="15" customHeight="true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ht="15" customHeight="true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ht="15" customHeight="true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ht="15" customHeight="true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ht="15" customHeight="true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ht="15" customHeight="true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ht="15" customHeight="true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ht="15" customHeight="true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ht="15" customHeight="true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ht="15" customHeight="true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ht="15" customHeight="true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ht="15" customHeight="true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ht="15" customHeight="true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ht="15" customHeight="true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ht="15" customHeight="true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ht="15" customHeight="true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ht="15" customHeight="true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ht="15" customHeight="true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ht="15" customHeight="true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ht="15" customHeight="true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ht="15" customHeight="true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ht="15" customHeight="true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ht="15" customHeight="true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ht="15" customHeight="true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ht="15" customHeight="true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ht="15" customHeight="true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ht="15" customHeight="true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ht="15" customHeight="true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ht="15" customHeight="true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ht="15" customHeight="true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ht="15" customHeight="true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ht="15" customHeight="true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ht="15" customHeight="true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ht="15" customHeight="true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ht="15" customHeight="true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ht="15" customHeight="true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ht="15" customHeight="true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ht="15" customHeight="true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ht="15" customHeight="true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ht="15" customHeight="true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ht="15" customHeight="true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ht="15" customHeight="true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ht="15" customHeight="true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ht="15" customHeight="true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ht="15" customHeight="true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ht="15" customHeight="true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ht="15" customHeight="true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ht="15" customHeight="true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ht="15" customHeight="true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ht="15" customHeight="true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ht="15" customHeight="true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ht="15" customHeight="true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ht="15" customHeight="true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ht="15" customHeight="true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ht="15" customHeight="true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ht="15" customHeight="true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ht="15" customHeight="true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ht="15" customHeight="true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ht="15" customHeight="true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ht="15" customHeight="true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ht="15" customHeight="true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ht="15" customHeight="true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ht="15" customHeight="true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ht="15" customHeight="true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ht="15" customHeight="true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ht="15" customHeight="true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ht="15" customHeight="true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ht="15" customHeight="true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ht="15" customHeight="true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ht="15" customHeight="true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ht="15" customHeight="true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ht="15" customHeight="true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ht="15" customHeight="true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ht="15" customHeight="true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ht="15" customHeight="true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ht="15" customHeight="true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ht="15" customHeight="true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ht="15" customHeight="true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ht="15" customHeight="true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ht="15" customHeight="true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ht="15" customHeight="true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ht="15" customHeight="true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ht="15" customHeight="true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ht="15" customHeight="true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ht="15" customHeight="true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ht="15" customHeight="true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ht="15" customHeight="true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ht="15" customHeight="true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ht="15" customHeight="true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ht="15" customHeight="true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ht="15" customHeight="true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ht="15" customHeight="true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ht="15" customHeight="true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ht="15" customHeight="true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ht="15" customHeight="true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ht="15" customHeight="true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ht="15" customHeight="true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ht="15" customHeight="true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ht="15" customHeight="true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ht="15" customHeight="true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ht="15" customHeight="true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ht="15" customHeight="true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ht="15" customHeight="true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ht="15" customHeight="true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ht="15" customHeight="true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ht="15" customHeight="true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ht="15" customHeight="true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ht="15" customHeight="true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ht="15" customHeight="true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ht="15" customHeight="true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ht="15" customHeight="true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ht="15" customHeight="true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ht="15" customHeight="true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ht="15" customHeight="true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ht="15" customHeight="true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ht="15" customHeight="true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ht="15" customHeight="true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ht="15" customHeight="true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ht="15" customHeight="true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ht="15" customHeight="true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ht="15" customHeight="true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ht="15" customHeight="true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ht="15" customHeight="true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ht="15" customHeight="true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ht="15" customHeight="true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ht="15" customHeight="true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ht="15" customHeight="true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ht="15" customHeight="true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ht="15" customHeight="true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ht="15" customHeight="true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ht="15" customHeight="true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ht="15" customHeight="true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ht="15" customHeight="true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ht="15" customHeight="true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ht="15" customHeight="true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ht="15" customHeight="true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ht="15" customHeight="true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ht="15" customHeight="true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ht="15" customHeight="true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ht="15" customHeight="true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ht="15" customHeight="true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ht="15" customHeight="true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ht="15" customHeight="true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ht="15" customHeight="true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ht="15" customHeight="true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ht="15" customHeight="true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ht="15" customHeight="true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ht="15" customHeight="true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ht="15" customHeight="true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ht="15" customHeight="true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ht="15" customHeight="true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ht="15" customHeight="true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ht="15" customHeight="true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ht="15" customHeight="true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ht="15" customHeight="true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ht="15" customHeight="true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ht="15" customHeight="true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ht="15" customHeight="true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ht="15" customHeight="true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ht="15" customHeight="true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ht="15" customHeight="true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ht="15" customHeight="true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ht="15" customHeight="true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ht="15" customHeight="true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ht="15" customHeight="true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ht="15" customHeight="true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ht="15" customHeight="true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ht="15" customHeight="true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ht="15" customHeight="true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ht="15" customHeight="true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ht="15" customHeight="true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ht="15" customHeight="true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ht="15" customHeight="true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ht="15" customHeight="true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ht="15" customHeight="true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ht="15" customHeight="true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ht="15" customHeight="true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ht="15" customHeight="true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ht="15" customHeight="true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ht="15" customHeight="true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ht="15" customHeight="true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ht="15" customHeight="true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ht="15" customHeight="true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ht="15" customHeight="true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ht="15" customHeight="true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ht="15" customHeight="true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ht="15" customHeight="true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ht="15" customHeight="true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ht="15" customHeight="true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ht="15" customHeight="true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ht="15" customHeight="true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ht="15" customHeight="true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ht="15" customHeight="true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ht="15" customHeight="true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ht="15" customHeight="true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ht="15" customHeight="true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ht="15" customHeight="true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ht="15" customHeight="true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ht="15" customHeight="true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ht="15" customHeight="true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ht="15" customHeight="true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ht="15" customHeight="true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ht="15" customHeight="true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ht="15" customHeight="true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ht="15" customHeight="true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ht="15" customHeight="true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ht="15" customHeight="true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ht="15" customHeight="true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ht="15" customHeight="true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ht="15" customHeight="true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ht="15" customHeight="true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ht="15" customHeight="true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ht="15" customHeight="true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ht="15" customHeight="true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ht="15" customHeight="true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ht="15" customHeight="true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ht="15" customHeight="true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ht="15" customHeight="true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ht="15" customHeight="true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ht="15" customHeight="true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ht="15" customHeight="true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ht="15" customHeight="true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ht="15" customHeight="true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ht="15" customHeight="true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ht="15" customHeight="true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ht="15" customHeight="true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ht="15" customHeight="true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ht="15" customHeight="true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ht="15" customHeight="true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ht="15" customHeight="true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ht="15" customHeight="true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ht="15" customHeight="true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ht="15" customHeight="true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ht="15" customHeight="true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ht="15" customHeight="true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ht="15" customHeight="true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ht="15" customHeight="true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ht="15" customHeight="true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ht="15" customHeight="true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ht="15" customHeight="true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ht="15" customHeight="true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ht="15" customHeight="true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ht="15" customHeight="true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ht="15" customHeight="true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ht="15" customHeight="true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ht="15" customHeight="true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ht="15" customHeight="true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ht="15" customHeight="true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ht="15" customHeight="true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ht="15" customHeight="true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ht="15" customHeight="true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ht="15" customHeight="true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ht="15" customHeight="true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ht="15" customHeight="true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ht="15" customHeight="true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ht="15" customHeight="true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ht="15" customHeight="true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ht="15" customHeight="true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ht="15" customHeight="true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ht="15" customHeight="true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ht="15" customHeight="true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ht="15" customHeight="true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ht="15" customHeight="true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ht="15" customHeight="true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ht="15" customHeight="true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ht="15" customHeight="true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ht="15" customHeight="true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ht="15" customHeight="true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ht="15" customHeight="true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ht="15" customHeight="true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ht="15" customHeight="true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ht="15" customHeight="true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ht="15" customHeight="true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ht="15" customHeight="true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ht="15" customHeight="true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ht="15" customHeight="true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ht="15" customHeight="true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ht="15" customHeight="true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ht="15" customHeight="true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ht="15" customHeight="true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ht="15" customHeight="true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ht="15" customHeight="true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ht="15" customHeight="true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ht="15" customHeight="true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ht="15" customHeight="true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ht="15" customHeight="true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ht="15" customHeight="true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ht="15" customHeight="true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ht="15" customHeight="true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ht="15" customHeight="true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ht="15" customHeight="true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ht="15" customHeight="true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ht="15" customHeight="true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ht="15" customHeight="true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ht="15" customHeight="true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ht="15" customHeight="true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ht="15" customHeight="true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ht="15" customHeight="true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ht="15" customHeight="true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ht="15" customHeight="true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ht="15" customHeight="true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ht="15" customHeight="true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ht="15" customHeight="true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ht="15" customHeight="true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ht="15" customHeight="true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ht="15" customHeight="true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ht="15" customHeight="true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ht="15" customHeight="true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ht="15" customHeight="true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ht="15" customHeight="true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ht="15" customHeight="true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ht="15" customHeight="true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ht="15" customHeight="true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ht="15" customHeight="true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ht="15" customHeight="true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ht="15" customHeight="true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ht="15" customHeight="true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ht="15" customHeight="true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ht="15" customHeight="true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ht="15" customHeight="true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ht="15" customHeight="true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ht="15" customHeight="true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ht="15" customHeight="true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ht="15" customHeight="true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ht="15" customHeight="true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ht="15" customHeight="true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ht="15" customHeight="true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ht="15" customHeight="true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ht="15" customHeight="true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ht="15" customHeight="true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ht="15" customHeight="true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ht="15" customHeight="true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ht="15" customHeight="true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ht="15" customHeight="true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ht="15" customHeight="true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ht="15" customHeight="true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ht="15" customHeight="true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ht="15" customHeight="true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ht="15" customHeight="true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ht="15" customHeight="true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ht="15" customHeight="true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ht="15" customHeight="true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ht="15" customHeight="true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ht="15" customHeight="true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ht="15" customHeight="true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ht="15" customHeight="true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ht="15" customHeight="true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ht="15" customHeight="true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ht="15" customHeight="true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ht="15" customHeight="true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ht="15" customHeight="true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ht="15" customHeight="true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ht="15" customHeight="true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ht="15" customHeight="true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ht="15" customHeight="true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ht="15" customHeight="true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ht="15" customHeight="true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ht="15" customHeight="true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ht="15" customHeight="true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ht="15" customHeight="true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ht="15" customHeight="true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ht="15" customHeight="true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ht="15" customHeight="true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ht="15" customHeight="true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ht="15" customHeight="true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ht="15" customHeight="true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ht="15" customHeight="true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ht="15" customHeight="true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ht="15" customHeight="true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ht="15" customHeight="true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ht="15" customHeight="true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ht="15" customHeight="true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ht="15" customHeight="true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ht="15" customHeight="true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ht="15" customHeight="true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ht="15" customHeight="true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ht="15" customHeight="true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ht="15" customHeight="true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ht="15" customHeight="true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ht="15" customHeight="true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ht="15" customHeight="true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ht="15" customHeight="true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ht="15" customHeight="true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ht="15" customHeight="true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ht="15" customHeight="true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ht="15" customHeight="true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ht="15" customHeight="true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ht="15" customHeight="true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ht="15" customHeight="true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ht="15" customHeight="true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ht="15" customHeight="true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ht="15" customHeight="true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ht="15" customHeight="true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ht="15" customHeight="true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ht="15" customHeight="true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ht="15" customHeight="true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ht="15" customHeight="true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ht="15" customHeight="true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ht="15" customHeight="true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ht="15" customHeight="true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ht="15" customHeight="true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ht="15" customHeight="true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ht="15" customHeight="true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ht="15" customHeight="true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ht="15" customHeight="true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ht="15" customHeight="true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ht="15" customHeight="true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ht="15" customHeight="true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ht="15" customHeight="true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ht="15" customHeight="true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ht="15" customHeight="true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ht="15" customHeight="true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ht="15" customHeight="true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ht="15" customHeight="true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ht="15" customHeight="true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ht="15" customHeight="true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ht="15" customHeight="true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ht="15" customHeight="true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ht="15" customHeight="true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ht="15" customHeight="true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ht="15" customHeight="true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ht="15" customHeight="true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ht="15" customHeight="true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ht="15" customHeight="true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ht="15" customHeight="true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ht="15" customHeight="true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ht="15" customHeight="true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ht="15" customHeight="true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ht="15" customHeight="true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ht="15" customHeight="true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ht="15" customHeight="true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ht="15" customHeight="true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ht="15" customHeight="true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ht="15" customHeight="true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ht="15" customHeight="true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ht="15" customHeight="true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ht="15" customHeight="true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ht="15" customHeight="true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ht="15" customHeight="true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ht="15" customHeight="true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42" workbookViewId="0">
      <selection activeCell="D2" sqref="D2:D50"/>
    </sheetView>
  </sheetViews>
  <sheetFormatPr baseColWidth="10" defaultRowHeight="16" x14ac:dyDescent="0.2"/>
  <cols>
    <col min="1" max="1" width="33.6640625" bestFit="true" customWidth="true"/>
    <col min="2" max="2" width="5.85546875" customWidth="true"/>
    <col min="3" max="3" width="9" style="3" customWidth="true"/>
    <col min="4" max="4" width="31" style="82" bestFit="true" customWidth="true"/>
    <col min="5" max="5" width="13.83203125" style="82" bestFit="true" customWidth="true"/>
    <col min="6" max="6" width="7" style="82" bestFit="true" customWidth="true"/>
    <col min="7" max="7" width="15.33203125" style="82" bestFit="true" customWidth="true"/>
    <col min="8" max="8" width="31" style="82" bestFit="true" customWidth="true"/>
    <col min="9" max="9" width="10.83203125" style="82"/>
    <col min="10" max="10" width="18" bestFit="true" customWidth="true"/>
    <col min="11" max="11" width="14" bestFit="true" customWidth="true"/>
    <col min="15" max="15" width="14.33203125" bestFit="true" customWidth="true"/>
    <col min="16" max="16" width="39.83203125" bestFit="true" customWidth="true"/>
  </cols>
  <sheetData>
    <row r="1" s="1" customFormat="true" ht="17" thickBot="true" x14ac:dyDescent="0.25">
      <c r="C1" s="49"/>
      <c r="D1" s="81" t="s">
        <v>32</v>
      </c>
      <c r="E1" s="81" t="s">
        <v>33</v>
      </c>
      <c r="F1" s="81" t="s">
        <v>34</v>
      </c>
      <c r="G1" s="81" t="s">
        <v>35</v>
      </c>
      <c r="H1" s="81" t="s">
        <v>36</v>
      </c>
      <c r="I1" s="81"/>
      <c r="J1" s="1" t="s">
        <v>131</v>
      </c>
      <c r="K1" s="1" t="s">
        <v>132</v>
      </c>
      <c r="L1" s="55" t="s">
        <v>170</v>
      </c>
    </row>
    <row r="2" x14ac:dyDescent="0.2">
      <c r="A2" s="1" t="s">
        <v>37</v>
      </c>
      <c r="B2" s="35">
        <v>3</v>
      </c>
      <c r="C2" s="33"/>
      <c r="D2" s="76" t="s">
        <v>38</v>
      </c>
      <c r="E2" s="76">
        <v>1</v>
      </c>
      <c r="F2" s="76">
        <v>1</v>
      </c>
      <c r="G2" s="76">
        <v>1</v>
      </c>
      <c r="H2" s="76" t="s">
        <v>38</v>
      </c>
      <c r="J2" s="50"/>
      <c r="K2" s="83"/>
      <c r="L2" s="55" t="s">
        <v>171</v>
      </c>
    </row>
    <row r="3" ht="17" thickBot="true" x14ac:dyDescent="0.25">
      <c r="A3" s="1" t="s">
        <v>39</v>
      </c>
      <c r="B3" s="36">
        <v>0</v>
      </c>
      <c r="C3" s="33"/>
      <c r="D3" s="76" t="s">
        <v>40</v>
      </c>
      <c r="E3" s="76">
        <f>E2+1</f>
        <v>2</v>
      </c>
      <c r="F3" s="76">
        <v>1.1000000000000001</v>
      </c>
      <c r="G3" s="76">
        <f>G2+1</f>
        <v>2</v>
      </c>
      <c r="H3" s="76" t="s">
        <v>40</v>
      </c>
      <c r="J3" s="51"/>
      <c r="K3" s="52"/>
    </row>
    <row r="4" x14ac:dyDescent="0.2">
      <c r="D4" s="76" t="s">
        <v>41</v>
      </c>
      <c r="E4" s="76">
        <f t="shared" ref="E4:G19" si="0">E3+1</f>
        <v>3</v>
      </c>
      <c r="F4" s="76">
        <v>1.2</v>
      </c>
      <c r="G4" s="76">
        <f t="shared" si="0"/>
        <v>3</v>
      </c>
      <c r="H4" s="76" t="s">
        <v>41</v>
      </c>
      <c r="J4" s="51"/>
      <c r="K4" s="52"/>
    </row>
    <row r="5" x14ac:dyDescent="0.2">
      <c r="D5" s="224" t="s">
        <v>182</v>
      </c>
      <c r="E5" s="76">
        <f t="shared" si="0"/>
        <v>4</v>
      </c>
      <c r="F5" s="76">
        <v>2.1000000000000001</v>
      </c>
      <c r="G5" s="76">
        <f t="shared" si="0"/>
        <v>4</v>
      </c>
      <c r="H5" s="224" t="s">
        <v>182</v>
      </c>
      <c r="J5" s="51"/>
      <c r="K5" s="52"/>
    </row>
    <row r="6" ht="17" thickBot="true" x14ac:dyDescent="0.25">
      <c r="A6" s="37" t="s">
        <v>122</v>
      </c>
      <c r="D6" s="224" t="s">
        <v>183</v>
      </c>
      <c r="E6" s="76">
        <f t="shared" si="0"/>
        <v>5</v>
      </c>
      <c r="F6" s="76">
        <v>2.2000000000000002</v>
      </c>
      <c r="G6" s="76">
        <f t="shared" si="0"/>
        <v>5</v>
      </c>
      <c r="H6" s="224" t="s">
        <v>183</v>
      </c>
      <c r="J6" s="51"/>
      <c r="K6" s="52"/>
    </row>
    <row r="7" x14ac:dyDescent="0.2">
      <c r="A7" s="32" t="s">
        <v>127</v>
      </c>
      <c r="B7" s="39">
        <v>1</v>
      </c>
      <c r="C7" s="34"/>
      <c r="D7" s="224" t="s">
        <v>184</v>
      </c>
      <c r="E7" s="76">
        <f t="shared" si="0"/>
        <v>6</v>
      </c>
      <c r="F7" s="76">
        <v>3.1110000000000002</v>
      </c>
      <c r="G7" s="76">
        <f t="shared" si="0"/>
        <v>6</v>
      </c>
      <c r="H7" s="224" t="s">
        <v>184</v>
      </c>
      <c r="J7" s="51"/>
      <c r="K7" s="52"/>
    </row>
    <row r="8" x14ac:dyDescent="0.2">
      <c r="A8" s="32" t="s">
        <v>38</v>
      </c>
      <c r="B8" s="40">
        <v>1</v>
      </c>
      <c r="C8" s="34"/>
      <c r="D8" s="224" t="s">
        <v>185</v>
      </c>
      <c r="E8" s="76">
        <f t="shared" si="0"/>
        <v>7</v>
      </c>
      <c r="F8" s="76">
        <v>3.1099999999999999</v>
      </c>
      <c r="G8" s="76">
        <f t="shared" si="0"/>
        <v>7</v>
      </c>
      <c r="H8" s="224" t="s">
        <v>185</v>
      </c>
      <c r="J8" s="51"/>
      <c r="K8" s="52"/>
    </row>
    <row r="9" x14ac:dyDescent="0.2">
      <c r="A9" s="32" t="s">
        <v>40</v>
      </c>
      <c r="B9" s="40">
        <v>1.1000000000000001</v>
      </c>
      <c r="C9" s="34"/>
      <c r="D9" s="224" t="s">
        <v>186</v>
      </c>
      <c r="E9" s="76">
        <f t="shared" si="0"/>
        <v>8</v>
      </c>
      <c r="F9" s="76">
        <v>3.1099999999999999</v>
      </c>
      <c r="G9" s="76">
        <f t="shared" si="0"/>
        <v>8</v>
      </c>
      <c r="H9" s="224" t="s">
        <v>186</v>
      </c>
      <c r="J9" s="51"/>
      <c r="K9" s="52"/>
    </row>
    <row r="10" x14ac:dyDescent="0.2">
      <c r="A10" s="32" t="s">
        <v>41</v>
      </c>
      <c r="B10" s="40">
        <v>1.2</v>
      </c>
      <c r="C10" s="34"/>
      <c r="D10" s="224" t="s">
        <v>187</v>
      </c>
      <c r="E10" s="76">
        <f t="shared" si="0"/>
        <v>9</v>
      </c>
      <c r="F10" s="76">
        <v>3.1099999999999999</v>
      </c>
      <c r="G10" s="76">
        <f t="shared" si="0"/>
        <v>9</v>
      </c>
      <c r="H10" s="224" t="s">
        <v>187</v>
      </c>
      <c r="J10" s="51"/>
      <c r="K10" s="52"/>
    </row>
    <row r="11" ht="12" customHeight="true" x14ac:dyDescent="0.2">
      <c r="A11" s="38" t="s">
        <v>128</v>
      </c>
      <c r="B11" s="40">
        <v>2</v>
      </c>
      <c r="C11" s="34"/>
      <c r="D11" s="224" t="s">
        <v>188</v>
      </c>
      <c r="E11" s="76">
        <f t="shared" si="0"/>
        <v>10</v>
      </c>
      <c r="F11" s="76">
        <v>3.1400000000000001</v>
      </c>
      <c r="G11" s="76">
        <f t="shared" si="0"/>
        <v>10</v>
      </c>
      <c r="H11" s="224" t="s">
        <v>188</v>
      </c>
      <c r="J11" s="51"/>
      <c r="K11" s="52"/>
    </row>
    <row r="12" x14ac:dyDescent="0.2">
      <c r="A12" s="32" t="s">
        <v>42</v>
      </c>
      <c r="B12" s="40">
        <v>2.1200000000000001</v>
      </c>
      <c r="C12" s="34"/>
      <c r="D12" s="224" t="s">
        <v>189</v>
      </c>
      <c r="E12" s="76">
        <f t="shared" si="0"/>
        <v>11</v>
      </c>
      <c r="F12" s="76">
        <v>3.1400000000000001</v>
      </c>
      <c r="G12" s="76">
        <f t="shared" si="0"/>
        <v>11</v>
      </c>
      <c r="H12" s="224" t="s">
        <v>189</v>
      </c>
      <c r="J12" s="51"/>
      <c r="K12" s="52"/>
    </row>
    <row r="13" x14ac:dyDescent="0.2">
      <c r="A13" s="32" t="s">
        <v>43</v>
      </c>
      <c r="B13" s="40">
        <v>2.1099999999999999</v>
      </c>
      <c r="C13" s="34"/>
      <c r="D13" s="224" t="s">
        <v>190</v>
      </c>
      <c r="E13" s="76">
        <f t="shared" si="0"/>
        <v>12</v>
      </c>
      <c r="F13" s="76">
        <v>3.04</v>
      </c>
      <c r="G13" s="76">
        <f t="shared" si="0"/>
        <v>12</v>
      </c>
      <c r="H13" s="224" t="s">
        <v>190</v>
      </c>
      <c r="J13" s="51"/>
      <c r="K13" s="52"/>
    </row>
    <row r="14" x14ac:dyDescent="0.2">
      <c r="A14" s="32" t="s">
        <v>68</v>
      </c>
      <c r="B14" s="40">
        <v>2.2200000000000002</v>
      </c>
      <c r="C14" s="34"/>
      <c r="D14" s="224" t="s">
        <v>191</v>
      </c>
      <c r="E14" s="76">
        <f t="shared" si="0"/>
        <v>13</v>
      </c>
      <c r="F14" s="76">
        <v>3.1000000000000001</v>
      </c>
      <c r="G14" s="76">
        <f t="shared" si="0"/>
        <v>13</v>
      </c>
      <c r="H14" s="224" t="s">
        <v>191</v>
      </c>
      <c r="J14" s="51"/>
      <c r="K14" s="52"/>
    </row>
    <row r="15" x14ac:dyDescent="0.2">
      <c r="A15" s="38" t="s">
        <v>129</v>
      </c>
      <c r="B15" s="40">
        <v>3</v>
      </c>
      <c r="C15" s="34"/>
      <c r="D15" s="224" t="s">
        <v>192</v>
      </c>
      <c r="E15" s="76">
        <f t="shared" si="0"/>
        <v>14</v>
      </c>
      <c r="F15" s="76">
        <v>3.1400000000000001</v>
      </c>
      <c r="G15" s="76">
        <f t="shared" si="0"/>
        <v>14</v>
      </c>
      <c r="H15" s="224" t="s">
        <v>192</v>
      </c>
      <c r="J15" s="51"/>
      <c r="K15" s="52"/>
    </row>
    <row r="16" x14ac:dyDescent="0.2">
      <c r="A16" s="32" t="s">
        <v>63</v>
      </c>
      <c r="B16" s="40">
        <v>3.1099999999999999</v>
      </c>
      <c r="C16" s="34"/>
      <c r="D16" s="225" t="s">
        <v>193</v>
      </c>
      <c r="E16" s="76">
        <f t="shared" si="0"/>
        <v>15</v>
      </c>
      <c r="F16" s="76">
        <v>3.1400000000000001</v>
      </c>
      <c r="G16" s="76">
        <f t="shared" si="0"/>
        <v>15</v>
      </c>
      <c r="H16" s="225" t="s">
        <v>193</v>
      </c>
      <c r="J16" s="51"/>
      <c r="K16" s="52"/>
    </row>
    <row r="17" x14ac:dyDescent="0.2">
      <c r="A17" s="32" t="s">
        <v>62</v>
      </c>
      <c r="B17" s="40">
        <v>3.1400000000000001</v>
      </c>
      <c r="C17" s="34"/>
      <c r="D17" s="225" t="s">
        <v>194</v>
      </c>
      <c r="E17" s="76">
        <f t="shared" si="0"/>
        <v>16</v>
      </c>
      <c r="F17" s="76">
        <v>3.1400000000000001</v>
      </c>
      <c r="G17" s="76">
        <f t="shared" si="0"/>
        <v>16</v>
      </c>
      <c r="H17" s="225" t="s">
        <v>194</v>
      </c>
      <c r="J17" s="51"/>
      <c r="K17" s="52"/>
    </row>
    <row r="18" x14ac:dyDescent="0.2">
      <c r="A18" s="32" t="s">
        <v>69</v>
      </c>
      <c r="B18" s="40">
        <v>3.1600000000000001</v>
      </c>
      <c r="C18" s="34"/>
      <c r="D18" s="224" t="s">
        <v>195</v>
      </c>
      <c r="E18" s="76">
        <f t="shared" si="0"/>
        <v>17</v>
      </c>
      <c r="F18" s="76">
        <v>3.1400000000000001</v>
      </c>
      <c r="G18" s="76">
        <f t="shared" si="0"/>
        <v>17</v>
      </c>
      <c r="H18" s="224" t="s">
        <v>195</v>
      </c>
      <c r="J18" s="51"/>
      <c r="K18" s="52"/>
    </row>
    <row r="19" x14ac:dyDescent="0.2">
      <c r="A19" s="32" t="s">
        <v>67</v>
      </c>
      <c r="B19" s="40">
        <v>3.21</v>
      </c>
      <c r="C19" s="34"/>
      <c r="D19" s="224" t="s">
        <v>196</v>
      </c>
      <c r="E19" s="76">
        <f t="shared" si="0"/>
        <v>18</v>
      </c>
      <c r="F19" s="76">
        <v>3.1400000000000001</v>
      </c>
      <c r="G19" s="76">
        <f t="shared" si="0"/>
        <v>18</v>
      </c>
      <c r="H19" s="224" t="s">
        <v>196</v>
      </c>
      <c r="J19" s="51"/>
      <c r="K19" s="52"/>
    </row>
    <row r="20" x14ac:dyDescent="0.2">
      <c r="A20" s="32" t="s">
        <v>64</v>
      </c>
      <c r="B20" s="40">
        <v>3.2400000000000002</v>
      </c>
      <c r="C20" s="34"/>
      <c r="D20" s="224" t="s">
        <v>197</v>
      </c>
      <c r="E20" s="76">
        <f t="shared" ref="E20:G35" si="1">E19+1</f>
        <v>19</v>
      </c>
      <c r="F20" s="76">
        <v>3.1000000000000001</v>
      </c>
      <c r="G20" s="76">
        <f t="shared" si="1"/>
        <v>19</v>
      </c>
      <c r="H20" s="224" t="s">
        <v>197</v>
      </c>
      <c r="J20" s="51"/>
      <c r="K20" s="52"/>
    </row>
    <row r="21" ht="17" thickBot="true" x14ac:dyDescent="0.25">
      <c r="A21" s="32" t="s">
        <v>70</v>
      </c>
      <c r="B21" s="40">
        <v>3.2599999999999998</v>
      </c>
      <c r="C21" s="34"/>
      <c r="D21" s="224" t="s">
        <v>198</v>
      </c>
      <c r="E21" s="76">
        <f t="shared" si="1"/>
        <v>20</v>
      </c>
      <c r="F21" s="76">
        <v>3.1299999999999999</v>
      </c>
      <c r="G21" s="76">
        <f t="shared" si="1"/>
        <v>20</v>
      </c>
      <c r="H21" s="224" t="s">
        <v>198</v>
      </c>
      <c r="J21" s="53"/>
      <c r="K21" s="54"/>
      <c r="L21" s="55" t="s">
        <v>153</v>
      </c>
    </row>
    <row r="22" x14ac:dyDescent="0.2">
      <c r="A22" s="32" t="s">
        <v>65</v>
      </c>
      <c r="B22" s="40">
        <v>8</v>
      </c>
      <c r="C22" s="34"/>
      <c r="D22" s="226" t="s">
        <v>199</v>
      </c>
      <c r="E22" s="76">
        <f t="shared" si="1"/>
        <v>21</v>
      </c>
      <c r="F22" s="76">
        <v>3.1400000000000001</v>
      </c>
      <c r="G22" s="76">
        <f t="shared" si="1"/>
        <v>21</v>
      </c>
      <c r="H22" s="226" t="s">
        <v>199</v>
      </c>
    </row>
    <row r="23" x14ac:dyDescent="0.2">
      <c r="A23" s="32" t="s">
        <v>130</v>
      </c>
      <c r="B23" s="40">
        <v>4</v>
      </c>
      <c r="C23" s="34"/>
      <c r="D23" s="226" t="s">
        <v>200</v>
      </c>
      <c r="E23" s="76">
        <f t="shared" si="1"/>
        <v>22</v>
      </c>
      <c r="F23" s="76">
        <v>3.1400000000000001</v>
      </c>
      <c r="G23" s="76">
        <f t="shared" si="1"/>
        <v>22</v>
      </c>
      <c r="H23" s="226" t="s">
        <v>200</v>
      </c>
    </row>
    <row r="24" x14ac:dyDescent="0.2">
      <c r="A24" s="32" t="s">
        <v>123</v>
      </c>
      <c r="B24" s="40">
        <v>4.0999999999999996</v>
      </c>
      <c r="C24" s="34"/>
      <c r="D24" s="227" t="s">
        <v>201</v>
      </c>
      <c r="E24" s="76">
        <f t="shared" si="1"/>
        <v>23</v>
      </c>
      <c r="F24" s="76">
        <v>3.1400000000000001</v>
      </c>
      <c r="G24" s="76">
        <f t="shared" si="1"/>
        <v>23</v>
      </c>
      <c r="H24" s="227" t="s">
        <v>201</v>
      </c>
    </row>
    <row r="25" x14ac:dyDescent="0.2">
      <c r="A25" s="32" t="s">
        <v>71</v>
      </c>
      <c r="B25" s="40">
        <v>4.2000000000000002</v>
      </c>
      <c r="C25" s="34"/>
      <c r="D25" s="227" t="s">
        <v>202</v>
      </c>
      <c r="E25" s="76">
        <f t="shared" si="1"/>
        <v>24</v>
      </c>
      <c r="F25" s="76">
        <v>3.1400000000000001</v>
      </c>
      <c r="G25" s="76">
        <f t="shared" si="1"/>
        <v>24</v>
      </c>
      <c r="H25" s="227" t="s">
        <v>202</v>
      </c>
    </row>
    <row r="26" x14ac:dyDescent="0.2">
      <c r="A26" s="32" t="s">
        <v>124</v>
      </c>
      <c r="B26" s="40">
        <v>4.2999999999999998</v>
      </c>
      <c r="C26" s="34"/>
      <c r="D26" s="224" t="s">
        <v>203</v>
      </c>
      <c r="E26" s="76">
        <f t="shared" si="1"/>
        <v>25</v>
      </c>
      <c r="F26" s="76">
        <v>3.2400000000000002</v>
      </c>
      <c r="G26" s="76">
        <f t="shared" si="1"/>
        <v>25</v>
      </c>
      <c r="H26" s="224" t="s">
        <v>203</v>
      </c>
    </row>
    <row r="27" x14ac:dyDescent="0.2">
      <c r="A27" s="32" t="s">
        <v>126</v>
      </c>
      <c r="B27" s="40">
        <v>6.0999999999999996</v>
      </c>
      <c r="D27" s="224" t="s">
        <v>204</v>
      </c>
      <c r="E27" s="76">
        <f t="shared" si="1"/>
        <v>26</v>
      </c>
      <c r="F27" s="76">
        <v>3.2000000000000002</v>
      </c>
      <c r="G27" s="76">
        <f t="shared" si="1"/>
        <v>26</v>
      </c>
      <c r="H27" s="224" t="s">
        <v>204</v>
      </c>
    </row>
    <row r="28" x14ac:dyDescent="0.2">
      <c r="A28" s="32" t="s">
        <v>125</v>
      </c>
      <c r="B28" s="40">
        <v>6.2000000000000002</v>
      </c>
      <c r="D28" s="224" t="s">
        <v>205</v>
      </c>
      <c r="E28" s="76">
        <f t="shared" si="1"/>
        <v>27</v>
      </c>
      <c r="F28" s="76">
        <v>3.1400000000000001</v>
      </c>
      <c r="G28" s="76">
        <f t="shared" si="1"/>
        <v>27</v>
      </c>
      <c r="H28" s="224" t="s">
        <v>205</v>
      </c>
    </row>
    <row r="29" x14ac:dyDescent="0.2">
      <c r="A29" s="32" t="s">
        <v>44</v>
      </c>
      <c r="B29" s="40">
        <v>5</v>
      </c>
      <c r="D29" s="224" t="s">
        <v>206</v>
      </c>
      <c r="E29" s="76">
        <f t="shared" si="1"/>
        <v>28</v>
      </c>
      <c r="F29" s="76">
        <v>3.2400000000000002</v>
      </c>
      <c r="G29" s="76">
        <f t="shared" si="1"/>
        <v>28</v>
      </c>
      <c r="H29" s="224" t="s">
        <v>206</v>
      </c>
    </row>
    <row r="30" x14ac:dyDescent="0.2">
      <c r="A30" s="32" t="s">
        <v>74</v>
      </c>
      <c r="B30" s="40">
        <v>7</v>
      </c>
      <c r="D30" s="224" t="s">
        <v>207</v>
      </c>
      <c r="E30" s="76">
        <f t="shared" si="1"/>
        <v>29</v>
      </c>
      <c r="F30" s="76">
        <v>3.1400000000000001</v>
      </c>
      <c r="G30" s="76">
        <f t="shared" si="1"/>
        <v>29</v>
      </c>
      <c r="H30" s="224" t="s">
        <v>207</v>
      </c>
    </row>
    <row r="31" ht="16" customHeight="true" x14ac:dyDescent="0.2">
      <c r="A31" s="32" t="s">
        <v>173</v>
      </c>
      <c r="B31" s="40">
        <v>3.1110000000000002</v>
      </c>
      <c r="D31" s="224" t="s">
        <v>208</v>
      </c>
      <c r="E31" s="76">
        <f t="shared" si="1"/>
        <v>30</v>
      </c>
      <c r="F31" s="76">
        <v>3.1600000000000001</v>
      </c>
      <c r="G31" s="76">
        <f t="shared" si="1"/>
        <v>30</v>
      </c>
      <c r="H31" s="224" t="s">
        <v>208</v>
      </c>
    </row>
    <row r="32" ht="12" customHeight="true" thickBot="true" x14ac:dyDescent="0.25">
      <c r="A32" s="38" t="s">
        <v>174</v>
      </c>
      <c r="B32" s="41">
        <v>9</v>
      </c>
      <c r="D32" s="224" t="s">
        <v>209</v>
      </c>
      <c r="E32" s="76">
        <f t="shared" si="1"/>
        <v>31</v>
      </c>
      <c r="F32" s="76">
        <v>3.1600000000000001</v>
      </c>
      <c r="G32" s="76">
        <f t="shared" si="1"/>
        <v>31</v>
      </c>
      <c r="H32" s="224" t="s">
        <v>209</v>
      </c>
    </row>
    <row r="33" customFormat="true" ht="12" customHeight="true" x14ac:dyDescent="0.2">
      <c r="D33" s="224" t="s">
        <v>175</v>
      </c>
      <c r="E33" s="76">
        <f t="shared" si="1"/>
        <v>32</v>
      </c>
      <c r="F33" s="76">
        <v>3.1600000000000001</v>
      </c>
      <c r="G33" s="76">
        <f t="shared" si="1"/>
        <v>32</v>
      </c>
      <c r="H33" s="224" t="s">
        <v>175</v>
      </c>
      <c r="I33" s="82"/>
    </row>
    <row r="34" customFormat="true" ht="12" customHeight="true" x14ac:dyDescent="0.2">
      <c r="D34" s="224" t="s">
        <v>210</v>
      </c>
      <c r="E34" s="76">
        <f t="shared" si="1"/>
        <v>33</v>
      </c>
      <c r="F34" s="76">
        <v>3.21</v>
      </c>
      <c r="G34" s="76">
        <f t="shared" si="1"/>
        <v>33</v>
      </c>
      <c r="H34" s="224" t="s">
        <v>210</v>
      </c>
      <c r="I34" s="82"/>
    </row>
    <row r="35" customFormat="true" ht="16" customHeight="true" x14ac:dyDescent="0.2">
      <c r="D35" s="224" t="s">
        <v>211</v>
      </c>
      <c r="E35" s="76">
        <f t="shared" si="1"/>
        <v>34</v>
      </c>
      <c r="F35" s="76">
        <v>3.21</v>
      </c>
      <c r="G35" s="76">
        <f t="shared" si="1"/>
        <v>34</v>
      </c>
      <c r="H35" s="224" t="s">
        <v>211</v>
      </c>
      <c r="I35" s="82"/>
    </row>
    <row r="36" customFormat="true" ht="16" customHeight="true" x14ac:dyDescent="0.2">
      <c r="D36" s="224" t="s">
        <v>212</v>
      </c>
      <c r="E36" s="76">
        <f t="shared" ref="E36:G51" si="2">E35+1</f>
        <v>35</v>
      </c>
      <c r="F36" s="76">
        <v>4.0999999999999996</v>
      </c>
      <c r="G36" s="76">
        <f t="shared" si="2"/>
        <v>35</v>
      </c>
      <c r="H36" s="224" t="s">
        <v>212</v>
      </c>
      <c r="I36" s="82"/>
    </row>
    <row r="37" customFormat="true" ht="12" customHeight="true" x14ac:dyDescent="0.2">
      <c r="D37" s="224" t="s">
        <v>178</v>
      </c>
      <c r="E37" s="76">
        <f t="shared" si="2"/>
        <v>36</v>
      </c>
      <c r="F37" s="76">
        <v>4.2999999999999998</v>
      </c>
      <c r="G37" s="76">
        <f t="shared" si="2"/>
        <v>36</v>
      </c>
      <c r="H37" s="224" t="s">
        <v>178</v>
      </c>
      <c r="I37" s="82"/>
    </row>
    <row r="38" customFormat="true" x14ac:dyDescent="0.2">
      <c r="D38" s="224" t="s">
        <v>214</v>
      </c>
      <c r="E38" s="76">
        <f t="shared" si="2"/>
        <v>37</v>
      </c>
      <c r="F38" s="76">
        <v>5</v>
      </c>
      <c r="G38" s="76">
        <f t="shared" si="2"/>
        <v>37</v>
      </c>
      <c r="H38" s="224" t="s">
        <v>214</v>
      </c>
      <c r="I38" s="82"/>
    </row>
    <row r="39" customFormat="true" x14ac:dyDescent="0.2">
      <c r="D39" s="224" t="s">
        <v>215</v>
      </c>
      <c r="E39" s="76">
        <f t="shared" si="2"/>
        <v>38</v>
      </c>
      <c r="F39" s="76">
        <v>5</v>
      </c>
      <c r="G39" s="76">
        <f t="shared" si="2"/>
        <v>38</v>
      </c>
      <c r="H39" s="224" t="s">
        <v>215</v>
      </c>
      <c r="I39" s="82"/>
    </row>
    <row r="40" customFormat="true" x14ac:dyDescent="0.2">
      <c r="D40" s="224" t="s">
        <v>216</v>
      </c>
      <c r="E40" s="76">
        <f t="shared" si="2"/>
        <v>39</v>
      </c>
      <c r="F40" s="76">
        <v>5</v>
      </c>
      <c r="G40" s="76">
        <f t="shared" si="2"/>
        <v>39</v>
      </c>
      <c r="H40" s="224" t="s">
        <v>216</v>
      </c>
      <c r="I40" s="82"/>
    </row>
    <row r="41" customFormat="true" x14ac:dyDescent="0.2">
      <c r="D41" s="224" t="s">
        <v>217</v>
      </c>
      <c r="E41" s="76">
        <f t="shared" si="2"/>
        <v>40</v>
      </c>
      <c r="F41" s="76">
        <v>5</v>
      </c>
      <c r="G41" s="76">
        <f t="shared" si="2"/>
        <v>40</v>
      </c>
      <c r="H41" s="224" t="s">
        <v>217</v>
      </c>
      <c r="I41" s="82"/>
    </row>
    <row r="42" customFormat="true" x14ac:dyDescent="0.2">
      <c r="D42" s="224" t="s">
        <v>218</v>
      </c>
      <c r="E42" s="76">
        <f t="shared" si="2"/>
        <v>41</v>
      </c>
      <c r="F42" s="76">
        <v>5</v>
      </c>
      <c r="G42" s="76">
        <f t="shared" si="2"/>
        <v>41</v>
      </c>
      <c r="H42" s="224" t="s">
        <v>218</v>
      </c>
      <c r="I42" s="82"/>
    </row>
    <row r="43" customFormat="true" x14ac:dyDescent="0.2">
      <c r="D43" s="224" t="s">
        <v>219</v>
      </c>
      <c r="E43" s="76">
        <f t="shared" si="2"/>
        <v>42</v>
      </c>
      <c r="F43" s="76">
        <v>5</v>
      </c>
      <c r="G43" s="76">
        <f t="shared" si="2"/>
        <v>42</v>
      </c>
      <c r="H43" s="224" t="s">
        <v>219</v>
      </c>
      <c r="I43" s="82"/>
    </row>
    <row r="44" customFormat="true" x14ac:dyDescent="0.2">
      <c r="D44" s="224" t="s">
        <v>220</v>
      </c>
      <c r="E44" s="76">
        <f t="shared" si="2"/>
        <v>43</v>
      </c>
      <c r="F44" s="76">
        <v>5</v>
      </c>
      <c r="G44" s="76">
        <f t="shared" si="2"/>
        <v>43</v>
      </c>
      <c r="H44" s="224" t="s">
        <v>220</v>
      </c>
      <c r="I44" s="82"/>
    </row>
    <row r="45" customFormat="true" x14ac:dyDescent="0.2">
      <c r="D45" s="224" t="s">
        <v>221</v>
      </c>
      <c r="E45" s="76">
        <f t="shared" si="2"/>
        <v>44</v>
      </c>
      <c r="F45" s="76">
        <v>5</v>
      </c>
      <c r="G45" s="76">
        <f t="shared" si="2"/>
        <v>44</v>
      </c>
      <c r="H45" s="224" t="s">
        <v>221</v>
      </c>
      <c r="I45" s="82"/>
    </row>
    <row r="46" customFormat="true" x14ac:dyDescent="0.2">
      <c r="D46" s="224" t="s">
        <v>222</v>
      </c>
      <c r="E46" s="76">
        <f t="shared" si="2"/>
        <v>45</v>
      </c>
      <c r="F46" s="76">
        <v>5</v>
      </c>
      <c r="G46" s="76">
        <f t="shared" si="2"/>
        <v>45</v>
      </c>
      <c r="H46" s="224" t="s">
        <v>222</v>
      </c>
      <c r="I46" s="82"/>
    </row>
    <row r="47" customFormat="true" ht="16" customHeight="true" x14ac:dyDescent="0.2">
      <c r="D47" s="224" t="s">
        <v>223</v>
      </c>
      <c r="E47" s="76">
        <f t="shared" si="2"/>
        <v>46</v>
      </c>
      <c r="F47" s="76">
        <v>5</v>
      </c>
      <c r="G47" s="76">
        <f t="shared" si="2"/>
        <v>46</v>
      </c>
      <c r="H47" s="224" t="s">
        <v>223</v>
      </c>
      <c r="I47" s="82"/>
    </row>
    <row r="48" customFormat="true" ht="16" customHeight="true" x14ac:dyDescent="0.2">
      <c r="D48" s="224" t="s">
        <v>224</v>
      </c>
      <c r="E48" s="76">
        <f t="shared" si="2"/>
        <v>47</v>
      </c>
      <c r="F48" s="76">
        <v>5</v>
      </c>
      <c r="G48" s="76">
        <f t="shared" si="2"/>
        <v>47</v>
      </c>
      <c r="H48" s="224" t="s">
        <v>224</v>
      </c>
      <c r="I48" s="82"/>
    </row>
    <row r="49" ht="16" customHeight="true" x14ac:dyDescent="0.2">
      <c r="C49"/>
      <c r="D49" s="224" t="s">
        <v>225</v>
      </c>
      <c r="E49" s="76">
        <f t="shared" si="2"/>
        <v>48</v>
      </c>
      <c r="F49" s="76">
        <v>5</v>
      </c>
      <c r="G49" s="76">
        <f t="shared" si="2"/>
        <v>48</v>
      </c>
      <c r="H49" s="224" t="s">
        <v>225</v>
      </c>
    </row>
    <row r="50" ht="12" customHeight="true" x14ac:dyDescent="0.2">
      <c r="C50"/>
      <c r="D50" s="224" t="s">
        <v>226</v>
      </c>
      <c r="E50" s="76">
        <f t="shared" si="2"/>
        <v>49</v>
      </c>
      <c r="F50" s="76">
        <v>5</v>
      </c>
      <c r="G50" s="76">
        <f t="shared" si="2"/>
        <v>49</v>
      </c>
      <c r="H50" s="224" t="s">
        <v>226</v>
      </c>
    </row>
    <row r="51" ht="16" customHeight="true" x14ac:dyDescent="0.2">
      <c r="C51"/>
      <c r="D51" s="76" t="s">
        <v>139</v>
      </c>
      <c r="E51" s="76">
        <f t="shared" si="2"/>
        <v>50</v>
      </c>
      <c r="F51" s="76">
        <v>6.1</v>
      </c>
      <c r="G51" s="76">
        <f t="shared" si="2"/>
        <v>50</v>
      </c>
      <c r="H51" s="76" t="s">
        <v>139</v>
      </c>
    </row>
    <row r="52" ht="12" customHeight="true" x14ac:dyDescent="0.2">
      <c r="C52"/>
      <c r="D52" s="76" t="s">
        <v>45</v>
      </c>
      <c r="E52" s="76">
        <f t="shared" ref="E52" si="3">E51+1</f>
        <v>51</v>
      </c>
      <c r="F52" s="76">
        <v>6.2</v>
      </c>
      <c r="G52" s="76">
        <f t="shared" ref="G52" si="4">G51+1</f>
        <v>51</v>
      </c>
      <c r="H52" s="76" t="s">
        <v>45</v>
      </c>
    </row>
    <row r="53" ht="16" customHeight="true" x14ac:dyDescent="0.2">
      <c r="C53"/>
      <c r="D53" s="76"/>
      <c r="E53" s="76"/>
      <c r="F53" s="76"/>
      <c r="G53" s="76"/>
      <c r="H53" s="76"/>
    </row>
    <row r="54" ht="12" customHeight="true" x14ac:dyDescent="0.2">
      <c r="C54"/>
      <c r="D54" s="76"/>
      <c r="E54" s="76"/>
      <c r="F54" s="76"/>
      <c r="G54" s="76"/>
      <c r="H54" s="76"/>
    </row>
    <row r="55" ht="12" customHeight="true" x14ac:dyDescent="0.2">
      <c r="C55"/>
      <c r="D55" s="76"/>
      <c r="E55" s="76"/>
      <c r="F55" s="76"/>
      <c r="G55" s="76"/>
      <c r="H55" s="76"/>
    </row>
    <row r="56" ht="16" customHeight="true" x14ac:dyDescent="0.2">
      <c r="C56"/>
      <c r="D56" s="76"/>
      <c r="E56" s="76"/>
      <c r="F56" s="76"/>
      <c r="G56" s="76"/>
      <c r="H56" s="76"/>
    </row>
    <row r="57" ht="16" customHeight="true" x14ac:dyDescent="0.2">
      <c r="C57"/>
      <c r="D57" s="76"/>
      <c r="E57" s="76"/>
      <c r="F57" s="76"/>
      <c r="G57" s="76"/>
      <c r="H57" s="76"/>
    </row>
    <row r="58" x14ac:dyDescent="0.2">
      <c r="C58"/>
      <c r="D58" s="76"/>
      <c r="E58" s="76"/>
      <c r="F58" s="76"/>
      <c r="G58" s="76"/>
      <c r="H58" s="76"/>
    </row>
    <row r="59" x14ac:dyDescent="0.2">
      <c r="C59"/>
      <c r="D59"/>
      <c r="E59"/>
      <c r="F59"/>
      <c r="G59"/>
      <c r="H59"/>
    </row>
    <row r="60" x14ac:dyDescent="0.2">
      <c r="C60"/>
      <c r="D60"/>
      <c r="E60"/>
      <c r="F60"/>
      <c r="G60"/>
      <c r="H60"/>
    </row>
    <row r="61" x14ac:dyDescent="0.2">
      <c r="C61"/>
      <c r="D61"/>
      <c r="E61"/>
      <c r="F61"/>
      <c r="G61"/>
      <c r="H61"/>
    </row>
    <row r="62" x14ac:dyDescent="0.2">
      <c r="C62"/>
      <c r="D62"/>
      <c r="E62"/>
      <c r="F62"/>
      <c r="G62"/>
      <c r="H62"/>
    </row>
    <row r="63" x14ac:dyDescent="0.2">
      <c r="C63"/>
      <c r="D63"/>
      <c r="E63"/>
      <c r="F63"/>
      <c r="G63"/>
      <c r="H63"/>
    </row>
    <row r="64" x14ac:dyDescent="0.2">
      <c r="C64"/>
      <c r="D64"/>
      <c r="E64"/>
      <c r="F64"/>
      <c r="G64"/>
      <c r="H64"/>
    </row>
    <row r="65" x14ac:dyDescent="0.2">
      <c r="C65"/>
      <c r="D65"/>
      <c r="E65"/>
      <c r="F65"/>
      <c r="G65"/>
      <c r="H65"/>
    </row>
    <row r="66" x14ac:dyDescent="0.2">
      <c r="C66"/>
      <c r="D66"/>
      <c r="E66"/>
      <c r="F66"/>
      <c r="G66"/>
      <c r="H66"/>
    </row>
    <row r="67" x14ac:dyDescent="0.2">
      <c r="C67"/>
      <c r="D67"/>
      <c r="E67"/>
      <c r="F67"/>
      <c r="G67"/>
      <c r="H67"/>
    </row>
    <row r="68" x14ac:dyDescent="0.2">
      <c r="C68"/>
      <c r="D68"/>
      <c r="E68"/>
      <c r="F68"/>
      <c r="G68"/>
      <c r="H68"/>
    </row>
    <row r="69" x14ac:dyDescent="0.2">
      <c r="C69"/>
      <c r="D69"/>
      <c r="E69"/>
      <c r="F69"/>
      <c r="G69"/>
      <c r="H69"/>
    </row>
    <row r="70" x14ac:dyDescent="0.2">
      <c r="C70"/>
    </row>
    <row r="71" x14ac:dyDescent="0.2">
      <c r="C71"/>
    </row>
    <row r="72" x14ac:dyDescent="0.2">
      <c r="C72"/>
    </row>
    <row r="73" x14ac:dyDescent="0.2">
      <c r="C73"/>
    </row>
    <row r="74" x14ac:dyDescent="0.2">
      <c r="C74"/>
    </row>
    <row r="75" x14ac:dyDescent="0.2">
      <c r="C75"/>
    </row>
    <row r="76" x14ac:dyDescent="0.2">
      <c r="C76"/>
    </row>
    <row r="77" x14ac:dyDescent="0.2">
      <c r="C77"/>
    </row>
    <row r="78" x14ac:dyDescent="0.2">
      <c r="C78"/>
    </row>
    <row r="79" x14ac:dyDescent="0.2">
      <c r="C79"/>
    </row>
    <row r="80" x14ac:dyDescent="0.2">
      <c r="C80"/>
    </row>
    <row r="81" customFormat="true" x14ac:dyDescent="0.2">
      <c r="D81" s="82"/>
      <c r="E81" s="82"/>
      <c r="F81" s="82"/>
      <c r="G81" s="82"/>
      <c r="H81" s="82"/>
      <c r="I81" s="82"/>
    </row>
    <row r="82" customFormat="true" x14ac:dyDescent="0.2">
      <c r="D82" s="82"/>
      <c r="E82" s="82"/>
      <c r="F82" s="82"/>
      <c r="G82" s="82"/>
      <c r="H82" s="82"/>
      <c r="I82" s="82"/>
    </row>
    <row r="83" customFormat="true" x14ac:dyDescent="0.2">
      <c r="D83" s="82"/>
      <c r="E83" s="82"/>
      <c r="F83" s="82"/>
      <c r="G83" s="82"/>
      <c r="H83" s="82"/>
      <c r="I83" s="82"/>
    </row>
    <row r="84" customFormat="true" x14ac:dyDescent="0.2">
      <c r="D84" s="82"/>
      <c r="E84" s="82"/>
      <c r="F84" s="82"/>
      <c r="G84" s="82"/>
      <c r="H84" s="82"/>
      <c r="I84" s="82"/>
    </row>
    <row r="85" customFormat="true" x14ac:dyDescent="0.2">
      <c r="D85" s="82"/>
      <c r="E85" s="82"/>
      <c r="F85" s="82"/>
      <c r="G85" s="82"/>
      <c r="H85" s="82"/>
      <c r="I85" s="82"/>
    </row>
    <row r="86" customFormat="true" x14ac:dyDescent="0.2">
      <c r="D86" s="82"/>
      <c r="E86" s="82"/>
      <c r="F86" s="82"/>
      <c r="G86" s="82"/>
      <c r="H86" s="82"/>
      <c r="I86" s="82"/>
    </row>
    <row r="87" customFormat="true" x14ac:dyDescent="0.2">
      <c r="D87" s="82"/>
      <c r="E87" s="82"/>
      <c r="F87" s="82"/>
      <c r="G87" s="82"/>
      <c r="H87" s="82"/>
      <c r="I87" s="82"/>
    </row>
    <row r="88" customFormat="true" x14ac:dyDescent="0.2">
      <c r="D88" s="82"/>
      <c r="E88" s="82"/>
      <c r="F88" s="82"/>
      <c r="G88" s="82"/>
      <c r="H88" s="82"/>
      <c r="I88" s="82"/>
    </row>
    <row r="89" customFormat="true" x14ac:dyDescent="0.2">
      <c r="D89" s="82"/>
      <c r="E89" s="82"/>
      <c r="F89" s="82"/>
      <c r="G89" s="82"/>
      <c r="H89" s="82"/>
      <c r="I89" s="82"/>
    </row>
    <row r="90" customFormat="true" x14ac:dyDescent="0.2">
      <c r="D90" s="82"/>
      <c r="E90" s="82"/>
      <c r="F90" s="82"/>
      <c r="G90" s="82"/>
      <c r="H90" s="82"/>
      <c r="I90" s="82"/>
    </row>
    <row r="91" customFormat="true" x14ac:dyDescent="0.2">
      <c r="D91" s="82"/>
      <c r="E91" s="82"/>
      <c r="F91" s="82"/>
      <c r="G91" s="82"/>
      <c r="H91" s="82"/>
      <c r="I91" s="82"/>
    </row>
    <row r="92" customFormat="true" x14ac:dyDescent="0.2">
      <c r="D92" s="82"/>
      <c r="E92" s="82"/>
      <c r="F92" s="82"/>
      <c r="G92" s="82"/>
      <c r="H92" s="82"/>
      <c r="I92" s="82"/>
    </row>
    <row r="93" customFormat="true" x14ac:dyDescent="0.2">
      <c r="D93" s="82"/>
      <c r="E93" s="82"/>
      <c r="F93" s="82"/>
      <c r="G93" s="82"/>
      <c r="H93" s="82"/>
      <c r="I93" s="82"/>
    </row>
    <row r="94" customFormat="true" x14ac:dyDescent="0.2">
      <c r="D94" s="82"/>
      <c r="E94" s="82"/>
      <c r="F94" s="82"/>
      <c r="G94" s="82"/>
      <c r="H94" s="82"/>
      <c r="I94" s="82"/>
    </row>
    <row r="95" customFormat="true" x14ac:dyDescent="0.2">
      <c r="D95" s="82"/>
      <c r="E95" s="82"/>
      <c r="F95" s="82"/>
      <c r="G95" s="82"/>
      <c r="H95" s="82"/>
      <c r="I95" s="82"/>
    </row>
    <row r="96" customFormat="true" x14ac:dyDescent="0.2">
      <c r="D96" s="82"/>
      <c r="E96" s="82"/>
      <c r="F96" s="82"/>
      <c r="G96" s="82"/>
      <c r="H96" s="82"/>
      <c r="I96" s="82"/>
    </row>
    <row r="97" customFormat="true" x14ac:dyDescent="0.2">
      <c r="D97" s="82"/>
      <c r="E97" s="82"/>
      <c r="F97" s="82"/>
      <c r="G97" s="82"/>
      <c r="H97" s="82"/>
      <c r="I97" s="82"/>
    </row>
    <row r="98" customFormat="true" x14ac:dyDescent="0.2">
      <c r="D98" s="82"/>
      <c r="E98" s="82"/>
      <c r="F98" s="82"/>
      <c r="G98" s="82"/>
      <c r="H98" s="82"/>
      <c r="I98" s="82"/>
    </row>
    <row r="99" customFormat="true" x14ac:dyDescent="0.2">
      <c r="D99" s="82"/>
      <c r="E99" s="82"/>
      <c r="F99" s="82"/>
      <c r="G99" s="82"/>
      <c r="H99" s="82"/>
      <c r="I99" s="82"/>
    </row>
    <row r="100" customFormat="true" x14ac:dyDescent="0.2">
      <c r="D100" s="82"/>
      <c r="E100" s="82"/>
      <c r="F100" s="82"/>
      <c r="G100" s="82"/>
      <c r="H100" s="82"/>
      <c r="I100" s="82"/>
    </row>
    <row r="101" customFormat="true" x14ac:dyDescent="0.2">
      <c r="D101" s="82"/>
      <c r="E101" s="82"/>
      <c r="F101" s="82"/>
      <c r="G101" s="82"/>
      <c r="H101" s="82"/>
      <c r="I101" s="82"/>
    </row>
    <row r="102" customFormat="true" x14ac:dyDescent="0.2">
      <c r="D102" s="82"/>
      <c r="E102" s="82"/>
      <c r="F102" s="82"/>
      <c r="G102" s="82"/>
      <c r="H102" s="82"/>
      <c r="I102" s="82"/>
    </row>
    <row r="103" customFormat="true" x14ac:dyDescent="0.2">
      <c r="D103" s="82"/>
      <c r="E103" s="82"/>
      <c r="F103" s="82"/>
      <c r="G103" s="82"/>
      <c r="H103" s="82"/>
      <c r="I103" s="82"/>
    </row>
    <row r="104" customFormat="true" x14ac:dyDescent="0.2">
      <c r="D104" s="82"/>
      <c r="E104" s="82"/>
      <c r="F104" s="82"/>
      <c r="G104" s="82"/>
      <c r="H104" s="82"/>
      <c r="I104" s="82"/>
    </row>
    <row r="105" customFormat="true" x14ac:dyDescent="0.2">
      <c r="D105" s="82"/>
      <c r="E105" s="82"/>
      <c r="F105" s="82"/>
      <c r="G105" s="82"/>
      <c r="H105" s="82"/>
      <c r="I105" s="82"/>
    </row>
    <row r="106" customFormat="true" x14ac:dyDescent="0.2">
      <c r="D106" s="82"/>
      <c r="E106" s="82"/>
      <c r="F106" s="82"/>
      <c r="G106" s="82"/>
      <c r="H106" s="82"/>
      <c r="I106" s="82"/>
    </row>
    <row r="107" customFormat="true" x14ac:dyDescent="0.2">
      <c r="D107" s="82"/>
      <c r="E107" s="82"/>
      <c r="F107" s="82"/>
      <c r="G107" s="82"/>
      <c r="H107" s="82"/>
      <c r="I107" s="82"/>
    </row>
    <row r="108" customFormat="true" x14ac:dyDescent="0.2">
      <c r="D108" s="82"/>
      <c r="E108" s="82"/>
      <c r="F108" s="82"/>
      <c r="G108" s="82"/>
      <c r="H108" s="82"/>
      <c r="I108" s="82"/>
    </row>
    <row r="109" customFormat="true" x14ac:dyDescent="0.2">
      <c r="D109" s="82"/>
      <c r="E109" s="82"/>
      <c r="F109" s="82"/>
      <c r="G109" s="82"/>
      <c r="H109" s="82"/>
      <c r="I109" s="82"/>
    </row>
    <row r="110" customFormat="true" x14ac:dyDescent="0.2">
      <c r="D110" s="82"/>
      <c r="E110" s="82"/>
      <c r="F110" s="82"/>
      <c r="G110" s="82"/>
      <c r="H110" s="82"/>
      <c r="I110" s="82"/>
    </row>
    <row r="111" customFormat="true" x14ac:dyDescent="0.2">
      <c r="D111" s="82"/>
      <c r="E111" s="82"/>
      <c r="F111" s="82"/>
      <c r="G111" s="82"/>
      <c r="H111" s="82"/>
      <c r="I111" s="82"/>
    </row>
    <row r="112" customFormat="true" x14ac:dyDescent="0.2">
      <c r="D112" s="82"/>
      <c r="E112" s="82"/>
      <c r="F112" s="82"/>
      <c r="G112" s="82"/>
      <c r="H112" s="82"/>
      <c r="I112" s="82"/>
    </row>
    <row r="113" customFormat="true" x14ac:dyDescent="0.2">
      <c r="D113" s="82"/>
      <c r="E113" s="82"/>
      <c r="F113" s="82"/>
      <c r="G113" s="82"/>
      <c r="H113" s="82"/>
      <c r="I113" s="82"/>
    </row>
    <row r="114" customFormat="true" x14ac:dyDescent="0.2">
      <c r="D114" s="82"/>
      <c r="E114" s="82"/>
      <c r="F114" s="82"/>
      <c r="G114" s="82"/>
      <c r="H114" s="82"/>
      <c r="I114" s="82"/>
    </row>
    <row r="115" customFormat="true" x14ac:dyDescent="0.2">
      <c r="D115" s="82"/>
      <c r="E115" s="82"/>
      <c r="F115" s="82"/>
      <c r="G115" s="82"/>
      <c r="H115" s="82"/>
      <c r="I115" s="82"/>
    </row>
    <row r="116" customFormat="true" x14ac:dyDescent="0.2">
      <c r="D116" s="82"/>
      <c r="E116" s="82"/>
      <c r="F116" s="82"/>
      <c r="G116" s="82"/>
      <c r="H116" s="82"/>
      <c r="I116" s="82"/>
    </row>
    <row r="117" customFormat="true" x14ac:dyDescent="0.2">
      <c r="D117" s="82"/>
      <c r="E117" s="82"/>
      <c r="F117" s="82"/>
      <c r="G117" s="82"/>
      <c r="H117" s="82"/>
      <c r="I117" s="82"/>
    </row>
    <row r="118" customFormat="true" x14ac:dyDescent="0.2">
      <c r="D118" s="82"/>
      <c r="E118" s="82"/>
      <c r="F118" s="82"/>
      <c r="G118" s="82"/>
      <c r="H118" s="82"/>
      <c r="I118" s="82"/>
    </row>
    <row r="119" customFormat="true" x14ac:dyDescent="0.2">
      <c r="D119" s="82"/>
      <c r="E119" s="82"/>
      <c r="F119" s="82"/>
      <c r="G119" s="82"/>
      <c r="H119" s="82"/>
      <c r="I119" s="82"/>
    </row>
    <row r="120" customFormat="true" x14ac:dyDescent="0.2">
      <c r="D120" s="82"/>
      <c r="E120" s="82"/>
      <c r="F120" s="82"/>
      <c r="G120" s="82"/>
      <c r="H120" s="82"/>
      <c r="I120" s="82"/>
    </row>
    <row r="121" customFormat="true" x14ac:dyDescent="0.2">
      <c r="D121" s="82"/>
      <c r="E121" s="82"/>
      <c r="F121" s="82"/>
      <c r="G121" s="82"/>
      <c r="H121" s="82"/>
      <c r="I121" s="82"/>
    </row>
    <row r="122" customFormat="true" x14ac:dyDescent="0.2">
      <c r="D122" s="82"/>
      <c r="E122" s="82"/>
      <c r="F122" s="82"/>
      <c r="G122" s="82"/>
      <c r="H122" s="82"/>
      <c r="I122" s="82"/>
    </row>
    <row r="123" customFormat="true" x14ac:dyDescent="0.2">
      <c r="D123" s="82"/>
      <c r="E123" s="82"/>
      <c r="F123" s="82"/>
      <c r="G123" s="82"/>
      <c r="H123" s="82"/>
      <c r="I123" s="82"/>
    </row>
    <row r="124" customFormat="true" x14ac:dyDescent="0.2">
      <c r="D124" s="82"/>
      <c r="E124" s="82"/>
      <c r="F124" s="82"/>
      <c r="G124" s="82"/>
      <c r="H124" s="82"/>
      <c r="I124" s="82"/>
    </row>
    <row r="125" customFormat="true" x14ac:dyDescent="0.2">
      <c r="D125" s="82"/>
      <c r="E125" s="82"/>
      <c r="F125" s="82"/>
      <c r="G125" s="82"/>
      <c r="H125" s="82"/>
      <c r="I125" s="82"/>
    </row>
    <row r="126" customFormat="true" x14ac:dyDescent="0.2">
      <c r="D126" s="82"/>
      <c r="E126" s="82"/>
      <c r="F126" s="82"/>
      <c r="G126" s="82"/>
      <c r="H126" s="82"/>
      <c r="I126" s="82"/>
    </row>
    <row r="127" customFormat="true" x14ac:dyDescent="0.2">
      <c r="D127" s="82"/>
      <c r="E127" s="82"/>
      <c r="F127" s="82"/>
      <c r="G127" s="82"/>
      <c r="H127" s="82"/>
      <c r="I127" s="82"/>
    </row>
    <row r="128" customFormat="true" x14ac:dyDescent="0.2">
      <c r="D128" s="82"/>
      <c r="E128" s="82"/>
      <c r="F128" s="82"/>
      <c r="G128" s="82"/>
      <c r="H128" s="82"/>
      <c r="I128" s="82"/>
    </row>
    <row r="129" customFormat="true" x14ac:dyDescent="0.2">
      <c r="D129" s="82"/>
      <c r="E129" s="82"/>
      <c r="F129" s="82"/>
      <c r="G129" s="82"/>
      <c r="H129" s="82"/>
      <c r="I129" s="82"/>
    </row>
    <row r="130" customFormat="true" x14ac:dyDescent="0.2">
      <c r="D130" s="82"/>
      <c r="E130" s="82"/>
      <c r="F130" s="82"/>
      <c r="G130" s="82"/>
      <c r="H130" s="82"/>
      <c r="I130" s="82"/>
    </row>
    <row r="131" customFormat="true" x14ac:dyDescent="0.2">
      <c r="D131" s="82"/>
      <c r="E131" s="82"/>
      <c r="F131" s="82"/>
      <c r="G131" s="82"/>
      <c r="H131" s="82"/>
      <c r="I131" s="82"/>
    </row>
    <row r="132" customFormat="true" x14ac:dyDescent="0.2">
      <c r="D132" s="82"/>
      <c r="E132" s="82"/>
      <c r="F132" s="82"/>
      <c r="G132" s="82"/>
      <c r="H132" s="82"/>
      <c r="I132" s="82"/>
    </row>
    <row r="133" customFormat="true" x14ac:dyDescent="0.2">
      <c r="D133" s="82"/>
      <c r="E133" s="82"/>
      <c r="F133" s="82"/>
      <c r="G133" s="82"/>
      <c r="H133" s="82"/>
      <c r="I133" s="82"/>
    </row>
    <row r="134" customFormat="true" x14ac:dyDescent="0.2">
      <c r="D134" s="82"/>
      <c r="E134" s="82"/>
      <c r="F134" s="82"/>
      <c r="G134" s="82"/>
      <c r="H134" s="82"/>
      <c r="I134" s="82"/>
    </row>
    <row r="135" customFormat="true" x14ac:dyDescent="0.2">
      <c r="D135" s="82"/>
      <c r="E135" s="82"/>
      <c r="F135" s="82"/>
      <c r="G135" s="82"/>
      <c r="H135" s="82"/>
      <c r="I135" s="82"/>
    </row>
    <row r="136" customFormat="true" x14ac:dyDescent="0.2">
      <c r="D136" s="82"/>
      <c r="E136" s="82"/>
      <c r="F136" s="82"/>
      <c r="G136" s="82"/>
      <c r="H136" s="82"/>
      <c r="I136" s="82"/>
    </row>
    <row r="137" customFormat="true" x14ac:dyDescent="0.2">
      <c r="D137" s="82"/>
      <c r="E137" s="82"/>
      <c r="F137" s="82"/>
      <c r="G137" s="82"/>
      <c r="H137" s="82"/>
      <c r="I137" s="82"/>
    </row>
    <row r="138" customFormat="true" x14ac:dyDescent="0.2">
      <c r="D138" s="82"/>
      <c r="E138" s="82"/>
      <c r="F138" s="82"/>
      <c r="G138" s="82"/>
      <c r="H138" s="82"/>
      <c r="I138" s="82"/>
    </row>
    <row r="139" customFormat="true" x14ac:dyDescent="0.2">
      <c r="D139" s="82"/>
      <c r="E139" s="82"/>
      <c r="F139" s="82"/>
      <c r="G139" s="82"/>
      <c r="H139" s="82"/>
      <c r="I139" s="82"/>
    </row>
    <row r="140" customFormat="true" x14ac:dyDescent="0.2">
      <c r="D140" s="82"/>
      <c r="E140" s="82"/>
      <c r="F140" s="82"/>
      <c r="G140" s="82"/>
      <c r="H140" s="82"/>
      <c r="I140" s="82"/>
    </row>
    <row r="141" customFormat="true" x14ac:dyDescent="0.2">
      <c r="D141" s="82"/>
      <c r="E141" s="82"/>
      <c r="F141" s="82"/>
      <c r="G141" s="82"/>
      <c r="H141" s="82"/>
      <c r="I141" s="82"/>
    </row>
    <row r="142" customFormat="true" x14ac:dyDescent="0.2">
      <c r="D142" s="82"/>
      <c r="E142" s="82"/>
      <c r="F142" s="82"/>
      <c r="G142" s="82"/>
      <c r="H142" s="82"/>
      <c r="I142" s="82"/>
    </row>
    <row r="143" customFormat="true" x14ac:dyDescent="0.2">
      <c r="D143" s="82"/>
      <c r="E143" s="82"/>
      <c r="F143" s="82"/>
      <c r="G143" s="82"/>
      <c r="H143" s="82"/>
      <c r="I143" s="82"/>
    </row>
    <row r="144" customFormat="true" x14ac:dyDescent="0.2">
      <c r="D144" s="82"/>
      <c r="E144" s="82"/>
      <c r="F144" s="82"/>
      <c r="G144" s="82"/>
      <c r="H144" s="82"/>
      <c r="I144" s="82"/>
    </row>
    <row r="145" customFormat="true" x14ac:dyDescent="0.2">
      <c r="D145" s="82"/>
      <c r="E145" s="82"/>
      <c r="F145" s="82"/>
      <c r="G145" s="82"/>
      <c r="H145" s="82"/>
      <c r="I145" s="82"/>
    </row>
    <row r="146" customFormat="true" x14ac:dyDescent="0.2">
      <c r="D146" s="82"/>
      <c r="E146" s="82"/>
      <c r="F146" s="82"/>
      <c r="G146" s="82"/>
      <c r="H146" s="82"/>
      <c r="I146" s="82"/>
    </row>
    <row r="147" customFormat="true" x14ac:dyDescent="0.2">
      <c r="D147" s="82"/>
      <c r="E147" s="82"/>
      <c r="F147" s="82"/>
      <c r="G147" s="82"/>
      <c r="H147" s="82"/>
      <c r="I147" s="82"/>
    </row>
    <row r="148" customFormat="true" x14ac:dyDescent="0.2">
      <c r="D148" s="82"/>
      <c r="E148" s="82"/>
      <c r="F148" s="82"/>
      <c r="G148" s="82"/>
      <c r="H148" s="82"/>
      <c r="I148" s="82"/>
    </row>
    <row r="149" customFormat="true" x14ac:dyDescent="0.2">
      <c r="D149" s="82"/>
      <c r="E149" s="82"/>
      <c r="F149" s="82"/>
      <c r="G149" s="82"/>
      <c r="H149" s="82"/>
      <c r="I149" s="82"/>
    </row>
    <row r="150" customFormat="true" x14ac:dyDescent="0.2">
      <c r="D150" s="82"/>
      <c r="E150" s="82"/>
      <c r="F150" s="82"/>
      <c r="G150" s="82"/>
      <c r="H150" s="82"/>
      <c r="I150" s="82"/>
    </row>
    <row r="151" customFormat="true" x14ac:dyDescent="0.2">
      <c r="D151" s="82"/>
      <c r="E151" s="82"/>
      <c r="F151" s="82"/>
      <c r="G151" s="82"/>
      <c r="H151" s="82"/>
      <c r="I151" s="82"/>
    </row>
    <row r="152" customFormat="true" x14ac:dyDescent="0.2">
      <c r="D152" s="82"/>
      <c r="E152" s="82"/>
      <c r="F152" s="82"/>
      <c r="G152" s="82"/>
      <c r="H152" s="82"/>
      <c r="I152" s="82"/>
    </row>
    <row r="153" customFormat="true" x14ac:dyDescent="0.2">
      <c r="D153" s="82"/>
      <c r="E153" s="82"/>
      <c r="F153" s="82"/>
      <c r="G153" s="82"/>
      <c r="H153" s="82"/>
      <c r="I153" s="82"/>
    </row>
    <row r="154" customFormat="true" x14ac:dyDescent="0.2">
      <c r="D154" s="82"/>
      <c r="E154" s="82"/>
      <c r="F154" s="82"/>
      <c r="G154" s="82"/>
      <c r="H154" s="82"/>
      <c r="I154" s="82"/>
    </row>
    <row r="155" customFormat="true" x14ac:dyDescent="0.2">
      <c r="D155" s="82"/>
      <c r="E155" s="82"/>
      <c r="F155" s="82"/>
      <c r="G155" s="82"/>
      <c r="H155" s="82"/>
      <c r="I155" s="82"/>
    </row>
    <row r="156" customFormat="true" x14ac:dyDescent="0.2">
      <c r="D156" s="82"/>
      <c r="E156" s="82"/>
      <c r="F156" s="82"/>
      <c r="G156" s="82"/>
      <c r="H156" s="82"/>
      <c r="I156" s="82"/>
    </row>
    <row r="157" customFormat="true" x14ac:dyDescent="0.2">
      <c r="D157" s="82"/>
      <c r="E157" s="82"/>
      <c r="F157" s="82"/>
      <c r="G157" s="82"/>
      <c r="H157" s="82"/>
      <c r="I157" s="82"/>
    </row>
    <row r="158" customFormat="true" x14ac:dyDescent="0.2">
      <c r="D158" s="82"/>
      <c r="E158" s="82"/>
      <c r="F158" s="82"/>
      <c r="G158" s="82"/>
      <c r="H158" s="82"/>
      <c r="I158" s="82"/>
    </row>
    <row r="159" customFormat="true" x14ac:dyDescent="0.2">
      <c r="D159" s="82"/>
      <c r="E159" s="82"/>
      <c r="F159" s="82"/>
      <c r="G159" s="82"/>
      <c r="H159" s="82"/>
      <c r="I159" s="82"/>
    </row>
    <row r="160" customFormat="true" x14ac:dyDescent="0.2">
      <c r="D160" s="82"/>
      <c r="E160" s="82"/>
      <c r="F160" s="82"/>
      <c r="G160" s="82"/>
      <c r="H160" s="82"/>
      <c r="I160" s="82"/>
    </row>
    <row r="161" customFormat="true" x14ac:dyDescent="0.2">
      <c r="D161" s="82"/>
      <c r="E161" s="82"/>
      <c r="F161" s="82"/>
      <c r="G161" s="82"/>
      <c r="H161" s="82"/>
      <c r="I161" s="82"/>
    </row>
    <row r="162" customFormat="true" x14ac:dyDescent="0.2">
      <c r="D162" s="82"/>
      <c r="E162" s="82"/>
      <c r="F162" s="82"/>
      <c r="G162" s="82"/>
      <c r="H162" s="82"/>
      <c r="I162" s="82"/>
    </row>
    <row r="163" customFormat="true" x14ac:dyDescent="0.2">
      <c r="D163" s="82"/>
      <c r="E163" s="82"/>
      <c r="F163" s="82"/>
      <c r="G163" s="82"/>
      <c r="H163" s="82"/>
      <c r="I163" s="82"/>
    </row>
    <row r="164" customFormat="true" x14ac:dyDescent="0.2">
      <c r="D164" s="82"/>
      <c r="E164" s="82"/>
      <c r="F164" s="82"/>
      <c r="G164" s="82"/>
      <c r="H164" s="82"/>
      <c r="I164" s="82"/>
    </row>
    <row r="165" customFormat="true" x14ac:dyDescent="0.2">
      <c r="D165" s="82"/>
      <c r="E165" s="82"/>
      <c r="F165" s="82"/>
      <c r="G165" s="82"/>
      <c r="H165" s="82"/>
      <c r="I165" s="82"/>
    </row>
    <row r="166" customFormat="true" x14ac:dyDescent="0.2">
      <c r="D166" s="82"/>
      <c r="E166" s="82"/>
      <c r="F166" s="82"/>
      <c r="G166" s="82"/>
      <c r="H166" s="82"/>
      <c r="I166" s="82"/>
    </row>
    <row r="167" customFormat="true" x14ac:dyDescent="0.2">
      <c r="D167" s="82"/>
      <c r="E167" s="82"/>
      <c r="F167" s="82"/>
      <c r="G167" s="82"/>
      <c r="H167" s="82"/>
      <c r="I167" s="82"/>
    </row>
    <row r="168" customFormat="true" x14ac:dyDescent="0.2">
      <c r="D168" s="82"/>
      <c r="E168" s="82"/>
      <c r="F168" s="82"/>
      <c r="G168" s="82"/>
      <c r="H168" s="82"/>
      <c r="I168" s="82"/>
    </row>
    <row r="169" customFormat="true" x14ac:dyDescent="0.2">
      <c r="D169" s="82"/>
      <c r="E169" s="82"/>
      <c r="F169" s="82"/>
      <c r="G169" s="82"/>
      <c r="H169" s="82"/>
      <c r="I169" s="82"/>
    </row>
    <row r="170" customFormat="true" x14ac:dyDescent="0.2">
      <c r="D170" s="82"/>
      <c r="E170" s="82"/>
      <c r="F170" s="82"/>
      <c r="G170" s="82"/>
      <c r="H170" s="82"/>
      <c r="I170" s="82"/>
    </row>
    <row r="171" customFormat="true" x14ac:dyDescent="0.2">
      <c r="D171" s="82"/>
      <c r="E171" s="82"/>
      <c r="F171" s="82"/>
      <c r="G171" s="82"/>
      <c r="H171" s="82"/>
      <c r="I171" s="82"/>
    </row>
    <row r="172" customFormat="true" x14ac:dyDescent="0.2">
      <c r="D172" s="82"/>
      <c r="E172" s="82"/>
      <c r="F172" s="82"/>
      <c r="G172" s="82"/>
      <c r="H172" s="82"/>
      <c r="I172" s="82"/>
    </row>
    <row r="173" customFormat="true" x14ac:dyDescent="0.2">
      <c r="D173" s="82"/>
      <c r="E173" s="82"/>
      <c r="F173" s="82"/>
      <c r="G173" s="82"/>
      <c r="H173" s="82"/>
      <c r="I173" s="82"/>
    </row>
    <row r="174" customFormat="true" x14ac:dyDescent="0.2">
      <c r="D174" s="82"/>
      <c r="E174" s="82"/>
      <c r="F174" s="82"/>
      <c r="G174" s="82"/>
      <c r="H174" s="82"/>
      <c r="I174" s="82"/>
    </row>
    <row r="175" customFormat="true" x14ac:dyDescent="0.2">
      <c r="D175" s="82"/>
      <c r="E175" s="82"/>
      <c r="F175" s="82"/>
      <c r="G175" s="82"/>
      <c r="H175" s="82"/>
      <c r="I175" s="82"/>
    </row>
    <row r="176" customFormat="true" x14ac:dyDescent="0.2">
      <c r="D176" s="82"/>
      <c r="E176" s="82"/>
      <c r="F176" s="82"/>
      <c r="G176" s="82"/>
      <c r="H176" s="82"/>
      <c r="I176" s="82"/>
    </row>
    <row r="177" customFormat="true" x14ac:dyDescent="0.2">
      <c r="D177" s="82"/>
      <c r="E177" s="82"/>
      <c r="F177" s="82"/>
      <c r="G177" s="82"/>
      <c r="H177" s="82"/>
      <c r="I177" s="82"/>
    </row>
    <row r="178" customFormat="true" x14ac:dyDescent="0.2">
      <c r="D178" s="82"/>
      <c r="E178" s="82"/>
      <c r="F178" s="82"/>
      <c r="G178" s="82"/>
      <c r="H178" s="82"/>
      <c r="I178" s="82"/>
    </row>
    <row r="179" customFormat="true" x14ac:dyDescent="0.2">
      <c r="D179" s="82"/>
      <c r="E179" s="82"/>
      <c r="F179" s="82"/>
      <c r="G179" s="82"/>
      <c r="H179" s="82"/>
      <c r="I179" s="82"/>
    </row>
    <row r="180" customFormat="true" x14ac:dyDescent="0.2">
      <c r="D180" s="82"/>
      <c r="E180" s="82"/>
      <c r="F180" s="82"/>
      <c r="G180" s="82"/>
      <c r="H180" s="82"/>
      <c r="I180" s="82"/>
    </row>
    <row r="181" customFormat="true" x14ac:dyDescent="0.2">
      <c r="D181" s="82"/>
      <c r="E181" s="82"/>
      <c r="F181" s="82"/>
      <c r="G181" s="82"/>
      <c r="H181" s="82"/>
      <c r="I181" s="82"/>
    </row>
    <row r="182" customFormat="true" x14ac:dyDescent="0.2">
      <c r="D182" s="82"/>
      <c r="E182" s="82"/>
      <c r="F182" s="82"/>
      <c r="G182" s="82"/>
      <c r="H182" s="82"/>
      <c r="I182" s="82"/>
    </row>
    <row r="183" customFormat="true" x14ac:dyDescent="0.2">
      <c r="D183" s="82"/>
      <c r="E183" s="82"/>
      <c r="F183" s="82"/>
      <c r="G183" s="82"/>
      <c r="H183" s="82"/>
      <c r="I183" s="82"/>
    </row>
    <row r="184" customFormat="true" x14ac:dyDescent="0.2">
      <c r="D184" s="82"/>
      <c r="E184" s="82"/>
      <c r="F184" s="82"/>
      <c r="G184" s="82"/>
      <c r="H184" s="82"/>
      <c r="I184" s="82"/>
    </row>
    <row r="185" customFormat="true" x14ac:dyDescent="0.2">
      <c r="D185" s="82"/>
      <c r="E185" s="82"/>
      <c r="F185" s="82"/>
      <c r="G185" s="82"/>
      <c r="H185" s="82"/>
      <c r="I185" s="82"/>
    </row>
    <row r="186" customFormat="true" x14ac:dyDescent="0.2">
      <c r="D186" s="82"/>
      <c r="E186" s="82"/>
      <c r="F186" s="82"/>
      <c r="G186" s="82"/>
      <c r="H186" s="82"/>
      <c r="I186" s="82"/>
    </row>
    <row r="187" customFormat="true" x14ac:dyDescent="0.2">
      <c r="D187" s="82"/>
      <c r="E187" s="82"/>
      <c r="F187" s="82"/>
      <c r="G187" s="82"/>
      <c r="H187" s="82"/>
      <c r="I187" s="8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abSelected="true" zoomScale="115" workbookViewId="0">
      <pane ySplit="2" topLeftCell="A3" activePane="bottomLeft" state="frozen"/>
      <selection pane="bottomLeft" activeCell="D3" sqref="D3"/>
    </sheetView>
  </sheetViews>
  <sheetFormatPr baseColWidth="10" defaultColWidth="11.5" defaultRowHeight="15" customHeight="true" x14ac:dyDescent="0.2"/>
  <cols>
    <col min="1" max="1" width="26.1640625" style="110" bestFit="true" customWidth="true"/>
    <col min="2" max="5" width="16.1640625" style="76" customWidth="true"/>
    <col min="6" max="6" width="45.6640625" style="76" bestFit="true" customWidth="true"/>
    <col min="7" max="9" width="11.5" style="76"/>
    <col min="10" max="10" width="12.1640625" style="76" bestFit="true" customWidth="true"/>
    <col min="11" max="11" width="11.5" style="140"/>
    <col min="12" max="12" width="11.5" style="134"/>
    <col min="13" max="13" width="11.5" style="140"/>
    <col min="14" max="14" width="11.5" style="134"/>
    <col min="15" max="15" width="11.5" style="140"/>
    <col min="16" max="16" width="11.5" style="137"/>
    <col min="17" max="17" width="14.83203125" style="76" customWidth="true"/>
    <col min="18" max="18" width="22.1640625" style="103" customWidth="true"/>
    <col min="19" max="16384" width="11.5" style="76"/>
  </cols>
  <sheetData>
    <row r="1" ht="15" customHeight="true" thickBot="true" x14ac:dyDescent="0.25">
      <c r="F1" s="91"/>
      <c r="G1" s="105" t="s">
        <v>46</v>
      </c>
      <c r="H1" s="105" t="s">
        <v>47</v>
      </c>
      <c r="I1" s="105" t="s">
        <v>121</v>
      </c>
      <c r="J1" s="105" t="s">
        <v>133</v>
      </c>
      <c r="K1" s="138" t="s">
        <v>48</v>
      </c>
      <c r="L1" s="132"/>
      <c r="M1" s="138" t="s">
        <v>120</v>
      </c>
      <c r="N1" s="132"/>
      <c r="O1" s="138" t="s">
        <v>49</v>
      </c>
      <c r="P1" s="135"/>
      <c r="Q1" s="111" t="s">
        <v>50</v>
      </c>
      <c r="R1" s="105" t="s">
        <v>157</v>
      </c>
    </row>
    <row r="2" ht="15" customHeight="true" x14ac:dyDescent="0.2">
      <c r="A2" s="111" t="s">
        <v>51</v>
      </c>
      <c r="B2" s="112">
        <v>0.5</v>
      </c>
      <c r="C2" s="110" t="s">
        <v>52</v>
      </c>
      <c r="D2" s="113"/>
      <c r="F2" s="91"/>
      <c r="G2" s="114"/>
      <c r="H2" s="114"/>
      <c r="I2" s="114" t="s">
        <v>134</v>
      </c>
      <c r="J2" s="114" t="s">
        <v>134</v>
      </c>
      <c r="K2" s="139" t="s">
        <v>52</v>
      </c>
      <c r="L2" s="133" t="s">
        <v>53</v>
      </c>
      <c r="M2" s="139" t="s">
        <v>52</v>
      </c>
      <c r="N2" s="133" t="s">
        <v>53</v>
      </c>
      <c r="O2" s="139" t="s">
        <v>52</v>
      </c>
      <c r="P2" s="136" t="s">
        <v>53</v>
      </c>
      <c r="Q2" s="114"/>
      <c r="R2" s="115" t="s">
        <v>158</v>
      </c>
    </row>
    <row r="3" ht="15" customHeight="true" thickBot="true" x14ac:dyDescent="0.25">
      <c r="A3" s="111" t="s">
        <v>54</v>
      </c>
      <c r="B3" s="116">
        <v>0.5</v>
      </c>
      <c r="C3" s="110" t="s">
        <v>53</v>
      </c>
      <c r="D3" s="113"/>
      <c r="F3" s="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 s="222">
        <v>0</v>
      </c>
      <c r="P3" s="222">
        <v>0</v>
      </c>
      <c r="Q3" s="166">
        <v>0</v>
      </c>
      <c r="R3" s="34">
        <v>0</v>
      </c>
    </row>
    <row r="4" ht="15" customHeight="true" thickBot="true" x14ac:dyDescent="0.25">
      <c r="F4" s="3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 s="222">
        <v>0</v>
      </c>
      <c r="P4" s="222">
        <v>0</v>
      </c>
      <c r="Q4" s="166">
        <v>0</v>
      </c>
      <c r="R4" s="167">
        <v>0</v>
      </c>
    </row>
    <row r="5" ht="15" customHeight="true" x14ac:dyDescent="0.2">
      <c r="A5" s="111" t="s">
        <v>55</v>
      </c>
      <c r="B5" s="117">
        <v>0.5</v>
      </c>
      <c r="C5" s="110" t="s">
        <v>52</v>
      </c>
      <c r="D5" s="113"/>
      <c r="F5" s="3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 s="222">
        <v>0</v>
      </c>
      <c r="P5" s="222">
        <v>0</v>
      </c>
      <c r="Q5" s="166">
        <v>0</v>
      </c>
      <c r="R5" s="167">
        <v>0</v>
      </c>
    </row>
    <row r="6" ht="15" customHeight="true" thickBot="true" x14ac:dyDescent="0.25">
      <c r="A6" s="111"/>
      <c r="B6" s="118">
        <v>0.5</v>
      </c>
      <c r="C6" s="110" t="s">
        <v>53</v>
      </c>
      <c r="D6" s="113"/>
      <c r="F6" s="209" t="s">
        <v>182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0.5</v>
      </c>
      <c r="N6">
        <v>0.5</v>
      </c>
      <c r="O6" s="222">
        <v>1</v>
      </c>
      <c r="P6" s="222">
        <v>0</v>
      </c>
      <c r="Q6" s="166">
        <v>0</v>
      </c>
      <c r="R6" s="167">
        <v>0</v>
      </c>
    </row>
    <row r="7" ht="15" customHeight="true" thickBot="true" x14ac:dyDescent="0.25">
      <c r="F7" s="209" t="s">
        <v>183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1</v>
      </c>
      <c r="O7" s="222">
        <v>0</v>
      </c>
      <c r="P7" s="222">
        <v>1</v>
      </c>
      <c r="Q7" s="166">
        <v>0</v>
      </c>
      <c r="R7" s="167">
        <v>0</v>
      </c>
    </row>
    <row r="8" ht="15" customHeight="true" x14ac:dyDescent="0.2">
      <c r="A8" s="111" t="s">
        <v>56</v>
      </c>
      <c r="B8" s="117">
        <f>E32</f>
        <v>0.99299873191040711</v>
      </c>
      <c r="C8" s="102" t="str">
        <f>A32</f>
        <v>Phytoplankton</v>
      </c>
      <c r="D8" s="113" t="s">
        <v>164</v>
      </c>
      <c r="F8" s="209" t="s">
        <v>184</v>
      </c>
      <c r="G8">
        <v>0</v>
      </c>
      <c r="H8">
        <v>0</v>
      </c>
      <c r="I8">
        <v>0</v>
      </c>
      <c r="J8">
        <v>0</v>
      </c>
      <c r="K8">
        <v>0</v>
      </c>
      <c r="L8">
        <v>1</v>
      </c>
      <c r="M8">
        <v>0</v>
      </c>
      <c r="N8">
        <v>1</v>
      </c>
      <c r="O8" s="222">
        <v>1</v>
      </c>
      <c r="P8" s="222">
        <v>0</v>
      </c>
      <c r="Q8" s="166">
        <v>0</v>
      </c>
      <c r="R8" s="167">
        <v>0</v>
      </c>
    </row>
    <row r="9" ht="15" customHeight="true" x14ac:dyDescent="0.2">
      <c r="A9" s="119" t="s">
        <v>172</v>
      </c>
      <c r="B9" s="120">
        <f>E33</f>
        <v>7.001268089592891E-3</v>
      </c>
      <c r="C9" s="102" t="str">
        <f t="shared" ref="C9:C17" si="0">A33</f>
        <v>Benth producers</v>
      </c>
      <c r="D9" s="113" t="s">
        <v>164</v>
      </c>
      <c r="F9" s="209" t="s">
        <v>185</v>
      </c>
      <c r="G9">
        <v>0</v>
      </c>
      <c r="H9">
        <v>0</v>
      </c>
      <c r="I9">
        <v>0</v>
      </c>
      <c r="J9">
        <v>0</v>
      </c>
      <c r="K9">
        <v>0</v>
      </c>
      <c r="L9">
        <v>1</v>
      </c>
      <c r="M9">
        <v>0</v>
      </c>
      <c r="N9">
        <v>1</v>
      </c>
      <c r="O9" s="222">
        <v>1</v>
      </c>
      <c r="P9" s="222">
        <v>0</v>
      </c>
      <c r="Q9" s="166">
        <v>0</v>
      </c>
      <c r="R9" s="167">
        <v>0</v>
      </c>
    </row>
    <row r="10" ht="15" customHeight="true" x14ac:dyDescent="0.2">
      <c r="B10" s="120"/>
      <c r="C10" s="102">
        <f t="shared" si="0"/>
        <v>0</v>
      </c>
      <c r="D10" s="113" t="s">
        <v>164</v>
      </c>
      <c r="F10" s="209" t="s">
        <v>186</v>
      </c>
      <c r="G10">
        <v>0</v>
      </c>
      <c r="H10">
        <v>0</v>
      </c>
      <c r="I10">
        <v>0</v>
      </c>
      <c r="J10">
        <v>0</v>
      </c>
      <c r="K10">
        <v>0</v>
      </c>
      <c r="L10">
        <v>1</v>
      </c>
      <c r="M10">
        <v>0</v>
      </c>
      <c r="N10">
        <v>1</v>
      </c>
      <c r="O10" s="222">
        <v>1</v>
      </c>
      <c r="P10" s="222">
        <v>0</v>
      </c>
      <c r="Q10" s="166">
        <v>0</v>
      </c>
      <c r="R10" s="167">
        <v>0</v>
      </c>
    </row>
    <row r="11" ht="15" customHeight="true" x14ac:dyDescent="0.2">
      <c r="A11" s="111"/>
      <c r="B11" s="120"/>
      <c r="C11" s="102">
        <f t="shared" si="0"/>
        <v>0</v>
      </c>
      <c r="D11" s="113" t="s">
        <v>164</v>
      </c>
      <c r="F11" s="209" t="s">
        <v>187</v>
      </c>
      <c r="G11">
        <v>0</v>
      </c>
      <c r="H11">
        <v>0</v>
      </c>
      <c r="I11">
        <v>0</v>
      </c>
      <c r="J11">
        <v>0</v>
      </c>
      <c r="K11">
        <v>0</v>
      </c>
      <c r="L11">
        <v>1</v>
      </c>
      <c r="M11">
        <v>0</v>
      </c>
      <c r="N11">
        <v>1</v>
      </c>
      <c r="O11" s="222">
        <v>1</v>
      </c>
      <c r="P11" s="222">
        <v>0</v>
      </c>
      <c r="Q11" s="166">
        <v>0</v>
      </c>
      <c r="R11" s="167">
        <v>0</v>
      </c>
    </row>
    <row r="12" ht="15" customHeight="true" x14ac:dyDescent="0.2">
      <c r="B12" s="120"/>
      <c r="C12" s="102">
        <f t="shared" si="0"/>
        <v>0</v>
      </c>
      <c r="D12" s="113" t="s">
        <v>164</v>
      </c>
      <c r="F12" s="209" t="s">
        <v>188</v>
      </c>
      <c r="G12">
        <v>0</v>
      </c>
      <c r="H12">
        <v>0</v>
      </c>
      <c r="I12">
        <v>0</v>
      </c>
      <c r="J12">
        <v>0</v>
      </c>
      <c r="K12">
        <v>0</v>
      </c>
      <c r="L12">
        <v>1</v>
      </c>
      <c r="M12">
        <v>0</v>
      </c>
      <c r="N12">
        <v>1</v>
      </c>
      <c r="O12" s="222">
        <v>1</v>
      </c>
      <c r="P12" s="222">
        <v>0</v>
      </c>
      <c r="Q12" s="166">
        <v>0</v>
      </c>
      <c r="R12" s="167">
        <v>0</v>
      </c>
    </row>
    <row r="13" ht="15" customHeight="true" x14ac:dyDescent="0.2">
      <c r="B13" s="120"/>
      <c r="C13" s="102">
        <f t="shared" si="0"/>
        <v>0</v>
      </c>
      <c r="D13" s="113" t="s">
        <v>164</v>
      </c>
      <c r="F13" s="209" t="s">
        <v>189</v>
      </c>
      <c r="G13">
        <v>0</v>
      </c>
      <c r="H13">
        <v>0</v>
      </c>
      <c r="I13">
        <v>0</v>
      </c>
      <c r="J13">
        <v>0</v>
      </c>
      <c r="K13">
        <v>0</v>
      </c>
      <c r="L13">
        <v>1</v>
      </c>
      <c r="M13">
        <v>0</v>
      </c>
      <c r="N13">
        <v>1</v>
      </c>
      <c r="O13" s="222">
        <v>1</v>
      </c>
      <c r="P13" s="222">
        <v>0</v>
      </c>
      <c r="Q13" s="166">
        <v>0</v>
      </c>
      <c r="R13" s="167">
        <v>0</v>
      </c>
    </row>
    <row r="14" ht="15" customHeight="true" x14ac:dyDescent="0.2">
      <c r="B14" s="120"/>
      <c r="C14" s="102">
        <f t="shared" si="0"/>
        <v>0</v>
      </c>
      <c r="D14" s="113" t="s">
        <v>164</v>
      </c>
      <c r="F14" s="209" t="s">
        <v>190</v>
      </c>
      <c r="G14">
        <v>0</v>
      </c>
      <c r="H14">
        <v>0</v>
      </c>
      <c r="I14">
        <v>0</v>
      </c>
      <c r="J14">
        <v>0</v>
      </c>
      <c r="K14">
        <v>0</v>
      </c>
      <c r="L14">
        <v>1</v>
      </c>
      <c r="M14">
        <v>0</v>
      </c>
      <c r="N14">
        <v>1</v>
      </c>
      <c r="O14" s="222">
        <v>1</v>
      </c>
      <c r="P14" s="222">
        <v>0</v>
      </c>
      <c r="Q14" s="166">
        <v>0</v>
      </c>
      <c r="R14" s="167">
        <v>0</v>
      </c>
    </row>
    <row r="15" ht="15" customHeight="true" x14ac:dyDescent="0.2">
      <c r="B15" s="120"/>
      <c r="C15" s="102">
        <f t="shared" si="0"/>
        <v>0</v>
      </c>
      <c r="D15" s="113" t="s">
        <v>164</v>
      </c>
      <c r="F15" s="209" t="s">
        <v>191</v>
      </c>
      <c r="G15">
        <v>0</v>
      </c>
      <c r="H15">
        <v>0</v>
      </c>
      <c r="I15">
        <v>0</v>
      </c>
      <c r="J15">
        <v>0</v>
      </c>
      <c r="K15">
        <v>0</v>
      </c>
      <c r="L15">
        <v>1</v>
      </c>
      <c r="M15">
        <v>0</v>
      </c>
      <c r="N15">
        <v>1</v>
      </c>
      <c r="O15" s="222">
        <v>1</v>
      </c>
      <c r="P15" s="222">
        <v>0</v>
      </c>
      <c r="Q15" s="166">
        <v>0</v>
      </c>
      <c r="R15" s="167">
        <v>0</v>
      </c>
    </row>
    <row r="16" ht="15" customHeight="true" x14ac:dyDescent="0.2">
      <c r="B16" s="120"/>
      <c r="C16" s="102">
        <f t="shared" si="0"/>
        <v>0</v>
      </c>
      <c r="D16" s="113" t="s">
        <v>164</v>
      </c>
      <c r="F16" s="209" t="s">
        <v>192</v>
      </c>
      <c r="G16">
        <v>0</v>
      </c>
      <c r="H16">
        <v>0</v>
      </c>
      <c r="I16">
        <v>0</v>
      </c>
      <c r="J16">
        <v>0</v>
      </c>
      <c r="K16">
        <v>0</v>
      </c>
      <c r="L16">
        <v>1</v>
      </c>
      <c r="M16">
        <v>0</v>
      </c>
      <c r="N16">
        <v>1</v>
      </c>
      <c r="O16" s="222">
        <v>1</v>
      </c>
      <c r="P16" s="222">
        <v>0</v>
      </c>
      <c r="Q16" s="166">
        <v>0</v>
      </c>
      <c r="R16" s="167">
        <v>0</v>
      </c>
    </row>
    <row r="17" ht="15" customHeight="true" thickBot="true" x14ac:dyDescent="0.25">
      <c r="B17" s="118"/>
      <c r="C17" s="102">
        <f t="shared" si="0"/>
        <v>0</v>
      </c>
      <c r="D17" s="113" t="s">
        <v>164</v>
      </c>
      <c r="F17" s="211" t="s">
        <v>193</v>
      </c>
      <c r="G17">
        <v>0</v>
      </c>
      <c r="H17">
        <v>0</v>
      </c>
      <c r="I17">
        <v>0</v>
      </c>
      <c r="J17">
        <v>0</v>
      </c>
      <c r="K17">
        <v>0</v>
      </c>
      <c r="L17">
        <v>1</v>
      </c>
      <c r="M17">
        <v>0</v>
      </c>
      <c r="N17">
        <v>1</v>
      </c>
      <c r="O17" s="222">
        <v>1</v>
      </c>
      <c r="P17" s="222">
        <v>0</v>
      </c>
      <c r="Q17" s="166">
        <v>0</v>
      </c>
      <c r="R17" s="167">
        <v>0</v>
      </c>
    </row>
    <row r="18" ht="15" customHeight="true" thickBot="true" x14ac:dyDescent="0.25">
      <c r="B18" s="107"/>
      <c r="F18" s="211" t="s">
        <v>194</v>
      </c>
      <c r="G18">
        <v>0</v>
      </c>
      <c r="H18">
        <v>0</v>
      </c>
      <c r="I18">
        <v>0</v>
      </c>
      <c r="J18">
        <v>0</v>
      </c>
      <c r="K18">
        <v>0</v>
      </c>
      <c r="L18">
        <v>1</v>
      </c>
      <c r="M18">
        <v>0</v>
      </c>
      <c r="N18">
        <v>1</v>
      </c>
      <c r="O18" s="222">
        <v>1</v>
      </c>
      <c r="P18" s="222">
        <v>0</v>
      </c>
      <c r="Q18" s="166">
        <v>0</v>
      </c>
      <c r="R18" s="167">
        <v>0</v>
      </c>
    </row>
    <row r="19" ht="15" customHeight="true" x14ac:dyDescent="0.2">
      <c r="A19" s="111" t="s">
        <v>57</v>
      </c>
      <c r="B19" s="117">
        <f>E32</f>
        <v>0.99299873191040711</v>
      </c>
      <c r="C19" s="102" t="str">
        <f>A32</f>
        <v>Phytoplankton</v>
      </c>
      <c r="D19" s="113" t="s">
        <v>164</v>
      </c>
      <c r="F19" s="209" t="s">
        <v>195</v>
      </c>
      <c r="G19">
        <v>0</v>
      </c>
      <c r="H19">
        <v>0</v>
      </c>
      <c r="I19">
        <v>0</v>
      </c>
      <c r="J19">
        <v>0</v>
      </c>
      <c r="K19">
        <v>0</v>
      </c>
      <c r="L19">
        <v>1</v>
      </c>
      <c r="M19">
        <v>0</v>
      </c>
      <c r="N19">
        <v>1</v>
      </c>
      <c r="O19" s="222">
        <v>0.75</v>
      </c>
      <c r="P19" s="222">
        <v>0.25</v>
      </c>
      <c r="Q19" s="166">
        <v>0</v>
      </c>
      <c r="R19" s="167">
        <v>0</v>
      </c>
    </row>
    <row r="20" ht="15" customHeight="true" x14ac:dyDescent="0.2">
      <c r="A20" s="119" t="s">
        <v>172</v>
      </c>
      <c r="B20" s="120">
        <f>E33</f>
        <v>7.001268089592891E-3</v>
      </c>
      <c r="C20" s="102" t="str">
        <f t="shared" ref="C20:C28" si="1">A33</f>
        <v>Benth producers</v>
      </c>
      <c r="D20" s="113" t="s">
        <v>164</v>
      </c>
      <c r="F20" s="209" t="s">
        <v>196</v>
      </c>
      <c r="G20">
        <v>0</v>
      </c>
      <c r="H20">
        <v>0</v>
      </c>
      <c r="I20">
        <v>0</v>
      </c>
      <c r="J20">
        <v>0</v>
      </c>
      <c r="K20">
        <v>0</v>
      </c>
      <c r="L20">
        <v>1</v>
      </c>
      <c r="M20">
        <v>0</v>
      </c>
      <c r="N20">
        <v>1</v>
      </c>
      <c r="O20" s="222">
        <v>0.75</v>
      </c>
      <c r="P20" s="222">
        <v>0.25</v>
      </c>
      <c r="Q20" s="166">
        <v>0</v>
      </c>
      <c r="R20" s="167">
        <v>0</v>
      </c>
    </row>
    <row r="21" ht="15" customHeight="true" x14ac:dyDescent="0.2">
      <c r="B21" s="120"/>
      <c r="C21" s="102">
        <f t="shared" si="1"/>
        <v>0</v>
      </c>
      <c r="D21" s="113" t="s">
        <v>164</v>
      </c>
      <c r="F21" s="209" t="s">
        <v>197</v>
      </c>
      <c r="G21">
        <v>0</v>
      </c>
      <c r="H21">
        <v>0</v>
      </c>
      <c r="I21">
        <v>0</v>
      </c>
      <c r="J21">
        <v>0</v>
      </c>
      <c r="K21">
        <v>0</v>
      </c>
      <c r="L21">
        <v>1</v>
      </c>
      <c r="M21">
        <v>0</v>
      </c>
      <c r="N21">
        <v>1</v>
      </c>
      <c r="O21" s="222">
        <v>0.75</v>
      </c>
      <c r="P21" s="222">
        <v>0.25</v>
      </c>
      <c r="Q21" s="166">
        <v>0</v>
      </c>
      <c r="R21" s="167">
        <v>0</v>
      </c>
    </row>
    <row r="22" ht="15" customHeight="true" x14ac:dyDescent="0.2">
      <c r="A22" s="76"/>
      <c r="B22" s="120"/>
      <c r="C22" s="102">
        <f t="shared" si="1"/>
        <v>0</v>
      </c>
      <c r="D22" s="113" t="s">
        <v>164</v>
      </c>
      <c r="F22" s="209" t="s">
        <v>198</v>
      </c>
      <c r="G22">
        <v>0</v>
      </c>
      <c r="H22">
        <v>0</v>
      </c>
      <c r="I22">
        <v>0</v>
      </c>
      <c r="J22">
        <v>0</v>
      </c>
      <c r="K22">
        <v>0</v>
      </c>
      <c r="L22">
        <v>1</v>
      </c>
      <c r="M22">
        <v>0</v>
      </c>
      <c r="N22">
        <v>1</v>
      </c>
      <c r="O22" s="222">
        <v>1</v>
      </c>
      <c r="P22" s="222">
        <v>0</v>
      </c>
      <c r="Q22" s="166">
        <v>0</v>
      </c>
      <c r="R22" s="167">
        <v>0</v>
      </c>
    </row>
    <row r="23" ht="15" customHeight="true" x14ac:dyDescent="0.2">
      <c r="A23" s="76"/>
      <c r="B23" s="120"/>
      <c r="C23" s="102">
        <f t="shared" si="1"/>
        <v>0</v>
      </c>
      <c r="D23" s="113" t="s">
        <v>164</v>
      </c>
      <c r="F23" s="213" t="s">
        <v>199</v>
      </c>
      <c r="G23">
        <v>0</v>
      </c>
      <c r="H23">
        <v>0</v>
      </c>
      <c r="I23">
        <v>0</v>
      </c>
      <c r="J23">
        <v>0</v>
      </c>
      <c r="K23">
        <v>0</v>
      </c>
      <c r="L23">
        <v>1</v>
      </c>
      <c r="M23">
        <v>0</v>
      </c>
      <c r="N23">
        <v>1</v>
      </c>
      <c r="O23" s="222">
        <v>0.5</v>
      </c>
      <c r="P23" s="222">
        <v>0.5</v>
      </c>
      <c r="Q23" s="166">
        <v>0</v>
      </c>
      <c r="R23" s="167">
        <v>0</v>
      </c>
    </row>
    <row r="24" ht="15" customHeight="true" x14ac:dyDescent="0.2">
      <c r="A24" s="76"/>
      <c r="B24" s="120"/>
      <c r="C24" s="102">
        <f t="shared" si="1"/>
        <v>0</v>
      </c>
      <c r="D24" s="113" t="s">
        <v>164</v>
      </c>
      <c r="F24" s="213" t="s">
        <v>200</v>
      </c>
      <c r="G24">
        <v>0</v>
      </c>
      <c r="H24">
        <v>0</v>
      </c>
      <c r="I24">
        <v>0</v>
      </c>
      <c r="J24">
        <v>0</v>
      </c>
      <c r="K24">
        <v>0</v>
      </c>
      <c r="L24">
        <v>1</v>
      </c>
      <c r="M24">
        <v>0</v>
      </c>
      <c r="N24">
        <v>1</v>
      </c>
      <c r="O24" s="222">
        <v>0.5</v>
      </c>
      <c r="P24" s="222">
        <v>0.5</v>
      </c>
      <c r="Q24" s="166">
        <v>0</v>
      </c>
      <c r="R24" s="167">
        <v>0</v>
      </c>
    </row>
    <row r="25" ht="15" customHeight="true" x14ac:dyDescent="0.2">
      <c r="A25" s="76"/>
      <c r="B25" s="120"/>
      <c r="C25" s="102">
        <f t="shared" si="1"/>
        <v>0</v>
      </c>
      <c r="D25" s="113" t="s">
        <v>164</v>
      </c>
      <c r="F25" s="214" t="s">
        <v>201</v>
      </c>
      <c r="G25">
        <v>0</v>
      </c>
      <c r="H25">
        <v>0</v>
      </c>
      <c r="I25">
        <v>0</v>
      </c>
      <c r="J25">
        <v>0</v>
      </c>
      <c r="K25">
        <v>0</v>
      </c>
      <c r="L25">
        <v>1</v>
      </c>
      <c r="M25">
        <v>0</v>
      </c>
      <c r="N25">
        <v>1</v>
      </c>
      <c r="O25" s="222">
        <v>0.5</v>
      </c>
      <c r="P25" s="222">
        <v>0.5</v>
      </c>
      <c r="Q25" s="166">
        <v>0</v>
      </c>
      <c r="R25" s="167">
        <v>0</v>
      </c>
    </row>
    <row r="26" ht="15" customHeight="true" x14ac:dyDescent="0.2">
      <c r="B26" s="120"/>
      <c r="C26" s="102">
        <f t="shared" si="1"/>
        <v>0</v>
      </c>
      <c r="D26" s="113" t="s">
        <v>164</v>
      </c>
      <c r="F26" s="214" t="s">
        <v>202</v>
      </c>
      <c r="G26">
        <v>0</v>
      </c>
      <c r="H26">
        <v>0</v>
      </c>
      <c r="I26">
        <v>0</v>
      </c>
      <c r="J26">
        <v>0</v>
      </c>
      <c r="K26">
        <v>0</v>
      </c>
      <c r="L26">
        <v>1</v>
      </c>
      <c r="M26">
        <v>0</v>
      </c>
      <c r="N26">
        <v>1</v>
      </c>
      <c r="O26" s="222">
        <v>0.5</v>
      </c>
      <c r="P26" s="222">
        <v>0.5</v>
      </c>
      <c r="Q26" s="166">
        <v>0</v>
      </c>
      <c r="R26" s="167">
        <v>0</v>
      </c>
    </row>
    <row r="27" ht="15" customHeight="true" x14ac:dyDescent="0.2">
      <c r="B27" s="120"/>
      <c r="C27" s="102">
        <f t="shared" si="1"/>
        <v>0</v>
      </c>
      <c r="D27" s="113" t="s">
        <v>164</v>
      </c>
      <c r="F27" s="209" t="s">
        <v>203</v>
      </c>
      <c r="G27">
        <v>0</v>
      </c>
      <c r="H27">
        <v>0</v>
      </c>
      <c r="I27">
        <v>0</v>
      </c>
      <c r="J27">
        <v>0</v>
      </c>
      <c r="K27">
        <v>0</v>
      </c>
      <c r="L27">
        <v>1</v>
      </c>
      <c r="M27">
        <v>0</v>
      </c>
      <c r="N27">
        <v>1</v>
      </c>
      <c r="O27" s="222">
        <v>0.5</v>
      </c>
      <c r="P27" s="222">
        <v>0.5</v>
      </c>
      <c r="Q27" s="166">
        <v>0</v>
      </c>
      <c r="R27" s="167">
        <v>0</v>
      </c>
    </row>
    <row r="28" ht="15" customHeight="true" thickBot="true" x14ac:dyDescent="0.25">
      <c r="B28" s="118"/>
      <c r="C28" s="102">
        <f t="shared" si="1"/>
        <v>0</v>
      </c>
      <c r="D28" s="113" t="s">
        <v>164</v>
      </c>
      <c r="F28" s="209" t="s">
        <v>204</v>
      </c>
      <c r="G28">
        <v>0</v>
      </c>
      <c r="H28">
        <v>0</v>
      </c>
      <c r="I28">
        <v>0</v>
      </c>
      <c r="J28">
        <v>0</v>
      </c>
      <c r="K28">
        <v>0</v>
      </c>
      <c r="L28">
        <v>1</v>
      </c>
      <c r="M28">
        <v>0</v>
      </c>
      <c r="N28">
        <v>1</v>
      </c>
      <c r="O28" s="222">
        <v>0</v>
      </c>
      <c r="P28" s="222">
        <v>1</v>
      </c>
      <c r="Q28" s="166">
        <v>0</v>
      </c>
      <c r="R28" s="167">
        <v>0</v>
      </c>
    </row>
    <row r="29" ht="15" customHeight="true" x14ac:dyDescent="0.2">
      <c r="F29" s="209" t="s">
        <v>205</v>
      </c>
      <c r="G29">
        <v>0</v>
      </c>
      <c r="H29">
        <v>0</v>
      </c>
      <c r="I29">
        <v>0</v>
      </c>
      <c r="J29">
        <v>0</v>
      </c>
      <c r="K29">
        <v>0</v>
      </c>
      <c r="L29">
        <v>1</v>
      </c>
      <c r="M29">
        <v>0</v>
      </c>
      <c r="N29">
        <v>1</v>
      </c>
      <c r="O29" s="222">
        <v>1</v>
      </c>
      <c r="P29" s="222">
        <v>0</v>
      </c>
      <c r="Q29" s="166">
        <v>0</v>
      </c>
      <c r="R29" s="167">
        <v>0</v>
      </c>
    </row>
    <row r="30" ht="15" customHeight="true" x14ac:dyDescent="0.2">
      <c r="F30" s="209" t="s">
        <v>206</v>
      </c>
      <c r="G30">
        <v>0</v>
      </c>
      <c r="H30">
        <v>0</v>
      </c>
      <c r="I30">
        <v>0</v>
      </c>
      <c r="J30">
        <v>0</v>
      </c>
      <c r="K30">
        <v>0</v>
      </c>
      <c r="L30">
        <v>1</v>
      </c>
      <c r="M30">
        <v>0</v>
      </c>
      <c r="N30">
        <v>1</v>
      </c>
      <c r="O30" s="222">
        <v>0</v>
      </c>
      <c r="P30" s="222">
        <v>1</v>
      </c>
      <c r="Q30" s="166">
        <v>0</v>
      </c>
      <c r="R30" s="167">
        <v>0</v>
      </c>
    </row>
    <row r="31" ht="15" customHeight="true" x14ac:dyDescent="0.2">
      <c r="A31" s="121"/>
      <c r="B31" s="122" t="s">
        <v>17</v>
      </c>
      <c r="C31" s="122" t="s">
        <v>1</v>
      </c>
      <c r="D31" s="122" t="s">
        <v>165</v>
      </c>
      <c r="E31" s="123" t="s">
        <v>167</v>
      </c>
      <c r="F31" s="209" t="s">
        <v>207</v>
      </c>
      <c r="G31">
        <v>0</v>
      </c>
      <c r="H31">
        <v>0</v>
      </c>
      <c r="I31">
        <v>0</v>
      </c>
      <c r="J31">
        <v>0</v>
      </c>
      <c r="K31">
        <v>0</v>
      </c>
      <c r="L31">
        <v>1</v>
      </c>
      <c r="M31">
        <v>0</v>
      </c>
      <c r="N31">
        <v>1</v>
      </c>
      <c r="O31" s="222">
        <v>0.5</v>
      </c>
      <c r="P31" s="222">
        <v>0.5</v>
      </c>
      <c r="Q31" s="166">
        <v>0</v>
      </c>
      <c r="R31" s="167">
        <v>0</v>
      </c>
    </row>
    <row r="32" ht="15" customHeight="true" x14ac:dyDescent="0.2">
      <c r="A32" s="107" t="str">
        <f>MainOutputs!B2</f>
        <v>Phytoplankton</v>
      </c>
      <c r="B32" s="107">
        <f>MainOutputs!D2</f>
        <v>76.938003540039062</v>
      </c>
      <c r="C32" s="107">
        <f>MainOutputs!E2</f>
        <v>154.39999389648438</v>
      </c>
      <c r="D32" s="107">
        <f>B32*C32</f>
        <v>11879.227276989724</v>
      </c>
      <c r="E32" s="124">
        <f>D32/D$42</f>
        <v>0.99299873191040711</v>
      </c>
      <c r="F32" s="209" t="s">
        <v>208</v>
      </c>
      <c r="G32">
        <v>0</v>
      </c>
      <c r="H32">
        <v>0</v>
      </c>
      <c r="I32">
        <v>0</v>
      </c>
      <c r="J32">
        <v>0</v>
      </c>
      <c r="K32">
        <v>0</v>
      </c>
      <c r="L32">
        <v>1</v>
      </c>
      <c r="M32">
        <v>0</v>
      </c>
      <c r="N32">
        <v>1</v>
      </c>
      <c r="O32" s="222">
        <v>1</v>
      </c>
      <c r="P32" s="222">
        <v>0</v>
      </c>
      <c r="Q32" s="166">
        <v>0</v>
      </c>
      <c r="R32" s="167">
        <v>0</v>
      </c>
    </row>
    <row r="33" ht="15" customHeight="true" x14ac:dyDescent="0.2">
      <c r="A33" s="107" t="str">
        <f>MainOutputs!B3</f>
        <v>Benth producers</v>
      </c>
      <c r="B33" s="107">
        <f>MainOutputs!D3</f>
        <v>5.5837368965148926</v>
      </c>
      <c r="C33" s="107">
        <f>MainOutputs!E3</f>
        <v>15</v>
      </c>
      <c r="D33" s="107">
        <f t="shared" ref="D33" si="2">B33*C33</f>
        <v>83.756053447723389</v>
      </c>
      <c r="E33" s="124">
        <f t="shared" ref="E33" si="3">D33/D$42</f>
        <v>7.001268089592891E-3</v>
      </c>
      <c r="F33" s="209" t="s">
        <v>209</v>
      </c>
      <c r="G33">
        <v>0</v>
      </c>
      <c r="H33">
        <v>0</v>
      </c>
      <c r="I33">
        <v>0</v>
      </c>
      <c r="J33">
        <v>0</v>
      </c>
      <c r="K33">
        <v>0</v>
      </c>
      <c r="L33">
        <v>1</v>
      </c>
      <c r="M33">
        <v>0</v>
      </c>
      <c r="N33">
        <v>1</v>
      </c>
      <c r="O33" s="222">
        <v>1</v>
      </c>
      <c r="P33" s="222">
        <v>0</v>
      </c>
      <c r="Q33" s="166">
        <v>0</v>
      </c>
      <c r="R33" s="167">
        <v>0</v>
      </c>
    </row>
    <row r="34" ht="15" customHeight="true" x14ac:dyDescent="0.2">
      <c r="A34" s="86"/>
      <c r="B34" s="107"/>
      <c r="C34" s="107"/>
      <c r="D34" s="107"/>
      <c r="E34" s="124"/>
      <c r="F34" s="209" t="s">
        <v>175</v>
      </c>
      <c r="G34">
        <v>0</v>
      </c>
      <c r="H34">
        <v>0</v>
      </c>
      <c r="I34">
        <v>0</v>
      </c>
      <c r="J34">
        <v>0</v>
      </c>
      <c r="K34">
        <v>0</v>
      </c>
      <c r="L34">
        <v>1</v>
      </c>
      <c r="M34">
        <v>0</v>
      </c>
      <c r="N34">
        <v>1</v>
      </c>
      <c r="O34" s="222">
        <v>1</v>
      </c>
      <c r="P34" s="222">
        <v>0</v>
      </c>
      <c r="Q34" s="166">
        <v>0</v>
      </c>
      <c r="R34" s="167">
        <v>0</v>
      </c>
    </row>
    <row r="35" ht="15" customHeight="true" x14ac:dyDescent="0.2">
      <c r="A35" s="86"/>
      <c r="B35" s="107"/>
      <c r="C35" s="107"/>
      <c r="D35" s="107"/>
      <c r="E35" s="124"/>
      <c r="F35" s="209" t="s">
        <v>210</v>
      </c>
      <c r="G35">
        <v>0</v>
      </c>
      <c r="H35">
        <v>0</v>
      </c>
      <c r="I35">
        <v>0</v>
      </c>
      <c r="J35">
        <v>0</v>
      </c>
      <c r="K35">
        <v>0</v>
      </c>
      <c r="L35">
        <v>1</v>
      </c>
      <c r="M35">
        <v>0</v>
      </c>
      <c r="N35">
        <v>1</v>
      </c>
      <c r="O35" s="222">
        <v>0</v>
      </c>
      <c r="P35" s="222">
        <v>1</v>
      </c>
      <c r="Q35" s="166">
        <v>0</v>
      </c>
      <c r="R35" s="167">
        <v>0</v>
      </c>
    </row>
    <row r="36" ht="15" customHeight="true" x14ac:dyDescent="0.2">
      <c r="A36" s="125"/>
      <c r="B36" s="107"/>
      <c r="C36" s="107"/>
      <c r="D36" s="107"/>
      <c r="E36" s="124"/>
      <c r="F36" s="209" t="s">
        <v>211</v>
      </c>
      <c r="G36">
        <v>0</v>
      </c>
      <c r="H36">
        <v>0</v>
      </c>
      <c r="I36">
        <v>0</v>
      </c>
      <c r="J36">
        <v>0</v>
      </c>
      <c r="K36">
        <v>0</v>
      </c>
      <c r="L36">
        <v>1</v>
      </c>
      <c r="M36">
        <v>0</v>
      </c>
      <c r="N36">
        <v>1</v>
      </c>
      <c r="O36" s="222">
        <v>0</v>
      </c>
      <c r="P36" s="222">
        <v>1</v>
      </c>
      <c r="Q36" s="166">
        <v>0</v>
      </c>
      <c r="R36" s="167">
        <v>0</v>
      </c>
    </row>
    <row r="37" ht="15" customHeight="true" x14ac:dyDescent="0.2">
      <c r="A37" s="125"/>
      <c r="B37" s="107"/>
      <c r="C37" s="107"/>
      <c r="D37" s="107"/>
      <c r="E37" s="124"/>
      <c r="F37" s="209" t="s">
        <v>212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1</v>
      </c>
      <c r="O37" s="222">
        <v>1</v>
      </c>
      <c r="P37" s="222">
        <v>0</v>
      </c>
      <c r="Q37" s="166">
        <v>0</v>
      </c>
      <c r="R37" s="167">
        <v>0</v>
      </c>
    </row>
    <row r="38" ht="15" customHeight="true" x14ac:dyDescent="0.2">
      <c r="A38" s="126"/>
      <c r="B38" s="107"/>
      <c r="C38" s="107"/>
      <c r="D38" s="107"/>
      <c r="E38" s="124"/>
      <c r="F38" s="209" t="s">
        <v>178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1</v>
      </c>
      <c r="O38" s="222">
        <v>0</v>
      </c>
      <c r="P38" s="222">
        <v>1</v>
      </c>
      <c r="Q38" s="166">
        <v>0</v>
      </c>
      <c r="R38" s="167">
        <v>0</v>
      </c>
    </row>
    <row r="39" ht="15" customHeight="true" x14ac:dyDescent="0.2">
      <c r="A39" s="126"/>
      <c r="B39" s="107"/>
      <c r="C39" s="107"/>
      <c r="D39" s="107"/>
      <c r="E39" s="124"/>
      <c r="F39" s="209" t="s">
        <v>214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 s="222">
        <v>0</v>
      </c>
      <c r="P39" s="222">
        <v>0</v>
      </c>
      <c r="Q39" s="166">
        <v>0</v>
      </c>
      <c r="R39" s="167">
        <v>0</v>
      </c>
    </row>
    <row r="40" ht="15" customHeight="true" x14ac:dyDescent="0.2">
      <c r="A40" s="126"/>
      <c r="B40" s="107"/>
      <c r="C40" s="107"/>
      <c r="D40" s="107"/>
      <c r="E40" s="124"/>
      <c r="F40" s="209" t="s">
        <v>215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 s="222">
        <v>0</v>
      </c>
      <c r="P40" s="222">
        <v>0</v>
      </c>
      <c r="Q40" s="166">
        <v>0</v>
      </c>
      <c r="R40" s="167">
        <v>0</v>
      </c>
    </row>
    <row r="41" ht="15" customHeight="true" thickBot="true" x14ac:dyDescent="0.25">
      <c r="A41" s="126"/>
      <c r="B41" s="107"/>
      <c r="C41" s="107"/>
      <c r="D41" s="127"/>
      <c r="E41" s="128"/>
      <c r="F41" s="209" t="s">
        <v>216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 s="222">
        <v>0</v>
      </c>
      <c r="P41" s="222">
        <v>0</v>
      </c>
      <c r="Q41" s="166">
        <v>0</v>
      </c>
      <c r="R41" s="167">
        <v>0</v>
      </c>
    </row>
    <row r="42" ht="15" customHeight="true" x14ac:dyDescent="0.2">
      <c r="A42" s="129"/>
      <c r="B42" s="130"/>
      <c r="C42" s="130" t="s">
        <v>166</v>
      </c>
      <c r="D42" s="130">
        <f>SUM(D32:D41)</f>
        <v>11962.983330437448</v>
      </c>
      <c r="E42" s="131">
        <f>SUM(E32:E41)</f>
        <v>1</v>
      </c>
      <c r="F42" s="209" t="s">
        <v>217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 s="222">
        <v>0</v>
      </c>
      <c r="P42" s="222">
        <v>0</v>
      </c>
      <c r="Q42" s="166">
        <v>0</v>
      </c>
      <c r="R42" s="167">
        <v>0</v>
      </c>
    </row>
    <row r="43" ht="15" customHeight="true" x14ac:dyDescent="0.2">
      <c r="A43" s="76"/>
      <c r="F43" s="209" t="s">
        <v>218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 s="222">
        <v>0</v>
      </c>
      <c r="P43" s="222">
        <v>0</v>
      </c>
      <c r="Q43" s="166">
        <v>0</v>
      </c>
      <c r="R43" s="167">
        <v>0</v>
      </c>
    </row>
    <row r="44" ht="15" customHeight="true" x14ac:dyDescent="0.2">
      <c r="A44" s="76"/>
      <c r="F44" s="209" t="s">
        <v>219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s="222">
        <v>0</v>
      </c>
      <c r="P44" s="222">
        <v>0</v>
      </c>
      <c r="Q44" s="166">
        <v>0</v>
      </c>
      <c r="R44" s="167">
        <v>0</v>
      </c>
    </row>
    <row r="45" ht="15" customHeight="true" x14ac:dyDescent="0.2">
      <c r="A45" s="76"/>
      <c r="F45" s="209" t="s">
        <v>220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 s="222">
        <v>0</v>
      </c>
      <c r="P45" s="222">
        <v>0</v>
      </c>
      <c r="Q45" s="166">
        <v>0</v>
      </c>
      <c r="R45" s="167">
        <v>0</v>
      </c>
    </row>
    <row r="46" ht="15" customHeight="true" x14ac:dyDescent="0.2">
      <c r="A46" s="76"/>
      <c r="F46" s="209" t="s">
        <v>221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 s="222">
        <v>0</v>
      </c>
      <c r="P46" s="222">
        <v>0</v>
      </c>
      <c r="Q46" s="166">
        <v>0</v>
      </c>
      <c r="R46" s="167">
        <v>0</v>
      </c>
    </row>
    <row r="47" ht="15" customHeight="true" x14ac:dyDescent="0.2">
      <c r="A47" s="76"/>
      <c r="F47" s="209" t="s">
        <v>222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 s="222">
        <v>0</v>
      </c>
      <c r="P47" s="222">
        <v>0</v>
      </c>
      <c r="Q47" s="166">
        <v>0</v>
      </c>
      <c r="R47" s="167">
        <v>0</v>
      </c>
    </row>
    <row r="48" ht="15" customHeight="true" x14ac:dyDescent="0.2">
      <c r="A48" s="76"/>
      <c r="F48" s="209" t="s">
        <v>223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 s="222">
        <v>0</v>
      </c>
      <c r="P48" s="222">
        <v>0</v>
      </c>
      <c r="Q48" s="166">
        <v>0</v>
      </c>
      <c r="R48" s="167">
        <v>0</v>
      </c>
    </row>
    <row r="49" ht="15" customHeight="true" x14ac:dyDescent="0.2">
      <c r="A49" s="76"/>
      <c r="E49"/>
      <c r="F49" s="209" t="s">
        <v>224</v>
      </c>
      <c r="G49">
        <v>0</v>
      </c>
      <c r="H49">
        <v>0</v>
      </c>
      <c r="I49">
        <v>0</v>
      </c>
      <c r="J49">
        <v>0</v>
      </c>
      <c r="K49">
        <v>0</v>
      </c>
      <c r="L49">
        <v>1</v>
      </c>
      <c r="M49">
        <v>0</v>
      </c>
      <c r="N49">
        <v>0</v>
      </c>
      <c r="O49" s="222">
        <v>0</v>
      </c>
      <c r="P49" s="222">
        <v>0</v>
      </c>
      <c r="Q49" s="166">
        <v>0</v>
      </c>
      <c r="R49" s="167">
        <v>0</v>
      </c>
      <c r="S49"/>
      <c r="T49"/>
      <c r="U49"/>
      <c r="V49"/>
      <c r="W49"/>
    </row>
    <row r="50" ht="15" customHeight="true" x14ac:dyDescent="0.2">
      <c r="A50" s="76"/>
      <c r="E50"/>
      <c r="F50" s="209" t="s">
        <v>225</v>
      </c>
      <c r="G50">
        <v>0</v>
      </c>
      <c r="H50">
        <v>0</v>
      </c>
      <c r="I50">
        <v>0</v>
      </c>
      <c r="J50">
        <v>0</v>
      </c>
      <c r="K50">
        <v>0</v>
      </c>
      <c r="L50">
        <v>1</v>
      </c>
      <c r="M50">
        <v>0</v>
      </c>
      <c r="N50">
        <v>0</v>
      </c>
      <c r="O50" s="222">
        <v>0</v>
      </c>
      <c r="P50" s="222">
        <v>0</v>
      </c>
      <c r="Q50" s="166">
        <v>0</v>
      </c>
      <c r="R50" s="167">
        <v>0</v>
      </c>
      <c r="S50"/>
      <c r="T50"/>
      <c r="U50"/>
      <c r="V50"/>
      <c r="W50"/>
    </row>
    <row r="51" ht="15" customHeight="true" x14ac:dyDescent="0.2">
      <c r="E51"/>
      <c r="F51" s="209" t="s">
        <v>226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s="222">
        <v>0</v>
      </c>
      <c r="P51" s="222">
        <v>0</v>
      </c>
      <c r="Q51" s="166">
        <v>0</v>
      </c>
      <c r="R51" s="167">
        <v>0</v>
      </c>
      <c r="S51"/>
      <c r="T51"/>
      <c r="U51"/>
      <c r="V51"/>
      <c r="W51"/>
    </row>
    <row r="52" ht="15" customHeight="true" x14ac:dyDescent="0.2">
      <c r="E52"/>
      <c r="F52"/>
      <c r="G52"/>
      <c r="H52"/>
      <c r="I52"/>
      <c r="J52"/>
      <c r="K52"/>
      <c r="L52"/>
      <c r="M52"/>
      <c r="N52"/>
      <c r="O52" s="3"/>
      <c r="P52" s="3"/>
      <c r="Q52"/>
      <c r="R52"/>
      <c r="S52"/>
      <c r="T52"/>
      <c r="U52"/>
      <c r="V52"/>
      <c r="W52"/>
    </row>
    <row r="53" ht="15" customHeight="true" x14ac:dyDescent="0.2">
      <c r="A53" s="76"/>
      <c r="E53"/>
      <c r="F53"/>
      <c r="G53"/>
      <c r="H53"/>
      <c r="I53"/>
      <c r="J53"/>
      <c r="K53"/>
      <c r="L53"/>
      <c r="M53"/>
      <c r="N53"/>
      <c r="O53" s="3"/>
      <c r="P53" s="3"/>
      <c r="Q53"/>
      <c r="R53"/>
      <c r="S53"/>
      <c r="T53"/>
      <c r="U53"/>
      <c r="V53"/>
      <c r="W53"/>
    </row>
    <row r="54" ht="15" customHeight="true" x14ac:dyDescent="0.2">
      <c r="A54" s="76"/>
      <c r="E54"/>
      <c r="F54"/>
      <c r="G54"/>
      <c r="H54"/>
      <c r="I54"/>
      <c r="J54"/>
      <c r="K54"/>
      <c r="L54"/>
      <c r="M54"/>
      <c r="N54"/>
      <c r="O54" s="228" t="s">
        <v>231</v>
      </c>
      <c r="P54" s="3"/>
      <c r="Q54"/>
      <c r="R54"/>
      <c r="S54"/>
      <c r="T54"/>
      <c r="U54"/>
      <c r="V54"/>
      <c r="W54"/>
    </row>
    <row r="55" ht="15" customHeight="true" x14ac:dyDescent="0.2">
      <c r="A55" s="76"/>
      <c r="E55"/>
      <c r="F55"/>
      <c r="G55"/>
      <c r="H55"/>
      <c r="I55"/>
      <c r="J55"/>
      <c r="K55"/>
      <c r="L55"/>
      <c r="M55"/>
      <c r="N55"/>
      <c r="O55" s="3"/>
      <c r="P55" s="3"/>
      <c r="Q55"/>
      <c r="R55"/>
      <c r="S55"/>
      <c r="T55"/>
      <c r="U55"/>
      <c r="V55"/>
      <c r="W55"/>
    </row>
    <row r="56" ht="15" customHeight="true" x14ac:dyDescent="0.2">
      <c r="A56" s="76"/>
      <c r="E56"/>
      <c r="F56"/>
      <c r="G56"/>
      <c r="H56"/>
      <c r="I56"/>
      <c r="J56"/>
      <c r="K56" s="109" t="s">
        <v>155</v>
      </c>
      <c r="O56" s="229"/>
      <c r="Q56"/>
      <c r="R56"/>
      <c r="S56"/>
      <c r="T56"/>
      <c r="U56"/>
      <c r="V56"/>
      <c r="W56"/>
    </row>
    <row r="57" ht="15" customHeight="true" x14ac:dyDescent="0.2">
      <c r="A57" s="76"/>
      <c r="E57"/>
      <c r="F57"/>
      <c r="G57"/>
      <c r="H57"/>
      <c r="I57"/>
      <c r="J57"/>
      <c r="O57" s="230" t="s">
        <v>156</v>
      </c>
      <c r="Q57"/>
      <c r="R57"/>
      <c r="S57"/>
      <c r="T57"/>
      <c r="U57"/>
      <c r="V57"/>
      <c r="W57"/>
    </row>
    <row r="58" ht="15" customHeight="true" x14ac:dyDescent="0.2">
      <c r="A58" s="76"/>
      <c r="E58"/>
      <c r="F58"/>
      <c r="G58"/>
      <c r="H58"/>
      <c r="I58"/>
      <c r="J58"/>
      <c r="K58"/>
      <c r="L58"/>
      <c r="M58"/>
      <c r="N58"/>
      <c r="O58" s="3"/>
      <c r="P58" s="3"/>
      <c r="Q58"/>
      <c r="R58"/>
      <c r="S58"/>
      <c r="T58"/>
      <c r="U58"/>
      <c r="V58"/>
      <c r="W58"/>
    </row>
    <row r="59" ht="15" customHeight="true" x14ac:dyDescent="0.2">
      <c r="A59" s="76"/>
      <c r="E59"/>
      <c r="F59"/>
      <c r="G59"/>
      <c r="H59"/>
      <c r="I59"/>
      <c r="J59"/>
      <c r="K59"/>
      <c r="L59"/>
      <c r="M59"/>
      <c r="N59"/>
      <c r="O59" s="3"/>
      <c r="P59" s="3"/>
      <c r="Q59"/>
      <c r="R59"/>
      <c r="S59"/>
      <c r="T59"/>
      <c r="U59"/>
      <c r="V59"/>
      <c r="W59"/>
    </row>
    <row r="60" ht="15" customHeight="true" x14ac:dyDescent="0.2">
      <c r="A60" s="76"/>
      <c r="E60"/>
      <c r="F60"/>
      <c r="G60"/>
      <c r="H60"/>
      <c r="I60"/>
      <c r="J60"/>
      <c r="K60"/>
      <c r="L60"/>
      <c r="M60"/>
      <c r="N60"/>
      <c r="O60" s="3"/>
      <c r="P60" s="3"/>
      <c r="Q60"/>
      <c r="R60"/>
      <c r="S60"/>
      <c r="T60"/>
      <c r="U60"/>
      <c r="V60"/>
      <c r="W60"/>
    </row>
    <row r="61" ht="15" customHeight="true" x14ac:dyDescent="0.2">
      <c r="A61" s="76"/>
      <c r="F61"/>
      <c r="G61"/>
      <c r="H61"/>
      <c r="I61"/>
      <c r="J61"/>
      <c r="K61"/>
      <c r="L61"/>
      <c r="M61"/>
      <c r="N61"/>
      <c r="O61" s="3"/>
      <c r="P61" s="3"/>
      <c r="Q61"/>
      <c r="R61" s="76"/>
    </row>
    <row r="62" ht="15" customHeight="true" x14ac:dyDescent="0.2">
      <c r="A62" s="76"/>
      <c r="F62"/>
      <c r="G62"/>
      <c r="H62"/>
      <c r="I62"/>
      <c r="J62"/>
      <c r="K62"/>
      <c r="L62"/>
      <c r="M62"/>
      <c r="N62"/>
      <c r="O62" s="3"/>
      <c r="P62" s="3"/>
      <c r="Q62"/>
      <c r="R62" s="76"/>
    </row>
    <row r="63" ht="15" customHeight="true" x14ac:dyDescent="0.2">
      <c r="A63" s="76"/>
      <c r="P63" s="134"/>
      <c r="R63" s="76"/>
    </row>
    <row r="64" ht="15" customHeight="true" x14ac:dyDescent="0.2">
      <c r="A64" s="76"/>
      <c r="R64" s="76"/>
    </row>
    <row r="65" ht="15" customHeight="true" x14ac:dyDescent="0.2">
      <c r="R65" s="76"/>
    </row>
    <row r="66" ht="15" customHeight="true" x14ac:dyDescent="0.2">
      <c r="P66" s="134"/>
      <c r="R66" s="76"/>
    </row>
    <row r="67" ht="15" customHeight="true" x14ac:dyDescent="0.2">
      <c r="P67" s="134"/>
      <c r="R67" s="76"/>
    </row>
    <row r="68" ht="15" customHeight="true" x14ac:dyDescent="0.2">
      <c r="P68" s="134"/>
      <c r="R68" s="76"/>
    </row>
    <row r="69" ht="15" customHeight="true" x14ac:dyDescent="0.2">
      <c r="P69" s="134"/>
      <c r="R69" s="76"/>
    </row>
    <row r="70" ht="15" customHeight="true" x14ac:dyDescent="0.2">
      <c r="P70" s="134"/>
      <c r="R70" s="76"/>
    </row>
    <row r="71" ht="15" customHeight="true" x14ac:dyDescent="0.2">
      <c r="P71" s="134"/>
      <c r="R71" s="76"/>
    </row>
    <row r="72" ht="15" customHeight="true" x14ac:dyDescent="0.2">
      <c r="P72" s="134"/>
      <c r="R72" s="76"/>
    </row>
    <row r="73" ht="15" customHeight="true" x14ac:dyDescent="0.2">
      <c r="P73" s="134"/>
      <c r="R73" s="76"/>
    </row>
    <row r="74" ht="15" customHeight="true" x14ac:dyDescent="0.2">
      <c r="P74" s="134"/>
      <c r="R74" s="76"/>
    </row>
    <row r="75" ht="15" customHeight="true" x14ac:dyDescent="0.2">
      <c r="P75" s="134"/>
      <c r="R75" s="76"/>
    </row>
    <row r="76" ht="15" customHeight="true" x14ac:dyDescent="0.2">
      <c r="A76" s="76"/>
      <c r="P76" s="134"/>
      <c r="R76" s="76"/>
    </row>
    <row r="77" ht="15" customHeight="true" x14ac:dyDescent="0.2">
      <c r="A77" s="76"/>
      <c r="P77" s="134"/>
      <c r="R77" s="76"/>
    </row>
    <row r="78" ht="15" customHeight="true" x14ac:dyDescent="0.2">
      <c r="A78" s="76"/>
      <c r="P78" s="134"/>
      <c r="R78" s="76"/>
    </row>
    <row r="79" ht="15" customHeight="true" x14ac:dyDescent="0.2">
      <c r="A79" s="76"/>
      <c r="P79" s="134"/>
      <c r="R79" s="76"/>
    </row>
    <row r="80" ht="15" customHeight="true" x14ac:dyDescent="0.2">
      <c r="A80" s="76"/>
      <c r="P80" s="134"/>
      <c r="R80" s="76"/>
    </row>
    <row r="81" ht="15" customHeight="true" x14ac:dyDescent="0.2">
      <c r="A81" s="76"/>
      <c r="P81" s="134"/>
      <c r="R81" s="76"/>
    </row>
    <row r="82" ht="15" customHeight="true" x14ac:dyDescent="0.2">
      <c r="A82" s="76"/>
      <c r="P82" s="134"/>
      <c r="R82" s="76"/>
    </row>
    <row r="83" ht="15" customHeight="true" x14ac:dyDescent="0.2">
      <c r="A83" s="76"/>
      <c r="P83" s="134"/>
      <c r="R83" s="76"/>
    </row>
    <row r="84" ht="15" customHeight="true" x14ac:dyDescent="0.2">
      <c r="A84" s="76"/>
      <c r="P84" s="134"/>
      <c r="R84" s="76"/>
    </row>
    <row r="85" ht="15" customHeight="true" x14ac:dyDescent="0.2">
      <c r="A85" s="76"/>
      <c r="P85" s="134"/>
      <c r="R85" s="76"/>
    </row>
    <row r="86" ht="15" customHeight="true" x14ac:dyDescent="0.2">
      <c r="A86" s="76"/>
      <c r="P86" s="134"/>
      <c r="R86" s="76"/>
    </row>
    <row r="87" ht="15" customHeight="true" x14ac:dyDescent="0.2">
      <c r="A87" s="76"/>
      <c r="P87" s="134"/>
      <c r="R87" s="76"/>
    </row>
    <row r="88" ht="15" customHeight="true" x14ac:dyDescent="0.2">
      <c r="A88" s="76"/>
      <c r="P88" s="134"/>
      <c r="R88" s="76"/>
    </row>
    <row r="89" ht="15" customHeight="true" x14ac:dyDescent="0.2">
      <c r="A89" s="76"/>
      <c r="P89" s="134"/>
      <c r="R89" s="76"/>
    </row>
    <row r="90" ht="15" customHeight="true" x14ac:dyDescent="0.2">
      <c r="A90" s="76"/>
      <c r="P90" s="134"/>
      <c r="R90" s="76"/>
    </row>
    <row r="91" ht="15" customHeight="true" x14ac:dyDescent="0.2">
      <c r="A91" s="76"/>
      <c r="P91" s="134"/>
      <c r="R91" s="76"/>
    </row>
    <row r="92" ht="15" customHeight="true" x14ac:dyDescent="0.2">
      <c r="A92" s="76"/>
      <c r="P92" s="134"/>
      <c r="R92" s="76"/>
    </row>
    <row r="93" ht="15" customHeight="true" x14ac:dyDescent="0.2">
      <c r="A93" s="76"/>
      <c r="P93" s="134"/>
      <c r="R93" s="76"/>
    </row>
    <row r="94" ht="15" customHeight="true" x14ac:dyDescent="0.2">
      <c r="A94" s="76"/>
      <c r="P94" s="134"/>
      <c r="R94" s="76"/>
    </row>
    <row r="95" ht="15" customHeight="true" x14ac:dyDescent="0.2">
      <c r="A95" s="76"/>
      <c r="P95" s="134"/>
      <c r="R95" s="76"/>
    </row>
    <row r="96" ht="15" customHeight="true" x14ac:dyDescent="0.2">
      <c r="A96" s="76"/>
      <c r="P96" s="134"/>
      <c r="R96" s="76"/>
    </row>
    <row r="97" ht="15" customHeight="true" x14ac:dyDescent="0.2">
      <c r="A97" s="76"/>
      <c r="P97" s="134"/>
      <c r="R97" s="76"/>
    </row>
    <row r="98" ht="15" customHeight="true" x14ac:dyDescent="0.2">
      <c r="A98" s="76"/>
      <c r="P98" s="134"/>
      <c r="R98" s="76"/>
    </row>
    <row r="99" ht="15" customHeight="true" x14ac:dyDescent="0.2">
      <c r="A99" s="76"/>
      <c r="P99" s="134"/>
      <c r="R99" s="76"/>
    </row>
    <row r="100" ht="15" customHeight="true" x14ac:dyDescent="0.2">
      <c r="A100" s="76"/>
      <c r="P100" s="134"/>
      <c r="R100" s="76"/>
    </row>
    <row r="101" ht="15" customHeight="true" x14ac:dyDescent="0.2">
      <c r="A101" s="76"/>
      <c r="P101" s="134"/>
      <c r="R101" s="76"/>
    </row>
    <row r="102" ht="15" customHeight="true" x14ac:dyDescent="0.2">
      <c r="A102" s="76"/>
      <c r="P102" s="134"/>
      <c r="R102" s="76"/>
    </row>
    <row r="103" ht="15" customHeight="true" x14ac:dyDescent="0.2">
      <c r="A103" s="76"/>
      <c r="P103" s="134"/>
      <c r="R103" s="76"/>
    </row>
    <row r="104" ht="15" customHeight="true" x14ac:dyDescent="0.2">
      <c r="A104" s="76"/>
      <c r="P104" s="134"/>
      <c r="R104" s="76"/>
    </row>
    <row r="105" ht="15" customHeight="true" x14ac:dyDescent="0.2">
      <c r="A105" s="76"/>
      <c r="P105" s="134"/>
      <c r="R105" s="76"/>
    </row>
    <row r="106" ht="15" customHeight="true" x14ac:dyDescent="0.2">
      <c r="P106" s="134"/>
      <c r="R106" s="76"/>
    </row>
    <row r="107" ht="15" customHeight="true" x14ac:dyDescent="0.2">
      <c r="P107" s="134"/>
      <c r="R107" s="76"/>
    </row>
    <row r="108" ht="15" customHeight="true" x14ac:dyDescent="0.2">
      <c r="P108" s="134"/>
      <c r="R108" s="76"/>
    </row>
    <row r="109" ht="15" customHeight="true" x14ac:dyDescent="0.2">
      <c r="P109" s="134"/>
      <c r="R109" s="76"/>
    </row>
    <row r="110" ht="15" customHeight="true" x14ac:dyDescent="0.2">
      <c r="P110" s="134"/>
      <c r="R110" s="76"/>
    </row>
    <row r="111" ht="15" customHeight="true" x14ac:dyDescent="0.2">
      <c r="P111" s="134"/>
      <c r="R111" s="76"/>
    </row>
    <row r="112" ht="15" customHeight="true" x14ac:dyDescent="0.2">
      <c r="P112" s="134"/>
      <c r="R112" s="76"/>
    </row>
    <row r="113" s="76" customFormat="true" ht="15" customHeight="true" x14ac:dyDescent="0.2">
      <c r="K113" s="140"/>
      <c r="L113" s="134"/>
      <c r="M113" s="140"/>
      <c r="N113" s="134"/>
      <c r="O113" s="140"/>
      <c r="P113" s="134"/>
    </row>
    <row r="114" s="76" customFormat="true" ht="15" customHeight="true" x14ac:dyDescent="0.2">
      <c r="K114" s="140"/>
      <c r="L114" s="134"/>
      <c r="M114" s="140"/>
      <c r="N114" s="134"/>
      <c r="O114" s="140"/>
      <c r="P114" s="134"/>
    </row>
    <row r="115" s="76" customFormat="true" ht="15" customHeight="true" x14ac:dyDescent="0.2">
      <c r="K115" s="140"/>
      <c r="L115" s="134"/>
      <c r="M115" s="140"/>
      <c r="N115" s="134"/>
      <c r="O115" s="140"/>
      <c r="P115" s="134"/>
    </row>
    <row r="116" s="76" customFormat="true" ht="15" customHeight="true" x14ac:dyDescent="0.2">
      <c r="K116" s="140"/>
      <c r="L116" s="134"/>
      <c r="M116" s="140"/>
      <c r="N116" s="134"/>
      <c r="O116" s="140"/>
      <c r="P116" s="134"/>
    </row>
    <row r="117" s="76" customFormat="true" ht="15" customHeight="true" x14ac:dyDescent="0.2">
      <c r="K117" s="140"/>
      <c r="L117" s="134"/>
      <c r="M117" s="140"/>
      <c r="N117" s="134"/>
      <c r="O117" s="140"/>
      <c r="P117" s="134"/>
    </row>
    <row r="118" s="76" customFormat="true" ht="15" customHeight="true" x14ac:dyDescent="0.2">
      <c r="K118" s="140"/>
      <c r="L118" s="134"/>
      <c r="M118" s="140"/>
      <c r="N118" s="134"/>
      <c r="O118" s="140"/>
      <c r="P118" s="134"/>
    </row>
    <row r="119" s="76" customFormat="true" ht="15" customHeight="true" x14ac:dyDescent="0.2">
      <c r="K119" s="140"/>
      <c r="L119" s="134"/>
      <c r="M119" s="140"/>
      <c r="N119" s="134"/>
      <c r="O119" s="140"/>
      <c r="P119" s="134"/>
    </row>
    <row r="120" s="76" customFormat="true" ht="15" customHeight="true" x14ac:dyDescent="0.2">
      <c r="K120" s="140"/>
      <c r="L120" s="134"/>
      <c r="M120" s="140"/>
      <c r="N120" s="134"/>
      <c r="O120" s="140"/>
      <c r="P120" s="134"/>
    </row>
    <row r="121" s="76" customFormat="true" ht="15" customHeight="true" x14ac:dyDescent="0.2">
      <c r="K121" s="140"/>
      <c r="L121" s="134"/>
      <c r="M121" s="140"/>
      <c r="N121" s="134"/>
      <c r="O121" s="140"/>
      <c r="P121" s="134"/>
    </row>
    <row r="122" s="76" customFormat="true" ht="15" customHeight="true" x14ac:dyDescent="0.2">
      <c r="K122" s="140"/>
      <c r="L122" s="134"/>
      <c r="M122" s="140"/>
      <c r="N122" s="134"/>
      <c r="O122" s="140"/>
      <c r="P122" s="134"/>
    </row>
    <row r="123" s="76" customFormat="true" ht="15" customHeight="true" x14ac:dyDescent="0.2">
      <c r="K123" s="140"/>
      <c r="L123" s="134"/>
      <c r="M123" s="140"/>
      <c r="N123" s="134"/>
      <c r="O123" s="140"/>
      <c r="P123" s="134"/>
    </row>
    <row r="124" s="76" customFormat="true" ht="15" customHeight="true" x14ac:dyDescent="0.2">
      <c r="K124" s="140"/>
      <c r="L124" s="134"/>
      <c r="M124" s="140"/>
      <c r="N124" s="134"/>
      <c r="O124" s="140"/>
      <c r="P124" s="134"/>
    </row>
    <row r="125" s="76" customFormat="true" ht="15" customHeight="true" x14ac:dyDescent="0.2">
      <c r="K125" s="140"/>
      <c r="L125" s="134"/>
      <c r="M125" s="140"/>
      <c r="N125" s="134"/>
      <c r="O125" s="140"/>
      <c r="P125" s="134"/>
    </row>
    <row r="126" s="76" customFormat="true" ht="15" customHeight="true" x14ac:dyDescent="0.2">
      <c r="K126" s="140"/>
      <c r="L126" s="134"/>
      <c r="M126" s="140"/>
      <c r="N126" s="134"/>
      <c r="O126" s="140"/>
      <c r="P126" s="134"/>
    </row>
    <row r="127" s="76" customFormat="true" ht="15" customHeight="true" x14ac:dyDescent="0.2">
      <c r="K127" s="140"/>
      <c r="L127" s="134"/>
      <c r="M127" s="140"/>
      <c r="N127" s="134"/>
      <c r="O127" s="140"/>
      <c r="P127" s="134"/>
    </row>
    <row r="128" s="76" customFormat="true" ht="15" customHeight="true" x14ac:dyDescent="0.2">
      <c r="K128" s="140"/>
      <c r="L128" s="134"/>
      <c r="M128" s="140"/>
      <c r="N128" s="134"/>
      <c r="O128" s="140"/>
      <c r="P128" s="134"/>
    </row>
    <row r="129" s="76" customFormat="true" ht="15" customHeight="true" x14ac:dyDescent="0.2">
      <c r="K129" s="140"/>
      <c r="L129" s="134"/>
      <c r="M129" s="140"/>
      <c r="N129" s="134"/>
      <c r="O129" s="140"/>
      <c r="P129" s="134"/>
    </row>
    <row r="130" s="76" customFormat="true" ht="15" customHeight="true" x14ac:dyDescent="0.2">
      <c r="K130" s="140"/>
      <c r="L130" s="134"/>
      <c r="M130" s="140"/>
      <c r="N130" s="134"/>
      <c r="O130" s="140"/>
      <c r="P130" s="134"/>
    </row>
    <row r="131" s="76" customFormat="true" ht="15" customHeight="true" x14ac:dyDescent="0.2">
      <c r="K131" s="140"/>
      <c r="L131" s="134"/>
      <c r="M131" s="140"/>
      <c r="N131" s="134"/>
      <c r="O131" s="140"/>
      <c r="P131" s="134"/>
    </row>
    <row r="132" s="76" customFormat="true" ht="15" customHeight="true" x14ac:dyDescent="0.2">
      <c r="K132" s="140"/>
      <c r="L132" s="134"/>
      <c r="M132" s="140"/>
      <c r="N132" s="134"/>
      <c r="O132" s="140"/>
      <c r="P132" s="134"/>
    </row>
    <row r="133" s="76" customFormat="true" ht="15" customHeight="true" x14ac:dyDescent="0.2">
      <c r="K133" s="140"/>
      <c r="L133" s="134"/>
      <c r="M133" s="140"/>
      <c r="N133" s="134"/>
      <c r="O133" s="140"/>
      <c r="P133" s="134"/>
    </row>
    <row r="134" s="76" customFormat="true" ht="15" customHeight="true" x14ac:dyDescent="0.2">
      <c r="K134" s="140"/>
      <c r="L134" s="134"/>
      <c r="M134" s="140"/>
      <c r="N134" s="134"/>
      <c r="O134" s="140"/>
      <c r="P134" s="134"/>
    </row>
    <row r="135" s="76" customFormat="true" ht="15" customHeight="true" x14ac:dyDescent="0.2">
      <c r="K135" s="140"/>
      <c r="L135" s="134"/>
      <c r="M135" s="140"/>
      <c r="N135" s="134"/>
      <c r="O135" s="140"/>
      <c r="P135" s="134"/>
    </row>
    <row r="136" s="76" customFormat="true" ht="15" customHeight="true" x14ac:dyDescent="0.2">
      <c r="K136" s="140"/>
      <c r="L136" s="134"/>
      <c r="M136" s="140"/>
      <c r="N136" s="134"/>
      <c r="O136" s="140"/>
      <c r="P136" s="134"/>
    </row>
    <row r="137" s="76" customFormat="true" ht="15" customHeight="true" x14ac:dyDescent="0.2">
      <c r="K137" s="140"/>
      <c r="L137" s="134"/>
      <c r="M137" s="140"/>
      <c r="N137" s="134"/>
      <c r="O137" s="140"/>
      <c r="P137" s="134"/>
    </row>
    <row r="138" s="76" customFormat="true" ht="15" customHeight="true" x14ac:dyDescent="0.2">
      <c r="K138" s="140"/>
      <c r="L138" s="134"/>
      <c r="M138" s="140"/>
      <c r="N138" s="134"/>
      <c r="O138" s="140"/>
      <c r="P138" s="134"/>
    </row>
    <row r="139" s="76" customFormat="true" ht="15" customHeight="true" x14ac:dyDescent="0.2">
      <c r="K139" s="140"/>
      <c r="L139" s="134"/>
      <c r="M139" s="140"/>
      <c r="N139" s="134"/>
      <c r="O139" s="140"/>
      <c r="P139" s="134"/>
    </row>
    <row r="140" s="76" customFormat="true" ht="15" customHeight="true" x14ac:dyDescent="0.2">
      <c r="K140" s="140"/>
      <c r="L140" s="134"/>
      <c r="M140" s="140"/>
      <c r="N140" s="134"/>
      <c r="O140" s="140"/>
      <c r="P140" s="134"/>
    </row>
    <row r="141" s="76" customFormat="true" ht="15" customHeight="true" x14ac:dyDescent="0.2">
      <c r="K141" s="140"/>
      <c r="L141" s="134"/>
      <c r="M141" s="140"/>
      <c r="N141" s="134"/>
      <c r="O141" s="140"/>
      <c r="P141" s="134"/>
    </row>
    <row r="142" s="76" customFormat="true" ht="15" customHeight="true" x14ac:dyDescent="0.2">
      <c r="K142" s="140"/>
      <c r="L142" s="134"/>
      <c r="M142" s="140"/>
      <c r="N142" s="134"/>
      <c r="O142" s="140"/>
      <c r="P142" s="134"/>
    </row>
    <row r="143" s="76" customFormat="true" ht="15" customHeight="true" x14ac:dyDescent="0.2">
      <c r="K143" s="140"/>
      <c r="L143" s="134"/>
      <c r="M143" s="140"/>
      <c r="N143" s="134"/>
      <c r="O143" s="140"/>
      <c r="P143" s="134"/>
    </row>
    <row r="144" s="76" customFormat="true" ht="15" customHeight="true" x14ac:dyDescent="0.2">
      <c r="K144" s="140"/>
      <c r="L144" s="134"/>
      <c r="M144" s="140"/>
      <c r="N144" s="134"/>
      <c r="O144" s="140"/>
      <c r="P144" s="134"/>
    </row>
    <row r="145" s="76" customFormat="true" ht="15" customHeight="true" x14ac:dyDescent="0.2">
      <c r="K145" s="140"/>
      <c r="L145" s="134"/>
      <c r="M145" s="140"/>
      <c r="N145" s="134"/>
      <c r="O145" s="140"/>
      <c r="P145" s="134"/>
    </row>
    <row r="146" s="76" customFormat="true" ht="15" customHeight="true" x14ac:dyDescent="0.2">
      <c r="K146" s="140"/>
      <c r="L146" s="134"/>
      <c r="M146" s="140"/>
      <c r="N146" s="134"/>
      <c r="O146" s="140"/>
      <c r="P146" s="134"/>
    </row>
    <row r="147" s="76" customFormat="true" ht="15" customHeight="true" x14ac:dyDescent="0.2">
      <c r="K147" s="140"/>
      <c r="L147" s="134"/>
      <c r="M147" s="140"/>
      <c r="N147" s="134"/>
      <c r="O147" s="140"/>
      <c r="P147" s="134"/>
    </row>
    <row r="148" s="76" customFormat="true" ht="15" customHeight="true" x14ac:dyDescent="0.2">
      <c r="K148" s="140"/>
      <c r="L148" s="134"/>
      <c r="M148" s="140"/>
      <c r="N148" s="134"/>
      <c r="O148" s="140"/>
      <c r="P148" s="134"/>
    </row>
    <row r="149" s="76" customFormat="true" ht="15" customHeight="true" x14ac:dyDescent="0.2">
      <c r="K149" s="140"/>
      <c r="L149" s="134"/>
      <c r="M149" s="140"/>
      <c r="N149" s="134"/>
      <c r="O149" s="140"/>
      <c r="P149" s="134"/>
    </row>
    <row r="150" s="76" customFormat="true" ht="15" customHeight="true" x14ac:dyDescent="0.2">
      <c r="K150" s="140"/>
      <c r="L150" s="134"/>
      <c r="M150" s="140"/>
      <c r="N150" s="134"/>
      <c r="O150" s="140"/>
      <c r="P150" s="134"/>
    </row>
    <row r="151" s="76" customFormat="true" ht="15" customHeight="true" x14ac:dyDescent="0.2">
      <c r="K151" s="140"/>
      <c r="L151" s="134"/>
      <c r="M151" s="140"/>
      <c r="N151" s="134"/>
      <c r="O151" s="140"/>
      <c r="P151" s="134"/>
    </row>
    <row r="152" s="76" customFormat="true" ht="15" customHeight="true" x14ac:dyDescent="0.2">
      <c r="K152" s="140"/>
      <c r="L152" s="134"/>
      <c r="M152" s="140"/>
      <c r="N152" s="134"/>
      <c r="O152" s="140"/>
      <c r="P152" s="134"/>
    </row>
    <row r="153" s="76" customFormat="true" ht="15" customHeight="true" x14ac:dyDescent="0.2">
      <c r="K153" s="140"/>
      <c r="L153" s="134"/>
      <c r="M153" s="140"/>
      <c r="N153" s="134"/>
      <c r="O153" s="140"/>
      <c r="P153" s="134"/>
    </row>
    <row r="154" s="76" customFormat="true" ht="15" customHeight="true" x14ac:dyDescent="0.2">
      <c r="K154" s="140"/>
      <c r="L154" s="134"/>
      <c r="M154" s="140"/>
      <c r="N154" s="134"/>
      <c r="O154" s="140"/>
      <c r="P154" s="134"/>
    </row>
    <row r="155" s="76" customFormat="true" ht="15" customHeight="true" x14ac:dyDescent="0.2">
      <c r="K155" s="140"/>
      <c r="L155" s="134"/>
      <c r="M155" s="140"/>
      <c r="N155" s="134"/>
      <c r="O155" s="140"/>
      <c r="P155" s="134"/>
    </row>
    <row r="156" s="76" customFormat="true" ht="15" customHeight="true" x14ac:dyDescent="0.2">
      <c r="K156" s="140"/>
      <c r="L156" s="134"/>
      <c r="M156" s="140"/>
      <c r="N156" s="134"/>
      <c r="O156" s="140"/>
      <c r="P156" s="134"/>
    </row>
    <row r="157" s="76" customFormat="true" ht="15" customHeight="true" x14ac:dyDescent="0.2">
      <c r="K157" s="140"/>
      <c r="L157" s="134"/>
      <c r="M157" s="140"/>
      <c r="N157" s="134"/>
      <c r="O157" s="140"/>
      <c r="P157" s="134"/>
    </row>
    <row r="158" s="76" customFormat="true" ht="15" customHeight="true" x14ac:dyDescent="0.2">
      <c r="K158" s="140"/>
      <c r="L158" s="134"/>
      <c r="M158" s="140"/>
      <c r="N158" s="134"/>
      <c r="O158" s="140"/>
      <c r="P158" s="134"/>
    </row>
    <row r="159" s="76" customFormat="true" ht="15" customHeight="true" x14ac:dyDescent="0.2">
      <c r="K159" s="140"/>
      <c r="L159" s="134"/>
      <c r="M159" s="140"/>
      <c r="N159" s="134"/>
      <c r="O159" s="140"/>
      <c r="P159" s="134"/>
    </row>
    <row r="160" s="76" customFormat="true" ht="15" customHeight="true" x14ac:dyDescent="0.2">
      <c r="K160" s="140"/>
      <c r="L160" s="134"/>
      <c r="M160" s="140"/>
      <c r="N160" s="134"/>
      <c r="O160" s="140"/>
      <c r="P160" s="134"/>
    </row>
    <row r="161" s="76" customFormat="true" ht="15" customHeight="true" x14ac:dyDescent="0.2">
      <c r="K161" s="140"/>
      <c r="L161" s="134"/>
      <c r="M161" s="140"/>
      <c r="N161" s="134"/>
      <c r="O161" s="140"/>
      <c r="P161" s="134"/>
    </row>
    <row r="162" s="76" customFormat="true" ht="15" customHeight="true" x14ac:dyDescent="0.2">
      <c r="K162" s="140"/>
      <c r="L162" s="134"/>
      <c r="M162" s="140"/>
      <c r="N162" s="134"/>
      <c r="O162" s="140"/>
      <c r="P162" s="134"/>
    </row>
    <row r="163" s="76" customFormat="true" ht="15" customHeight="true" x14ac:dyDescent="0.2">
      <c r="K163" s="140"/>
      <c r="L163" s="134"/>
      <c r="M163" s="140"/>
      <c r="N163" s="134"/>
      <c r="O163" s="140"/>
      <c r="P163" s="134"/>
    </row>
    <row r="164" s="76" customFormat="true" ht="15" customHeight="true" x14ac:dyDescent="0.2">
      <c r="K164" s="140"/>
      <c r="L164" s="134"/>
      <c r="M164" s="140"/>
      <c r="N164" s="134"/>
      <c r="O164" s="140"/>
      <c r="P164" s="134"/>
    </row>
    <row r="165" s="76" customFormat="true" ht="15" customHeight="true" x14ac:dyDescent="0.2">
      <c r="K165" s="140"/>
      <c r="L165" s="134"/>
      <c r="M165" s="140"/>
      <c r="N165" s="134"/>
      <c r="O165" s="140"/>
      <c r="P165" s="134"/>
    </row>
    <row r="166" s="76" customFormat="true" ht="15" customHeight="true" x14ac:dyDescent="0.2">
      <c r="K166" s="140"/>
      <c r="L166" s="134"/>
      <c r="M166" s="140"/>
      <c r="N166" s="134"/>
      <c r="O166" s="140"/>
      <c r="P166" s="134"/>
    </row>
    <row r="167" s="76" customFormat="true" ht="15" customHeight="true" x14ac:dyDescent="0.2">
      <c r="K167" s="140"/>
      <c r="L167" s="134"/>
      <c r="M167" s="140"/>
      <c r="N167" s="134"/>
      <c r="O167" s="140"/>
      <c r="P167" s="134"/>
    </row>
    <row r="168" s="76" customFormat="true" ht="15" customHeight="true" x14ac:dyDescent="0.2">
      <c r="K168" s="140"/>
      <c r="L168" s="134"/>
      <c r="M168" s="140"/>
      <c r="N168" s="134"/>
      <c r="O168" s="140"/>
      <c r="P168" s="134"/>
    </row>
    <row r="169" s="76" customFormat="true" ht="15" customHeight="true" x14ac:dyDescent="0.2">
      <c r="K169" s="140"/>
      <c r="L169" s="134"/>
      <c r="M169" s="140"/>
      <c r="N169" s="134"/>
      <c r="O169" s="140"/>
      <c r="P169" s="134"/>
    </row>
    <row r="170" s="76" customFormat="true" ht="15" customHeight="true" x14ac:dyDescent="0.2">
      <c r="K170" s="140"/>
      <c r="L170" s="134"/>
      <c r="M170" s="140"/>
      <c r="N170" s="134"/>
      <c r="O170" s="140"/>
      <c r="P170" s="134"/>
    </row>
    <row r="171" s="76" customFormat="true" ht="15" customHeight="true" x14ac:dyDescent="0.2">
      <c r="K171" s="140"/>
      <c r="L171" s="134"/>
      <c r="M171" s="140"/>
      <c r="N171" s="134"/>
      <c r="O171" s="140"/>
      <c r="P171" s="134"/>
    </row>
    <row r="172" s="76" customFormat="true" ht="15" customHeight="true" x14ac:dyDescent="0.2">
      <c r="K172" s="140"/>
      <c r="L172" s="134"/>
      <c r="M172" s="140"/>
      <c r="N172" s="134"/>
      <c r="O172" s="140"/>
      <c r="P172" s="134"/>
    </row>
    <row r="173" s="76" customFormat="true" ht="15" customHeight="true" x14ac:dyDescent="0.2">
      <c r="K173" s="140"/>
      <c r="L173" s="134"/>
      <c r="M173" s="140"/>
      <c r="N173" s="134"/>
      <c r="O173" s="140"/>
      <c r="P173" s="134"/>
    </row>
    <row r="174" s="76" customFormat="true" ht="15" customHeight="true" x14ac:dyDescent="0.2">
      <c r="K174" s="140"/>
      <c r="L174" s="134"/>
      <c r="M174" s="140"/>
      <c r="N174" s="134"/>
      <c r="O174" s="140"/>
      <c r="P174" s="134"/>
    </row>
    <row r="175" s="76" customFormat="true" ht="15" customHeight="true" x14ac:dyDescent="0.2">
      <c r="K175" s="140"/>
      <c r="L175" s="134"/>
      <c r="M175" s="140"/>
      <c r="N175" s="134"/>
      <c r="O175" s="140"/>
      <c r="P175" s="134"/>
    </row>
    <row r="176" s="76" customFormat="true" ht="15" customHeight="true" x14ac:dyDescent="0.2">
      <c r="K176" s="140"/>
      <c r="L176" s="134"/>
      <c r="M176" s="140"/>
      <c r="N176" s="134"/>
      <c r="O176" s="140"/>
      <c r="P176" s="134"/>
    </row>
    <row r="177" s="76" customFormat="true" ht="15" customHeight="true" x14ac:dyDescent="0.2">
      <c r="K177" s="140"/>
      <c r="L177" s="134"/>
      <c r="M177" s="140"/>
      <c r="N177" s="134"/>
      <c r="O177" s="140"/>
      <c r="P177" s="134"/>
    </row>
    <row r="178" s="76" customFormat="true" ht="15" customHeight="true" x14ac:dyDescent="0.2">
      <c r="K178" s="140"/>
      <c r="L178" s="134"/>
      <c r="M178" s="140"/>
      <c r="N178" s="134"/>
      <c r="O178" s="140"/>
      <c r="P178" s="134"/>
    </row>
    <row r="179" s="76" customFormat="true" ht="15" customHeight="true" x14ac:dyDescent="0.2">
      <c r="K179" s="140"/>
      <c r="L179" s="134"/>
      <c r="M179" s="140"/>
      <c r="N179" s="134"/>
      <c r="O179" s="140"/>
      <c r="P179" s="134"/>
    </row>
    <row r="180" s="76" customFormat="true" ht="15" customHeight="true" x14ac:dyDescent="0.2">
      <c r="K180" s="140"/>
      <c r="L180" s="134"/>
      <c r="M180" s="140"/>
      <c r="N180" s="134"/>
      <c r="O180" s="140"/>
      <c r="P180" s="134"/>
    </row>
    <row r="181" s="76" customFormat="true" ht="15" customHeight="true" x14ac:dyDescent="0.2">
      <c r="K181" s="140"/>
      <c r="L181" s="134"/>
      <c r="M181" s="140"/>
      <c r="N181" s="134"/>
      <c r="O181" s="140"/>
      <c r="P181" s="134"/>
    </row>
    <row r="182" s="76" customFormat="true" ht="15" customHeight="true" x14ac:dyDescent="0.2">
      <c r="K182" s="140"/>
      <c r="L182" s="134"/>
      <c r="M182" s="140"/>
      <c r="N182" s="134"/>
      <c r="O182" s="140"/>
      <c r="P182" s="134"/>
    </row>
    <row r="183" s="76" customFormat="true" ht="15" customHeight="true" x14ac:dyDescent="0.2">
      <c r="K183" s="140"/>
      <c r="L183" s="134"/>
      <c r="M183" s="140"/>
      <c r="N183" s="134"/>
      <c r="O183" s="140"/>
      <c r="P183" s="134"/>
    </row>
    <row r="184" s="76" customFormat="true" ht="15" customHeight="true" x14ac:dyDescent="0.2">
      <c r="K184" s="140"/>
      <c r="L184" s="134"/>
      <c r="M184" s="140"/>
      <c r="N184" s="134"/>
      <c r="O184" s="140"/>
      <c r="P184" s="134"/>
    </row>
    <row r="185" s="76" customFormat="true" ht="15" customHeight="true" x14ac:dyDescent="0.2">
      <c r="K185" s="140"/>
      <c r="L185" s="134"/>
      <c r="M185" s="140"/>
      <c r="N185" s="134"/>
      <c r="O185" s="140"/>
      <c r="P185" s="134"/>
    </row>
    <row r="186" s="76" customFormat="true" ht="15" customHeight="true" x14ac:dyDescent="0.2">
      <c r="K186" s="140"/>
      <c r="L186" s="134"/>
      <c r="M186" s="140"/>
      <c r="N186" s="134"/>
      <c r="O186" s="140"/>
      <c r="P186" s="134"/>
    </row>
    <row r="187" s="76" customFormat="true" ht="15" customHeight="true" x14ac:dyDescent="0.2">
      <c r="K187" s="140"/>
      <c r="L187" s="134"/>
      <c r="M187" s="140"/>
      <c r="N187" s="134"/>
      <c r="O187" s="140"/>
      <c r="P187" s="134"/>
    </row>
    <row r="188" s="76" customFormat="true" ht="15" customHeight="true" x14ac:dyDescent="0.2">
      <c r="K188" s="140"/>
      <c r="L188" s="134"/>
      <c r="M188" s="140"/>
      <c r="N188" s="134"/>
      <c r="O188" s="140"/>
      <c r="P188" s="134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BB18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6" x14ac:dyDescent="0.2"/>
  <cols>
    <col min="1" max="1" width="40" style="76" bestFit="true" customWidth="true"/>
    <col min="2" max="5" width="7.83203125" style="108" customWidth="true"/>
    <col min="6" max="38" width="8.83203125" style="84"/>
    <col min="39" max="16384" width="8.83203125" style="76"/>
  </cols>
  <sheetData>
    <row r="1" x14ac:dyDescent="0.2">
      <c r="A1" s="75" t="s">
        <v>159</v>
      </c>
      <c r="B1" s="106" t="s">
        <v>160</v>
      </c>
      <c r="C1" s="106" t="s">
        <v>17</v>
      </c>
      <c r="D1" s="106" t="s">
        <v>161</v>
      </c>
      <c r="E1" s="106" t="s">
        <v>162</v>
      </c>
      <c r="F1" s="77" t="s">
        <v>38</v>
      </c>
      <c r="G1" s="77" t="s">
        <v>40</v>
      </c>
      <c r="H1" s="77" t="s">
        <v>41</v>
      </c>
      <c r="I1" s="86" t="s">
        <v>182</v>
      </c>
      <c r="J1" s="86" t="s">
        <v>183</v>
      </c>
      <c r="K1" s="86" t="s">
        <v>184</v>
      </c>
      <c r="L1" s="86" t="s">
        <v>185</v>
      </c>
      <c r="M1" s="86" t="s">
        <v>186</v>
      </c>
      <c r="N1" s="86" t="s">
        <v>187</v>
      </c>
      <c r="O1" s="86" t="s">
        <v>188</v>
      </c>
      <c r="P1" s="86" t="s">
        <v>189</v>
      </c>
      <c r="Q1" s="86" t="s">
        <v>190</v>
      </c>
      <c r="R1" s="86" t="s">
        <v>191</v>
      </c>
      <c r="S1" s="86" t="s">
        <v>192</v>
      </c>
      <c r="T1" s="86" t="s">
        <v>193</v>
      </c>
      <c r="U1" s="86" t="s">
        <v>194</v>
      </c>
      <c r="V1" s="86" t="s">
        <v>195</v>
      </c>
      <c r="W1" s="86" t="s">
        <v>196</v>
      </c>
      <c r="X1" s="86" t="s">
        <v>197</v>
      </c>
      <c r="Y1" s="86" t="s">
        <v>198</v>
      </c>
      <c r="Z1" s="86" t="s">
        <v>199</v>
      </c>
      <c r="AA1" s="86" t="s">
        <v>200</v>
      </c>
      <c r="AB1" s="86" t="s">
        <v>201</v>
      </c>
      <c r="AC1" s="86" t="s">
        <v>202</v>
      </c>
      <c r="AD1" s="86" t="s">
        <v>203</v>
      </c>
      <c r="AE1" s="86" t="s">
        <v>204</v>
      </c>
      <c r="AF1" s="86" t="s">
        <v>205</v>
      </c>
      <c r="AG1" s="86" t="s">
        <v>206</v>
      </c>
      <c r="AH1" s="86" t="s">
        <v>207</v>
      </c>
      <c r="AI1" s="86" t="s">
        <v>208</v>
      </c>
      <c r="AJ1" s="86" t="s">
        <v>209</v>
      </c>
      <c r="AK1" s="86" t="s">
        <v>175</v>
      </c>
      <c r="AL1" s="86" t="s">
        <v>210</v>
      </c>
      <c r="AM1" s="86" t="s">
        <v>211</v>
      </c>
      <c r="AN1" s="86" t="s">
        <v>212</v>
      </c>
      <c r="AO1" s="86" t="s">
        <v>178</v>
      </c>
      <c r="AP1" s="86" t="s">
        <v>214</v>
      </c>
      <c r="AQ1" s="86" t="s">
        <v>215</v>
      </c>
      <c r="AR1" s="86" t="s">
        <v>216</v>
      </c>
      <c r="AS1" s="86" t="s">
        <v>217</v>
      </c>
      <c r="AT1" s="86" t="s">
        <v>218</v>
      </c>
      <c r="AU1" s="86" t="s">
        <v>219</v>
      </c>
      <c r="AV1" s="86" t="s">
        <v>220</v>
      </c>
      <c r="AW1" s="86" t="s">
        <v>221</v>
      </c>
      <c r="AX1" s="86" t="s">
        <v>222</v>
      </c>
      <c r="AY1" s="86" t="s">
        <v>223</v>
      </c>
      <c r="AZ1" s="86" t="s">
        <v>224</v>
      </c>
      <c r="BA1" s="86" t="s">
        <v>225</v>
      </c>
      <c r="BB1" s="104" t="s">
        <v>226</v>
      </c>
    </row>
    <row r="2" x14ac:dyDescent="0.2">
      <c r="A2" s="77" t="s">
        <v>38</v>
      </c>
      <c r="B2" s="108">
        <v>0</v>
      </c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</row>
    <row r="3" x14ac:dyDescent="0.2">
      <c r="A3" s="77" t="s">
        <v>40</v>
      </c>
      <c r="B3" s="108">
        <v>0</v>
      </c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6"/>
      <c r="V3" s="76"/>
      <c r="W3" s="76"/>
      <c r="X3" s="76"/>
      <c r="Y3" s="76"/>
      <c r="Z3" s="76"/>
      <c r="AA3" s="76"/>
      <c r="AB3" s="76"/>
      <c r="AC3" s="76"/>
      <c r="AD3" s="76"/>
      <c r="AE3" s="76"/>
      <c r="AF3" s="76"/>
      <c r="AG3" s="76"/>
      <c r="AH3" s="76"/>
      <c r="AI3" s="76"/>
      <c r="AJ3" s="76"/>
      <c r="AK3" s="76"/>
      <c r="AL3" s="76"/>
    </row>
    <row r="4" x14ac:dyDescent="0.2">
      <c r="A4" s="77" t="s">
        <v>41</v>
      </c>
      <c r="B4" s="108">
        <v>0</v>
      </c>
      <c r="C4" s="76"/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</row>
    <row r="5" x14ac:dyDescent="0.2">
      <c r="A5" s="86" t="s">
        <v>182</v>
      </c>
      <c r="B5" s="108">
        <v>0</v>
      </c>
      <c r="C5" s="76"/>
      <c r="D5" s="76"/>
      <c r="E5" s="76"/>
      <c r="F5" s="76"/>
      <c r="G5" s="76"/>
      <c r="H5" s="76"/>
      <c r="I5" s="76"/>
      <c r="J5" s="76"/>
      <c r="K5" s="76"/>
      <c r="L5" s="76"/>
      <c r="M5" s="76"/>
      <c r="N5" s="76"/>
      <c r="O5" s="76"/>
      <c r="P5" s="76"/>
      <c r="Q5" s="76"/>
      <c r="R5" s="76"/>
      <c r="S5" s="76"/>
      <c r="T5" s="76"/>
      <c r="U5" s="76"/>
      <c r="V5" s="76"/>
      <c r="W5" s="76"/>
      <c r="X5" s="76"/>
      <c r="Y5" s="76"/>
      <c r="Z5" s="76"/>
      <c r="AA5" s="76"/>
      <c r="AB5" s="76"/>
      <c r="AC5" s="76"/>
      <c r="AD5" s="76"/>
      <c r="AE5" s="76"/>
      <c r="AF5" s="76"/>
      <c r="AG5" s="76"/>
      <c r="AH5" s="76"/>
      <c r="AI5" s="76"/>
      <c r="AJ5" s="76"/>
      <c r="AK5" s="76"/>
      <c r="AL5" s="76"/>
    </row>
    <row r="6" x14ac:dyDescent="0.2">
      <c r="A6" s="86" t="s">
        <v>183</v>
      </c>
      <c r="B6" s="108">
        <v>0</v>
      </c>
      <c r="C6" s="76"/>
      <c r="D6" s="76"/>
      <c r="E6" s="76"/>
      <c r="F6" s="76"/>
      <c r="G6" s="76"/>
      <c r="H6" s="76"/>
      <c r="I6" s="76"/>
      <c r="J6" s="76"/>
      <c r="K6" s="76"/>
      <c r="L6" s="76"/>
      <c r="M6" s="76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  <c r="Z6" s="76"/>
      <c r="AA6" s="76"/>
      <c r="AB6" s="76"/>
      <c r="AC6" s="76"/>
      <c r="AD6" s="76"/>
      <c r="AE6" s="76"/>
      <c r="AF6" s="76"/>
      <c r="AG6" s="76"/>
      <c r="AH6" s="76"/>
      <c r="AI6" s="76"/>
      <c r="AJ6" s="76"/>
      <c r="AK6" s="76"/>
      <c r="AL6" s="76"/>
    </row>
    <row r="7" x14ac:dyDescent="0.2">
      <c r="A7" s="86" t="s">
        <v>184</v>
      </c>
      <c r="B7" s="108">
        <v>0</v>
      </c>
      <c r="C7" s="76"/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76"/>
      <c r="AC7" s="76"/>
      <c r="AD7" s="76"/>
      <c r="AE7" s="76"/>
      <c r="AF7" s="76"/>
      <c r="AG7" s="76"/>
      <c r="AH7" s="76"/>
      <c r="AI7" s="76"/>
      <c r="AJ7" s="76"/>
      <c r="AK7" s="76"/>
      <c r="AL7" s="76"/>
    </row>
    <row r="8" x14ac:dyDescent="0.2">
      <c r="A8" s="86" t="s">
        <v>185</v>
      </c>
      <c r="B8" s="108">
        <v>0</v>
      </c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/>
      <c r="AC8" s="76"/>
      <c r="AD8" s="76"/>
      <c r="AE8" s="76"/>
      <c r="AF8" s="76"/>
      <c r="AG8" s="76"/>
      <c r="AH8" s="76"/>
      <c r="AI8" s="76"/>
      <c r="AJ8" s="76"/>
      <c r="AK8" s="76"/>
      <c r="AL8" s="76"/>
    </row>
    <row r="9" x14ac:dyDescent="0.2">
      <c r="A9" s="86" t="s">
        <v>186</v>
      </c>
      <c r="B9" s="108">
        <v>0</v>
      </c>
      <c r="C9" s="76"/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  <c r="AB9" s="76"/>
      <c r="AC9" s="76"/>
      <c r="AD9" s="76"/>
      <c r="AE9" s="76"/>
      <c r="AF9" s="76"/>
      <c r="AG9" s="76"/>
      <c r="AH9" s="76"/>
      <c r="AI9" s="76"/>
      <c r="AJ9" s="76"/>
      <c r="AK9" s="76"/>
      <c r="AL9" s="76"/>
    </row>
    <row r="10" x14ac:dyDescent="0.2">
      <c r="A10" s="86" t="s">
        <v>187</v>
      </c>
      <c r="B10" s="108">
        <v>0</v>
      </c>
      <c r="C10" s="76"/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6"/>
      <c r="AF10" s="76"/>
      <c r="AG10" s="76"/>
      <c r="AH10" s="76"/>
      <c r="AI10" s="76"/>
      <c r="AJ10" s="76"/>
      <c r="AK10" s="76"/>
      <c r="AL10" s="76"/>
    </row>
    <row r="11" x14ac:dyDescent="0.2">
      <c r="A11" s="86" t="s">
        <v>188</v>
      </c>
      <c r="B11" s="108">
        <v>0</v>
      </c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76"/>
      <c r="AI11" s="76"/>
      <c r="AJ11" s="76"/>
      <c r="AK11" s="76"/>
      <c r="AL11" s="76"/>
    </row>
    <row r="12" x14ac:dyDescent="0.2">
      <c r="A12" s="86" t="s">
        <v>189</v>
      </c>
      <c r="B12" s="108">
        <v>0</v>
      </c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  <c r="N12" s="76"/>
      <c r="O12" s="76"/>
      <c r="P12" s="76"/>
      <c r="Q12" s="76"/>
      <c r="R12" s="76"/>
      <c r="S12" s="76"/>
      <c r="T12" s="76"/>
      <c r="U12" s="76"/>
      <c r="V12" s="76"/>
      <c r="W12" s="76"/>
      <c r="X12" s="76"/>
      <c r="Y12" s="76"/>
      <c r="Z12" s="76"/>
      <c r="AA12" s="76"/>
      <c r="AB12" s="76"/>
      <c r="AC12" s="76"/>
      <c r="AD12" s="76"/>
      <c r="AE12" s="76"/>
      <c r="AF12" s="76"/>
      <c r="AG12" s="76"/>
      <c r="AH12" s="76"/>
      <c r="AI12" s="76"/>
      <c r="AJ12" s="76"/>
      <c r="AK12" s="76"/>
      <c r="AL12" s="76"/>
    </row>
    <row r="13" x14ac:dyDescent="0.2">
      <c r="A13" s="86" t="s">
        <v>190</v>
      </c>
      <c r="B13" s="108">
        <v>0</v>
      </c>
      <c r="C13" s="76"/>
      <c r="D13" s="76"/>
      <c r="E13" s="76"/>
      <c r="F13" s="76"/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  <c r="Z13" s="76"/>
      <c r="AA13" s="76"/>
      <c r="AB13" s="76"/>
      <c r="AC13" s="76"/>
      <c r="AD13" s="76"/>
      <c r="AE13" s="76"/>
      <c r="AF13" s="76"/>
      <c r="AG13" s="76"/>
      <c r="AH13" s="76"/>
      <c r="AI13" s="76"/>
      <c r="AJ13" s="76"/>
      <c r="AK13" s="76"/>
      <c r="AL13" s="76"/>
    </row>
    <row r="14" x14ac:dyDescent="0.2">
      <c r="A14" s="86" t="s">
        <v>191</v>
      </c>
      <c r="B14" s="108">
        <v>0</v>
      </c>
      <c r="C14" s="76"/>
      <c r="D14" s="76"/>
      <c r="E14" s="76"/>
      <c r="F14" s="76"/>
      <c r="G14" s="76"/>
      <c r="H14" s="76"/>
      <c r="I14" s="76"/>
      <c r="J14" s="76"/>
      <c r="K14" s="76"/>
      <c r="L14" s="76"/>
      <c r="M14" s="76"/>
      <c r="N14" s="76"/>
      <c r="O14" s="76"/>
      <c r="P14" s="76"/>
      <c r="Q14" s="76"/>
      <c r="R14" s="76"/>
      <c r="S14" s="76"/>
      <c r="T14" s="76"/>
      <c r="U14" s="76"/>
      <c r="V14" s="76"/>
      <c r="W14" s="76"/>
      <c r="X14" s="76"/>
      <c r="Y14" s="76"/>
      <c r="Z14" s="76"/>
      <c r="AA14" s="76"/>
      <c r="AB14" s="76"/>
      <c r="AC14" s="76"/>
      <c r="AD14" s="76"/>
      <c r="AE14" s="76"/>
      <c r="AF14" s="76"/>
      <c r="AG14" s="76"/>
      <c r="AH14" s="76"/>
      <c r="AI14" s="76"/>
      <c r="AJ14" s="76"/>
      <c r="AK14" s="76"/>
      <c r="AL14" s="76"/>
    </row>
    <row r="15" x14ac:dyDescent="0.2">
      <c r="A15" s="86" t="s">
        <v>192</v>
      </c>
      <c r="B15" s="108">
        <v>0</v>
      </c>
      <c r="C15" s="76"/>
      <c r="D15" s="76"/>
      <c r="E15" s="76"/>
      <c r="F15" s="76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/>
      <c r="Z15" s="76"/>
      <c r="AA15" s="76"/>
      <c r="AB15" s="76"/>
      <c r="AC15" s="76"/>
      <c r="AD15" s="76"/>
      <c r="AE15" s="76"/>
      <c r="AF15" s="76"/>
      <c r="AG15" s="76"/>
      <c r="AH15" s="76"/>
      <c r="AI15" s="76"/>
      <c r="AJ15" s="76"/>
      <c r="AK15" s="76"/>
      <c r="AL15" s="76"/>
    </row>
    <row r="16" x14ac:dyDescent="0.2">
      <c r="A16" s="86" t="s">
        <v>193</v>
      </c>
      <c r="B16" s="108">
        <v>0</v>
      </c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  <c r="N16" s="76"/>
      <c r="O16" s="76"/>
      <c r="P16" s="76"/>
      <c r="Q16" s="76"/>
      <c r="R16" s="76"/>
      <c r="S16" s="76"/>
      <c r="T16" s="76"/>
      <c r="U16" s="76"/>
      <c r="V16" s="76"/>
      <c r="W16" s="76"/>
      <c r="X16" s="76"/>
      <c r="Y16" s="76"/>
      <c r="Z16" s="76"/>
      <c r="AA16" s="76"/>
      <c r="AB16" s="76"/>
      <c r="AC16" s="76"/>
      <c r="AD16" s="76"/>
      <c r="AE16" s="76"/>
      <c r="AF16" s="76"/>
      <c r="AG16" s="76"/>
      <c r="AH16" s="76"/>
      <c r="AI16" s="76"/>
      <c r="AJ16" s="76"/>
      <c r="AK16" s="76"/>
      <c r="AL16" s="76"/>
    </row>
    <row r="17" ht="15" customHeight="true" x14ac:dyDescent="0.2">
      <c r="A17" s="86" t="s">
        <v>194</v>
      </c>
      <c r="B17" s="108">
        <v>0</v>
      </c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  <c r="Z17" s="76"/>
      <c r="AA17" s="76"/>
      <c r="AB17" s="76"/>
      <c r="AC17" s="76"/>
      <c r="AD17" s="76"/>
      <c r="AE17" s="76"/>
      <c r="AF17" s="76"/>
      <c r="AG17" s="76"/>
      <c r="AH17" s="76"/>
      <c r="AI17" s="76"/>
      <c r="AJ17" s="76"/>
      <c r="AK17" s="76"/>
      <c r="AL17" s="76"/>
    </row>
    <row r="18" ht="15" customHeight="true" x14ac:dyDescent="0.2">
      <c r="A18" s="86" t="s">
        <v>195</v>
      </c>
      <c r="B18" s="108">
        <v>0</v>
      </c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  <c r="N18" s="76"/>
      <c r="O18" s="76"/>
      <c r="P18" s="76"/>
      <c r="Q18" s="76"/>
      <c r="R18" s="76"/>
      <c r="S18" s="76"/>
      <c r="T18" s="76"/>
      <c r="U18" s="76"/>
      <c r="V18" s="76"/>
      <c r="W18" s="76"/>
      <c r="X18" s="76"/>
      <c r="Y18" s="76"/>
      <c r="Z18" s="76"/>
      <c r="AA18" s="76"/>
      <c r="AB18" s="76"/>
      <c r="AC18" s="76"/>
      <c r="AD18" s="76"/>
      <c r="AE18" s="76"/>
      <c r="AF18" s="76"/>
      <c r="AG18" s="76"/>
      <c r="AH18" s="76"/>
      <c r="AI18" s="76"/>
      <c r="AJ18" s="76"/>
      <c r="AK18" s="76"/>
      <c r="AL18" s="76"/>
    </row>
    <row r="19" ht="15" customHeight="true" x14ac:dyDescent="0.2">
      <c r="A19" s="86" t="s">
        <v>196</v>
      </c>
      <c r="B19" s="108">
        <v>0</v>
      </c>
      <c r="C19" s="76"/>
      <c r="D19" s="76"/>
      <c r="E19" s="76"/>
      <c r="F19" s="76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76"/>
      <c r="Z19" s="76"/>
      <c r="AA19" s="76"/>
      <c r="AB19" s="76"/>
      <c r="AC19" s="76"/>
      <c r="AD19" s="76"/>
      <c r="AE19" s="76"/>
      <c r="AF19" s="76"/>
      <c r="AG19" s="76"/>
      <c r="AH19" s="76"/>
      <c r="AI19" s="76"/>
      <c r="AJ19" s="76"/>
      <c r="AK19" s="76"/>
      <c r="AL19" s="76"/>
    </row>
    <row r="20" ht="15" customHeight="true" x14ac:dyDescent="0.2">
      <c r="A20" s="86" t="s">
        <v>197</v>
      </c>
      <c r="B20" s="108">
        <v>0</v>
      </c>
      <c r="C20" s="76"/>
      <c r="D20" s="76"/>
      <c r="E20" s="76"/>
      <c r="F20" s="76"/>
      <c r="G20" s="76"/>
      <c r="H20" s="76"/>
      <c r="I20" s="76"/>
      <c r="J20" s="76"/>
      <c r="K20" s="76"/>
      <c r="L20" s="76"/>
      <c r="M20" s="76"/>
      <c r="N20" s="76"/>
      <c r="O20" s="76"/>
      <c r="P20" s="76"/>
      <c r="Q20" s="76"/>
      <c r="R20" s="76"/>
      <c r="S20" s="76"/>
      <c r="T20" s="76"/>
      <c r="U20" s="76"/>
      <c r="V20" s="76"/>
      <c r="W20" s="76"/>
      <c r="X20" s="76"/>
      <c r="Y20" s="76"/>
      <c r="Z20" s="76"/>
      <c r="AA20" s="76"/>
      <c r="AB20" s="76"/>
      <c r="AC20" s="76"/>
      <c r="AD20" s="76"/>
      <c r="AE20" s="76"/>
      <c r="AF20" s="76"/>
      <c r="AG20" s="76"/>
      <c r="AH20" s="76"/>
      <c r="AI20" s="76"/>
      <c r="AJ20" s="76"/>
      <c r="AK20" s="76"/>
      <c r="AL20" s="76"/>
    </row>
    <row r="21" ht="15" customHeight="true" x14ac:dyDescent="0.2">
      <c r="A21" s="86" t="s">
        <v>198</v>
      </c>
      <c r="B21" s="108">
        <v>0</v>
      </c>
      <c r="C21" s="76"/>
      <c r="D21" s="76"/>
      <c r="E21" s="76"/>
      <c r="F21" s="76"/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  <c r="Z21" s="76"/>
      <c r="AA21" s="76"/>
      <c r="AB21" s="76"/>
      <c r="AC21" s="76"/>
      <c r="AD21" s="76"/>
      <c r="AE21" s="76"/>
      <c r="AF21" s="76"/>
      <c r="AG21" s="76"/>
      <c r="AH21" s="76"/>
      <c r="AI21" s="76"/>
      <c r="AJ21" s="76"/>
      <c r="AK21" s="76"/>
      <c r="AL21" s="76"/>
    </row>
    <row r="22" ht="15" customHeight="true" x14ac:dyDescent="0.2">
      <c r="A22" s="86" t="s">
        <v>199</v>
      </c>
      <c r="B22" s="108">
        <v>0</v>
      </c>
      <c r="C22" s="76"/>
      <c r="D22" s="76"/>
      <c r="E22" s="76"/>
      <c r="F22" s="76"/>
      <c r="G22" s="76"/>
      <c r="H22" s="76"/>
      <c r="I22" s="76"/>
      <c r="J22" s="76"/>
      <c r="K22" s="76"/>
      <c r="L22" s="76"/>
      <c r="M22" s="76"/>
      <c r="N22" s="76"/>
      <c r="O22" s="76"/>
      <c r="P22" s="76"/>
      <c r="Q22" s="76"/>
      <c r="R22" s="76"/>
      <c r="S22" s="76"/>
      <c r="T22" s="76"/>
      <c r="U22" s="76"/>
      <c r="V22" s="76"/>
      <c r="W22" s="76"/>
      <c r="X22" s="76"/>
      <c r="Y22" s="76"/>
      <c r="Z22" s="76"/>
      <c r="AA22" s="76"/>
      <c r="AB22" s="76"/>
      <c r="AC22" s="76"/>
      <c r="AD22" s="76"/>
      <c r="AE22" s="76"/>
      <c r="AF22" s="76"/>
      <c r="AG22" s="76"/>
      <c r="AH22" s="76"/>
      <c r="AI22" s="76"/>
      <c r="AJ22" s="76"/>
      <c r="AK22" s="76"/>
      <c r="AL22" s="76"/>
    </row>
    <row r="23" ht="15" customHeight="true" x14ac:dyDescent="0.2">
      <c r="A23" s="86" t="s">
        <v>200</v>
      </c>
      <c r="B23" s="108">
        <v>0</v>
      </c>
      <c r="C23" s="76"/>
      <c r="D23" s="76"/>
      <c r="E23" s="76"/>
      <c r="F23" s="76"/>
      <c r="G23" s="76"/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76"/>
      <c r="Z23" s="76"/>
      <c r="AA23" s="76"/>
      <c r="AB23" s="76"/>
      <c r="AC23" s="76"/>
      <c r="AD23" s="76"/>
      <c r="AE23" s="76"/>
      <c r="AF23" s="76"/>
      <c r="AG23" s="76"/>
      <c r="AH23" s="76"/>
      <c r="AI23" s="76"/>
      <c r="AJ23" s="76"/>
      <c r="AK23" s="76"/>
      <c r="AL23" s="76"/>
    </row>
    <row r="24" ht="15" customHeight="true" x14ac:dyDescent="0.2">
      <c r="A24" s="86" t="s">
        <v>201</v>
      </c>
      <c r="B24" s="108">
        <v>0</v>
      </c>
      <c r="C24" s="76"/>
      <c r="D24" s="76"/>
      <c r="E24" s="76"/>
      <c r="F24" s="76"/>
      <c r="G24" s="76"/>
      <c r="H24" s="76"/>
      <c r="I24" s="76"/>
      <c r="J24" s="76"/>
      <c r="K24" s="76"/>
      <c r="L24" s="76"/>
      <c r="M24" s="76"/>
      <c r="N24" s="76"/>
      <c r="O24" s="76"/>
      <c r="P24" s="76"/>
      <c r="Q24" s="76"/>
      <c r="R24" s="76"/>
      <c r="S24" s="76"/>
      <c r="T24" s="76"/>
      <c r="U24" s="76"/>
      <c r="V24" s="76"/>
      <c r="W24" s="76"/>
      <c r="X24" s="76"/>
      <c r="Y24" s="76"/>
      <c r="Z24" s="76"/>
      <c r="AA24" s="76"/>
      <c r="AB24" s="76"/>
      <c r="AC24" s="76"/>
      <c r="AD24" s="76"/>
      <c r="AE24" s="76"/>
      <c r="AF24" s="76"/>
      <c r="AG24" s="76"/>
      <c r="AH24" s="76"/>
      <c r="AI24" s="76"/>
      <c r="AJ24" s="76"/>
      <c r="AK24" s="76"/>
      <c r="AL24" s="76"/>
    </row>
    <row r="25" ht="15" customHeight="true" x14ac:dyDescent="0.2">
      <c r="A25" s="86" t="s">
        <v>202</v>
      </c>
      <c r="B25" s="108">
        <v>0</v>
      </c>
      <c r="C25" s="76"/>
      <c r="D25" s="76"/>
      <c r="E25" s="76"/>
      <c r="F25" s="76"/>
      <c r="G25" s="76"/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76"/>
      <c r="Z25" s="76"/>
      <c r="AA25" s="76"/>
      <c r="AB25" s="76"/>
      <c r="AC25" s="76"/>
      <c r="AD25" s="76"/>
      <c r="AE25" s="76"/>
      <c r="AF25" s="76"/>
      <c r="AG25" s="76"/>
      <c r="AH25" s="76"/>
      <c r="AI25" s="76"/>
      <c r="AJ25" s="76"/>
      <c r="AK25" s="76"/>
      <c r="AL25" s="76"/>
    </row>
    <row r="26" ht="15" customHeight="true" x14ac:dyDescent="0.2">
      <c r="A26" s="86" t="s">
        <v>203</v>
      </c>
      <c r="B26" s="108">
        <v>0</v>
      </c>
      <c r="C26" s="76"/>
      <c r="D26" s="76"/>
      <c r="E26" s="76"/>
      <c r="F26" s="76"/>
      <c r="G26" s="76"/>
      <c r="H26" s="76"/>
      <c r="I26" s="76"/>
      <c r="J26" s="76"/>
      <c r="K26" s="76"/>
      <c r="L26" s="76"/>
      <c r="M26" s="76"/>
      <c r="N26" s="76"/>
      <c r="O26" s="76"/>
      <c r="P26" s="76"/>
      <c r="Q26" s="76"/>
      <c r="R26" s="76"/>
      <c r="S26" s="76"/>
      <c r="T26" s="76"/>
      <c r="U26" s="76"/>
      <c r="V26" s="76"/>
      <c r="W26" s="76"/>
      <c r="X26" s="76"/>
      <c r="Y26" s="76"/>
      <c r="Z26" s="76"/>
      <c r="AA26" s="76"/>
      <c r="AB26" s="76"/>
      <c r="AC26" s="76"/>
      <c r="AD26" s="76"/>
      <c r="AE26" s="76"/>
      <c r="AF26" s="76"/>
      <c r="AG26" s="76"/>
      <c r="AH26" s="76"/>
      <c r="AI26" s="76"/>
      <c r="AJ26" s="76"/>
      <c r="AK26" s="76"/>
      <c r="AL26" s="76"/>
    </row>
    <row r="27" ht="15" customHeight="true" x14ac:dyDescent="0.2">
      <c r="A27" s="86" t="s">
        <v>204</v>
      </c>
      <c r="B27" s="108">
        <v>0</v>
      </c>
      <c r="C27" s="76"/>
      <c r="D27" s="76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  <c r="Z27" s="76"/>
      <c r="AA27" s="76"/>
      <c r="AB27" s="76"/>
      <c r="AC27" s="76"/>
      <c r="AD27" s="76"/>
      <c r="AE27" s="76"/>
      <c r="AF27" s="76"/>
      <c r="AG27" s="76"/>
      <c r="AH27" s="76"/>
      <c r="AI27" s="76"/>
      <c r="AJ27" s="76"/>
      <c r="AK27" s="76"/>
      <c r="AL27" s="76"/>
    </row>
    <row r="28" ht="15" customHeight="true" x14ac:dyDescent="0.2">
      <c r="A28" s="86" t="s">
        <v>205</v>
      </c>
      <c r="B28" s="108">
        <v>0</v>
      </c>
      <c r="C28" s="76"/>
      <c r="D28" s="76"/>
      <c r="E28" s="76"/>
      <c r="F28" s="76"/>
      <c r="G28" s="76"/>
      <c r="H28" s="76"/>
      <c r="I28" s="76"/>
      <c r="J28" s="76"/>
      <c r="K28" s="76"/>
      <c r="L28" s="76"/>
      <c r="M28" s="76"/>
      <c r="N28" s="76"/>
      <c r="O28" s="76"/>
      <c r="P28" s="76"/>
      <c r="Q28" s="76"/>
      <c r="R28" s="76"/>
      <c r="S28" s="76"/>
      <c r="T28" s="76"/>
      <c r="U28" s="76"/>
      <c r="V28" s="76"/>
      <c r="W28" s="76"/>
      <c r="X28" s="76"/>
      <c r="Y28" s="76"/>
      <c r="Z28" s="76"/>
      <c r="AA28" s="76"/>
      <c r="AB28" s="76"/>
      <c r="AC28" s="76"/>
      <c r="AD28" s="76"/>
      <c r="AE28" s="76"/>
      <c r="AF28" s="76"/>
      <c r="AG28" s="76"/>
      <c r="AH28" s="76"/>
      <c r="AI28" s="76"/>
      <c r="AJ28" s="76"/>
      <c r="AK28" s="76"/>
      <c r="AL28" s="76"/>
    </row>
    <row r="29" ht="15" customHeight="true" x14ac:dyDescent="0.2">
      <c r="A29" s="86" t="s">
        <v>206</v>
      </c>
      <c r="B29" s="108">
        <v>0</v>
      </c>
      <c r="C29" s="76"/>
      <c r="D29" s="76"/>
      <c r="E29" s="76"/>
      <c r="F29" s="76"/>
      <c r="G29" s="76"/>
      <c r="H29" s="76"/>
      <c r="I29" s="76"/>
      <c r="J29" s="76"/>
      <c r="K29" s="76"/>
      <c r="L29" s="76"/>
      <c r="M29" s="76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  <c r="Z29" s="76"/>
      <c r="AA29" s="76"/>
      <c r="AB29" s="76"/>
      <c r="AC29" s="76"/>
      <c r="AD29" s="76"/>
      <c r="AE29" s="76"/>
      <c r="AF29" s="76"/>
      <c r="AG29" s="76"/>
      <c r="AH29" s="76"/>
      <c r="AI29" s="76"/>
      <c r="AJ29" s="76"/>
      <c r="AK29" s="76"/>
      <c r="AL29" s="76"/>
    </row>
    <row r="30" ht="15" customHeight="true" x14ac:dyDescent="0.2">
      <c r="A30" s="86" t="s">
        <v>207</v>
      </c>
      <c r="B30" s="108">
        <v>0</v>
      </c>
      <c r="C30" s="76"/>
      <c r="D30" s="76"/>
      <c r="E30" s="76"/>
      <c r="F30" s="76"/>
      <c r="G30" s="76"/>
      <c r="H30" s="76"/>
      <c r="I30" s="76"/>
      <c r="J30" s="76"/>
      <c r="K30" s="76"/>
      <c r="L30" s="76"/>
      <c r="M30" s="76"/>
      <c r="N30" s="76"/>
      <c r="O30" s="76"/>
      <c r="P30" s="76"/>
      <c r="Q30" s="76"/>
      <c r="R30" s="76"/>
      <c r="S30" s="76"/>
      <c r="T30" s="76"/>
      <c r="U30" s="76"/>
      <c r="V30" s="76"/>
      <c r="W30" s="76"/>
      <c r="X30" s="76"/>
      <c r="Y30" s="76"/>
      <c r="Z30" s="76"/>
      <c r="AA30" s="76"/>
      <c r="AB30" s="76"/>
      <c r="AC30" s="76"/>
      <c r="AD30" s="76"/>
      <c r="AE30" s="76"/>
      <c r="AF30" s="76"/>
      <c r="AG30" s="76"/>
      <c r="AH30" s="76"/>
      <c r="AI30" s="76"/>
      <c r="AJ30" s="76"/>
      <c r="AK30" s="76"/>
      <c r="AL30" s="76"/>
    </row>
    <row r="31" ht="15" customHeight="true" x14ac:dyDescent="0.2">
      <c r="A31" s="86" t="s">
        <v>208</v>
      </c>
      <c r="B31" s="108">
        <v>0</v>
      </c>
      <c r="C31" s="76"/>
      <c r="D31" s="76"/>
      <c r="E31" s="76"/>
      <c r="F31" s="76"/>
      <c r="H31" s="76"/>
      <c r="I31" s="76"/>
      <c r="J31" s="76"/>
      <c r="K31" s="76"/>
      <c r="L31" s="76"/>
      <c r="M31" s="76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  <c r="Z31" s="76"/>
      <c r="AA31" s="76"/>
      <c r="AB31" s="76"/>
      <c r="AC31" s="76"/>
      <c r="AD31" s="76"/>
      <c r="AE31" s="76"/>
      <c r="AF31" s="76"/>
      <c r="AG31" s="76"/>
      <c r="AH31" s="76"/>
      <c r="AI31" s="76"/>
      <c r="AJ31" s="76"/>
      <c r="AK31" s="76"/>
      <c r="AL31" s="76"/>
    </row>
    <row r="32" ht="15" customHeight="true" x14ac:dyDescent="0.2">
      <c r="A32" s="86" t="s">
        <v>209</v>
      </c>
      <c r="B32" s="108">
        <v>0</v>
      </c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  <c r="N32" s="76"/>
      <c r="O32" s="76"/>
      <c r="P32" s="76"/>
      <c r="Q32" s="76"/>
      <c r="R32" s="76"/>
      <c r="S32" s="76"/>
      <c r="T32" s="76"/>
      <c r="U32" s="76"/>
      <c r="V32" s="76"/>
      <c r="W32" s="76"/>
      <c r="X32" s="76"/>
      <c r="Y32" s="76"/>
      <c r="Z32" s="76"/>
      <c r="AA32" s="76"/>
      <c r="AB32" s="76"/>
      <c r="AC32" s="76"/>
      <c r="AD32" s="76"/>
      <c r="AE32" s="76"/>
      <c r="AF32" s="76"/>
      <c r="AG32" s="76"/>
      <c r="AH32" s="76"/>
      <c r="AI32" s="76"/>
      <c r="AJ32" s="76"/>
      <c r="AK32" s="76"/>
      <c r="AL32" s="76"/>
    </row>
    <row r="33" ht="15" customHeight="true" x14ac:dyDescent="0.2">
      <c r="A33" s="86" t="s">
        <v>175</v>
      </c>
      <c r="B33" s="108">
        <v>0</v>
      </c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  <c r="Z33" s="76"/>
      <c r="AA33" s="76"/>
      <c r="AB33" s="76"/>
      <c r="AC33" s="76"/>
      <c r="AD33" s="76"/>
      <c r="AE33" s="76"/>
      <c r="AF33" s="76"/>
      <c r="AG33" s="76"/>
      <c r="AH33" s="76"/>
      <c r="AI33" s="76"/>
      <c r="AJ33" s="76"/>
      <c r="AK33" s="76"/>
      <c r="AL33" s="76"/>
    </row>
    <row r="34" ht="15" customHeight="true" x14ac:dyDescent="0.2">
      <c r="A34" s="86" t="s">
        <v>210</v>
      </c>
      <c r="B34" s="108">
        <v>0</v>
      </c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  <c r="N34" s="76"/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76"/>
      <c r="Z34" s="76"/>
      <c r="AA34" s="76"/>
      <c r="AB34" s="76"/>
      <c r="AC34" s="76"/>
      <c r="AD34" s="76"/>
      <c r="AE34" s="76"/>
      <c r="AF34" s="76"/>
      <c r="AG34" s="76"/>
      <c r="AH34" s="76"/>
      <c r="AI34" s="76"/>
      <c r="AJ34" s="76"/>
      <c r="AK34" s="76"/>
      <c r="AL34" s="76"/>
    </row>
    <row r="35" ht="15" customHeight="true" x14ac:dyDescent="0.2">
      <c r="A35" s="86" t="s">
        <v>211</v>
      </c>
      <c r="B35" s="108">
        <v>0</v>
      </c>
      <c r="C35" s="76"/>
      <c r="D35" s="76"/>
      <c r="E35" s="76"/>
      <c r="F35" s="76"/>
      <c r="G35" s="76"/>
      <c r="H35" s="76"/>
      <c r="I35" s="76"/>
      <c r="J35" s="76"/>
      <c r="K35" s="76"/>
      <c r="L35" s="76"/>
      <c r="M35" s="76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  <c r="Z35" s="76"/>
      <c r="AA35" s="76"/>
      <c r="AB35" s="76"/>
      <c r="AC35" s="76"/>
      <c r="AD35" s="76"/>
      <c r="AE35" s="76"/>
      <c r="AF35" s="76"/>
      <c r="AG35" s="76"/>
      <c r="AH35" s="76"/>
      <c r="AI35" s="76"/>
      <c r="AJ35" s="76"/>
      <c r="AK35" s="76"/>
      <c r="AL35" s="76"/>
    </row>
    <row r="36" ht="15" customHeight="true" x14ac:dyDescent="0.2">
      <c r="A36" s="86" t="s">
        <v>212</v>
      </c>
      <c r="B36" s="108">
        <v>0</v>
      </c>
    </row>
    <row r="37" ht="15" customHeight="true" x14ac:dyDescent="0.2">
      <c r="A37" s="86" t="s">
        <v>178</v>
      </c>
      <c r="B37" s="108">
        <v>0</v>
      </c>
    </row>
    <row r="38" ht="15" customHeight="true" x14ac:dyDescent="0.2">
      <c r="A38" s="86" t="s">
        <v>214</v>
      </c>
      <c r="B38" s="108">
        <v>0</v>
      </c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  <c r="N38" s="76"/>
      <c r="O38" s="76"/>
      <c r="P38" s="76"/>
      <c r="Q38" s="76"/>
      <c r="R38" s="76"/>
      <c r="S38" s="76"/>
      <c r="T38" s="76"/>
      <c r="U38" s="76"/>
      <c r="V38" s="76"/>
      <c r="W38" s="76"/>
      <c r="X38" s="76"/>
      <c r="Y38" s="76"/>
      <c r="Z38" s="76"/>
      <c r="AA38" s="76"/>
      <c r="AB38" s="76"/>
      <c r="AC38" s="76"/>
      <c r="AD38" s="76"/>
      <c r="AE38" s="76"/>
      <c r="AF38" s="76"/>
      <c r="AG38" s="76"/>
      <c r="AH38" s="76"/>
      <c r="AI38" s="76"/>
      <c r="AJ38" s="76"/>
      <c r="AK38" s="76"/>
      <c r="AL38" s="76"/>
    </row>
    <row r="39" ht="15" customHeight="true" x14ac:dyDescent="0.2">
      <c r="A39" s="86" t="s">
        <v>215</v>
      </c>
      <c r="B39" s="108">
        <v>0</v>
      </c>
    </row>
    <row r="40" ht="15" customHeight="true" x14ac:dyDescent="0.2">
      <c r="A40" s="86" t="s">
        <v>216</v>
      </c>
      <c r="B40" s="108">
        <v>0</v>
      </c>
    </row>
    <row r="41" ht="15" customHeight="true" x14ac:dyDescent="0.2">
      <c r="A41" s="86" t="s">
        <v>217</v>
      </c>
      <c r="B41" s="108">
        <v>0</v>
      </c>
    </row>
    <row r="42" ht="15" customHeight="true" x14ac:dyDescent="0.2">
      <c r="A42" s="86" t="s">
        <v>218</v>
      </c>
      <c r="B42" s="108">
        <v>0</v>
      </c>
    </row>
    <row r="43" ht="15" customHeight="true" x14ac:dyDescent="0.2">
      <c r="A43" s="86" t="s">
        <v>219</v>
      </c>
      <c r="B43" s="108">
        <v>0</v>
      </c>
    </row>
    <row r="44" ht="15" customHeight="true" x14ac:dyDescent="0.2">
      <c r="A44" s="86" t="s">
        <v>220</v>
      </c>
      <c r="B44" s="108">
        <v>0</v>
      </c>
    </row>
    <row r="45" ht="15" customHeight="true" x14ac:dyDescent="0.2">
      <c r="A45" s="86" t="s">
        <v>221</v>
      </c>
      <c r="B45" s="108">
        <v>0</v>
      </c>
    </row>
    <row r="46" ht="15" customHeight="true" x14ac:dyDescent="0.2">
      <c r="A46" s="86" t="s">
        <v>222</v>
      </c>
      <c r="B46" s="108">
        <v>0</v>
      </c>
    </row>
    <row r="47" ht="15" customHeight="true" x14ac:dyDescent="0.2">
      <c r="A47" s="86" t="s">
        <v>223</v>
      </c>
      <c r="B47" s="108">
        <v>0</v>
      </c>
    </row>
    <row r="48" ht="15" customHeight="true" x14ac:dyDescent="0.2">
      <c r="A48" s="86" t="s">
        <v>224</v>
      </c>
      <c r="B48" s="108">
        <v>0</v>
      </c>
    </row>
    <row r="49" ht="15" customHeight="true" x14ac:dyDescent="0.2">
      <c r="A49" s="86" t="s">
        <v>225</v>
      </c>
      <c r="B49" s="108">
        <v>0</v>
      </c>
    </row>
    <row r="50" ht="15" customHeight="true" x14ac:dyDescent="0.2">
      <c r="A50" s="104" t="s">
        <v>226</v>
      </c>
      <c r="B50" s="108">
        <v>0</v>
      </c>
    </row>
    <row r="51" ht="15" customHeight="true" x14ac:dyDescent="0.2">
      <c r="B51" s="76"/>
      <c r="C51" s="76"/>
      <c r="D51" s="76"/>
      <c r="E51" s="76"/>
      <c r="F51" s="76"/>
      <c r="G51" s="76"/>
      <c r="H51" s="76"/>
      <c r="I51" s="76"/>
      <c r="J51" s="76"/>
      <c r="K51" s="76"/>
      <c r="L51" s="76"/>
      <c r="M51" s="76"/>
      <c r="N51" s="76"/>
      <c r="O51" s="76"/>
      <c r="P51" s="76"/>
      <c r="Q51" s="76"/>
      <c r="R51" s="76"/>
      <c r="S51" s="76"/>
      <c r="T51" s="76"/>
      <c r="U51" s="76"/>
      <c r="V51" s="76"/>
      <c r="W51" s="76"/>
      <c r="X51" s="76"/>
      <c r="Y51" s="76"/>
      <c r="Z51" s="76"/>
      <c r="AA51" s="76"/>
      <c r="AB51" s="76"/>
      <c r="AC51" s="76"/>
      <c r="AD51" s="76"/>
      <c r="AE51" s="76"/>
      <c r="AF51" s="76"/>
      <c r="AG51" s="76"/>
      <c r="AH51" s="76"/>
      <c r="AI51" s="76"/>
      <c r="AJ51" s="76"/>
      <c r="AK51" s="76"/>
      <c r="AL51" s="76"/>
    </row>
    <row r="52" ht="15" customHeight="true" x14ac:dyDescent="0.2">
      <c r="B52" s="76"/>
      <c r="C52" s="76"/>
      <c r="D52" s="76"/>
      <c r="E52" s="76"/>
      <c r="F52" s="76"/>
      <c r="G52" s="76"/>
      <c r="H52" s="76"/>
      <c r="I52" s="76"/>
      <c r="J52" s="76"/>
      <c r="K52" s="76"/>
      <c r="L52" s="76"/>
      <c r="M52" s="76"/>
      <c r="N52" s="76"/>
      <c r="O52" s="76"/>
      <c r="P52" s="76"/>
      <c r="Q52" s="76"/>
      <c r="R52" s="76"/>
      <c r="S52" s="76"/>
      <c r="T52" s="76"/>
      <c r="U52" s="76"/>
      <c r="V52" s="76"/>
      <c r="W52" s="76"/>
      <c r="X52" s="76"/>
      <c r="Y52" s="76"/>
      <c r="Z52" s="76"/>
      <c r="AA52" s="76"/>
      <c r="AB52" s="76"/>
      <c r="AC52" s="76"/>
      <c r="AD52" s="76"/>
      <c r="AE52" s="76"/>
      <c r="AF52" s="76"/>
      <c r="AG52" s="76"/>
      <c r="AH52" s="76"/>
      <c r="AI52" s="76"/>
      <c r="AJ52" s="76"/>
      <c r="AK52" s="76"/>
      <c r="AL52" s="76"/>
    </row>
    <row r="53" ht="15" customHeight="true" x14ac:dyDescent="0.2">
      <c r="B53" s="109" t="s">
        <v>163</v>
      </c>
      <c r="C53" s="76"/>
      <c r="D53" s="76"/>
      <c r="E53" s="76"/>
      <c r="F53" s="76"/>
      <c r="G53" s="76"/>
      <c r="H53" s="76"/>
      <c r="I53" s="76"/>
      <c r="J53" s="76"/>
      <c r="K53" s="76"/>
      <c r="L53" s="76"/>
      <c r="M53" s="76"/>
      <c r="N53" s="76"/>
      <c r="O53" s="76"/>
      <c r="P53" s="76"/>
      <c r="Q53" s="76"/>
      <c r="R53" s="76"/>
      <c r="S53" s="76"/>
      <c r="T53" s="76"/>
      <c r="U53" s="76"/>
      <c r="V53" s="76"/>
      <c r="W53" s="76"/>
      <c r="X53" s="76"/>
      <c r="Y53" s="76"/>
      <c r="Z53" s="76"/>
      <c r="AA53" s="76"/>
      <c r="AB53" s="76"/>
      <c r="AC53" s="76"/>
      <c r="AD53" s="76"/>
      <c r="AE53" s="76"/>
      <c r="AF53" s="76"/>
      <c r="AG53" s="76"/>
      <c r="AH53" s="76"/>
      <c r="AI53" s="76"/>
      <c r="AJ53" s="76"/>
      <c r="AK53" s="76"/>
      <c r="AL53" s="76"/>
    </row>
    <row r="54" ht="15" customHeight="true" x14ac:dyDescent="0.2">
      <c r="B54" s="76"/>
      <c r="C54" s="76"/>
      <c r="D54" s="76"/>
      <c r="E54" s="76"/>
      <c r="F54" s="76"/>
      <c r="G54" s="76"/>
      <c r="H54" s="76"/>
      <c r="I54" s="76"/>
      <c r="J54" s="76"/>
      <c r="K54" s="76"/>
      <c r="L54" s="76"/>
      <c r="M54" s="76"/>
      <c r="N54" s="76"/>
      <c r="O54" s="76"/>
      <c r="P54" s="76"/>
      <c r="Q54" s="76"/>
      <c r="R54" s="76"/>
      <c r="S54" s="76"/>
      <c r="T54" s="76"/>
      <c r="U54" s="76"/>
      <c r="V54" s="76"/>
      <c r="W54" s="76"/>
      <c r="X54" s="76"/>
      <c r="Y54" s="76"/>
      <c r="Z54" s="76"/>
      <c r="AA54" s="76"/>
      <c r="AB54" s="76"/>
      <c r="AC54" s="76"/>
      <c r="AD54" s="76"/>
      <c r="AE54" s="76"/>
      <c r="AF54" s="76"/>
      <c r="AG54" s="76"/>
      <c r="AH54" s="76"/>
      <c r="AI54" s="76"/>
      <c r="AJ54" s="76"/>
      <c r="AK54" s="76"/>
      <c r="AL54" s="76"/>
    </row>
    <row r="55" ht="15" customHeight="true" x14ac:dyDescent="0.2">
      <c r="B55" s="76"/>
      <c r="C55" s="76"/>
      <c r="D55" s="76"/>
      <c r="E55" s="76"/>
      <c r="F55" s="76"/>
      <c r="G55" s="76"/>
      <c r="H55" s="76"/>
      <c r="I55" s="76"/>
      <c r="J55" s="76"/>
      <c r="K55" s="76"/>
      <c r="L55" s="76"/>
      <c r="M55" s="76"/>
      <c r="N55" s="76"/>
      <c r="O55" s="76"/>
      <c r="P55" s="76"/>
      <c r="Q55" s="76"/>
      <c r="R55" s="76"/>
      <c r="S55" s="76"/>
      <c r="T55" s="76"/>
      <c r="U55" s="76"/>
      <c r="V55" s="76"/>
      <c r="W55" s="76"/>
      <c r="X55" s="76"/>
      <c r="Y55" s="76"/>
      <c r="Z55" s="76"/>
      <c r="AA55" s="76"/>
      <c r="AB55" s="76"/>
      <c r="AC55" s="76"/>
      <c r="AD55" s="76"/>
      <c r="AE55" s="76"/>
      <c r="AF55" s="76"/>
      <c r="AG55" s="76"/>
      <c r="AH55" s="76"/>
      <c r="AI55" s="76"/>
      <c r="AJ55" s="76"/>
      <c r="AK55" s="76"/>
      <c r="AL55" s="76"/>
    </row>
    <row r="56" ht="15" customHeight="true" x14ac:dyDescent="0.2">
      <c r="B56" s="76"/>
      <c r="C56" s="76"/>
      <c r="D56" s="76"/>
      <c r="E56" s="76"/>
      <c r="F56" s="76"/>
      <c r="G56" s="76"/>
      <c r="H56" s="76"/>
      <c r="I56" s="76"/>
      <c r="J56" s="76"/>
      <c r="K56" s="76"/>
      <c r="L56" s="76"/>
      <c r="M56" s="76"/>
      <c r="N56" s="76"/>
      <c r="O56" s="76"/>
      <c r="P56" s="76"/>
      <c r="Q56" s="76"/>
      <c r="R56" s="76"/>
      <c r="S56" s="76"/>
      <c r="T56" s="76"/>
      <c r="U56" s="76"/>
      <c r="V56" s="76"/>
      <c r="W56" s="76"/>
      <c r="X56" s="76"/>
      <c r="Y56" s="76"/>
      <c r="Z56" s="76"/>
      <c r="AA56" s="76"/>
      <c r="AB56" s="76"/>
      <c r="AC56" s="76"/>
      <c r="AD56" s="76"/>
      <c r="AE56" s="76"/>
      <c r="AF56" s="76"/>
      <c r="AG56" s="76"/>
      <c r="AH56" s="76"/>
      <c r="AI56" s="76"/>
      <c r="AJ56" s="76"/>
      <c r="AK56" s="76"/>
      <c r="AL56" s="76"/>
    </row>
    <row r="57" ht="15" customHeight="true" x14ac:dyDescent="0.2">
      <c r="C57" s="76"/>
      <c r="D57" s="76"/>
      <c r="E57" s="76"/>
      <c r="F57" s="76"/>
      <c r="G57" s="76"/>
      <c r="H57" s="76"/>
      <c r="I57" s="76"/>
      <c r="J57" s="76"/>
      <c r="K57" s="76"/>
      <c r="L57" s="76"/>
      <c r="M57" s="76"/>
      <c r="N57" s="76"/>
      <c r="O57" s="76"/>
      <c r="P57" s="76"/>
      <c r="Q57" s="76"/>
      <c r="R57" s="76"/>
      <c r="S57" s="76"/>
      <c r="T57" s="76"/>
      <c r="U57" s="76"/>
      <c r="V57" s="76"/>
      <c r="W57" s="76"/>
      <c r="X57" s="76"/>
      <c r="Y57" s="76"/>
      <c r="Z57" s="76"/>
      <c r="AA57" s="76"/>
      <c r="AB57" s="76"/>
      <c r="AC57" s="76"/>
      <c r="AD57" s="76"/>
      <c r="AE57" s="76"/>
      <c r="AF57" s="76"/>
      <c r="AG57" s="76"/>
      <c r="AH57" s="76"/>
      <c r="AI57" s="76"/>
      <c r="AJ57" s="76"/>
      <c r="AK57" s="76"/>
      <c r="AL57" s="76"/>
    </row>
    <row r="58" ht="15" customHeight="true" x14ac:dyDescent="0.2">
      <c r="B58" s="76"/>
      <c r="C58" s="76"/>
      <c r="D58" s="76"/>
      <c r="E58" s="76"/>
      <c r="F58" s="76"/>
      <c r="G58" s="76"/>
      <c r="H58" s="76"/>
      <c r="I58" s="76"/>
      <c r="J58" s="76"/>
      <c r="K58" s="76"/>
      <c r="L58" s="76"/>
      <c r="M58" s="76"/>
      <c r="N58" s="76"/>
      <c r="O58" s="76"/>
      <c r="P58" s="76"/>
      <c r="Q58" s="76"/>
      <c r="R58" s="76"/>
      <c r="S58" s="76"/>
      <c r="T58" s="76"/>
      <c r="U58" s="76"/>
      <c r="V58" s="76"/>
      <c r="W58" s="76"/>
      <c r="X58" s="76"/>
      <c r="Y58" s="76"/>
      <c r="Z58" s="76"/>
      <c r="AA58" s="76"/>
      <c r="AB58" s="76"/>
      <c r="AC58" s="76"/>
      <c r="AD58" s="76"/>
      <c r="AE58" s="76"/>
      <c r="AF58" s="76"/>
      <c r="AG58" s="76"/>
      <c r="AH58" s="76"/>
      <c r="AI58" s="76"/>
      <c r="AJ58" s="76"/>
      <c r="AK58" s="76"/>
      <c r="AL58" s="76"/>
    </row>
    <row r="59" ht="15" customHeight="true" x14ac:dyDescent="0.2">
      <c r="B59" s="76"/>
      <c r="C59" s="76"/>
      <c r="D59" s="76"/>
      <c r="E59" s="76"/>
      <c r="F59" s="76"/>
      <c r="G59" s="76"/>
      <c r="H59" s="76"/>
      <c r="I59" s="76"/>
      <c r="J59" s="76"/>
      <c r="K59" s="76"/>
      <c r="L59" s="76"/>
      <c r="M59" s="76"/>
      <c r="N59" s="76"/>
      <c r="O59" s="76"/>
      <c r="P59" s="76"/>
      <c r="Q59" s="76"/>
      <c r="R59" s="76"/>
      <c r="S59" s="76"/>
      <c r="T59" s="76"/>
      <c r="U59" s="76"/>
      <c r="V59" s="76"/>
      <c r="W59" s="76"/>
      <c r="X59" s="76"/>
      <c r="Y59" s="76"/>
      <c r="Z59" s="76"/>
      <c r="AA59" s="76"/>
      <c r="AB59" s="76"/>
      <c r="AC59" s="76"/>
      <c r="AD59" s="76"/>
      <c r="AE59" s="76"/>
      <c r="AF59" s="76"/>
      <c r="AG59" s="76"/>
      <c r="AH59" s="76"/>
      <c r="AI59" s="76"/>
      <c r="AJ59" s="76"/>
      <c r="AK59" s="76"/>
      <c r="AL59" s="76"/>
    </row>
    <row r="60" ht="15" customHeight="true" x14ac:dyDescent="0.2">
      <c r="B60" s="76"/>
      <c r="C60" s="76"/>
      <c r="D60" s="76"/>
      <c r="E60" s="76"/>
      <c r="F60" s="76"/>
      <c r="G60" s="76"/>
      <c r="H60" s="76"/>
      <c r="I60" s="76"/>
      <c r="J60" s="76"/>
      <c r="K60" s="76"/>
      <c r="L60" s="76"/>
      <c r="M60" s="76"/>
      <c r="N60" s="76"/>
      <c r="O60" s="76"/>
      <c r="P60" s="76"/>
      <c r="Q60" s="76"/>
      <c r="R60" s="76"/>
      <c r="S60" s="76"/>
      <c r="T60" s="76"/>
      <c r="U60" s="76"/>
      <c r="V60" s="76"/>
      <c r="W60" s="76"/>
      <c r="X60" s="76"/>
      <c r="Y60" s="76"/>
      <c r="Z60" s="76"/>
      <c r="AA60" s="76"/>
      <c r="AB60" s="76"/>
      <c r="AC60" s="76"/>
      <c r="AD60" s="76"/>
      <c r="AE60" s="76"/>
      <c r="AF60" s="76"/>
      <c r="AG60" s="76"/>
      <c r="AH60" s="76"/>
      <c r="AI60" s="76"/>
      <c r="AJ60" s="76"/>
      <c r="AK60" s="76"/>
      <c r="AL60" s="76"/>
    </row>
    <row r="61" ht="15" customHeight="true" x14ac:dyDescent="0.2">
      <c r="B61" s="76"/>
      <c r="C61" s="76"/>
      <c r="D61" s="76"/>
      <c r="E61" s="76"/>
      <c r="F61" s="76"/>
      <c r="G61" s="76"/>
      <c r="H61" s="76"/>
      <c r="I61" s="76"/>
      <c r="J61" s="76"/>
      <c r="K61" s="76"/>
      <c r="L61" s="76"/>
      <c r="M61" s="76"/>
      <c r="N61" s="76"/>
      <c r="O61" s="76"/>
      <c r="P61" s="76"/>
      <c r="Q61" s="76"/>
      <c r="R61" s="76"/>
      <c r="S61" s="76"/>
      <c r="T61" s="76"/>
      <c r="U61" s="76"/>
      <c r="V61" s="76"/>
      <c r="W61" s="76"/>
      <c r="X61" s="76"/>
      <c r="Y61" s="76"/>
      <c r="Z61" s="76"/>
      <c r="AA61" s="76"/>
      <c r="AB61" s="76"/>
      <c r="AC61" s="76"/>
      <c r="AD61" s="76"/>
      <c r="AE61" s="76"/>
      <c r="AF61" s="76"/>
      <c r="AG61" s="76"/>
      <c r="AH61" s="76"/>
      <c r="AI61" s="76"/>
      <c r="AJ61" s="76"/>
      <c r="AK61" s="76"/>
      <c r="AL61" s="76"/>
    </row>
    <row r="62" ht="15" customHeight="true" x14ac:dyDescent="0.2">
      <c r="B62" s="76"/>
      <c r="C62" s="76"/>
      <c r="D62" s="76"/>
      <c r="E62" s="76"/>
      <c r="F62" s="76"/>
      <c r="G62" s="76"/>
      <c r="H62" s="76"/>
      <c r="I62" s="76"/>
      <c r="J62" s="76"/>
      <c r="K62" s="76"/>
      <c r="L62" s="76"/>
      <c r="M62" s="76"/>
      <c r="N62" s="76"/>
      <c r="O62" s="76"/>
      <c r="P62" s="76"/>
      <c r="Q62" s="76"/>
      <c r="R62" s="76"/>
      <c r="S62" s="76"/>
      <c r="T62" s="76"/>
      <c r="U62" s="76"/>
      <c r="V62" s="76"/>
      <c r="W62" s="76"/>
      <c r="X62" s="76"/>
      <c r="Y62" s="76"/>
      <c r="Z62" s="76"/>
      <c r="AA62" s="76"/>
      <c r="AB62" s="76"/>
      <c r="AC62" s="76"/>
      <c r="AD62" s="76"/>
      <c r="AE62" s="76"/>
      <c r="AF62" s="76"/>
      <c r="AG62" s="76"/>
      <c r="AH62" s="76"/>
      <c r="AI62" s="76"/>
      <c r="AJ62" s="76"/>
      <c r="AK62" s="76"/>
      <c r="AL62" s="76"/>
    </row>
    <row r="63" ht="15" customHeight="true" x14ac:dyDescent="0.2">
      <c r="B63" s="76"/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76"/>
      <c r="Z63" s="76"/>
      <c r="AA63" s="76"/>
      <c r="AB63" s="76"/>
      <c r="AC63" s="76"/>
      <c r="AD63" s="76"/>
      <c r="AE63" s="76"/>
      <c r="AF63" s="76"/>
      <c r="AG63" s="76"/>
      <c r="AH63" s="76"/>
      <c r="AI63" s="76"/>
      <c r="AJ63" s="76"/>
      <c r="AK63" s="76"/>
      <c r="AL63" s="76"/>
    </row>
    <row r="64" ht="15" customHeight="true" x14ac:dyDescent="0.2">
      <c r="B64" s="76"/>
      <c r="C64" s="76"/>
      <c r="D64" s="76"/>
      <c r="E64" s="76"/>
      <c r="F64" s="76"/>
      <c r="G64" s="76"/>
      <c r="H64" s="76"/>
      <c r="I64" s="76"/>
      <c r="J64" s="76"/>
      <c r="K64" s="76"/>
      <c r="L64" s="76"/>
      <c r="M64" s="76"/>
      <c r="N64" s="76"/>
      <c r="O64" s="76"/>
      <c r="P64" s="76"/>
      <c r="Q64" s="76"/>
      <c r="R64" s="76"/>
      <c r="S64" s="76"/>
      <c r="T64" s="76"/>
      <c r="U64" s="76"/>
      <c r="V64" s="76"/>
      <c r="W64" s="76"/>
      <c r="X64" s="76"/>
      <c r="Y64" s="76"/>
      <c r="Z64" s="76"/>
      <c r="AA64" s="76"/>
      <c r="AB64" s="76"/>
      <c r="AC64" s="76"/>
      <c r="AD64" s="76"/>
      <c r="AE64" s="76"/>
      <c r="AF64" s="76"/>
      <c r="AG64" s="76"/>
      <c r="AH64" s="76"/>
      <c r="AI64" s="76"/>
      <c r="AJ64" s="76"/>
      <c r="AK64" s="76"/>
      <c r="AL64" s="76"/>
    </row>
    <row r="65" ht="15" customHeight="true" x14ac:dyDescent="0.2">
      <c r="B65" s="76"/>
      <c r="C65" s="76"/>
      <c r="D65" s="76"/>
      <c r="E65" s="76"/>
      <c r="F65" s="76"/>
      <c r="G65" s="76"/>
      <c r="H65" s="76"/>
      <c r="I65" s="76"/>
      <c r="J65" s="76"/>
      <c r="K65" s="76"/>
      <c r="L65" s="76"/>
      <c r="M65" s="76"/>
      <c r="N65" s="76"/>
      <c r="O65" s="76"/>
      <c r="P65" s="76"/>
      <c r="Q65" s="76"/>
      <c r="R65" s="76"/>
      <c r="S65" s="76"/>
      <c r="T65" s="76"/>
      <c r="U65" s="76"/>
      <c r="V65" s="76"/>
      <c r="W65" s="76"/>
      <c r="X65" s="76"/>
      <c r="Y65" s="76"/>
      <c r="Z65" s="76"/>
      <c r="AA65" s="76"/>
      <c r="AB65" s="76"/>
      <c r="AC65" s="76"/>
      <c r="AD65" s="76"/>
      <c r="AE65" s="76"/>
      <c r="AF65" s="76"/>
      <c r="AG65" s="76"/>
      <c r="AH65" s="76"/>
      <c r="AI65" s="76"/>
      <c r="AJ65" s="76"/>
      <c r="AK65" s="76"/>
      <c r="AL65" s="76"/>
    </row>
    <row r="66" ht="15" customHeight="true" x14ac:dyDescent="0.2">
      <c r="B66" s="76"/>
      <c r="C66" s="76"/>
      <c r="D66" s="76"/>
      <c r="E66" s="76"/>
      <c r="F66" s="76"/>
      <c r="G66" s="76"/>
      <c r="H66" s="76"/>
      <c r="I66" s="76"/>
      <c r="J66" s="76"/>
      <c r="K66" s="76"/>
      <c r="L66" s="76"/>
      <c r="M66" s="76"/>
      <c r="N66" s="76"/>
      <c r="O66" s="76"/>
      <c r="P66" s="76"/>
      <c r="Q66" s="76"/>
      <c r="R66" s="76"/>
      <c r="S66" s="76"/>
      <c r="T66" s="76"/>
      <c r="U66" s="76"/>
      <c r="V66" s="76"/>
      <c r="W66" s="76"/>
      <c r="X66" s="76"/>
      <c r="Y66" s="76"/>
      <c r="Z66" s="76"/>
      <c r="AA66" s="76"/>
      <c r="AB66" s="76"/>
      <c r="AC66" s="76"/>
      <c r="AD66" s="76"/>
      <c r="AE66" s="76"/>
      <c r="AF66" s="76"/>
      <c r="AG66" s="76"/>
      <c r="AH66" s="76"/>
      <c r="AI66" s="76"/>
      <c r="AJ66" s="76"/>
      <c r="AK66" s="76"/>
      <c r="AL66" s="76"/>
    </row>
    <row r="67" ht="15" customHeight="true" x14ac:dyDescent="0.2">
      <c r="B67" s="76"/>
      <c r="C67" s="76"/>
      <c r="D67" s="76"/>
      <c r="E67" s="76"/>
      <c r="F67" s="76"/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6"/>
      <c r="R67" s="76"/>
      <c r="S67" s="76"/>
      <c r="T67" s="76"/>
      <c r="U67" s="76"/>
      <c r="V67" s="76"/>
      <c r="W67" s="76"/>
      <c r="X67" s="76"/>
      <c r="Y67" s="76"/>
      <c r="Z67" s="76"/>
      <c r="AA67" s="76"/>
      <c r="AB67" s="76"/>
      <c r="AC67" s="76"/>
      <c r="AD67" s="76"/>
      <c r="AE67" s="76"/>
      <c r="AF67" s="76"/>
      <c r="AG67" s="76"/>
      <c r="AH67" s="76"/>
      <c r="AI67" s="76"/>
      <c r="AJ67" s="76"/>
      <c r="AK67" s="76"/>
      <c r="AL67" s="76"/>
    </row>
    <row r="68" ht="15" customHeight="true" x14ac:dyDescent="0.2">
      <c r="B68" s="76"/>
      <c r="C68" s="76"/>
      <c r="D68" s="76"/>
      <c r="E68" s="76"/>
      <c r="F68" s="76"/>
      <c r="G68" s="76"/>
      <c r="H68" s="76"/>
      <c r="I68" s="76"/>
      <c r="J68" s="76"/>
      <c r="K68" s="76"/>
      <c r="L68" s="76"/>
      <c r="M68" s="76"/>
      <c r="N68" s="76"/>
      <c r="O68" s="76"/>
      <c r="P68" s="76"/>
      <c r="Q68" s="76"/>
      <c r="R68" s="76"/>
      <c r="S68" s="76"/>
      <c r="T68" s="76"/>
      <c r="U68" s="76"/>
      <c r="V68" s="76"/>
      <c r="W68" s="76"/>
      <c r="X68" s="76"/>
      <c r="Y68" s="76"/>
      <c r="Z68" s="76"/>
      <c r="AA68" s="76"/>
      <c r="AB68" s="76"/>
      <c r="AC68" s="76"/>
      <c r="AD68" s="76"/>
      <c r="AE68" s="76"/>
      <c r="AF68" s="76"/>
      <c r="AG68" s="76"/>
      <c r="AH68" s="76"/>
      <c r="AI68" s="76"/>
      <c r="AJ68" s="76"/>
      <c r="AK68" s="76"/>
      <c r="AL68" s="76"/>
    </row>
    <row r="69" ht="15" customHeight="true" x14ac:dyDescent="0.2">
      <c r="B69" s="76"/>
      <c r="C69" s="76"/>
      <c r="D69" s="76"/>
      <c r="E69" s="76"/>
      <c r="F69" s="76"/>
      <c r="G69" s="76"/>
      <c r="H69" s="76"/>
      <c r="I69" s="76"/>
      <c r="J69" s="76"/>
      <c r="K69" s="76"/>
      <c r="L69" s="76"/>
      <c r="M69" s="76"/>
      <c r="N69" s="76"/>
      <c r="O69" s="76"/>
      <c r="P69" s="76"/>
      <c r="Q69" s="76"/>
      <c r="R69" s="76"/>
      <c r="S69" s="76"/>
      <c r="T69" s="76"/>
      <c r="U69" s="76"/>
      <c r="V69" s="76"/>
      <c r="W69" s="76"/>
      <c r="X69" s="76"/>
      <c r="Y69" s="76"/>
      <c r="Z69" s="76"/>
      <c r="AA69" s="76"/>
      <c r="AB69" s="76"/>
      <c r="AC69" s="76"/>
      <c r="AD69" s="76"/>
      <c r="AE69" s="76"/>
      <c r="AF69" s="76"/>
      <c r="AG69" s="76"/>
      <c r="AH69" s="76"/>
      <c r="AI69" s="76"/>
      <c r="AJ69" s="76"/>
      <c r="AK69" s="76"/>
      <c r="AL69" s="76"/>
    </row>
    <row r="70" ht="15" customHeight="true" x14ac:dyDescent="0.2">
      <c r="B70" s="76"/>
      <c r="C70" s="76"/>
      <c r="D70" s="76"/>
      <c r="E70" s="76"/>
      <c r="F70" s="76"/>
      <c r="G70" s="76"/>
      <c r="H70" s="76"/>
      <c r="I70" s="76"/>
      <c r="J70" s="76"/>
      <c r="K70" s="76"/>
      <c r="L70" s="76"/>
      <c r="M70" s="76"/>
      <c r="N70" s="76"/>
      <c r="O70" s="76"/>
      <c r="P70" s="76"/>
      <c r="Q70" s="76"/>
      <c r="R70" s="76"/>
      <c r="S70" s="76"/>
      <c r="T70" s="76"/>
      <c r="U70" s="76"/>
      <c r="V70" s="76"/>
      <c r="W70" s="76"/>
      <c r="X70" s="76"/>
      <c r="Y70" s="76"/>
      <c r="Z70" s="76"/>
      <c r="AA70" s="76"/>
      <c r="AB70" s="76"/>
      <c r="AC70" s="76"/>
      <c r="AD70" s="76"/>
      <c r="AE70" s="76"/>
      <c r="AF70" s="76"/>
      <c r="AG70" s="76"/>
      <c r="AH70" s="76"/>
      <c r="AI70" s="76"/>
      <c r="AJ70" s="76"/>
      <c r="AK70" s="76"/>
      <c r="AL70" s="76"/>
    </row>
    <row r="71" ht="15" customHeight="true" x14ac:dyDescent="0.2">
      <c r="B71" s="76"/>
      <c r="C71" s="76"/>
      <c r="D71" s="76"/>
      <c r="E71" s="76"/>
      <c r="F71" s="76"/>
      <c r="G71" s="76"/>
      <c r="H71" s="76"/>
      <c r="I71" s="76"/>
      <c r="J71" s="76"/>
      <c r="K71" s="76"/>
      <c r="L71" s="76"/>
      <c r="M71" s="76"/>
      <c r="N71" s="76"/>
      <c r="O71" s="76"/>
      <c r="P71" s="76"/>
      <c r="Q71" s="76"/>
      <c r="R71" s="76"/>
      <c r="S71" s="76"/>
      <c r="T71" s="76"/>
      <c r="U71" s="76"/>
      <c r="V71" s="76"/>
      <c r="W71" s="76"/>
      <c r="X71" s="76"/>
      <c r="Y71" s="76"/>
      <c r="Z71" s="76"/>
      <c r="AA71" s="76"/>
      <c r="AB71" s="76"/>
      <c r="AC71" s="76"/>
      <c r="AD71" s="76"/>
      <c r="AE71" s="76"/>
      <c r="AF71" s="76"/>
      <c r="AG71" s="76"/>
      <c r="AH71" s="76"/>
      <c r="AI71" s="76"/>
      <c r="AJ71" s="76"/>
      <c r="AK71" s="76"/>
      <c r="AL71" s="76"/>
    </row>
    <row r="72" ht="15" customHeight="true" x14ac:dyDescent="0.2">
      <c r="B72" s="76"/>
      <c r="C72" s="76"/>
      <c r="D72" s="76"/>
      <c r="E72" s="76"/>
      <c r="F72" s="76"/>
      <c r="G72" s="76"/>
      <c r="H72" s="76"/>
      <c r="I72" s="76"/>
      <c r="J72" s="76"/>
      <c r="K72" s="76"/>
      <c r="L72" s="76"/>
      <c r="M72" s="76"/>
      <c r="N72" s="76"/>
      <c r="O72" s="76"/>
      <c r="P72" s="76"/>
      <c r="Q72" s="76"/>
      <c r="R72" s="76"/>
      <c r="S72" s="76"/>
      <c r="T72" s="76"/>
      <c r="U72" s="76"/>
      <c r="V72" s="76"/>
      <c r="W72" s="76"/>
      <c r="X72" s="76"/>
      <c r="Y72" s="76"/>
      <c r="Z72" s="76"/>
      <c r="AA72" s="76"/>
      <c r="AB72" s="76"/>
      <c r="AC72" s="76"/>
      <c r="AD72" s="76"/>
      <c r="AE72" s="76"/>
      <c r="AF72" s="76"/>
      <c r="AG72" s="76"/>
      <c r="AH72" s="76"/>
      <c r="AI72" s="76"/>
      <c r="AJ72" s="76"/>
      <c r="AK72" s="76"/>
      <c r="AL72" s="76"/>
    </row>
    <row r="73" ht="15" customHeight="true" x14ac:dyDescent="0.2">
      <c r="B73" s="76"/>
      <c r="C73" s="76"/>
      <c r="D73" s="76"/>
      <c r="E73" s="76"/>
      <c r="F73" s="76"/>
      <c r="G73" s="76"/>
      <c r="H73" s="76"/>
      <c r="I73" s="76"/>
      <c r="J73" s="76"/>
      <c r="K73" s="76"/>
      <c r="L73" s="76"/>
      <c r="M73" s="76"/>
      <c r="N73" s="76"/>
      <c r="O73" s="76"/>
      <c r="P73" s="76"/>
      <c r="Q73" s="76"/>
      <c r="R73" s="76"/>
      <c r="S73" s="76"/>
      <c r="T73" s="76"/>
      <c r="U73" s="76"/>
      <c r="V73" s="76"/>
      <c r="W73" s="76"/>
      <c r="X73" s="76"/>
      <c r="Y73" s="76"/>
      <c r="Z73" s="76"/>
      <c r="AA73" s="76"/>
      <c r="AB73" s="76"/>
      <c r="AC73" s="76"/>
      <c r="AD73" s="76"/>
      <c r="AE73" s="76"/>
      <c r="AF73" s="76"/>
      <c r="AG73" s="76"/>
      <c r="AH73" s="76"/>
      <c r="AI73" s="76"/>
      <c r="AJ73" s="76"/>
      <c r="AK73" s="76"/>
      <c r="AL73" s="76"/>
    </row>
    <row r="74" ht="15" customHeight="true" x14ac:dyDescent="0.2">
      <c r="B74" s="76"/>
      <c r="C74" s="76"/>
      <c r="D74" s="76"/>
      <c r="E74" s="76"/>
      <c r="F74" s="76"/>
      <c r="G74" s="76"/>
      <c r="H74" s="76"/>
      <c r="I74" s="76"/>
      <c r="J74" s="76"/>
      <c r="K74" s="76"/>
      <c r="L74" s="76"/>
      <c r="M74" s="76"/>
      <c r="N74" s="76"/>
      <c r="O74" s="76"/>
      <c r="P74" s="76"/>
      <c r="Q74" s="76"/>
      <c r="R74" s="76"/>
      <c r="S74" s="76"/>
      <c r="T74" s="76"/>
      <c r="U74" s="76"/>
      <c r="V74" s="76"/>
      <c r="W74" s="76"/>
      <c r="X74" s="76"/>
      <c r="Y74" s="76"/>
      <c r="Z74" s="76"/>
      <c r="AA74" s="76"/>
      <c r="AB74" s="76"/>
      <c r="AC74" s="76"/>
      <c r="AD74" s="76"/>
      <c r="AE74" s="76"/>
      <c r="AF74" s="76"/>
      <c r="AG74" s="76"/>
      <c r="AH74" s="76"/>
      <c r="AI74" s="76"/>
      <c r="AJ74" s="76"/>
      <c r="AK74" s="76"/>
      <c r="AL74" s="76"/>
    </row>
    <row r="75" ht="15" customHeight="true" x14ac:dyDescent="0.2">
      <c r="B75" s="76"/>
      <c r="C75" s="76"/>
      <c r="D75" s="76"/>
      <c r="E75" s="76"/>
      <c r="F75" s="76"/>
      <c r="G75" s="76"/>
      <c r="H75" s="76"/>
      <c r="I75" s="76"/>
      <c r="J75" s="76"/>
      <c r="K75" s="76"/>
      <c r="L75" s="76"/>
      <c r="M75" s="76"/>
      <c r="N75" s="76"/>
      <c r="O75" s="76"/>
      <c r="P75" s="76"/>
      <c r="Q75" s="76"/>
      <c r="R75" s="76"/>
      <c r="S75" s="76"/>
      <c r="T75" s="76"/>
      <c r="U75" s="76"/>
      <c r="V75" s="76"/>
      <c r="W75" s="76"/>
      <c r="X75" s="76"/>
      <c r="Y75" s="76"/>
      <c r="Z75" s="76"/>
      <c r="AA75" s="76"/>
      <c r="AB75" s="76"/>
      <c r="AC75" s="76"/>
      <c r="AD75" s="76"/>
      <c r="AE75" s="76"/>
      <c r="AF75" s="76"/>
      <c r="AG75" s="76"/>
      <c r="AH75" s="76"/>
      <c r="AI75" s="76"/>
      <c r="AJ75" s="76"/>
      <c r="AK75" s="76"/>
      <c r="AL75" s="76"/>
    </row>
    <row r="76" ht="15" customHeight="true" x14ac:dyDescent="0.2">
      <c r="B76" s="76"/>
      <c r="C76" s="76"/>
      <c r="D76" s="76"/>
      <c r="E76" s="76"/>
      <c r="F76" s="76"/>
      <c r="G76" s="76"/>
      <c r="H76" s="76"/>
      <c r="I76" s="76"/>
      <c r="J76" s="76"/>
      <c r="K76" s="76"/>
      <c r="L76" s="76"/>
      <c r="M76" s="76"/>
      <c r="N76" s="76"/>
      <c r="O76" s="76"/>
      <c r="P76" s="76"/>
      <c r="Q76" s="76"/>
      <c r="R76" s="76"/>
      <c r="S76" s="76"/>
      <c r="T76" s="76"/>
      <c r="U76" s="76"/>
      <c r="V76" s="76"/>
      <c r="W76" s="76"/>
      <c r="X76" s="76"/>
      <c r="Y76" s="76"/>
      <c r="Z76" s="76"/>
      <c r="AA76" s="76"/>
      <c r="AB76" s="76"/>
      <c r="AC76" s="76"/>
      <c r="AD76" s="76"/>
      <c r="AE76" s="76"/>
      <c r="AF76" s="76"/>
      <c r="AG76" s="76"/>
      <c r="AH76" s="76"/>
      <c r="AI76" s="76"/>
      <c r="AJ76" s="76"/>
      <c r="AK76" s="76"/>
      <c r="AL76" s="76"/>
    </row>
    <row r="77" ht="15" customHeight="true" x14ac:dyDescent="0.2">
      <c r="B77" s="76"/>
      <c r="C77" s="76"/>
      <c r="D77" s="76"/>
      <c r="E77" s="76"/>
      <c r="F77" s="76"/>
      <c r="G77" s="76"/>
      <c r="H77" s="76"/>
      <c r="I77" s="76"/>
      <c r="J77" s="76"/>
      <c r="K77" s="76"/>
      <c r="L77" s="76"/>
      <c r="M77" s="76"/>
      <c r="N77" s="76"/>
      <c r="O77" s="76"/>
      <c r="P77" s="76"/>
      <c r="Q77" s="76"/>
      <c r="R77" s="76"/>
      <c r="S77" s="76"/>
      <c r="T77" s="76"/>
      <c r="U77" s="76"/>
      <c r="V77" s="76"/>
      <c r="W77" s="76"/>
      <c r="X77" s="76"/>
      <c r="Y77" s="76"/>
      <c r="Z77" s="76"/>
      <c r="AA77" s="76"/>
      <c r="AB77" s="76"/>
      <c r="AC77" s="76"/>
      <c r="AD77" s="76"/>
      <c r="AE77" s="76"/>
      <c r="AF77" s="76"/>
      <c r="AG77" s="76"/>
      <c r="AH77" s="76"/>
      <c r="AI77" s="76"/>
      <c r="AJ77" s="76"/>
      <c r="AK77" s="76"/>
      <c r="AL77" s="76"/>
    </row>
    <row r="78" ht="15" customHeight="true" x14ac:dyDescent="0.2">
      <c r="B78" s="76"/>
      <c r="C78" s="76"/>
      <c r="D78" s="76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  <c r="Z78" s="76"/>
      <c r="AA78" s="76"/>
      <c r="AB78" s="76"/>
      <c r="AC78" s="76"/>
      <c r="AD78" s="76"/>
      <c r="AE78" s="76"/>
      <c r="AF78" s="76"/>
      <c r="AG78" s="76"/>
      <c r="AH78" s="76"/>
      <c r="AI78" s="76"/>
      <c r="AJ78" s="76"/>
      <c r="AK78" s="76"/>
      <c r="AL78" s="76"/>
    </row>
    <row r="79" ht="15" customHeight="true" x14ac:dyDescent="0.2">
      <c r="B79" s="76"/>
      <c r="C79" s="76"/>
      <c r="D79" s="76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  <c r="Z79" s="76"/>
      <c r="AA79" s="76"/>
      <c r="AB79" s="76"/>
      <c r="AC79" s="76"/>
      <c r="AD79" s="76"/>
      <c r="AE79" s="76"/>
      <c r="AF79" s="76"/>
      <c r="AG79" s="76"/>
      <c r="AH79" s="76"/>
      <c r="AI79" s="76"/>
      <c r="AJ79" s="76"/>
      <c r="AK79" s="76"/>
      <c r="AL79" s="76"/>
    </row>
    <row r="80" ht="15" customHeight="true" x14ac:dyDescent="0.2">
      <c r="B80" s="76"/>
      <c r="C80" s="76"/>
      <c r="D80" s="76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  <c r="Z80" s="76"/>
      <c r="AA80" s="76"/>
      <c r="AB80" s="76"/>
      <c r="AC80" s="76"/>
      <c r="AD80" s="76"/>
      <c r="AE80" s="76"/>
      <c r="AF80" s="76"/>
      <c r="AG80" s="76"/>
      <c r="AH80" s="76"/>
      <c r="AI80" s="76"/>
      <c r="AJ80" s="76"/>
      <c r="AK80" s="76"/>
      <c r="AL80" s="76"/>
    </row>
    <row r="81" ht="15" customHeight="true" x14ac:dyDescent="0.2">
      <c r="B81" s="76"/>
      <c r="C81" s="76"/>
      <c r="D81" s="76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6"/>
      <c r="AA81" s="76"/>
      <c r="AB81" s="76"/>
      <c r="AC81" s="76"/>
      <c r="AD81" s="76"/>
      <c r="AE81" s="76"/>
      <c r="AF81" s="76"/>
      <c r="AG81" s="76"/>
      <c r="AH81" s="76"/>
      <c r="AI81" s="76"/>
      <c r="AJ81" s="76"/>
      <c r="AK81" s="76"/>
      <c r="AL81" s="76"/>
    </row>
    <row r="82" ht="15" customHeight="true" x14ac:dyDescent="0.2">
      <c r="B82" s="76"/>
      <c r="C82" s="76"/>
      <c r="D82" s="76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  <c r="Z82" s="76"/>
      <c r="AA82" s="76"/>
      <c r="AB82" s="76"/>
      <c r="AC82" s="76"/>
      <c r="AD82" s="76"/>
      <c r="AE82" s="76"/>
      <c r="AF82" s="76"/>
      <c r="AG82" s="76"/>
      <c r="AH82" s="76"/>
      <c r="AI82" s="76"/>
      <c r="AJ82" s="76"/>
      <c r="AK82" s="76"/>
      <c r="AL82" s="76"/>
    </row>
    <row r="83" ht="15" customHeight="true" x14ac:dyDescent="0.2">
      <c r="B83" s="76"/>
      <c r="C83" s="76"/>
      <c r="D83" s="76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  <c r="AA83" s="76"/>
      <c r="AB83" s="76"/>
      <c r="AC83" s="76"/>
      <c r="AD83" s="76"/>
      <c r="AE83" s="76"/>
      <c r="AF83" s="76"/>
      <c r="AG83" s="76"/>
      <c r="AH83" s="76"/>
      <c r="AI83" s="76"/>
      <c r="AJ83" s="76"/>
      <c r="AK83" s="76"/>
      <c r="AL83" s="76"/>
    </row>
    <row r="84" ht="15" customHeight="true" x14ac:dyDescent="0.2">
      <c r="B84" s="76"/>
      <c r="C84" s="76"/>
      <c r="D84" s="76"/>
      <c r="E84" s="76"/>
      <c r="F84" s="76"/>
      <c r="G84" s="76"/>
      <c r="H84" s="76"/>
      <c r="I84" s="76"/>
      <c r="J84" s="76"/>
      <c r="K84" s="76"/>
      <c r="L84" s="76"/>
      <c r="M84" s="76"/>
      <c r="N84" s="76"/>
      <c r="O84" s="76"/>
      <c r="P84" s="76"/>
      <c r="Q84" s="76"/>
      <c r="R84" s="76"/>
      <c r="S84" s="76"/>
      <c r="T84" s="76"/>
      <c r="U84" s="76"/>
      <c r="V84" s="76"/>
      <c r="W84" s="76"/>
      <c r="X84" s="76"/>
      <c r="Y84" s="76"/>
      <c r="Z84" s="76"/>
      <c r="AA84" s="76"/>
      <c r="AB84" s="76"/>
      <c r="AC84" s="76"/>
      <c r="AD84" s="76"/>
      <c r="AE84" s="76"/>
      <c r="AF84" s="76"/>
      <c r="AG84" s="76"/>
      <c r="AH84" s="76"/>
      <c r="AI84" s="76"/>
      <c r="AJ84" s="76"/>
      <c r="AK84" s="76"/>
      <c r="AL84" s="76"/>
    </row>
    <row r="85" ht="15" customHeight="true" x14ac:dyDescent="0.2">
      <c r="B85" s="76"/>
      <c r="C85" s="76"/>
      <c r="D85" s="76"/>
      <c r="E85" s="76"/>
      <c r="F85" s="76"/>
      <c r="G85" s="76"/>
      <c r="H85" s="76"/>
      <c r="I85" s="76"/>
      <c r="J85" s="76"/>
      <c r="K85" s="76"/>
      <c r="L85" s="76"/>
      <c r="M85" s="76"/>
      <c r="N85" s="76"/>
      <c r="O85" s="76"/>
      <c r="P85" s="76"/>
      <c r="Q85" s="76"/>
      <c r="R85" s="76"/>
      <c r="S85" s="76"/>
      <c r="T85" s="76"/>
      <c r="U85" s="76"/>
      <c r="V85" s="76"/>
      <c r="W85" s="76"/>
      <c r="X85" s="76"/>
      <c r="Y85" s="76"/>
      <c r="Z85" s="76"/>
      <c r="AA85" s="76"/>
      <c r="AB85" s="76"/>
      <c r="AC85" s="76"/>
      <c r="AD85" s="76"/>
      <c r="AE85" s="76"/>
      <c r="AF85" s="76"/>
      <c r="AG85" s="76"/>
      <c r="AH85" s="76"/>
      <c r="AI85" s="76"/>
      <c r="AJ85" s="76"/>
      <c r="AK85" s="76"/>
      <c r="AL85" s="76"/>
    </row>
    <row r="86" ht="15" customHeight="true" x14ac:dyDescent="0.2">
      <c r="B86" s="76"/>
      <c r="C86" s="76"/>
      <c r="D86" s="76"/>
      <c r="E86" s="76"/>
      <c r="F86" s="76"/>
      <c r="G86" s="76"/>
      <c r="H86" s="76"/>
      <c r="I86" s="76"/>
      <c r="J86" s="76"/>
      <c r="K86" s="76"/>
      <c r="L86" s="76"/>
      <c r="M86" s="76"/>
      <c r="N86" s="76"/>
      <c r="O86" s="76"/>
      <c r="P86" s="76"/>
      <c r="Q86" s="76"/>
      <c r="R86" s="76"/>
      <c r="S86" s="76"/>
      <c r="T86" s="76"/>
      <c r="U86" s="76"/>
      <c r="V86" s="76"/>
      <c r="W86" s="76"/>
      <c r="X86" s="76"/>
      <c r="Y86" s="76"/>
      <c r="Z86" s="76"/>
      <c r="AA86" s="76"/>
      <c r="AB86" s="76"/>
      <c r="AC86" s="76"/>
      <c r="AD86" s="76"/>
      <c r="AE86" s="76"/>
      <c r="AF86" s="76"/>
      <c r="AG86" s="76"/>
      <c r="AH86" s="76"/>
      <c r="AI86" s="76"/>
      <c r="AJ86" s="76"/>
      <c r="AK86" s="76"/>
      <c r="AL86" s="76"/>
    </row>
    <row r="87" ht="15" customHeight="true" x14ac:dyDescent="0.2">
      <c r="B87" s="76"/>
      <c r="C87" s="76"/>
      <c r="D87" s="76"/>
      <c r="E87" s="76"/>
      <c r="F87" s="76"/>
      <c r="G87" s="76"/>
      <c r="H87" s="76"/>
      <c r="I87" s="76"/>
      <c r="J87" s="76"/>
      <c r="K87" s="76"/>
      <c r="L87" s="76"/>
      <c r="M87" s="76"/>
      <c r="N87" s="76"/>
      <c r="O87" s="76"/>
      <c r="P87" s="76"/>
      <c r="Q87" s="76"/>
      <c r="R87" s="76"/>
      <c r="S87" s="76"/>
      <c r="T87" s="76"/>
      <c r="U87" s="76"/>
      <c r="V87" s="76"/>
      <c r="W87" s="76"/>
      <c r="X87" s="76"/>
      <c r="Y87" s="76"/>
      <c r="Z87" s="76"/>
      <c r="AA87" s="76"/>
      <c r="AB87" s="76"/>
      <c r="AC87" s="76"/>
      <c r="AD87" s="76"/>
      <c r="AE87" s="76"/>
      <c r="AF87" s="76"/>
      <c r="AG87" s="76"/>
      <c r="AH87" s="76"/>
      <c r="AI87" s="76"/>
      <c r="AJ87" s="76"/>
      <c r="AK87" s="76"/>
      <c r="AL87" s="76"/>
    </row>
    <row r="88" ht="15" customHeight="true" x14ac:dyDescent="0.2">
      <c r="B88" s="76"/>
      <c r="C88" s="76"/>
      <c r="D88" s="76"/>
      <c r="E88" s="76"/>
      <c r="F88" s="76"/>
      <c r="G88" s="76"/>
      <c r="H88" s="76"/>
      <c r="I88" s="76"/>
      <c r="J88" s="76"/>
      <c r="K88" s="76"/>
      <c r="L88" s="76"/>
      <c r="M88" s="76"/>
      <c r="N88" s="76"/>
      <c r="O88" s="76"/>
      <c r="P88" s="76"/>
      <c r="Q88" s="76"/>
      <c r="R88" s="76"/>
      <c r="S88" s="76"/>
      <c r="T88" s="76"/>
      <c r="U88" s="76"/>
      <c r="V88" s="76"/>
      <c r="W88" s="76"/>
      <c r="X88" s="76"/>
      <c r="Y88" s="76"/>
      <c r="Z88" s="76"/>
      <c r="AA88" s="76"/>
      <c r="AB88" s="76"/>
      <c r="AC88" s="76"/>
      <c r="AD88" s="76"/>
      <c r="AE88" s="76"/>
      <c r="AF88" s="76"/>
      <c r="AG88" s="76"/>
      <c r="AH88" s="76"/>
      <c r="AI88" s="76"/>
      <c r="AJ88" s="76"/>
      <c r="AK88" s="76"/>
      <c r="AL88" s="76"/>
    </row>
    <row r="89" ht="15" customHeight="true" x14ac:dyDescent="0.2">
      <c r="B89" s="76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  <c r="N89" s="76"/>
      <c r="O89" s="76"/>
      <c r="P89" s="76"/>
      <c r="Q89" s="76"/>
      <c r="R89" s="76"/>
      <c r="S89" s="76"/>
      <c r="T89" s="76"/>
      <c r="U89" s="76"/>
      <c r="V89" s="76"/>
      <c r="W89" s="76"/>
      <c r="X89" s="76"/>
      <c r="Y89" s="76"/>
      <c r="Z89" s="76"/>
      <c r="AA89" s="76"/>
      <c r="AB89" s="76"/>
      <c r="AC89" s="76"/>
      <c r="AD89" s="76"/>
      <c r="AE89" s="76"/>
      <c r="AF89" s="76"/>
      <c r="AG89" s="76"/>
      <c r="AH89" s="76"/>
      <c r="AI89" s="76"/>
      <c r="AJ89" s="76"/>
      <c r="AK89" s="76"/>
      <c r="AL89" s="76"/>
    </row>
    <row r="90" ht="15" customHeight="true" x14ac:dyDescent="0.2">
      <c r="B90" s="76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  <c r="N90" s="76"/>
      <c r="O90" s="76"/>
      <c r="P90" s="76"/>
      <c r="Q90" s="76"/>
      <c r="R90" s="76"/>
      <c r="S90" s="76"/>
      <c r="T90" s="76"/>
      <c r="U90" s="76"/>
      <c r="V90" s="76"/>
      <c r="W90" s="76"/>
      <c r="X90" s="76"/>
      <c r="Y90" s="76"/>
      <c r="Z90" s="76"/>
      <c r="AA90" s="76"/>
      <c r="AB90" s="76"/>
      <c r="AC90" s="76"/>
      <c r="AD90" s="76"/>
      <c r="AE90" s="76"/>
      <c r="AF90" s="76"/>
      <c r="AG90" s="76"/>
      <c r="AH90" s="76"/>
      <c r="AI90" s="76"/>
      <c r="AJ90" s="76"/>
      <c r="AK90" s="76"/>
      <c r="AL90" s="76"/>
    </row>
    <row r="91" ht="15" customHeight="true" x14ac:dyDescent="0.2">
      <c r="B91" s="76"/>
      <c r="C91" s="76"/>
      <c r="D91" s="76"/>
      <c r="E91" s="76"/>
      <c r="F91" s="76"/>
      <c r="G91" s="76"/>
      <c r="H91" s="76"/>
      <c r="I91" s="76"/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V91" s="76"/>
      <c r="W91" s="76"/>
      <c r="X91" s="76"/>
      <c r="Y91" s="76"/>
      <c r="Z91" s="76"/>
      <c r="AA91" s="76"/>
      <c r="AB91" s="76"/>
      <c r="AC91" s="76"/>
      <c r="AD91" s="76"/>
      <c r="AE91" s="76"/>
      <c r="AF91" s="76"/>
      <c r="AG91" s="76"/>
      <c r="AH91" s="76"/>
      <c r="AI91" s="76"/>
      <c r="AJ91" s="76"/>
      <c r="AK91" s="76"/>
      <c r="AL91" s="76"/>
    </row>
    <row r="92" ht="15" customHeight="true" x14ac:dyDescent="0.2">
      <c r="B92" s="76"/>
      <c r="C92" s="76"/>
      <c r="D92" s="76"/>
      <c r="E92" s="76"/>
      <c r="F92" s="76"/>
      <c r="G92" s="76"/>
      <c r="H92" s="76"/>
      <c r="I92" s="76"/>
      <c r="J92" s="76"/>
      <c r="K92" s="76"/>
      <c r="L92" s="76"/>
      <c r="M92" s="76"/>
      <c r="N92" s="76"/>
      <c r="O92" s="76"/>
      <c r="P92" s="76"/>
      <c r="Q92" s="76"/>
      <c r="R92" s="76"/>
      <c r="S92" s="76"/>
      <c r="T92" s="76"/>
      <c r="U92" s="76"/>
      <c r="V92" s="76"/>
      <c r="W92" s="76"/>
      <c r="X92" s="76"/>
      <c r="Y92" s="76"/>
      <c r="Z92" s="76"/>
      <c r="AA92" s="76"/>
      <c r="AB92" s="76"/>
      <c r="AC92" s="76"/>
      <c r="AD92" s="76"/>
      <c r="AE92" s="76"/>
      <c r="AF92" s="76"/>
      <c r="AG92" s="76"/>
      <c r="AH92" s="76"/>
      <c r="AI92" s="76"/>
      <c r="AJ92" s="76"/>
      <c r="AK92" s="76"/>
      <c r="AL92" s="76"/>
    </row>
    <row r="93" ht="15" customHeight="true" x14ac:dyDescent="0.2">
      <c r="B93" s="76"/>
      <c r="C93" s="76"/>
      <c r="D93" s="76"/>
      <c r="E93" s="76"/>
      <c r="F93" s="76"/>
      <c r="G93" s="76"/>
      <c r="H93" s="76"/>
      <c r="I93" s="76"/>
      <c r="J93" s="76"/>
      <c r="K93" s="76"/>
      <c r="L93" s="76"/>
      <c r="M93" s="76"/>
      <c r="N93" s="76"/>
      <c r="O93" s="76"/>
      <c r="P93" s="76"/>
      <c r="Q93" s="76"/>
      <c r="R93" s="76"/>
      <c r="S93" s="76"/>
      <c r="T93" s="76"/>
      <c r="U93" s="76"/>
      <c r="V93" s="76"/>
      <c r="W93" s="76"/>
      <c r="X93" s="76"/>
      <c r="Y93" s="76"/>
      <c r="Z93" s="76"/>
      <c r="AA93" s="76"/>
      <c r="AB93" s="76"/>
      <c r="AC93" s="76"/>
      <c r="AD93" s="76"/>
      <c r="AE93" s="76"/>
      <c r="AF93" s="76"/>
      <c r="AG93" s="76"/>
      <c r="AH93" s="76"/>
      <c r="AI93" s="76"/>
      <c r="AJ93" s="76"/>
      <c r="AK93" s="76"/>
      <c r="AL93" s="76"/>
    </row>
    <row r="94" ht="15" customHeight="true" x14ac:dyDescent="0.2">
      <c r="B94" s="76"/>
      <c r="C94" s="76"/>
      <c r="D94" s="76"/>
      <c r="E94" s="76"/>
      <c r="F94" s="76"/>
      <c r="G94" s="76"/>
      <c r="H94" s="76"/>
      <c r="I94" s="76"/>
      <c r="J94" s="76"/>
      <c r="K94" s="76"/>
      <c r="L94" s="76"/>
      <c r="M94" s="76"/>
      <c r="N94" s="76"/>
      <c r="O94" s="76"/>
      <c r="P94" s="76"/>
      <c r="Q94" s="76"/>
      <c r="R94" s="76"/>
      <c r="S94" s="76"/>
      <c r="T94" s="76"/>
      <c r="U94" s="76"/>
      <c r="V94" s="76"/>
      <c r="W94" s="76"/>
      <c r="X94" s="76"/>
      <c r="Y94" s="76"/>
      <c r="Z94" s="76"/>
      <c r="AA94" s="76"/>
      <c r="AB94" s="76"/>
      <c r="AC94" s="76"/>
      <c r="AD94" s="76"/>
      <c r="AE94" s="76"/>
      <c r="AF94" s="76"/>
      <c r="AG94" s="76"/>
      <c r="AH94" s="76"/>
      <c r="AI94" s="76"/>
      <c r="AJ94" s="76"/>
      <c r="AK94" s="76"/>
      <c r="AL94" s="76"/>
    </row>
    <row r="95" ht="15" customHeight="true" x14ac:dyDescent="0.2">
      <c r="B95" s="76"/>
      <c r="C95" s="76"/>
      <c r="D95" s="76"/>
      <c r="E95" s="76"/>
      <c r="F95" s="76"/>
      <c r="G95" s="76"/>
      <c r="H95" s="76"/>
      <c r="I95" s="76"/>
      <c r="J95" s="76"/>
      <c r="K95" s="76"/>
      <c r="L95" s="76"/>
      <c r="M95" s="76"/>
      <c r="N95" s="76"/>
      <c r="O95" s="76"/>
      <c r="P95" s="76"/>
      <c r="Q95" s="76"/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  <c r="AI95" s="76"/>
      <c r="AJ95" s="76"/>
      <c r="AK95" s="76"/>
      <c r="AL95" s="76"/>
    </row>
    <row r="96" ht="15" customHeight="true" x14ac:dyDescent="0.2">
      <c r="B96" s="76"/>
      <c r="C96" s="76"/>
      <c r="D96" s="76"/>
      <c r="E96" s="76"/>
      <c r="F96" s="76"/>
      <c r="G96" s="76"/>
      <c r="H96" s="76"/>
      <c r="I96" s="76"/>
      <c r="J96" s="76"/>
      <c r="K96" s="76"/>
      <c r="L96" s="76"/>
      <c r="M96" s="76"/>
      <c r="N96" s="76"/>
      <c r="O96" s="76"/>
      <c r="P96" s="76"/>
      <c r="Q96" s="76"/>
      <c r="R96" s="76"/>
      <c r="S96" s="76"/>
      <c r="T96" s="76"/>
      <c r="U96" s="76"/>
      <c r="V96" s="76"/>
      <c r="W96" s="76"/>
      <c r="X96" s="76"/>
      <c r="Y96" s="76"/>
      <c r="Z96" s="76"/>
      <c r="AA96" s="76"/>
      <c r="AB96" s="76"/>
      <c r="AC96" s="76"/>
      <c r="AD96" s="76"/>
      <c r="AE96" s="76"/>
      <c r="AF96" s="76"/>
      <c r="AG96" s="76"/>
      <c r="AH96" s="76"/>
      <c r="AI96" s="76"/>
      <c r="AJ96" s="76"/>
      <c r="AK96" s="76"/>
      <c r="AL96" s="76"/>
    </row>
    <row r="97" ht="15" customHeight="true" x14ac:dyDescent="0.2">
      <c r="B97" s="76"/>
      <c r="C97" s="76"/>
      <c r="D97" s="76"/>
      <c r="E97" s="76"/>
      <c r="F97" s="76"/>
      <c r="G97" s="76"/>
      <c r="H97" s="76"/>
      <c r="I97" s="76"/>
      <c r="J97" s="76"/>
      <c r="K97" s="76"/>
      <c r="L97" s="76"/>
      <c r="M97" s="76"/>
      <c r="N97" s="76"/>
      <c r="O97" s="76"/>
      <c r="P97" s="76"/>
      <c r="Q97" s="76"/>
      <c r="R97" s="76"/>
      <c r="S97" s="76"/>
      <c r="T97" s="76"/>
      <c r="U97" s="76"/>
      <c r="V97" s="76"/>
      <c r="W97" s="76"/>
      <c r="X97" s="76"/>
      <c r="Y97" s="76"/>
      <c r="Z97" s="76"/>
      <c r="AA97" s="76"/>
      <c r="AB97" s="76"/>
      <c r="AC97" s="76"/>
      <c r="AD97" s="76"/>
      <c r="AE97" s="76"/>
      <c r="AF97" s="76"/>
      <c r="AG97" s="76"/>
      <c r="AH97" s="76"/>
      <c r="AI97" s="76"/>
      <c r="AJ97" s="76"/>
      <c r="AK97" s="76"/>
      <c r="AL97" s="76"/>
    </row>
    <row r="98" ht="15" customHeight="true" x14ac:dyDescent="0.2">
      <c r="B98" s="76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  <c r="N98" s="76"/>
      <c r="O98" s="76"/>
      <c r="P98" s="76"/>
      <c r="Q98" s="76"/>
      <c r="R98" s="76"/>
      <c r="S98" s="76"/>
      <c r="T98" s="76"/>
      <c r="U98" s="76"/>
      <c r="V98" s="76"/>
      <c r="W98" s="76"/>
      <c r="X98" s="76"/>
      <c r="Y98" s="76"/>
      <c r="Z98" s="76"/>
      <c r="AA98" s="76"/>
      <c r="AB98" s="76"/>
      <c r="AC98" s="76"/>
      <c r="AD98" s="76"/>
      <c r="AE98" s="76"/>
      <c r="AF98" s="76"/>
      <c r="AG98" s="76"/>
      <c r="AH98" s="76"/>
      <c r="AI98" s="76"/>
      <c r="AJ98" s="76"/>
      <c r="AK98" s="76"/>
      <c r="AL98" s="76"/>
    </row>
    <row r="99" ht="15" customHeight="true" x14ac:dyDescent="0.2">
      <c r="B99" s="76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  <c r="N99" s="76"/>
      <c r="O99" s="76"/>
      <c r="P99" s="76"/>
      <c r="Q99" s="76"/>
      <c r="R99" s="76"/>
      <c r="S99" s="76"/>
      <c r="T99" s="76"/>
      <c r="U99" s="76"/>
      <c r="V99" s="76"/>
      <c r="W99" s="76"/>
      <c r="X99" s="76"/>
      <c r="Y99" s="76"/>
      <c r="Z99" s="76"/>
      <c r="AA99" s="76"/>
      <c r="AB99" s="76"/>
      <c r="AC99" s="76"/>
      <c r="AD99" s="76"/>
      <c r="AE99" s="76"/>
      <c r="AF99" s="76"/>
      <c r="AG99" s="76"/>
      <c r="AH99" s="76"/>
      <c r="AI99" s="76"/>
      <c r="AJ99" s="76"/>
      <c r="AK99" s="76"/>
      <c r="AL99" s="76"/>
    </row>
    <row r="100" ht="15" customHeight="true" x14ac:dyDescent="0.2">
      <c r="B100" s="76"/>
      <c r="C100" s="76"/>
      <c r="D100" s="76"/>
      <c r="E100" s="76"/>
      <c r="F100" s="76"/>
      <c r="G100" s="76"/>
      <c r="H100" s="76"/>
      <c r="I100" s="76"/>
      <c r="J100" s="76"/>
      <c r="K100" s="76"/>
      <c r="L100" s="76"/>
      <c r="M100" s="76"/>
      <c r="N100" s="76"/>
      <c r="O100" s="76"/>
      <c r="P100" s="76"/>
      <c r="Q100" s="76"/>
      <c r="R100" s="76"/>
      <c r="S100" s="76"/>
      <c r="T100" s="76"/>
      <c r="U100" s="76"/>
      <c r="V100" s="76"/>
      <c r="W100" s="76"/>
      <c r="X100" s="76"/>
      <c r="Y100" s="76"/>
      <c r="Z100" s="76"/>
      <c r="AA100" s="76"/>
      <c r="AB100" s="76"/>
      <c r="AC100" s="76"/>
      <c r="AD100" s="76"/>
      <c r="AE100" s="76"/>
      <c r="AF100" s="76"/>
      <c r="AG100" s="76"/>
      <c r="AH100" s="76"/>
      <c r="AI100" s="76"/>
      <c r="AJ100" s="76"/>
      <c r="AK100" s="76"/>
      <c r="AL100" s="76"/>
    </row>
    <row r="101" ht="15" customHeight="true" x14ac:dyDescent="0.2">
      <c r="B101" s="76"/>
      <c r="C101" s="76"/>
      <c r="D101" s="76"/>
      <c r="E101" s="76"/>
      <c r="F101" s="76"/>
      <c r="G101" s="76"/>
      <c r="H101" s="76"/>
      <c r="I101" s="76"/>
      <c r="J101" s="76"/>
      <c r="K101" s="76"/>
      <c r="L101" s="76"/>
      <c r="M101" s="76"/>
      <c r="N101" s="76"/>
      <c r="O101" s="76"/>
      <c r="P101" s="76"/>
      <c r="Q101" s="76"/>
      <c r="R101" s="76"/>
      <c r="S101" s="76"/>
      <c r="T101" s="76"/>
      <c r="U101" s="76"/>
      <c r="V101" s="76"/>
      <c r="W101" s="76"/>
      <c r="X101" s="76"/>
      <c r="Y101" s="76"/>
      <c r="Z101" s="76"/>
      <c r="AA101" s="76"/>
      <c r="AB101" s="76"/>
      <c r="AC101" s="76"/>
      <c r="AD101" s="76"/>
      <c r="AE101" s="76"/>
      <c r="AF101" s="76"/>
      <c r="AG101" s="76"/>
      <c r="AH101" s="76"/>
      <c r="AI101" s="76"/>
      <c r="AJ101" s="76"/>
      <c r="AK101" s="76"/>
      <c r="AL101" s="76"/>
    </row>
    <row r="102" ht="15" customHeight="true" x14ac:dyDescent="0.2">
      <c r="B102" s="76"/>
      <c r="C102" s="76"/>
      <c r="D102" s="76"/>
      <c r="E102" s="76"/>
      <c r="F102" s="76"/>
      <c r="G102" s="76"/>
      <c r="H102" s="76"/>
      <c r="I102" s="76"/>
      <c r="J102" s="76"/>
      <c r="K102" s="76"/>
      <c r="L102" s="76"/>
      <c r="M102" s="76"/>
      <c r="N102" s="76"/>
      <c r="O102" s="76"/>
      <c r="P102" s="76"/>
      <c r="Q102" s="76"/>
      <c r="R102" s="76"/>
      <c r="S102" s="76"/>
      <c r="T102" s="76"/>
      <c r="U102" s="76"/>
      <c r="V102" s="76"/>
      <c r="W102" s="76"/>
      <c r="X102" s="76"/>
      <c r="Y102" s="76"/>
      <c r="Z102" s="76"/>
      <c r="AA102" s="76"/>
      <c r="AB102" s="76"/>
      <c r="AC102" s="76"/>
      <c r="AD102" s="76"/>
      <c r="AE102" s="76"/>
      <c r="AF102" s="76"/>
      <c r="AG102" s="76"/>
      <c r="AH102" s="76"/>
      <c r="AI102" s="76"/>
      <c r="AJ102" s="76"/>
      <c r="AK102" s="76"/>
      <c r="AL102" s="76"/>
    </row>
    <row r="103" ht="15" customHeight="true" x14ac:dyDescent="0.2">
      <c r="B103" s="76"/>
      <c r="C103" s="76"/>
      <c r="D103" s="76"/>
      <c r="E103" s="7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76"/>
      <c r="AA103" s="76"/>
      <c r="AB103" s="76"/>
      <c r="AC103" s="76"/>
      <c r="AD103" s="76"/>
      <c r="AE103" s="76"/>
      <c r="AF103" s="76"/>
      <c r="AG103" s="76"/>
      <c r="AH103" s="76"/>
      <c r="AI103" s="76"/>
      <c r="AJ103" s="76"/>
      <c r="AK103" s="76"/>
      <c r="AL103" s="76"/>
    </row>
    <row r="104" ht="15" customHeight="true" x14ac:dyDescent="0.2">
      <c r="B104" s="76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 s="76"/>
      <c r="AE104" s="76"/>
      <c r="AF104" s="76"/>
      <c r="AG104" s="76"/>
      <c r="AH104" s="76"/>
      <c r="AI104" s="76"/>
      <c r="AJ104" s="76"/>
      <c r="AK104" s="76"/>
      <c r="AL104" s="76"/>
    </row>
    <row r="105" ht="15" customHeight="true" x14ac:dyDescent="0.2">
      <c r="B105" s="76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 s="76"/>
      <c r="AE105" s="76"/>
      <c r="AF105" s="76"/>
      <c r="AG105" s="76"/>
      <c r="AH105" s="76"/>
      <c r="AI105" s="76"/>
      <c r="AJ105" s="76"/>
      <c r="AK105" s="76"/>
      <c r="AL105" s="76"/>
    </row>
    <row r="106" ht="15" customHeight="true" x14ac:dyDescent="0.2">
      <c r="B106" s="76"/>
      <c r="C106" s="76"/>
      <c r="D106" s="76"/>
      <c r="E106" s="7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 s="76"/>
      <c r="AE106" s="76"/>
      <c r="AF106" s="76"/>
      <c r="AG106" s="76"/>
      <c r="AH106" s="76"/>
      <c r="AI106" s="76"/>
      <c r="AJ106" s="76"/>
      <c r="AK106" s="76"/>
      <c r="AL106" s="76"/>
    </row>
    <row r="107" ht="15" customHeight="true" x14ac:dyDescent="0.2">
      <c r="B107" s="76"/>
      <c r="C107" s="76"/>
      <c r="D107" s="76"/>
      <c r="E107" s="76"/>
      <c r="F107" s="76"/>
      <c r="G107" s="76"/>
      <c r="H107" s="76"/>
      <c r="I107" s="76"/>
      <c r="J107" s="76"/>
      <c r="K107" s="76"/>
      <c r="L107" s="76"/>
      <c r="M107" s="76"/>
      <c r="N107" s="76"/>
      <c r="O107" s="76"/>
      <c r="P107" s="76"/>
      <c r="Q107" s="76"/>
      <c r="R107" s="76"/>
      <c r="S107" s="76"/>
      <c r="T107" s="76"/>
      <c r="U107" s="76"/>
      <c r="V107" s="76"/>
      <c r="W107" s="76"/>
      <c r="X107" s="76"/>
      <c r="Y107" s="76"/>
      <c r="Z107" s="76"/>
      <c r="AA107" s="76"/>
      <c r="AB107" s="76"/>
      <c r="AC107" s="76"/>
      <c r="AD107" s="76"/>
      <c r="AE107" s="76"/>
      <c r="AF107" s="76"/>
      <c r="AG107" s="76"/>
      <c r="AH107" s="76"/>
      <c r="AI107" s="76"/>
      <c r="AJ107" s="76"/>
      <c r="AK107" s="76"/>
      <c r="AL107" s="76"/>
    </row>
    <row r="108" ht="15" customHeight="true" x14ac:dyDescent="0.2">
      <c r="B108" s="76"/>
      <c r="C108" s="76"/>
      <c r="D108" s="76"/>
      <c r="E108" s="76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76"/>
      <c r="AE108" s="76"/>
      <c r="AF108" s="76"/>
      <c r="AG108" s="76"/>
      <c r="AH108" s="76"/>
      <c r="AI108" s="76"/>
      <c r="AJ108" s="76"/>
      <c r="AK108" s="76"/>
      <c r="AL108" s="76"/>
    </row>
    <row r="109" ht="15" customHeight="true" x14ac:dyDescent="0.2">
      <c r="B109" s="76"/>
      <c r="C109" s="76"/>
      <c r="D109" s="76"/>
      <c r="E109" s="76"/>
      <c r="F109" s="76"/>
      <c r="G109" s="76"/>
      <c r="H109" s="76"/>
      <c r="I109" s="76"/>
      <c r="J109" s="76"/>
      <c r="K109" s="76"/>
      <c r="L109" s="76"/>
      <c r="M109" s="76"/>
      <c r="N109" s="76"/>
      <c r="O109" s="76"/>
      <c r="P109" s="76"/>
      <c r="Q109" s="76"/>
      <c r="R109" s="76"/>
      <c r="S109" s="76"/>
      <c r="T109" s="76"/>
      <c r="U109" s="76"/>
      <c r="V109" s="76"/>
      <c r="W109" s="76"/>
      <c r="X109" s="76"/>
      <c r="Y109" s="76"/>
      <c r="Z109" s="76"/>
      <c r="AA109" s="76"/>
      <c r="AB109" s="76"/>
      <c r="AC109" s="76"/>
      <c r="AD109" s="76"/>
      <c r="AE109" s="76"/>
      <c r="AF109" s="76"/>
      <c r="AG109" s="76"/>
      <c r="AH109" s="76"/>
      <c r="AI109" s="76"/>
      <c r="AJ109" s="76"/>
      <c r="AK109" s="76"/>
      <c r="AL109" s="76"/>
    </row>
    <row r="110" ht="15" customHeight="true" x14ac:dyDescent="0.2">
      <c r="B110" s="76"/>
      <c r="C110" s="76"/>
      <c r="D110" s="76"/>
      <c r="E110" s="76"/>
      <c r="F110" s="76"/>
      <c r="G110" s="76"/>
      <c r="H110" s="76"/>
      <c r="I110" s="76"/>
      <c r="J110" s="76"/>
      <c r="K110" s="76"/>
      <c r="L110" s="76"/>
      <c r="M110" s="76"/>
      <c r="N110" s="76"/>
      <c r="O110" s="76"/>
      <c r="P110" s="76"/>
      <c r="Q110" s="76"/>
      <c r="R110" s="76"/>
      <c r="S110" s="76"/>
      <c r="T110" s="76"/>
      <c r="U110" s="76"/>
      <c r="V110" s="76"/>
      <c r="W110" s="76"/>
      <c r="X110" s="76"/>
      <c r="Y110" s="76"/>
      <c r="Z110" s="76"/>
      <c r="AA110" s="76"/>
      <c r="AB110" s="76"/>
      <c r="AC110" s="76"/>
      <c r="AD110" s="76"/>
      <c r="AE110" s="76"/>
      <c r="AF110" s="76"/>
      <c r="AG110" s="76"/>
      <c r="AH110" s="76"/>
      <c r="AI110" s="76"/>
      <c r="AJ110" s="76"/>
      <c r="AK110" s="76"/>
      <c r="AL110" s="76"/>
    </row>
    <row r="111" ht="15" customHeight="true" x14ac:dyDescent="0.2">
      <c r="B111" s="76"/>
      <c r="C111" s="76"/>
      <c r="D111" s="76"/>
      <c r="E111" s="76"/>
      <c r="F111" s="76"/>
      <c r="G111" s="76"/>
      <c r="H111" s="76"/>
      <c r="I111" s="76"/>
      <c r="J111" s="76"/>
      <c r="K111" s="76"/>
      <c r="L111" s="76"/>
      <c r="M111" s="76"/>
      <c r="N111" s="76"/>
      <c r="O111" s="76"/>
      <c r="P111" s="76"/>
      <c r="Q111" s="76"/>
      <c r="R111" s="76"/>
      <c r="S111" s="76"/>
      <c r="T111" s="76"/>
      <c r="U111" s="76"/>
      <c r="V111" s="76"/>
      <c r="W111" s="76"/>
      <c r="X111" s="76"/>
      <c r="Y111" s="76"/>
      <c r="Z111" s="76"/>
      <c r="AA111" s="76"/>
      <c r="AB111" s="76"/>
      <c r="AC111" s="76"/>
      <c r="AD111" s="76"/>
      <c r="AE111" s="76"/>
      <c r="AF111" s="76"/>
      <c r="AG111" s="76"/>
      <c r="AH111" s="76"/>
      <c r="AI111" s="76"/>
      <c r="AJ111" s="76"/>
      <c r="AK111" s="76"/>
      <c r="AL111" s="76"/>
    </row>
    <row r="112" ht="15" customHeight="true" x14ac:dyDescent="0.2">
      <c r="B112" s="76"/>
      <c r="C112" s="76"/>
      <c r="D112" s="76"/>
      <c r="E112" s="76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76"/>
      <c r="AE112" s="76"/>
      <c r="AF112" s="76"/>
      <c r="AG112" s="76"/>
      <c r="AH112" s="76"/>
      <c r="AI112" s="76"/>
      <c r="AJ112" s="76"/>
      <c r="AK112" s="76"/>
      <c r="AL112" s="76"/>
    </row>
    <row r="113" ht="15" customHeight="true" x14ac:dyDescent="0.2">
      <c r="B113" s="76"/>
      <c r="C113" s="76"/>
      <c r="D113" s="76"/>
      <c r="E113" s="76"/>
      <c r="F113" s="76"/>
      <c r="G113" s="76"/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R113" s="76"/>
      <c r="S113" s="76"/>
      <c r="T113" s="76"/>
      <c r="U113" s="76"/>
      <c r="V113" s="76"/>
      <c r="W113" s="76"/>
      <c r="X113" s="76"/>
      <c r="Y113" s="76"/>
      <c r="Z113" s="76"/>
      <c r="AA113" s="76"/>
      <c r="AB113" s="76"/>
      <c r="AC113" s="76"/>
      <c r="AD113" s="76"/>
      <c r="AE113" s="76"/>
      <c r="AF113" s="76"/>
      <c r="AG113" s="76"/>
      <c r="AH113" s="76"/>
      <c r="AI113" s="76"/>
      <c r="AJ113" s="76"/>
      <c r="AK113" s="76"/>
      <c r="AL113" s="76"/>
    </row>
    <row r="114" ht="15" customHeight="true" x14ac:dyDescent="0.2">
      <c r="B114" s="76"/>
      <c r="C114" s="76"/>
      <c r="D114" s="76"/>
      <c r="E114" s="76"/>
      <c r="F114" s="76"/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R114" s="76"/>
      <c r="S114" s="76"/>
      <c r="T114" s="76"/>
      <c r="U114" s="76"/>
      <c r="V114" s="76"/>
      <c r="W114" s="76"/>
      <c r="X114" s="76"/>
      <c r="Y114" s="76"/>
      <c r="Z114" s="76"/>
      <c r="AA114" s="76"/>
      <c r="AB114" s="76"/>
      <c r="AC114" s="76"/>
      <c r="AD114" s="76"/>
      <c r="AE114" s="76"/>
      <c r="AF114" s="76"/>
      <c r="AG114" s="76"/>
      <c r="AH114" s="76"/>
      <c r="AI114" s="76"/>
      <c r="AJ114" s="76"/>
      <c r="AK114" s="76"/>
      <c r="AL114" s="76"/>
    </row>
    <row r="115" ht="15" customHeight="true" x14ac:dyDescent="0.2">
      <c r="B115" s="76"/>
      <c r="C115" s="76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R115" s="76"/>
      <c r="S115" s="76"/>
      <c r="T115" s="76"/>
      <c r="U115" s="76"/>
      <c r="V115" s="76"/>
      <c r="W115" s="76"/>
      <c r="X115" s="76"/>
      <c r="Y115" s="76"/>
      <c r="Z115" s="76"/>
      <c r="AA115" s="76"/>
      <c r="AB115" s="76"/>
      <c r="AC115" s="76"/>
      <c r="AD115" s="76"/>
      <c r="AE115" s="76"/>
      <c r="AF115" s="76"/>
      <c r="AG115" s="76"/>
      <c r="AH115" s="76"/>
      <c r="AI115" s="76"/>
      <c r="AJ115" s="76"/>
      <c r="AK115" s="76"/>
      <c r="AL115" s="76"/>
    </row>
    <row r="116" ht="15" customHeight="true" x14ac:dyDescent="0.2">
      <c r="B116" s="76"/>
      <c r="C116" s="76"/>
      <c r="D116" s="76"/>
      <c r="E116" s="76"/>
      <c r="F116" s="76"/>
      <c r="G116" s="76"/>
      <c r="H116" s="76"/>
      <c r="I116" s="76"/>
      <c r="J116" s="76"/>
      <c r="K116" s="76"/>
      <c r="L116" s="76"/>
      <c r="M116" s="76"/>
      <c r="N116" s="76"/>
      <c r="O116" s="76"/>
      <c r="P116" s="76"/>
      <c r="Q116" s="76"/>
      <c r="R116" s="76"/>
      <c r="S116" s="76"/>
      <c r="T116" s="76"/>
      <c r="U116" s="76"/>
      <c r="V116" s="76"/>
      <c r="W116" s="76"/>
      <c r="X116" s="76"/>
      <c r="Y116" s="76"/>
      <c r="Z116" s="76"/>
      <c r="AA116" s="76"/>
      <c r="AB116" s="76"/>
      <c r="AC116" s="76"/>
      <c r="AD116" s="76"/>
      <c r="AE116" s="76"/>
      <c r="AF116" s="76"/>
      <c r="AG116" s="76"/>
      <c r="AH116" s="76"/>
      <c r="AI116" s="76"/>
      <c r="AJ116" s="76"/>
      <c r="AK116" s="76"/>
      <c r="AL116" s="76"/>
    </row>
    <row r="117" ht="15" customHeight="true" x14ac:dyDescent="0.2">
      <c r="B117" s="76"/>
      <c r="C117" s="76"/>
      <c r="D117" s="76"/>
      <c r="E117" s="76"/>
      <c r="F117" s="76"/>
      <c r="G117" s="76"/>
      <c r="H117" s="76"/>
      <c r="I117" s="76"/>
      <c r="J117" s="76"/>
      <c r="K117" s="76"/>
      <c r="L117" s="76"/>
      <c r="M117" s="76"/>
      <c r="N117" s="76"/>
      <c r="O117" s="76"/>
      <c r="P117" s="76"/>
      <c r="Q117" s="76"/>
      <c r="R117" s="76"/>
      <c r="S117" s="76"/>
      <c r="T117" s="76"/>
      <c r="U117" s="76"/>
      <c r="V117" s="76"/>
      <c r="W117" s="76"/>
      <c r="X117" s="76"/>
      <c r="Y117" s="76"/>
      <c r="Z117" s="76"/>
      <c r="AA117" s="76"/>
      <c r="AB117" s="76"/>
      <c r="AC117" s="76"/>
      <c r="AD117" s="76"/>
      <c r="AE117" s="76"/>
      <c r="AF117" s="76"/>
      <c r="AG117" s="76"/>
      <c r="AH117" s="76"/>
      <c r="AI117" s="76"/>
      <c r="AJ117" s="76"/>
      <c r="AK117" s="76"/>
      <c r="AL117" s="76"/>
    </row>
    <row r="118" ht="15" customHeight="true" x14ac:dyDescent="0.2">
      <c r="B118" s="76"/>
      <c r="C118" s="76"/>
      <c r="D118" s="76"/>
      <c r="E118" s="76"/>
      <c r="F118" s="76"/>
      <c r="G118" s="76"/>
      <c r="H118" s="76"/>
      <c r="I118" s="76"/>
      <c r="J118" s="76"/>
      <c r="K118" s="76"/>
      <c r="L118" s="76"/>
      <c r="M118" s="76"/>
      <c r="N118" s="76"/>
      <c r="O118" s="76"/>
      <c r="P118" s="76"/>
      <c r="Q118" s="76"/>
      <c r="R118" s="76"/>
      <c r="S118" s="76"/>
      <c r="T118" s="76"/>
      <c r="U118" s="76"/>
      <c r="V118" s="76"/>
      <c r="W118" s="76"/>
      <c r="X118" s="76"/>
      <c r="Y118" s="76"/>
      <c r="Z118" s="76"/>
      <c r="AA118" s="76"/>
      <c r="AB118" s="76"/>
      <c r="AC118" s="76"/>
      <c r="AD118" s="76"/>
      <c r="AE118" s="76"/>
      <c r="AF118" s="76"/>
      <c r="AG118" s="76"/>
      <c r="AH118" s="76"/>
      <c r="AI118" s="76"/>
      <c r="AJ118" s="76"/>
      <c r="AK118" s="76"/>
      <c r="AL118" s="76"/>
    </row>
    <row r="119" ht="15" customHeight="true" x14ac:dyDescent="0.2">
      <c r="B119" s="76"/>
      <c r="C119" s="76"/>
      <c r="D119" s="76"/>
      <c r="E119" s="76"/>
      <c r="F119" s="76"/>
      <c r="G119" s="76"/>
      <c r="H119" s="76"/>
      <c r="I119" s="76"/>
      <c r="J119" s="76"/>
      <c r="K119" s="76"/>
      <c r="L119" s="76"/>
      <c r="M119" s="76"/>
      <c r="N119" s="76"/>
      <c r="O119" s="76"/>
      <c r="P119" s="76"/>
      <c r="Q119" s="76"/>
      <c r="R119" s="76"/>
      <c r="S119" s="76"/>
      <c r="T119" s="76"/>
      <c r="U119" s="76"/>
      <c r="V119" s="76"/>
      <c r="W119" s="76"/>
      <c r="X119" s="76"/>
      <c r="Y119" s="76"/>
      <c r="Z119" s="76"/>
      <c r="AA119" s="76"/>
      <c r="AB119" s="76"/>
      <c r="AC119" s="76"/>
      <c r="AD119" s="76"/>
      <c r="AE119" s="76"/>
      <c r="AF119" s="76"/>
      <c r="AG119" s="76"/>
      <c r="AH119" s="76"/>
      <c r="AI119" s="76"/>
      <c r="AJ119" s="76"/>
      <c r="AK119" s="76"/>
      <c r="AL119" s="76"/>
    </row>
    <row r="120" ht="15" customHeight="true" x14ac:dyDescent="0.2">
      <c r="B120" s="76"/>
      <c r="C120" s="76"/>
      <c r="D120" s="76"/>
      <c r="E120" s="76"/>
      <c r="F120" s="76"/>
      <c r="G120" s="76"/>
      <c r="H120" s="76"/>
      <c r="I120" s="76"/>
      <c r="J120" s="76"/>
      <c r="K120" s="76"/>
      <c r="L120" s="76"/>
      <c r="M120" s="76"/>
      <c r="N120" s="76"/>
      <c r="O120" s="76"/>
      <c r="P120" s="76"/>
      <c r="Q120" s="76"/>
      <c r="R120" s="76"/>
      <c r="S120" s="76"/>
      <c r="T120" s="76"/>
      <c r="U120" s="76"/>
      <c r="V120" s="76"/>
      <c r="W120" s="76"/>
      <c r="X120" s="76"/>
      <c r="Y120" s="76"/>
      <c r="Z120" s="76"/>
      <c r="AA120" s="76"/>
      <c r="AB120" s="76"/>
      <c r="AC120" s="76"/>
      <c r="AD120" s="76"/>
      <c r="AE120" s="76"/>
      <c r="AF120" s="76"/>
      <c r="AG120" s="76"/>
      <c r="AH120" s="76"/>
      <c r="AI120" s="76"/>
      <c r="AJ120" s="76"/>
      <c r="AK120" s="76"/>
      <c r="AL120" s="76"/>
    </row>
    <row r="121" ht="15" customHeight="true" x14ac:dyDescent="0.2">
      <c r="B121" s="76"/>
      <c r="C121" s="76"/>
      <c r="D121" s="76"/>
      <c r="E121" s="76"/>
      <c r="F121" s="76"/>
      <c r="G121" s="76"/>
      <c r="H121" s="76"/>
      <c r="I121" s="76"/>
      <c r="J121" s="76"/>
      <c r="K121" s="76"/>
      <c r="L121" s="76"/>
      <c r="M121" s="76"/>
      <c r="N121" s="76"/>
      <c r="O121" s="76"/>
      <c r="P121" s="76"/>
      <c r="Q121" s="76"/>
      <c r="R121" s="76"/>
      <c r="S121" s="76"/>
      <c r="T121" s="76"/>
      <c r="U121" s="76"/>
      <c r="V121" s="76"/>
      <c r="W121" s="76"/>
      <c r="X121" s="76"/>
      <c r="Y121" s="76"/>
      <c r="Z121" s="76"/>
      <c r="AA121" s="76"/>
      <c r="AB121" s="76"/>
      <c r="AC121" s="76"/>
      <c r="AD121" s="76"/>
      <c r="AE121" s="76"/>
      <c r="AF121" s="76"/>
      <c r="AG121" s="76"/>
      <c r="AH121" s="76"/>
      <c r="AI121" s="76"/>
      <c r="AJ121" s="76"/>
      <c r="AK121" s="76"/>
      <c r="AL121" s="76"/>
    </row>
    <row r="122" ht="15" customHeight="true" x14ac:dyDescent="0.2">
      <c r="B122" s="76"/>
      <c r="C122" s="76"/>
      <c r="D122" s="76"/>
      <c r="E122" s="76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D122" s="76"/>
      <c r="AE122" s="76"/>
      <c r="AF122" s="76"/>
      <c r="AG122" s="76"/>
      <c r="AH122" s="76"/>
      <c r="AI122" s="76"/>
      <c r="AJ122" s="76"/>
      <c r="AK122" s="76"/>
      <c r="AL122" s="76"/>
    </row>
    <row r="123" ht="15" customHeight="true" x14ac:dyDescent="0.2">
      <c r="B123" s="76"/>
      <c r="C123" s="76"/>
      <c r="D123" s="76"/>
      <c r="E123" s="76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76"/>
      <c r="AE123" s="76"/>
      <c r="AF123" s="76"/>
      <c r="AG123" s="76"/>
      <c r="AH123" s="76"/>
      <c r="AI123" s="76"/>
      <c r="AJ123" s="76"/>
      <c r="AK123" s="76"/>
      <c r="AL123" s="76"/>
    </row>
    <row r="124" ht="15" customHeight="true" x14ac:dyDescent="0.2">
      <c r="B124" s="76"/>
      <c r="C124" s="76"/>
      <c r="D124" s="76"/>
      <c r="E124" s="76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D124" s="76"/>
      <c r="AE124" s="76"/>
      <c r="AF124" s="76"/>
      <c r="AG124" s="76"/>
      <c r="AH124" s="76"/>
      <c r="AI124" s="76"/>
      <c r="AJ124" s="76"/>
      <c r="AK124" s="76"/>
      <c r="AL124" s="76"/>
    </row>
    <row r="125" ht="15" customHeight="true" x14ac:dyDescent="0.2">
      <c r="B125" s="76"/>
      <c r="C125" s="76"/>
      <c r="D125" s="76"/>
      <c r="E125" s="76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D125" s="76"/>
      <c r="AE125" s="76"/>
      <c r="AF125" s="76"/>
      <c r="AG125" s="76"/>
      <c r="AH125" s="76"/>
      <c r="AI125" s="76"/>
      <c r="AJ125" s="76"/>
      <c r="AK125" s="76"/>
      <c r="AL125" s="76"/>
    </row>
    <row r="126" ht="15" customHeight="true" x14ac:dyDescent="0.2">
      <c r="B126" s="76"/>
      <c r="C126" s="76"/>
      <c r="D126" s="76"/>
      <c r="E126" s="76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76"/>
      <c r="AE126" s="76"/>
      <c r="AF126" s="76"/>
      <c r="AG126" s="76"/>
      <c r="AH126" s="76"/>
      <c r="AI126" s="76"/>
      <c r="AJ126" s="76"/>
      <c r="AK126" s="76"/>
      <c r="AL126" s="76"/>
    </row>
    <row r="127" ht="15" customHeight="true" x14ac:dyDescent="0.2">
      <c r="B127" s="76"/>
      <c r="C127" s="76"/>
      <c r="D127" s="76"/>
      <c r="E127" s="76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76"/>
      <c r="AE127" s="76"/>
      <c r="AF127" s="76"/>
      <c r="AG127" s="76"/>
      <c r="AH127" s="76"/>
      <c r="AI127" s="76"/>
      <c r="AJ127" s="76"/>
      <c r="AK127" s="76"/>
      <c r="AL127" s="76"/>
    </row>
    <row r="128" ht="15" customHeight="true" x14ac:dyDescent="0.2">
      <c r="B128" s="76"/>
      <c r="C128" s="76"/>
      <c r="D128" s="76"/>
      <c r="E128" s="76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D128" s="76"/>
      <c r="AE128" s="76"/>
      <c r="AF128" s="76"/>
      <c r="AG128" s="76"/>
      <c r="AH128" s="76"/>
      <c r="AI128" s="76"/>
      <c r="AJ128" s="76"/>
      <c r="AK128" s="76"/>
      <c r="AL128" s="76"/>
    </row>
    <row r="129" ht="15" customHeight="true" x14ac:dyDescent="0.2">
      <c r="B129" s="76"/>
      <c r="C129" s="76"/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D129" s="76"/>
      <c r="AE129" s="76"/>
      <c r="AF129" s="76"/>
      <c r="AG129" s="76"/>
      <c r="AH129" s="76"/>
      <c r="AI129" s="76"/>
      <c r="AJ129" s="76"/>
      <c r="AK129" s="76"/>
      <c r="AL129" s="76"/>
    </row>
    <row r="130" ht="15" customHeight="true" x14ac:dyDescent="0.2">
      <c r="B130" s="76"/>
      <c r="C130" s="76"/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  <c r="AD130" s="76"/>
      <c r="AE130" s="76"/>
      <c r="AF130" s="76"/>
      <c r="AG130" s="76"/>
      <c r="AH130" s="76"/>
      <c r="AI130" s="76"/>
      <c r="AJ130" s="76"/>
      <c r="AK130" s="76"/>
      <c r="AL130" s="76"/>
    </row>
    <row r="131" ht="15" customHeight="true" x14ac:dyDescent="0.2">
      <c r="B131" s="76"/>
      <c r="C131" s="76"/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R131" s="76"/>
      <c r="S131" s="76"/>
      <c r="T131" s="76"/>
      <c r="U131" s="76"/>
      <c r="V131" s="76"/>
      <c r="W131" s="76"/>
      <c r="X131" s="76"/>
      <c r="Y131" s="76"/>
      <c r="Z131" s="76"/>
      <c r="AA131" s="76"/>
      <c r="AB131" s="76"/>
      <c r="AC131" s="76"/>
      <c r="AD131" s="76"/>
      <c r="AE131" s="76"/>
      <c r="AF131" s="76"/>
      <c r="AG131" s="76"/>
      <c r="AH131" s="76"/>
      <c r="AI131" s="76"/>
      <c r="AJ131" s="76"/>
      <c r="AK131" s="76"/>
      <c r="AL131" s="76"/>
    </row>
    <row r="132" ht="15" customHeight="true" x14ac:dyDescent="0.2">
      <c r="B132" s="76"/>
      <c r="C132" s="76"/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R132" s="76"/>
      <c r="S132" s="76"/>
      <c r="T132" s="76"/>
      <c r="U132" s="76"/>
      <c r="V132" s="76"/>
      <c r="W132" s="76"/>
      <c r="X132" s="76"/>
      <c r="Y132" s="76"/>
      <c r="Z132" s="76"/>
      <c r="AA132" s="76"/>
      <c r="AB132" s="76"/>
      <c r="AC132" s="76"/>
      <c r="AD132" s="76"/>
      <c r="AE132" s="76"/>
      <c r="AF132" s="76"/>
      <c r="AG132" s="76"/>
      <c r="AH132" s="76"/>
      <c r="AI132" s="76"/>
      <c r="AJ132" s="76"/>
      <c r="AK132" s="76"/>
      <c r="AL132" s="76"/>
    </row>
    <row r="133" ht="15" customHeight="true" x14ac:dyDescent="0.2">
      <c r="B133" s="76"/>
      <c r="C133" s="76"/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R133" s="76"/>
      <c r="S133" s="76"/>
      <c r="T133" s="76"/>
      <c r="U133" s="76"/>
      <c r="V133" s="76"/>
      <c r="W133" s="76"/>
      <c r="X133" s="76"/>
      <c r="Y133" s="76"/>
      <c r="Z133" s="76"/>
      <c r="AA133" s="76"/>
      <c r="AB133" s="76"/>
      <c r="AC133" s="76"/>
      <c r="AD133" s="76"/>
      <c r="AE133" s="76"/>
      <c r="AF133" s="76"/>
      <c r="AG133" s="76"/>
      <c r="AH133" s="76"/>
      <c r="AI133" s="76"/>
      <c r="AJ133" s="76"/>
      <c r="AK133" s="76"/>
      <c r="AL133" s="76"/>
    </row>
    <row r="134" ht="15" customHeight="true" x14ac:dyDescent="0.2">
      <c r="B134" s="76"/>
      <c r="C134" s="76"/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R134" s="76"/>
      <c r="S134" s="76"/>
      <c r="T134" s="76"/>
      <c r="U134" s="76"/>
      <c r="V134" s="76"/>
      <c r="W134" s="76"/>
      <c r="X134" s="76"/>
      <c r="Y134" s="76"/>
      <c r="Z134" s="76"/>
      <c r="AA134" s="76"/>
      <c r="AB134" s="76"/>
      <c r="AC134" s="76"/>
      <c r="AD134" s="76"/>
      <c r="AE134" s="76"/>
      <c r="AF134" s="76"/>
      <c r="AG134" s="76"/>
      <c r="AH134" s="76"/>
      <c r="AI134" s="76"/>
      <c r="AJ134" s="76"/>
      <c r="AK134" s="76"/>
      <c r="AL134" s="76"/>
    </row>
    <row r="135" ht="15" customHeight="true" x14ac:dyDescent="0.2">
      <c r="B135" s="76"/>
      <c r="C135" s="76"/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R135" s="76"/>
      <c r="S135" s="76"/>
      <c r="T135" s="76"/>
      <c r="U135" s="76"/>
      <c r="V135" s="76"/>
      <c r="W135" s="76"/>
      <c r="X135" s="76"/>
      <c r="Y135" s="76"/>
      <c r="Z135" s="76"/>
      <c r="AA135" s="76"/>
      <c r="AB135" s="76"/>
      <c r="AC135" s="76"/>
      <c r="AD135" s="76"/>
      <c r="AE135" s="76"/>
      <c r="AF135" s="76"/>
      <c r="AG135" s="76"/>
      <c r="AH135" s="76"/>
      <c r="AI135" s="76"/>
      <c r="AJ135" s="76"/>
      <c r="AK135" s="76"/>
      <c r="AL135" s="76"/>
    </row>
    <row r="136" ht="15" customHeight="true" x14ac:dyDescent="0.2">
      <c r="B136" s="76"/>
      <c r="C136" s="76"/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R136" s="76"/>
      <c r="S136" s="76"/>
      <c r="T136" s="76"/>
      <c r="U136" s="76"/>
      <c r="V136" s="76"/>
      <c r="W136" s="76"/>
      <c r="X136" s="76"/>
      <c r="Y136" s="76"/>
      <c r="Z136" s="76"/>
      <c r="AA136" s="76"/>
      <c r="AB136" s="76"/>
      <c r="AC136" s="76"/>
      <c r="AD136" s="76"/>
      <c r="AE136" s="76"/>
      <c r="AF136" s="76"/>
      <c r="AG136" s="76"/>
      <c r="AH136" s="76"/>
      <c r="AI136" s="76"/>
      <c r="AJ136" s="76"/>
      <c r="AK136" s="76"/>
      <c r="AL136" s="76"/>
    </row>
    <row r="137" ht="15" customHeight="true" x14ac:dyDescent="0.2">
      <c r="B137" s="76"/>
      <c r="C137" s="76"/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R137" s="76"/>
      <c r="S137" s="76"/>
      <c r="T137" s="76"/>
      <c r="U137" s="76"/>
      <c r="V137" s="76"/>
      <c r="W137" s="76"/>
      <c r="X137" s="76"/>
      <c r="Y137" s="76"/>
      <c r="Z137" s="76"/>
      <c r="AA137" s="76"/>
      <c r="AB137" s="76"/>
      <c r="AC137" s="76"/>
      <c r="AD137" s="76"/>
      <c r="AE137" s="76"/>
      <c r="AF137" s="76"/>
      <c r="AG137" s="76"/>
      <c r="AH137" s="76"/>
      <c r="AI137" s="76"/>
      <c r="AJ137" s="76"/>
      <c r="AK137" s="76"/>
      <c r="AL137" s="76"/>
    </row>
    <row r="138" ht="15" customHeight="true" x14ac:dyDescent="0.2">
      <c r="B138" s="76"/>
      <c r="C138" s="76"/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R138" s="76"/>
      <c r="S138" s="76"/>
      <c r="T138" s="76"/>
      <c r="U138" s="76"/>
      <c r="V138" s="76"/>
      <c r="W138" s="76"/>
      <c r="X138" s="76"/>
      <c r="Y138" s="76"/>
      <c r="Z138" s="76"/>
      <c r="AA138" s="76"/>
      <c r="AB138" s="76"/>
      <c r="AC138" s="76"/>
      <c r="AD138" s="76"/>
      <c r="AE138" s="76"/>
      <c r="AF138" s="76"/>
      <c r="AG138" s="76"/>
      <c r="AH138" s="76"/>
      <c r="AI138" s="76"/>
      <c r="AJ138" s="76"/>
      <c r="AK138" s="76"/>
      <c r="AL138" s="76"/>
    </row>
    <row r="139" ht="15" customHeight="true" x14ac:dyDescent="0.2">
      <c r="B139" s="76"/>
      <c r="C139" s="76"/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R139" s="76"/>
      <c r="S139" s="76"/>
      <c r="T139" s="76"/>
      <c r="U139" s="76"/>
      <c r="V139" s="76"/>
      <c r="W139" s="76"/>
      <c r="X139" s="76"/>
      <c r="Y139" s="76"/>
      <c r="Z139" s="76"/>
      <c r="AA139" s="76"/>
      <c r="AB139" s="76"/>
      <c r="AC139" s="76"/>
      <c r="AD139" s="76"/>
      <c r="AE139" s="76"/>
      <c r="AF139" s="76"/>
      <c r="AG139" s="76"/>
      <c r="AH139" s="76"/>
      <c r="AI139" s="76"/>
      <c r="AJ139" s="76"/>
      <c r="AK139" s="76"/>
      <c r="AL139" s="76"/>
    </row>
    <row r="140" ht="15" customHeight="true" x14ac:dyDescent="0.2">
      <c r="B140" s="76"/>
      <c r="C140" s="76"/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R140" s="76"/>
      <c r="S140" s="76"/>
      <c r="T140" s="76"/>
      <c r="U140" s="76"/>
      <c r="V140" s="76"/>
      <c r="W140" s="76"/>
      <c r="X140" s="76"/>
      <c r="Y140" s="76"/>
      <c r="Z140" s="76"/>
      <c r="AA140" s="76"/>
      <c r="AB140" s="76"/>
      <c r="AC140" s="76"/>
      <c r="AD140" s="76"/>
      <c r="AE140" s="76"/>
      <c r="AF140" s="76"/>
      <c r="AG140" s="76"/>
      <c r="AH140" s="76"/>
      <c r="AI140" s="76"/>
      <c r="AJ140" s="76"/>
      <c r="AK140" s="76"/>
      <c r="AL140" s="76"/>
    </row>
    <row r="141" ht="15" customHeight="true" x14ac:dyDescent="0.2">
      <c r="B141" s="76"/>
      <c r="C141" s="76"/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R141" s="76"/>
      <c r="S141" s="76"/>
      <c r="T141" s="76"/>
      <c r="U141" s="76"/>
      <c r="V141" s="76"/>
      <c r="W141" s="76"/>
      <c r="X141" s="76"/>
      <c r="Y141" s="76"/>
      <c r="Z141" s="76"/>
      <c r="AA141" s="76"/>
      <c r="AB141" s="76"/>
      <c r="AC141" s="76"/>
      <c r="AD141" s="76"/>
      <c r="AE141" s="76"/>
      <c r="AF141" s="76"/>
      <c r="AG141" s="76"/>
      <c r="AH141" s="76"/>
      <c r="AI141" s="76"/>
      <c r="AJ141" s="76"/>
      <c r="AK141" s="76"/>
      <c r="AL141" s="76"/>
    </row>
    <row r="142" ht="15" customHeight="true" x14ac:dyDescent="0.2">
      <c r="B142" s="76"/>
      <c r="C142" s="76"/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R142" s="76"/>
      <c r="S142" s="76"/>
      <c r="T142" s="76"/>
      <c r="U142" s="76"/>
      <c r="V142" s="76"/>
      <c r="W142" s="76"/>
      <c r="X142" s="76"/>
      <c r="Y142" s="76"/>
      <c r="Z142" s="76"/>
      <c r="AA142" s="76"/>
      <c r="AB142" s="76"/>
      <c r="AC142" s="76"/>
      <c r="AD142" s="76"/>
      <c r="AE142" s="76"/>
      <c r="AF142" s="76"/>
      <c r="AG142" s="76"/>
      <c r="AH142" s="76"/>
      <c r="AI142" s="76"/>
      <c r="AJ142" s="76"/>
      <c r="AK142" s="76"/>
      <c r="AL142" s="76"/>
    </row>
    <row r="143" ht="15" customHeight="true" x14ac:dyDescent="0.2">
      <c r="B143" s="76"/>
      <c r="C143" s="76"/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R143" s="76"/>
      <c r="S143" s="76"/>
      <c r="T143" s="76"/>
      <c r="U143" s="76"/>
      <c r="V143" s="76"/>
      <c r="W143" s="76"/>
      <c r="X143" s="76"/>
      <c r="Y143" s="76"/>
      <c r="Z143" s="76"/>
      <c r="AA143" s="76"/>
      <c r="AB143" s="76"/>
      <c r="AC143" s="76"/>
      <c r="AD143" s="76"/>
      <c r="AE143" s="76"/>
      <c r="AF143" s="76"/>
      <c r="AG143" s="76"/>
      <c r="AH143" s="76"/>
      <c r="AI143" s="76"/>
      <c r="AJ143" s="76"/>
      <c r="AK143" s="76"/>
      <c r="AL143" s="76"/>
    </row>
    <row r="144" ht="15" customHeight="true" x14ac:dyDescent="0.2">
      <c r="B144" s="76"/>
      <c r="C144" s="76"/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R144" s="76"/>
      <c r="S144" s="76"/>
      <c r="T144" s="76"/>
      <c r="U144" s="76"/>
      <c r="V144" s="76"/>
      <c r="W144" s="76"/>
      <c r="X144" s="76"/>
      <c r="Y144" s="76"/>
      <c r="Z144" s="76"/>
      <c r="AA144" s="76"/>
      <c r="AB144" s="76"/>
      <c r="AC144" s="76"/>
      <c r="AD144" s="76"/>
      <c r="AE144" s="76"/>
      <c r="AF144" s="76"/>
      <c r="AG144" s="76"/>
      <c r="AH144" s="76"/>
      <c r="AI144" s="76"/>
      <c r="AJ144" s="76"/>
      <c r="AK144" s="76"/>
      <c r="AL144" s="76"/>
    </row>
    <row r="145" ht="15" customHeight="true" x14ac:dyDescent="0.2">
      <c r="B145" s="76"/>
      <c r="C145" s="76"/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R145" s="76"/>
      <c r="S145" s="76"/>
      <c r="T145" s="76"/>
      <c r="U145" s="76"/>
      <c r="V145" s="76"/>
      <c r="W145" s="76"/>
      <c r="X145" s="76"/>
      <c r="Y145" s="76"/>
      <c r="Z145" s="76"/>
      <c r="AA145" s="76"/>
      <c r="AB145" s="76"/>
      <c r="AC145" s="76"/>
      <c r="AD145" s="76"/>
      <c r="AE145" s="76"/>
      <c r="AF145" s="76"/>
      <c r="AG145" s="76"/>
      <c r="AH145" s="76"/>
      <c r="AI145" s="76"/>
      <c r="AJ145" s="76"/>
      <c r="AK145" s="76"/>
      <c r="AL145" s="76"/>
    </row>
    <row r="146" ht="15" customHeight="true" x14ac:dyDescent="0.2">
      <c r="B146" s="76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  <c r="Z146" s="76"/>
      <c r="AA146" s="76"/>
      <c r="AB146" s="76"/>
      <c r="AC146" s="76"/>
      <c r="AD146" s="76"/>
      <c r="AE146" s="76"/>
      <c r="AF146" s="76"/>
      <c r="AG146" s="76"/>
      <c r="AH146" s="76"/>
      <c r="AI146" s="76"/>
      <c r="AJ146" s="76"/>
      <c r="AK146" s="76"/>
      <c r="AL146" s="76"/>
    </row>
    <row r="147" ht="15" customHeight="true" x14ac:dyDescent="0.2">
      <c r="B147" s="76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  <c r="Z147" s="76"/>
      <c r="AA147" s="76"/>
      <c r="AB147" s="76"/>
      <c r="AC147" s="76"/>
      <c r="AD147" s="76"/>
      <c r="AE147" s="76"/>
      <c r="AF147" s="76"/>
      <c r="AG147" s="76"/>
      <c r="AH147" s="76"/>
      <c r="AI147" s="76"/>
      <c r="AJ147" s="76"/>
      <c r="AK147" s="76"/>
      <c r="AL147" s="76"/>
    </row>
    <row r="148" ht="15" customHeight="true" x14ac:dyDescent="0.2">
      <c r="B148" s="76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  <c r="Z148" s="76"/>
      <c r="AA148" s="76"/>
      <c r="AB148" s="76"/>
      <c r="AC148" s="76"/>
      <c r="AD148" s="76"/>
      <c r="AE148" s="76"/>
      <c r="AF148" s="76"/>
      <c r="AG148" s="76"/>
      <c r="AH148" s="76"/>
      <c r="AI148" s="76"/>
      <c r="AJ148" s="76"/>
      <c r="AK148" s="76"/>
      <c r="AL148" s="76"/>
    </row>
    <row r="149" ht="15" customHeight="true" x14ac:dyDescent="0.2">
      <c r="B149" s="76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  <c r="Z149" s="76"/>
      <c r="AA149" s="76"/>
      <c r="AB149" s="76"/>
      <c r="AC149" s="76"/>
      <c r="AD149" s="76"/>
      <c r="AE149" s="76"/>
      <c r="AF149" s="76"/>
      <c r="AG149" s="76"/>
      <c r="AH149" s="76"/>
      <c r="AI149" s="76"/>
      <c r="AJ149" s="76"/>
      <c r="AK149" s="76"/>
      <c r="AL149" s="76"/>
    </row>
    <row r="150" ht="15" customHeight="true" x14ac:dyDescent="0.2">
      <c r="B150" s="76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  <c r="Z150" s="76"/>
      <c r="AA150" s="76"/>
      <c r="AB150" s="76"/>
      <c r="AC150" s="76"/>
      <c r="AD150" s="76"/>
      <c r="AE150" s="76"/>
      <c r="AF150" s="76"/>
      <c r="AG150" s="76"/>
      <c r="AH150" s="76"/>
      <c r="AI150" s="76"/>
      <c r="AJ150" s="76"/>
      <c r="AK150" s="76"/>
      <c r="AL150" s="76"/>
    </row>
    <row r="151" ht="15" customHeight="true" x14ac:dyDescent="0.2">
      <c r="B151" s="76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  <c r="Z151" s="76"/>
      <c r="AA151" s="76"/>
      <c r="AB151" s="76"/>
      <c r="AC151" s="76"/>
      <c r="AD151" s="76"/>
      <c r="AE151" s="76"/>
      <c r="AF151" s="76"/>
      <c r="AG151" s="76"/>
      <c r="AH151" s="76"/>
      <c r="AI151" s="76"/>
      <c r="AJ151" s="76"/>
      <c r="AK151" s="76"/>
      <c r="AL151" s="76"/>
    </row>
    <row r="152" ht="15" customHeight="true" x14ac:dyDescent="0.2"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  <c r="Z152" s="76"/>
      <c r="AA152" s="76"/>
      <c r="AB152" s="76"/>
      <c r="AC152" s="76"/>
      <c r="AD152" s="76"/>
      <c r="AE152" s="76"/>
      <c r="AF152" s="76"/>
      <c r="AG152" s="76"/>
      <c r="AH152" s="76"/>
      <c r="AI152" s="76"/>
      <c r="AJ152" s="76"/>
      <c r="AK152" s="76"/>
      <c r="AL152" s="76"/>
    </row>
    <row r="153" ht="15" customHeight="true" x14ac:dyDescent="0.2"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  <c r="Z153" s="76"/>
      <c r="AA153" s="76"/>
      <c r="AB153" s="76"/>
      <c r="AC153" s="76"/>
      <c r="AD153" s="76"/>
      <c r="AE153" s="76"/>
      <c r="AF153" s="76"/>
      <c r="AG153" s="76"/>
      <c r="AH153" s="76"/>
      <c r="AI153" s="76"/>
      <c r="AJ153" s="76"/>
      <c r="AK153" s="76"/>
      <c r="AL153" s="76"/>
    </row>
    <row r="154" ht="15" customHeight="true" x14ac:dyDescent="0.2"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  <c r="Z154" s="76"/>
      <c r="AA154" s="76"/>
      <c r="AB154" s="76"/>
      <c r="AC154" s="76"/>
      <c r="AD154" s="76"/>
      <c r="AE154" s="76"/>
      <c r="AF154" s="76"/>
      <c r="AG154" s="76"/>
      <c r="AH154" s="76"/>
      <c r="AI154" s="76"/>
      <c r="AJ154" s="76"/>
      <c r="AK154" s="76"/>
      <c r="AL154" s="76"/>
    </row>
    <row r="155" ht="15" customHeight="true" x14ac:dyDescent="0.2"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  <c r="Z155" s="76"/>
      <c r="AA155" s="76"/>
      <c r="AB155" s="76"/>
      <c r="AC155" s="76"/>
      <c r="AD155" s="76"/>
      <c r="AE155" s="76"/>
      <c r="AF155" s="76"/>
      <c r="AG155" s="76"/>
      <c r="AH155" s="76"/>
      <c r="AI155" s="76"/>
      <c r="AJ155" s="76"/>
      <c r="AK155" s="76"/>
      <c r="AL155" s="76"/>
    </row>
    <row r="156" ht="15" customHeight="true" x14ac:dyDescent="0.2"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  <c r="Z156" s="76"/>
      <c r="AA156" s="76"/>
      <c r="AB156" s="76"/>
      <c r="AC156" s="76"/>
      <c r="AD156" s="76"/>
      <c r="AE156" s="76"/>
      <c r="AF156" s="76"/>
      <c r="AG156" s="76"/>
      <c r="AH156" s="76"/>
      <c r="AI156" s="76"/>
      <c r="AJ156" s="76"/>
      <c r="AK156" s="76"/>
      <c r="AL156" s="76"/>
    </row>
    <row r="157" ht="15" customHeight="true" x14ac:dyDescent="0.2"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  <c r="Z157" s="76"/>
      <c r="AA157" s="76"/>
      <c r="AB157" s="76"/>
      <c r="AC157" s="76"/>
      <c r="AD157" s="76"/>
      <c r="AE157" s="76"/>
      <c r="AF157" s="76"/>
      <c r="AG157" s="76"/>
      <c r="AH157" s="76"/>
      <c r="AI157" s="76"/>
      <c r="AJ157" s="76"/>
      <c r="AK157" s="76"/>
      <c r="AL157" s="76"/>
    </row>
    <row r="158" ht="15" customHeight="true" x14ac:dyDescent="0.2"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  <c r="Z158" s="76"/>
      <c r="AA158" s="76"/>
      <c r="AB158" s="76"/>
      <c r="AC158" s="76"/>
      <c r="AD158" s="76"/>
      <c r="AE158" s="76"/>
      <c r="AF158" s="76"/>
      <c r="AG158" s="76"/>
      <c r="AH158" s="76"/>
      <c r="AI158" s="76"/>
      <c r="AJ158" s="76"/>
      <c r="AK158" s="76"/>
      <c r="AL158" s="76"/>
    </row>
    <row r="159" ht="15" customHeight="true" x14ac:dyDescent="0.2"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  <c r="Z159" s="76"/>
      <c r="AA159" s="76"/>
      <c r="AB159" s="76"/>
      <c r="AC159" s="76"/>
      <c r="AD159" s="76"/>
      <c r="AE159" s="76"/>
      <c r="AF159" s="76"/>
      <c r="AG159" s="76"/>
      <c r="AH159" s="76"/>
      <c r="AI159" s="76"/>
      <c r="AJ159" s="76"/>
      <c r="AK159" s="76"/>
      <c r="AL159" s="76"/>
    </row>
    <row r="160" ht="15" customHeight="true" x14ac:dyDescent="0.2"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  <c r="Z160" s="76"/>
      <c r="AA160" s="76"/>
      <c r="AB160" s="76"/>
      <c r="AC160" s="76"/>
      <c r="AD160" s="76"/>
      <c r="AE160" s="76"/>
      <c r="AF160" s="76"/>
      <c r="AG160" s="76"/>
      <c r="AH160" s="76"/>
      <c r="AI160" s="76"/>
      <c r="AJ160" s="76"/>
      <c r="AK160" s="76"/>
      <c r="AL160" s="76"/>
    </row>
    <row r="161" ht="15" customHeight="true" x14ac:dyDescent="0.2"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  <c r="Z161" s="76"/>
      <c r="AA161" s="76"/>
      <c r="AB161" s="76"/>
      <c r="AC161" s="76"/>
      <c r="AD161" s="76"/>
      <c r="AE161" s="76"/>
      <c r="AF161" s="76"/>
      <c r="AG161" s="76"/>
      <c r="AH161" s="76"/>
      <c r="AI161" s="76"/>
      <c r="AJ161" s="76"/>
      <c r="AK161" s="76"/>
      <c r="AL161" s="76"/>
    </row>
    <row r="162" ht="15" customHeight="true" x14ac:dyDescent="0.2"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  <c r="Z162" s="76"/>
      <c r="AA162" s="76"/>
      <c r="AB162" s="76"/>
      <c r="AC162" s="76"/>
      <c r="AD162" s="76"/>
      <c r="AE162" s="76"/>
      <c r="AF162" s="76"/>
      <c r="AG162" s="76"/>
      <c r="AH162" s="76"/>
      <c r="AI162" s="76"/>
      <c r="AJ162" s="76"/>
      <c r="AK162" s="76"/>
      <c r="AL162" s="76"/>
    </row>
    <row r="163" ht="15" customHeight="true" x14ac:dyDescent="0.2"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  <c r="Z163" s="76"/>
      <c r="AA163" s="76"/>
      <c r="AB163" s="76"/>
      <c r="AC163" s="76"/>
      <c r="AD163" s="76"/>
      <c r="AE163" s="76"/>
      <c r="AF163" s="76"/>
      <c r="AG163" s="76"/>
      <c r="AH163" s="76"/>
      <c r="AI163" s="76"/>
      <c r="AJ163" s="76"/>
      <c r="AK163" s="76"/>
      <c r="AL163" s="76"/>
    </row>
    <row r="164" ht="15" customHeight="true" x14ac:dyDescent="0.2"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  <c r="Z164" s="76"/>
      <c r="AA164" s="76"/>
      <c r="AB164" s="76"/>
      <c r="AC164" s="76"/>
      <c r="AD164" s="76"/>
      <c r="AE164" s="76"/>
      <c r="AF164" s="76"/>
      <c r="AG164" s="76"/>
      <c r="AH164" s="76"/>
      <c r="AI164" s="76"/>
      <c r="AJ164" s="76"/>
      <c r="AK164" s="76"/>
      <c r="AL164" s="76"/>
    </row>
    <row r="165" ht="15" customHeight="true" x14ac:dyDescent="0.2"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  <c r="Z165" s="76"/>
      <c r="AA165" s="76"/>
      <c r="AB165" s="76"/>
      <c r="AC165" s="76"/>
      <c r="AD165" s="76"/>
      <c r="AE165" s="76"/>
      <c r="AF165" s="76"/>
      <c r="AG165" s="76"/>
      <c r="AH165" s="76"/>
      <c r="AI165" s="76"/>
      <c r="AJ165" s="76"/>
      <c r="AK165" s="76"/>
      <c r="AL165" s="76"/>
    </row>
    <row r="166" ht="15" customHeight="true" x14ac:dyDescent="0.2"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  <c r="Z166" s="76"/>
      <c r="AA166" s="76"/>
      <c r="AB166" s="76"/>
      <c r="AC166" s="76"/>
      <c r="AD166" s="76"/>
      <c r="AE166" s="76"/>
      <c r="AF166" s="76"/>
      <c r="AG166" s="76"/>
      <c r="AH166" s="76"/>
      <c r="AI166" s="76"/>
      <c r="AJ166" s="76"/>
      <c r="AK166" s="76"/>
      <c r="AL166" s="76"/>
    </row>
    <row r="167" ht="15" customHeight="true" x14ac:dyDescent="0.2"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  <c r="Z167" s="76"/>
      <c r="AA167" s="76"/>
      <c r="AB167" s="76"/>
      <c r="AC167" s="76"/>
      <c r="AD167" s="76"/>
      <c r="AE167" s="76"/>
      <c r="AF167" s="76"/>
      <c r="AG167" s="76"/>
      <c r="AH167" s="76"/>
      <c r="AI167" s="76"/>
      <c r="AJ167" s="76"/>
      <c r="AK167" s="76"/>
      <c r="AL167" s="76"/>
    </row>
    <row r="168" ht="15" customHeight="true" x14ac:dyDescent="0.2"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  <c r="Z168" s="76"/>
      <c r="AA168" s="76"/>
      <c r="AB168" s="76"/>
      <c r="AC168" s="76"/>
      <c r="AD168" s="76"/>
      <c r="AE168" s="76"/>
      <c r="AF168" s="76"/>
      <c r="AG168" s="76"/>
      <c r="AH168" s="76"/>
      <c r="AI168" s="76"/>
      <c r="AJ168" s="76"/>
      <c r="AK168" s="76"/>
      <c r="AL168" s="76"/>
    </row>
    <row r="169" ht="15" customHeight="true" x14ac:dyDescent="0.2"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  <c r="Z169" s="76"/>
      <c r="AA169" s="76"/>
      <c r="AB169" s="76"/>
      <c r="AC169" s="76"/>
      <c r="AD169" s="76"/>
      <c r="AE169" s="76"/>
      <c r="AF169" s="76"/>
      <c r="AG169" s="76"/>
      <c r="AH169" s="76"/>
      <c r="AI169" s="76"/>
      <c r="AJ169" s="76"/>
      <c r="AK169" s="76"/>
      <c r="AL169" s="76"/>
    </row>
    <row r="170" ht="15" customHeight="true" x14ac:dyDescent="0.2"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  <c r="Z170" s="76"/>
      <c r="AA170" s="76"/>
      <c r="AB170" s="76"/>
      <c r="AC170" s="76"/>
      <c r="AD170" s="76"/>
      <c r="AE170" s="76"/>
      <c r="AF170" s="76"/>
      <c r="AG170" s="76"/>
      <c r="AH170" s="76"/>
      <c r="AI170" s="76"/>
      <c r="AJ170" s="76"/>
      <c r="AK170" s="76"/>
      <c r="AL170" s="76"/>
    </row>
    <row r="171" ht="15" customHeight="true" x14ac:dyDescent="0.2"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  <c r="Z171" s="76"/>
      <c r="AA171" s="76"/>
      <c r="AB171" s="76"/>
      <c r="AC171" s="76"/>
      <c r="AD171" s="76"/>
      <c r="AE171" s="76"/>
      <c r="AF171" s="76"/>
      <c r="AG171" s="76"/>
      <c r="AH171" s="76"/>
      <c r="AI171" s="76"/>
      <c r="AJ171" s="76"/>
      <c r="AK171" s="76"/>
      <c r="AL171" s="76"/>
    </row>
    <row r="172" ht="15" customHeight="true" x14ac:dyDescent="0.2"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  <c r="Z172" s="76"/>
      <c r="AA172" s="76"/>
      <c r="AB172" s="76"/>
      <c r="AC172" s="76"/>
      <c r="AD172" s="76"/>
      <c r="AE172" s="76"/>
      <c r="AF172" s="76"/>
      <c r="AG172" s="76"/>
      <c r="AH172" s="76"/>
      <c r="AI172" s="76"/>
      <c r="AJ172" s="76"/>
      <c r="AK172" s="76"/>
      <c r="AL172" s="76"/>
    </row>
    <row r="173" ht="15" customHeight="true" x14ac:dyDescent="0.2"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  <c r="Z173" s="76"/>
      <c r="AA173" s="76"/>
      <c r="AB173" s="76"/>
      <c r="AC173" s="76"/>
      <c r="AD173" s="76"/>
      <c r="AE173" s="76"/>
      <c r="AF173" s="76"/>
      <c r="AG173" s="76"/>
      <c r="AH173" s="76"/>
      <c r="AI173" s="76"/>
      <c r="AJ173" s="76"/>
      <c r="AK173" s="76"/>
      <c r="AL173" s="76"/>
    </row>
    <row r="174" ht="15" customHeight="true" x14ac:dyDescent="0.2"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  <c r="Z174" s="76"/>
      <c r="AA174" s="76"/>
      <c r="AB174" s="76"/>
      <c r="AC174" s="76"/>
      <c r="AD174" s="76"/>
      <c r="AE174" s="76"/>
      <c r="AF174" s="76"/>
      <c r="AG174" s="76"/>
      <c r="AH174" s="76"/>
      <c r="AI174" s="76"/>
      <c r="AJ174" s="76"/>
      <c r="AK174" s="76"/>
      <c r="AL174" s="76"/>
    </row>
    <row r="175" ht="15" customHeight="true" x14ac:dyDescent="0.2"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  <c r="Z175" s="76"/>
      <c r="AA175" s="76"/>
      <c r="AB175" s="76"/>
      <c r="AC175" s="76"/>
      <c r="AD175" s="76"/>
      <c r="AE175" s="76"/>
      <c r="AF175" s="76"/>
      <c r="AG175" s="76"/>
      <c r="AH175" s="76"/>
      <c r="AI175" s="76"/>
      <c r="AJ175" s="76"/>
      <c r="AK175" s="76"/>
      <c r="AL175" s="76"/>
    </row>
    <row r="176" ht="15" customHeight="true" x14ac:dyDescent="0.2"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  <c r="Z176" s="76"/>
      <c r="AA176" s="76"/>
      <c r="AB176" s="76"/>
      <c r="AC176" s="76"/>
      <c r="AD176" s="76"/>
      <c r="AE176" s="76"/>
      <c r="AF176" s="76"/>
      <c r="AG176" s="76"/>
      <c r="AH176" s="76"/>
      <c r="AI176" s="76"/>
      <c r="AJ176" s="76"/>
      <c r="AK176" s="76"/>
      <c r="AL176" s="76"/>
    </row>
    <row r="177" ht="15" customHeight="true" x14ac:dyDescent="0.2"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  <c r="Z177" s="76"/>
      <c r="AA177" s="76"/>
      <c r="AB177" s="76"/>
      <c r="AC177" s="76"/>
      <c r="AD177" s="76"/>
      <c r="AE177" s="76"/>
      <c r="AF177" s="76"/>
      <c r="AG177" s="76"/>
      <c r="AH177" s="76"/>
      <c r="AI177" s="76"/>
      <c r="AJ177" s="76"/>
      <c r="AK177" s="76"/>
      <c r="AL177" s="76"/>
    </row>
    <row r="178" ht="15" customHeight="true" x14ac:dyDescent="0.2"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  <c r="Z178" s="76"/>
      <c r="AA178" s="76"/>
      <c r="AB178" s="76"/>
      <c r="AC178" s="76"/>
      <c r="AD178" s="76"/>
      <c r="AE178" s="76"/>
      <c r="AF178" s="76"/>
      <c r="AG178" s="76"/>
      <c r="AH178" s="76"/>
      <c r="AI178" s="76"/>
      <c r="AJ178" s="76"/>
      <c r="AK178" s="76"/>
      <c r="AL178" s="76"/>
    </row>
    <row r="182" ht="15" customHeight="true" x14ac:dyDescent="0.2"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  <c r="Z182" s="76"/>
      <c r="AA182" s="76"/>
      <c r="AB182" s="76"/>
      <c r="AC182" s="76"/>
      <c r="AD182" s="76"/>
      <c r="AE182" s="76"/>
      <c r="AF182" s="76"/>
      <c r="AG182" s="76"/>
      <c r="AH182" s="76"/>
      <c r="AI182" s="76"/>
      <c r="AJ182" s="76"/>
      <c r="AK182" s="76"/>
      <c r="AL182" s="76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2022-10-22T23:01:23Z</dcterms:modified>
</cp:coreProperties>
</file>