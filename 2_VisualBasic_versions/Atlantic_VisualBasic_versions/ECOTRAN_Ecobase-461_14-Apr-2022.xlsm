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8D019D15-644D-EB41-BB40-A2BA2AB3D72E}" xr6:coauthVersionLast="45" xr6:coauthVersionMax="45" xr10:uidLastSave="{00000000-0000-0000-0000-000000000000}"/>
  <bookViews>
    <workbookView xWindow="0" yWindow="460" windowWidth="25600" windowHeight="14240" tabRatio="728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Main!$C$2:$N$47</definedName>
    <definedName name="matDetritus">Detritus!$C$2:$E$47</definedName>
    <definedName name="matDiet">Diets!$B$2:$AK$40</definedName>
    <definedName name="matDiscards">Discards!$C$2:$J$39</definedName>
    <definedName name="matFishery">Fishing!$C$2:$J$39</definedName>
    <definedName name="matFishing">Fishing!#REF!</definedName>
    <definedName name="matMort">Mortalities!$A$1:$AW$39</definedName>
    <definedName name="matOut">MainOutputs!$A$2:$I$47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<sst xmlns="http://schemas.openxmlformats.org/spreadsheetml/2006/main" count="1191" uniqueCount="250">
  <si>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</si>
  <si>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</si>
  <si>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</si>
  <si>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</si>
  <si>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</si>
  <si>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</si>
  <si>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</si>
  <si>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</si>
  <si>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</si>
  <si>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</si>
  <si>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</si>
  <si>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</si>
  <si>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</si>
  <si>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</si>
  <si>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</si>
  <si>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</si>
  <si>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</si>
  <si>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</si>
  <si>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</si>
  <si>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</si>
  <si>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</si>
  <si>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</si>
  <si>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</si>
  <si>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</si>
  <si>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</si>
  <si>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</si>
  <si>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</si>
  <si>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</si>
  <si>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</si>
  <si>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</si>
  <si>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</si>
  <si>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</si>
  <si>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</si>
  <si>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</si>
  <si>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</si>
  <si>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</si>
  <si>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</si>
  <si>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</si>
  <si>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</si>
  <si>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</si>
  <si>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</si>
  <si>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</si>
  <si>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</si>
  <si>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</si>
  <si>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</si>
  <si>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</si>
  <si>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</si>
  <si>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</si>
  <si>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</si>
  <si>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</si>
  <si>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</si>
  <si>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</si>
  <si>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</si>
  <si>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</si>
  <si>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</si>
  <si>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</si>
  <si>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</si>
  <si>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</si>
  <si>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</si>
  <si>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</si>
  <si>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</si>
  <si>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</si>
  <si>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</si>
  <si>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</si>
  <si>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</si>
  <si>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</si>
  <si>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</si>
  <si>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</si>
  <si>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</si>
  <si>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</si>
  <si>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</si>
  <si>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</si>
  <si>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</si>
  <si>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</si>
  <si>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</si>
  <si>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</si>
  <si>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</si>
  <si>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</si>
  <si>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</si>
  <si>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</si>
  <si>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</si>
  <si>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</si>
  <si>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</si>
  <si>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</si>
  <si>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</si>
  <si>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</si>
  <si>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</si>
  <si>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</si>
  <si>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</si>
  <si>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</si>
  <si>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</si>
  <si>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</si>
  <si>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</si>
  <si>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</si>
  <si>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</si>
  <si>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</si>
  <si>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</si>
  <si>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</si>
  <si>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</si>
  <si>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</si>
  <si>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</si>
  <si>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</si>
  <si>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</si>
  <si>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</si>
  <si>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</si>
  <si>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</si>
  <si>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</si>
  <si>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</si>
  <si>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</si>
  <si>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</si>
  <si>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</si>
  <si>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</si>
  <si>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</si>
  <si>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</si>
  <si>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</si>
  <si>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</si>
  <si>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</si>
  <si>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</si>
  <si>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</si>
  <si>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</si>
  <si>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</si>
  <si>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</si>
  <si>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</si>
  <si>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</si>
  <si>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</si>
  <si>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</si>
  <si>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</si>
  <si>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</si>
  <si>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</si>
  <si>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</si>
  <si>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</si>
  <si>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</si>
  <si>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</si>
  <si>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</si>
  <si>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</si>
  <si>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</si>
  <si>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</si>
  <si>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</si>
  <si>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</si>
  <si>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</si>
  <si>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</si>
  <si>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</si>
  <si>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</si>
  <si>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</si>
  <si>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</si>
  <si>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</si>
  <si>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</si>
  <si>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</si>
  <si>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</si>
  <si>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</si>
  <si>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</si>
  <si>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</si>
  <si>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</si>
  <si>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</si>
  <si>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</si>
  <si>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</si>
  <si>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</si>
  <si>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</si>
  <si>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</si>
  <si>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</si>
  <si>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</si>
  <si>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</si>
  <si>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</si>
  <si>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</si>
  <si>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</si>
  <si>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</si>
  <si>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</si>
  <si>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</si>
  <si>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</si>
  <si>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</si>
  <si>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</si>
  <si>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</si>
  <si>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</si>
  <si>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</si>
  <si>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</si>
  <si>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</si>
  <si>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</si>
  <si>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</si>
  <si>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</si>
  <si>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</si>
  <si>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</si>
  <si>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</si>
  <si>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</si>
  <si>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</si>
  <si>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</si>
  <si>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West Scotland</t>
  </si>
  <si>
    <t>France,U.K. of Great Britain and Northern Ireland</t>
  </si>
  <si>
    <t>BOX(-13.8094314120474 54.62754291545,-3.69927542195347 61.188959104143)</t>
  </si>
  <si>
    <t>continental shelf</t>
  </si>
  <si>
    <t>WetWeight</t>
  </si>
  <si>
    <t>Created: 19/04/2006 02:06:03 a.m.; 19/04/2006 02:06:46 a.m.; 19/04/2006 02:09:54 a.m.; 29/04/2006 11:55:23 p.m.; 30/04/2006 12:10:31 a.m.; 30/04/2006 12:13:16 a.m.; 19/07/2006 09:16:04 p.m.; 8/4/2010 3:18:17 PM</t>
  </si>
  <si>
    <t>Morissette L.,Pitcher T.(2005). Model structure and balancing Ecosystem Simulation Models of Scotland’s West Coast and Sea Lochs. pp 5-24, 30-40-5-24, 30-40. In Haggan N.,Pitcher T.</t>
  </si>
  <si>
    <t>Seals</t>
  </si>
  <si>
    <t>Cetaceans</t>
  </si>
  <si>
    <t>Seabirds</t>
  </si>
  <si>
    <t>Halibut/turbot/brill</t>
  </si>
  <si>
    <t>Whiting</t>
  </si>
  <si>
    <t>Other demersals</t>
  </si>
  <si>
    <t>Sharks</t>
  </si>
  <si>
    <t>Rays/Skates</t>
  </si>
  <si>
    <t>Cod</t>
  </si>
  <si>
    <t>Saithe</t>
  </si>
  <si>
    <t>Other pelagics</t>
  </si>
  <si>
    <t>Crabs/lobsters</t>
  </si>
  <si>
    <t>Gurnards</t>
  </si>
  <si>
    <t>Haddock</t>
  </si>
  <si>
    <t>Inshore fish</t>
  </si>
  <si>
    <t>Salmo</t>
  </si>
  <si>
    <t>Mackerel</t>
  </si>
  <si>
    <t>Trachurus</t>
  </si>
  <si>
    <t>Plaice</t>
  </si>
  <si>
    <t>Sole</t>
  </si>
  <si>
    <t>Nephrops</t>
  </si>
  <si>
    <t>Norway pout</t>
  </si>
  <si>
    <t>Cephalopods</t>
  </si>
  <si>
    <t>Sandeel</t>
  </si>
  <si>
    <t>Sprat</t>
  </si>
  <si>
    <t>Herring</t>
  </si>
  <si>
    <t>Echinoderms</t>
  </si>
  <si>
    <t>Other benthic inverts</t>
  </si>
  <si>
    <t>Prawns/shrimps</t>
  </si>
  <si>
    <t>Euphausiids</t>
  </si>
  <si>
    <t>Large zooplankton</t>
  </si>
  <si>
    <t>Polychaetes</t>
  </si>
  <si>
    <t>Small zooplankton</t>
  </si>
  <si>
    <t>Epifauna</t>
  </si>
  <si>
    <t>Infauna</t>
  </si>
  <si>
    <t>Phytoplankton</t>
  </si>
  <si>
    <t>Detritus</t>
  </si>
  <si>
    <t>detritus_TerminalBenthic</t>
  </si>
  <si>
    <t>Dtrawl</t>
  </si>
  <si>
    <t>Btrawl</t>
  </si>
  <si>
    <t>Midtrawl</t>
  </si>
  <si>
    <t>Dredge</t>
  </si>
  <si>
    <t>Purse</t>
  </si>
  <si>
    <t>Line</t>
  </si>
  <si>
    <t>Creel/Pot</t>
  </si>
  <si>
    <t>Misc</t>
  </si>
  <si>
    <t>Import</t>
  </si>
  <si>
    <t>export</t>
  </si>
  <si>
    <t>sum</t>
  </si>
  <si>
    <t>TOTAL</t>
  </si>
  <si>
    <t>F Dtrawl</t>
  </si>
  <si>
    <t>F Btrawl</t>
  </si>
  <si>
    <t>F Midtrawl</t>
  </si>
  <si>
    <t>F Dredge</t>
  </si>
  <si>
    <t>F Purse</t>
  </si>
  <si>
    <t>F Line</t>
  </si>
  <si>
    <t>F Creel/Pot</t>
  </si>
  <si>
    <t>F Misc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</si>
</sst>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70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F0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FF76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E0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CA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FF78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C7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FF4700"/>
        <bgColor indexed="64"/>
      </patternFill>
    </fill>
    <fill>
      <patternFill patternType="solid">
        <fgColor rgb="FFFB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FF9500"/>
        <bgColor indexed="64"/>
      </patternFill>
    </fill>
    <fill>
      <patternFill patternType="solid">
        <fgColor rgb="FF2C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93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" fillId="0" borderId="0" xfId="0" applyFont="1" applyAlignment="1">
      <alignment horizontal="center"/>
    </xf>
    <xf numFmtId="0" fontId="0" fillId="36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8" borderId="0" xfId="0" applyFill="1"/>
    <xf numFmtId="0" fontId="0" fillId="39" borderId="0" xfId="0" applyFill="1"/>
    <xf numFmtId="0" fontId="0" fillId="0" borderId="0" xfId="0" applyFont="1" applyFill="1" applyAlignment="1">
      <alignment horizontal="center"/>
    </xf>
    <xf numFmtId="0" fontId="0" fillId="40" borderId="0" xfId="0" applyFill="1"/>
    <xf numFmtId="0" fontId="0" fillId="41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7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7" borderId="3" xfId="0" applyNumberFormat="1" applyFont="1" applyFill="1" applyBorder="1"/>
    <xf numFmtId="0" fontId="0" fillId="37" borderId="2" xfId="0" applyFont="1" applyFill="1" applyBorder="1"/>
    <xf numFmtId="0" fontId="0" fillId="37" borderId="3" xfId="0" applyFont="1" applyFill="1" applyBorder="1"/>
    <xf numFmtId="0" fontId="0" fillId="37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0" borderId="0" xfId="0" applyBorder="1"/>
    <xf numFmtId="0" fontId="0" fillId="45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82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80" t="s">
        <v>171</v>
      </c>
      <c r="C53" s="109">
        <v>461</v>
      </c>
      <c r="D53" s="109"/>
    </row>
    <row r="54" spans="2:4" x14ac:dyDescent="0.15">
      <c r="B54" s="180" t="s">
        <v>172</v>
      </c>
      <c r="C54" s="180" t="s">
        <v>185</v>
      </c>
      <c r="D54" s="109"/>
    </row>
    <row r="55" spans="2:4" x14ac:dyDescent="0.15">
      <c r="B55" s="180" t="s">
        <v>173</v>
      </c>
      <c r="C55" s="180" t="s">
        <v>186</v>
      </c>
      <c r="D55" s="109"/>
    </row>
    <row r="56" spans="2:4" x14ac:dyDescent="0.15">
      <c r="B56" s="180" t="s">
        <v>174</v>
      </c>
      <c r="C56" s="109">
        <v>1</v>
      </c>
      <c r="D56" s="109"/>
    </row>
    <row r="57" spans="2:4" x14ac:dyDescent="0.15">
      <c r="B57" s="180" t="s">
        <v>175</v>
      </c>
      <c r="C57" s="180" t="s">
        <v>187</v>
      </c>
      <c r="D57" s="109"/>
    </row>
    <row r="58" spans="2:4" x14ac:dyDescent="0.15">
      <c r="B58" s="180" t="s">
        <v>176</v>
      </c>
      <c r="C58" s="180" t="s">
        <v>188</v>
      </c>
      <c r="D58" s="109"/>
    </row>
    <row r="59" spans="2:4" x14ac:dyDescent="0.15">
      <c r="B59" s="180" t="s">
        <v>177</v>
      </c>
      <c r="C59" s="180" t="s">
        <v>189</v>
      </c>
      <c r="D59" s="109"/>
    </row>
    <row r="60" spans="2:4" x14ac:dyDescent="0.15">
      <c r="B60" s="180" t="s">
        <v>178</v>
      </c>
      <c r="C60" s="180" t="s">
        <v>190</v>
      </c>
      <c r="D60" s="109"/>
    </row>
    <row r="61" spans="2:4" x14ac:dyDescent="0.15">
      <c r="B61" s="180" t="s">
        <v>179</v>
      </c>
      <c r="C61" s="109">
        <v>37</v>
      </c>
      <c r="D61" s="109"/>
    </row>
    <row r="62" spans="2:4" x14ac:dyDescent="0.15">
      <c r="B62" s="180" t="s">
        <v>180</v>
      </c>
      <c r="C62" s="109">
        <v>8</v>
      </c>
      <c r="D62" s="109"/>
    </row>
    <row r="63" spans="2:4" x14ac:dyDescent="0.15">
      <c r="B63" s="180" t="s">
        <v>181</v>
      </c>
      <c r="C63" s="109">
        <v>2000</v>
      </c>
      <c r="D63" s="109"/>
    </row>
    <row r="64" spans="2:4" x14ac:dyDescent="0.15">
      <c r="B64" s="180" t="s">
        <v>182</v>
      </c>
      <c r="C64" s="109">
        <v>4</v>
      </c>
      <c r="D64" s="109"/>
    </row>
    <row r="65" spans="2:4" x14ac:dyDescent="0.15">
      <c r="B65" s="180" t="s">
        <v>183</v>
      </c>
      <c r="C65" s="180" t="s">
        <v>191</v>
      </c>
      <c r="D65" s="109"/>
    </row>
    <row r="66" spans="2:4" x14ac:dyDescent="0.15">
      <c r="B66" s="180" t="s">
        <v>184</v>
      </c>
      <c r="D66" s="109"/>
    </row>
    <row r="67" spans="2:4" x14ac:dyDescent="0.15">
      <c r="B67" s="109"/>
      <c r="C67" s="109"/>
      <c r="D67" s="109"/>
    </row>
    <row r="68" spans="2:4" x14ac:dyDescent="0.15">
      <c r="B68" s="109"/>
      <c r="C68" s="109"/>
      <c r="D68" s="109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82" customWidth="1"/>
    <col min="2" max="3" width="3.33203125" style="82" customWidth="1"/>
    <col min="4" max="4" width="14.33203125" style="82" customWidth="1"/>
    <col min="5" max="5" width="21.6640625" style="82" bestFit="1" customWidth="1"/>
    <col min="6" max="6" width="2.33203125" style="82" bestFit="1" customWidth="1"/>
    <col min="7" max="7" width="11.83203125" style="82" bestFit="1" customWidth="1"/>
    <col min="8" max="8" width="11.83203125" style="82" customWidth="1"/>
    <col min="9" max="9" width="10.83203125" style="82" customWidth="1"/>
    <col min="10" max="10" width="11.83203125" style="82" customWidth="1"/>
    <col min="11" max="11" width="13.83203125" style="82" customWidth="1"/>
    <col min="12" max="12" width="2.33203125" style="82" customWidth="1"/>
    <col min="13" max="13" width="3.83203125" style="82" customWidth="1"/>
    <col min="14" max="14" width="2.33203125" style="82" customWidth="1"/>
    <col min="16" max="25" width="8.83203125" style="82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2"/>
  </cols>
  <sheetData>
    <row r="1" spans="1:46" s="99" customFormat="1" ht="15" customHeight="1" x14ac:dyDescent="0.15">
      <c r="A1" s="78" t="s">
        <v>18</v>
      </c>
      <c r="C1" s="79" t="s">
        <v>8</v>
      </c>
      <c r="D1" s="78" t="s">
        <v>23</v>
      </c>
      <c r="E1" s="78" t="s">
        <v>0</v>
      </c>
      <c r="F1" s="78" t="s">
        <v>7</v>
      </c>
      <c r="G1" s="80" t="s">
        <v>13</v>
      </c>
      <c r="H1" s="78" t="s">
        <v>1</v>
      </c>
      <c r="I1" s="78" t="s">
        <v>2</v>
      </c>
      <c r="J1" s="78" t="s">
        <v>14</v>
      </c>
      <c r="K1" s="78" t="s">
        <v>3</v>
      </c>
      <c r="L1" s="78" t="s">
        <v>4</v>
      </c>
      <c r="M1" s="78" t="s">
        <v>5</v>
      </c>
      <c r="N1" s="78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9">
        <v>1</v>
      </c>
      <c r="D2"/>
      <c r="E2" s="181" t="s">
        <v>192</v>
      </c>
      <c r="F2" s="82">
        <v>0</v>
      </c>
      <c r="G2" s="82">
        <v>0.21065418399999999</v>
      </c>
      <c r="H2" s="82">
        <v>7.0000000000000007E-2</v>
      </c>
      <c r="I2" s="6">
        <v>12</v>
      </c>
      <c r="J2" s="6">
        <v>0.8</v>
      </c>
      <c r="K2" s="6">
        <v>5.8333333599999999E-3</v>
      </c>
      <c r="L2" s="6">
        <v>0</v>
      </c>
      <c r="M2" s="82">
        <v>0.2</v>
      </c>
      <c r="N2" s="82">
        <v>0</v>
      </c>
    </row>
    <row r="3" spans="1:46" ht="15" customHeight="1" x14ac:dyDescent="0.15">
      <c r="A3" s="1" t="s">
        <v>9</v>
      </c>
      <c r="B3" s="4">
        <v>36</v>
      </c>
      <c r="C3" s="82">
        <v>2</v>
      </c>
      <c r="D3"/>
      <c r="E3" s="181" t="s">
        <v>193</v>
      </c>
      <c r="F3" s="82">
        <v>0</v>
      </c>
      <c r="G3" s="82">
        <v>2.7E-2</v>
      </c>
      <c r="H3" s="82">
        <v>0.09</v>
      </c>
      <c r="I3" s="82">
        <v>6.7750000000000004</v>
      </c>
      <c r="J3" s="82">
        <v>8.5787080000000009E-3</v>
      </c>
      <c r="K3" s="82">
        <v>1.3284132800000001E-2</v>
      </c>
      <c r="L3" s="82">
        <v>0</v>
      </c>
      <c r="M3" s="82">
        <v>0.2</v>
      </c>
      <c r="N3" s="82">
        <v>0</v>
      </c>
    </row>
    <row r="4" spans="1:46" ht="15" customHeight="1" x14ac:dyDescent="0.15">
      <c r="A4" s="1" t="s">
        <v>10</v>
      </c>
      <c r="B4" s="4">
        <v>2</v>
      </c>
      <c r="C4" s="82">
        <v>3</v>
      </c>
      <c r="D4"/>
      <c r="E4" s="181" t="s">
        <v>194</v>
      </c>
      <c r="F4" s="82">
        <v>0</v>
      </c>
      <c r="G4" s="82">
        <v>5.5322410000000002E-3</v>
      </c>
      <c r="H4" s="82">
        <v>0.8</v>
      </c>
      <c r="I4" s="82">
        <v>53.5</v>
      </c>
      <c r="J4" s="82">
        <v>0.8</v>
      </c>
      <c r="K4" s="82">
        <v>1.49532715E-2</v>
      </c>
      <c r="L4" s="82">
        <v>0</v>
      </c>
      <c r="M4" s="82">
        <v>0.2</v>
      </c>
      <c r="N4" s="82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8</v>
      </c>
      <c r="C5" s="82">
        <v>4</v>
      </c>
      <c r="D5"/>
      <c r="E5" s="181" t="s">
        <v>195</v>
      </c>
      <c r="F5" s="82">
        <v>0</v>
      </c>
      <c r="G5" s="82">
        <v>0.28035765899999998</v>
      </c>
      <c r="H5" s="82">
        <v>0.35</v>
      </c>
      <c r="I5" s="82">
        <v>1.8</v>
      </c>
      <c r="J5" s="82">
        <v>0.8</v>
      </c>
      <c r="K5" s="82">
        <v>0.19444444799999999</v>
      </c>
      <c r="L5" s="82">
        <v>0</v>
      </c>
      <c r="M5" s="82">
        <v>0.2</v>
      </c>
      <c r="N5" s="82">
        <v>0</v>
      </c>
      <c r="P5" s="71"/>
      <c r="Q5" s="71"/>
      <c r="R5" s="71"/>
    </row>
    <row r="6" spans="1:46" ht="15" customHeight="1" thickBot="1" x14ac:dyDescent="0.2">
      <c r="B6" s="1"/>
      <c r="C6" s="82">
        <v>5</v>
      </c>
      <c r="D6"/>
      <c r="E6" s="181" t="s">
        <v>196</v>
      </c>
      <c r="F6" s="82">
        <v>0</v>
      </c>
      <c r="G6" s="82">
        <v>2.8389513499999999</v>
      </c>
      <c r="H6" s="82">
        <v>0.7</v>
      </c>
      <c r="I6" s="82">
        <v>2.4</v>
      </c>
      <c r="J6" s="82">
        <v>0.88300000000000001</v>
      </c>
      <c r="K6" s="82">
        <v>0.291666657</v>
      </c>
      <c r="L6" s="82">
        <v>0</v>
      </c>
      <c r="M6" s="82">
        <v>0.2</v>
      </c>
      <c r="N6" s="82">
        <v>0</v>
      </c>
      <c r="P6" s="71"/>
      <c r="Q6" s="71"/>
      <c r="R6" s="71"/>
      <c r="W6" s="36" t="s">
        <v>31</v>
      </c>
      <c r="X6" s="52">
        <f>MAX(MainOutputs!G:G)</f>
        <v>0.95000004768371582</v>
      </c>
    </row>
    <row r="7" spans="1:46" ht="15" customHeight="1" x14ac:dyDescent="0.15">
      <c r="A7" s="2" t="s">
        <v>27</v>
      </c>
      <c r="B7" s="82">
        <f ca="1">COUNTIF(OFFSET(cornerDiets,1,1,NumLiving+NumDead+1,NumLiving+NumDead),"&gt;0")+NumLiving+NumDead+1</f>
        <v>410</v>
      </c>
      <c r="C7" s="82">
        <v>6</v>
      </c>
      <c r="D7"/>
      <c r="E7" s="181" t="s">
        <v>197</v>
      </c>
      <c r="F7" s="82">
        <v>0</v>
      </c>
      <c r="G7" s="82">
        <v>4.3505945199999996</v>
      </c>
      <c r="H7" s="82">
        <v>0.77</v>
      </c>
      <c r="I7" s="82">
        <v>2.5666666</v>
      </c>
      <c r="J7" s="82">
        <v>0.93300000000000005</v>
      </c>
      <c r="K7" s="82">
        <v>0.3</v>
      </c>
      <c r="L7" s="82">
        <v>0</v>
      </c>
      <c r="M7" s="82">
        <v>0.2</v>
      </c>
      <c r="N7" s="82">
        <v>0</v>
      </c>
      <c r="P7" s="71"/>
      <c r="Q7" s="71"/>
      <c r="R7" s="71"/>
    </row>
    <row r="8" spans="1:46" ht="15" customHeight="1" x14ac:dyDescent="0.15">
      <c r="A8" s="2" t="s">
        <v>28</v>
      </c>
      <c r="B8" s="82">
        <f ca="1">COUNTIF(OFFSET(cornerFishing,1,2,NumLiving+NumDead,NumGears),"&gt;0")+NumDead*COUNTIF(OFFSET(cornerDiscards,1,2,NumLiving+NumDead,NumGears),"&gt;0")+NumLiving+NumDead+1</f>
        <v>182</v>
      </c>
      <c r="C8" s="82">
        <v>7</v>
      </c>
      <c r="D8"/>
      <c r="E8" s="181" t="s">
        <v>198</v>
      </c>
      <c r="F8" s="82">
        <v>0</v>
      </c>
      <c r="G8" s="82">
        <v>0.69487893599999995</v>
      </c>
      <c r="H8" s="82">
        <v>0.16</v>
      </c>
      <c r="I8" s="82">
        <v>3</v>
      </c>
      <c r="J8" s="82">
        <v>0.92600000000000005</v>
      </c>
      <c r="K8" s="82">
        <v>5.3333329999999998E-2</v>
      </c>
      <c r="L8" s="82">
        <v>0</v>
      </c>
      <c r="M8" s="82">
        <v>0.2</v>
      </c>
      <c r="N8" s="82">
        <v>0</v>
      </c>
      <c r="P8" s="71"/>
      <c r="Q8" s="71"/>
      <c r="R8" s="71"/>
    </row>
    <row r="9" spans="1:46" ht="15" customHeight="1" x14ac:dyDescent="0.15">
      <c r="B9" s="1"/>
      <c r="C9" s="82">
        <v>8</v>
      </c>
      <c r="D9"/>
      <c r="E9" s="181" t="s">
        <v>199</v>
      </c>
      <c r="F9" s="82">
        <v>0</v>
      </c>
      <c r="G9" s="82">
        <v>1.5217765599999999</v>
      </c>
      <c r="H9" s="82">
        <v>0.48</v>
      </c>
      <c r="I9" s="82">
        <v>1.45</v>
      </c>
      <c r="J9" s="82">
        <v>0.79800000000000004</v>
      </c>
      <c r="K9" s="82">
        <v>0.33103445199999998</v>
      </c>
      <c r="L9" s="82">
        <v>0</v>
      </c>
      <c r="M9" s="82">
        <v>0.2</v>
      </c>
      <c r="N9" s="82">
        <v>0</v>
      </c>
      <c r="P9" s="71"/>
      <c r="Q9" s="71"/>
      <c r="R9" s="71"/>
    </row>
    <row r="10" spans="1:46" ht="15" customHeight="1" x14ac:dyDescent="0.15">
      <c r="B10" s="1"/>
      <c r="C10" s="82">
        <v>9</v>
      </c>
      <c r="D10"/>
      <c r="E10" s="181" t="s">
        <v>200</v>
      </c>
      <c r="F10" s="82">
        <v>0</v>
      </c>
      <c r="G10" s="82">
        <v>2.49695468</v>
      </c>
      <c r="H10" s="82">
        <v>0.75</v>
      </c>
      <c r="I10" s="82">
        <v>3.7970000000000002</v>
      </c>
      <c r="J10" s="82">
        <v>0.85099999999999998</v>
      </c>
      <c r="K10" s="82">
        <v>0.19752436900000001</v>
      </c>
      <c r="L10" s="82">
        <v>0</v>
      </c>
      <c r="M10" s="82">
        <v>0.2</v>
      </c>
      <c r="N10" s="82">
        <v>0</v>
      </c>
    </row>
    <row r="11" spans="1:46" ht="15" customHeight="1" x14ac:dyDescent="0.15">
      <c r="C11" s="82">
        <v>10</v>
      </c>
      <c r="D11"/>
      <c r="E11" s="181" t="s">
        <v>201</v>
      </c>
      <c r="F11" s="82">
        <v>0</v>
      </c>
      <c r="G11" s="82">
        <v>0.27381941700000001</v>
      </c>
      <c r="H11" s="82">
        <v>0.87</v>
      </c>
      <c r="I11" s="82">
        <v>4.0229999999999997</v>
      </c>
      <c r="J11" s="82">
        <v>0.91500000000000004</v>
      </c>
      <c r="K11" s="82">
        <v>0.21625654399999999</v>
      </c>
      <c r="L11" s="82">
        <v>0</v>
      </c>
      <c r="M11" s="82">
        <v>0.2</v>
      </c>
      <c r="N11" s="82">
        <v>0</v>
      </c>
    </row>
    <row r="12" spans="1:46" ht="15" customHeight="1" x14ac:dyDescent="0.15">
      <c r="C12" s="82">
        <v>11</v>
      </c>
      <c r="D12"/>
      <c r="E12" s="181" t="s">
        <v>202</v>
      </c>
      <c r="F12" s="82">
        <v>0</v>
      </c>
      <c r="G12" s="82">
        <v>4.6996407500000004</v>
      </c>
      <c r="H12" s="82">
        <v>0.86850005399999997</v>
      </c>
      <c r="I12" s="82">
        <v>2.895</v>
      </c>
      <c r="J12" s="82">
        <v>0.92300000000000004</v>
      </c>
      <c r="K12" s="82">
        <v>0.3</v>
      </c>
      <c r="L12" s="82">
        <v>0</v>
      </c>
      <c r="M12" s="82">
        <v>0.2</v>
      </c>
      <c r="N12" s="82">
        <v>0</v>
      </c>
    </row>
    <row r="13" spans="1:46" ht="15" customHeight="1" x14ac:dyDescent="0.15">
      <c r="C13" s="82">
        <v>12</v>
      </c>
      <c r="D13"/>
      <c r="E13" s="181" t="s">
        <v>203</v>
      </c>
      <c r="F13" s="82">
        <v>0</v>
      </c>
      <c r="G13" s="82">
        <v>0.25038656599999998</v>
      </c>
      <c r="H13" s="82">
        <v>4.5</v>
      </c>
      <c r="I13" s="82">
        <v>29.999998099999999</v>
      </c>
      <c r="J13" s="82">
        <v>0.9</v>
      </c>
      <c r="K13" s="82">
        <v>0.15</v>
      </c>
      <c r="L13" s="82">
        <v>0</v>
      </c>
      <c r="M13" s="82">
        <v>0.2</v>
      </c>
      <c r="N13" s="82">
        <v>0</v>
      </c>
    </row>
    <row r="14" spans="1:46" ht="15" customHeight="1" x14ac:dyDescent="0.15">
      <c r="C14" s="82">
        <v>13</v>
      </c>
      <c r="D14"/>
      <c r="E14" s="181" t="s">
        <v>204</v>
      </c>
      <c r="F14" s="82">
        <v>0</v>
      </c>
      <c r="G14" s="82">
        <v>0.15</v>
      </c>
      <c r="H14" s="82">
        <v>1.4</v>
      </c>
      <c r="I14" s="82">
        <v>4.6669999999999998</v>
      </c>
      <c r="J14" s="82">
        <v>0.77717876399999997</v>
      </c>
      <c r="K14" s="82">
        <v>0.29997858399999999</v>
      </c>
      <c r="L14" s="82">
        <v>0</v>
      </c>
      <c r="M14" s="82">
        <v>0.2</v>
      </c>
      <c r="N14" s="82">
        <v>0</v>
      </c>
    </row>
    <row r="15" spans="1:46" ht="15" customHeight="1" x14ac:dyDescent="0.15">
      <c r="C15" s="82">
        <v>14</v>
      </c>
      <c r="D15"/>
      <c r="E15" s="181" t="s">
        <v>205</v>
      </c>
      <c r="F15" s="82">
        <v>0</v>
      </c>
      <c r="G15" s="82">
        <v>0.7668007</v>
      </c>
      <c r="H15" s="82">
        <v>1</v>
      </c>
      <c r="I15" s="82">
        <v>4</v>
      </c>
      <c r="J15" s="82">
        <v>0.8</v>
      </c>
      <c r="K15" s="82">
        <v>0.25</v>
      </c>
      <c r="L15" s="82">
        <v>0</v>
      </c>
      <c r="M15" s="82">
        <v>0.2</v>
      </c>
      <c r="N15" s="82">
        <v>0</v>
      </c>
    </row>
    <row r="16" spans="1:46" ht="15" customHeight="1" x14ac:dyDescent="0.15">
      <c r="C16" s="82">
        <v>15</v>
      </c>
      <c r="D16"/>
      <c r="E16" s="181" t="s">
        <v>206</v>
      </c>
      <c r="F16" s="82">
        <v>0</v>
      </c>
      <c r="G16" s="82">
        <v>0.2076008</v>
      </c>
      <c r="H16" s="82">
        <v>5</v>
      </c>
      <c r="I16" s="82">
        <v>16.666665999999999</v>
      </c>
      <c r="J16" s="82">
        <v>0.9</v>
      </c>
      <c r="K16" s="82">
        <v>0.3</v>
      </c>
      <c r="L16" s="82">
        <v>0</v>
      </c>
      <c r="M16" s="82">
        <v>0.2</v>
      </c>
      <c r="N16" s="82">
        <v>0</v>
      </c>
    </row>
    <row r="17" spans="1:22" ht="15" customHeight="1" x14ac:dyDescent="0.15">
      <c r="C17" s="82">
        <v>16</v>
      </c>
      <c r="D17"/>
      <c r="E17" s="181" t="s">
        <v>207</v>
      </c>
      <c r="F17" s="82">
        <v>0</v>
      </c>
      <c r="G17" s="82">
        <v>4.1729589999999997E-2</v>
      </c>
      <c r="H17" s="82">
        <v>0.8</v>
      </c>
      <c r="I17" s="82">
        <v>3.57</v>
      </c>
      <c r="J17" s="82">
        <v>0.8</v>
      </c>
      <c r="K17" s="82">
        <v>0.22408963700000001</v>
      </c>
      <c r="L17" s="82">
        <v>0</v>
      </c>
      <c r="M17" s="82">
        <v>0.2</v>
      </c>
      <c r="N17" s="82">
        <v>0</v>
      </c>
      <c r="V17" s="1" t="s">
        <v>30</v>
      </c>
    </row>
    <row r="18" spans="1:22" ht="15" customHeight="1" x14ac:dyDescent="0.15">
      <c r="C18" s="82">
        <v>17</v>
      </c>
      <c r="D18"/>
      <c r="E18" s="181" t="s">
        <v>208</v>
      </c>
      <c r="F18" s="82">
        <v>0</v>
      </c>
      <c r="G18" s="82">
        <v>0.87476149999999997</v>
      </c>
      <c r="H18" s="82">
        <v>1.0209999999999999</v>
      </c>
      <c r="I18" s="82">
        <v>3.95</v>
      </c>
      <c r="J18" s="82">
        <v>0.95</v>
      </c>
      <c r="K18" s="82">
        <v>0.258481026</v>
      </c>
      <c r="L18" s="82">
        <v>0</v>
      </c>
      <c r="M18" s="82">
        <v>0.2</v>
      </c>
      <c r="N18" s="82">
        <v>0</v>
      </c>
      <c r="V18" s="1"/>
    </row>
    <row r="19" spans="1:22" ht="15" customHeight="1" x14ac:dyDescent="0.15">
      <c r="C19" s="82">
        <v>18</v>
      </c>
      <c r="D19"/>
      <c r="E19" s="181" t="s">
        <v>209</v>
      </c>
      <c r="F19" s="82">
        <v>0</v>
      </c>
      <c r="G19" s="82">
        <v>2.0004231899999998</v>
      </c>
      <c r="H19" s="82">
        <v>0.7</v>
      </c>
      <c r="I19" s="82">
        <v>2.9</v>
      </c>
      <c r="J19" s="82">
        <v>0.80500000000000005</v>
      </c>
      <c r="K19" s="82">
        <v>0.24137929999999999</v>
      </c>
      <c r="L19" s="82">
        <v>0</v>
      </c>
      <c r="M19" s="82">
        <v>0.2</v>
      </c>
      <c r="N19" s="82">
        <v>0</v>
      </c>
    </row>
    <row r="20" spans="1:22" ht="15" customHeight="1" thickBot="1" x14ac:dyDescent="0.2">
      <c r="C20" s="82">
        <v>19</v>
      </c>
      <c r="D20"/>
      <c r="E20" s="181" t="s">
        <v>210</v>
      </c>
      <c r="F20" s="82">
        <v>0</v>
      </c>
      <c r="G20" s="82">
        <v>1.7736867700000001</v>
      </c>
      <c r="H20" s="82">
        <v>0.97499999999999998</v>
      </c>
      <c r="I20" s="82">
        <v>3.42</v>
      </c>
      <c r="J20" s="82">
        <v>0.79200000000000004</v>
      </c>
      <c r="K20" s="82">
        <v>0.28508773399999998</v>
      </c>
      <c r="L20" s="82">
        <v>0</v>
      </c>
      <c r="M20" s="82">
        <v>0.2</v>
      </c>
      <c r="N20" s="82">
        <v>0</v>
      </c>
    </row>
    <row r="21" spans="1:22" ht="15" customHeight="1" thickBot="1" x14ac:dyDescent="0.2">
      <c r="A21" s="47" t="s">
        <v>137</v>
      </c>
      <c r="B21" s="100"/>
      <c r="C21" s="82">
        <v>20</v>
      </c>
      <c r="D21"/>
      <c r="E21" s="181" t="s">
        <v>211</v>
      </c>
      <c r="F21" s="82">
        <v>0</v>
      </c>
      <c r="G21" s="82">
        <v>0.492661923</v>
      </c>
      <c r="H21" s="82">
        <v>0.8</v>
      </c>
      <c r="I21" s="82">
        <v>2.7</v>
      </c>
      <c r="J21" s="82">
        <v>0.86899999999999999</v>
      </c>
      <c r="K21" s="82">
        <v>0.29629630000000001</v>
      </c>
      <c r="L21" s="82">
        <v>0</v>
      </c>
      <c r="M21" s="82">
        <v>0.2</v>
      </c>
      <c r="N21" s="82">
        <v>0</v>
      </c>
    </row>
    <row r="22" spans="1:22" ht="15" customHeight="1" x14ac:dyDescent="0.15">
      <c r="A22" s="101" t="s">
        <v>58</v>
      </c>
      <c r="B22" s="102">
        <v>0</v>
      </c>
      <c r="C22" s="82">
        <v>21</v>
      </c>
      <c r="D22"/>
      <c r="E22" s="181" t="s">
        <v>212</v>
      </c>
      <c r="F22" s="82">
        <v>0</v>
      </c>
      <c r="G22" s="82">
        <v>2.2000000000000002</v>
      </c>
      <c r="H22" s="82">
        <v>3</v>
      </c>
      <c r="I22" s="82">
        <v>10</v>
      </c>
      <c r="J22" s="82">
        <v>0.53493624900000003</v>
      </c>
      <c r="K22" s="82">
        <v>0.3</v>
      </c>
      <c r="L22" s="82">
        <v>0</v>
      </c>
      <c r="M22" s="82">
        <v>0.2</v>
      </c>
      <c r="N22" s="82">
        <v>0</v>
      </c>
    </row>
    <row r="23" spans="1:22" ht="15" customHeight="1" x14ac:dyDescent="0.15">
      <c r="A23" s="101" t="s">
        <v>59</v>
      </c>
      <c r="B23" s="102">
        <v>1</v>
      </c>
      <c r="C23" s="82">
        <v>22</v>
      </c>
      <c r="D23"/>
      <c r="E23" s="181" t="s">
        <v>213</v>
      </c>
      <c r="F23" s="82">
        <v>0</v>
      </c>
      <c r="G23" s="82">
        <v>0.429574966</v>
      </c>
      <c r="H23" s="82">
        <v>2</v>
      </c>
      <c r="I23" s="82">
        <v>7</v>
      </c>
      <c r="J23" s="82">
        <v>0.9</v>
      </c>
      <c r="K23" s="82">
        <v>0.28571429999999998</v>
      </c>
      <c r="L23" s="82">
        <v>0</v>
      </c>
      <c r="M23" s="82">
        <v>0.2</v>
      </c>
      <c r="N23" s="82">
        <v>0</v>
      </c>
    </row>
    <row r="24" spans="1:22" ht="15" customHeight="1" x14ac:dyDescent="0.15">
      <c r="A24" s="101" t="s">
        <v>60</v>
      </c>
      <c r="B24" s="102">
        <v>2</v>
      </c>
      <c r="C24" s="82">
        <v>23</v>
      </c>
      <c r="D24"/>
      <c r="E24" s="181" t="s">
        <v>214</v>
      </c>
      <c r="F24" s="82">
        <v>0</v>
      </c>
      <c r="G24" s="82">
        <v>0.39900288</v>
      </c>
      <c r="H24" s="82">
        <v>3</v>
      </c>
      <c r="I24" s="82">
        <v>10</v>
      </c>
      <c r="J24" s="82">
        <v>0.83499999999999996</v>
      </c>
      <c r="K24" s="82">
        <v>0.3</v>
      </c>
      <c r="L24" s="82">
        <v>0</v>
      </c>
      <c r="M24" s="82">
        <v>0.2</v>
      </c>
      <c r="N24" s="82">
        <v>0</v>
      </c>
    </row>
    <row r="25" spans="1:22" ht="15" customHeight="1" thickBot="1" x14ac:dyDescent="0.2">
      <c r="A25" s="103" t="s">
        <v>44</v>
      </c>
      <c r="B25" s="104">
        <v>3</v>
      </c>
      <c r="C25" s="82">
        <v>24</v>
      </c>
      <c r="D25"/>
      <c r="E25" s="181" t="s">
        <v>215</v>
      </c>
      <c r="F25" s="82">
        <v>0</v>
      </c>
      <c r="G25" s="82">
        <v>0.95006840000000004</v>
      </c>
      <c r="H25" s="82">
        <v>3</v>
      </c>
      <c r="I25" s="82">
        <v>10.25</v>
      </c>
      <c r="J25" s="82">
        <v>0.8</v>
      </c>
      <c r="K25" s="82">
        <v>0.29268291600000002</v>
      </c>
      <c r="L25" s="82">
        <v>0</v>
      </c>
      <c r="M25" s="82">
        <v>0.2</v>
      </c>
      <c r="N25" s="82">
        <v>0</v>
      </c>
    </row>
    <row r="26" spans="1:22" ht="15" customHeight="1" x14ac:dyDescent="0.15">
      <c r="A26" s="105" t="s">
        <v>140</v>
      </c>
      <c r="C26" s="82">
        <v>25</v>
      </c>
      <c r="D26"/>
      <c r="E26" s="181" t="s">
        <v>216</v>
      </c>
      <c r="F26" s="82">
        <v>0</v>
      </c>
      <c r="G26" s="82">
        <v>1.5595189300000001</v>
      </c>
      <c r="H26" s="82">
        <v>1.9</v>
      </c>
      <c r="I26" s="82">
        <v>8.5</v>
      </c>
      <c r="J26" s="82">
        <v>0.8</v>
      </c>
      <c r="K26" s="82">
        <v>0.22352941300000001</v>
      </c>
      <c r="L26" s="82">
        <v>0</v>
      </c>
      <c r="M26" s="82">
        <v>0.2</v>
      </c>
      <c r="N26" s="82">
        <v>0</v>
      </c>
    </row>
    <row r="27" spans="1:22" ht="15" customHeight="1" x14ac:dyDescent="0.15">
      <c r="C27" s="82">
        <v>26</v>
      </c>
      <c r="D27"/>
      <c r="E27" s="181" t="s">
        <v>217</v>
      </c>
      <c r="F27" s="82">
        <v>0</v>
      </c>
      <c r="G27" s="82">
        <v>3.9259905800000001</v>
      </c>
      <c r="H27" s="82">
        <v>1.8</v>
      </c>
      <c r="I27" s="82">
        <v>7</v>
      </c>
      <c r="J27" s="82">
        <v>0.81799999999999995</v>
      </c>
      <c r="K27" s="82">
        <v>0.25714284199999998</v>
      </c>
      <c r="L27" s="82">
        <v>0</v>
      </c>
      <c r="M27" s="82">
        <v>0.2</v>
      </c>
      <c r="N27" s="82">
        <v>0</v>
      </c>
    </row>
    <row r="28" spans="1:22" ht="15" customHeight="1" x14ac:dyDescent="0.15">
      <c r="C28" s="82">
        <v>27</v>
      </c>
      <c r="D28"/>
      <c r="E28" s="181" t="s">
        <v>218</v>
      </c>
      <c r="F28" s="82">
        <v>0</v>
      </c>
      <c r="G28" s="82">
        <v>4.1165914499999996</v>
      </c>
      <c r="H28" s="82">
        <v>4</v>
      </c>
      <c r="I28" s="82">
        <v>16</v>
      </c>
      <c r="J28" s="82">
        <v>0.92</v>
      </c>
      <c r="K28" s="82">
        <v>0.25</v>
      </c>
      <c r="L28" s="82">
        <v>0</v>
      </c>
      <c r="M28" s="82">
        <v>0.2</v>
      </c>
      <c r="N28" s="82">
        <v>0</v>
      </c>
    </row>
    <row r="29" spans="1:22" customFormat="1" ht="15" customHeight="1" x14ac:dyDescent="0.15">
      <c r="C29" s="82">
        <v>28</v>
      </c>
      <c r="E29" s="181" t="s">
        <v>219</v>
      </c>
      <c r="F29" s="82">
        <v>0</v>
      </c>
      <c r="G29" s="82">
        <v>7.6778883899999997</v>
      </c>
      <c r="H29" s="82">
        <v>6</v>
      </c>
      <c r="I29" s="82">
        <v>24</v>
      </c>
      <c r="J29" s="82">
        <v>0.95</v>
      </c>
      <c r="K29" s="82">
        <v>0.25</v>
      </c>
      <c r="L29" s="82">
        <v>0</v>
      </c>
      <c r="M29" s="82">
        <v>0.2</v>
      </c>
      <c r="N29" s="82">
        <v>0</v>
      </c>
    </row>
    <row r="30" spans="1:22" customFormat="1" ht="15" customHeight="1" x14ac:dyDescent="0.15">
      <c r="C30" s="82">
        <v>29</v>
      </c>
      <c r="E30" s="181" t="s">
        <v>220</v>
      </c>
      <c r="F30" s="82">
        <v>0</v>
      </c>
      <c r="G30" s="82">
        <v>17.581410000000002</v>
      </c>
      <c r="H30" s="82">
        <v>3</v>
      </c>
      <c r="I30" s="82">
        <v>12</v>
      </c>
      <c r="J30" s="82">
        <v>0.91700000000000004</v>
      </c>
      <c r="K30" s="82">
        <v>0.25</v>
      </c>
      <c r="L30" s="82">
        <v>0</v>
      </c>
      <c r="M30" s="82">
        <v>0.2</v>
      </c>
      <c r="N30" s="82">
        <v>0</v>
      </c>
    </row>
    <row r="31" spans="1:22" customFormat="1" ht="15" customHeight="1" x14ac:dyDescent="0.15">
      <c r="C31" s="82">
        <v>30</v>
      </c>
      <c r="E31" s="181" t="s">
        <v>221</v>
      </c>
      <c r="F31" s="82">
        <v>0</v>
      </c>
      <c r="G31" s="82">
        <v>2.4594464299999999</v>
      </c>
      <c r="H31" s="82">
        <v>9</v>
      </c>
      <c r="I31" s="82">
        <v>36</v>
      </c>
      <c r="J31" s="82">
        <v>0.86199999999999999</v>
      </c>
      <c r="K31" s="82">
        <v>0.25</v>
      </c>
      <c r="L31" s="82">
        <v>0</v>
      </c>
      <c r="M31" s="82">
        <v>0.2</v>
      </c>
      <c r="N31" s="82">
        <v>0</v>
      </c>
    </row>
    <row r="32" spans="1:22" customFormat="1" ht="15" customHeight="1" x14ac:dyDescent="0.15">
      <c r="C32" s="82">
        <v>31</v>
      </c>
      <c r="E32" s="181" t="s">
        <v>222</v>
      </c>
      <c r="F32" s="82">
        <v>0</v>
      </c>
      <c r="G32" s="82">
        <v>6.7340450000000001</v>
      </c>
      <c r="H32" s="82">
        <v>10</v>
      </c>
      <c r="I32" s="82">
        <v>35</v>
      </c>
      <c r="J32" s="82">
        <v>0.879</v>
      </c>
      <c r="K32" s="82">
        <v>0.28571429999999998</v>
      </c>
      <c r="L32" s="82">
        <v>0</v>
      </c>
      <c r="M32" s="82">
        <v>0.2</v>
      </c>
      <c r="N32" s="82">
        <v>0</v>
      </c>
    </row>
    <row r="33" spans="3:14" customFormat="1" ht="15" customHeight="1" x14ac:dyDescent="0.15">
      <c r="C33" s="82">
        <v>32</v>
      </c>
      <c r="E33" s="181" t="s">
        <v>223</v>
      </c>
      <c r="F33" s="82">
        <v>0</v>
      </c>
      <c r="G33" s="82">
        <v>10</v>
      </c>
      <c r="H33" s="82">
        <v>5</v>
      </c>
      <c r="I33" s="82">
        <v>16.666665999999999</v>
      </c>
      <c r="J33" s="82">
        <v>0.44762000000000002</v>
      </c>
      <c r="K33" s="82">
        <v>0.3</v>
      </c>
      <c r="L33" s="82">
        <v>0</v>
      </c>
      <c r="M33" s="82">
        <v>0.2</v>
      </c>
      <c r="N33" s="82">
        <v>0</v>
      </c>
    </row>
    <row r="34" spans="3:14" customFormat="1" ht="15" customHeight="1" x14ac:dyDescent="0.15">
      <c r="C34" s="82">
        <v>33</v>
      </c>
      <c r="E34" s="181" t="s">
        <v>224</v>
      </c>
      <c r="F34" s="82">
        <v>0</v>
      </c>
      <c r="G34" s="82">
        <v>8.3207939999999994</v>
      </c>
      <c r="H34" s="82">
        <v>18</v>
      </c>
      <c r="I34" s="82">
        <v>72</v>
      </c>
      <c r="J34" s="82">
        <v>0.8</v>
      </c>
      <c r="K34" s="82">
        <v>0.25</v>
      </c>
      <c r="L34" s="82">
        <v>0</v>
      </c>
      <c r="M34" s="82">
        <v>0.2</v>
      </c>
      <c r="N34" s="82">
        <v>0</v>
      </c>
    </row>
    <row r="35" spans="3:14" customFormat="1" ht="15" customHeight="1" x14ac:dyDescent="0.15">
      <c r="C35" s="82">
        <v>34</v>
      </c>
      <c r="E35" s="181" t="s">
        <v>225</v>
      </c>
      <c r="F35" s="82">
        <v>0</v>
      </c>
      <c r="G35" s="82">
        <v>10.584</v>
      </c>
      <c r="H35" s="82">
        <v>20</v>
      </c>
      <c r="I35" s="82">
        <v>80</v>
      </c>
      <c r="J35" s="82">
        <v>0.40254238199999998</v>
      </c>
      <c r="K35" s="82">
        <v>0.25</v>
      </c>
      <c r="L35" s="82">
        <v>0</v>
      </c>
      <c r="M35" s="82">
        <v>0.2</v>
      </c>
      <c r="N35" s="82">
        <v>0</v>
      </c>
    </row>
    <row r="36" spans="3:14" customFormat="1" ht="15" customHeight="1" x14ac:dyDescent="0.15">
      <c r="C36" s="82">
        <v>35</v>
      </c>
      <c r="E36" s="181" t="s">
        <v>226</v>
      </c>
      <c r="F36" s="82">
        <v>0</v>
      </c>
      <c r="G36" s="82">
        <v>1.6390457199999999</v>
      </c>
      <c r="H36" s="82">
        <v>20</v>
      </c>
      <c r="I36" s="82">
        <v>80</v>
      </c>
      <c r="J36" s="82">
        <v>0.73099999999999998</v>
      </c>
      <c r="K36" s="82">
        <v>0.25</v>
      </c>
      <c r="L36" s="82">
        <v>0</v>
      </c>
      <c r="M36" s="82">
        <v>0.2</v>
      </c>
      <c r="N36" s="82">
        <v>0</v>
      </c>
    </row>
    <row r="37" spans="3:14" customFormat="1" ht="15" customHeight="1" x14ac:dyDescent="0.15">
      <c r="C37" s="82">
        <v>36</v>
      </c>
      <c r="E37" s="181" t="s">
        <v>227</v>
      </c>
      <c r="F37" s="82">
        <v>1</v>
      </c>
      <c r="G37" s="82">
        <v>80</v>
      </c>
      <c r="H37" s="82">
        <v>70</v>
      </c>
      <c r="I37" s="82">
        <v>0</v>
      </c>
      <c r="J37" s="82">
        <v>0.191213772</v>
      </c>
      <c r="K37" s="82">
        <v>0</v>
      </c>
      <c r="L37" s="82">
        <v>0</v>
      </c>
      <c r="M37" s="82">
        <v>0</v>
      </c>
      <c r="N37" s="82">
        <v>0</v>
      </c>
    </row>
    <row r="38" spans="3:14" customFormat="1" ht="15" customHeight="1" x14ac:dyDescent="0.15">
      <c r="C38" s="82">
        <v>37</v>
      </c>
      <c r="E38" s="181" t="s">
        <v>228</v>
      </c>
      <c r="F38" s="82">
        <v>2</v>
      </c>
      <c r="G38" s="82">
        <v>100</v>
      </c>
      <c r="H38" s="82">
        <v>0</v>
      </c>
      <c r="I38" s="82">
        <v>0</v>
      </c>
      <c r="J38" s="82">
        <v>0</v>
      </c>
      <c r="K38" s="82">
        <v>0</v>
      </c>
      <c r="L38" s="82">
        <v>0</v>
      </c>
      <c r="M38" s="82">
        <v>0</v>
      </c>
      <c r="N38" s="82">
        <v>0</v>
      </c>
    </row>
    <row r="39" spans="3:14" customFormat="1" ht="15" customHeight="1" x14ac:dyDescent="0.15">
      <c r="C39" s="82">
        <v>38</v>
      </c>
      <c r="E39" s="181" t="s">
        <v>229</v>
      </c>
      <c r="F39" s="82">
        <v>2</v>
      </c>
      <c r="G39" s="82">
        <v>5</v>
      </c>
      <c r="H39" s="82">
        <v>0</v>
      </c>
      <c r="I39" s="82">
        <v>0</v>
      </c>
      <c r="J39" s="82">
        <v>0</v>
      </c>
      <c r="K39" s="82">
        <v>0</v>
      </c>
      <c r="L39" s="82">
        <v>0</v>
      </c>
      <c r="M39" s="82">
        <v>0</v>
      </c>
      <c r="N39" s="82">
        <v>0</v>
      </c>
    </row>
    <row r="40" spans="3:14" customFormat="1" ht="15" customHeight="1" x14ac:dyDescent="0.15">
      <c r="C40" s="82">
        <v>39</v>
      </c>
      <c r="E40" s="181" t="s">
        <v>230</v>
      </c>
      <c r="F40" s="82">
        <v>3</v>
      </c>
      <c r="G40" s="82">
        <v>0</v>
      </c>
      <c r="H40" s="82">
        <v>0</v>
      </c>
      <c r="I40" s="82">
        <v>0</v>
      </c>
      <c r="J40" s="82">
        <v>0</v>
      </c>
      <c r="K40" s="82">
        <v>0</v>
      </c>
      <c r="L40" s="82">
        <v>0</v>
      </c>
      <c r="M40" s="82">
        <v>0</v>
      </c>
      <c r="N40" s="82">
        <v>0</v>
      </c>
    </row>
    <row r="41" spans="3:14" customFormat="1" ht="15" customHeight="1" x14ac:dyDescent="0.15">
      <c r="C41" s="82">
        <v>40</v>
      </c>
      <c r="E41" s="181" t="s">
        <v>231</v>
      </c>
      <c r="F41" s="82">
        <v>3</v>
      </c>
      <c r="G41" s="82">
        <v>0</v>
      </c>
      <c r="H41" s="82">
        <v>0</v>
      </c>
      <c r="I41" s="82">
        <v>0</v>
      </c>
      <c r="J41" s="82">
        <v>0</v>
      </c>
      <c r="K41" s="82">
        <v>0</v>
      </c>
      <c r="L41" s="82">
        <v>0</v>
      </c>
      <c r="M41" s="82">
        <v>0</v>
      </c>
      <c r="N41" s="82">
        <v>0</v>
      </c>
    </row>
    <row r="42" spans="3:14" customFormat="1" ht="15" customHeight="1" x14ac:dyDescent="0.15">
      <c r="C42" s="82">
        <v>41</v>
      </c>
      <c r="E42" s="181" t="s">
        <v>232</v>
      </c>
      <c r="F42" s="82">
        <v>3</v>
      </c>
      <c r="G42" s="82">
        <v>0</v>
      </c>
      <c r="H42" s="82">
        <v>0</v>
      </c>
      <c r="I42" s="82">
        <v>0</v>
      </c>
      <c r="J42" s="82">
        <v>0</v>
      </c>
      <c r="K42" s="82">
        <v>0</v>
      </c>
      <c r="L42" s="82">
        <v>0</v>
      </c>
      <c r="M42" s="82">
        <v>0</v>
      </c>
      <c r="N42" s="82">
        <v>0</v>
      </c>
    </row>
    <row r="43" spans="3:14" customFormat="1" ht="15" customHeight="1" x14ac:dyDescent="0.15">
      <c r="C43" s="82">
        <v>42</v>
      </c>
      <c r="E43" s="181" t="s">
        <v>233</v>
      </c>
      <c r="F43" s="82">
        <v>3</v>
      </c>
      <c r="G43" s="82">
        <v>0</v>
      </c>
      <c r="H43" s="82">
        <v>0</v>
      </c>
      <c r="I43" s="82">
        <v>0</v>
      </c>
      <c r="J43" s="82">
        <v>0</v>
      </c>
      <c r="K43" s="82">
        <v>0</v>
      </c>
      <c r="L43" s="82">
        <v>0</v>
      </c>
      <c r="M43" s="82">
        <v>0</v>
      </c>
      <c r="N43" s="82">
        <v>0</v>
      </c>
    </row>
    <row r="44" spans="3:14" customFormat="1" ht="15" customHeight="1" x14ac:dyDescent="0.15">
      <c r="C44" s="82">
        <v>43</v>
      </c>
      <c r="E44" s="181" t="s">
        <v>234</v>
      </c>
      <c r="F44" s="82">
        <v>3</v>
      </c>
      <c r="G44" s="82">
        <v>0</v>
      </c>
      <c r="H44" s="82">
        <v>0</v>
      </c>
      <c r="I44" s="82">
        <v>0</v>
      </c>
      <c r="J44" s="82">
        <v>0</v>
      </c>
      <c r="K44" s="82">
        <v>0</v>
      </c>
      <c r="L44" s="82">
        <v>0</v>
      </c>
      <c r="M44" s="82">
        <v>0</v>
      </c>
      <c r="N44" s="82">
        <v>0</v>
      </c>
    </row>
    <row r="45" spans="3:14" customFormat="1" ht="15" customHeight="1" x14ac:dyDescent="0.15">
      <c r="C45" s="82">
        <v>44</v>
      </c>
      <c r="E45" s="181" t="s">
        <v>235</v>
      </c>
      <c r="F45" s="82">
        <v>3</v>
      </c>
      <c r="G45" s="82">
        <v>0</v>
      </c>
      <c r="H45" s="82">
        <v>0</v>
      </c>
      <c r="I45" s="82">
        <v>0</v>
      </c>
      <c r="J45" s="82">
        <v>0</v>
      </c>
      <c r="K45" s="82">
        <v>0</v>
      </c>
      <c r="L45" s="82">
        <v>0</v>
      </c>
      <c r="M45" s="82">
        <v>0</v>
      </c>
      <c r="N45" s="82">
        <v>0</v>
      </c>
    </row>
    <row r="46" spans="3:14" customFormat="1" ht="15" customHeight="1" x14ac:dyDescent="0.15">
      <c r="C46" s="82">
        <v>45</v>
      </c>
      <c r="E46" s="181" t="s">
        <v>236</v>
      </c>
      <c r="F46" s="82">
        <v>3</v>
      </c>
      <c r="G46" s="82">
        <v>0</v>
      </c>
      <c r="H46" s="82">
        <v>0</v>
      </c>
      <c r="I46" s="82">
        <v>0</v>
      </c>
      <c r="J46" s="82">
        <v>0</v>
      </c>
      <c r="K46" s="82">
        <v>0</v>
      </c>
      <c r="L46" s="82">
        <v>0</v>
      </c>
      <c r="M46" s="82">
        <v>0</v>
      </c>
      <c r="N46" s="82">
        <v>0</v>
      </c>
    </row>
    <row r="47" spans="3:14" customFormat="1" ht="15" customHeight="1" x14ac:dyDescent="0.15">
      <c r="C47" s="82">
        <v>46</v>
      </c>
      <c r="E47" s="181" t="s">
        <v>237</v>
      </c>
      <c r="F47" s="82">
        <v>3</v>
      </c>
      <c r="G47" s="82">
        <v>0</v>
      </c>
      <c r="H47" s="82">
        <v>0</v>
      </c>
      <c r="I47" s="82">
        <v>0</v>
      </c>
      <c r="J47" s="82">
        <v>0</v>
      </c>
      <c r="K47" s="82">
        <v>0</v>
      </c>
      <c r="L47" s="82">
        <v>0</v>
      </c>
      <c r="M47" s="82">
        <v>0</v>
      </c>
      <c r="N47" s="82">
        <v>0</v>
      </c>
    </row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M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46" bestFit="1" customWidth="1"/>
    <col min="2" max="4" width="15.83203125" style="146" bestFit="1" customWidth="1"/>
    <col min="5" max="5" width="7.83203125" style="146" bestFit="1" customWidth="1"/>
    <col min="6" max="6" width="15.83203125" style="146" bestFit="1" customWidth="1"/>
    <col min="7" max="7" width="14.83203125" style="146" bestFit="1" customWidth="1"/>
    <col min="8" max="8" width="15.83203125" style="146" bestFit="1" customWidth="1"/>
    <col min="9" max="9" width="5.83203125" style="146" bestFit="1" customWidth="1"/>
    <col min="10" max="10" width="7.83203125" style="146" bestFit="1" customWidth="1"/>
    <col min="11" max="11" width="14.83203125" style="146" bestFit="1" customWidth="1"/>
    <col min="12" max="15" width="7.83203125" style="146" bestFit="1" customWidth="1"/>
    <col min="16" max="16" width="12.83203125" style="146" bestFit="1" customWidth="1"/>
    <col min="17" max="20" width="7.83203125" style="146" bestFit="1" customWidth="1"/>
    <col min="21" max="22" width="13.83203125" style="146" bestFit="1" customWidth="1"/>
    <col min="23" max="23" width="7.83203125" style="146" bestFit="1" customWidth="1"/>
    <col min="24" max="25" width="14.83203125" style="146" bestFit="1" customWidth="1"/>
    <col min="26" max="27" width="7.83203125" style="146" bestFit="1" customWidth="1"/>
    <col min="28" max="28" width="4.83203125" style="146" bestFit="1" customWidth="1"/>
    <col min="29" max="29" width="7.83203125" style="146" bestFit="1" customWidth="1"/>
    <col min="30" max="33" width="7.83203125" style="146" customWidth="1"/>
    <col min="34" max="35" width="4.83203125" style="146" customWidth="1"/>
    <col min="36" max="36" width="5.83203125" style="146" customWidth="1"/>
    <col min="37" max="39" width="2.33203125" style="146" customWidth="1"/>
    <col min="40" max="16384" width="8.83203125" style="146"/>
  </cols>
  <sheetData>
    <row r="1" spans="1:39" x14ac:dyDescent="0.15">
      <c r="A1" s="145" t="s">
        <v>19</v>
      </c>
      <c r="B1" s="183" t="s">
        <v>192</v>
      </c>
      <c r="C1" s="183" t="s">
        <v>193</v>
      </c>
      <c r="D1" s="183" t="s">
        <v>194</v>
      </c>
      <c r="E1" s="183" t="s">
        <v>195</v>
      </c>
      <c r="F1" s="183" t="s">
        <v>196</v>
      </c>
      <c r="G1" s="183" t="s">
        <v>197</v>
      </c>
      <c r="H1" s="183" t="s">
        <v>198</v>
      </c>
      <c r="I1" s="183" t="s">
        <v>199</v>
      </c>
      <c r="J1" s="183" t="s">
        <v>200</v>
      </c>
      <c r="K1" s="183" t="s">
        <v>201</v>
      </c>
      <c r="L1" s="183" t="s">
        <v>202</v>
      </c>
      <c r="M1" s="183" t="s">
        <v>203</v>
      </c>
      <c r="N1" s="183" t="s">
        <v>204</v>
      </c>
      <c r="O1" s="183" t="s">
        <v>205</v>
      </c>
      <c r="P1" s="183" t="s">
        <v>206</v>
      </c>
      <c r="Q1" s="183" t="s">
        <v>207</v>
      </c>
      <c r="R1" s="183" t="s">
        <v>208</v>
      </c>
      <c r="S1" s="183" t="s">
        <v>209</v>
      </c>
      <c r="T1" s="183" t="s">
        <v>210</v>
      </c>
      <c r="U1" s="183" t="s">
        <v>211</v>
      </c>
      <c r="V1" s="183" t="s">
        <v>212</v>
      </c>
      <c r="W1" s="183" t="s">
        <v>213</v>
      </c>
      <c r="X1" s="183" t="s">
        <v>214</v>
      </c>
      <c r="Y1" s="183" t="s">
        <v>215</v>
      </c>
      <c r="Z1" s="183" t="s">
        <v>216</v>
      </c>
      <c r="AA1" s="183" t="s">
        <v>217</v>
      </c>
      <c r="AB1" s="183" t="s">
        <v>218</v>
      </c>
      <c r="AC1" s="183" t="s">
        <v>219</v>
      </c>
      <c r="AD1" s="183" t="s">
        <v>220</v>
      </c>
      <c r="AE1" s="183" t="s">
        <v>221</v>
      </c>
      <c r="AF1" s="183" t="s">
        <v>222</v>
      </c>
      <c r="AG1" s="183" t="s">
        <v>223</v>
      </c>
      <c r="AH1" s="183" t="s">
        <v>224</v>
      </c>
      <c r="AI1" s="183" t="s">
        <v>225</v>
      </c>
      <c r="AJ1" s="183" t="s">
        <v>226</v>
      </c>
      <c r="AK1" s="183" t="s">
        <v>227</v>
      </c>
      <c r="AL1" s="183" t="s">
        <v>228</v>
      </c>
      <c r="AM1" s="183" t="s">
        <v>229</v>
      </c>
    </row>
    <row r="2" spans="1:39" customFormat="1" x14ac:dyDescent="0.15">
      <c r="A2" s="182" t="s">
        <v>192</v>
      </c>
      <c r="B2" s="146">
        <v>5.4499783273038993E-4</v>
      </c>
      <c r="C2" s="146">
        <v>0</v>
      </c>
      <c r="D2" s="146">
        <v>0</v>
      </c>
      <c r="E2" s="146">
        <v>0</v>
      </c>
      <c r="F2" s="146">
        <v>0</v>
      </c>
      <c r="G2" s="146">
        <v>0</v>
      </c>
      <c r="H2" s="146">
        <v>4.9979746848412996E-3</v>
      </c>
      <c r="I2" s="146">
        <v>0</v>
      </c>
      <c r="J2" s="146">
        <v>0</v>
      </c>
      <c r="K2" s="146">
        <v>0</v>
      </c>
      <c r="L2" s="146">
        <v>0</v>
      </c>
      <c r="M2" s="146">
        <v>0</v>
      </c>
      <c r="N2" s="146">
        <v>0</v>
      </c>
      <c r="O2" s="146">
        <v>0</v>
      </c>
      <c r="P2" s="146">
        <v>0</v>
      </c>
      <c r="Q2" s="146">
        <v>0</v>
      </c>
      <c r="R2" s="146">
        <v>0</v>
      </c>
      <c r="S2" s="146">
        <v>0</v>
      </c>
      <c r="T2" s="146">
        <v>0</v>
      </c>
      <c r="U2" s="146">
        <v>0</v>
      </c>
      <c r="V2" s="146">
        <v>0</v>
      </c>
      <c r="W2" s="146">
        <v>0</v>
      </c>
      <c r="X2" s="146">
        <v>0</v>
      </c>
      <c r="Y2" s="146">
        <v>0</v>
      </c>
      <c r="Z2" s="146">
        <v>0</v>
      </c>
      <c r="AA2" s="146">
        <v>0</v>
      </c>
      <c r="AB2" s="146">
        <v>0</v>
      </c>
      <c r="AC2" s="146">
        <v>0</v>
      </c>
      <c r="AD2" s="146">
        <v>0</v>
      </c>
      <c r="AE2" s="146">
        <v>0</v>
      </c>
      <c r="AF2" s="146">
        <v>0</v>
      </c>
      <c r="AG2" s="146">
        <v>0</v>
      </c>
      <c r="AH2" s="146">
        <v>0</v>
      </c>
      <c r="AI2" s="146">
        <v>0</v>
      </c>
      <c r="AJ2" s="146">
        <v>0</v>
      </c>
      <c r="AK2" s="146">
        <v>0</v>
      </c>
      <c r="AL2" s="146">
        <v>0</v>
      </c>
      <c r="AM2" s="146">
        <v>0</v>
      </c>
    </row>
    <row r="3" spans="1:39" customFormat="1" x14ac:dyDescent="0.15">
      <c r="A3" s="182" t="s">
        <v>193</v>
      </c>
      <c r="B3" s="146">
        <v>0</v>
      </c>
      <c r="C3" s="146">
        <v>0</v>
      </c>
      <c r="D3" s="146">
        <v>0</v>
      </c>
      <c r="E3" s="146">
        <v>0</v>
      </c>
      <c r="F3" s="146">
        <v>0</v>
      </c>
      <c r="G3" s="146">
        <v>0</v>
      </c>
      <c r="H3" s="146">
        <v>9.9999499096464541E-6</v>
      </c>
      <c r="I3" s="146">
        <v>0</v>
      </c>
      <c r="J3" s="146">
        <v>0</v>
      </c>
      <c r="K3" s="146">
        <v>0</v>
      </c>
      <c r="L3" s="146">
        <v>0</v>
      </c>
      <c r="M3" s="146">
        <v>0</v>
      </c>
      <c r="N3" s="146">
        <v>0</v>
      </c>
      <c r="O3" s="146">
        <v>0</v>
      </c>
      <c r="P3" s="146">
        <v>0</v>
      </c>
      <c r="Q3" s="146">
        <v>0</v>
      </c>
      <c r="R3" s="146">
        <v>0</v>
      </c>
      <c r="S3" s="146">
        <v>0</v>
      </c>
      <c r="T3" s="146">
        <v>0</v>
      </c>
      <c r="U3" s="146">
        <v>0</v>
      </c>
      <c r="V3" s="146">
        <v>0</v>
      </c>
      <c r="W3" s="146">
        <v>0</v>
      </c>
      <c r="X3" s="146">
        <v>0</v>
      </c>
      <c r="Y3" s="146">
        <v>0</v>
      </c>
      <c r="Z3" s="146">
        <v>0</v>
      </c>
      <c r="AA3" s="146">
        <v>0</v>
      </c>
      <c r="AB3" s="146">
        <v>0</v>
      </c>
      <c r="AC3" s="146">
        <v>0</v>
      </c>
      <c r="AD3" s="146">
        <v>0</v>
      </c>
      <c r="AE3" s="146">
        <v>0</v>
      </c>
      <c r="AF3" s="146">
        <v>0</v>
      </c>
      <c r="AG3" s="146">
        <v>0</v>
      </c>
      <c r="AH3" s="146">
        <v>0</v>
      </c>
      <c r="AI3" s="146">
        <v>0</v>
      </c>
      <c r="AJ3" s="146">
        <v>0</v>
      </c>
      <c r="AK3" s="146">
        <v>0</v>
      </c>
      <c r="AL3" s="146">
        <v>0</v>
      </c>
      <c r="AM3" s="146">
        <v>0</v>
      </c>
    </row>
    <row r="4" spans="1:39" customFormat="1" x14ac:dyDescent="0.15">
      <c r="A4" s="182" t="s">
        <v>194</v>
      </c>
      <c r="B4" s="146">
        <v>5.0499799632815971E-4</v>
      </c>
      <c r="C4" s="146">
        <v>9.8099612921210416E-4</v>
      </c>
      <c r="D4" s="146">
        <v>0</v>
      </c>
      <c r="E4" s="146">
        <v>0</v>
      </c>
      <c r="F4" s="146">
        <v>0</v>
      </c>
      <c r="G4" s="146">
        <v>0</v>
      </c>
      <c r="H4" s="146">
        <v>9.9999499096464534E-4</v>
      </c>
      <c r="I4" s="146">
        <v>0</v>
      </c>
      <c r="J4" s="146">
        <v>0</v>
      </c>
      <c r="K4" s="146">
        <v>0</v>
      </c>
      <c r="L4" s="146">
        <v>0</v>
      </c>
      <c r="M4" s="146">
        <v>0</v>
      </c>
      <c r="N4" s="146">
        <v>0</v>
      </c>
      <c r="O4" s="146">
        <v>0</v>
      </c>
      <c r="P4" s="146">
        <v>0</v>
      </c>
      <c r="Q4" s="146">
        <v>0</v>
      </c>
      <c r="R4" s="146">
        <v>0</v>
      </c>
      <c r="S4" s="146">
        <v>0</v>
      </c>
      <c r="T4" s="146">
        <v>0</v>
      </c>
      <c r="U4" s="146">
        <v>0</v>
      </c>
      <c r="V4" s="146">
        <v>0</v>
      </c>
      <c r="W4" s="146">
        <v>0</v>
      </c>
      <c r="X4" s="146">
        <v>0</v>
      </c>
      <c r="Y4" s="146">
        <v>0</v>
      </c>
      <c r="Z4" s="146">
        <v>0</v>
      </c>
      <c r="AA4" s="146">
        <v>0</v>
      </c>
      <c r="AB4" s="146">
        <v>0</v>
      </c>
      <c r="AC4" s="146">
        <v>0</v>
      </c>
      <c r="AD4" s="146">
        <v>0</v>
      </c>
      <c r="AE4" s="146">
        <v>0</v>
      </c>
      <c r="AF4" s="146">
        <v>0</v>
      </c>
      <c r="AG4" s="146">
        <v>0</v>
      </c>
      <c r="AH4" s="146">
        <v>0</v>
      </c>
      <c r="AI4" s="146">
        <v>0</v>
      </c>
      <c r="AJ4" s="146">
        <v>0</v>
      </c>
      <c r="AK4" s="146">
        <v>0</v>
      </c>
      <c r="AL4" s="146">
        <v>0</v>
      </c>
      <c r="AM4" s="146">
        <v>0</v>
      </c>
    </row>
    <row r="5" spans="1:39" customFormat="1" x14ac:dyDescent="0.15">
      <c r="A5" s="182" t="s">
        <v>195</v>
      </c>
      <c r="B5" s="146">
        <v>5.0499799632815971E-4</v>
      </c>
      <c r="C5" s="146">
        <v>0</v>
      </c>
      <c r="D5" s="146">
        <v>9.003871998703441E-5</v>
      </c>
      <c r="E5" s="146">
        <v>0</v>
      </c>
      <c r="F5" s="146">
        <v>9.999990563600411E-4</v>
      </c>
      <c r="G5" s="146">
        <v>0</v>
      </c>
      <c r="H5" s="146">
        <v>4.9999749548232267E-4</v>
      </c>
      <c r="I5" s="146">
        <v>1E-3</v>
      </c>
      <c r="J5" s="146">
        <v>1.0000000000000002E-3</v>
      </c>
      <c r="K5" s="146">
        <v>1.000000065089994E-3</v>
      </c>
      <c r="L5" s="146">
        <v>1.0099999999999998E-3</v>
      </c>
      <c r="M5" s="146">
        <v>0</v>
      </c>
      <c r="N5" s="146">
        <v>8.5999999999999998E-4</v>
      </c>
      <c r="O5" s="146">
        <v>0</v>
      </c>
      <c r="P5" s="146">
        <v>0</v>
      </c>
      <c r="Q5" s="146">
        <v>0</v>
      </c>
      <c r="R5" s="146">
        <v>0</v>
      </c>
      <c r="S5" s="146">
        <v>0</v>
      </c>
      <c r="T5" s="146">
        <v>0</v>
      </c>
      <c r="U5" s="146">
        <v>0</v>
      </c>
      <c r="V5" s="146">
        <v>0</v>
      </c>
      <c r="W5" s="146">
        <v>0</v>
      </c>
      <c r="X5" s="146">
        <v>0</v>
      </c>
      <c r="Y5" s="146">
        <v>1.0000000759199936E-3</v>
      </c>
      <c r="Z5" s="146">
        <v>0</v>
      </c>
      <c r="AA5" s="146">
        <v>0</v>
      </c>
      <c r="AB5" s="146">
        <v>0</v>
      </c>
      <c r="AC5" s="146">
        <v>0</v>
      </c>
      <c r="AD5" s="146">
        <v>0</v>
      </c>
      <c r="AE5" s="146">
        <v>0</v>
      </c>
      <c r="AF5" s="146">
        <v>0</v>
      </c>
      <c r="AG5" s="146">
        <v>0</v>
      </c>
      <c r="AH5" s="146">
        <v>0</v>
      </c>
      <c r="AI5" s="146">
        <v>0</v>
      </c>
      <c r="AJ5" s="146">
        <v>0</v>
      </c>
      <c r="AK5" s="146">
        <v>0</v>
      </c>
      <c r="AL5" s="146">
        <v>0</v>
      </c>
      <c r="AM5" s="146">
        <v>0</v>
      </c>
    </row>
    <row r="6" spans="1:39" customFormat="1" x14ac:dyDescent="0.15">
      <c r="A6" s="182" t="s">
        <v>196</v>
      </c>
      <c r="B6" s="146">
        <v>0.38624244219617615</v>
      </c>
      <c r="C6" s="146">
        <v>9.8099612921210416E-4</v>
      </c>
      <c r="D6" s="146">
        <v>4.3518709993733305E-3</v>
      </c>
      <c r="E6" s="146">
        <v>0.14060000000000003</v>
      </c>
      <c r="F6" s="146">
        <v>4.8392953088131518E-2</v>
      </c>
      <c r="G6" s="146">
        <v>7.9999998761599873E-3</v>
      </c>
      <c r="H6" s="146">
        <v>2.8985853938101217E-2</v>
      </c>
      <c r="I6" s="146">
        <v>0</v>
      </c>
      <c r="J6" s="146">
        <v>0</v>
      </c>
      <c r="K6" s="146">
        <v>0</v>
      </c>
      <c r="L6" s="146">
        <v>0</v>
      </c>
      <c r="M6" s="146">
        <v>0</v>
      </c>
      <c r="N6" s="146">
        <v>7.3840000000000003E-2</v>
      </c>
      <c r="O6" s="146">
        <v>0</v>
      </c>
      <c r="P6" s="146">
        <v>0</v>
      </c>
      <c r="Q6" s="146">
        <v>1.004E-2</v>
      </c>
      <c r="R6" s="146">
        <v>1.0999999999999999E-2</v>
      </c>
      <c r="S6" s="146">
        <v>0</v>
      </c>
      <c r="T6" s="146">
        <v>0</v>
      </c>
      <c r="U6" s="146">
        <v>0</v>
      </c>
      <c r="V6" s="146">
        <v>0</v>
      </c>
      <c r="W6" s="146">
        <v>0</v>
      </c>
      <c r="X6" s="146">
        <v>0</v>
      </c>
      <c r="Y6" s="146">
        <v>0</v>
      </c>
      <c r="Z6" s="146">
        <v>0</v>
      </c>
      <c r="AA6" s="146">
        <v>0</v>
      </c>
      <c r="AB6" s="146">
        <v>0</v>
      </c>
      <c r="AC6" s="146">
        <v>0</v>
      </c>
      <c r="AD6" s="146">
        <v>0</v>
      </c>
      <c r="AE6" s="146">
        <v>0</v>
      </c>
      <c r="AF6" s="146">
        <v>0</v>
      </c>
      <c r="AG6" s="146">
        <v>0</v>
      </c>
      <c r="AH6" s="146">
        <v>0</v>
      </c>
      <c r="AI6" s="146">
        <v>0</v>
      </c>
      <c r="AJ6" s="146">
        <v>0</v>
      </c>
      <c r="AK6" s="146">
        <v>0</v>
      </c>
      <c r="AL6" s="146">
        <v>0</v>
      </c>
      <c r="AM6" s="146">
        <v>0</v>
      </c>
    </row>
    <row r="7" spans="1:39" customFormat="1" x14ac:dyDescent="0.15">
      <c r="A7" s="182" t="s">
        <v>197</v>
      </c>
      <c r="B7" s="146">
        <v>0.34606262078313677</v>
      </c>
      <c r="C7" s="146">
        <v>6.3042745450885923E-2</v>
      </c>
      <c r="D7" s="146">
        <v>9.2929959986618071E-2</v>
      </c>
      <c r="E7" s="146">
        <v>2.1080000000000005E-2</v>
      </c>
      <c r="F7" s="146">
        <v>0.12300587663202353</v>
      </c>
      <c r="G7" s="146">
        <v>1.9999999890399987E-2</v>
      </c>
      <c r="H7" s="146">
        <v>2.0189899817576181E-2</v>
      </c>
      <c r="I7" s="146">
        <v>0</v>
      </c>
      <c r="J7" s="146">
        <v>0</v>
      </c>
      <c r="K7" s="146">
        <v>0</v>
      </c>
      <c r="L7" s="146">
        <v>0</v>
      </c>
      <c r="M7" s="146">
        <v>0.10474</v>
      </c>
      <c r="N7" s="146">
        <v>3.04E-2</v>
      </c>
      <c r="O7" s="146">
        <v>3.9930000000000007E-2</v>
      </c>
      <c r="P7" s="146">
        <v>0</v>
      </c>
      <c r="Q7" s="146">
        <v>0</v>
      </c>
      <c r="R7" s="146">
        <v>6.6E-3</v>
      </c>
      <c r="S7" s="146">
        <v>0</v>
      </c>
      <c r="T7" s="146">
        <v>0</v>
      </c>
      <c r="U7" s="146">
        <v>0</v>
      </c>
      <c r="V7" s="146">
        <v>0</v>
      </c>
      <c r="W7" s="146">
        <v>2.7799999999999999E-3</v>
      </c>
      <c r="X7" s="146">
        <v>0</v>
      </c>
      <c r="Y7" s="146">
        <v>0</v>
      </c>
      <c r="Z7" s="146">
        <v>0</v>
      </c>
      <c r="AA7" s="146">
        <v>0</v>
      </c>
      <c r="AB7" s="146">
        <v>0</v>
      </c>
      <c r="AC7" s="146">
        <v>0</v>
      </c>
      <c r="AD7" s="146">
        <v>0</v>
      </c>
      <c r="AE7" s="146">
        <v>0</v>
      </c>
      <c r="AF7" s="146">
        <v>0</v>
      </c>
      <c r="AG7" s="146">
        <v>0</v>
      </c>
      <c r="AH7" s="146">
        <v>0</v>
      </c>
      <c r="AI7" s="146">
        <v>0</v>
      </c>
      <c r="AJ7" s="146">
        <v>0</v>
      </c>
      <c r="AK7" s="146">
        <v>0</v>
      </c>
      <c r="AL7" s="146">
        <v>0</v>
      </c>
      <c r="AM7" s="146">
        <v>0</v>
      </c>
    </row>
    <row r="8" spans="1:39" customFormat="1" x14ac:dyDescent="0.15">
      <c r="A8" s="182" t="s">
        <v>198</v>
      </c>
      <c r="B8" s="146">
        <v>0</v>
      </c>
      <c r="C8" s="146">
        <v>9.9999597384109061E-5</v>
      </c>
      <c r="D8" s="146">
        <v>0</v>
      </c>
      <c r="E8" s="146">
        <v>1.0500000000000002E-3</v>
      </c>
      <c r="F8" s="146">
        <v>0</v>
      </c>
      <c r="G8" s="146">
        <v>0</v>
      </c>
      <c r="H8" s="146">
        <v>4.0979794829731166E-2</v>
      </c>
      <c r="I8" s="146">
        <v>0</v>
      </c>
      <c r="J8" s="146">
        <v>0</v>
      </c>
      <c r="K8" s="146">
        <v>0</v>
      </c>
      <c r="L8" s="146">
        <v>0</v>
      </c>
      <c r="M8" s="146">
        <v>0</v>
      </c>
      <c r="N8" s="146">
        <v>0</v>
      </c>
      <c r="O8" s="146">
        <v>0</v>
      </c>
      <c r="P8" s="146">
        <v>0</v>
      </c>
      <c r="Q8" s="146">
        <v>0</v>
      </c>
      <c r="R8" s="146">
        <v>0</v>
      </c>
      <c r="S8" s="146">
        <v>0</v>
      </c>
      <c r="T8" s="146">
        <v>0</v>
      </c>
      <c r="U8" s="146">
        <v>0</v>
      </c>
      <c r="V8" s="146">
        <v>0</v>
      </c>
      <c r="W8" s="146">
        <v>0</v>
      </c>
      <c r="X8" s="146">
        <v>0</v>
      </c>
      <c r="Y8" s="146">
        <v>0</v>
      </c>
      <c r="Z8" s="146">
        <v>0</v>
      </c>
      <c r="AA8" s="146">
        <v>0</v>
      </c>
      <c r="AB8" s="146">
        <v>0</v>
      </c>
      <c r="AC8" s="146">
        <v>0</v>
      </c>
      <c r="AD8" s="146">
        <v>0</v>
      </c>
      <c r="AE8" s="146">
        <v>0</v>
      </c>
      <c r="AF8" s="146">
        <v>0</v>
      </c>
      <c r="AG8" s="146">
        <v>0</v>
      </c>
      <c r="AH8" s="146">
        <v>0</v>
      </c>
      <c r="AI8" s="146">
        <v>0</v>
      </c>
      <c r="AJ8" s="146">
        <v>0</v>
      </c>
      <c r="AK8" s="146">
        <v>0</v>
      </c>
      <c r="AL8" s="146">
        <v>0</v>
      </c>
      <c r="AM8" s="146">
        <v>0</v>
      </c>
    </row>
    <row r="9" spans="1:39" customFormat="1" x14ac:dyDescent="0.15">
      <c r="A9" s="182" t="s">
        <v>199</v>
      </c>
      <c r="B9" s="146">
        <v>1.0099959606563175E-4</v>
      </c>
      <c r="C9" s="146">
        <v>0</v>
      </c>
      <c r="D9" s="146">
        <v>0</v>
      </c>
      <c r="E9" s="146">
        <v>0</v>
      </c>
      <c r="F9" s="146">
        <v>0</v>
      </c>
      <c r="G9" s="146">
        <v>4.9999998775999858E-2</v>
      </c>
      <c r="H9" s="146">
        <v>9.9999499096464534E-4</v>
      </c>
      <c r="I9" s="146">
        <v>0</v>
      </c>
      <c r="J9" s="146">
        <v>0</v>
      </c>
      <c r="K9" s="146">
        <v>0</v>
      </c>
      <c r="L9" s="146">
        <v>0</v>
      </c>
      <c r="M9" s="146">
        <v>0</v>
      </c>
      <c r="N9" s="146">
        <v>0</v>
      </c>
      <c r="O9" s="146">
        <v>0</v>
      </c>
      <c r="P9" s="146">
        <v>0</v>
      </c>
      <c r="Q9" s="146">
        <v>0</v>
      </c>
      <c r="R9" s="146">
        <v>0</v>
      </c>
      <c r="S9" s="146">
        <v>0</v>
      </c>
      <c r="T9" s="146">
        <v>0</v>
      </c>
      <c r="U9" s="146">
        <v>0</v>
      </c>
      <c r="V9" s="146">
        <v>0</v>
      </c>
      <c r="W9" s="146">
        <v>0</v>
      </c>
      <c r="X9" s="146">
        <v>0</v>
      </c>
      <c r="Y9" s="146">
        <v>0</v>
      </c>
      <c r="Z9" s="146">
        <v>0</v>
      </c>
      <c r="AA9" s="146">
        <v>0</v>
      </c>
      <c r="AB9" s="146">
        <v>0</v>
      </c>
      <c r="AC9" s="146">
        <v>0</v>
      </c>
      <c r="AD9" s="146">
        <v>0</v>
      </c>
      <c r="AE9" s="146">
        <v>0</v>
      </c>
      <c r="AF9" s="146">
        <v>0</v>
      </c>
      <c r="AG9" s="146">
        <v>0</v>
      </c>
      <c r="AH9" s="146">
        <v>0</v>
      </c>
      <c r="AI9" s="146">
        <v>0</v>
      </c>
      <c r="AJ9" s="146">
        <v>0</v>
      </c>
      <c r="AK9" s="146">
        <v>0</v>
      </c>
      <c r="AL9" s="146">
        <v>0</v>
      </c>
      <c r="AM9" s="146">
        <v>0</v>
      </c>
    </row>
    <row r="10" spans="1:39" customFormat="1" x14ac:dyDescent="0.15">
      <c r="A10" s="182" t="s">
        <v>200</v>
      </c>
      <c r="B10" s="146">
        <v>1.0145960009325775E-2</v>
      </c>
      <c r="C10" s="146">
        <v>1.8509925364338594E-3</v>
      </c>
      <c r="D10" s="146">
        <v>2.9912859995692544E-3</v>
      </c>
      <c r="E10" s="146">
        <v>9.3420000000000017E-2</v>
      </c>
      <c r="F10" s="146">
        <v>8.9969906073713284E-3</v>
      </c>
      <c r="G10" s="146">
        <v>4.9999998775999858E-2</v>
      </c>
      <c r="H10" s="146">
        <v>2.3457882688048649E-2</v>
      </c>
      <c r="I10" s="146">
        <v>0</v>
      </c>
      <c r="J10" s="146">
        <v>7.709000000000002E-2</v>
      </c>
      <c r="K10" s="146">
        <v>5.199999986468002E-2</v>
      </c>
      <c r="L10" s="146">
        <v>0</v>
      </c>
      <c r="M10" s="146">
        <v>0</v>
      </c>
      <c r="N10" s="146">
        <v>1.268E-2</v>
      </c>
      <c r="O10" s="146">
        <v>0</v>
      </c>
      <c r="P10" s="146">
        <v>0</v>
      </c>
      <c r="Q10" s="146">
        <v>1E-4</v>
      </c>
      <c r="R10" s="146">
        <v>5.3200000000000001E-3</v>
      </c>
      <c r="S10" s="146">
        <v>0</v>
      </c>
      <c r="T10" s="146">
        <v>0</v>
      </c>
      <c r="U10" s="146">
        <v>0</v>
      </c>
      <c r="V10" s="146">
        <v>0</v>
      </c>
      <c r="W10" s="146">
        <v>0</v>
      </c>
      <c r="X10" s="146">
        <v>0</v>
      </c>
      <c r="Y10" s="146">
        <v>0</v>
      </c>
      <c r="Z10" s="146">
        <v>0</v>
      </c>
      <c r="AA10" s="146">
        <v>0</v>
      </c>
      <c r="AB10" s="146">
        <v>0</v>
      </c>
      <c r="AC10" s="146">
        <v>0</v>
      </c>
      <c r="AD10" s="146">
        <v>0</v>
      </c>
      <c r="AE10" s="146">
        <v>0</v>
      </c>
      <c r="AF10" s="146">
        <v>0</v>
      </c>
      <c r="AG10" s="146">
        <v>0</v>
      </c>
      <c r="AH10" s="146">
        <v>0</v>
      </c>
      <c r="AI10" s="146">
        <v>0</v>
      </c>
      <c r="AJ10" s="146">
        <v>0</v>
      </c>
      <c r="AK10" s="146">
        <v>0</v>
      </c>
      <c r="AL10" s="146">
        <v>0</v>
      </c>
      <c r="AM10" s="146">
        <v>0</v>
      </c>
    </row>
    <row r="11" spans="1:39" customFormat="1" x14ac:dyDescent="0.15">
      <c r="A11" s="182" t="s">
        <v>201</v>
      </c>
      <c r="B11" s="146">
        <v>0</v>
      </c>
      <c r="C11" s="146">
        <v>1.0009960277689274E-3</v>
      </c>
      <c r="D11" s="146">
        <v>0</v>
      </c>
      <c r="E11" s="146">
        <v>0</v>
      </c>
      <c r="F11" s="146">
        <v>6.996993134651219E-3</v>
      </c>
      <c r="G11" s="146">
        <v>0</v>
      </c>
      <c r="H11" s="146">
        <v>9.9999499096464534E-4</v>
      </c>
      <c r="I11" s="146">
        <v>0</v>
      </c>
      <c r="J11" s="146">
        <v>1.5720000000000005E-2</v>
      </c>
      <c r="K11" s="146">
        <v>0</v>
      </c>
      <c r="L11" s="146">
        <v>0</v>
      </c>
      <c r="M11" s="146">
        <v>0</v>
      </c>
      <c r="N11" s="146">
        <v>0</v>
      </c>
      <c r="O11" s="146">
        <v>0</v>
      </c>
      <c r="P11" s="146">
        <v>0</v>
      </c>
      <c r="Q11" s="146">
        <v>1E-4</v>
      </c>
      <c r="R11" s="146">
        <v>0</v>
      </c>
      <c r="S11" s="146">
        <v>0</v>
      </c>
      <c r="T11" s="146">
        <v>0</v>
      </c>
      <c r="U11" s="146">
        <v>0</v>
      </c>
      <c r="V11" s="146">
        <v>0</v>
      </c>
      <c r="W11" s="146">
        <v>0</v>
      </c>
      <c r="X11" s="146">
        <v>0</v>
      </c>
      <c r="Y11" s="146">
        <v>0</v>
      </c>
      <c r="Z11" s="146">
        <v>0</v>
      </c>
      <c r="AA11" s="146">
        <v>0</v>
      </c>
      <c r="AB11" s="146">
        <v>0</v>
      </c>
      <c r="AC11" s="146">
        <v>0</v>
      </c>
      <c r="AD11" s="146">
        <v>0</v>
      </c>
      <c r="AE11" s="146">
        <v>0</v>
      </c>
      <c r="AF11" s="146">
        <v>0</v>
      </c>
      <c r="AG11" s="146">
        <v>0</v>
      </c>
      <c r="AH11" s="146">
        <v>0</v>
      </c>
      <c r="AI11" s="146">
        <v>0</v>
      </c>
      <c r="AJ11" s="146">
        <v>0</v>
      </c>
      <c r="AK11" s="146">
        <v>0</v>
      </c>
      <c r="AL11" s="146">
        <v>0</v>
      </c>
      <c r="AM11" s="146">
        <v>0</v>
      </c>
    </row>
    <row r="12" spans="1:39" customFormat="1" x14ac:dyDescent="0.15">
      <c r="A12" s="182" t="s">
        <v>202</v>
      </c>
      <c r="B12" s="146">
        <v>0</v>
      </c>
      <c r="C12" s="146">
        <v>0.63672845405418421</v>
      </c>
      <c r="D12" s="146">
        <v>4.3018496893805329E-4</v>
      </c>
      <c r="E12" s="146">
        <v>0</v>
      </c>
      <c r="F12" s="146">
        <v>0.11995688276508162</v>
      </c>
      <c r="G12" s="146">
        <v>0.1000000009520001</v>
      </c>
      <c r="H12" s="146">
        <v>0</v>
      </c>
      <c r="I12" s="146">
        <v>0.01</v>
      </c>
      <c r="J12" s="146">
        <v>0.10723000000000002</v>
      </c>
      <c r="K12" s="146">
        <v>1.1999999861080015E-2</v>
      </c>
      <c r="L12" s="146">
        <v>3.4069999999999996E-2</v>
      </c>
      <c r="M12" s="146">
        <v>0</v>
      </c>
      <c r="N12" s="146">
        <v>1.4800000000000001E-2</v>
      </c>
      <c r="O12" s="146">
        <v>1.8470000000000004E-2</v>
      </c>
      <c r="P12" s="146">
        <v>0</v>
      </c>
      <c r="Q12" s="146">
        <v>0</v>
      </c>
      <c r="R12" s="146">
        <v>0.01</v>
      </c>
      <c r="S12" s="146">
        <v>0</v>
      </c>
      <c r="T12" s="146">
        <v>0</v>
      </c>
      <c r="U12" s="146">
        <v>0</v>
      </c>
      <c r="V12" s="146">
        <v>0</v>
      </c>
      <c r="W12" s="146">
        <v>0</v>
      </c>
      <c r="X12" s="146">
        <v>1.9470059934191201E-3</v>
      </c>
      <c r="Y12" s="146">
        <v>0</v>
      </c>
      <c r="Z12" s="146">
        <v>0</v>
      </c>
      <c r="AA12" s="146">
        <v>0</v>
      </c>
      <c r="AB12" s="146">
        <v>0</v>
      </c>
      <c r="AC12" s="146">
        <v>0</v>
      </c>
      <c r="AD12" s="146">
        <v>0</v>
      </c>
      <c r="AE12" s="146">
        <v>0</v>
      </c>
      <c r="AF12" s="146">
        <v>0</v>
      </c>
      <c r="AG12" s="146">
        <v>0</v>
      </c>
      <c r="AH12" s="146">
        <v>0</v>
      </c>
      <c r="AI12" s="146">
        <v>0</v>
      </c>
      <c r="AJ12" s="146">
        <v>0</v>
      </c>
      <c r="AK12" s="146">
        <v>0</v>
      </c>
      <c r="AL12" s="146">
        <v>0</v>
      </c>
      <c r="AM12" s="146">
        <v>0</v>
      </c>
    </row>
    <row r="13" spans="1:39" customFormat="1" x14ac:dyDescent="0.15">
      <c r="A13" s="182" t="s">
        <v>203</v>
      </c>
      <c r="B13" s="146">
        <v>1.0099959906563194E-3</v>
      </c>
      <c r="C13" s="146">
        <v>0</v>
      </c>
      <c r="D13" s="146">
        <v>5.0021509992796892E-2</v>
      </c>
      <c r="E13" s="146">
        <v>5.2600000000000008E-3</v>
      </c>
      <c r="F13" s="146">
        <v>0</v>
      </c>
      <c r="G13" s="146">
        <v>3.9999999780799975E-2</v>
      </c>
      <c r="H13" s="146">
        <v>9.3849529152031964E-3</v>
      </c>
      <c r="I13" s="146">
        <v>2.4E-2</v>
      </c>
      <c r="J13" s="146">
        <v>0</v>
      </c>
      <c r="K13" s="146">
        <v>0</v>
      </c>
      <c r="L13" s="146">
        <v>0</v>
      </c>
      <c r="M13" s="146">
        <v>5.0000000000000001E-3</v>
      </c>
      <c r="N13" s="146">
        <v>0</v>
      </c>
      <c r="O13" s="146">
        <v>0</v>
      </c>
      <c r="P13" s="146">
        <v>0.10000000140000015</v>
      </c>
      <c r="Q13" s="146">
        <v>0</v>
      </c>
      <c r="R13" s="146">
        <v>0</v>
      </c>
      <c r="S13" s="146">
        <v>0</v>
      </c>
      <c r="T13" s="146">
        <v>0</v>
      </c>
      <c r="U13" s="146">
        <v>0</v>
      </c>
      <c r="V13" s="146">
        <v>0</v>
      </c>
      <c r="W13" s="146">
        <v>0</v>
      </c>
      <c r="X13" s="146">
        <v>1.9470059934191201E-3</v>
      </c>
      <c r="Y13" s="146">
        <v>0</v>
      </c>
      <c r="Z13" s="146">
        <v>0</v>
      </c>
      <c r="AA13" s="146">
        <v>0</v>
      </c>
      <c r="AB13" s="146">
        <v>0</v>
      </c>
      <c r="AC13" s="146">
        <v>0</v>
      </c>
      <c r="AD13" s="146">
        <v>0</v>
      </c>
      <c r="AE13" s="146">
        <v>0</v>
      </c>
      <c r="AF13" s="146">
        <v>0</v>
      </c>
      <c r="AG13" s="146">
        <v>0</v>
      </c>
      <c r="AH13" s="146">
        <v>0</v>
      </c>
      <c r="AI13" s="146">
        <v>0</v>
      </c>
      <c r="AJ13" s="146">
        <v>0</v>
      </c>
      <c r="AK13" s="146">
        <v>0</v>
      </c>
      <c r="AL13" s="146">
        <v>0</v>
      </c>
      <c r="AM13" s="146">
        <v>0</v>
      </c>
    </row>
    <row r="14" spans="1:39" customFormat="1" x14ac:dyDescent="0.15">
      <c r="A14" s="182" t="s">
        <v>204</v>
      </c>
      <c r="B14" s="146">
        <v>0</v>
      </c>
      <c r="C14" s="146">
        <v>0</v>
      </c>
      <c r="D14" s="146">
        <v>4.0017209994237515E-3</v>
      </c>
      <c r="E14" s="146">
        <v>0</v>
      </c>
      <c r="F14" s="146">
        <v>0</v>
      </c>
      <c r="G14" s="146">
        <v>2.9999998885599879E-3</v>
      </c>
      <c r="H14" s="146">
        <v>9.9999499096464534E-4</v>
      </c>
      <c r="I14" s="146">
        <v>5.0000000000000001E-3</v>
      </c>
      <c r="J14" s="146">
        <v>1.7000000000000001E-3</v>
      </c>
      <c r="K14" s="146">
        <v>0</v>
      </c>
      <c r="L14" s="146">
        <v>4.9499999999999995E-3</v>
      </c>
      <c r="M14" s="146">
        <v>0</v>
      </c>
      <c r="N14" s="146">
        <v>0</v>
      </c>
      <c r="O14" s="146">
        <v>3.2400000000000003E-3</v>
      </c>
      <c r="P14" s="146">
        <v>0</v>
      </c>
      <c r="Q14" s="146">
        <v>0</v>
      </c>
      <c r="R14" s="146">
        <v>0</v>
      </c>
      <c r="S14" s="146">
        <v>0</v>
      </c>
      <c r="T14" s="146">
        <v>0</v>
      </c>
      <c r="U14" s="146">
        <v>0</v>
      </c>
      <c r="V14" s="146">
        <v>0</v>
      </c>
      <c r="W14" s="146">
        <v>0</v>
      </c>
      <c r="X14" s="146">
        <v>1.9470059934191201E-3</v>
      </c>
      <c r="Y14" s="146">
        <v>0</v>
      </c>
      <c r="Z14" s="146">
        <v>0</v>
      </c>
      <c r="AA14" s="146">
        <v>0</v>
      </c>
      <c r="AB14" s="146">
        <v>0</v>
      </c>
      <c r="AC14" s="146">
        <v>0</v>
      </c>
      <c r="AD14" s="146">
        <v>0</v>
      </c>
      <c r="AE14" s="146">
        <v>0</v>
      </c>
      <c r="AF14" s="146">
        <v>0</v>
      </c>
      <c r="AG14" s="146">
        <v>0</v>
      </c>
      <c r="AH14" s="146">
        <v>0</v>
      </c>
      <c r="AI14" s="146">
        <v>0</v>
      </c>
      <c r="AJ14" s="146">
        <v>0</v>
      </c>
      <c r="AK14" s="146">
        <v>0</v>
      </c>
      <c r="AL14" s="146">
        <v>0</v>
      </c>
      <c r="AM14" s="146">
        <v>0</v>
      </c>
    </row>
    <row r="15" spans="1:39" customFormat="1" x14ac:dyDescent="0.15">
      <c r="A15" s="182" t="s">
        <v>205</v>
      </c>
      <c r="B15" s="146">
        <v>1.0145960009325775E-2</v>
      </c>
      <c r="C15" s="146">
        <v>9.9999597384109061E-5</v>
      </c>
      <c r="D15" s="146">
        <v>4.1017637694093457E-4</v>
      </c>
      <c r="E15" s="146">
        <v>2.3770000000000003E-2</v>
      </c>
      <c r="F15" s="146">
        <v>1.3594986306714796E-2</v>
      </c>
      <c r="G15" s="146">
        <v>0</v>
      </c>
      <c r="H15" s="146">
        <v>2.2389888597698399E-3</v>
      </c>
      <c r="I15" s="146">
        <v>0</v>
      </c>
      <c r="J15" s="146">
        <v>2.0130000000000002E-2</v>
      </c>
      <c r="K15" s="146">
        <v>3.700000068832994E-2</v>
      </c>
      <c r="L15" s="146">
        <v>2.4799999999999996E-3</v>
      </c>
      <c r="M15" s="146">
        <v>0</v>
      </c>
      <c r="N15" s="146">
        <v>3.49E-3</v>
      </c>
      <c r="O15" s="146">
        <v>4.3000000000000004E-4</v>
      </c>
      <c r="P15" s="146">
        <v>0</v>
      </c>
      <c r="Q15" s="146">
        <v>2.0000000000000001E-4</v>
      </c>
      <c r="R15" s="146">
        <v>7.0000000000000001E-3</v>
      </c>
      <c r="S15" s="146">
        <v>1.319E-2</v>
      </c>
      <c r="T15" s="146">
        <v>0</v>
      </c>
      <c r="U15" s="146">
        <v>0</v>
      </c>
      <c r="V15" s="146">
        <v>0</v>
      </c>
      <c r="W15" s="146">
        <v>0</v>
      </c>
      <c r="X15" s="146">
        <v>3.8940119868382402E-3</v>
      </c>
      <c r="Y15" s="146">
        <v>0</v>
      </c>
      <c r="Z15" s="146">
        <v>0</v>
      </c>
      <c r="AA15" s="146">
        <v>0</v>
      </c>
      <c r="AB15" s="146">
        <v>0</v>
      </c>
      <c r="AC15" s="146">
        <v>0</v>
      </c>
      <c r="AD15" s="146">
        <v>0</v>
      </c>
      <c r="AE15" s="146">
        <v>0</v>
      </c>
      <c r="AF15" s="146">
        <v>0</v>
      </c>
      <c r="AG15" s="146">
        <v>0</v>
      </c>
      <c r="AH15" s="146">
        <v>0</v>
      </c>
      <c r="AI15" s="146">
        <v>0</v>
      </c>
      <c r="AJ15" s="146">
        <v>0</v>
      </c>
      <c r="AK15" s="146">
        <v>0</v>
      </c>
      <c r="AL15" s="146">
        <v>0</v>
      </c>
      <c r="AM15" s="146">
        <v>0</v>
      </c>
    </row>
    <row r="16" spans="1:39" customFormat="1" x14ac:dyDescent="0.15">
      <c r="A16" s="182" t="s">
        <v>206</v>
      </c>
      <c r="B16" s="146">
        <v>5.0499799632815971E-4</v>
      </c>
      <c r="C16" s="146">
        <v>9.8099612921210416E-4</v>
      </c>
      <c r="D16" s="146">
        <v>4.3018496893805329E-4</v>
      </c>
      <c r="E16" s="146">
        <v>0</v>
      </c>
      <c r="F16" s="146">
        <v>0</v>
      </c>
      <c r="G16" s="146">
        <v>7.9999998761599869E-2</v>
      </c>
      <c r="H16" s="146">
        <v>5.0999739539196959E-4</v>
      </c>
      <c r="I16" s="146">
        <v>0</v>
      </c>
      <c r="J16" s="146">
        <v>0</v>
      </c>
      <c r="K16" s="146">
        <v>0</v>
      </c>
      <c r="L16" s="146">
        <v>0</v>
      </c>
      <c r="M16" s="146">
        <v>0</v>
      </c>
      <c r="N16" s="146">
        <v>0</v>
      </c>
      <c r="O16" s="146">
        <v>0</v>
      </c>
      <c r="P16" s="146">
        <v>0</v>
      </c>
      <c r="Q16" s="146">
        <v>0</v>
      </c>
      <c r="R16" s="146">
        <v>0</v>
      </c>
      <c r="S16" s="146">
        <v>0</v>
      </c>
      <c r="T16" s="146">
        <v>0</v>
      </c>
      <c r="U16" s="146">
        <v>0</v>
      </c>
      <c r="V16" s="146">
        <v>0</v>
      </c>
      <c r="W16" s="146">
        <v>0</v>
      </c>
      <c r="X16" s="146">
        <v>0</v>
      </c>
      <c r="Y16" s="146">
        <v>0</v>
      </c>
      <c r="Z16" s="146">
        <v>0</v>
      </c>
      <c r="AA16" s="146">
        <v>0</v>
      </c>
      <c r="AB16" s="146">
        <v>0</v>
      </c>
      <c r="AC16" s="146">
        <v>0</v>
      </c>
      <c r="AD16" s="146">
        <v>0</v>
      </c>
      <c r="AE16" s="146">
        <v>0</v>
      </c>
      <c r="AF16" s="146">
        <v>0</v>
      </c>
      <c r="AG16" s="146">
        <v>0</v>
      </c>
      <c r="AH16" s="146">
        <v>0</v>
      </c>
      <c r="AI16" s="146">
        <v>0</v>
      </c>
      <c r="AJ16" s="146">
        <v>0</v>
      </c>
      <c r="AK16" s="146">
        <v>0</v>
      </c>
      <c r="AL16" s="146">
        <v>0</v>
      </c>
      <c r="AM16" s="146">
        <v>0</v>
      </c>
    </row>
    <row r="17" spans="1:39" customFormat="1" x14ac:dyDescent="0.15">
      <c r="A17" s="182" t="s">
        <v>207</v>
      </c>
      <c r="B17" s="146">
        <v>5.0379799925609273E-3</v>
      </c>
      <c r="C17" s="146">
        <v>4.9029804062048566E-3</v>
      </c>
      <c r="D17" s="146">
        <v>0</v>
      </c>
      <c r="E17" s="146">
        <v>0</v>
      </c>
      <c r="F17" s="146">
        <v>0</v>
      </c>
      <c r="G17" s="146">
        <v>0</v>
      </c>
      <c r="H17" s="146">
        <v>3.9979799638766517E-3</v>
      </c>
      <c r="I17" s="146">
        <v>0</v>
      </c>
      <c r="J17" s="146">
        <v>5.0000000000000012E-4</v>
      </c>
      <c r="K17" s="146">
        <v>0</v>
      </c>
      <c r="L17" s="146">
        <v>0</v>
      </c>
      <c r="M17" s="146">
        <v>0</v>
      </c>
      <c r="N17" s="146">
        <v>0</v>
      </c>
      <c r="O17" s="146">
        <v>0</v>
      </c>
      <c r="P17" s="146">
        <v>0</v>
      </c>
      <c r="Q17" s="146">
        <v>0</v>
      </c>
      <c r="R17" s="146">
        <v>0</v>
      </c>
      <c r="S17" s="146">
        <v>0</v>
      </c>
      <c r="T17" s="146">
        <v>0</v>
      </c>
      <c r="U17" s="146">
        <v>0</v>
      </c>
      <c r="V17" s="146">
        <v>0</v>
      </c>
      <c r="W17" s="146">
        <v>0</v>
      </c>
      <c r="X17" s="146">
        <v>0</v>
      </c>
      <c r="Y17" s="146">
        <v>0</v>
      </c>
      <c r="Z17" s="146">
        <v>0</v>
      </c>
      <c r="AA17" s="146">
        <v>0</v>
      </c>
      <c r="AB17" s="146">
        <v>0</v>
      </c>
      <c r="AC17" s="146">
        <v>0</v>
      </c>
      <c r="AD17" s="146">
        <v>0</v>
      </c>
      <c r="AE17" s="146">
        <v>0</v>
      </c>
      <c r="AF17" s="146">
        <v>0</v>
      </c>
      <c r="AG17" s="146">
        <v>0</v>
      </c>
      <c r="AH17" s="146">
        <v>0</v>
      </c>
      <c r="AI17" s="146">
        <v>0</v>
      </c>
      <c r="AJ17" s="146">
        <v>0</v>
      </c>
      <c r="AK17" s="146">
        <v>0</v>
      </c>
      <c r="AL17" s="146">
        <v>0</v>
      </c>
      <c r="AM17" s="146">
        <v>0</v>
      </c>
    </row>
    <row r="18" spans="1:39" customFormat="1" x14ac:dyDescent="0.15">
      <c r="A18" s="182" t="s">
        <v>208</v>
      </c>
      <c r="B18" s="146">
        <v>1.3951944137897958E-2</v>
      </c>
      <c r="C18" s="146">
        <v>9.8099612921210416E-4</v>
      </c>
      <c r="D18" s="146">
        <v>0</v>
      </c>
      <c r="E18" s="146">
        <v>0</v>
      </c>
      <c r="F18" s="146">
        <v>0</v>
      </c>
      <c r="G18" s="146">
        <v>2.9999998885599875E-2</v>
      </c>
      <c r="H18" s="146">
        <v>1.6621915449814343E-2</v>
      </c>
      <c r="I18" s="146">
        <v>0</v>
      </c>
      <c r="J18" s="146">
        <v>5.9700000000000005E-3</v>
      </c>
      <c r="K18" s="146">
        <v>0</v>
      </c>
      <c r="L18" s="146">
        <v>0</v>
      </c>
      <c r="M18" s="146">
        <v>0</v>
      </c>
      <c r="N18" s="146">
        <v>0</v>
      </c>
      <c r="O18" s="146">
        <v>0</v>
      </c>
      <c r="P18" s="146">
        <v>0</v>
      </c>
      <c r="Q18" s="146">
        <v>6.96E-3</v>
      </c>
      <c r="R18" s="146">
        <v>0</v>
      </c>
      <c r="S18" s="146">
        <v>0</v>
      </c>
      <c r="T18" s="146">
        <v>0</v>
      </c>
      <c r="U18" s="146">
        <v>0</v>
      </c>
      <c r="V18" s="146">
        <v>0</v>
      </c>
      <c r="W18" s="146">
        <v>0</v>
      </c>
      <c r="X18" s="146">
        <v>0</v>
      </c>
      <c r="Y18" s="146">
        <v>0</v>
      </c>
      <c r="Z18" s="146">
        <v>0</v>
      </c>
      <c r="AA18" s="146">
        <v>0</v>
      </c>
      <c r="AB18" s="146">
        <v>0</v>
      </c>
      <c r="AC18" s="146">
        <v>0</v>
      </c>
      <c r="AD18" s="146">
        <v>0</v>
      </c>
      <c r="AE18" s="146">
        <v>0</v>
      </c>
      <c r="AF18" s="146">
        <v>0</v>
      </c>
      <c r="AG18" s="146">
        <v>0</v>
      </c>
      <c r="AH18" s="146">
        <v>0</v>
      </c>
      <c r="AI18" s="146">
        <v>0</v>
      </c>
      <c r="AJ18" s="146">
        <v>0</v>
      </c>
      <c r="AK18" s="146">
        <v>0</v>
      </c>
      <c r="AL18" s="146">
        <v>0</v>
      </c>
      <c r="AM18" s="146">
        <v>0</v>
      </c>
    </row>
    <row r="19" spans="1:39" customFormat="1" x14ac:dyDescent="0.15">
      <c r="A19" s="182" t="s">
        <v>209</v>
      </c>
      <c r="B19" s="146">
        <v>5.0022803004169461E-2</v>
      </c>
      <c r="C19" s="146">
        <v>0</v>
      </c>
      <c r="D19" s="146">
        <v>0</v>
      </c>
      <c r="E19" s="146">
        <v>0</v>
      </c>
      <c r="F19" s="146">
        <v>1.3294986819806775E-2</v>
      </c>
      <c r="G19" s="146">
        <v>0</v>
      </c>
      <c r="H19" s="146">
        <v>9.9949499096916306E-3</v>
      </c>
      <c r="I19" s="146">
        <v>0</v>
      </c>
      <c r="J19" s="146">
        <v>0</v>
      </c>
      <c r="K19" s="146">
        <v>5.9999996705400321E-2</v>
      </c>
      <c r="L19" s="146">
        <v>2.9999999999999992E-2</v>
      </c>
      <c r="M19" s="146">
        <v>0</v>
      </c>
      <c r="N19" s="146">
        <v>0</v>
      </c>
      <c r="O19" s="146">
        <v>0</v>
      </c>
      <c r="P19" s="146">
        <v>0</v>
      </c>
      <c r="Q19" s="146">
        <v>0</v>
      </c>
      <c r="R19" s="146">
        <v>0.02</v>
      </c>
      <c r="S19" s="146">
        <v>0</v>
      </c>
      <c r="T19" s="146">
        <v>0</v>
      </c>
      <c r="U19" s="146">
        <v>0</v>
      </c>
      <c r="V19" s="146">
        <v>0</v>
      </c>
      <c r="W19" s="146">
        <v>0</v>
      </c>
      <c r="X19" s="146">
        <v>1.9482059934150638E-2</v>
      </c>
      <c r="Y19" s="146">
        <v>0</v>
      </c>
      <c r="Z19" s="146">
        <v>0</v>
      </c>
      <c r="AA19" s="146">
        <v>0</v>
      </c>
      <c r="AB19" s="146">
        <v>0</v>
      </c>
      <c r="AC19" s="146">
        <v>0</v>
      </c>
      <c r="AD19" s="146">
        <v>0</v>
      </c>
      <c r="AE19" s="146">
        <v>0</v>
      </c>
      <c r="AF19" s="146">
        <v>0</v>
      </c>
      <c r="AG19" s="146">
        <v>0</v>
      </c>
      <c r="AH19" s="146">
        <v>0</v>
      </c>
      <c r="AI19" s="146">
        <v>0</v>
      </c>
      <c r="AJ19" s="146">
        <v>0</v>
      </c>
      <c r="AK19" s="146">
        <v>0</v>
      </c>
      <c r="AL19" s="146">
        <v>0</v>
      </c>
      <c r="AM19" s="146">
        <v>0</v>
      </c>
    </row>
    <row r="20" spans="1:39" customFormat="1" x14ac:dyDescent="0.15">
      <c r="A20" s="182" t="s">
        <v>210</v>
      </c>
      <c r="B20" s="146">
        <v>1.0099959906563194E-3</v>
      </c>
      <c r="C20" s="146">
        <v>0</v>
      </c>
      <c r="D20" s="146">
        <v>3.3014196895245949E-2</v>
      </c>
      <c r="E20" s="146">
        <v>0</v>
      </c>
      <c r="F20" s="146">
        <v>0</v>
      </c>
      <c r="G20" s="146">
        <v>7.9999998761599873E-3</v>
      </c>
      <c r="H20" s="146">
        <v>0</v>
      </c>
      <c r="I20" s="146">
        <v>0.02</v>
      </c>
      <c r="J20" s="146">
        <v>3.7870000000000008E-2</v>
      </c>
      <c r="K20" s="146">
        <v>1.9999999501800047E-2</v>
      </c>
      <c r="L20" s="146">
        <v>5.8169999999999986E-2</v>
      </c>
      <c r="M20" s="146">
        <v>0</v>
      </c>
      <c r="N20" s="146">
        <v>5.0000000000000002E-5</v>
      </c>
      <c r="O20" s="146">
        <v>0</v>
      </c>
      <c r="P20" s="146">
        <v>0</v>
      </c>
      <c r="Q20" s="146">
        <v>0</v>
      </c>
      <c r="R20" s="146">
        <v>0</v>
      </c>
      <c r="S20" s="146">
        <v>0</v>
      </c>
      <c r="T20" s="146">
        <v>0</v>
      </c>
      <c r="U20" s="146">
        <v>0</v>
      </c>
      <c r="V20" s="146">
        <v>0</v>
      </c>
      <c r="W20" s="146">
        <v>0</v>
      </c>
      <c r="X20" s="146">
        <v>7.7890236636731008E-3</v>
      </c>
      <c r="Y20" s="146">
        <v>0</v>
      </c>
      <c r="Z20" s="146">
        <v>0</v>
      </c>
      <c r="AA20" s="146">
        <v>0</v>
      </c>
      <c r="AB20" s="146">
        <v>0</v>
      </c>
      <c r="AC20" s="146">
        <v>0</v>
      </c>
      <c r="AD20" s="146">
        <v>0</v>
      </c>
      <c r="AE20" s="146">
        <v>0</v>
      </c>
      <c r="AF20" s="146">
        <v>0</v>
      </c>
      <c r="AG20" s="146">
        <v>0</v>
      </c>
      <c r="AH20" s="146">
        <v>0</v>
      </c>
      <c r="AI20" s="146">
        <v>0</v>
      </c>
      <c r="AJ20" s="146">
        <v>0</v>
      </c>
      <c r="AK20" s="146">
        <v>0</v>
      </c>
      <c r="AL20" s="146">
        <v>0</v>
      </c>
      <c r="AM20" s="146">
        <v>0</v>
      </c>
    </row>
    <row r="21" spans="1:39" customFormat="1" x14ac:dyDescent="0.15">
      <c r="A21" s="182" t="s">
        <v>211</v>
      </c>
      <c r="B21" s="146">
        <v>1.0099959906563194E-3</v>
      </c>
      <c r="C21" s="146">
        <v>0</v>
      </c>
      <c r="D21" s="146">
        <v>2.0008603997118757E-3</v>
      </c>
      <c r="E21" s="146">
        <v>0</v>
      </c>
      <c r="F21" s="146">
        <v>0</v>
      </c>
      <c r="G21" s="146">
        <v>5.9999996571199624E-3</v>
      </c>
      <c r="H21" s="146">
        <v>0</v>
      </c>
      <c r="I21" s="146">
        <v>0.02</v>
      </c>
      <c r="J21" s="146">
        <v>0</v>
      </c>
      <c r="K21" s="146">
        <v>8.0000002407199771E-3</v>
      </c>
      <c r="L21" s="146">
        <v>1.2719999999999997E-2</v>
      </c>
      <c r="M21" s="146">
        <v>0</v>
      </c>
      <c r="N21" s="146">
        <v>5.0000000000000002E-5</v>
      </c>
      <c r="O21" s="146">
        <v>0</v>
      </c>
      <c r="P21" s="146">
        <v>0</v>
      </c>
      <c r="Q21" s="146">
        <v>0</v>
      </c>
      <c r="R21" s="146">
        <v>0</v>
      </c>
      <c r="S21" s="146">
        <v>0</v>
      </c>
      <c r="T21" s="146">
        <v>0</v>
      </c>
      <c r="U21" s="146">
        <v>0</v>
      </c>
      <c r="V21" s="146">
        <v>0</v>
      </c>
      <c r="W21" s="146">
        <v>0</v>
      </c>
      <c r="X21" s="146">
        <v>7.7890236636731008E-3</v>
      </c>
      <c r="Y21" s="146">
        <v>0</v>
      </c>
      <c r="Z21" s="146">
        <v>0</v>
      </c>
      <c r="AA21" s="146">
        <v>0</v>
      </c>
      <c r="AB21" s="146">
        <v>0</v>
      </c>
      <c r="AC21" s="146">
        <v>0</v>
      </c>
      <c r="AD21" s="146">
        <v>0</v>
      </c>
      <c r="AE21" s="146">
        <v>0</v>
      </c>
      <c r="AF21" s="146">
        <v>0</v>
      </c>
      <c r="AG21" s="146">
        <v>0</v>
      </c>
      <c r="AH21" s="146">
        <v>0</v>
      </c>
      <c r="AI21" s="146">
        <v>0</v>
      </c>
      <c r="AJ21" s="146">
        <v>0</v>
      </c>
      <c r="AK21" s="146">
        <v>0</v>
      </c>
      <c r="AL21" s="146">
        <v>0</v>
      </c>
      <c r="AM21" s="146">
        <v>0</v>
      </c>
    </row>
    <row r="22" spans="1:39" customFormat="1" x14ac:dyDescent="0.15">
      <c r="A22" s="182" t="s">
        <v>212</v>
      </c>
      <c r="B22" s="146">
        <v>0</v>
      </c>
      <c r="C22" s="146">
        <v>0</v>
      </c>
      <c r="D22" s="146">
        <v>4.3018496893805329E-4</v>
      </c>
      <c r="E22" s="146">
        <v>9.5100000000000011E-3</v>
      </c>
      <c r="F22" s="146">
        <v>0</v>
      </c>
      <c r="G22" s="146">
        <v>7.9999998761599869E-2</v>
      </c>
      <c r="H22" s="146">
        <v>0</v>
      </c>
      <c r="I22" s="146">
        <v>0.13</v>
      </c>
      <c r="J22" s="146">
        <v>1.4030000000000003E-2</v>
      </c>
      <c r="K22" s="146">
        <v>0</v>
      </c>
      <c r="L22" s="146">
        <v>9.5389999999999975E-2</v>
      </c>
      <c r="M22" s="146">
        <v>0.10473</v>
      </c>
      <c r="N22" s="146">
        <v>0</v>
      </c>
      <c r="O22" s="146">
        <v>0</v>
      </c>
      <c r="P22" s="146">
        <v>0</v>
      </c>
      <c r="Q22" s="146">
        <v>0</v>
      </c>
      <c r="R22" s="146">
        <v>0</v>
      </c>
      <c r="S22" s="146">
        <v>0</v>
      </c>
      <c r="T22" s="146">
        <v>0</v>
      </c>
      <c r="U22" s="146">
        <v>0</v>
      </c>
      <c r="V22" s="146">
        <v>0</v>
      </c>
      <c r="W22" s="146">
        <v>0</v>
      </c>
      <c r="X22" s="146">
        <v>1.9470059934191201E-3</v>
      </c>
      <c r="Y22" s="146">
        <v>0</v>
      </c>
      <c r="Z22" s="146">
        <v>0</v>
      </c>
      <c r="AA22" s="146">
        <v>0</v>
      </c>
      <c r="AB22" s="146">
        <v>0</v>
      </c>
      <c r="AC22" s="146">
        <v>0</v>
      </c>
      <c r="AD22" s="146">
        <v>0</v>
      </c>
      <c r="AE22" s="146">
        <v>0</v>
      </c>
      <c r="AF22" s="146">
        <v>0</v>
      </c>
      <c r="AG22" s="146">
        <v>0</v>
      </c>
      <c r="AH22" s="146">
        <v>0</v>
      </c>
      <c r="AI22" s="146">
        <v>0</v>
      </c>
      <c r="AJ22" s="146">
        <v>0</v>
      </c>
      <c r="AK22" s="146">
        <v>0</v>
      </c>
      <c r="AL22" s="146">
        <v>0</v>
      </c>
      <c r="AM22" s="146">
        <v>0</v>
      </c>
    </row>
    <row r="23" spans="1:39" customFormat="1" x14ac:dyDescent="0.15">
      <c r="A23" s="182" t="s">
        <v>213</v>
      </c>
      <c r="B23" s="146">
        <v>5.0499799632815971E-4</v>
      </c>
      <c r="C23" s="146">
        <v>0</v>
      </c>
      <c r="D23" s="146">
        <v>4.051741999416548E-3</v>
      </c>
      <c r="E23" s="146">
        <v>4.2100000000000011E-3</v>
      </c>
      <c r="F23" s="146">
        <v>1.9992980227506344E-2</v>
      </c>
      <c r="G23" s="146">
        <v>0</v>
      </c>
      <c r="H23" s="146">
        <v>2.2389888597698399E-3</v>
      </c>
      <c r="I23" s="146">
        <v>0.01</v>
      </c>
      <c r="J23" s="146">
        <v>1.4820000000000002E-2</v>
      </c>
      <c r="K23" s="146">
        <v>0.19999999901800011</v>
      </c>
      <c r="L23" s="146">
        <v>4.9499999999999995E-3</v>
      </c>
      <c r="M23" s="146">
        <v>0</v>
      </c>
      <c r="N23" s="146">
        <v>4.0099999999999997E-3</v>
      </c>
      <c r="O23" s="146">
        <v>9.300000000000001E-3</v>
      </c>
      <c r="P23" s="146">
        <v>0</v>
      </c>
      <c r="Q23" s="146">
        <v>2.0000000000000001E-4</v>
      </c>
      <c r="R23" s="146">
        <v>0.01</v>
      </c>
      <c r="S23" s="146">
        <v>1.6490000000000001E-2</v>
      </c>
      <c r="T23" s="146">
        <v>0</v>
      </c>
      <c r="U23" s="146">
        <v>0</v>
      </c>
      <c r="V23" s="146">
        <v>0</v>
      </c>
      <c r="W23" s="146">
        <v>0</v>
      </c>
      <c r="X23" s="146">
        <v>3.8940119868382402E-3</v>
      </c>
      <c r="Y23" s="146">
        <v>0</v>
      </c>
      <c r="Z23" s="146">
        <v>0</v>
      </c>
      <c r="AA23" s="146">
        <v>0</v>
      </c>
      <c r="AB23" s="146">
        <v>0</v>
      </c>
      <c r="AC23" s="146">
        <v>0</v>
      </c>
      <c r="AD23" s="146">
        <v>0</v>
      </c>
      <c r="AE23" s="146">
        <v>0</v>
      </c>
      <c r="AF23" s="146">
        <v>0</v>
      </c>
      <c r="AG23" s="146">
        <v>0</v>
      </c>
      <c r="AH23" s="146">
        <v>0</v>
      </c>
      <c r="AI23" s="146">
        <v>0</v>
      </c>
      <c r="AJ23" s="146">
        <v>0</v>
      </c>
      <c r="AK23" s="146">
        <v>0</v>
      </c>
      <c r="AL23" s="146">
        <v>0</v>
      </c>
      <c r="AM23" s="146">
        <v>0</v>
      </c>
    </row>
    <row r="24" spans="1:39" customFormat="1" x14ac:dyDescent="0.15">
      <c r="A24" s="182" t="s">
        <v>214</v>
      </c>
      <c r="B24" s="146">
        <v>7.4709700286765771E-3</v>
      </c>
      <c r="C24" s="146">
        <v>4.9229800847616963E-3</v>
      </c>
      <c r="D24" s="146">
        <v>0</v>
      </c>
      <c r="E24" s="146">
        <v>0.23162000000000002</v>
      </c>
      <c r="F24" s="146">
        <v>0</v>
      </c>
      <c r="G24" s="146">
        <v>0</v>
      </c>
      <c r="H24" s="146">
        <v>0.15041424164094716</v>
      </c>
      <c r="I24" s="146">
        <v>0</v>
      </c>
      <c r="J24" s="146">
        <v>1.8220000000000004E-2</v>
      </c>
      <c r="K24" s="146">
        <v>4.9999998754500117E-3</v>
      </c>
      <c r="L24" s="146">
        <v>2.7269999999999992E-2</v>
      </c>
      <c r="M24" s="146">
        <v>0</v>
      </c>
      <c r="N24" s="146">
        <v>0</v>
      </c>
      <c r="O24" s="146">
        <v>0</v>
      </c>
      <c r="P24" s="146">
        <v>0</v>
      </c>
      <c r="Q24" s="146">
        <v>0</v>
      </c>
      <c r="R24" s="146">
        <v>0</v>
      </c>
      <c r="S24" s="146">
        <v>0</v>
      </c>
      <c r="T24" s="146">
        <v>0</v>
      </c>
      <c r="U24" s="146">
        <v>0</v>
      </c>
      <c r="V24" s="146">
        <v>0</v>
      </c>
      <c r="W24" s="146">
        <v>0</v>
      </c>
      <c r="X24" s="146">
        <v>0</v>
      </c>
      <c r="Y24" s="146">
        <v>0</v>
      </c>
      <c r="Z24" s="146">
        <v>0</v>
      </c>
      <c r="AA24" s="146">
        <v>0</v>
      </c>
      <c r="AB24" s="146">
        <v>0</v>
      </c>
      <c r="AC24" s="146">
        <v>0</v>
      </c>
      <c r="AD24" s="146">
        <v>0</v>
      </c>
      <c r="AE24" s="146">
        <v>0</v>
      </c>
      <c r="AF24" s="146">
        <v>0</v>
      </c>
      <c r="AG24" s="146">
        <v>0</v>
      </c>
      <c r="AH24" s="146">
        <v>0</v>
      </c>
      <c r="AI24" s="146">
        <v>0</v>
      </c>
      <c r="AJ24" s="146">
        <v>0</v>
      </c>
      <c r="AK24" s="146">
        <v>0</v>
      </c>
      <c r="AL24" s="146">
        <v>0</v>
      </c>
      <c r="AM24" s="146">
        <v>0</v>
      </c>
    </row>
    <row r="25" spans="1:39" customFormat="1" x14ac:dyDescent="0.15">
      <c r="A25" s="182" t="s">
        <v>215</v>
      </c>
      <c r="B25" s="146">
        <v>2.3845905032089672E-2</v>
      </c>
      <c r="C25" s="146">
        <v>7.6309694493553487E-2</v>
      </c>
      <c r="D25" s="146">
        <v>0.10004302098559378</v>
      </c>
      <c r="E25" s="146">
        <v>0</v>
      </c>
      <c r="F25" s="146">
        <v>4.9981947818787793E-2</v>
      </c>
      <c r="G25" s="146">
        <v>4.9999998775999858E-2</v>
      </c>
      <c r="H25" s="146">
        <v>2.0399898115678761E-2</v>
      </c>
      <c r="I25" s="146">
        <v>0.05</v>
      </c>
      <c r="J25" s="146">
        <v>4.3500000000000004E-2</v>
      </c>
      <c r="K25" s="146">
        <v>2.9999998352700161E-2</v>
      </c>
      <c r="L25" s="146">
        <v>2.7269999999999992E-2</v>
      </c>
      <c r="M25" s="146">
        <v>0</v>
      </c>
      <c r="N25" s="146">
        <v>8.2070000000000004E-2</v>
      </c>
      <c r="O25" s="146">
        <v>3.0000000000000002E-2</v>
      </c>
      <c r="P25" s="146">
        <v>0</v>
      </c>
      <c r="Q25" s="146">
        <v>5.0999999999999997E-2</v>
      </c>
      <c r="R25" s="146">
        <v>0.01</v>
      </c>
      <c r="S25" s="146">
        <v>0</v>
      </c>
      <c r="T25" s="146">
        <v>0</v>
      </c>
      <c r="U25" s="146">
        <v>0</v>
      </c>
      <c r="V25" s="146">
        <v>0</v>
      </c>
      <c r="W25" s="146">
        <v>0</v>
      </c>
      <c r="X25" s="146">
        <v>1.9482059934150638E-2</v>
      </c>
      <c r="Y25" s="146">
        <v>0</v>
      </c>
      <c r="Z25" s="146">
        <v>0</v>
      </c>
      <c r="AA25" s="146">
        <v>5.0000000000000012E-4</v>
      </c>
      <c r="AB25" s="146">
        <v>0</v>
      </c>
      <c r="AC25" s="146">
        <v>0</v>
      </c>
      <c r="AD25" s="146">
        <v>0</v>
      </c>
      <c r="AE25" s="146">
        <v>0</v>
      </c>
      <c r="AF25" s="146">
        <v>0</v>
      </c>
      <c r="AG25" s="146">
        <v>0</v>
      </c>
      <c r="AH25" s="146">
        <v>0</v>
      </c>
      <c r="AI25" s="146">
        <v>0</v>
      </c>
      <c r="AJ25" s="146">
        <v>0</v>
      </c>
      <c r="AK25" s="146">
        <v>0</v>
      </c>
      <c r="AL25" s="146">
        <v>0</v>
      </c>
      <c r="AM25" s="146">
        <v>0</v>
      </c>
    </row>
    <row r="26" spans="1:39" customFormat="1" x14ac:dyDescent="0.15">
      <c r="A26" s="182" t="s">
        <v>216</v>
      </c>
      <c r="B26" s="146">
        <v>1.0099959906563194E-3</v>
      </c>
      <c r="C26" s="146">
        <v>4.9229800847616963E-3</v>
      </c>
      <c r="D26" s="146">
        <v>0.10004302098559378</v>
      </c>
      <c r="E26" s="146">
        <v>0</v>
      </c>
      <c r="F26" s="146">
        <v>0.12995287232885663</v>
      </c>
      <c r="G26" s="146">
        <v>4.7999998256959803E-2</v>
      </c>
      <c r="H26" s="146">
        <v>9.6371519129244784E-2</v>
      </c>
      <c r="I26" s="146">
        <v>0.04</v>
      </c>
      <c r="J26" s="146">
        <v>1.0000000000000002E-3</v>
      </c>
      <c r="K26" s="146">
        <v>9.0000001458099874E-2</v>
      </c>
      <c r="L26" s="146">
        <v>6.499999999999998E-3</v>
      </c>
      <c r="M26" s="146">
        <v>0</v>
      </c>
      <c r="N26" s="146">
        <v>5.7499999999999999E-3</v>
      </c>
      <c r="O26" s="146">
        <v>8.0000000000000016E-2</v>
      </c>
      <c r="P26" s="146">
        <v>0</v>
      </c>
      <c r="Q26" s="146">
        <v>1.2E-2</v>
      </c>
      <c r="R26" s="146">
        <v>1.008E-2</v>
      </c>
      <c r="S26" s="146">
        <v>1.6490000000000001E-2</v>
      </c>
      <c r="T26" s="146">
        <v>0</v>
      </c>
      <c r="U26" s="146">
        <v>0</v>
      </c>
      <c r="V26" s="146">
        <v>0</v>
      </c>
      <c r="W26" s="146">
        <v>0</v>
      </c>
      <c r="X26" s="146">
        <v>3.8940119868382402E-3</v>
      </c>
      <c r="Y26" s="146">
        <v>0</v>
      </c>
      <c r="Z26" s="146">
        <v>0</v>
      </c>
      <c r="AA26" s="146">
        <v>2.6000000000000003E-4</v>
      </c>
      <c r="AB26" s="146">
        <v>0</v>
      </c>
      <c r="AC26" s="146">
        <v>0</v>
      </c>
      <c r="AD26" s="146">
        <v>0</v>
      </c>
      <c r="AE26" s="146">
        <v>0</v>
      </c>
      <c r="AF26" s="146">
        <v>0</v>
      </c>
      <c r="AG26" s="146">
        <v>0</v>
      </c>
      <c r="AH26" s="146">
        <v>0</v>
      </c>
      <c r="AI26" s="146">
        <v>0</v>
      </c>
      <c r="AJ26" s="146">
        <v>0</v>
      </c>
      <c r="AK26" s="146">
        <v>0</v>
      </c>
      <c r="AL26" s="146">
        <v>0</v>
      </c>
      <c r="AM26" s="146">
        <v>0</v>
      </c>
    </row>
    <row r="27" spans="1:39" customFormat="1" x14ac:dyDescent="0.15">
      <c r="A27" s="182" t="s">
        <v>217</v>
      </c>
      <c r="B27" s="146">
        <v>0.14036744142990709</v>
      </c>
      <c r="C27" s="146">
        <v>9.7099608993369906E-4</v>
      </c>
      <c r="D27" s="146">
        <v>0.29512689995750169</v>
      </c>
      <c r="E27" s="146">
        <v>0</v>
      </c>
      <c r="F27" s="146">
        <v>0.3398776501677393</v>
      </c>
      <c r="G27" s="146">
        <v>2.9999998885599875E-2</v>
      </c>
      <c r="H27" s="146">
        <v>0.31613042714363515</v>
      </c>
      <c r="I27" s="146">
        <v>0.13</v>
      </c>
      <c r="J27" s="146">
        <v>9.2610000000000012E-2</v>
      </c>
      <c r="K27" s="146">
        <v>0.15000000676349939</v>
      </c>
      <c r="L27" s="146">
        <v>2.7269999999999992E-2</v>
      </c>
      <c r="M27" s="146">
        <v>0</v>
      </c>
      <c r="N27" s="146">
        <v>3.04E-2</v>
      </c>
      <c r="O27" s="146">
        <v>5.9000000000000014E-4</v>
      </c>
      <c r="P27" s="146">
        <v>0</v>
      </c>
      <c r="Q27" s="146">
        <v>0.25</v>
      </c>
      <c r="R27" s="146">
        <v>0.02</v>
      </c>
      <c r="S27" s="146">
        <v>0</v>
      </c>
      <c r="T27" s="146">
        <v>0</v>
      </c>
      <c r="U27" s="146">
        <v>0</v>
      </c>
      <c r="V27" s="146">
        <v>0</v>
      </c>
      <c r="W27" s="146">
        <v>0</v>
      </c>
      <c r="X27" s="146">
        <v>1.9482059934150638E-2</v>
      </c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46">
        <v>0</v>
      </c>
      <c r="AE27" s="146">
        <v>0</v>
      </c>
      <c r="AF27" s="146">
        <v>0</v>
      </c>
      <c r="AG27" s="146">
        <v>0</v>
      </c>
      <c r="AH27" s="146">
        <v>0</v>
      </c>
      <c r="AI27" s="146">
        <v>0</v>
      </c>
      <c r="AJ27" s="146">
        <v>0</v>
      </c>
      <c r="AK27" s="146">
        <v>0</v>
      </c>
      <c r="AL27" s="146">
        <v>0</v>
      </c>
      <c r="AM27" s="146">
        <v>0</v>
      </c>
    </row>
    <row r="28" spans="1:39" customFormat="1" x14ac:dyDescent="0.15">
      <c r="A28" s="182" t="s">
        <v>218</v>
      </c>
      <c r="B28" s="146">
        <v>0</v>
      </c>
      <c r="C28" s="146">
        <v>0</v>
      </c>
      <c r="D28" s="146">
        <v>0.11004731798415318</v>
      </c>
      <c r="E28" s="146">
        <v>0.16211000000000003</v>
      </c>
      <c r="F28" s="146">
        <v>0</v>
      </c>
      <c r="G28" s="146">
        <v>4.9999998775999858E-2</v>
      </c>
      <c r="H28" s="146">
        <v>0</v>
      </c>
      <c r="I28" s="146">
        <v>0.04</v>
      </c>
      <c r="J28" s="146">
        <v>1.4040000000000002E-2</v>
      </c>
      <c r="K28" s="146">
        <v>0</v>
      </c>
      <c r="L28" s="146">
        <v>0.13632999999999998</v>
      </c>
      <c r="M28" s="146">
        <v>0.20946999999999999</v>
      </c>
      <c r="N28" s="146">
        <v>5.4280000000000002E-2</v>
      </c>
      <c r="O28" s="146">
        <v>0.12000000000000001</v>
      </c>
      <c r="P28" s="146">
        <v>0.10000000140000015</v>
      </c>
      <c r="Q28" s="146">
        <v>0</v>
      </c>
      <c r="R28" s="146">
        <v>0</v>
      </c>
      <c r="S28" s="146">
        <v>0</v>
      </c>
      <c r="T28" s="146">
        <v>0.16882</v>
      </c>
      <c r="U28" s="146">
        <v>3.2269998307415865E-2</v>
      </c>
      <c r="V28" s="146">
        <v>0.16138184128197608</v>
      </c>
      <c r="W28" s="146">
        <v>5.1999999999999998E-2</v>
      </c>
      <c r="X28" s="146">
        <v>0</v>
      </c>
      <c r="Y28" s="146">
        <v>0</v>
      </c>
      <c r="Z28" s="146">
        <v>0</v>
      </c>
      <c r="AA28" s="146">
        <v>0</v>
      </c>
      <c r="AB28" s="146">
        <v>0.08</v>
      </c>
      <c r="AC28" s="146">
        <v>0</v>
      </c>
      <c r="AD28" s="146">
        <v>0</v>
      </c>
      <c r="AE28" s="146">
        <v>0</v>
      </c>
      <c r="AF28" s="146">
        <v>0</v>
      </c>
      <c r="AG28" s="146">
        <v>0</v>
      </c>
      <c r="AH28" s="146">
        <v>0</v>
      </c>
      <c r="AI28" s="146">
        <v>0</v>
      </c>
      <c r="AJ28" s="146">
        <v>0</v>
      </c>
      <c r="AK28" s="146">
        <v>0</v>
      </c>
      <c r="AL28" s="146">
        <v>0</v>
      </c>
      <c r="AM28" s="146">
        <v>0</v>
      </c>
    </row>
    <row r="29" spans="1:39" customFormat="1" x14ac:dyDescent="0.15">
      <c r="A29" s="182" t="s">
        <v>219</v>
      </c>
      <c r="B29" s="146">
        <v>0</v>
      </c>
      <c r="C29" s="146">
        <v>4.8999806464213166E-4</v>
      </c>
      <c r="D29" s="146">
        <v>4.2518284193877364E-3</v>
      </c>
      <c r="E29" s="146">
        <v>0.20632000000000003</v>
      </c>
      <c r="F29" s="146">
        <v>6.9974936946293753E-2</v>
      </c>
      <c r="G29" s="146">
        <v>0.16400000796128086</v>
      </c>
      <c r="H29" s="146">
        <v>0.10854545901924836</v>
      </c>
      <c r="I29" s="146">
        <v>0.1</v>
      </c>
      <c r="J29" s="146">
        <v>5.3320000000000006E-2</v>
      </c>
      <c r="K29" s="146">
        <v>0</v>
      </c>
      <c r="L29" s="146">
        <v>0.23177999999999996</v>
      </c>
      <c r="M29" s="146">
        <v>0.20946999999999999</v>
      </c>
      <c r="N29" s="146">
        <v>4.3430000000000003E-2</v>
      </c>
      <c r="O29" s="146">
        <v>0.21200000000000002</v>
      </c>
      <c r="P29" s="146">
        <v>0.39999999159999899</v>
      </c>
      <c r="Q29" s="146">
        <v>0</v>
      </c>
      <c r="R29" s="146">
        <v>0</v>
      </c>
      <c r="S29" s="146">
        <v>0</v>
      </c>
      <c r="T29" s="146">
        <v>0.31211</v>
      </c>
      <c r="U29" s="146">
        <v>6.8479995533183652E-2</v>
      </c>
      <c r="V29" s="146">
        <v>0.12720087539928018</v>
      </c>
      <c r="W29" s="146">
        <v>0</v>
      </c>
      <c r="X29" s="146">
        <v>1.9470059934191201E-3</v>
      </c>
      <c r="Y29" s="146">
        <v>0</v>
      </c>
      <c r="Z29" s="146">
        <v>0</v>
      </c>
      <c r="AA29" s="146">
        <v>0</v>
      </c>
      <c r="AB29" s="146">
        <v>0.24</v>
      </c>
      <c r="AC29" s="146">
        <v>5.9700000000000003E-2</v>
      </c>
      <c r="AD29" s="146">
        <v>8.9999999999999993E-3</v>
      </c>
      <c r="AE29" s="146">
        <v>0</v>
      </c>
      <c r="AF29" s="146">
        <v>0</v>
      </c>
      <c r="AG29" s="146">
        <v>0</v>
      </c>
      <c r="AH29" s="146">
        <v>0</v>
      </c>
      <c r="AI29" s="146">
        <v>0</v>
      </c>
      <c r="AJ29" s="146">
        <v>0</v>
      </c>
      <c r="AK29" s="146">
        <v>0</v>
      </c>
      <c r="AL29" s="146">
        <v>0</v>
      </c>
      <c r="AM29" s="146">
        <v>0</v>
      </c>
    </row>
    <row r="30" spans="1:39" customFormat="1" x14ac:dyDescent="0.15">
      <c r="A30" s="182" t="s">
        <v>220</v>
      </c>
      <c r="B30" s="146">
        <v>0</v>
      </c>
      <c r="C30" s="146">
        <v>1.6509933608656398E-3</v>
      </c>
      <c r="D30" s="146">
        <v>4.2518284193877364E-3</v>
      </c>
      <c r="E30" s="146">
        <v>0.10105000000000001</v>
      </c>
      <c r="F30" s="146">
        <v>3.4986963873168894E-2</v>
      </c>
      <c r="G30" s="146">
        <v>9.0000005956800647E-2</v>
      </c>
      <c r="H30" s="146">
        <v>9.9949499096916292E-2</v>
      </c>
      <c r="I30" s="146">
        <v>0.38</v>
      </c>
      <c r="J30" s="146">
        <v>0.40689000000000003</v>
      </c>
      <c r="K30" s="146">
        <v>0.11499999908535011</v>
      </c>
      <c r="L30" s="146">
        <v>9.5389999999999975E-2</v>
      </c>
      <c r="M30" s="146">
        <v>0.15711</v>
      </c>
      <c r="N30" s="146">
        <v>0.37243999999999999</v>
      </c>
      <c r="O30" s="146">
        <v>0.36984000000000006</v>
      </c>
      <c r="P30" s="146">
        <v>0.10000000140000015</v>
      </c>
      <c r="Q30" s="146">
        <v>0.10987</v>
      </c>
      <c r="R30" s="146">
        <v>0.185</v>
      </c>
      <c r="S30" s="146">
        <v>0.10285999999999999</v>
      </c>
      <c r="T30" s="146">
        <v>0.13231999999999999</v>
      </c>
      <c r="U30" s="146">
        <v>0.57274000527739244</v>
      </c>
      <c r="V30" s="146">
        <v>0</v>
      </c>
      <c r="W30" s="146">
        <v>0.19322</v>
      </c>
      <c r="X30" s="146">
        <v>0</v>
      </c>
      <c r="Y30" s="146">
        <v>0.40299999311576051</v>
      </c>
      <c r="Z30" s="146">
        <v>0.22822000000000001</v>
      </c>
      <c r="AA30" s="146">
        <v>0.15376000000000004</v>
      </c>
      <c r="AB30" s="146">
        <v>0</v>
      </c>
      <c r="AC30" s="146">
        <v>0</v>
      </c>
      <c r="AD30" s="146">
        <v>0.11</v>
      </c>
      <c r="AE30" s="146">
        <v>0</v>
      </c>
      <c r="AF30" s="146">
        <v>0</v>
      </c>
      <c r="AG30" s="146">
        <v>0</v>
      </c>
      <c r="AH30" s="146">
        <v>0</v>
      </c>
      <c r="AI30" s="146">
        <v>0</v>
      </c>
      <c r="AJ30" s="146">
        <v>0</v>
      </c>
      <c r="AK30" s="146">
        <v>0</v>
      </c>
      <c r="AL30" s="146">
        <v>0</v>
      </c>
      <c r="AM30" s="146">
        <v>0</v>
      </c>
    </row>
    <row r="31" spans="1:39" customFormat="1" x14ac:dyDescent="0.15">
      <c r="A31" s="182" t="s">
        <v>221</v>
      </c>
      <c r="B31" s="146">
        <v>0</v>
      </c>
      <c r="C31" s="146">
        <v>0</v>
      </c>
      <c r="D31" s="146">
        <v>0</v>
      </c>
      <c r="E31" s="146">
        <v>0</v>
      </c>
      <c r="F31" s="146">
        <v>1.9992980227506344E-2</v>
      </c>
      <c r="G31" s="146">
        <v>7.9999998761599873E-3</v>
      </c>
      <c r="H31" s="146">
        <v>3.9979799638766522E-2</v>
      </c>
      <c r="I31" s="146">
        <v>0</v>
      </c>
      <c r="J31" s="146">
        <v>0</v>
      </c>
      <c r="K31" s="146">
        <v>0.19999999901800011</v>
      </c>
      <c r="L31" s="146">
        <v>0</v>
      </c>
      <c r="M31" s="146">
        <v>0</v>
      </c>
      <c r="N31" s="146">
        <v>0</v>
      </c>
      <c r="O31" s="146">
        <v>0</v>
      </c>
      <c r="P31" s="146">
        <v>0</v>
      </c>
      <c r="Q31" s="146">
        <v>0.45</v>
      </c>
      <c r="R31" s="146">
        <v>0.41</v>
      </c>
      <c r="S31" s="146">
        <v>0.42081000000000002</v>
      </c>
      <c r="T31" s="146">
        <v>0</v>
      </c>
      <c r="U31" s="146">
        <v>7.2180001332144111E-2</v>
      </c>
      <c r="V31" s="146">
        <v>0.17650182390303365</v>
      </c>
      <c r="W31" s="146">
        <v>0.20200000000000001</v>
      </c>
      <c r="X31" s="146">
        <v>0</v>
      </c>
      <c r="Y31" s="146">
        <v>1.4999999338800056E-2</v>
      </c>
      <c r="Z31" s="146">
        <v>0.01</v>
      </c>
      <c r="AA31" s="146">
        <v>0.18775000000000003</v>
      </c>
      <c r="AB31" s="146">
        <v>0</v>
      </c>
      <c r="AC31" s="146">
        <v>0</v>
      </c>
      <c r="AD31" s="146">
        <v>2.181E-2</v>
      </c>
      <c r="AE31" s="146">
        <v>0</v>
      </c>
      <c r="AF31" s="146">
        <v>0</v>
      </c>
      <c r="AG31" s="146">
        <v>0</v>
      </c>
      <c r="AH31" s="146">
        <v>0</v>
      </c>
      <c r="AI31" s="146">
        <v>0</v>
      </c>
      <c r="AJ31" s="146">
        <v>0</v>
      </c>
      <c r="AK31" s="146">
        <v>0</v>
      </c>
      <c r="AL31" s="146">
        <v>0</v>
      </c>
      <c r="AM31" s="146">
        <v>0</v>
      </c>
    </row>
    <row r="32" spans="1:39" customFormat="1" x14ac:dyDescent="0.15">
      <c r="A32" s="182" t="s">
        <v>222</v>
      </c>
      <c r="B32" s="146">
        <v>0</v>
      </c>
      <c r="C32" s="146">
        <v>0.12940649066213117</v>
      </c>
      <c r="D32" s="146">
        <v>0</v>
      </c>
      <c r="E32" s="146">
        <v>0</v>
      </c>
      <c r="F32" s="146">
        <v>0</v>
      </c>
      <c r="G32" s="146">
        <v>4.9999998775999858E-2</v>
      </c>
      <c r="H32" s="146">
        <v>0</v>
      </c>
      <c r="I32" s="146">
        <v>0</v>
      </c>
      <c r="J32" s="146">
        <v>0</v>
      </c>
      <c r="K32" s="146">
        <v>1.9999999501800047E-2</v>
      </c>
      <c r="L32" s="146">
        <v>3.4069999999999996E-2</v>
      </c>
      <c r="M32" s="146">
        <v>0</v>
      </c>
      <c r="N32" s="146">
        <v>0.21717</v>
      </c>
      <c r="O32" s="146">
        <v>0</v>
      </c>
      <c r="P32" s="146">
        <v>0</v>
      </c>
      <c r="Q32" s="146">
        <v>0.10953</v>
      </c>
      <c r="R32" s="146">
        <v>0.19</v>
      </c>
      <c r="S32" s="146">
        <v>0.20571999999999999</v>
      </c>
      <c r="T32" s="146">
        <v>0</v>
      </c>
      <c r="U32" s="146">
        <v>0</v>
      </c>
      <c r="V32" s="146">
        <v>0.32278267056222043</v>
      </c>
      <c r="W32" s="146">
        <v>0.55000000000000004</v>
      </c>
      <c r="X32" s="146">
        <v>0.60387179795891333</v>
      </c>
      <c r="Y32" s="146">
        <v>0.57900000731767942</v>
      </c>
      <c r="Z32" s="146">
        <v>0.76178000000000001</v>
      </c>
      <c r="AA32" s="146">
        <v>0.65121000000000007</v>
      </c>
      <c r="AB32" s="146">
        <v>0</v>
      </c>
      <c r="AC32" s="146">
        <v>0</v>
      </c>
      <c r="AD32" s="146">
        <v>4.3610000000000003E-2</v>
      </c>
      <c r="AE32" s="146">
        <v>2.3810000000000001E-2</v>
      </c>
      <c r="AF32" s="146">
        <v>0</v>
      </c>
      <c r="AG32" s="146">
        <v>0</v>
      </c>
      <c r="AH32" s="146">
        <v>0</v>
      </c>
      <c r="AI32" s="146">
        <v>0</v>
      </c>
      <c r="AJ32" s="146">
        <v>0</v>
      </c>
      <c r="AK32" s="146">
        <v>0</v>
      </c>
      <c r="AL32" s="146">
        <v>0</v>
      </c>
      <c r="AM32" s="146">
        <v>0</v>
      </c>
    </row>
    <row r="33" spans="1:39" customFormat="1" x14ac:dyDescent="0.15">
      <c r="A33" s="182" t="s">
        <v>223</v>
      </c>
      <c r="B33" s="146">
        <v>0</v>
      </c>
      <c r="C33" s="146">
        <v>0</v>
      </c>
      <c r="D33" s="146">
        <v>0.18007743397406883</v>
      </c>
      <c r="E33" s="146">
        <v>0</v>
      </c>
      <c r="F33" s="146">
        <v>0</v>
      </c>
      <c r="G33" s="146">
        <v>2.9999998885599875E-2</v>
      </c>
      <c r="H33" s="146">
        <v>9.9999494496464571E-5</v>
      </c>
      <c r="I33" s="146">
        <v>0.04</v>
      </c>
      <c r="J33" s="146">
        <v>7.4360000000000009E-2</v>
      </c>
      <c r="K33" s="146">
        <v>0</v>
      </c>
      <c r="L33" s="146">
        <v>0.13630999999999996</v>
      </c>
      <c r="M33" s="146">
        <v>0.10474</v>
      </c>
      <c r="N33" s="146">
        <v>5.4280000000000002E-2</v>
      </c>
      <c r="O33" s="146">
        <v>0.11620000000000001</v>
      </c>
      <c r="P33" s="146">
        <v>0.10000000140000015</v>
      </c>
      <c r="Q33" s="146">
        <v>0</v>
      </c>
      <c r="R33" s="146">
        <v>5.0000000000000001E-3</v>
      </c>
      <c r="S33" s="146">
        <v>9.3600000000000003E-3</v>
      </c>
      <c r="T33" s="146">
        <v>0.38674999999999998</v>
      </c>
      <c r="U33" s="146">
        <v>0.25432999954986396</v>
      </c>
      <c r="V33" s="146">
        <v>5.0750947571513577E-2</v>
      </c>
      <c r="W33" s="146">
        <v>0</v>
      </c>
      <c r="X33" s="146">
        <v>2.0186060931771117E-2</v>
      </c>
      <c r="Y33" s="146">
        <v>1.0000000759199936E-3</v>
      </c>
      <c r="Z33" s="146">
        <v>0</v>
      </c>
      <c r="AA33" s="146">
        <v>0</v>
      </c>
      <c r="AB33" s="146">
        <v>0.04</v>
      </c>
      <c r="AC33" s="146">
        <v>2.3029999999999998E-2</v>
      </c>
      <c r="AD33" s="146">
        <v>4.96E-3</v>
      </c>
      <c r="AE33" s="146">
        <v>0</v>
      </c>
      <c r="AF33" s="146">
        <v>0</v>
      </c>
      <c r="AG33" s="146">
        <v>3.5580000000000001E-2</v>
      </c>
      <c r="AH33" s="146">
        <v>0</v>
      </c>
      <c r="AI33" s="146">
        <v>0</v>
      </c>
      <c r="AJ33" s="146">
        <v>0</v>
      </c>
      <c r="AK33" s="146">
        <v>0</v>
      </c>
      <c r="AL33" s="146">
        <v>0</v>
      </c>
      <c r="AM33" s="146">
        <v>0</v>
      </c>
    </row>
    <row r="34" spans="1:39" customFormat="1" x14ac:dyDescent="0.15">
      <c r="A34" s="182" t="s">
        <v>224</v>
      </c>
      <c r="B34" s="146">
        <v>0</v>
      </c>
      <c r="C34" s="146">
        <v>6.967571497225615E-2</v>
      </c>
      <c r="D34" s="146">
        <v>0</v>
      </c>
      <c r="E34" s="146">
        <v>0</v>
      </c>
      <c r="F34" s="146">
        <v>0</v>
      </c>
      <c r="G34" s="146">
        <v>0</v>
      </c>
      <c r="H34" s="146">
        <v>0</v>
      </c>
      <c r="I34" s="146">
        <v>0</v>
      </c>
      <c r="J34" s="146">
        <v>0</v>
      </c>
      <c r="K34" s="146">
        <v>0</v>
      </c>
      <c r="L34" s="146">
        <v>3.4069999999999996E-2</v>
      </c>
      <c r="M34" s="146">
        <v>0</v>
      </c>
      <c r="N34" s="146">
        <v>0</v>
      </c>
      <c r="O34" s="146">
        <v>0</v>
      </c>
      <c r="P34" s="146">
        <v>0</v>
      </c>
      <c r="Q34" s="146">
        <v>0</v>
      </c>
      <c r="R34" s="146">
        <v>0.1</v>
      </c>
      <c r="S34" s="146">
        <v>0.21507999999999999</v>
      </c>
      <c r="T34" s="146">
        <v>0</v>
      </c>
      <c r="U34" s="146">
        <v>0</v>
      </c>
      <c r="V34" s="146">
        <v>0.16138184128197608</v>
      </c>
      <c r="W34" s="146">
        <v>0</v>
      </c>
      <c r="X34" s="146">
        <v>0.2785538420584881</v>
      </c>
      <c r="Y34" s="146">
        <v>1.0000000759199936E-3</v>
      </c>
      <c r="Z34" s="146">
        <v>0</v>
      </c>
      <c r="AA34" s="146">
        <v>0</v>
      </c>
      <c r="AB34" s="146">
        <v>0</v>
      </c>
      <c r="AC34" s="146">
        <v>9.8080000000000001E-2</v>
      </c>
      <c r="AD34" s="146">
        <v>0.21062</v>
      </c>
      <c r="AE34" s="146">
        <v>0.22619</v>
      </c>
      <c r="AF34" s="146">
        <v>5.3330000000000002E-2</v>
      </c>
      <c r="AG34" s="146">
        <v>0</v>
      </c>
      <c r="AH34" s="146">
        <v>0.03</v>
      </c>
      <c r="AI34" s="146">
        <v>0</v>
      </c>
      <c r="AJ34" s="146">
        <v>0</v>
      </c>
      <c r="AK34" s="146">
        <v>0</v>
      </c>
      <c r="AL34" s="146">
        <v>0</v>
      </c>
      <c r="AM34" s="146">
        <v>0</v>
      </c>
    </row>
    <row r="35" spans="1:39" customFormat="1" x14ac:dyDescent="0.15">
      <c r="A35" s="182" t="s">
        <v>225</v>
      </c>
      <c r="B35" s="146">
        <v>0</v>
      </c>
      <c r="C35" s="146">
        <v>0</v>
      </c>
      <c r="D35" s="146">
        <v>1.1004731998415316E-2</v>
      </c>
      <c r="E35" s="146">
        <v>0</v>
      </c>
      <c r="F35" s="146">
        <v>0</v>
      </c>
      <c r="G35" s="146">
        <v>4.9999999675999964E-3</v>
      </c>
      <c r="H35" s="146">
        <v>0</v>
      </c>
      <c r="I35" s="146">
        <v>0</v>
      </c>
      <c r="J35" s="146">
        <v>0</v>
      </c>
      <c r="K35" s="146">
        <v>0</v>
      </c>
      <c r="L35" s="146">
        <v>0</v>
      </c>
      <c r="M35" s="146">
        <v>5.237E-2</v>
      </c>
      <c r="N35" s="146">
        <v>0</v>
      </c>
      <c r="O35" s="146">
        <v>0</v>
      </c>
      <c r="P35" s="146">
        <v>0.10000000140000015</v>
      </c>
      <c r="Q35" s="146">
        <v>0</v>
      </c>
      <c r="R35" s="146">
        <v>0</v>
      </c>
      <c r="S35" s="146">
        <v>0</v>
      </c>
      <c r="T35" s="146">
        <v>0</v>
      </c>
      <c r="U35" s="146">
        <v>0</v>
      </c>
      <c r="V35" s="146">
        <v>0</v>
      </c>
      <c r="W35" s="146">
        <v>0</v>
      </c>
      <c r="X35" s="146">
        <v>1.9470059934191201E-3</v>
      </c>
      <c r="Y35" s="146">
        <v>0</v>
      </c>
      <c r="Z35" s="146">
        <v>0</v>
      </c>
      <c r="AA35" s="146">
        <v>0</v>
      </c>
      <c r="AB35" s="146">
        <v>0.4</v>
      </c>
      <c r="AC35" s="146">
        <v>0.31507000000000002</v>
      </c>
      <c r="AD35" s="146">
        <v>0</v>
      </c>
      <c r="AE35" s="146">
        <v>0</v>
      </c>
      <c r="AF35" s="146">
        <v>0</v>
      </c>
      <c r="AG35" s="146">
        <v>0</v>
      </c>
      <c r="AH35" s="146">
        <v>0</v>
      </c>
      <c r="AI35" s="146">
        <v>0</v>
      </c>
      <c r="AJ35" s="146">
        <v>0</v>
      </c>
      <c r="AK35" s="146">
        <v>0</v>
      </c>
      <c r="AL35" s="146">
        <v>0</v>
      </c>
      <c r="AM35" s="146">
        <v>0</v>
      </c>
    </row>
    <row r="36" spans="1:39" customFormat="1" x14ac:dyDescent="0.15">
      <c r="A36" s="182" t="s">
        <v>226</v>
      </c>
      <c r="B36" s="146">
        <v>0</v>
      </c>
      <c r="C36" s="146">
        <v>0</v>
      </c>
      <c r="D36" s="146">
        <v>0</v>
      </c>
      <c r="E36" s="146">
        <v>0</v>
      </c>
      <c r="F36" s="146">
        <v>0</v>
      </c>
      <c r="G36" s="146">
        <v>0</v>
      </c>
      <c r="H36" s="146">
        <v>0</v>
      </c>
      <c r="I36" s="146">
        <v>0</v>
      </c>
      <c r="J36" s="146">
        <v>0</v>
      </c>
      <c r="K36" s="146">
        <v>0</v>
      </c>
      <c r="L36" s="146">
        <v>0</v>
      </c>
      <c r="M36" s="146">
        <v>5.237E-2</v>
      </c>
      <c r="N36" s="146">
        <v>0</v>
      </c>
      <c r="O36" s="146">
        <v>0</v>
      </c>
      <c r="P36" s="146">
        <v>0.10000000140000015</v>
      </c>
      <c r="Q36" s="146">
        <v>0</v>
      </c>
      <c r="R36" s="146">
        <v>0</v>
      </c>
      <c r="S36" s="146">
        <v>0</v>
      </c>
      <c r="T36" s="146">
        <v>0</v>
      </c>
      <c r="U36" s="146">
        <v>0</v>
      </c>
      <c r="V36" s="146">
        <v>0</v>
      </c>
      <c r="W36" s="146">
        <v>0</v>
      </c>
      <c r="X36" s="146">
        <v>0</v>
      </c>
      <c r="Y36" s="146">
        <v>0</v>
      </c>
      <c r="Z36" s="146">
        <v>0</v>
      </c>
      <c r="AA36" s="146">
        <v>0</v>
      </c>
      <c r="AB36" s="146">
        <v>0</v>
      </c>
      <c r="AC36" s="146">
        <v>0.12603</v>
      </c>
      <c r="AD36" s="146">
        <v>0</v>
      </c>
      <c r="AE36" s="146">
        <v>0</v>
      </c>
      <c r="AF36" s="146">
        <v>0</v>
      </c>
      <c r="AG36" s="146">
        <v>0</v>
      </c>
      <c r="AH36" s="146">
        <v>0</v>
      </c>
      <c r="AI36" s="146">
        <v>0</v>
      </c>
      <c r="AJ36" s="146">
        <v>0</v>
      </c>
      <c r="AK36" s="146">
        <v>0</v>
      </c>
      <c r="AL36" s="146">
        <v>0</v>
      </c>
      <c r="AM36" s="146">
        <v>0</v>
      </c>
    </row>
    <row r="37" spans="1:39" customFormat="1" x14ac:dyDescent="0.15">
      <c r="A37" s="182" t="s">
        <v>227</v>
      </c>
      <c r="B37" s="146">
        <v>0</v>
      </c>
      <c r="C37" s="146">
        <v>0</v>
      </c>
      <c r="D37" s="146">
        <v>0</v>
      </c>
      <c r="E37" s="146">
        <v>0</v>
      </c>
      <c r="F37" s="146">
        <v>0</v>
      </c>
      <c r="G37" s="146">
        <v>0</v>
      </c>
      <c r="H37" s="146">
        <v>0</v>
      </c>
      <c r="I37" s="146">
        <v>0</v>
      </c>
      <c r="J37" s="146">
        <v>0</v>
      </c>
      <c r="K37" s="146">
        <v>0</v>
      </c>
      <c r="L37" s="146">
        <v>0</v>
      </c>
      <c r="M37" s="146">
        <v>0</v>
      </c>
      <c r="N37" s="146">
        <v>0</v>
      </c>
      <c r="O37" s="146">
        <v>0</v>
      </c>
      <c r="P37" s="146">
        <v>0</v>
      </c>
      <c r="Q37" s="146">
        <v>0</v>
      </c>
      <c r="R37" s="146">
        <v>0</v>
      </c>
      <c r="S37" s="146">
        <v>0</v>
      </c>
      <c r="T37" s="146">
        <v>0</v>
      </c>
      <c r="U37" s="146">
        <v>0</v>
      </c>
      <c r="V37" s="146">
        <v>0</v>
      </c>
      <c r="W37" s="146">
        <v>0</v>
      </c>
      <c r="X37" s="146">
        <v>0</v>
      </c>
      <c r="Y37" s="146">
        <v>0</v>
      </c>
      <c r="Z37" s="146">
        <v>0</v>
      </c>
      <c r="AA37" s="146">
        <v>6.5200000000000006E-3</v>
      </c>
      <c r="AB37" s="146">
        <v>0</v>
      </c>
      <c r="AC37" s="146">
        <v>0</v>
      </c>
      <c r="AD37" s="146">
        <v>0.2</v>
      </c>
      <c r="AE37" s="146">
        <v>0.56999999999999995</v>
      </c>
      <c r="AF37" s="146">
        <v>0.85057000000000005</v>
      </c>
      <c r="AG37" s="146">
        <v>0.49947999999999998</v>
      </c>
      <c r="AH37" s="146">
        <v>0.8</v>
      </c>
      <c r="AI37" s="146">
        <v>0.25</v>
      </c>
      <c r="AJ37" s="146">
        <v>2.5000000000000001E-2</v>
      </c>
      <c r="AK37" s="146">
        <v>0</v>
      </c>
      <c r="AL37" s="146">
        <v>0</v>
      </c>
      <c r="AM37" s="146">
        <v>0</v>
      </c>
    </row>
    <row r="38" spans="1:39" customFormat="1" x14ac:dyDescent="0.15">
      <c r="A38" s="182" t="s">
        <v>228</v>
      </c>
      <c r="B38" s="146">
        <v>0</v>
      </c>
      <c r="C38" s="146">
        <v>0</v>
      </c>
      <c r="D38" s="146">
        <v>0</v>
      </c>
      <c r="E38" s="146">
        <v>0</v>
      </c>
      <c r="F38" s="146">
        <v>0</v>
      </c>
      <c r="G38" s="146">
        <v>0</v>
      </c>
      <c r="H38" s="146">
        <v>0</v>
      </c>
      <c r="I38" s="146">
        <v>0</v>
      </c>
      <c r="J38" s="146">
        <v>0</v>
      </c>
      <c r="K38" s="146">
        <v>0</v>
      </c>
      <c r="L38" s="146">
        <v>0</v>
      </c>
      <c r="M38" s="146">
        <v>0</v>
      </c>
      <c r="N38" s="146">
        <v>0</v>
      </c>
      <c r="O38" s="146">
        <v>0</v>
      </c>
      <c r="P38" s="146">
        <v>0</v>
      </c>
      <c r="Q38" s="146">
        <v>0</v>
      </c>
      <c r="R38" s="146">
        <v>0</v>
      </c>
      <c r="S38" s="146">
        <v>0</v>
      </c>
      <c r="T38" s="146">
        <v>0</v>
      </c>
      <c r="U38" s="146">
        <v>0</v>
      </c>
      <c r="V38" s="146">
        <v>0</v>
      </c>
      <c r="W38" s="146">
        <v>0</v>
      </c>
      <c r="X38" s="146">
        <v>0</v>
      </c>
      <c r="Y38" s="146">
        <v>0</v>
      </c>
      <c r="Z38" s="146">
        <v>0</v>
      </c>
      <c r="AA38" s="146">
        <v>0</v>
      </c>
      <c r="AB38" s="146">
        <v>0.24</v>
      </c>
      <c r="AC38" s="146">
        <v>0.37808999999999998</v>
      </c>
      <c r="AD38" s="146">
        <v>0.4</v>
      </c>
      <c r="AE38" s="146">
        <v>0.18</v>
      </c>
      <c r="AF38" s="146">
        <v>9.6100000000000005E-2</v>
      </c>
      <c r="AG38" s="146">
        <v>0.46494000000000002</v>
      </c>
      <c r="AH38" s="146">
        <v>0.17</v>
      </c>
      <c r="AI38" s="146">
        <v>0.75</v>
      </c>
      <c r="AJ38" s="146">
        <v>0.97499999999999998</v>
      </c>
      <c r="AK38" s="146">
        <v>0</v>
      </c>
      <c r="AL38" s="146">
        <v>0</v>
      </c>
      <c r="AM38" s="146">
        <v>0</v>
      </c>
    </row>
    <row r="39" spans="1:39" x14ac:dyDescent="0.15">
      <c r="A39" s="182" t="s">
        <v>229</v>
      </c>
      <c r="B39" s="146">
        <v>0</v>
      </c>
      <c r="C39" s="146">
        <v>0</v>
      </c>
      <c r="D39" s="146">
        <v>0</v>
      </c>
      <c r="E39" s="146">
        <v>0</v>
      </c>
      <c r="F39" s="146">
        <v>0</v>
      </c>
      <c r="G39" s="146">
        <v>0</v>
      </c>
      <c r="H39" s="146">
        <v>0</v>
      </c>
      <c r="I39" s="146">
        <v>0</v>
      </c>
      <c r="J39" s="146">
        <v>0</v>
      </c>
      <c r="K39" s="146">
        <v>0</v>
      </c>
      <c r="L39" s="146">
        <v>0</v>
      </c>
      <c r="M39" s="146">
        <v>0</v>
      </c>
      <c r="N39" s="146">
        <v>0</v>
      </c>
      <c r="O39" s="146">
        <v>0</v>
      </c>
      <c r="P39" s="146">
        <v>0</v>
      </c>
      <c r="Q39" s="146">
        <v>0</v>
      </c>
      <c r="R39" s="146">
        <v>0</v>
      </c>
      <c r="S39" s="146">
        <v>0</v>
      </c>
      <c r="T39" s="146">
        <v>0</v>
      </c>
      <c r="U39" s="146">
        <v>0</v>
      </c>
      <c r="V39" s="146">
        <v>0</v>
      </c>
      <c r="W39" s="146">
        <v>0</v>
      </c>
      <c r="X39" s="146">
        <v>0</v>
      </c>
      <c r="Y39" s="146">
        <v>0</v>
      </c>
      <c r="Z39" s="146">
        <v>0</v>
      </c>
      <c r="AA39" s="146">
        <v>0</v>
      </c>
      <c r="AB39" s="146">
        <v>0</v>
      </c>
      <c r="AC39" s="146">
        <v>0</v>
      </c>
      <c r="AD39" s="146">
        <v>0</v>
      </c>
      <c r="AE39" s="146">
        <v>0</v>
      </c>
      <c r="AF39" s="146">
        <v>0</v>
      </c>
      <c r="AG39" s="146">
        <v>0</v>
      </c>
      <c r="AH39" s="146">
        <v>0</v>
      </c>
      <c r="AI39" s="146">
        <v>0</v>
      </c>
      <c r="AJ39" s="146">
        <v>0</v>
      </c>
      <c r="AK39" s="146">
        <v>0</v>
      </c>
      <c r="AL39" s="146">
        <v>0</v>
      </c>
      <c r="AM39" s="146">
        <v>0</v>
      </c>
    </row>
    <row r="40" spans="1:39" x14ac:dyDescent="0.15">
      <c r="A40" s="182" t="s">
        <v>238</v>
      </c>
      <c r="B40" s="146">
        <v>0</v>
      </c>
      <c r="C40" s="146">
        <v>0</v>
      </c>
      <c r="D40" s="146">
        <v>0</v>
      </c>
      <c r="E40" s="146">
        <v>0</v>
      </c>
      <c r="F40" s="146">
        <v>0</v>
      </c>
      <c r="G40" s="146">
        <v>0</v>
      </c>
      <c r="H40" s="146">
        <v>0</v>
      </c>
      <c r="I40" s="146">
        <v>0</v>
      </c>
      <c r="J40" s="146">
        <v>0</v>
      </c>
      <c r="K40" s="146">
        <v>0</v>
      </c>
      <c r="L40" s="146">
        <v>0</v>
      </c>
      <c r="M40" s="146">
        <v>0</v>
      </c>
      <c r="N40" s="146">
        <v>0</v>
      </c>
      <c r="O40" s="146">
        <v>0</v>
      </c>
      <c r="P40" s="146">
        <v>0</v>
      </c>
      <c r="Q40" s="146">
        <v>0</v>
      </c>
      <c r="R40" s="146">
        <v>0</v>
      </c>
      <c r="S40" s="146">
        <v>0</v>
      </c>
      <c r="T40" s="146">
        <v>0</v>
      </c>
      <c r="U40" s="146">
        <v>0</v>
      </c>
      <c r="V40" s="146">
        <v>0</v>
      </c>
      <c r="W40" s="146">
        <v>0</v>
      </c>
      <c r="X40" s="146">
        <v>0</v>
      </c>
      <c r="Y40" s="146">
        <v>0</v>
      </c>
      <c r="Z40" s="146">
        <v>0</v>
      </c>
      <c r="AA40" s="146">
        <v>0</v>
      </c>
      <c r="AB40" s="146">
        <v>0</v>
      </c>
      <c r="AC40" s="146">
        <v>0</v>
      </c>
      <c r="AD40" s="146">
        <v>0</v>
      </c>
      <c r="AE40" s="146">
        <v>0</v>
      </c>
      <c r="AF40" s="146">
        <v>0</v>
      </c>
      <c r="AG40" s="146">
        <v>0</v>
      </c>
      <c r="AH40" s="146">
        <v>0</v>
      </c>
      <c r="AI40" s="146">
        <v>0</v>
      </c>
      <c r="AJ40" s="146">
        <v>0</v>
      </c>
      <c r="AK40" s="146">
        <v>0</v>
      </c>
      <c r="AL40" s="146">
        <v>0</v>
      </c>
      <c r="AM40" s="146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8" activePane="bottomRight" state="frozen"/>
      <selection pane="topRight" activeCell="C1" sqref="C1"/>
      <selection pane="bottomLeft" activeCell="A2" sqref="A2"/>
      <selection pane="bottomRight" activeCell="K52" sqref="K52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11" style="112" customWidth="1"/>
    <col min="5" max="6" width="11" style="111" customWidth="1"/>
    <col min="7" max="8" width="8.83203125" style="112"/>
  </cols>
  <sheetData>
    <row r="1" spans="1:8" ht="70" x14ac:dyDescent="0.15">
      <c r="A1" s="5" t="s">
        <v>20</v>
      </c>
      <c r="B1" s="1" t="s">
        <v>0</v>
      </c>
      <c r="C1" s="185" t="s">
        <v>228</v>
      </c>
      <c r="D1" s="185" t="s">
        <v>229</v>
      </c>
      <c r="E1" s="185" t="s">
        <v>239</v>
      </c>
      <c r="F1" s="185" t="s">
        <v>240</v>
      </c>
      <c r="G1"/>
      <c r="H1"/>
    </row>
    <row r="2" spans="1:8" x14ac:dyDescent="0.15">
      <c r="A2">
        <v>1</v>
      </c>
      <c r="B2" s="184" t="s">
        <v>192</v>
      </c>
      <c r="C2" s="112">
        <v>1</v>
      </c>
      <c r="D2" s="112">
        <v>0</v>
      </c>
      <c r="E2" s="111">
        <v>0</v>
      </c>
      <c r="F2" s="111">
        <v>1</v>
      </c>
      <c r="G2"/>
      <c r="H2"/>
    </row>
    <row r="3" spans="1:8" x14ac:dyDescent="0.15">
      <c r="A3">
        <v>2</v>
      </c>
      <c r="B3" s="184" t="s">
        <v>193</v>
      </c>
      <c r="C3" s="112">
        <v>1</v>
      </c>
      <c r="D3" s="112">
        <v>0</v>
      </c>
      <c r="E3" s="111">
        <v>0</v>
      </c>
      <c r="F3" s="111">
        <v>1</v>
      </c>
      <c r="G3"/>
      <c r="H3"/>
    </row>
    <row r="4" spans="1:8" x14ac:dyDescent="0.15">
      <c r="A4">
        <v>3</v>
      </c>
      <c r="B4" s="184" t="s">
        <v>194</v>
      </c>
      <c r="C4" s="112">
        <v>1</v>
      </c>
      <c r="D4" s="112">
        <v>0</v>
      </c>
      <c r="E4" s="111">
        <v>0</v>
      </c>
      <c r="F4" s="111">
        <v>1</v>
      </c>
      <c r="G4"/>
      <c r="H4"/>
    </row>
    <row r="5" spans="1:8" x14ac:dyDescent="0.15">
      <c r="A5">
        <v>4</v>
      </c>
      <c r="B5" s="184" t="s">
        <v>195</v>
      </c>
      <c r="C5" s="112">
        <v>1</v>
      </c>
      <c r="D5" s="112">
        <v>0</v>
      </c>
      <c r="E5" s="111">
        <v>0</v>
      </c>
      <c r="F5" s="111">
        <v>1</v>
      </c>
      <c r="G5"/>
      <c r="H5"/>
    </row>
    <row r="6" spans="1:8" x14ac:dyDescent="0.15">
      <c r="A6">
        <v>5</v>
      </c>
      <c r="B6" s="184" t="s">
        <v>196</v>
      </c>
      <c r="C6" s="112">
        <v>1</v>
      </c>
      <c r="D6" s="112">
        <v>0</v>
      </c>
      <c r="E6" s="111">
        <v>0</v>
      </c>
      <c r="F6" s="111">
        <v>1</v>
      </c>
      <c r="G6"/>
      <c r="H6"/>
    </row>
    <row r="7" spans="1:8" x14ac:dyDescent="0.15">
      <c r="A7">
        <v>6</v>
      </c>
      <c r="B7" s="184" t="s">
        <v>197</v>
      </c>
      <c r="C7" s="112">
        <v>1</v>
      </c>
      <c r="D7" s="112">
        <v>0</v>
      </c>
      <c r="E7" s="111">
        <v>0</v>
      </c>
      <c r="F7" s="111">
        <v>1</v>
      </c>
      <c r="G7"/>
      <c r="H7"/>
    </row>
    <row r="8" spans="1:8" x14ac:dyDescent="0.15">
      <c r="A8">
        <v>7</v>
      </c>
      <c r="B8" s="184" t="s">
        <v>198</v>
      </c>
      <c r="C8" s="112">
        <v>1</v>
      </c>
      <c r="D8" s="112">
        <v>0</v>
      </c>
      <c r="E8" s="111">
        <v>0</v>
      </c>
      <c r="F8" s="111">
        <v>1</v>
      </c>
      <c r="G8"/>
      <c r="H8"/>
    </row>
    <row r="9" spans="1:8" x14ac:dyDescent="0.15">
      <c r="A9">
        <v>8</v>
      </c>
      <c r="B9" s="184" t="s">
        <v>199</v>
      </c>
      <c r="C9" s="112">
        <v>1</v>
      </c>
      <c r="D9" s="112">
        <v>0</v>
      </c>
      <c r="E9" s="111">
        <v>0</v>
      </c>
      <c r="F9" s="111">
        <v>1</v>
      </c>
      <c r="G9"/>
      <c r="H9"/>
    </row>
    <row r="10" spans="1:8" x14ac:dyDescent="0.15">
      <c r="A10">
        <v>9</v>
      </c>
      <c r="B10" s="184" t="s">
        <v>200</v>
      </c>
      <c r="C10" s="112">
        <v>1</v>
      </c>
      <c r="D10" s="112">
        <v>0</v>
      </c>
      <c r="E10" s="111">
        <v>0</v>
      </c>
      <c r="F10" s="111">
        <v>1</v>
      </c>
      <c r="G10"/>
      <c r="H10"/>
    </row>
    <row r="11" spans="1:8" x14ac:dyDescent="0.15">
      <c r="A11">
        <v>10</v>
      </c>
      <c r="B11" s="184" t="s">
        <v>201</v>
      </c>
      <c r="C11" s="112">
        <v>1</v>
      </c>
      <c r="D11" s="112">
        <v>0</v>
      </c>
      <c r="E11" s="111">
        <v>0</v>
      </c>
      <c r="F11" s="111">
        <v>1</v>
      </c>
      <c r="G11"/>
      <c r="H11"/>
    </row>
    <row r="12" spans="1:8" x14ac:dyDescent="0.15">
      <c r="A12">
        <v>11</v>
      </c>
      <c r="B12" s="184" t="s">
        <v>202</v>
      </c>
      <c r="C12" s="112">
        <v>1</v>
      </c>
      <c r="D12" s="112">
        <v>0</v>
      </c>
      <c r="E12" s="111">
        <v>0</v>
      </c>
      <c r="F12" s="111">
        <v>1</v>
      </c>
      <c r="G12"/>
      <c r="H12"/>
    </row>
    <row r="13" spans="1:8" x14ac:dyDescent="0.15">
      <c r="A13">
        <v>12</v>
      </c>
      <c r="B13" s="184" t="s">
        <v>203</v>
      </c>
      <c r="C13" s="112">
        <v>1</v>
      </c>
      <c r="D13" s="112">
        <v>0</v>
      </c>
      <c r="E13" s="111">
        <v>0</v>
      </c>
      <c r="F13" s="111">
        <v>1</v>
      </c>
      <c r="G13"/>
      <c r="H13"/>
    </row>
    <row r="14" spans="1:8" x14ac:dyDescent="0.15">
      <c r="A14">
        <v>13</v>
      </c>
      <c r="B14" s="184" t="s">
        <v>204</v>
      </c>
      <c r="C14" s="112">
        <v>1</v>
      </c>
      <c r="D14" s="112">
        <v>0</v>
      </c>
      <c r="E14" s="111">
        <v>0</v>
      </c>
      <c r="F14" s="111">
        <v>1</v>
      </c>
      <c r="G14"/>
      <c r="H14"/>
    </row>
    <row r="15" spans="1:8" x14ac:dyDescent="0.15">
      <c r="A15">
        <v>14</v>
      </c>
      <c r="B15" s="184" t="s">
        <v>205</v>
      </c>
      <c r="C15" s="112">
        <v>1</v>
      </c>
      <c r="D15" s="112">
        <v>0</v>
      </c>
      <c r="E15" s="111">
        <v>0</v>
      </c>
      <c r="F15" s="111">
        <v>1</v>
      </c>
      <c r="G15"/>
      <c r="H15"/>
    </row>
    <row r="16" spans="1:8" x14ac:dyDescent="0.15">
      <c r="A16">
        <v>15</v>
      </c>
      <c r="B16" s="184" t="s">
        <v>206</v>
      </c>
      <c r="C16" s="112">
        <v>1</v>
      </c>
      <c r="D16" s="112">
        <v>0</v>
      </c>
      <c r="E16" s="111">
        <v>0</v>
      </c>
      <c r="F16" s="111">
        <v>1</v>
      </c>
      <c r="G16"/>
      <c r="H16"/>
    </row>
    <row r="17" spans="1:8" ht="15" customHeight="1" x14ac:dyDescent="0.15">
      <c r="A17">
        <v>16</v>
      </c>
      <c r="B17" s="184" t="s">
        <v>207</v>
      </c>
      <c r="C17" s="112">
        <v>1</v>
      </c>
      <c r="D17" s="112">
        <v>0</v>
      </c>
      <c r="E17" s="111">
        <v>0</v>
      </c>
      <c r="F17" s="111">
        <v>1</v>
      </c>
      <c r="G17"/>
      <c r="H17"/>
    </row>
    <row r="18" spans="1:8" ht="15" customHeight="1" x14ac:dyDescent="0.15">
      <c r="A18">
        <v>17</v>
      </c>
      <c r="B18" s="184" t="s">
        <v>208</v>
      </c>
      <c r="C18" s="112">
        <v>1</v>
      </c>
      <c r="D18" s="112">
        <v>0</v>
      </c>
      <c r="E18" s="111">
        <v>0</v>
      </c>
      <c r="F18" s="111">
        <v>1</v>
      </c>
      <c r="G18"/>
      <c r="H18"/>
    </row>
    <row r="19" spans="1:8" ht="15" customHeight="1" x14ac:dyDescent="0.15">
      <c r="A19">
        <v>18</v>
      </c>
      <c r="B19" s="184" t="s">
        <v>209</v>
      </c>
      <c r="C19" s="112">
        <v>1</v>
      </c>
      <c r="D19" s="112">
        <v>0</v>
      </c>
      <c r="E19" s="111">
        <v>0</v>
      </c>
      <c r="F19" s="111">
        <v>1</v>
      </c>
      <c r="G19"/>
      <c r="H19"/>
    </row>
    <row r="20" spans="1:8" ht="15" customHeight="1" x14ac:dyDescent="0.15">
      <c r="A20">
        <v>19</v>
      </c>
      <c r="B20" s="184" t="s">
        <v>210</v>
      </c>
      <c r="C20" s="112">
        <v>1</v>
      </c>
      <c r="D20" s="112">
        <v>0</v>
      </c>
      <c r="E20" s="111">
        <v>0</v>
      </c>
      <c r="F20" s="111">
        <v>1</v>
      </c>
      <c r="G20"/>
      <c r="H20"/>
    </row>
    <row r="21" spans="1:8" ht="15" customHeight="1" x14ac:dyDescent="0.15">
      <c r="A21">
        <v>20</v>
      </c>
      <c r="B21" s="184" t="s">
        <v>211</v>
      </c>
      <c r="C21" s="112">
        <v>1</v>
      </c>
      <c r="D21" s="112">
        <v>0</v>
      </c>
      <c r="E21" s="111">
        <v>0</v>
      </c>
      <c r="F21" s="111">
        <v>1</v>
      </c>
      <c r="G21"/>
      <c r="H21"/>
    </row>
    <row r="22" spans="1:8" ht="15" customHeight="1" x14ac:dyDescent="0.15">
      <c r="A22">
        <v>21</v>
      </c>
      <c r="B22" s="184" t="s">
        <v>212</v>
      </c>
      <c r="C22" s="112">
        <v>1</v>
      </c>
      <c r="D22" s="112">
        <v>0</v>
      </c>
      <c r="E22" s="111">
        <v>0</v>
      </c>
      <c r="F22" s="111">
        <v>1</v>
      </c>
      <c r="G22"/>
      <c r="H22"/>
    </row>
    <row r="23" spans="1:8" ht="15" customHeight="1" x14ac:dyDescent="0.15">
      <c r="A23">
        <v>22</v>
      </c>
      <c r="B23" s="184" t="s">
        <v>213</v>
      </c>
      <c r="C23" s="112">
        <v>1</v>
      </c>
      <c r="D23" s="112">
        <v>0</v>
      </c>
      <c r="E23" s="111">
        <v>0</v>
      </c>
      <c r="F23" s="111">
        <v>1</v>
      </c>
      <c r="G23"/>
      <c r="H23"/>
    </row>
    <row r="24" spans="1:8" ht="15" customHeight="1" x14ac:dyDescent="0.15">
      <c r="A24">
        <v>23</v>
      </c>
      <c r="B24" s="184" t="s">
        <v>214</v>
      </c>
      <c r="C24" s="112">
        <v>1</v>
      </c>
      <c r="D24" s="112">
        <v>0</v>
      </c>
      <c r="E24" s="111">
        <v>0</v>
      </c>
      <c r="F24" s="111">
        <v>1</v>
      </c>
      <c r="G24"/>
      <c r="H24"/>
    </row>
    <row r="25" spans="1:8" ht="15" customHeight="1" x14ac:dyDescent="0.15">
      <c r="A25">
        <v>24</v>
      </c>
      <c r="B25" s="184" t="s">
        <v>215</v>
      </c>
      <c r="C25" s="112">
        <v>1</v>
      </c>
      <c r="D25" s="112">
        <v>0</v>
      </c>
      <c r="E25" s="111">
        <v>0</v>
      </c>
      <c r="F25" s="111">
        <v>1</v>
      </c>
      <c r="G25"/>
      <c r="H25"/>
    </row>
    <row r="26" spans="1:8" ht="15" customHeight="1" x14ac:dyDescent="0.15">
      <c r="A26">
        <v>25</v>
      </c>
      <c r="B26" s="184" t="s">
        <v>216</v>
      </c>
      <c r="C26" s="112">
        <v>1</v>
      </c>
      <c r="D26" s="112">
        <v>0</v>
      </c>
      <c r="E26" s="111">
        <v>0</v>
      </c>
      <c r="F26" s="111">
        <v>1</v>
      </c>
      <c r="G26"/>
      <c r="H26"/>
    </row>
    <row r="27" spans="1:8" ht="15" customHeight="1" x14ac:dyDescent="0.15">
      <c r="A27">
        <v>26</v>
      </c>
      <c r="B27" s="184" t="s">
        <v>217</v>
      </c>
      <c r="C27" s="112">
        <v>1</v>
      </c>
      <c r="D27" s="112">
        <v>0</v>
      </c>
      <c r="E27" s="111">
        <v>0</v>
      </c>
      <c r="F27" s="111">
        <v>1</v>
      </c>
      <c r="G27"/>
      <c r="H27"/>
    </row>
    <row r="28" spans="1:8" ht="15" customHeight="1" x14ac:dyDescent="0.15">
      <c r="A28">
        <v>27</v>
      </c>
      <c r="B28" s="184" t="s">
        <v>218</v>
      </c>
      <c r="C28" s="112">
        <v>1</v>
      </c>
      <c r="D28" s="112">
        <v>0</v>
      </c>
      <c r="E28" s="111">
        <v>0</v>
      </c>
      <c r="F28" s="111">
        <v>1</v>
      </c>
      <c r="G28"/>
      <c r="H28"/>
    </row>
    <row r="29" spans="1:8" ht="15" customHeight="1" x14ac:dyDescent="0.15">
      <c r="A29">
        <v>28</v>
      </c>
      <c r="B29" s="184" t="s">
        <v>219</v>
      </c>
      <c r="C29" s="112">
        <v>1</v>
      </c>
      <c r="D29" s="112">
        <v>0</v>
      </c>
      <c r="E29" s="111">
        <v>0</v>
      </c>
      <c r="F29" s="111">
        <v>1</v>
      </c>
      <c r="G29"/>
      <c r="H29"/>
    </row>
    <row r="30" spans="1:8" ht="15" customHeight="1" x14ac:dyDescent="0.15">
      <c r="A30">
        <v>29</v>
      </c>
      <c r="B30" s="184" t="s">
        <v>220</v>
      </c>
      <c r="C30" s="112">
        <v>1</v>
      </c>
      <c r="D30" s="112">
        <v>0</v>
      </c>
      <c r="E30" s="111">
        <v>0</v>
      </c>
      <c r="F30" s="111">
        <v>1</v>
      </c>
      <c r="G30"/>
      <c r="H30"/>
    </row>
    <row r="31" spans="1:8" ht="15" customHeight="1" x14ac:dyDescent="0.15">
      <c r="A31">
        <v>30</v>
      </c>
      <c r="B31" s="184" t="s">
        <v>221</v>
      </c>
      <c r="C31" s="112">
        <v>1</v>
      </c>
      <c r="D31" s="112">
        <v>0</v>
      </c>
      <c r="E31" s="111">
        <v>0</v>
      </c>
      <c r="F31" s="111">
        <v>1</v>
      </c>
      <c r="G31"/>
      <c r="H31"/>
    </row>
    <row r="32" spans="1:8" ht="15" customHeight="1" x14ac:dyDescent="0.15">
      <c r="A32">
        <v>31</v>
      </c>
      <c r="B32" s="184" t="s">
        <v>222</v>
      </c>
      <c r="C32" s="112">
        <v>1</v>
      </c>
      <c r="D32" s="112">
        <v>0</v>
      </c>
      <c r="E32" s="111">
        <v>0</v>
      </c>
      <c r="F32" s="111">
        <v>1</v>
      </c>
    </row>
    <row r="33" spans="1:8" ht="15" customHeight="1" x14ac:dyDescent="0.15">
      <c r="A33">
        <v>32</v>
      </c>
      <c r="B33" s="184" t="s">
        <v>223</v>
      </c>
      <c r="C33" s="112">
        <v>1</v>
      </c>
      <c r="D33" s="112">
        <v>0</v>
      </c>
      <c r="E33" s="111">
        <v>0</v>
      </c>
      <c r="F33" s="111">
        <v>1</v>
      </c>
    </row>
    <row r="34" spans="1:8" ht="15" customHeight="1" x14ac:dyDescent="0.15">
      <c r="A34">
        <v>33</v>
      </c>
      <c r="B34" s="184" t="s">
        <v>224</v>
      </c>
      <c r="C34" s="112">
        <v>1</v>
      </c>
      <c r="D34" s="112">
        <v>0</v>
      </c>
      <c r="E34" s="111">
        <v>0</v>
      </c>
      <c r="F34" s="111">
        <v>1</v>
      </c>
    </row>
    <row r="35" spans="1:8" ht="15" customHeight="1" x14ac:dyDescent="0.15">
      <c r="A35">
        <v>34</v>
      </c>
      <c r="B35" s="184" t="s">
        <v>225</v>
      </c>
      <c r="C35" s="112">
        <v>1</v>
      </c>
      <c r="D35" s="112">
        <v>0</v>
      </c>
      <c r="E35" s="111">
        <v>0</v>
      </c>
      <c r="F35" s="111">
        <v>1</v>
      </c>
    </row>
    <row r="36" spans="1:8" ht="15" customHeight="1" x14ac:dyDescent="0.15">
      <c r="A36">
        <v>35</v>
      </c>
      <c r="B36" s="184" t="s">
        <v>226</v>
      </c>
      <c r="C36" s="112">
        <v>1</v>
      </c>
      <c r="D36" s="112">
        <v>0</v>
      </c>
      <c r="E36" s="112">
        <v>0</v>
      </c>
      <c r="F36" s="112">
        <v>1</v>
      </c>
      <c r="G36"/>
      <c r="H36"/>
    </row>
    <row r="37" spans="1:8" ht="15" customHeight="1" x14ac:dyDescent="0.15">
      <c r="A37">
        <v>36</v>
      </c>
      <c r="B37" s="184" t="s">
        <v>227</v>
      </c>
      <c r="C37" s="112">
        <v>1</v>
      </c>
      <c r="D37" s="112">
        <v>0</v>
      </c>
      <c r="E37" s="112">
        <v>0</v>
      </c>
      <c r="F37" s="112">
        <v>1</v>
      </c>
      <c r="G37"/>
      <c r="H37"/>
    </row>
    <row r="38" spans="1:8" ht="15" customHeight="1" x14ac:dyDescent="0.15">
      <c r="A38">
        <v>37</v>
      </c>
      <c r="B38" s="184" t="s">
        <v>228</v>
      </c>
      <c r="C38" s="112">
        <v>0</v>
      </c>
      <c r="D38" s="112">
        <v>1</v>
      </c>
      <c r="E38" s="112">
        <v>0</v>
      </c>
      <c r="F38" s="112">
        <v>1</v>
      </c>
      <c r="G38"/>
      <c r="H38"/>
    </row>
    <row r="39" spans="1:8" ht="15" customHeight="1" x14ac:dyDescent="0.15">
      <c r="A39">
        <v>38</v>
      </c>
      <c r="B39" s="184" t="s">
        <v>229</v>
      </c>
      <c r="C39" s="112">
        <v>0</v>
      </c>
      <c r="D39" s="112">
        <v>0</v>
      </c>
      <c r="E39" s="112">
        <v>1</v>
      </c>
      <c r="F39" s="112">
        <v>1</v>
      </c>
      <c r="G39"/>
      <c r="H39"/>
    </row>
    <row r="40" spans="1:8" ht="15" customHeight="1" x14ac:dyDescent="0.15">
      <c r="A40">
        <v>39</v>
      </c>
      <c r="B40" s="184" t="s">
        <v>230</v>
      </c>
      <c r="C40" s="112">
        <v>0</v>
      </c>
      <c r="D40" s="112">
        <v>1</v>
      </c>
      <c r="E40" s="112">
        <v>0</v>
      </c>
      <c r="F40" s="112">
        <v>1</v>
      </c>
      <c r="G40"/>
      <c r="H40"/>
    </row>
    <row r="41" spans="1:8" ht="15" customHeight="1" x14ac:dyDescent="0.15">
      <c r="A41">
        <v>40</v>
      </c>
      <c r="B41" s="184" t="s">
        <v>231</v>
      </c>
      <c r="C41" s="112">
        <v>0</v>
      </c>
      <c r="D41" s="112">
        <v>1</v>
      </c>
      <c r="E41" s="112">
        <v>0</v>
      </c>
      <c r="F41" s="112">
        <v>1</v>
      </c>
      <c r="G41"/>
      <c r="H41"/>
    </row>
    <row r="42" spans="1:8" ht="15" customHeight="1" x14ac:dyDescent="0.15">
      <c r="A42">
        <v>41</v>
      </c>
      <c r="B42" s="184" t="s">
        <v>232</v>
      </c>
      <c r="C42" s="112">
        <v>0</v>
      </c>
      <c r="D42" s="112">
        <v>1</v>
      </c>
      <c r="E42" s="112">
        <v>0</v>
      </c>
      <c r="F42" s="112">
        <v>1</v>
      </c>
      <c r="G42"/>
      <c r="H42"/>
    </row>
    <row r="43" spans="1:8" ht="15" customHeight="1" x14ac:dyDescent="0.15">
      <c r="A43">
        <v>42</v>
      </c>
      <c r="B43" s="184" t="s">
        <v>233</v>
      </c>
      <c r="C43" s="112">
        <v>0</v>
      </c>
      <c r="D43" s="112">
        <v>1</v>
      </c>
      <c r="E43" s="112">
        <v>0</v>
      </c>
      <c r="F43" s="112">
        <v>1</v>
      </c>
      <c r="G43"/>
      <c r="H43"/>
    </row>
    <row r="44" spans="1:8" ht="15" customHeight="1" x14ac:dyDescent="0.15">
      <c r="A44">
        <v>43</v>
      </c>
      <c r="B44" s="184" t="s">
        <v>234</v>
      </c>
      <c r="C44" s="112">
        <v>0</v>
      </c>
      <c r="D44" s="112">
        <v>1</v>
      </c>
      <c r="E44" s="111">
        <v>0</v>
      </c>
      <c r="F44" s="111">
        <v>1</v>
      </c>
      <c r="G44"/>
      <c r="H44"/>
    </row>
    <row r="45" spans="1:8" ht="15" customHeight="1" x14ac:dyDescent="0.15">
      <c r="A45">
        <v>44</v>
      </c>
      <c r="B45" s="184" t="s">
        <v>235</v>
      </c>
      <c r="C45" s="112">
        <v>0</v>
      </c>
      <c r="D45" s="112">
        <v>1</v>
      </c>
      <c r="E45" s="111">
        <v>0</v>
      </c>
      <c r="F45" s="111">
        <v>1</v>
      </c>
      <c r="G45"/>
      <c r="H45"/>
    </row>
    <row r="46" spans="1:8" ht="15" customHeight="1" x14ac:dyDescent="0.15">
      <c r="A46">
        <v>45</v>
      </c>
      <c r="B46" s="184" t="s">
        <v>236</v>
      </c>
      <c r="C46" s="112">
        <v>0</v>
      </c>
      <c r="D46" s="112">
        <v>1</v>
      </c>
      <c r="E46" s="112">
        <v>0</v>
      </c>
      <c r="F46" s="112">
        <v>1</v>
      </c>
      <c r="G46"/>
      <c r="H46"/>
    </row>
    <row r="47" spans="1:8" ht="15" customHeight="1" x14ac:dyDescent="0.15">
      <c r="A47">
        <v>46</v>
      </c>
      <c r="B47" s="184" t="s">
        <v>237</v>
      </c>
      <c r="C47" s="112">
        <v>0</v>
      </c>
      <c r="D47" s="112">
        <v>1</v>
      </c>
      <c r="E47" s="111">
        <v>0</v>
      </c>
      <c r="F47" s="111">
        <v>1</v>
      </c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K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8.33203125" bestFit="1" customWidth="1"/>
    <col min="3" max="5" width="5.83203125" bestFit="1" customWidth="1"/>
    <col min="6" max="11" width="5.83203125" customWidth="1"/>
  </cols>
  <sheetData>
    <row r="1" spans="1:11" s="113" customFormat="1" ht="112" x14ac:dyDescent="0.15">
      <c r="A1" s="5" t="s">
        <v>21</v>
      </c>
      <c r="B1" s="3" t="s">
        <v>0</v>
      </c>
      <c r="C1" s="187" t="s">
        <v>230</v>
      </c>
      <c r="D1" s="187" t="s">
        <v>231</v>
      </c>
      <c r="E1" s="187" t="s">
        <v>232</v>
      </c>
      <c r="F1" s="187" t="s">
        <v>233</v>
      </c>
      <c r="G1" s="187" t="s">
        <v>234</v>
      </c>
      <c r="H1" s="187" t="s">
        <v>235</v>
      </c>
      <c r="I1" s="187" t="s">
        <v>236</v>
      </c>
      <c r="J1" s="187" t="s">
        <v>237</v>
      </c>
      <c r="K1" s="187" t="s">
        <v>241</v>
      </c>
    </row>
    <row r="2" spans="1:11" ht="15" customHeight="1" x14ac:dyDescent="0.15">
      <c r="A2">
        <v>1</v>
      </c>
      <c r="B2" s="186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  <row r="3" spans="1:11" ht="15" customHeight="1" x14ac:dyDescent="0.15">
      <c r="A3">
        <v>2</v>
      </c>
      <c r="B3" s="186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 ht="15" customHeight="1" x14ac:dyDescent="0.15">
      <c r="A4">
        <v>3</v>
      </c>
      <c r="B4" s="186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</row>
    <row r="5" spans="1:11" ht="15" customHeight="1" x14ac:dyDescent="0.15">
      <c r="A5">
        <v>4</v>
      </c>
      <c r="B5" s="186" t="s">
        <v>195</v>
      </c>
      <c r="C5">
        <v>4.0000000000000001E-3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4.0000000000000001E-3</v>
      </c>
    </row>
    <row r="6" spans="1:11" ht="15" customHeight="1" x14ac:dyDescent="0.15">
      <c r="A6">
        <v>5</v>
      </c>
      <c r="B6" s="186" t="s">
        <v>196</v>
      </c>
      <c r="C6">
        <v>2.1999999999999999E-2</v>
      </c>
      <c r="D6">
        <v>0</v>
      </c>
      <c r="E6">
        <v>6.3E-2</v>
      </c>
      <c r="F6">
        <v>0</v>
      </c>
      <c r="G6">
        <v>3.0000000000000001E-3</v>
      </c>
      <c r="H6">
        <v>0</v>
      </c>
      <c r="I6">
        <v>0</v>
      </c>
      <c r="J6">
        <v>0</v>
      </c>
      <c r="K6">
        <v>8.7999999999999995E-2</v>
      </c>
    </row>
    <row r="7" spans="1:11" ht="15" customHeight="1" x14ac:dyDescent="0.15">
      <c r="A7">
        <v>6</v>
      </c>
      <c r="B7" s="186" t="s">
        <v>197</v>
      </c>
      <c r="C7">
        <v>0.11799999999999999</v>
      </c>
      <c r="D7">
        <v>1E-3</v>
      </c>
      <c r="E7">
        <v>1E-3</v>
      </c>
      <c r="F7">
        <v>0</v>
      </c>
      <c r="G7">
        <v>1E-3</v>
      </c>
      <c r="H7">
        <v>1E-3</v>
      </c>
      <c r="I7">
        <v>0</v>
      </c>
      <c r="J7">
        <v>0</v>
      </c>
      <c r="K7">
        <v>0.122</v>
      </c>
    </row>
    <row r="8" spans="1:11" ht="15" customHeight="1" x14ac:dyDescent="0.15">
      <c r="A8">
        <v>7</v>
      </c>
      <c r="B8" s="186" t="s">
        <v>198</v>
      </c>
      <c r="C8">
        <v>1.0999999999999999E-2</v>
      </c>
      <c r="D8">
        <v>0</v>
      </c>
      <c r="E8">
        <v>0</v>
      </c>
      <c r="F8">
        <v>0</v>
      </c>
      <c r="G8">
        <v>2E-3</v>
      </c>
      <c r="H8">
        <v>2E-3</v>
      </c>
      <c r="I8">
        <v>0</v>
      </c>
      <c r="J8">
        <v>0</v>
      </c>
      <c r="K8">
        <v>1.4999999999999999E-2</v>
      </c>
    </row>
    <row r="9" spans="1:11" ht="15" customHeight="1" x14ac:dyDescent="0.15">
      <c r="A9">
        <v>8</v>
      </c>
      <c r="B9" s="186" t="s">
        <v>199</v>
      </c>
      <c r="C9">
        <v>7.0000000000000001E-3</v>
      </c>
      <c r="D9">
        <v>0</v>
      </c>
      <c r="E9">
        <v>0</v>
      </c>
      <c r="F9">
        <v>0</v>
      </c>
      <c r="G9">
        <v>1E-3</v>
      </c>
      <c r="H9">
        <v>0</v>
      </c>
      <c r="I9">
        <v>0</v>
      </c>
      <c r="J9">
        <v>0</v>
      </c>
      <c r="K9">
        <v>8.0000000000000002E-3</v>
      </c>
    </row>
    <row r="10" spans="1:11" ht="15" customHeight="1" x14ac:dyDescent="0.15">
      <c r="A10">
        <v>9</v>
      </c>
      <c r="B10" s="186" t="s">
        <v>200</v>
      </c>
      <c r="C10">
        <v>2.1999999999999999E-2</v>
      </c>
      <c r="D10">
        <v>0</v>
      </c>
      <c r="E10">
        <v>0</v>
      </c>
      <c r="F10">
        <v>0</v>
      </c>
      <c r="G10">
        <v>3.0000000000000001E-3</v>
      </c>
      <c r="H10">
        <v>0</v>
      </c>
      <c r="I10">
        <v>0</v>
      </c>
      <c r="J10">
        <v>0</v>
      </c>
      <c r="K10">
        <v>2.4999999999999998E-2</v>
      </c>
    </row>
    <row r="11" spans="1:11" ht="15" customHeight="1" x14ac:dyDescent="0.15">
      <c r="A11">
        <v>10</v>
      </c>
      <c r="B11" s="186" t="s">
        <v>201</v>
      </c>
      <c r="C11">
        <v>1.4999999999999999E-2</v>
      </c>
      <c r="D11">
        <v>0</v>
      </c>
      <c r="E11">
        <v>0</v>
      </c>
      <c r="F11">
        <v>0</v>
      </c>
      <c r="G11">
        <v>2E-3</v>
      </c>
      <c r="H11">
        <v>0</v>
      </c>
      <c r="I11">
        <v>0</v>
      </c>
      <c r="J11">
        <v>0</v>
      </c>
      <c r="K11">
        <v>1.7000000000000001E-2</v>
      </c>
    </row>
    <row r="12" spans="1:11" ht="15" customHeight="1" x14ac:dyDescent="0.15">
      <c r="A12">
        <v>11</v>
      </c>
      <c r="B12" s="186" t="s">
        <v>202</v>
      </c>
      <c r="C12">
        <v>7.9000000000000001E-2</v>
      </c>
      <c r="D12">
        <v>0</v>
      </c>
      <c r="E12">
        <v>8.9999999999999993E-3</v>
      </c>
      <c r="F12">
        <v>0</v>
      </c>
      <c r="G12">
        <v>1E-3</v>
      </c>
      <c r="H12">
        <v>0</v>
      </c>
      <c r="I12">
        <v>0</v>
      </c>
      <c r="J12">
        <v>1E-3</v>
      </c>
      <c r="K12">
        <v>0.09</v>
      </c>
    </row>
    <row r="13" spans="1:11" ht="15" customHeight="1" x14ac:dyDescent="0.15">
      <c r="A13">
        <v>12</v>
      </c>
      <c r="B13" s="186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4.3999999999999997E-2</v>
      </c>
      <c r="J13">
        <v>0</v>
      </c>
      <c r="K13">
        <v>4.3999999999999997E-2</v>
      </c>
    </row>
    <row r="14" spans="1:11" ht="15" customHeight="1" x14ac:dyDescent="0.15">
      <c r="A14">
        <v>13</v>
      </c>
      <c r="B14" s="186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</row>
    <row r="15" spans="1:11" ht="15" customHeight="1" x14ac:dyDescent="0.15">
      <c r="A15">
        <v>14</v>
      </c>
      <c r="B15" s="186" t="s">
        <v>205</v>
      </c>
      <c r="C15">
        <v>3.5999999999999997E-2</v>
      </c>
      <c r="D15">
        <v>0</v>
      </c>
      <c r="E15">
        <v>0</v>
      </c>
      <c r="F15">
        <v>0</v>
      </c>
      <c r="G15">
        <v>8.0000000000000002E-3</v>
      </c>
      <c r="H15">
        <v>0</v>
      </c>
      <c r="I15">
        <v>0</v>
      </c>
      <c r="J15">
        <v>0</v>
      </c>
      <c r="K15">
        <v>4.3999999999999997E-2</v>
      </c>
    </row>
    <row r="16" spans="1:11" ht="15" customHeight="1" x14ac:dyDescent="0.15">
      <c r="A16">
        <v>15</v>
      </c>
      <c r="B16" s="186" t="s">
        <v>206</v>
      </c>
      <c r="C16">
        <v>2.1000000000000001E-2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3.0000000000000001E-3</v>
      </c>
      <c r="K16">
        <v>2.4E-2</v>
      </c>
    </row>
    <row r="17" spans="1:11" ht="15" customHeight="1" x14ac:dyDescent="0.15">
      <c r="A17">
        <v>16</v>
      </c>
      <c r="B17" s="186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</row>
    <row r="18" spans="1:11" ht="15" customHeight="1" x14ac:dyDescent="0.15">
      <c r="A18">
        <v>17</v>
      </c>
      <c r="B18" s="186" t="s">
        <v>208</v>
      </c>
      <c r="C18">
        <v>1.2E-2</v>
      </c>
      <c r="D18">
        <v>0</v>
      </c>
      <c r="E18">
        <v>0.20699999999999999</v>
      </c>
      <c r="F18">
        <v>0</v>
      </c>
      <c r="G18">
        <v>0.14499999999999999</v>
      </c>
      <c r="H18">
        <v>0</v>
      </c>
      <c r="I18">
        <v>0</v>
      </c>
      <c r="J18">
        <v>0</v>
      </c>
      <c r="K18">
        <v>0.36399999999999999</v>
      </c>
    </row>
    <row r="19" spans="1:11" ht="15" customHeight="1" x14ac:dyDescent="0.15">
      <c r="A19">
        <v>18</v>
      </c>
      <c r="B19" s="186" t="s">
        <v>209</v>
      </c>
      <c r="C19">
        <v>5.0000000000000001E-3</v>
      </c>
      <c r="D19">
        <v>0</v>
      </c>
      <c r="E19">
        <v>0.22800000000000001</v>
      </c>
      <c r="F19">
        <v>0</v>
      </c>
      <c r="G19">
        <v>1E-3</v>
      </c>
      <c r="H19">
        <v>0</v>
      </c>
      <c r="I19">
        <v>0</v>
      </c>
      <c r="J19">
        <v>0</v>
      </c>
      <c r="K19">
        <v>0.23400000000000001</v>
      </c>
    </row>
    <row r="20" spans="1:11" ht="15" customHeight="1" x14ac:dyDescent="0.15">
      <c r="A20">
        <v>19</v>
      </c>
      <c r="B20" s="186" t="s">
        <v>210</v>
      </c>
      <c r="C20">
        <v>4.0000000000000001E-3</v>
      </c>
      <c r="D20">
        <v>1E-3</v>
      </c>
      <c r="E20">
        <v>0</v>
      </c>
      <c r="F20">
        <v>0</v>
      </c>
      <c r="G20">
        <v>1E-3</v>
      </c>
      <c r="H20">
        <v>0</v>
      </c>
      <c r="I20">
        <v>0</v>
      </c>
      <c r="J20">
        <v>0</v>
      </c>
      <c r="K20">
        <v>6.0000000000000001E-3</v>
      </c>
    </row>
    <row r="21" spans="1:11" ht="15" customHeight="1" x14ac:dyDescent="0.15">
      <c r="A21">
        <v>20</v>
      </c>
      <c r="B21" s="186" t="s">
        <v>211</v>
      </c>
      <c r="C21">
        <v>1E-3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1E-3</v>
      </c>
    </row>
    <row r="22" spans="1:11" ht="15" customHeight="1" x14ac:dyDescent="0.15">
      <c r="A22">
        <v>21</v>
      </c>
      <c r="B22" s="186" t="s">
        <v>212</v>
      </c>
      <c r="C22">
        <v>4.3999999999999997E-2</v>
      </c>
      <c r="D22">
        <v>0</v>
      </c>
      <c r="E22">
        <v>0</v>
      </c>
      <c r="F22">
        <v>0</v>
      </c>
      <c r="G22">
        <v>0</v>
      </c>
      <c r="H22">
        <v>0</v>
      </c>
      <c r="I22">
        <v>5.0000000000000001E-3</v>
      </c>
      <c r="J22">
        <v>0</v>
      </c>
      <c r="K22">
        <v>4.8999999999999995E-2</v>
      </c>
    </row>
    <row r="23" spans="1:11" ht="15" customHeight="1" x14ac:dyDescent="0.15">
      <c r="A23">
        <v>22</v>
      </c>
      <c r="B23" s="186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</row>
    <row r="24" spans="1:11" ht="15" customHeight="1" x14ac:dyDescent="0.15">
      <c r="A24">
        <v>23</v>
      </c>
      <c r="B24" s="186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 ht="15" customHeight="1" x14ac:dyDescent="0.15">
      <c r="A25">
        <v>24</v>
      </c>
      <c r="B25" s="186" t="s">
        <v>215</v>
      </c>
      <c r="C25">
        <v>2.3E-2</v>
      </c>
      <c r="D25">
        <v>0</v>
      </c>
      <c r="E25">
        <v>2E-3</v>
      </c>
      <c r="F25">
        <v>0</v>
      </c>
      <c r="G25">
        <v>0</v>
      </c>
      <c r="H25">
        <v>0</v>
      </c>
      <c r="I25">
        <v>0</v>
      </c>
      <c r="J25">
        <v>0</v>
      </c>
      <c r="K25">
        <v>2.5000000000000001E-2</v>
      </c>
    </row>
    <row r="26" spans="1:11" ht="15" customHeight="1" x14ac:dyDescent="0.15">
      <c r="A26">
        <v>25</v>
      </c>
      <c r="B26" s="186" t="s">
        <v>216</v>
      </c>
      <c r="C26">
        <v>0</v>
      </c>
      <c r="D26">
        <v>0</v>
      </c>
      <c r="E26">
        <v>2.5000000000000001E-2</v>
      </c>
      <c r="F26">
        <v>0</v>
      </c>
      <c r="G26">
        <v>0</v>
      </c>
      <c r="H26">
        <v>0</v>
      </c>
      <c r="I26">
        <v>0</v>
      </c>
      <c r="J26">
        <v>0</v>
      </c>
      <c r="K26">
        <v>2.5000000000000001E-2</v>
      </c>
    </row>
    <row r="27" spans="1:11" ht="15" customHeight="1" x14ac:dyDescent="0.15">
      <c r="A27">
        <v>26</v>
      </c>
      <c r="B27" s="186" t="s">
        <v>217</v>
      </c>
      <c r="C27">
        <v>3.0000000000000001E-3</v>
      </c>
      <c r="D27">
        <v>0</v>
      </c>
      <c r="E27">
        <v>6.5000000000000002E-2</v>
      </c>
      <c r="F27">
        <v>0</v>
      </c>
      <c r="G27">
        <v>4.4999999999999998E-2</v>
      </c>
      <c r="H27">
        <v>0</v>
      </c>
      <c r="I27">
        <v>0</v>
      </c>
      <c r="J27">
        <v>0</v>
      </c>
      <c r="K27">
        <v>0.113</v>
      </c>
    </row>
    <row r="28" spans="1:11" ht="15" customHeight="1" x14ac:dyDescent="0.15">
      <c r="A28">
        <v>27</v>
      </c>
      <c r="B28" s="186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</row>
    <row r="29" spans="1:11" ht="15" customHeight="1" x14ac:dyDescent="0.15">
      <c r="A29">
        <v>28</v>
      </c>
      <c r="B29" s="186" t="s">
        <v>219</v>
      </c>
      <c r="C29">
        <v>1E-3</v>
      </c>
      <c r="D29">
        <v>0</v>
      </c>
      <c r="E29">
        <v>0</v>
      </c>
      <c r="F29">
        <v>3.5999999999999997E-2</v>
      </c>
      <c r="G29">
        <v>0</v>
      </c>
      <c r="H29">
        <v>0</v>
      </c>
      <c r="I29">
        <v>5.0000000000000001E-3</v>
      </c>
      <c r="J29">
        <v>1.9E-2</v>
      </c>
      <c r="K29">
        <v>6.0999999999999999E-2</v>
      </c>
    </row>
    <row r="30" spans="1:11" ht="15" customHeight="1" x14ac:dyDescent="0.15">
      <c r="A30">
        <v>29</v>
      </c>
      <c r="B30" s="186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</row>
    <row r="31" spans="1:11" ht="15" customHeight="1" x14ac:dyDescent="0.15">
      <c r="A31">
        <v>30</v>
      </c>
      <c r="B31" s="186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1:11" ht="15" customHeight="1" x14ac:dyDescent="0.15">
      <c r="A32">
        <v>31</v>
      </c>
      <c r="B32" s="186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1:11" ht="15" customHeight="1" x14ac:dyDescent="0.15">
      <c r="A33">
        <v>32</v>
      </c>
      <c r="B33" s="186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1:11" ht="15" customHeight="1" x14ac:dyDescent="0.15">
      <c r="A34">
        <v>33</v>
      </c>
      <c r="B34" s="186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</row>
    <row r="35" spans="1:11" ht="15" customHeight="1" x14ac:dyDescent="0.15">
      <c r="A35">
        <v>34</v>
      </c>
      <c r="B35" s="186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1:11" ht="15" customHeight="1" x14ac:dyDescent="0.15">
      <c r="A36">
        <v>35</v>
      </c>
      <c r="B36" s="186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</row>
    <row r="37" spans="1:11" ht="15" customHeight="1" x14ac:dyDescent="0.15">
      <c r="A37">
        <v>36</v>
      </c>
      <c r="B37" s="186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</row>
    <row r="38" spans="1:11" ht="15" customHeight="1" x14ac:dyDescent="0.15">
      <c r="A38">
        <v>37</v>
      </c>
      <c r="B38" s="186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</row>
    <row r="39" spans="1:11" ht="15" customHeight="1" x14ac:dyDescent="0.15">
      <c r="A39">
        <v>38</v>
      </c>
      <c r="B39" s="186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1:11" ht="15" customHeight="1" x14ac:dyDescent="0.15"/>
    <row r="41" spans="1:11" ht="15" customHeight="1" x14ac:dyDescent="0.15"/>
    <row r="42" spans="1:11" ht="15" customHeight="1" x14ac:dyDescent="0.15"/>
    <row r="43" spans="1:11" ht="15" customHeight="1" x14ac:dyDescent="0.15"/>
    <row r="44" spans="1:11" ht="15" customHeight="1" x14ac:dyDescent="0.15"/>
    <row r="45" spans="1:11" ht="15" customHeight="1" x14ac:dyDescent="0.15"/>
    <row r="46" spans="1:11" ht="15" customHeight="1" x14ac:dyDescent="0.15"/>
    <row r="47" spans="1:11" ht="15" customHeight="1" x14ac:dyDescent="0.15"/>
    <row r="48" spans="1:11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K39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8.33203125" bestFit="1" customWidth="1"/>
    <col min="3" max="3" width="11.83203125" bestFit="1" customWidth="1"/>
    <col min="4" max="4" width="10.5" bestFit="1" customWidth="1"/>
    <col min="5" max="5" width="10.83203125" bestFit="1" customWidth="1"/>
    <col min="6" max="10" width="2.33203125" customWidth="1"/>
    <col min="11" max="11" width="12.83203125" customWidth="1"/>
  </cols>
  <sheetData>
    <row r="1" spans="1:11" s="113" customFormat="1" ht="112" x14ac:dyDescent="0.15">
      <c r="A1" s="5" t="s">
        <v>22</v>
      </c>
      <c r="B1" s="3" t="s">
        <v>0</v>
      </c>
      <c r="C1" s="189" t="s">
        <v>230</v>
      </c>
      <c r="D1" s="189" t="s">
        <v>231</v>
      </c>
      <c r="E1" s="189" t="s">
        <v>232</v>
      </c>
      <c r="F1" s="189" t="s">
        <v>233</v>
      </c>
      <c r="G1" s="189" t="s">
        <v>234</v>
      </c>
      <c r="H1" s="189" t="s">
        <v>235</v>
      </c>
      <c r="I1" s="189" t="s">
        <v>236</v>
      </c>
      <c r="J1" s="189" t="s">
        <v>237</v>
      </c>
      <c r="K1" s="189" t="s">
        <v>241</v>
      </c>
    </row>
    <row r="2" spans="1:11" x14ac:dyDescent="0.15">
      <c r="A2">
        <v>1</v>
      </c>
      <c r="B2" s="188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  <row r="3" spans="1:11" x14ac:dyDescent="0.15">
      <c r="A3">
        <v>2</v>
      </c>
      <c r="B3" s="188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 x14ac:dyDescent="0.15">
      <c r="A4">
        <v>3</v>
      </c>
      <c r="B4" s="188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</row>
    <row r="5" spans="1:11" x14ac:dyDescent="0.15">
      <c r="A5">
        <v>4</v>
      </c>
      <c r="B5" s="188" t="s">
        <v>195</v>
      </c>
      <c r="C5">
        <v>2.8469100000000001E-2</v>
      </c>
      <c r="D5">
        <v>1.1877000000000001E-6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2.8470287699999999E-2</v>
      </c>
    </row>
    <row r="6" spans="1:11" x14ac:dyDescent="0.15">
      <c r="A6">
        <v>5</v>
      </c>
      <c r="B6" s="188" t="s">
        <v>196</v>
      </c>
      <c r="C6">
        <v>2.2537999999999999E-2</v>
      </c>
      <c r="D6">
        <v>9.4030000000000002E-7</v>
      </c>
      <c r="E6">
        <v>2.4755800000000001E-2</v>
      </c>
      <c r="F6">
        <v>0</v>
      </c>
      <c r="G6">
        <v>0</v>
      </c>
      <c r="H6">
        <v>0</v>
      </c>
      <c r="I6">
        <v>0</v>
      </c>
      <c r="J6">
        <v>0</v>
      </c>
      <c r="K6">
        <v>4.7294740299999999E-2</v>
      </c>
    </row>
    <row r="7" spans="1:11" x14ac:dyDescent="0.15">
      <c r="A7">
        <v>6</v>
      </c>
      <c r="B7" s="188" t="s">
        <v>197</v>
      </c>
      <c r="C7">
        <v>1.38391E-2</v>
      </c>
      <c r="D7">
        <v>5.7729999999999996E-7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1.38396773E-2</v>
      </c>
    </row>
    <row r="8" spans="1:11" x14ac:dyDescent="0.15">
      <c r="A8">
        <v>7</v>
      </c>
      <c r="B8" s="188" t="s">
        <v>198</v>
      </c>
      <c r="C8">
        <v>1.9770199999999999E-3</v>
      </c>
      <c r="D8">
        <v>8.2500000000000004E-8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1.9771024999999998E-3</v>
      </c>
    </row>
    <row r="9" spans="1:11" x14ac:dyDescent="0.15">
      <c r="A9">
        <v>8</v>
      </c>
      <c r="B9" s="188" t="s">
        <v>199</v>
      </c>
      <c r="C9">
        <v>1.4234500000000001E-2</v>
      </c>
      <c r="D9">
        <v>5.9380000000000004E-7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1.4235093800000001E-2</v>
      </c>
    </row>
    <row r="10" spans="1:11" x14ac:dyDescent="0.15">
      <c r="A10">
        <v>9</v>
      </c>
      <c r="B10" s="188" t="s">
        <v>200</v>
      </c>
      <c r="C10">
        <v>4.5075999999999996E-3</v>
      </c>
      <c r="D10">
        <v>1.881E-7</v>
      </c>
      <c r="E10">
        <v>6.1889500000000004E-3</v>
      </c>
      <c r="F10">
        <v>0</v>
      </c>
      <c r="G10">
        <v>0</v>
      </c>
      <c r="H10">
        <v>0</v>
      </c>
      <c r="I10">
        <v>0</v>
      </c>
      <c r="J10">
        <v>0</v>
      </c>
      <c r="K10">
        <v>1.06967381E-2</v>
      </c>
    </row>
    <row r="11" spans="1:11" x14ac:dyDescent="0.15">
      <c r="A11">
        <v>10</v>
      </c>
      <c r="B11" s="188" t="s">
        <v>201</v>
      </c>
      <c r="C11">
        <v>1.9770199999999999E-3</v>
      </c>
      <c r="D11">
        <v>8.2500000000000004E-8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1.9771024999999998E-3</v>
      </c>
    </row>
    <row r="12" spans="1:11" x14ac:dyDescent="0.15">
      <c r="A12">
        <v>11</v>
      </c>
      <c r="B12" s="188" t="s">
        <v>202</v>
      </c>
      <c r="C12">
        <v>1.9770199999999999E-3</v>
      </c>
      <c r="D12">
        <v>8.2500000000000004E-8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1.9771024999999998E-3</v>
      </c>
    </row>
    <row r="13" spans="1:11" x14ac:dyDescent="0.15">
      <c r="A13">
        <v>12</v>
      </c>
      <c r="B13" s="188" t="s">
        <v>203</v>
      </c>
      <c r="C13">
        <v>3.9540400000000003E-2</v>
      </c>
      <c r="D13">
        <v>1.6496000000000001E-6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3.9542049600000004E-2</v>
      </c>
    </row>
    <row r="14" spans="1:11" x14ac:dyDescent="0.15">
      <c r="A14">
        <v>13</v>
      </c>
      <c r="B14" s="188" t="s">
        <v>204</v>
      </c>
      <c r="C14">
        <v>1.4234500000000001E-2</v>
      </c>
      <c r="D14">
        <v>5.9380000000000004E-7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1.4235093800000001E-2</v>
      </c>
    </row>
    <row r="15" spans="1:11" x14ac:dyDescent="0.15">
      <c r="A15">
        <v>14</v>
      </c>
      <c r="B15" s="188" t="s">
        <v>205</v>
      </c>
      <c r="C15">
        <v>1.8030399999999999E-2</v>
      </c>
      <c r="D15">
        <v>7.5219999999999997E-7</v>
      </c>
      <c r="E15">
        <v>3.0944699999999999E-2</v>
      </c>
      <c r="F15">
        <v>0</v>
      </c>
      <c r="G15">
        <v>0</v>
      </c>
      <c r="H15">
        <v>0</v>
      </c>
      <c r="I15">
        <v>0</v>
      </c>
      <c r="J15">
        <v>0</v>
      </c>
      <c r="K15">
        <v>4.8975852199999996E-2</v>
      </c>
    </row>
    <row r="16" spans="1:11" x14ac:dyDescent="0.15">
      <c r="A16">
        <v>15</v>
      </c>
      <c r="B16" s="188" t="s">
        <v>206</v>
      </c>
      <c r="C16">
        <v>1.4234500000000001E-2</v>
      </c>
      <c r="D16">
        <v>5.9380000000000004E-7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1.4235093800000001E-2</v>
      </c>
    </row>
    <row r="17" spans="1:11" x14ac:dyDescent="0.15">
      <c r="A17">
        <v>16</v>
      </c>
      <c r="B17" s="188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</row>
    <row r="18" spans="1:11" x14ac:dyDescent="0.15">
      <c r="A18">
        <v>17</v>
      </c>
      <c r="B18" s="188" t="s">
        <v>208</v>
      </c>
      <c r="C18">
        <v>0</v>
      </c>
      <c r="D18">
        <v>0</v>
      </c>
      <c r="E18">
        <v>2.17427E-2</v>
      </c>
      <c r="F18">
        <v>0</v>
      </c>
      <c r="G18">
        <v>0</v>
      </c>
      <c r="H18">
        <v>0</v>
      </c>
      <c r="I18">
        <v>0</v>
      </c>
      <c r="J18">
        <v>0</v>
      </c>
      <c r="K18">
        <v>2.17427E-2</v>
      </c>
    </row>
    <row r="19" spans="1:11" x14ac:dyDescent="0.15">
      <c r="A19">
        <v>18</v>
      </c>
      <c r="B19" s="188" t="s">
        <v>209</v>
      </c>
      <c r="C19">
        <v>0</v>
      </c>
      <c r="D19">
        <v>0</v>
      </c>
      <c r="E19">
        <v>3.4268800000000002E-2</v>
      </c>
      <c r="F19">
        <v>0</v>
      </c>
      <c r="G19">
        <v>0</v>
      </c>
      <c r="H19">
        <v>0</v>
      </c>
      <c r="I19">
        <v>0</v>
      </c>
      <c r="J19">
        <v>0</v>
      </c>
      <c r="K19">
        <v>3.4268800000000002E-2</v>
      </c>
    </row>
    <row r="20" spans="1:11" x14ac:dyDescent="0.15">
      <c r="A20">
        <v>19</v>
      </c>
      <c r="B20" s="188" t="s">
        <v>210</v>
      </c>
      <c r="C20">
        <v>1.4234500000000001E-2</v>
      </c>
      <c r="D20">
        <v>5.9380000000000004E-7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1.4235093800000001E-2</v>
      </c>
    </row>
    <row r="21" spans="1:11" x14ac:dyDescent="0.15">
      <c r="A21">
        <v>20</v>
      </c>
      <c r="B21" s="188" t="s">
        <v>211</v>
      </c>
      <c r="C21">
        <v>1.4234500000000001E-2</v>
      </c>
      <c r="D21">
        <v>5.9380000000000004E-7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1.4235093800000001E-2</v>
      </c>
    </row>
    <row r="22" spans="1:11" x14ac:dyDescent="0.15">
      <c r="A22">
        <v>21</v>
      </c>
      <c r="B22" s="188" t="s">
        <v>212</v>
      </c>
      <c r="C22">
        <v>7.1172700000000005E-2</v>
      </c>
      <c r="D22">
        <v>2.9691999999999999E-6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7.11756692E-2</v>
      </c>
    </row>
    <row r="23" spans="1:11" x14ac:dyDescent="0.15">
      <c r="A23">
        <v>22</v>
      </c>
      <c r="B23" s="188" t="s">
        <v>213</v>
      </c>
      <c r="C23">
        <v>3.9540400000000002E-4</v>
      </c>
      <c r="D23">
        <v>1.6499999999999999E-8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3.9542050000000001E-4</v>
      </c>
    </row>
    <row r="24" spans="1:11" x14ac:dyDescent="0.15">
      <c r="A24">
        <v>23</v>
      </c>
      <c r="B24" s="188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 x14ac:dyDescent="0.15">
      <c r="A25">
        <v>24</v>
      </c>
      <c r="B25" s="188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</row>
    <row r="26" spans="1:11" x14ac:dyDescent="0.15">
      <c r="A26">
        <v>25</v>
      </c>
      <c r="B26" s="188" t="s">
        <v>216</v>
      </c>
      <c r="C26">
        <v>3.9540400000000002E-4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3.9540400000000002E-4</v>
      </c>
    </row>
    <row r="27" spans="1:11" x14ac:dyDescent="0.15">
      <c r="A27">
        <v>26</v>
      </c>
      <c r="B27" s="188" t="s">
        <v>217</v>
      </c>
      <c r="C27">
        <v>3.9540400000000002E-4</v>
      </c>
      <c r="D27">
        <v>1.6499999999999999E-8</v>
      </c>
      <c r="E27">
        <v>6.7968600000000001E-3</v>
      </c>
      <c r="F27">
        <v>0</v>
      </c>
      <c r="G27">
        <v>0</v>
      </c>
      <c r="H27">
        <v>0</v>
      </c>
      <c r="I27">
        <v>0</v>
      </c>
      <c r="J27">
        <v>0</v>
      </c>
      <c r="K27">
        <v>7.1922805000000003E-3</v>
      </c>
    </row>
    <row r="28" spans="1:11" x14ac:dyDescent="0.15">
      <c r="A28">
        <v>27</v>
      </c>
      <c r="B28" s="188" t="s">
        <v>218</v>
      </c>
      <c r="C28">
        <v>3.1632300000000002E-2</v>
      </c>
      <c r="D28">
        <v>1.3197E-6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3.1633619700000004E-2</v>
      </c>
    </row>
    <row r="29" spans="1:11" x14ac:dyDescent="0.15">
      <c r="A29">
        <v>28</v>
      </c>
      <c r="B29" s="188" t="s">
        <v>219</v>
      </c>
      <c r="C29">
        <v>4.7448499999999998E-2</v>
      </c>
      <c r="D29">
        <v>1.9794999999999999E-6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4.7450479499999997E-2</v>
      </c>
    </row>
    <row r="30" spans="1:11" x14ac:dyDescent="0.15">
      <c r="A30">
        <v>29</v>
      </c>
      <c r="B30" s="188" t="s">
        <v>220</v>
      </c>
      <c r="C30">
        <v>3.9540400000000003E-2</v>
      </c>
      <c r="D30">
        <v>1.6496000000000001E-6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3.9542049600000004E-2</v>
      </c>
    </row>
    <row r="31" spans="1:11" x14ac:dyDescent="0.15">
      <c r="A31">
        <v>30</v>
      </c>
      <c r="B31" s="188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1:11" x14ac:dyDescent="0.15">
      <c r="A32">
        <v>31</v>
      </c>
      <c r="B32" s="188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1:11" x14ac:dyDescent="0.15">
      <c r="A33">
        <v>32</v>
      </c>
      <c r="B33" s="188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1:11" x14ac:dyDescent="0.15">
      <c r="A34">
        <v>33</v>
      </c>
      <c r="B34" s="188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</row>
    <row r="35" spans="1:11" x14ac:dyDescent="0.15">
      <c r="A35">
        <v>34</v>
      </c>
      <c r="B35" s="188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1:11" x14ac:dyDescent="0.15">
      <c r="A36">
        <v>35</v>
      </c>
      <c r="B36" s="188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</row>
    <row r="37" spans="1:11" x14ac:dyDescent="0.15">
      <c r="A37">
        <v>36</v>
      </c>
      <c r="B37" s="188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</row>
    <row r="38" spans="1:11" x14ac:dyDescent="0.15">
      <c r="A38">
        <v>37</v>
      </c>
      <c r="B38" s="188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</row>
    <row r="39" spans="1:11" x14ac:dyDescent="0.15">
      <c r="A39">
        <v>38</v>
      </c>
      <c r="B39" s="188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8.33203125" bestFit="1" customWidth="1"/>
    <col min="6" max="6" width="4.83203125" bestFit="1" customWidth="1"/>
    <col min="7" max="9" width="3.83203125" bestFit="1" customWidth="1"/>
    <col min="10" max="11" width="4.83203125" style="112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4" customFormat="1" ht="14" thickBot="1" x14ac:dyDescent="0.2">
      <c r="D1" s="115" t="s">
        <v>8</v>
      </c>
      <c r="E1" s="115" t="s">
        <v>0</v>
      </c>
      <c r="F1" s="116" t="s">
        <v>99</v>
      </c>
      <c r="G1" s="117" t="s">
        <v>84</v>
      </c>
      <c r="H1" s="117" t="s">
        <v>85</v>
      </c>
      <c r="I1" s="117" t="s">
        <v>86</v>
      </c>
      <c r="J1" s="117" t="s">
        <v>87</v>
      </c>
      <c r="K1" s="117" t="s">
        <v>88</v>
      </c>
      <c r="L1" s="118" t="s">
        <v>89</v>
      </c>
      <c r="M1" s="118" t="s">
        <v>93</v>
      </c>
      <c r="N1" s="118" t="s">
        <v>92</v>
      </c>
      <c r="O1" s="118" t="s">
        <v>90</v>
      </c>
      <c r="P1" s="118" t="s">
        <v>91</v>
      </c>
      <c r="Q1" s="119" t="s">
        <v>94</v>
      </c>
      <c r="R1" s="119" t="s">
        <v>95</v>
      </c>
      <c r="S1" s="119" t="s">
        <v>96</v>
      </c>
      <c r="T1" s="119" t="s">
        <v>97</v>
      </c>
      <c r="U1" s="119" t="s">
        <v>98</v>
      </c>
      <c r="V1" s="117" t="s">
        <v>100</v>
      </c>
      <c r="W1" s="117" t="s">
        <v>101</v>
      </c>
      <c r="X1" s="117" t="s">
        <v>102</v>
      </c>
      <c r="Y1" s="117" t="s">
        <v>134</v>
      </c>
      <c r="Z1" s="118" t="s">
        <v>103</v>
      </c>
      <c r="AA1" s="118" t="s">
        <v>104</v>
      </c>
      <c r="AB1" s="118" t="s">
        <v>105</v>
      </c>
      <c r="AC1" s="120" t="s">
        <v>135</v>
      </c>
      <c r="AD1" s="119" t="s">
        <v>106</v>
      </c>
      <c r="AE1" s="119" t="s">
        <v>107</v>
      </c>
      <c r="AF1" s="119" t="s">
        <v>108</v>
      </c>
      <c r="AG1" s="119" t="s">
        <v>136</v>
      </c>
      <c r="AH1" s="117" t="s">
        <v>109</v>
      </c>
      <c r="AI1" s="117" t="s">
        <v>111</v>
      </c>
      <c r="AJ1" s="117" t="s">
        <v>110</v>
      </c>
      <c r="AK1" s="118" t="s">
        <v>115</v>
      </c>
      <c r="AL1" s="118" t="s">
        <v>116</v>
      </c>
      <c r="AM1" s="118" t="s">
        <v>117</v>
      </c>
      <c r="AN1" s="119" t="s">
        <v>112</v>
      </c>
      <c r="AO1" s="119" t="s">
        <v>113</v>
      </c>
      <c r="AP1" s="119" t="s">
        <v>114</v>
      </c>
    </row>
    <row r="2" spans="1:42" x14ac:dyDescent="0.15">
      <c r="A2" s="121" t="s">
        <v>74</v>
      </c>
      <c r="B2" s="122">
        <v>1</v>
      </c>
      <c r="D2">
        <v>1</v>
      </c>
      <c r="E2" s="190" t="s">
        <v>192</v>
      </c>
      <c r="F2">
        <v>0.98</v>
      </c>
      <c r="G2">
        <v>0.8</v>
      </c>
      <c r="H2">
        <v>0.8</v>
      </c>
      <c r="I2">
        <v>0.8</v>
      </c>
      <c r="J2" s="112">
        <v>0.25</v>
      </c>
      <c r="K2" s="112">
        <v>0.05</v>
      </c>
    </row>
    <row r="3" spans="1:42" x14ac:dyDescent="0.15">
      <c r="A3" s="121" t="s">
        <v>75</v>
      </c>
      <c r="B3" s="123">
        <v>1</v>
      </c>
      <c r="D3">
        <v>2</v>
      </c>
      <c r="E3" s="190" t="s">
        <v>193</v>
      </c>
      <c r="F3">
        <v>0.98</v>
      </c>
      <c r="G3">
        <v>0.8</v>
      </c>
      <c r="H3">
        <v>0.8</v>
      </c>
      <c r="I3">
        <v>0.8</v>
      </c>
      <c r="J3" s="112">
        <v>0.25</v>
      </c>
      <c r="K3" s="112">
        <v>0.05</v>
      </c>
    </row>
    <row r="4" spans="1:42" x14ac:dyDescent="0.15">
      <c r="A4" s="121" t="s">
        <v>76</v>
      </c>
      <c r="B4" s="123">
        <v>1</v>
      </c>
      <c r="D4">
        <v>3</v>
      </c>
      <c r="E4" s="190" t="s">
        <v>194</v>
      </c>
      <c r="F4">
        <v>0.98</v>
      </c>
      <c r="G4">
        <v>0.8</v>
      </c>
      <c r="H4">
        <v>0.8</v>
      </c>
      <c r="I4">
        <v>0.8</v>
      </c>
      <c r="J4" s="112">
        <v>0.25</v>
      </c>
      <c r="K4" s="112">
        <v>0.05</v>
      </c>
    </row>
    <row r="5" spans="1:42" x14ac:dyDescent="0.15">
      <c r="A5" s="121" t="s">
        <v>77</v>
      </c>
      <c r="B5" s="123">
        <v>1</v>
      </c>
      <c r="D5">
        <v>4</v>
      </c>
      <c r="E5" s="190" t="s">
        <v>195</v>
      </c>
      <c r="F5">
        <v>0.98</v>
      </c>
      <c r="G5">
        <v>0.8</v>
      </c>
      <c r="H5">
        <v>0.8</v>
      </c>
      <c r="I5">
        <v>0.8</v>
      </c>
      <c r="J5" s="112">
        <v>0.25</v>
      </c>
      <c r="K5" s="112">
        <v>0.05</v>
      </c>
    </row>
    <row r="6" spans="1:42" x14ac:dyDescent="0.15">
      <c r="A6" s="121" t="s">
        <v>78</v>
      </c>
      <c r="B6" s="123">
        <v>1</v>
      </c>
      <c r="D6">
        <v>5</v>
      </c>
      <c r="E6" s="190" t="s">
        <v>196</v>
      </c>
      <c r="F6">
        <v>0.98</v>
      </c>
      <c r="G6">
        <v>0.8</v>
      </c>
      <c r="H6">
        <v>0.8</v>
      </c>
      <c r="I6">
        <v>0.8</v>
      </c>
      <c r="J6" s="112">
        <v>0.25</v>
      </c>
      <c r="K6" s="112">
        <v>0.05</v>
      </c>
    </row>
    <row r="7" spans="1:42" x14ac:dyDescent="0.15">
      <c r="A7" s="121" t="s">
        <v>79</v>
      </c>
      <c r="B7" s="123">
        <v>1</v>
      </c>
      <c r="D7">
        <v>6</v>
      </c>
      <c r="E7" s="190" t="s">
        <v>197</v>
      </c>
      <c r="F7">
        <v>0.98</v>
      </c>
      <c r="G7">
        <v>0.8</v>
      </c>
      <c r="H7">
        <v>0.8</v>
      </c>
      <c r="I7">
        <v>0.8</v>
      </c>
      <c r="J7" s="112">
        <v>0.25</v>
      </c>
      <c r="K7" s="112">
        <v>0.05</v>
      </c>
    </row>
    <row r="8" spans="1:42" x14ac:dyDescent="0.15">
      <c r="A8" s="121" t="s">
        <v>80</v>
      </c>
      <c r="B8" s="123">
        <v>1</v>
      </c>
      <c r="D8">
        <v>7</v>
      </c>
      <c r="E8" s="190" t="s">
        <v>198</v>
      </c>
      <c r="F8">
        <v>0.98</v>
      </c>
      <c r="G8">
        <v>0.8</v>
      </c>
      <c r="H8">
        <v>0.8</v>
      </c>
      <c r="I8">
        <v>0.8</v>
      </c>
      <c r="J8" s="112">
        <v>0.25</v>
      </c>
      <c r="K8" s="112">
        <v>0.05</v>
      </c>
    </row>
    <row r="9" spans="1:42" x14ac:dyDescent="0.15">
      <c r="A9" s="121" t="s">
        <v>81</v>
      </c>
      <c r="B9" s="123">
        <v>0.1</v>
      </c>
      <c r="C9" s="61" t="s">
        <v>150</v>
      </c>
      <c r="D9">
        <v>8</v>
      </c>
      <c r="E9" s="190" t="s">
        <v>199</v>
      </c>
      <c r="F9">
        <v>0.98</v>
      </c>
      <c r="G9">
        <v>0.8</v>
      </c>
      <c r="H9">
        <v>0.8</v>
      </c>
      <c r="I9">
        <v>0.8</v>
      </c>
      <c r="J9" s="112">
        <v>0.25</v>
      </c>
      <c r="K9" s="112">
        <v>0.05</v>
      </c>
    </row>
    <row r="10" spans="1:42" ht="14" thickBot="1" x14ac:dyDescent="0.2">
      <c r="A10" s="121" t="s">
        <v>149</v>
      </c>
      <c r="B10" s="124">
        <f>1/3</f>
        <v>0.33333333333333331</v>
      </c>
      <c r="C10" s="61" t="s">
        <v>150</v>
      </c>
      <c r="D10">
        <v>9</v>
      </c>
      <c r="E10" s="190" t="s">
        <v>200</v>
      </c>
      <c r="F10">
        <v>0.98</v>
      </c>
      <c r="G10">
        <v>0.8</v>
      </c>
      <c r="H10">
        <v>0.8</v>
      </c>
      <c r="I10">
        <v>0.8</v>
      </c>
      <c r="J10" s="112">
        <v>0.25</v>
      </c>
      <c r="K10" s="112">
        <v>0.05</v>
      </c>
    </row>
    <row r="11" spans="1:42" x14ac:dyDescent="0.15">
      <c r="D11">
        <v>10</v>
      </c>
      <c r="E11" s="190" t="s">
        <v>201</v>
      </c>
      <c r="F11">
        <v>0.98</v>
      </c>
      <c r="G11">
        <v>0.8</v>
      </c>
      <c r="H11">
        <v>0.8</v>
      </c>
      <c r="I11">
        <v>0.8</v>
      </c>
      <c r="J11" s="112">
        <v>0.25</v>
      </c>
      <c r="K11" s="112">
        <v>0.05</v>
      </c>
    </row>
    <row r="12" spans="1:42" x14ac:dyDescent="0.15">
      <c r="D12">
        <v>11</v>
      </c>
      <c r="E12" s="190" t="s">
        <v>202</v>
      </c>
      <c r="F12">
        <v>0.98</v>
      </c>
      <c r="G12">
        <v>0.8</v>
      </c>
      <c r="H12">
        <v>0.8</v>
      </c>
      <c r="I12">
        <v>0.8</v>
      </c>
      <c r="J12" s="112">
        <v>0.25</v>
      </c>
      <c r="K12" s="112">
        <v>0.05</v>
      </c>
    </row>
    <row r="13" spans="1:42" x14ac:dyDescent="0.15">
      <c r="D13">
        <v>12</v>
      </c>
      <c r="E13" s="190" t="s">
        <v>203</v>
      </c>
      <c r="F13">
        <v>0.98</v>
      </c>
      <c r="G13">
        <v>0.8</v>
      </c>
      <c r="H13">
        <v>0.8</v>
      </c>
      <c r="I13">
        <v>0.8</v>
      </c>
      <c r="J13" s="112">
        <v>0.25</v>
      </c>
      <c r="K13" s="112">
        <v>0.05</v>
      </c>
    </row>
    <row r="14" spans="1:42" x14ac:dyDescent="0.15">
      <c r="D14">
        <v>13</v>
      </c>
      <c r="E14" s="190" t="s">
        <v>204</v>
      </c>
      <c r="F14">
        <v>0.98</v>
      </c>
      <c r="G14">
        <v>0.8</v>
      </c>
      <c r="H14">
        <v>0.8</v>
      </c>
      <c r="I14">
        <v>0.8</v>
      </c>
      <c r="J14" s="112">
        <v>0.25</v>
      </c>
      <c r="K14" s="112">
        <v>0.05</v>
      </c>
    </row>
    <row r="15" spans="1:42" x14ac:dyDescent="0.15">
      <c r="D15">
        <v>14</v>
      </c>
      <c r="E15" s="190" t="s">
        <v>205</v>
      </c>
      <c r="F15">
        <v>0.98</v>
      </c>
      <c r="G15">
        <v>0.8</v>
      </c>
      <c r="H15">
        <v>0.8</v>
      </c>
      <c r="I15">
        <v>0.8</v>
      </c>
      <c r="J15" s="112">
        <v>0.25</v>
      </c>
      <c r="K15" s="112">
        <v>0.05</v>
      </c>
    </row>
    <row r="16" spans="1:42" x14ac:dyDescent="0.15">
      <c r="D16">
        <v>15</v>
      </c>
      <c r="E16" s="190" t="s">
        <v>206</v>
      </c>
      <c r="F16">
        <v>0.98</v>
      </c>
      <c r="G16">
        <v>0.8</v>
      </c>
      <c r="H16">
        <v>0.8</v>
      </c>
      <c r="I16">
        <v>0.8</v>
      </c>
      <c r="J16" s="112">
        <v>0.25</v>
      </c>
      <c r="K16" s="112">
        <v>0.05</v>
      </c>
    </row>
    <row r="17" spans="4:33" ht="15" customHeight="1" x14ac:dyDescent="0.15">
      <c r="D17">
        <v>16</v>
      </c>
      <c r="E17" s="190" t="s">
        <v>207</v>
      </c>
      <c r="F17">
        <v>0.98</v>
      </c>
      <c r="G17">
        <v>0.8</v>
      </c>
      <c r="H17">
        <v>0.8</v>
      </c>
      <c r="I17">
        <v>0.8</v>
      </c>
      <c r="J17" s="112">
        <v>0.25</v>
      </c>
      <c r="K17" s="112">
        <v>0.05</v>
      </c>
    </row>
    <row r="18" spans="4:33" ht="15" customHeight="1" x14ac:dyDescent="0.15">
      <c r="D18">
        <v>17</v>
      </c>
      <c r="E18" s="190" t="s">
        <v>208</v>
      </c>
      <c r="F18">
        <v>0.98</v>
      </c>
      <c r="G18">
        <v>0.8</v>
      </c>
      <c r="H18">
        <v>0.8</v>
      </c>
      <c r="I18">
        <v>0.8</v>
      </c>
      <c r="J18" s="112">
        <v>0.25</v>
      </c>
      <c r="K18" s="112">
        <v>0.05</v>
      </c>
    </row>
    <row r="19" spans="4:33" ht="15" customHeight="1" x14ac:dyDescent="0.15">
      <c r="D19">
        <v>18</v>
      </c>
      <c r="E19" s="190" t="s">
        <v>209</v>
      </c>
      <c r="F19">
        <v>0.98</v>
      </c>
      <c r="G19">
        <v>0.8</v>
      </c>
      <c r="H19">
        <v>0.8</v>
      </c>
      <c r="I19">
        <v>0.8</v>
      </c>
      <c r="J19" s="112">
        <v>0.25</v>
      </c>
      <c r="K19" s="112">
        <v>0.05</v>
      </c>
    </row>
    <row r="20" spans="4:33" ht="15" customHeight="1" x14ac:dyDescent="0.15">
      <c r="D20">
        <v>19</v>
      </c>
      <c r="E20" s="190" t="s">
        <v>210</v>
      </c>
      <c r="F20">
        <v>0.98</v>
      </c>
      <c r="G20">
        <v>0.8</v>
      </c>
      <c r="H20">
        <v>0.8</v>
      </c>
      <c r="I20">
        <v>0.8</v>
      </c>
      <c r="J20" s="112">
        <v>0.25</v>
      </c>
      <c r="K20" s="112">
        <v>0.05</v>
      </c>
    </row>
    <row r="21" spans="4:33" ht="15" customHeight="1" x14ac:dyDescent="0.15">
      <c r="D21">
        <v>20</v>
      </c>
      <c r="E21" s="190" t="s">
        <v>211</v>
      </c>
      <c r="F21">
        <v>0.98</v>
      </c>
      <c r="G21">
        <v>0.8</v>
      </c>
      <c r="H21">
        <v>0.8</v>
      </c>
      <c r="I21">
        <v>0.8</v>
      </c>
      <c r="J21" s="112">
        <v>0.25</v>
      </c>
      <c r="K21" s="112">
        <v>0.05</v>
      </c>
    </row>
    <row r="22" spans="4:33" ht="15" customHeight="1" x14ac:dyDescent="0.15">
      <c r="D22">
        <v>21</v>
      </c>
      <c r="E22" s="190" t="s">
        <v>212</v>
      </c>
      <c r="F22">
        <v>0.98</v>
      </c>
      <c r="G22">
        <v>0.8</v>
      </c>
      <c r="H22">
        <v>0.8</v>
      </c>
      <c r="I22">
        <v>0.8</v>
      </c>
      <c r="J22" s="112">
        <v>0.25</v>
      </c>
      <c r="K22" s="112">
        <v>0.05</v>
      </c>
    </row>
    <row r="23" spans="4:33" ht="15" customHeight="1" x14ac:dyDescent="0.15">
      <c r="D23">
        <v>22</v>
      </c>
      <c r="E23" s="190" t="s">
        <v>213</v>
      </c>
      <c r="F23">
        <v>0.98</v>
      </c>
      <c r="G23">
        <v>0.8</v>
      </c>
      <c r="H23">
        <v>0.8</v>
      </c>
      <c r="I23">
        <v>0.8</v>
      </c>
      <c r="J23" s="112">
        <v>0.25</v>
      </c>
      <c r="K23" s="112">
        <v>0.05</v>
      </c>
    </row>
    <row r="24" spans="4:33" ht="15" customHeight="1" x14ac:dyDescent="0.15">
      <c r="D24">
        <v>23</v>
      </c>
      <c r="E24" s="190" t="s">
        <v>214</v>
      </c>
      <c r="F24">
        <v>0.98</v>
      </c>
      <c r="G24">
        <v>0.8</v>
      </c>
      <c r="H24">
        <v>0.8</v>
      </c>
      <c r="I24">
        <v>0.8</v>
      </c>
      <c r="J24" s="112">
        <v>0.25</v>
      </c>
      <c r="K24" s="112">
        <v>0.05</v>
      </c>
    </row>
    <row r="25" spans="4:33" ht="15" customHeight="1" x14ac:dyDescent="0.15">
      <c r="D25">
        <v>24</v>
      </c>
      <c r="E25" s="190" t="s">
        <v>215</v>
      </c>
      <c r="F25">
        <v>0.98</v>
      </c>
      <c r="G25">
        <v>0.8</v>
      </c>
      <c r="H25">
        <v>0.8</v>
      </c>
      <c r="I25">
        <v>0.8</v>
      </c>
      <c r="J25" s="112">
        <v>0.25</v>
      </c>
      <c r="K25" s="112">
        <v>0.05</v>
      </c>
    </row>
    <row r="26" spans="4:33" ht="15" customHeight="1" x14ac:dyDescent="0.15">
      <c r="D26">
        <v>25</v>
      </c>
      <c r="E26" s="190" t="s">
        <v>216</v>
      </c>
      <c r="F26">
        <v>0.98</v>
      </c>
      <c r="G26">
        <v>0.8</v>
      </c>
      <c r="H26">
        <v>0.8</v>
      </c>
      <c r="I26">
        <v>0.8</v>
      </c>
      <c r="J26" s="112">
        <v>0.25</v>
      </c>
      <c r="K26" s="112">
        <v>0.05</v>
      </c>
    </row>
    <row r="27" spans="4:33" ht="15" customHeight="1" x14ac:dyDescent="0.15">
      <c r="D27">
        <v>26</v>
      </c>
      <c r="E27" s="190" t="s">
        <v>217</v>
      </c>
      <c r="F27">
        <v>0.98</v>
      </c>
      <c r="G27">
        <v>0.8</v>
      </c>
      <c r="H27">
        <v>0.8</v>
      </c>
      <c r="I27">
        <v>0.8</v>
      </c>
      <c r="J27" s="112">
        <v>0.25</v>
      </c>
      <c r="K27" s="112">
        <v>0.05</v>
      </c>
    </row>
    <row r="28" spans="4:33" ht="15" customHeight="1" x14ac:dyDescent="0.15">
      <c r="D28">
        <v>27</v>
      </c>
      <c r="E28" s="190" t="s">
        <v>218</v>
      </c>
      <c r="F28">
        <v>0.98</v>
      </c>
      <c r="G28">
        <v>0.8</v>
      </c>
      <c r="H28">
        <v>0.8</v>
      </c>
      <c r="I28">
        <v>0.8</v>
      </c>
      <c r="J28" s="112">
        <v>0.25</v>
      </c>
      <c r="K28" s="112">
        <v>0.05</v>
      </c>
    </row>
    <row r="29" spans="4:33" ht="15" customHeight="1" x14ac:dyDescent="0.15">
      <c r="D29">
        <v>28</v>
      </c>
      <c r="E29" s="190" t="s">
        <v>219</v>
      </c>
      <c r="F29">
        <v>0.98</v>
      </c>
      <c r="G29">
        <v>0.8</v>
      </c>
      <c r="H29">
        <v>0.8</v>
      </c>
      <c r="I29">
        <v>0.8</v>
      </c>
      <c r="J29" s="112">
        <v>0.25</v>
      </c>
      <c r="K29" s="112">
        <v>0.05</v>
      </c>
      <c r="Y29"/>
      <c r="AC29"/>
      <c r="AG29"/>
    </row>
    <row r="30" spans="4:33" ht="15" customHeight="1" x14ac:dyDescent="0.15">
      <c r="D30">
        <v>29</v>
      </c>
      <c r="E30" s="190" t="s">
        <v>220</v>
      </c>
      <c r="F30">
        <v>0.98</v>
      </c>
      <c r="G30">
        <v>0.8</v>
      </c>
      <c r="H30">
        <v>0.8</v>
      </c>
      <c r="I30">
        <v>0.8</v>
      </c>
      <c r="J30" s="112">
        <v>0.25</v>
      </c>
      <c r="K30" s="112">
        <v>0.05</v>
      </c>
      <c r="Y30"/>
      <c r="AC30"/>
      <c r="AG30"/>
    </row>
    <row r="31" spans="4:33" ht="15" customHeight="1" x14ac:dyDescent="0.15">
      <c r="D31">
        <v>30</v>
      </c>
      <c r="E31" s="190" t="s">
        <v>221</v>
      </c>
      <c r="F31">
        <v>0.98</v>
      </c>
      <c r="G31">
        <v>0.8</v>
      </c>
      <c r="H31">
        <v>0.8</v>
      </c>
      <c r="I31">
        <v>0.8</v>
      </c>
      <c r="J31" s="112">
        <v>0.25</v>
      </c>
      <c r="K31" s="112">
        <v>0.05</v>
      </c>
      <c r="Y31"/>
      <c r="AC31"/>
      <c r="AG31"/>
    </row>
    <row r="32" spans="4:33" ht="15" customHeight="1" x14ac:dyDescent="0.15">
      <c r="D32">
        <v>31</v>
      </c>
      <c r="E32" s="190" t="s">
        <v>222</v>
      </c>
      <c r="F32">
        <v>0.98</v>
      </c>
      <c r="G32">
        <v>0.8</v>
      </c>
      <c r="H32">
        <v>0.8</v>
      </c>
      <c r="I32">
        <v>0.8</v>
      </c>
      <c r="J32" s="112">
        <v>0.25</v>
      </c>
      <c r="K32" s="112">
        <v>0.05</v>
      </c>
      <c r="Y32"/>
      <c r="AC32"/>
      <c r="AG32"/>
    </row>
    <row r="33" spans="4:33" ht="15" customHeight="1" x14ac:dyDescent="0.15">
      <c r="D33">
        <v>32</v>
      </c>
      <c r="E33" s="190" t="s">
        <v>223</v>
      </c>
      <c r="F33">
        <v>0.98</v>
      </c>
      <c r="G33">
        <v>0.8</v>
      </c>
      <c r="H33">
        <v>0.8</v>
      </c>
      <c r="I33">
        <v>0.8</v>
      </c>
      <c r="J33" s="112">
        <v>0.25</v>
      </c>
      <c r="K33" s="112">
        <v>0.05</v>
      </c>
      <c r="Y33"/>
      <c r="AC33"/>
      <c r="AG33"/>
    </row>
    <row r="34" spans="4:33" ht="15" customHeight="1" x14ac:dyDescent="0.15">
      <c r="D34">
        <v>33</v>
      </c>
      <c r="E34" s="190" t="s">
        <v>224</v>
      </c>
      <c r="F34">
        <v>0.98</v>
      </c>
      <c r="G34">
        <v>0.8</v>
      </c>
      <c r="H34">
        <v>0.8</v>
      </c>
      <c r="I34">
        <v>0.8</v>
      </c>
      <c r="J34" s="112">
        <v>0.25</v>
      </c>
      <c r="K34" s="112">
        <v>0.05</v>
      </c>
      <c r="Y34"/>
      <c r="AC34"/>
      <c r="AG34"/>
    </row>
    <row r="35" spans="4:33" ht="15" customHeight="1" x14ac:dyDescent="0.15">
      <c r="D35">
        <v>34</v>
      </c>
      <c r="E35" s="190" t="s">
        <v>225</v>
      </c>
      <c r="F35">
        <v>0.98</v>
      </c>
      <c r="G35">
        <v>0.8</v>
      </c>
      <c r="H35">
        <v>0.8</v>
      </c>
      <c r="I35">
        <v>0.8</v>
      </c>
      <c r="J35" s="112">
        <v>0.25</v>
      </c>
      <c r="K35" s="112">
        <v>0.05</v>
      </c>
      <c r="Y35"/>
      <c r="AC35"/>
      <c r="AG35"/>
    </row>
    <row r="36" spans="4:33" ht="15" customHeight="1" x14ac:dyDescent="0.15">
      <c r="D36">
        <v>35</v>
      </c>
      <c r="E36" s="190" t="s">
        <v>226</v>
      </c>
      <c r="F36">
        <v>0.98</v>
      </c>
      <c r="G36">
        <v>0.8</v>
      </c>
      <c r="H36">
        <v>0.8</v>
      </c>
      <c r="I36">
        <v>0.8</v>
      </c>
      <c r="J36" s="112">
        <v>0.25</v>
      </c>
      <c r="K36" s="112">
        <v>0.05</v>
      </c>
      <c r="Y36"/>
      <c r="AC36"/>
      <c r="AG36"/>
    </row>
    <row r="37" spans="4:33" ht="15" customHeight="1" x14ac:dyDescent="0.15">
      <c r="D37">
        <v>36</v>
      </c>
      <c r="E37" s="190" t="s">
        <v>227</v>
      </c>
      <c r="F37">
        <v>0.98</v>
      </c>
      <c r="G37">
        <v>0.8</v>
      </c>
      <c r="H37">
        <v>0.8</v>
      </c>
      <c r="I37">
        <v>0</v>
      </c>
      <c r="J37" s="112">
        <v>0</v>
      </c>
      <c r="K37" s="112">
        <v>0</v>
      </c>
      <c r="Y37"/>
      <c r="AC37"/>
      <c r="AG37"/>
    </row>
    <row r="38" spans="4:33" ht="15" customHeight="1" x14ac:dyDescent="0.15">
      <c r="D38">
        <v>37</v>
      </c>
      <c r="E38" s="190" t="s">
        <v>228</v>
      </c>
      <c r="F38">
        <v>0.98</v>
      </c>
      <c r="G38">
        <v>0.8</v>
      </c>
      <c r="H38">
        <v>0</v>
      </c>
      <c r="I38">
        <v>0</v>
      </c>
      <c r="J38" s="112">
        <v>0</v>
      </c>
      <c r="K38" s="112">
        <v>0</v>
      </c>
      <c r="Y38"/>
      <c r="AC38"/>
      <c r="AG38"/>
    </row>
    <row r="39" spans="4:33" ht="15" customHeight="1" x14ac:dyDescent="0.15">
      <c r="D39">
        <v>38</v>
      </c>
      <c r="E39" s="190" t="s">
        <v>229</v>
      </c>
      <c r="F39">
        <v>0.98</v>
      </c>
      <c r="G39">
        <v>0.8</v>
      </c>
      <c r="H39">
        <v>0</v>
      </c>
      <c r="I39">
        <v>0</v>
      </c>
      <c r="J39" s="112">
        <v>0</v>
      </c>
      <c r="K39" s="112">
        <v>0</v>
      </c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M40"/>
  <sheetViews>
    <sheetView workbookViewId="0">
      <selection activeCell="A3" sqref="A3"/>
    </sheetView>
  </sheetViews>
  <sheetFormatPr baseColWidth="10" defaultRowHeight="13" x14ac:dyDescent="0.15"/>
  <cols>
    <col min="1" max="1" width="21.6640625" style="109" bestFit="1" customWidth="1"/>
    <col min="2" max="36" width="3.83203125" style="109" customWidth="1"/>
    <col min="37" max="39" width="2.33203125" style="109" customWidth="1"/>
    <col min="40" max="16384" width="10.83203125" style="109"/>
  </cols>
  <sheetData>
    <row r="1" spans="1:39" x14ac:dyDescent="0.15">
      <c r="A1" s="63" t="s">
        <v>118</v>
      </c>
      <c r="B1" s="192" t="s">
        <v>192</v>
      </c>
      <c r="C1" s="192" t="s">
        <v>193</v>
      </c>
      <c r="D1" s="192" t="s">
        <v>194</v>
      </c>
      <c r="E1" s="192" t="s">
        <v>195</v>
      </c>
      <c r="F1" s="192" t="s">
        <v>196</v>
      </c>
      <c r="G1" s="192" t="s">
        <v>197</v>
      </c>
      <c r="H1" s="192" t="s">
        <v>198</v>
      </c>
      <c r="I1" s="192" t="s">
        <v>199</v>
      </c>
      <c r="J1" s="192" t="s">
        <v>200</v>
      </c>
      <c r="K1" s="192" t="s">
        <v>201</v>
      </c>
      <c r="L1" s="192" t="s">
        <v>202</v>
      </c>
      <c r="M1" s="192" t="s">
        <v>203</v>
      </c>
      <c r="N1" s="192" t="s">
        <v>204</v>
      </c>
      <c r="O1" s="192" t="s">
        <v>205</v>
      </c>
      <c r="P1" s="192" t="s">
        <v>206</v>
      </c>
      <c r="Q1" s="192" t="s">
        <v>207</v>
      </c>
      <c r="R1" s="192" t="s">
        <v>208</v>
      </c>
      <c r="S1" s="192" t="s">
        <v>209</v>
      </c>
      <c r="T1" s="192" t="s">
        <v>210</v>
      </c>
      <c r="U1" s="192" t="s">
        <v>211</v>
      </c>
      <c r="V1" s="192" t="s">
        <v>212</v>
      </c>
      <c r="W1" s="192" t="s">
        <v>213</v>
      </c>
      <c r="X1" s="192" t="s">
        <v>214</v>
      </c>
      <c r="Y1" s="192" t="s">
        <v>215</v>
      </c>
      <c r="Z1" s="192" t="s">
        <v>216</v>
      </c>
      <c r="AA1" s="192" t="s">
        <v>217</v>
      </c>
      <c r="AB1" s="192" t="s">
        <v>218</v>
      </c>
      <c r="AC1" s="192" t="s">
        <v>219</v>
      </c>
      <c r="AD1" s="192" t="s">
        <v>220</v>
      </c>
      <c r="AE1" s="192" t="s">
        <v>221</v>
      </c>
      <c r="AF1" s="192" t="s">
        <v>222</v>
      </c>
      <c r="AG1" s="192" t="s">
        <v>223</v>
      </c>
      <c r="AH1" s="192" t="s">
        <v>224</v>
      </c>
      <c r="AI1" s="192" t="s">
        <v>225</v>
      </c>
      <c r="AJ1" s="192" t="s">
        <v>226</v>
      </c>
      <c r="AK1" s="192" t="s">
        <v>227</v>
      </c>
      <c r="AL1" s="192" t="s">
        <v>228</v>
      </c>
      <c r="AM1" s="192" t="s">
        <v>229</v>
      </c>
    </row>
    <row r="2" spans="1:39" customFormat="1" x14ac:dyDescent="0.15">
      <c r="A2" s="191" t="s">
        <v>192</v>
      </c>
      <c r="B2" s="109">
        <v>0.8</v>
      </c>
      <c r="C2" s="109">
        <v>0</v>
      </c>
      <c r="D2" s="109">
        <v>0</v>
      </c>
      <c r="E2" s="109">
        <v>0</v>
      </c>
      <c r="F2" s="109">
        <v>0</v>
      </c>
      <c r="G2" s="109">
        <v>0</v>
      </c>
      <c r="H2" s="109">
        <v>0.8</v>
      </c>
      <c r="I2" s="109">
        <v>0</v>
      </c>
      <c r="J2" s="109">
        <v>0</v>
      </c>
      <c r="K2" s="109">
        <v>0</v>
      </c>
      <c r="L2" s="109">
        <v>0</v>
      </c>
      <c r="M2" s="109">
        <v>0</v>
      </c>
      <c r="N2" s="109">
        <v>0</v>
      </c>
      <c r="O2" s="109">
        <v>0</v>
      </c>
      <c r="P2" s="109">
        <v>0</v>
      </c>
      <c r="Q2" s="109">
        <v>0</v>
      </c>
      <c r="R2" s="109">
        <v>0</v>
      </c>
      <c r="S2" s="109">
        <v>0</v>
      </c>
      <c r="T2" s="109">
        <v>0</v>
      </c>
      <c r="U2" s="109">
        <v>0</v>
      </c>
      <c r="V2" s="109">
        <v>0</v>
      </c>
      <c r="W2" s="109">
        <v>0</v>
      </c>
      <c r="X2" s="109">
        <v>0</v>
      </c>
      <c r="Y2" s="109">
        <v>0</v>
      </c>
      <c r="Z2" s="109">
        <v>0</v>
      </c>
      <c r="AA2" s="109">
        <v>0</v>
      </c>
      <c r="AB2" s="109">
        <v>0</v>
      </c>
      <c r="AC2" s="109">
        <v>0</v>
      </c>
      <c r="AD2" s="109">
        <v>0</v>
      </c>
      <c r="AE2" s="109">
        <v>0</v>
      </c>
      <c r="AF2" s="109">
        <v>0</v>
      </c>
      <c r="AG2" s="109">
        <v>0</v>
      </c>
      <c r="AH2" s="109">
        <v>0</v>
      </c>
      <c r="AI2" s="109">
        <v>0</v>
      </c>
      <c r="AJ2" s="109">
        <v>0</v>
      </c>
      <c r="AK2" s="109">
        <v>0</v>
      </c>
      <c r="AL2" s="109">
        <v>0</v>
      </c>
      <c r="AM2" s="109">
        <v>0</v>
      </c>
    </row>
    <row r="3" spans="1:39" customFormat="1" x14ac:dyDescent="0.15">
      <c r="A3" s="191" t="s">
        <v>193</v>
      </c>
      <c r="B3" s="109">
        <v>0</v>
      </c>
      <c r="C3" s="109">
        <v>0</v>
      </c>
      <c r="D3" s="109">
        <v>0</v>
      </c>
      <c r="E3" s="109">
        <v>0</v>
      </c>
      <c r="F3" s="109">
        <v>0</v>
      </c>
      <c r="G3" s="109">
        <v>0</v>
      </c>
      <c r="H3" s="109">
        <v>0.8</v>
      </c>
      <c r="I3" s="109">
        <v>0</v>
      </c>
      <c r="J3" s="109">
        <v>0</v>
      </c>
      <c r="K3" s="109">
        <v>0</v>
      </c>
      <c r="L3" s="109">
        <v>0</v>
      </c>
      <c r="M3" s="109">
        <v>0</v>
      </c>
      <c r="N3" s="109">
        <v>0</v>
      </c>
      <c r="O3" s="109">
        <v>0</v>
      </c>
      <c r="P3" s="109">
        <v>0</v>
      </c>
      <c r="Q3" s="109">
        <v>0</v>
      </c>
      <c r="R3" s="109">
        <v>0</v>
      </c>
      <c r="S3" s="109">
        <v>0</v>
      </c>
      <c r="T3" s="109">
        <v>0</v>
      </c>
      <c r="U3" s="109">
        <v>0</v>
      </c>
      <c r="V3" s="109">
        <v>0</v>
      </c>
      <c r="W3" s="109">
        <v>0</v>
      </c>
      <c r="X3" s="109">
        <v>0</v>
      </c>
      <c r="Y3" s="109">
        <v>0</v>
      </c>
      <c r="Z3" s="109">
        <v>0</v>
      </c>
      <c r="AA3" s="109">
        <v>0</v>
      </c>
      <c r="AB3" s="109">
        <v>0</v>
      </c>
      <c r="AC3" s="109">
        <v>0</v>
      </c>
      <c r="AD3" s="109">
        <v>0</v>
      </c>
      <c r="AE3" s="109">
        <v>0</v>
      </c>
      <c r="AF3" s="109">
        <v>0</v>
      </c>
      <c r="AG3" s="109">
        <v>0</v>
      </c>
      <c r="AH3" s="109">
        <v>0</v>
      </c>
      <c r="AI3" s="109">
        <v>0</v>
      </c>
      <c r="AJ3" s="109">
        <v>0</v>
      </c>
      <c r="AK3" s="109">
        <v>0</v>
      </c>
      <c r="AL3" s="109">
        <v>0</v>
      </c>
      <c r="AM3" s="109">
        <v>0</v>
      </c>
    </row>
    <row r="4" spans="1:39" customFormat="1" x14ac:dyDescent="0.15">
      <c r="A4" s="191" t="s">
        <v>194</v>
      </c>
      <c r="B4" s="109">
        <v>0.8</v>
      </c>
      <c r="C4" s="109">
        <v>0.8</v>
      </c>
      <c r="D4" s="109">
        <v>0</v>
      </c>
      <c r="E4" s="109">
        <v>0</v>
      </c>
      <c r="F4" s="109">
        <v>0</v>
      </c>
      <c r="G4" s="109">
        <v>0</v>
      </c>
      <c r="H4" s="109">
        <v>0.8</v>
      </c>
      <c r="I4" s="109">
        <v>0</v>
      </c>
      <c r="J4" s="109">
        <v>0</v>
      </c>
      <c r="K4" s="109">
        <v>0</v>
      </c>
      <c r="L4" s="109">
        <v>0</v>
      </c>
      <c r="M4" s="109">
        <v>0</v>
      </c>
      <c r="N4" s="109">
        <v>0</v>
      </c>
      <c r="O4" s="109">
        <v>0</v>
      </c>
      <c r="P4" s="109">
        <v>0</v>
      </c>
      <c r="Q4" s="109">
        <v>0</v>
      </c>
      <c r="R4" s="109">
        <v>0</v>
      </c>
      <c r="S4" s="109">
        <v>0</v>
      </c>
      <c r="T4" s="109">
        <v>0</v>
      </c>
      <c r="U4" s="109">
        <v>0</v>
      </c>
      <c r="V4" s="109">
        <v>0</v>
      </c>
      <c r="W4" s="109">
        <v>0</v>
      </c>
      <c r="X4" s="109">
        <v>0</v>
      </c>
      <c r="Y4" s="109">
        <v>0</v>
      </c>
      <c r="Z4" s="109">
        <v>0</v>
      </c>
      <c r="AA4" s="109">
        <v>0</v>
      </c>
      <c r="AB4" s="109">
        <v>0</v>
      </c>
      <c r="AC4" s="109">
        <v>0</v>
      </c>
      <c r="AD4" s="109">
        <v>0</v>
      </c>
      <c r="AE4" s="109">
        <v>0</v>
      </c>
      <c r="AF4" s="109">
        <v>0</v>
      </c>
      <c r="AG4" s="109">
        <v>0</v>
      </c>
      <c r="AH4" s="109">
        <v>0</v>
      </c>
      <c r="AI4" s="109">
        <v>0</v>
      </c>
      <c r="AJ4" s="109">
        <v>0</v>
      </c>
      <c r="AK4" s="109">
        <v>0</v>
      </c>
      <c r="AL4" s="109">
        <v>0</v>
      </c>
      <c r="AM4" s="109">
        <v>0</v>
      </c>
    </row>
    <row r="5" spans="1:39" customFormat="1" x14ac:dyDescent="0.15">
      <c r="A5" s="191" t="s">
        <v>195</v>
      </c>
      <c r="B5" s="109">
        <v>0.8</v>
      </c>
      <c r="C5" s="109">
        <v>0</v>
      </c>
      <c r="D5" s="109">
        <v>0.8</v>
      </c>
      <c r="E5" s="109">
        <v>0</v>
      </c>
      <c r="F5" s="109">
        <v>0.8</v>
      </c>
      <c r="G5" s="109">
        <v>0</v>
      </c>
      <c r="H5" s="109">
        <v>0.8</v>
      </c>
      <c r="I5" s="109">
        <v>0.8</v>
      </c>
      <c r="J5" s="109">
        <v>0.8</v>
      </c>
      <c r="K5" s="109">
        <v>0.8</v>
      </c>
      <c r="L5" s="109">
        <v>0.8</v>
      </c>
      <c r="M5" s="109">
        <v>0</v>
      </c>
      <c r="N5" s="109">
        <v>0.8</v>
      </c>
      <c r="O5" s="109">
        <v>0</v>
      </c>
      <c r="P5" s="109">
        <v>0</v>
      </c>
      <c r="Q5" s="109">
        <v>0</v>
      </c>
      <c r="R5" s="109">
        <v>0</v>
      </c>
      <c r="S5" s="109">
        <v>0</v>
      </c>
      <c r="T5" s="109">
        <v>0</v>
      </c>
      <c r="U5" s="109">
        <v>0</v>
      </c>
      <c r="V5" s="109">
        <v>0</v>
      </c>
      <c r="W5" s="109">
        <v>0</v>
      </c>
      <c r="X5" s="109">
        <v>0</v>
      </c>
      <c r="Y5" s="109">
        <v>0.8</v>
      </c>
      <c r="Z5" s="109">
        <v>0</v>
      </c>
      <c r="AA5" s="109">
        <v>0</v>
      </c>
      <c r="AB5" s="109">
        <v>0</v>
      </c>
      <c r="AC5" s="109">
        <v>0</v>
      </c>
      <c r="AD5" s="109">
        <v>0</v>
      </c>
      <c r="AE5" s="109">
        <v>0</v>
      </c>
      <c r="AF5" s="109">
        <v>0</v>
      </c>
      <c r="AG5" s="109">
        <v>0</v>
      </c>
      <c r="AH5" s="109">
        <v>0</v>
      </c>
      <c r="AI5" s="109">
        <v>0</v>
      </c>
      <c r="AJ5" s="109">
        <v>0</v>
      </c>
      <c r="AK5" s="109">
        <v>0</v>
      </c>
      <c r="AL5" s="109">
        <v>0</v>
      </c>
      <c r="AM5" s="109">
        <v>0</v>
      </c>
    </row>
    <row r="6" spans="1:39" customFormat="1" x14ac:dyDescent="0.15">
      <c r="A6" s="191" t="s">
        <v>196</v>
      </c>
      <c r="B6" s="109">
        <v>0.8</v>
      </c>
      <c r="C6" s="109">
        <v>0.8</v>
      </c>
      <c r="D6" s="109">
        <v>0.8</v>
      </c>
      <c r="E6" s="109">
        <v>0.8</v>
      </c>
      <c r="F6" s="109">
        <v>0.8</v>
      </c>
      <c r="G6" s="109">
        <v>0.8</v>
      </c>
      <c r="H6" s="109">
        <v>0.8</v>
      </c>
      <c r="I6" s="109">
        <v>0</v>
      </c>
      <c r="J6" s="109">
        <v>0</v>
      </c>
      <c r="K6" s="109">
        <v>0</v>
      </c>
      <c r="L6" s="109">
        <v>0</v>
      </c>
      <c r="M6" s="109">
        <v>0</v>
      </c>
      <c r="N6" s="109">
        <v>0.8</v>
      </c>
      <c r="O6" s="109">
        <v>0</v>
      </c>
      <c r="P6" s="109">
        <v>0</v>
      </c>
      <c r="Q6" s="109">
        <v>0.8</v>
      </c>
      <c r="R6" s="109">
        <v>0.8</v>
      </c>
      <c r="S6" s="109">
        <v>0</v>
      </c>
      <c r="T6" s="109">
        <v>0</v>
      </c>
      <c r="U6" s="109">
        <v>0</v>
      </c>
      <c r="V6" s="109">
        <v>0</v>
      </c>
      <c r="W6" s="109">
        <v>0</v>
      </c>
      <c r="X6" s="109">
        <v>0</v>
      </c>
      <c r="Y6" s="109">
        <v>0</v>
      </c>
      <c r="Z6" s="109">
        <v>0</v>
      </c>
      <c r="AA6" s="109">
        <v>0</v>
      </c>
      <c r="AB6" s="109">
        <v>0</v>
      </c>
      <c r="AC6" s="109">
        <v>0</v>
      </c>
      <c r="AD6" s="109">
        <v>0</v>
      </c>
      <c r="AE6" s="109">
        <v>0</v>
      </c>
      <c r="AF6" s="109">
        <v>0</v>
      </c>
      <c r="AG6" s="109">
        <v>0</v>
      </c>
      <c r="AH6" s="109">
        <v>0</v>
      </c>
      <c r="AI6" s="109">
        <v>0</v>
      </c>
      <c r="AJ6" s="109">
        <v>0</v>
      </c>
      <c r="AK6" s="109">
        <v>0</v>
      </c>
      <c r="AL6" s="109">
        <v>0</v>
      </c>
      <c r="AM6" s="109">
        <v>0</v>
      </c>
    </row>
    <row r="7" spans="1:39" customFormat="1" x14ac:dyDescent="0.15">
      <c r="A7" s="191" t="s">
        <v>197</v>
      </c>
      <c r="B7" s="109">
        <v>0.8</v>
      </c>
      <c r="C7" s="109">
        <v>0.8</v>
      </c>
      <c r="D7" s="109">
        <v>0.8</v>
      </c>
      <c r="E7" s="109">
        <v>0.8</v>
      </c>
      <c r="F7" s="109">
        <v>0.8</v>
      </c>
      <c r="G7" s="109">
        <v>0.8</v>
      </c>
      <c r="H7" s="109">
        <v>0.8</v>
      </c>
      <c r="I7" s="109">
        <v>0</v>
      </c>
      <c r="J7" s="109">
        <v>0</v>
      </c>
      <c r="K7" s="109">
        <v>0</v>
      </c>
      <c r="L7" s="109">
        <v>0</v>
      </c>
      <c r="M7" s="109">
        <v>0.8</v>
      </c>
      <c r="N7" s="109">
        <v>0.8</v>
      </c>
      <c r="O7" s="109">
        <v>0.8</v>
      </c>
      <c r="P7" s="109">
        <v>0</v>
      </c>
      <c r="Q7" s="109">
        <v>0</v>
      </c>
      <c r="R7" s="109">
        <v>0.8</v>
      </c>
      <c r="S7" s="109">
        <v>0</v>
      </c>
      <c r="T7" s="109">
        <v>0</v>
      </c>
      <c r="U7" s="109">
        <v>0</v>
      </c>
      <c r="V7" s="109">
        <v>0</v>
      </c>
      <c r="W7" s="109">
        <v>0.8</v>
      </c>
      <c r="X7" s="109">
        <v>0</v>
      </c>
      <c r="Y7" s="109">
        <v>0</v>
      </c>
      <c r="Z7" s="109">
        <v>0</v>
      </c>
      <c r="AA7" s="109">
        <v>0</v>
      </c>
      <c r="AB7" s="109">
        <v>0</v>
      </c>
      <c r="AC7" s="109">
        <v>0</v>
      </c>
      <c r="AD7" s="109">
        <v>0</v>
      </c>
      <c r="AE7" s="109">
        <v>0</v>
      </c>
      <c r="AF7" s="109">
        <v>0</v>
      </c>
      <c r="AG7" s="109">
        <v>0</v>
      </c>
      <c r="AH7" s="109">
        <v>0</v>
      </c>
      <c r="AI7" s="109">
        <v>0</v>
      </c>
      <c r="AJ7" s="109">
        <v>0</v>
      </c>
      <c r="AK7" s="109">
        <v>0</v>
      </c>
      <c r="AL7" s="109">
        <v>0</v>
      </c>
      <c r="AM7" s="109">
        <v>0</v>
      </c>
    </row>
    <row r="8" spans="1:39" customFormat="1" x14ac:dyDescent="0.15">
      <c r="A8" s="191" t="s">
        <v>198</v>
      </c>
      <c r="B8" s="109">
        <v>0</v>
      </c>
      <c r="C8" s="109">
        <v>0.8</v>
      </c>
      <c r="D8" s="109">
        <v>0</v>
      </c>
      <c r="E8" s="109">
        <v>0.8</v>
      </c>
      <c r="F8" s="109">
        <v>0</v>
      </c>
      <c r="G8" s="109">
        <v>0</v>
      </c>
      <c r="H8" s="109">
        <v>0.8</v>
      </c>
      <c r="I8" s="109">
        <v>0</v>
      </c>
      <c r="J8" s="109">
        <v>0</v>
      </c>
      <c r="K8" s="109">
        <v>0</v>
      </c>
      <c r="L8" s="109">
        <v>0</v>
      </c>
      <c r="M8" s="109">
        <v>0</v>
      </c>
      <c r="N8" s="109">
        <v>0</v>
      </c>
      <c r="O8" s="109">
        <v>0</v>
      </c>
      <c r="P8" s="109">
        <v>0</v>
      </c>
      <c r="Q8" s="109">
        <v>0</v>
      </c>
      <c r="R8" s="109">
        <v>0</v>
      </c>
      <c r="S8" s="109">
        <v>0</v>
      </c>
      <c r="T8" s="109">
        <v>0</v>
      </c>
      <c r="U8" s="109">
        <v>0</v>
      </c>
      <c r="V8" s="109">
        <v>0</v>
      </c>
      <c r="W8" s="109">
        <v>0</v>
      </c>
      <c r="X8" s="109">
        <v>0</v>
      </c>
      <c r="Y8" s="109">
        <v>0</v>
      </c>
      <c r="Z8" s="109">
        <v>0</v>
      </c>
      <c r="AA8" s="109">
        <v>0</v>
      </c>
      <c r="AB8" s="109">
        <v>0</v>
      </c>
      <c r="AC8" s="109">
        <v>0</v>
      </c>
      <c r="AD8" s="109">
        <v>0</v>
      </c>
      <c r="AE8" s="109">
        <v>0</v>
      </c>
      <c r="AF8" s="109">
        <v>0</v>
      </c>
      <c r="AG8" s="109">
        <v>0</v>
      </c>
      <c r="AH8" s="109">
        <v>0</v>
      </c>
      <c r="AI8" s="109">
        <v>0</v>
      </c>
      <c r="AJ8" s="109">
        <v>0</v>
      </c>
      <c r="AK8" s="109">
        <v>0</v>
      </c>
      <c r="AL8" s="109">
        <v>0</v>
      </c>
      <c r="AM8" s="109">
        <v>0</v>
      </c>
    </row>
    <row r="9" spans="1:39" customFormat="1" x14ac:dyDescent="0.15">
      <c r="A9" s="191" t="s">
        <v>199</v>
      </c>
      <c r="B9" s="109">
        <v>0.8</v>
      </c>
      <c r="C9" s="109">
        <v>0</v>
      </c>
      <c r="D9" s="109">
        <v>0</v>
      </c>
      <c r="E9" s="109">
        <v>0</v>
      </c>
      <c r="F9" s="109">
        <v>0</v>
      </c>
      <c r="G9" s="109">
        <v>0.8</v>
      </c>
      <c r="H9" s="109">
        <v>0.8</v>
      </c>
      <c r="I9" s="109">
        <v>0</v>
      </c>
      <c r="J9" s="109">
        <v>0</v>
      </c>
      <c r="K9" s="109">
        <v>0</v>
      </c>
      <c r="L9" s="109">
        <v>0</v>
      </c>
      <c r="M9" s="109">
        <v>0</v>
      </c>
      <c r="N9" s="109">
        <v>0</v>
      </c>
      <c r="O9" s="109">
        <v>0</v>
      </c>
      <c r="P9" s="109">
        <v>0</v>
      </c>
      <c r="Q9" s="109">
        <v>0</v>
      </c>
      <c r="R9" s="109">
        <v>0</v>
      </c>
      <c r="S9" s="109">
        <v>0</v>
      </c>
      <c r="T9" s="109">
        <v>0</v>
      </c>
      <c r="U9" s="109">
        <v>0</v>
      </c>
      <c r="V9" s="109">
        <v>0</v>
      </c>
      <c r="W9" s="109">
        <v>0</v>
      </c>
      <c r="X9" s="109">
        <v>0</v>
      </c>
      <c r="Y9" s="109">
        <v>0</v>
      </c>
      <c r="Z9" s="109">
        <v>0</v>
      </c>
      <c r="AA9" s="109">
        <v>0</v>
      </c>
      <c r="AB9" s="109">
        <v>0</v>
      </c>
      <c r="AC9" s="109">
        <v>0</v>
      </c>
      <c r="AD9" s="109">
        <v>0</v>
      </c>
      <c r="AE9" s="109">
        <v>0</v>
      </c>
      <c r="AF9" s="109">
        <v>0</v>
      </c>
      <c r="AG9" s="109">
        <v>0</v>
      </c>
      <c r="AH9" s="109">
        <v>0</v>
      </c>
      <c r="AI9" s="109">
        <v>0</v>
      </c>
      <c r="AJ9" s="109">
        <v>0</v>
      </c>
      <c r="AK9" s="109">
        <v>0</v>
      </c>
      <c r="AL9" s="109">
        <v>0</v>
      </c>
      <c r="AM9" s="109">
        <v>0</v>
      </c>
    </row>
    <row r="10" spans="1:39" customFormat="1" x14ac:dyDescent="0.15">
      <c r="A10" s="191" t="s">
        <v>200</v>
      </c>
      <c r="B10" s="109">
        <v>0.8</v>
      </c>
      <c r="C10" s="109">
        <v>0.8</v>
      </c>
      <c r="D10" s="109">
        <v>0.8</v>
      </c>
      <c r="E10" s="109">
        <v>0.8</v>
      </c>
      <c r="F10" s="109">
        <v>0.8</v>
      </c>
      <c r="G10" s="109">
        <v>0.8</v>
      </c>
      <c r="H10" s="109">
        <v>0.8</v>
      </c>
      <c r="I10" s="109">
        <v>0</v>
      </c>
      <c r="J10" s="109">
        <v>0.8</v>
      </c>
      <c r="K10" s="109">
        <v>0.8</v>
      </c>
      <c r="L10" s="109">
        <v>0</v>
      </c>
      <c r="M10" s="109">
        <v>0</v>
      </c>
      <c r="N10" s="109">
        <v>0.8</v>
      </c>
      <c r="O10" s="109">
        <v>0</v>
      </c>
      <c r="P10" s="109">
        <v>0</v>
      </c>
      <c r="Q10" s="109">
        <v>0.8</v>
      </c>
      <c r="R10" s="109">
        <v>0.8</v>
      </c>
      <c r="S10" s="109">
        <v>0</v>
      </c>
      <c r="T10" s="109">
        <v>0</v>
      </c>
      <c r="U10" s="109">
        <v>0</v>
      </c>
      <c r="V10" s="109">
        <v>0</v>
      </c>
      <c r="W10" s="109">
        <v>0</v>
      </c>
      <c r="X10" s="109">
        <v>0</v>
      </c>
      <c r="Y10" s="109">
        <v>0</v>
      </c>
      <c r="Z10" s="109">
        <v>0</v>
      </c>
      <c r="AA10" s="109">
        <v>0</v>
      </c>
      <c r="AB10" s="109">
        <v>0</v>
      </c>
      <c r="AC10" s="109">
        <v>0</v>
      </c>
      <c r="AD10" s="109">
        <v>0</v>
      </c>
      <c r="AE10" s="109">
        <v>0</v>
      </c>
      <c r="AF10" s="109">
        <v>0</v>
      </c>
      <c r="AG10" s="109">
        <v>0</v>
      </c>
      <c r="AH10" s="109">
        <v>0</v>
      </c>
      <c r="AI10" s="109">
        <v>0</v>
      </c>
      <c r="AJ10" s="109">
        <v>0</v>
      </c>
      <c r="AK10" s="109">
        <v>0</v>
      </c>
      <c r="AL10" s="109">
        <v>0</v>
      </c>
      <c r="AM10" s="109">
        <v>0</v>
      </c>
    </row>
    <row r="11" spans="1:39" customFormat="1" x14ac:dyDescent="0.15">
      <c r="A11" s="191" t="s">
        <v>201</v>
      </c>
      <c r="B11" s="109">
        <v>0</v>
      </c>
      <c r="C11" s="109">
        <v>0.8</v>
      </c>
      <c r="D11" s="109">
        <v>0</v>
      </c>
      <c r="E11" s="109">
        <v>0</v>
      </c>
      <c r="F11" s="109">
        <v>0.8</v>
      </c>
      <c r="G11" s="109">
        <v>0</v>
      </c>
      <c r="H11" s="109">
        <v>0.8</v>
      </c>
      <c r="I11" s="109">
        <v>0</v>
      </c>
      <c r="J11" s="109">
        <v>0.8</v>
      </c>
      <c r="K11" s="109">
        <v>0</v>
      </c>
      <c r="L11" s="109">
        <v>0</v>
      </c>
      <c r="M11" s="109">
        <v>0</v>
      </c>
      <c r="N11" s="109">
        <v>0</v>
      </c>
      <c r="O11" s="109">
        <v>0</v>
      </c>
      <c r="P11" s="109">
        <v>0</v>
      </c>
      <c r="Q11" s="109">
        <v>0.8</v>
      </c>
      <c r="R11" s="109">
        <v>0</v>
      </c>
      <c r="S11" s="109">
        <v>0</v>
      </c>
      <c r="T11" s="109">
        <v>0</v>
      </c>
      <c r="U11" s="109">
        <v>0</v>
      </c>
      <c r="V11" s="109">
        <v>0</v>
      </c>
      <c r="W11" s="109">
        <v>0</v>
      </c>
      <c r="X11" s="109">
        <v>0</v>
      </c>
      <c r="Y11" s="109">
        <v>0</v>
      </c>
      <c r="Z11" s="109">
        <v>0</v>
      </c>
      <c r="AA11" s="109">
        <v>0</v>
      </c>
      <c r="AB11" s="109">
        <v>0</v>
      </c>
      <c r="AC11" s="109">
        <v>0</v>
      </c>
      <c r="AD11" s="109">
        <v>0</v>
      </c>
      <c r="AE11" s="109">
        <v>0</v>
      </c>
      <c r="AF11" s="109">
        <v>0</v>
      </c>
      <c r="AG11" s="109">
        <v>0</v>
      </c>
      <c r="AH11" s="109">
        <v>0</v>
      </c>
      <c r="AI11" s="109">
        <v>0</v>
      </c>
      <c r="AJ11" s="109">
        <v>0</v>
      </c>
      <c r="AK11" s="109">
        <v>0</v>
      </c>
      <c r="AL11" s="109">
        <v>0</v>
      </c>
      <c r="AM11" s="109">
        <v>0</v>
      </c>
    </row>
    <row r="12" spans="1:39" customFormat="1" x14ac:dyDescent="0.15">
      <c r="A12" s="191" t="s">
        <v>202</v>
      </c>
      <c r="B12" s="109">
        <v>0</v>
      </c>
      <c r="C12" s="109">
        <v>0.8</v>
      </c>
      <c r="D12" s="109">
        <v>0.8</v>
      </c>
      <c r="E12" s="109">
        <v>0</v>
      </c>
      <c r="F12" s="109">
        <v>0.8</v>
      </c>
      <c r="G12" s="109">
        <v>0.8</v>
      </c>
      <c r="H12" s="109">
        <v>0</v>
      </c>
      <c r="I12" s="109">
        <v>0.8</v>
      </c>
      <c r="J12" s="109">
        <v>0.8</v>
      </c>
      <c r="K12" s="109">
        <v>0.8</v>
      </c>
      <c r="L12" s="109">
        <v>0.8</v>
      </c>
      <c r="M12" s="109">
        <v>0</v>
      </c>
      <c r="N12" s="109">
        <v>0.8</v>
      </c>
      <c r="O12" s="109">
        <v>0.8</v>
      </c>
      <c r="P12" s="109">
        <v>0</v>
      </c>
      <c r="Q12" s="109">
        <v>0</v>
      </c>
      <c r="R12" s="109">
        <v>0.8</v>
      </c>
      <c r="S12" s="109">
        <v>0</v>
      </c>
      <c r="T12" s="109">
        <v>0</v>
      </c>
      <c r="U12" s="109">
        <v>0</v>
      </c>
      <c r="V12" s="109">
        <v>0</v>
      </c>
      <c r="W12" s="109">
        <v>0</v>
      </c>
      <c r="X12" s="109">
        <v>0.8</v>
      </c>
      <c r="Y12" s="109">
        <v>0</v>
      </c>
      <c r="Z12" s="109">
        <v>0</v>
      </c>
      <c r="AA12" s="109">
        <v>0</v>
      </c>
      <c r="AB12" s="109">
        <v>0</v>
      </c>
      <c r="AC12" s="109">
        <v>0</v>
      </c>
      <c r="AD12" s="109">
        <v>0</v>
      </c>
      <c r="AE12" s="109">
        <v>0</v>
      </c>
      <c r="AF12" s="109">
        <v>0</v>
      </c>
      <c r="AG12" s="109">
        <v>0</v>
      </c>
      <c r="AH12" s="109">
        <v>0</v>
      </c>
      <c r="AI12" s="109">
        <v>0</v>
      </c>
      <c r="AJ12" s="109">
        <v>0</v>
      </c>
      <c r="AK12" s="109">
        <v>0</v>
      </c>
      <c r="AL12" s="109">
        <v>0</v>
      </c>
      <c r="AM12" s="109">
        <v>0</v>
      </c>
    </row>
    <row r="13" spans="1:39" customFormat="1" x14ac:dyDescent="0.15">
      <c r="A13" s="191" t="s">
        <v>203</v>
      </c>
      <c r="B13" s="109">
        <v>0.8</v>
      </c>
      <c r="C13" s="109">
        <v>0</v>
      </c>
      <c r="D13" s="109">
        <v>0.8</v>
      </c>
      <c r="E13" s="109">
        <v>0.8</v>
      </c>
      <c r="F13" s="109">
        <v>0</v>
      </c>
      <c r="G13" s="109">
        <v>0.8</v>
      </c>
      <c r="H13" s="109">
        <v>0.8</v>
      </c>
      <c r="I13" s="109">
        <v>0.8</v>
      </c>
      <c r="J13" s="109">
        <v>0</v>
      </c>
      <c r="K13" s="109">
        <v>0</v>
      </c>
      <c r="L13" s="109">
        <v>0</v>
      </c>
      <c r="M13" s="109">
        <v>0.8</v>
      </c>
      <c r="N13" s="109">
        <v>0</v>
      </c>
      <c r="O13" s="109">
        <v>0</v>
      </c>
      <c r="P13" s="109">
        <v>0.8</v>
      </c>
      <c r="Q13" s="109">
        <v>0</v>
      </c>
      <c r="R13" s="109">
        <v>0</v>
      </c>
      <c r="S13" s="109">
        <v>0</v>
      </c>
      <c r="T13" s="109">
        <v>0</v>
      </c>
      <c r="U13" s="109">
        <v>0</v>
      </c>
      <c r="V13" s="109">
        <v>0</v>
      </c>
      <c r="W13" s="109">
        <v>0</v>
      </c>
      <c r="X13" s="109">
        <v>0.8</v>
      </c>
      <c r="Y13" s="109">
        <v>0</v>
      </c>
      <c r="Z13" s="109">
        <v>0</v>
      </c>
      <c r="AA13" s="109">
        <v>0</v>
      </c>
      <c r="AB13" s="109">
        <v>0</v>
      </c>
      <c r="AC13" s="109">
        <v>0</v>
      </c>
      <c r="AD13" s="109">
        <v>0</v>
      </c>
      <c r="AE13" s="109">
        <v>0</v>
      </c>
      <c r="AF13" s="109">
        <v>0</v>
      </c>
      <c r="AG13" s="109">
        <v>0</v>
      </c>
      <c r="AH13" s="109">
        <v>0</v>
      </c>
      <c r="AI13" s="109">
        <v>0</v>
      </c>
      <c r="AJ13" s="109">
        <v>0</v>
      </c>
      <c r="AK13" s="109">
        <v>0</v>
      </c>
      <c r="AL13" s="109">
        <v>0</v>
      </c>
      <c r="AM13" s="109">
        <v>0</v>
      </c>
    </row>
    <row r="14" spans="1:39" customFormat="1" x14ac:dyDescent="0.15">
      <c r="A14" s="191" t="s">
        <v>204</v>
      </c>
      <c r="B14" s="109">
        <v>0</v>
      </c>
      <c r="C14" s="109">
        <v>0</v>
      </c>
      <c r="D14" s="109">
        <v>0.8</v>
      </c>
      <c r="E14" s="109">
        <v>0</v>
      </c>
      <c r="F14" s="109">
        <v>0</v>
      </c>
      <c r="G14" s="109">
        <v>0.8</v>
      </c>
      <c r="H14" s="109">
        <v>0.8</v>
      </c>
      <c r="I14" s="109">
        <v>0.8</v>
      </c>
      <c r="J14" s="109">
        <v>0.8</v>
      </c>
      <c r="K14" s="109">
        <v>0</v>
      </c>
      <c r="L14" s="109">
        <v>0.8</v>
      </c>
      <c r="M14" s="109">
        <v>0</v>
      </c>
      <c r="N14" s="109">
        <v>0</v>
      </c>
      <c r="O14" s="109">
        <v>0.8</v>
      </c>
      <c r="P14" s="109">
        <v>0</v>
      </c>
      <c r="Q14" s="109">
        <v>0</v>
      </c>
      <c r="R14" s="109">
        <v>0</v>
      </c>
      <c r="S14" s="109">
        <v>0</v>
      </c>
      <c r="T14" s="109">
        <v>0</v>
      </c>
      <c r="U14" s="109">
        <v>0</v>
      </c>
      <c r="V14" s="109">
        <v>0</v>
      </c>
      <c r="W14" s="109">
        <v>0</v>
      </c>
      <c r="X14" s="109">
        <v>0.8</v>
      </c>
      <c r="Y14" s="109">
        <v>0</v>
      </c>
      <c r="Z14" s="109">
        <v>0</v>
      </c>
      <c r="AA14" s="109">
        <v>0</v>
      </c>
      <c r="AB14" s="109">
        <v>0</v>
      </c>
      <c r="AC14" s="109">
        <v>0</v>
      </c>
      <c r="AD14" s="109">
        <v>0</v>
      </c>
      <c r="AE14" s="109">
        <v>0</v>
      </c>
      <c r="AF14" s="109">
        <v>0</v>
      </c>
      <c r="AG14" s="109">
        <v>0</v>
      </c>
      <c r="AH14" s="109">
        <v>0</v>
      </c>
      <c r="AI14" s="109">
        <v>0</v>
      </c>
      <c r="AJ14" s="109">
        <v>0</v>
      </c>
      <c r="AK14" s="109">
        <v>0</v>
      </c>
      <c r="AL14" s="109">
        <v>0</v>
      </c>
      <c r="AM14" s="109">
        <v>0</v>
      </c>
    </row>
    <row r="15" spans="1:39" customFormat="1" x14ac:dyDescent="0.15">
      <c r="A15" s="191" t="s">
        <v>205</v>
      </c>
      <c r="B15" s="109">
        <v>0.8</v>
      </c>
      <c r="C15" s="109">
        <v>0.8</v>
      </c>
      <c r="D15" s="109">
        <v>0.8</v>
      </c>
      <c r="E15" s="109">
        <v>0.8</v>
      </c>
      <c r="F15" s="109">
        <v>0.8</v>
      </c>
      <c r="G15" s="109">
        <v>0</v>
      </c>
      <c r="H15" s="109">
        <v>0.8</v>
      </c>
      <c r="I15" s="109">
        <v>0</v>
      </c>
      <c r="J15" s="109">
        <v>0.8</v>
      </c>
      <c r="K15" s="109">
        <v>0.8</v>
      </c>
      <c r="L15" s="109">
        <v>0.8</v>
      </c>
      <c r="M15" s="109">
        <v>0</v>
      </c>
      <c r="N15" s="109">
        <v>0.8</v>
      </c>
      <c r="O15" s="109">
        <v>0.8</v>
      </c>
      <c r="P15" s="109">
        <v>0</v>
      </c>
      <c r="Q15" s="109">
        <v>0.8</v>
      </c>
      <c r="R15" s="109">
        <v>0.8</v>
      </c>
      <c r="S15" s="109">
        <v>0.8</v>
      </c>
      <c r="T15" s="109">
        <v>0</v>
      </c>
      <c r="U15" s="109">
        <v>0</v>
      </c>
      <c r="V15" s="109">
        <v>0</v>
      </c>
      <c r="W15" s="109">
        <v>0</v>
      </c>
      <c r="X15" s="109">
        <v>0.8</v>
      </c>
      <c r="Y15" s="109">
        <v>0</v>
      </c>
      <c r="Z15" s="109">
        <v>0</v>
      </c>
      <c r="AA15" s="109">
        <v>0</v>
      </c>
      <c r="AB15" s="109">
        <v>0</v>
      </c>
      <c r="AC15" s="109">
        <v>0</v>
      </c>
      <c r="AD15" s="109">
        <v>0</v>
      </c>
      <c r="AE15" s="109">
        <v>0</v>
      </c>
      <c r="AF15" s="109">
        <v>0</v>
      </c>
      <c r="AG15" s="109">
        <v>0</v>
      </c>
      <c r="AH15" s="109">
        <v>0</v>
      </c>
      <c r="AI15" s="109">
        <v>0</v>
      </c>
      <c r="AJ15" s="109">
        <v>0</v>
      </c>
      <c r="AK15" s="109">
        <v>0</v>
      </c>
      <c r="AL15" s="109">
        <v>0</v>
      </c>
      <c r="AM15" s="109">
        <v>0</v>
      </c>
    </row>
    <row r="16" spans="1:39" customFormat="1" x14ac:dyDescent="0.15">
      <c r="A16" s="191" t="s">
        <v>206</v>
      </c>
      <c r="B16" s="109">
        <v>0.8</v>
      </c>
      <c r="C16" s="109">
        <v>0.8</v>
      </c>
      <c r="D16" s="109">
        <v>0.8</v>
      </c>
      <c r="E16" s="109">
        <v>0</v>
      </c>
      <c r="F16" s="109">
        <v>0</v>
      </c>
      <c r="G16" s="109">
        <v>0.8</v>
      </c>
      <c r="H16" s="109">
        <v>0.8</v>
      </c>
      <c r="I16" s="109">
        <v>0</v>
      </c>
      <c r="J16" s="109">
        <v>0</v>
      </c>
      <c r="K16" s="109">
        <v>0</v>
      </c>
      <c r="L16" s="109">
        <v>0</v>
      </c>
      <c r="M16" s="109">
        <v>0</v>
      </c>
      <c r="N16" s="109">
        <v>0</v>
      </c>
      <c r="O16" s="109">
        <v>0</v>
      </c>
      <c r="P16" s="109">
        <v>0</v>
      </c>
      <c r="Q16" s="109">
        <v>0</v>
      </c>
      <c r="R16" s="109">
        <v>0</v>
      </c>
      <c r="S16" s="109">
        <v>0</v>
      </c>
      <c r="T16" s="109">
        <v>0</v>
      </c>
      <c r="U16" s="109">
        <v>0</v>
      </c>
      <c r="V16" s="109">
        <v>0</v>
      </c>
      <c r="W16" s="109">
        <v>0</v>
      </c>
      <c r="X16" s="109">
        <v>0</v>
      </c>
      <c r="Y16" s="109">
        <v>0</v>
      </c>
      <c r="Z16" s="109">
        <v>0</v>
      </c>
      <c r="AA16" s="109">
        <v>0</v>
      </c>
      <c r="AB16" s="109">
        <v>0</v>
      </c>
      <c r="AC16" s="109">
        <v>0</v>
      </c>
      <c r="AD16" s="109">
        <v>0</v>
      </c>
      <c r="AE16" s="109">
        <v>0</v>
      </c>
      <c r="AF16" s="109">
        <v>0</v>
      </c>
      <c r="AG16" s="109">
        <v>0</v>
      </c>
      <c r="AH16" s="109">
        <v>0</v>
      </c>
      <c r="AI16" s="109">
        <v>0</v>
      </c>
      <c r="AJ16" s="109">
        <v>0</v>
      </c>
      <c r="AK16" s="109">
        <v>0</v>
      </c>
      <c r="AL16" s="109">
        <v>0</v>
      </c>
      <c r="AM16" s="109">
        <v>0</v>
      </c>
    </row>
    <row r="17" spans="1:39" customFormat="1" x14ac:dyDescent="0.15">
      <c r="A17" s="191" t="s">
        <v>207</v>
      </c>
      <c r="B17" s="109">
        <v>0.8</v>
      </c>
      <c r="C17" s="109">
        <v>0.8</v>
      </c>
      <c r="D17" s="109">
        <v>0</v>
      </c>
      <c r="E17" s="109">
        <v>0</v>
      </c>
      <c r="F17" s="109">
        <v>0</v>
      </c>
      <c r="G17" s="109">
        <v>0</v>
      </c>
      <c r="H17" s="109">
        <v>0.8</v>
      </c>
      <c r="I17" s="109">
        <v>0</v>
      </c>
      <c r="J17" s="109">
        <v>0.8</v>
      </c>
      <c r="K17" s="109">
        <v>0</v>
      </c>
      <c r="L17" s="109">
        <v>0</v>
      </c>
      <c r="M17" s="109">
        <v>0</v>
      </c>
      <c r="N17" s="109">
        <v>0</v>
      </c>
      <c r="O17" s="109">
        <v>0</v>
      </c>
      <c r="P17" s="109">
        <v>0</v>
      </c>
      <c r="Q17" s="109">
        <v>0</v>
      </c>
      <c r="R17" s="109">
        <v>0</v>
      </c>
      <c r="S17" s="109">
        <v>0</v>
      </c>
      <c r="T17" s="109">
        <v>0</v>
      </c>
      <c r="U17" s="109">
        <v>0</v>
      </c>
      <c r="V17" s="109">
        <v>0</v>
      </c>
      <c r="W17" s="109">
        <v>0</v>
      </c>
      <c r="X17" s="109">
        <v>0</v>
      </c>
      <c r="Y17" s="109">
        <v>0</v>
      </c>
      <c r="Z17" s="109">
        <v>0</v>
      </c>
      <c r="AA17" s="109">
        <v>0</v>
      </c>
      <c r="AB17" s="109">
        <v>0</v>
      </c>
      <c r="AC17" s="109">
        <v>0</v>
      </c>
      <c r="AD17" s="109">
        <v>0</v>
      </c>
      <c r="AE17" s="109">
        <v>0</v>
      </c>
      <c r="AF17" s="109">
        <v>0</v>
      </c>
      <c r="AG17" s="109">
        <v>0</v>
      </c>
      <c r="AH17" s="109">
        <v>0</v>
      </c>
      <c r="AI17" s="109">
        <v>0</v>
      </c>
      <c r="AJ17" s="109">
        <v>0</v>
      </c>
      <c r="AK17" s="109">
        <v>0</v>
      </c>
      <c r="AL17" s="109">
        <v>0</v>
      </c>
      <c r="AM17" s="109">
        <v>0</v>
      </c>
    </row>
    <row r="18" spans="1:39" customFormat="1" x14ac:dyDescent="0.15">
      <c r="A18" s="191" t="s">
        <v>208</v>
      </c>
      <c r="B18" s="109">
        <v>0.8</v>
      </c>
      <c r="C18" s="109">
        <v>0.8</v>
      </c>
      <c r="D18" s="109">
        <v>0</v>
      </c>
      <c r="E18" s="109">
        <v>0</v>
      </c>
      <c r="F18" s="109">
        <v>0</v>
      </c>
      <c r="G18" s="109">
        <v>0.8</v>
      </c>
      <c r="H18" s="109">
        <v>0.8</v>
      </c>
      <c r="I18" s="109">
        <v>0</v>
      </c>
      <c r="J18" s="109">
        <v>0.8</v>
      </c>
      <c r="K18" s="109">
        <v>0</v>
      </c>
      <c r="L18" s="109">
        <v>0</v>
      </c>
      <c r="M18" s="109">
        <v>0</v>
      </c>
      <c r="N18" s="109">
        <v>0</v>
      </c>
      <c r="O18" s="109">
        <v>0</v>
      </c>
      <c r="P18" s="109">
        <v>0</v>
      </c>
      <c r="Q18" s="109">
        <v>0.8</v>
      </c>
      <c r="R18" s="109">
        <v>0</v>
      </c>
      <c r="S18" s="109">
        <v>0</v>
      </c>
      <c r="T18" s="109">
        <v>0</v>
      </c>
      <c r="U18" s="109">
        <v>0</v>
      </c>
      <c r="V18" s="109">
        <v>0</v>
      </c>
      <c r="W18" s="109">
        <v>0</v>
      </c>
      <c r="X18" s="109">
        <v>0</v>
      </c>
      <c r="Y18" s="109">
        <v>0</v>
      </c>
      <c r="Z18" s="109">
        <v>0</v>
      </c>
      <c r="AA18" s="109">
        <v>0</v>
      </c>
      <c r="AB18" s="109">
        <v>0</v>
      </c>
      <c r="AC18" s="109">
        <v>0</v>
      </c>
      <c r="AD18" s="109">
        <v>0</v>
      </c>
      <c r="AE18" s="109">
        <v>0</v>
      </c>
      <c r="AF18" s="109">
        <v>0</v>
      </c>
      <c r="AG18" s="109">
        <v>0</v>
      </c>
      <c r="AH18" s="109">
        <v>0</v>
      </c>
      <c r="AI18" s="109">
        <v>0</v>
      </c>
      <c r="AJ18" s="109">
        <v>0</v>
      </c>
      <c r="AK18" s="109">
        <v>0</v>
      </c>
      <c r="AL18" s="109">
        <v>0</v>
      </c>
      <c r="AM18" s="109">
        <v>0</v>
      </c>
    </row>
    <row r="19" spans="1:39" customFormat="1" x14ac:dyDescent="0.15">
      <c r="A19" s="191" t="s">
        <v>209</v>
      </c>
      <c r="B19" s="109">
        <v>0.8</v>
      </c>
      <c r="C19" s="109">
        <v>0</v>
      </c>
      <c r="D19" s="109">
        <v>0</v>
      </c>
      <c r="E19" s="109">
        <v>0</v>
      </c>
      <c r="F19" s="109">
        <v>0.8</v>
      </c>
      <c r="G19" s="109">
        <v>0</v>
      </c>
      <c r="H19" s="109">
        <v>0.8</v>
      </c>
      <c r="I19" s="109">
        <v>0</v>
      </c>
      <c r="J19" s="109">
        <v>0</v>
      </c>
      <c r="K19" s="109">
        <v>0.8</v>
      </c>
      <c r="L19" s="109">
        <v>0.8</v>
      </c>
      <c r="M19" s="109">
        <v>0</v>
      </c>
      <c r="N19" s="109">
        <v>0</v>
      </c>
      <c r="O19" s="109">
        <v>0</v>
      </c>
      <c r="P19" s="109">
        <v>0</v>
      </c>
      <c r="Q19" s="109">
        <v>0</v>
      </c>
      <c r="R19" s="109">
        <v>0.8</v>
      </c>
      <c r="S19" s="109">
        <v>0</v>
      </c>
      <c r="T19" s="109">
        <v>0</v>
      </c>
      <c r="U19" s="109">
        <v>0</v>
      </c>
      <c r="V19" s="109">
        <v>0</v>
      </c>
      <c r="W19" s="109">
        <v>0</v>
      </c>
      <c r="X19" s="109">
        <v>0.8</v>
      </c>
      <c r="Y19" s="109">
        <v>0</v>
      </c>
      <c r="Z19" s="109">
        <v>0</v>
      </c>
      <c r="AA19" s="109">
        <v>0</v>
      </c>
      <c r="AB19" s="109">
        <v>0</v>
      </c>
      <c r="AC19" s="109">
        <v>0</v>
      </c>
      <c r="AD19" s="109">
        <v>0</v>
      </c>
      <c r="AE19" s="109">
        <v>0</v>
      </c>
      <c r="AF19" s="109">
        <v>0</v>
      </c>
      <c r="AG19" s="109">
        <v>0</v>
      </c>
      <c r="AH19" s="109">
        <v>0</v>
      </c>
      <c r="AI19" s="109">
        <v>0</v>
      </c>
      <c r="AJ19" s="109">
        <v>0</v>
      </c>
      <c r="AK19" s="109">
        <v>0</v>
      </c>
      <c r="AL19" s="109">
        <v>0</v>
      </c>
      <c r="AM19" s="109">
        <v>0</v>
      </c>
    </row>
    <row r="20" spans="1:39" customFormat="1" x14ac:dyDescent="0.15">
      <c r="A20" s="191" t="s">
        <v>210</v>
      </c>
      <c r="B20" s="109">
        <v>0.8</v>
      </c>
      <c r="C20" s="109">
        <v>0</v>
      </c>
      <c r="D20" s="109">
        <v>0.8</v>
      </c>
      <c r="E20" s="109">
        <v>0</v>
      </c>
      <c r="F20" s="109">
        <v>0</v>
      </c>
      <c r="G20" s="109">
        <v>0.8</v>
      </c>
      <c r="H20" s="109">
        <v>0</v>
      </c>
      <c r="I20" s="109">
        <v>0.8</v>
      </c>
      <c r="J20" s="109">
        <v>0.8</v>
      </c>
      <c r="K20" s="109">
        <v>0.8</v>
      </c>
      <c r="L20" s="109">
        <v>0.8</v>
      </c>
      <c r="M20" s="109">
        <v>0</v>
      </c>
      <c r="N20" s="109">
        <v>0.8</v>
      </c>
      <c r="O20" s="109">
        <v>0</v>
      </c>
      <c r="P20" s="109">
        <v>0</v>
      </c>
      <c r="Q20" s="109">
        <v>0</v>
      </c>
      <c r="R20" s="109">
        <v>0</v>
      </c>
      <c r="S20" s="109">
        <v>0</v>
      </c>
      <c r="T20" s="109">
        <v>0</v>
      </c>
      <c r="U20" s="109">
        <v>0</v>
      </c>
      <c r="V20" s="109">
        <v>0</v>
      </c>
      <c r="W20" s="109">
        <v>0</v>
      </c>
      <c r="X20" s="109">
        <v>0.8</v>
      </c>
      <c r="Y20" s="109">
        <v>0</v>
      </c>
      <c r="Z20" s="109">
        <v>0</v>
      </c>
      <c r="AA20" s="109">
        <v>0</v>
      </c>
      <c r="AB20" s="109">
        <v>0</v>
      </c>
      <c r="AC20" s="109">
        <v>0</v>
      </c>
      <c r="AD20" s="109">
        <v>0</v>
      </c>
      <c r="AE20" s="109">
        <v>0</v>
      </c>
      <c r="AF20" s="109">
        <v>0</v>
      </c>
      <c r="AG20" s="109">
        <v>0</v>
      </c>
      <c r="AH20" s="109">
        <v>0</v>
      </c>
      <c r="AI20" s="109">
        <v>0</v>
      </c>
      <c r="AJ20" s="109">
        <v>0</v>
      </c>
      <c r="AK20" s="109">
        <v>0</v>
      </c>
      <c r="AL20" s="109">
        <v>0</v>
      </c>
      <c r="AM20" s="109">
        <v>0</v>
      </c>
    </row>
    <row r="21" spans="1:39" customFormat="1" x14ac:dyDescent="0.15">
      <c r="A21" s="191" t="s">
        <v>211</v>
      </c>
      <c r="B21" s="109">
        <v>0.8</v>
      </c>
      <c r="C21" s="109">
        <v>0</v>
      </c>
      <c r="D21" s="109">
        <v>0.8</v>
      </c>
      <c r="E21" s="109">
        <v>0</v>
      </c>
      <c r="F21" s="109">
        <v>0</v>
      </c>
      <c r="G21" s="109">
        <v>0.8</v>
      </c>
      <c r="H21" s="109">
        <v>0</v>
      </c>
      <c r="I21" s="109">
        <v>0.8</v>
      </c>
      <c r="J21" s="109">
        <v>0</v>
      </c>
      <c r="K21" s="109">
        <v>0.8</v>
      </c>
      <c r="L21" s="109">
        <v>0.8</v>
      </c>
      <c r="M21" s="109">
        <v>0</v>
      </c>
      <c r="N21" s="109">
        <v>0.8</v>
      </c>
      <c r="O21" s="109">
        <v>0</v>
      </c>
      <c r="P21" s="109">
        <v>0</v>
      </c>
      <c r="Q21" s="109">
        <v>0</v>
      </c>
      <c r="R21" s="109">
        <v>0</v>
      </c>
      <c r="S21" s="109">
        <v>0</v>
      </c>
      <c r="T21" s="109">
        <v>0</v>
      </c>
      <c r="U21" s="109">
        <v>0</v>
      </c>
      <c r="V21" s="109">
        <v>0</v>
      </c>
      <c r="W21" s="109">
        <v>0</v>
      </c>
      <c r="X21" s="109">
        <v>0.8</v>
      </c>
      <c r="Y21" s="109">
        <v>0</v>
      </c>
      <c r="Z21" s="109">
        <v>0</v>
      </c>
      <c r="AA21" s="109">
        <v>0</v>
      </c>
      <c r="AB21" s="109">
        <v>0</v>
      </c>
      <c r="AC21" s="109">
        <v>0</v>
      </c>
      <c r="AD21" s="109">
        <v>0</v>
      </c>
      <c r="AE21" s="109">
        <v>0</v>
      </c>
      <c r="AF21" s="109">
        <v>0</v>
      </c>
      <c r="AG21" s="109">
        <v>0</v>
      </c>
      <c r="AH21" s="109">
        <v>0</v>
      </c>
      <c r="AI21" s="109">
        <v>0</v>
      </c>
      <c r="AJ21" s="109">
        <v>0</v>
      </c>
      <c r="AK21" s="109">
        <v>0</v>
      </c>
      <c r="AL21" s="109">
        <v>0</v>
      </c>
      <c r="AM21" s="109">
        <v>0</v>
      </c>
    </row>
    <row r="22" spans="1:39" customFormat="1" x14ac:dyDescent="0.15">
      <c r="A22" s="191" t="s">
        <v>212</v>
      </c>
      <c r="B22" s="109">
        <v>0</v>
      </c>
      <c r="C22" s="109">
        <v>0</v>
      </c>
      <c r="D22" s="109">
        <v>0.8</v>
      </c>
      <c r="E22" s="109">
        <v>0.8</v>
      </c>
      <c r="F22" s="109">
        <v>0</v>
      </c>
      <c r="G22" s="109">
        <v>0.8</v>
      </c>
      <c r="H22" s="109">
        <v>0</v>
      </c>
      <c r="I22" s="109">
        <v>0.8</v>
      </c>
      <c r="J22" s="109">
        <v>0.8</v>
      </c>
      <c r="K22" s="109">
        <v>0</v>
      </c>
      <c r="L22" s="109">
        <v>0.8</v>
      </c>
      <c r="M22" s="109">
        <v>0.8</v>
      </c>
      <c r="N22" s="109">
        <v>0</v>
      </c>
      <c r="O22" s="109">
        <v>0</v>
      </c>
      <c r="P22" s="109">
        <v>0</v>
      </c>
      <c r="Q22" s="109">
        <v>0</v>
      </c>
      <c r="R22" s="109">
        <v>0</v>
      </c>
      <c r="S22" s="109">
        <v>0</v>
      </c>
      <c r="T22" s="109">
        <v>0</v>
      </c>
      <c r="U22" s="109">
        <v>0</v>
      </c>
      <c r="V22" s="109">
        <v>0</v>
      </c>
      <c r="W22" s="109">
        <v>0</v>
      </c>
      <c r="X22" s="109">
        <v>0.8</v>
      </c>
      <c r="Y22" s="109">
        <v>0</v>
      </c>
      <c r="Z22" s="109">
        <v>0</v>
      </c>
      <c r="AA22" s="109">
        <v>0</v>
      </c>
      <c r="AB22" s="109">
        <v>0</v>
      </c>
      <c r="AC22" s="109">
        <v>0</v>
      </c>
      <c r="AD22" s="109">
        <v>0</v>
      </c>
      <c r="AE22" s="109">
        <v>0</v>
      </c>
      <c r="AF22" s="109">
        <v>0</v>
      </c>
      <c r="AG22" s="109">
        <v>0</v>
      </c>
      <c r="AH22" s="109">
        <v>0</v>
      </c>
      <c r="AI22" s="109">
        <v>0</v>
      </c>
      <c r="AJ22" s="109">
        <v>0</v>
      </c>
      <c r="AK22" s="109">
        <v>0</v>
      </c>
      <c r="AL22" s="109">
        <v>0</v>
      </c>
      <c r="AM22" s="109">
        <v>0</v>
      </c>
    </row>
    <row r="23" spans="1:39" customFormat="1" x14ac:dyDescent="0.15">
      <c r="A23" s="191" t="s">
        <v>213</v>
      </c>
      <c r="B23" s="109">
        <v>0.8</v>
      </c>
      <c r="C23" s="109">
        <v>0</v>
      </c>
      <c r="D23" s="109">
        <v>0.8</v>
      </c>
      <c r="E23" s="109">
        <v>0.8</v>
      </c>
      <c r="F23" s="109">
        <v>0.8</v>
      </c>
      <c r="G23" s="109">
        <v>0</v>
      </c>
      <c r="H23" s="109">
        <v>0.8</v>
      </c>
      <c r="I23" s="109">
        <v>0.8</v>
      </c>
      <c r="J23" s="109">
        <v>0.8</v>
      </c>
      <c r="K23" s="109">
        <v>0.8</v>
      </c>
      <c r="L23" s="109">
        <v>0.8</v>
      </c>
      <c r="M23" s="109">
        <v>0</v>
      </c>
      <c r="N23" s="109">
        <v>0.8</v>
      </c>
      <c r="O23" s="109">
        <v>0.8</v>
      </c>
      <c r="P23" s="109">
        <v>0</v>
      </c>
      <c r="Q23" s="109">
        <v>0.8</v>
      </c>
      <c r="R23" s="109">
        <v>0.8</v>
      </c>
      <c r="S23" s="109">
        <v>0.8</v>
      </c>
      <c r="T23" s="109">
        <v>0</v>
      </c>
      <c r="U23" s="109">
        <v>0</v>
      </c>
      <c r="V23" s="109">
        <v>0</v>
      </c>
      <c r="W23" s="109">
        <v>0</v>
      </c>
      <c r="X23" s="109">
        <v>0.8</v>
      </c>
      <c r="Y23" s="109">
        <v>0</v>
      </c>
      <c r="Z23" s="109">
        <v>0</v>
      </c>
      <c r="AA23" s="109">
        <v>0</v>
      </c>
      <c r="AB23" s="109">
        <v>0</v>
      </c>
      <c r="AC23" s="109">
        <v>0</v>
      </c>
      <c r="AD23" s="109">
        <v>0</v>
      </c>
      <c r="AE23" s="109">
        <v>0</v>
      </c>
      <c r="AF23" s="109">
        <v>0</v>
      </c>
      <c r="AG23" s="109">
        <v>0</v>
      </c>
      <c r="AH23" s="109">
        <v>0</v>
      </c>
      <c r="AI23" s="109">
        <v>0</v>
      </c>
      <c r="AJ23" s="109">
        <v>0</v>
      </c>
      <c r="AK23" s="109">
        <v>0</v>
      </c>
      <c r="AL23" s="109">
        <v>0</v>
      </c>
      <c r="AM23" s="109">
        <v>0</v>
      </c>
    </row>
    <row r="24" spans="1:39" customFormat="1" x14ac:dyDescent="0.15">
      <c r="A24" s="191" t="s">
        <v>214</v>
      </c>
      <c r="B24" s="109">
        <v>0.8</v>
      </c>
      <c r="C24" s="109">
        <v>0.8</v>
      </c>
      <c r="D24" s="109">
        <v>0</v>
      </c>
      <c r="E24" s="109">
        <v>0.8</v>
      </c>
      <c r="F24" s="109">
        <v>0</v>
      </c>
      <c r="G24" s="109">
        <v>0</v>
      </c>
      <c r="H24" s="109">
        <v>0.8</v>
      </c>
      <c r="I24" s="109">
        <v>0</v>
      </c>
      <c r="J24" s="109">
        <v>0.8</v>
      </c>
      <c r="K24" s="109">
        <v>0.8</v>
      </c>
      <c r="L24" s="109">
        <v>0.8</v>
      </c>
      <c r="M24" s="109">
        <v>0</v>
      </c>
      <c r="N24" s="109">
        <v>0</v>
      </c>
      <c r="O24" s="109">
        <v>0</v>
      </c>
      <c r="P24" s="109">
        <v>0</v>
      </c>
      <c r="Q24" s="109">
        <v>0</v>
      </c>
      <c r="R24" s="109">
        <v>0</v>
      </c>
      <c r="S24" s="109">
        <v>0</v>
      </c>
      <c r="T24" s="109">
        <v>0</v>
      </c>
      <c r="U24" s="109">
        <v>0</v>
      </c>
      <c r="V24" s="109">
        <v>0</v>
      </c>
      <c r="W24" s="109">
        <v>0</v>
      </c>
      <c r="X24" s="109">
        <v>0</v>
      </c>
      <c r="Y24" s="109">
        <v>0</v>
      </c>
      <c r="Z24" s="109">
        <v>0</v>
      </c>
      <c r="AA24" s="109">
        <v>0</v>
      </c>
      <c r="AB24" s="109">
        <v>0</v>
      </c>
      <c r="AC24" s="109">
        <v>0</v>
      </c>
      <c r="AD24" s="109">
        <v>0</v>
      </c>
      <c r="AE24" s="109">
        <v>0</v>
      </c>
      <c r="AF24" s="109">
        <v>0</v>
      </c>
      <c r="AG24" s="109">
        <v>0</v>
      </c>
      <c r="AH24" s="109">
        <v>0</v>
      </c>
      <c r="AI24" s="109">
        <v>0</v>
      </c>
      <c r="AJ24" s="109">
        <v>0</v>
      </c>
      <c r="AK24" s="109">
        <v>0</v>
      </c>
      <c r="AL24" s="109">
        <v>0</v>
      </c>
      <c r="AM24" s="109">
        <v>0</v>
      </c>
    </row>
    <row r="25" spans="1:39" customFormat="1" x14ac:dyDescent="0.15">
      <c r="A25" s="191" t="s">
        <v>215</v>
      </c>
      <c r="B25" s="109">
        <v>0.8</v>
      </c>
      <c r="C25" s="109">
        <v>0.8</v>
      </c>
      <c r="D25" s="109">
        <v>0.8</v>
      </c>
      <c r="E25" s="109">
        <v>0</v>
      </c>
      <c r="F25" s="109">
        <v>0.8</v>
      </c>
      <c r="G25" s="109">
        <v>0.8</v>
      </c>
      <c r="H25" s="109">
        <v>0.8</v>
      </c>
      <c r="I25" s="109">
        <v>0.8</v>
      </c>
      <c r="J25" s="109">
        <v>0.8</v>
      </c>
      <c r="K25" s="109">
        <v>0.8</v>
      </c>
      <c r="L25" s="109">
        <v>0.8</v>
      </c>
      <c r="M25" s="109">
        <v>0</v>
      </c>
      <c r="N25" s="109">
        <v>0.8</v>
      </c>
      <c r="O25" s="109">
        <v>0.8</v>
      </c>
      <c r="P25" s="109">
        <v>0</v>
      </c>
      <c r="Q25" s="109">
        <v>0.8</v>
      </c>
      <c r="R25" s="109">
        <v>0.8</v>
      </c>
      <c r="S25" s="109">
        <v>0</v>
      </c>
      <c r="T25" s="109">
        <v>0</v>
      </c>
      <c r="U25" s="109">
        <v>0</v>
      </c>
      <c r="V25" s="109">
        <v>0</v>
      </c>
      <c r="W25" s="109">
        <v>0</v>
      </c>
      <c r="X25" s="109">
        <v>0.8</v>
      </c>
      <c r="Y25" s="109">
        <v>0</v>
      </c>
      <c r="Z25" s="109">
        <v>0</v>
      </c>
      <c r="AA25" s="109">
        <v>0.8</v>
      </c>
      <c r="AB25" s="109">
        <v>0</v>
      </c>
      <c r="AC25" s="109">
        <v>0</v>
      </c>
      <c r="AD25" s="109">
        <v>0</v>
      </c>
      <c r="AE25" s="109">
        <v>0</v>
      </c>
      <c r="AF25" s="109">
        <v>0</v>
      </c>
      <c r="AG25" s="109">
        <v>0</v>
      </c>
      <c r="AH25" s="109">
        <v>0</v>
      </c>
      <c r="AI25" s="109">
        <v>0</v>
      </c>
      <c r="AJ25" s="109">
        <v>0</v>
      </c>
      <c r="AK25" s="109">
        <v>0</v>
      </c>
      <c r="AL25" s="109">
        <v>0</v>
      </c>
      <c r="AM25" s="109">
        <v>0</v>
      </c>
    </row>
    <row r="26" spans="1:39" customFormat="1" x14ac:dyDescent="0.15">
      <c r="A26" s="191" t="s">
        <v>216</v>
      </c>
      <c r="B26" s="109">
        <v>0.8</v>
      </c>
      <c r="C26" s="109">
        <v>0.8</v>
      </c>
      <c r="D26" s="109">
        <v>0.8</v>
      </c>
      <c r="E26" s="109">
        <v>0</v>
      </c>
      <c r="F26" s="109">
        <v>0.8</v>
      </c>
      <c r="G26" s="109">
        <v>0.8</v>
      </c>
      <c r="H26" s="109">
        <v>0.8</v>
      </c>
      <c r="I26" s="109">
        <v>0.8</v>
      </c>
      <c r="J26" s="109">
        <v>0.8</v>
      </c>
      <c r="K26" s="109">
        <v>0.8</v>
      </c>
      <c r="L26" s="109">
        <v>0.8</v>
      </c>
      <c r="M26" s="109">
        <v>0</v>
      </c>
      <c r="N26" s="109">
        <v>0.8</v>
      </c>
      <c r="O26" s="109">
        <v>0.8</v>
      </c>
      <c r="P26" s="109">
        <v>0</v>
      </c>
      <c r="Q26" s="109">
        <v>0.8</v>
      </c>
      <c r="R26" s="109">
        <v>0.8</v>
      </c>
      <c r="S26" s="109">
        <v>0.8</v>
      </c>
      <c r="T26" s="109">
        <v>0</v>
      </c>
      <c r="U26" s="109">
        <v>0</v>
      </c>
      <c r="V26" s="109">
        <v>0</v>
      </c>
      <c r="W26" s="109">
        <v>0</v>
      </c>
      <c r="X26" s="109">
        <v>0.8</v>
      </c>
      <c r="Y26" s="109">
        <v>0</v>
      </c>
      <c r="Z26" s="109">
        <v>0</v>
      </c>
      <c r="AA26" s="109">
        <v>0.8</v>
      </c>
      <c r="AB26" s="109">
        <v>0</v>
      </c>
      <c r="AC26" s="109">
        <v>0</v>
      </c>
      <c r="AD26" s="109">
        <v>0</v>
      </c>
      <c r="AE26" s="109">
        <v>0</v>
      </c>
      <c r="AF26" s="109">
        <v>0</v>
      </c>
      <c r="AG26" s="109">
        <v>0</v>
      </c>
      <c r="AH26" s="109">
        <v>0</v>
      </c>
      <c r="AI26" s="109">
        <v>0</v>
      </c>
      <c r="AJ26" s="109">
        <v>0</v>
      </c>
      <c r="AK26" s="109">
        <v>0</v>
      </c>
      <c r="AL26" s="109">
        <v>0</v>
      </c>
      <c r="AM26" s="109">
        <v>0</v>
      </c>
    </row>
    <row r="27" spans="1:39" customFormat="1" x14ac:dyDescent="0.15">
      <c r="A27" s="191" t="s">
        <v>217</v>
      </c>
      <c r="B27" s="109">
        <v>0.8</v>
      </c>
      <c r="C27" s="109">
        <v>0.8</v>
      </c>
      <c r="D27" s="109">
        <v>0.8</v>
      </c>
      <c r="E27" s="109">
        <v>0</v>
      </c>
      <c r="F27" s="109">
        <v>0.8</v>
      </c>
      <c r="G27" s="109">
        <v>0.8</v>
      </c>
      <c r="H27" s="109">
        <v>0.8</v>
      </c>
      <c r="I27" s="109">
        <v>0.8</v>
      </c>
      <c r="J27" s="109">
        <v>0.8</v>
      </c>
      <c r="K27" s="109">
        <v>0.8</v>
      </c>
      <c r="L27" s="109">
        <v>0.8</v>
      </c>
      <c r="M27" s="109">
        <v>0</v>
      </c>
      <c r="N27" s="109">
        <v>0.8</v>
      </c>
      <c r="O27" s="109">
        <v>0.8</v>
      </c>
      <c r="P27" s="109">
        <v>0</v>
      </c>
      <c r="Q27" s="109">
        <v>0.8</v>
      </c>
      <c r="R27" s="109">
        <v>0.8</v>
      </c>
      <c r="S27" s="109">
        <v>0</v>
      </c>
      <c r="T27" s="109">
        <v>0</v>
      </c>
      <c r="U27" s="109">
        <v>0</v>
      </c>
      <c r="V27" s="109">
        <v>0</v>
      </c>
      <c r="W27" s="109">
        <v>0</v>
      </c>
      <c r="X27" s="109">
        <v>0.8</v>
      </c>
      <c r="Y27" s="109">
        <v>0</v>
      </c>
      <c r="Z27" s="109">
        <v>0</v>
      </c>
      <c r="AA27" s="109">
        <v>0</v>
      </c>
      <c r="AB27" s="109">
        <v>0</v>
      </c>
      <c r="AC27" s="109">
        <v>0</v>
      </c>
      <c r="AD27" s="109">
        <v>0</v>
      </c>
      <c r="AE27" s="109">
        <v>0</v>
      </c>
      <c r="AF27" s="109">
        <v>0</v>
      </c>
      <c r="AG27" s="109">
        <v>0</v>
      </c>
      <c r="AH27" s="109">
        <v>0</v>
      </c>
      <c r="AI27" s="109">
        <v>0</v>
      </c>
      <c r="AJ27" s="109">
        <v>0</v>
      </c>
      <c r="AK27" s="109">
        <v>0</v>
      </c>
      <c r="AL27" s="109">
        <v>0</v>
      </c>
      <c r="AM27" s="109">
        <v>0</v>
      </c>
    </row>
    <row r="28" spans="1:39" customFormat="1" x14ac:dyDescent="0.15">
      <c r="A28" s="191" t="s">
        <v>218</v>
      </c>
      <c r="B28" s="109">
        <v>0</v>
      </c>
      <c r="C28" s="109">
        <v>0</v>
      </c>
      <c r="D28" s="109">
        <v>0.8</v>
      </c>
      <c r="E28" s="109">
        <v>0.8</v>
      </c>
      <c r="F28" s="109">
        <v>0</v>
      </c>
      <c r="G28" s="109">
        <v>0.8</v>
      </c>
      <c r="H28" s="109">
        <v>0</v>
      </c>
      <c r="I28" s="109">
        <v>0.8</v>
      </c>
      <c r="J28" s="109">
        <v>0.8</v>
      </c>
      <c r="K28" s="109">
        <v>0</v>
      </c>
      <c r="L28" s="109">
        <v>0.8</v>
      </c>
      <c r="M28" s="109">
        <v>0.8</v>
      </c>
      <c r="N28" s="109">
        <v>0.8</v>
      </c>
      <c r="O28" s="109">
        <v>0.8</v>
      </c>
      <c r="P28" s="109">
        <v>0.8</v>
      </c>
      <c r="Q28" s="109">
        <v>0</v>
      </c>
      <c r="R28" s="109">
        <v>0</v>
      </c>
      <c r="S28" s="109">
        <v>0</v>
      </c>
      <c r="T28" s="109">
        <v>0.8</v>
      </c>
      <c r="U28" s="109">
        <v>0.8</v>
      </c>
      <c r="V28" s="109">
        <v>0.8</v>
      </c>
      <c r="W28" s="109">
        <v>0.8</v>
      </c>
      <c r="X28" s="109">
        <v>0</v>
      </c>
      <c r="Y28" s="109">
        <v>0</v>
      </c>
      <c r="Z28" s="109">
        <v>0</v>
      </c>
      <c r="AA28" s="109">
        <v>0</v>
      </c>
      <c r="AB28" s="109">
        <v>0.8</v>
      </c>
      <c r="AC28" s="109">
        <v>0</v>
      </c>
      <c r="AD28" s="109">
        <v>0</v>
      </c>
      <c r="AE28" s="109">
        <v>0</v>
      </c>
      <c r="AF28" s="109">
        <v>0</v>
      </c>
      <c r="AG28" s="109">
        <v>0</v>
      </c>
      <c r="AH28" s="109">
        <v>0</v>
      </c>
      <c r="AI28" s="109">
        <v>0</v>
      </c>
      <c r="AJ28" s="109">
        <v>0</v>
      </c>
      <c r="AK28" s="109">
        <v>0</v>
      </c>
      <c r="AL28" s="109">
        <v>0</v>
      </c>
      <c r="AM28" s="109">
        <v>0</v>
      </c>
    </row>
    <row r="29" spans="1:39" customFormat="1" x14ac:dyDescent="0.15">
      <c r="A29" s="191" t="s">
        <v>219</v>
      </c>
      <c r="B29" s="109">
        <v>0</v>
      </c>
      <c r="C29" s="109">
        <v>0.8</v>
      </c>
      <c r="D29" s="109">
        <v>0.8</v>
      </c>
      <c r="E29" s="109">
        <v>0.8</v>
      </c>
      <c r="F29" s="109">
        <v>0.8</v>
      </c>
      <c r="G29" s="109">
        <v>0.8</v>
      </c>
      <c r="H29" s="109">
        <v>0.8</v>
      </c>
      <c r="I29" s="109">
        <v>0.8</v>
      </c>
      <c r="J29" s="109">
        <v>0.8</v>
      </c>
      <c r="K29" s="109">
        <v>0</v>
      </c>
      <c r="L29" s="109">
        <v>0.8</v>
      </c>
      <c r="M29" s="109">
        <v>0.8</v>
      </c>
      <c r="N29" s="109">
        <v>0.8</v>
      </c>
      <c r="O29" s="109">
        <v>0.8</v>
      </c>
      <c r="P29" s="109">
        <v>0.8</v>
      </c>
      <c r="Q29" s="109">
        <v>0</v>
      </c>
      <c r="R29" s="109">
        <v>0</v>
      </c>
      <c r="S29" s="109">
        <v>0</v>
      </c>
      <c r="T29" s="109">
        <v>0.8</v>
      </c>
      <c r="U29" s="109">
        <v>0.8</v>
      </c>
      <c r="V29" s="109">
        <v>0.8</v>
      </c>
      <c r="W29" s="109">
        <v>0</v>
      </c>
      <c r="X29" s="109">
        <v>0.8</v>
      </c>
      <c r="Y29" s="109">
        <v>0</v>
      </c>
      <c r="Z29" s="109">
        <v>0</v>
      </c>
      <c r="AA29" s="109">
        <v>0</v>
      </c>
      <c r="AB29" s="109">
        <v>0.8</v>
      </c>
      <c r="AC29" s="109">
        <v>0.8</v>
      </c>
      <c r="AD29" s="109">
        <v>0.8</v>
      </c>
      <c r="AE29" s="109">
        <v>0</v>
      </c>
      <c r="AF29" s="109">
        <v>0</v>
      </c>
      <c r="AG29" s="109">
        <v>0</v>
      </c>
      <c r="AH29" s="109">
        <v>0</v>
      </c>
      <c r="AI29" s="109">
        <v>0</v>
      </c>
      <c r="AJ29" s="109">
        <v>0</v>
      </c>
      <c r="AK29" s="109">
        <v>0</v>
      </c>
      <c r="AL29" s="109">
        <v>0</v>
      </c>
      <c r="AM29" s="109">
        <v>0</v>
      </c>
    </row>
    <row r="30" spans="1:39" customFormat="1" x14ac:dyDescent="0.15">
      <c r="A30" s="191" t="s">
        <v>220</v>
      </c>
      <c r="B30" s="109">
        <v>0</v>
      </c>
      <c r="C30" s="109">
        <v>0.8</v>
      </c>
      <c r="D30" s="109">
        <v>0.8</v>
      </c>
      <c r="E30" s="109">
        <v>0.8</v>
      </c>
      <c r="F30" s="109">
        <v>0.8</v>
      </c>
      <c r="G30" s="109">
        <v>0.8</v>
      </c>
      <c r="H30" s="109">
        <v>0.8</v>
      </c>
      <c r="I30" s="109">
        <v>0.8</v>
      </c>
      <c r="J30" s="109">
        <v>0.8</v>
      </c>
      <c r="K30" s="109">
        <v>0.8</v>
      </c>
      <c r="L30" s="109">
        <v>0.8</v>
      </c>
      <c r="M30" s="109">
        <v>0.8</v>
      </c>
      <c r="N30" s="109">
        <v>0.8</v>
      </c>
      <c r="O30" s="109">
        <v>0.8</v>
      </c>
      <c r="P30" s="109">
        <v>0.8</v>
      </c>
      <c r="Q30" s="109">
        <v>0.8</v>
      </c>
      <c r="R30" s="109">
        <v>0.8</v>
      </c>
      <c r="S30" s="109">
        <v>0.8</v>
      </c>
      <c r="T30" s="109">
        <v>0.8</v>
      </c>
      <c r="U30" s="109">
        <v>0.8</v>
      </c>
      <c r="V30" s="109">
        <v>0</v>
      </c>
      <c r="W30" s="109">
        <v>0.8</v>
      </c>
      <c r="X30" s="109">
        <v>0</v>
      </c>
      <c r="Y30" s="109">
        <v>0.8</v>
      </c>
      <c r="Z30" s="109">
        <v>0.8</v>
      </c>
      <c r="AA30" s="109">
        <v>0.8</v>
      </c>
      <c r="AB30" s="109">
        <v>0</v>
      </c>
      <c r="AC30" s="109">
        <v>0</v>
      </c>
      <c r="AD30" s="109">
        <v>0.8</v>
      </c>
      <c r="AE30" s="109">
        <v>0</v>
      </c>
      <c r="AF30" s="109">
        <v>0</v>
      </c>
      <c r="AG30" s="109">
        <v>0</v>
      </c>
      <c r="AH30" s="109">
        <v>0</v>
      </c>
      <c r="AI30" s="109">
        <v>0</v>
      </c>
      <c r="AJ30" s="109">
        <v>0</v>
      </c>
      <c r="AK30" s="109">
        <v>0</v>
      </c>
      <c r="AL30" s="109">
        <v>0</v>
      </c>
      <c r="AM30" s="109">
        <v>0</v>
      </c>
    </row>
    <row r="31" spans="1:39" customFormat="1" x14ac:dyDescent="0.15">
      <c r="A31" s="191" t="s">
        <v>221</v>
      </c>
      <c r="B31" s="109">
        <v>0</v>
      </c>
      <c r="C31" s="109">
        <v>0</v>
      </c>
      <c r="D31" s="109">
        <v>0</v>
      </c>
      <c r="E31" s="109">
        <v>0</v>
      </c>
      <c r="F31" s="109">
        <v>0.8</v>
      </c>
      <c r="G31" s="109">
        <v>0.8</v>
      </c>
      <c r="H31" s="109">
        <v>0.8</v>
      </c>
      <c r="I31" s="109">
        <v>0</v>
      </c>
      <c r="J31" s="109">
        <v>0</v>
      </c>
      <c r="K31" s="109">
        <v>0.8</v>
      </c>
      <c r="L31" s="109">
        <v>0</v>
      </c>
      <c r="M31" s="109">
        <v>0</v>
      </c>
      <c r="N31" s="109">
        <v>0</v>
      </c>
      <c r="O31" s="109">
        <v>0</v>
      </c>
      <c r="P31" s="109">
        <v>0</v>
      </c>
      <c r="Q31" s="109">
        <v>0.8</v>
      </c>
      <c r="R31" s="109">
        <v>0.8</v>
      </c>
      <c r="S31" s="109">
        <v>0.8</v>
      </c>
      <c r="T31" s="109">
        <v>0</v>
      </c>
      <c r="U31" s="109">
        <v>0.8</v>
      </c>
      <c r="V31" s="109">
        <v>0.8</v>
      </c>
      <c r="W31" s="109">
        <v>0.8</v>
      </c>
      <c r="X31" s="109">
        <v>0</v>
      </c>
      <c r="Y31" s="109">
        <v>0.8</v>
      </c>
      <c r="Z31" s="109">
        <v>0.8</v>
      </c>
      <c r="AA31" s="109">
        <v>0.8</v>
      </c>
      <c r="AB31" s="109">
        <v>0</v>
      </c>
      <c r="AC31" s="109">
        <v>0</v>
      </c>
      <c r="AD31" s="109">
        <v>0.8</v>
      </c>
      <c r="AE31" s="109">
        <v>0</v>
      </c>
      <c r="AF31" s="109">
        <v>0</v>
      </c>
      <c r="AG31" s="109">
        <v>0</v>
      </c>
      <c r="AH31" s="109">
        <v>0</v>
      </c>
      <c r="AI31" s="109">
        <v>0</v>
      </c>
      <c r="AJ31" s="109">
        <v>0</v>
      </c>
      <c r="AK31" s="109">
        <v>0</v>
      </c>
      <c r="AL31" s="109">
        <v>0</v>
      </c>
      <c r="AM31" s="109">
        <v>0</v>
      </c>
    </row>
    <row r="32" spans="1:39" customFormat="1" x14ac:dyDescent="0.15">
      <c r="A32" s="191" t="s">
        <v>222</v>
      </c>
      <c r="B32" s="109">
        <v>0</v>
      </c>
      <c r="C32" s="109">
        <v>0.8</v>
      </c>
      <c r="D32" s="109">
        <v>0</v>
      </c>
      <c r="E32" s="109">
        <v>0</v>
      </c>
      <c r="F32" s="109">
        <v>0</v>
      </c>
      <c r="G32" s="109">
        <v>0.8</v>
      </c>
      <c r="H32" s="109">
        <v>0</v>
      </c>
      <c r="I32" s="109">
        <v>0</v>
      </c>
      <c r="J32" s="109">
        <v>0</v>
      </c>
      <c r="K32" s="109">
        <v>0.8</v>
      </c>
      <c r="L32" s="109">
        <v>0.8</v>
      </c>
      <c r="M32" s="109">
        <v>0</v>
      </c>
      <c r="N32" s="109">
        <v>0.8</v>
      </c>
      <c r="O32" s="109">
        <v>0</v>
      </c>
      <c r="P32" s="109">
        <v>0</v>
      </c>
      <c r="Q32" s="109">
        <v>0.8</v>
      </c>
      <c r="R32" s="109">
        <v>0.8</v>
      </c>
      <c r="S32" s="109">
        <v>0.8</v>
      </c>
      <c r="T32" s="109">
        <v>0</v>
      </c>
      <c r="U32" s="109">
        <v>0</v>
      </c>
      <c r="V32" s="109">
        <v>0.8</v>
      </c>
      <c r="W32" s="109">
        <v>0.8</v>
      </c>
      <c r="X32" s="109">
        <v>0.8</v>
      </c>
      <c r="Y32" s="109">
        <v>0.8</v>
      </c>
      <c r="Z32" s="109">
        <v>0.8</v>
      </c>
      <c r="AA32" s="109">
        <v>0.8</v>
      </c>
      <c r="AB32" s="109">
        <v>0</v>
      </c>
      <c r="AC32" s="109">
        <v>0</v>
      </c>
      <c r="AD32" s="109">
        <v>0.8</v>
      </c>
      <c r="AE32" s="109">
        <v>0.8</v>
      </c>
      <c r="AF32" s="109">
        <v>0</v>
      </c>
      <c r="AG32" s="109">
        <v>0</v>
      </c>
      <c r="AH32" s="109">
        <v>0</v>
      </c>
      <c r="AI32" s="109">
        <v>0</v>
      </c>
      <c r="AJ32" s="109">
        <v>0</v>
      </c>
      <c r="AK32" s="109">
        <v>0</v>
      </c>
      <c r="AL32" s="109">
        <v>0</v>
      </c>
      <c r="AM32" s="109">
        <v>0</v>
      </c>
    </row>
    <row r="33" spans="1:39" x14ac:dyDescent="0.15">
      <c r="A33" s="191" t="s">
        <v>223</v>
      </c>
      <c r="B33" s="109">
        <v>0</v>
      </c>
      <c r="C33" s="109">
        <v>0</v>
      </c>
      <c r="D33" s="109">
        <v>0.8</v>
      </c>
      <c r="E33" s="109">
        <v>0</v>
      </c>
      <c r="F33" s="109">
        <v>0</v>
      </c>
      <c r="G33" s="109">
        <v>0.8</v>
      </c>
      <c r="H33" s="109">
        <v>0.8</v>
      </c>
      <c r="I33" s="109">
        <v>0.8</v>
      </c>
      <c r="J33" s="109">
        <v>0.8</v>
      </c>
      <c r="K33" s="109">
        <v>0</v>
      </c>
      <c r="L33" s="109">
        <v>0.8</v>
      </c>
      <c r="M33" s="109">
        <v>0.8</v>
      </c>
      <c r="N33" s="109">
        <v>0.8</v>
      </c>
      <c r="O33" s="109">
        <v>0.8</v>
      </c>
      <c r="P33" s="109">
        <v>0.8</v>
      </c>
      <c r="Q33" s="109">
        <v>0</v>
      </c>
      <c r="R33" s="109">
        <v>0.8</v>
      </c>
      <c r="S33" s="109">
        <v>0.8</v>
      </c>
      <c r="T33" s="109">
        <v>0.8</v>
      </c>
      <c r="U33" s="109">
        <v>0.8</v>
      </c>
      <c r="V33" s="109">
        <v>0.8</v>
      </c>
      <c r="W33" s="109">
        <v>0</v>
      </c>
      <c r="X33" s="109">
        <v>0.8</v>
      </c>
      <c r="Y33" s="109">
        <v>0.8</v>
      </c>
      <c r="Z33" s="109">
        <v>0</v>
      </c>
      <c r="AA33" s="109">
        <v>0</v>
      </c>
      <c r="AB33" s="109">
        <v>0.8</v>
      </c>
      <c r="AC33" s="109">
        <v>0.8</v>
      </c>
      <c r="AD33" s="109">
        <v>0.8</v>
      </c>
      <c r="AE33" s="109">
        <v>0</v>
      </c>
      <c r="AF33" s="109">
        <v>0</v>
      </c>
      <c r="AG33" s="109">
        <v>0.8</v>
      </c>
      <c r="AH33" s="109">
        <v>0</v>
      </c>
      <c r="AI33" s="109">
        <v>0</v>
      </c>
      <c r="AJ33" s="109">
        <v>0</v>
      </c>
      <c r="AK33" s="109">
        <v>0</v>
      </c>
      <c r="AL33" s="109">
        <v>0</v>
      </c>
      <c r="AM33" s="109">
        <v>0</v>
      </c>
    </row>
    <row r="34" spans="1:39" x14ac:dyDescent="0.15">
      <c r="A34" s="191" t="s">
        <v>224</v>
      </c>
      <c r="B34" s="109">
        <v>0</v>
      </c>
      <c r="C34" s="109">
        <v>0.8</v>
      </c>
      <c r="D34" s="109">
        <v>0</v>
      </c>
      <c r="E34" s="109">
        <v>0</v>
      </c>
      <c r="F34" s="109">
        <v>0</v>
      </c>
      <c r="G34" s="109">
        <v>0</v>
      </c>
      <c r="H34" s="109">
        <v>0</v>
      </c>
      <c r="I34" s="109">
        <v>0</v>
      </c>
      <c r="J34" s="109">
        <v>0</v>
      </c>
      <c r="K34" s="109">
        <v>0</v>
      </c>
      <c r="L34" s="109">
        <v>0.8</v>
      </c>
      <c r="M34" s="109">
        <v>0</v>
      </c>
      <c r="N34" s="109">
        <v>0</v>
      </c>
      <c r="O34" s="109">
        <v>0</v>
      </c>
      <c r="P34" s="109">
        <v>0</v>
      </c>
      <c r="Q34" s="109">
        <v>0</v>
      </c>
      <c r="R34" s="109">
        <v>0.8</v>
      </c>
      <c r="S34" s="109">
        <v>0.8</v>
      </c>
      <c r="T34" s="109">
        <v>0</v>
      </c>
      <c r="U34" s="109">
        <v>0</v>
      </c>
      <c r="V34" s="109">
        <v>0.8</v>
      </c>
      <c r="W34" s="109">
        <v>0</v>
      </c>
      <c r="X34" s="109">
        <v>0.8</v>
      </c>
      <c r="Y34" s="109">
        <v>0.8</v>
      </c>
      <c r="Z34" s="109">
        <v>0</v>
      </c>
      <c r="AA34" s="109">
        <v>0</v>
      </c>
      <c r="AB34" s="109">
        <v>0</v>
      </c>
      <c r="AC34" s="109">
        <v>0.8</v>
      </c>
      <c r="AD34" s="109">
        <v>0.8</v>
      </c>
      <c r="AE34" s="109">
        <v>0.8</v>
      </c>
      <c r="AF34" s="109">
        <v>0.8</v>
      </c>
      <c r="AG34" s="109">
        <v>0</v>
      </c>
      <c r="AH34" s="109">
        <v>0.8</v>
      </c>
      <c r="AI34" s="109">
        <v>0</v>
      </c>
      <c r="AJ34" s="109">
        <v>0</v>
      </c>
      <c r="AK34" s="109">
        <v>0</v>
      </c>
      <c r="AL34" s="109">
        <v>0</v>
      </c>
      <c r="AM34" s="109">
        <v>0</v>
      </c>
    </row>
    <row r="35" spans="1:39" x14ac:dyDescent="0.15">
      <c r="A35" s="191" t="s">
        <v>225</v>
      </c>
      <c r="B35" s="109">
        <v>0</v>
      </c>
      <c r="C35" s="109">
        <v>0</v>
      </c>
      <c r="D35" s="109">
        <v>0.8</v>
      </c>
      <c r="E35" s="109">
        <v>0</v>
      </c>
      <c r="F35" s="109">
        <v>0</v>
      </c>
      <c r="G35" s="109">
        <v>0.8</v>
      </c>
      <c r="H35" s="109">
        <v>0</v>
      </c>
      <c r="I35" s="109">
        <v>0</v>
      </c>
      <c r="J35" s="109">
        <v>0</v>
      </c>
      <c r="K35" s="109">
        <v>0</v>
      </c>
      <c r="L35" s="109">
        <v>0</v>
      </c>
      <c r="M35" s="109">
        <v>0.8</v>
      </c>
      <c r="N35" s="109">
        <v>0</v>
      </c>
      <c r="O35" s="109">
        <v>0</v>
      </c>
      <c r="P35" s="109">
        <v>0.8</v>
      </c>
      <c r="Q35" s="109">
        <v>0</v>
      </c>
      <c r="R35" s="109">
        <v>0</v>
      </c>
      <c r="S35" s="109">
        <v>0</v>
      </c>
      <c r="T35" s="109">
        <v>0</v>
      </c>
      <c r="U35" s="109">
        <v>0</v>
      </c>
      <c r="V35" s="109">
        <v>0</v>
      </c>
      <c r="W35" s="109">
        <v>0</v>
      </c>
      <c r="X35" s="109">
        <v>0.8</v>
      </c>
      <c r="Y35" s="109">
        <v>0</v>
      </c>
      <c r="Z35" s="109">
        <v>0</v>
      </c>
      <c r="AA35" s="109">
        <v>0</v>
      </c>
      <c r="AB35" s="109">
        <v>0.8</v>
      </c>
      <c r="AC35" s="109">
        <v>0.8</v>
      </c>
      <c r="AD35" s="109">
        <v>0</v>
      </c>
      <c r="AE35" s="109">
        <v>0</v>
      </c>
      <c r="AF35" s="109">
        <v>0</v>
      </c>
      <c r="AG35" s="109">
        <v>0</v>
      </c>
      <c r="AH35" s="109">
        <v>0</v>
      </c>
      <c r="AI35" s="109">
        <v>0</v>
      </c>
      <c r="AJ35" s="109">
        <v>0</v>
      </c>
      <c r="AK35" s="109">
        <v>0</v>
      </c>
      <c r="AL35" s="109">
        <v>0</v>
      </c>
      <c r="AM35" s="109">
        <v>0</v>
      </c>
    </row>
    <row r="36" spans="1:39" x14ac:dyDescent="0.15">
      <c r="A36" s="191" t="s">
        <v>226</v>
      </c>
      <c r="B36" s="109">
        <v>0</v>
      </c>
      <c r="C36" s="109">
        <v>0</v>
      </c>
      <c r="D36" s="109">
        <v>0</v>
      </c>
      <c r="E36" s="109">
        <v>0</v>
      </c>
      <c r="F36" s="109">
        <v>0</v>
      </c>
      <c r="G36" s="109">
        <v>0</v>
      </c>
      <c r="H36" s="109">
        <v>0</v>
      </c>
      <c r="I36" s="109">
        <v>0</v>
      </c>
      <c r="J36" s="109">
        <v>0</v>
      </c>
      <c r="K36" s="109">
        <v>0</v>
      </c>
      <c r="L36" s="109">
        <v>0</v>
      </c>
      <c r="M36" s="109">
        <v>0.8</v>
      </c>
      <c r="N36" s="109">
        <v>0</v>
      </c>
      <c r="O36" s="109">
        <v>0</v>
      </c>
      <c r="P36" s="109">
        <v>0.8</v>
      </c>
      <c r="Q36" s="109">
        <v>0</v>
      </c>
      <c r="R36" s="109">
        <v>0</v>
      </c>
      <c r="S36" s="109">
        <v>0</v>
      </c>
      <c r="T36" s="109">
        <v>0</v>
      </c>
      <c r="U36" s="109">
        <v>0</v>
      </c>
      <c r="V36" s="109">
        <v>0</v>
      </c>
      <c r="W36" s="109">
        <v>0</v>
      </c>
      <c r="X36" s="109">
        <v>0</v>
      </c>
      <c r="Y36" s="109">
        <v>0</v>
      </c>
      <c r="Z36" s="109">
        <v>0</v>
      </c>
      <c r="AA36" s="109">
        <v>0</v>
      </c>
      <c r="AB36" s="109">
        <v>0</v>
      </c>
      <c r="AC36" s="109">
        <v>0.8</v>
      </c>
      <c r="AD36" s="109">
        <v>0</v>
      </c>
      <c r="AE36" s="109">
        <v>0</v>
      </c>
      <c r="AF36" s="109">
        <v>0</v>
      </c>
      <c r="AG36" s="109">
        <v>0</v>
      </c>
      <c r="AH36" s="109">
        <v>0</v>
      </c>
      <c r="AI36" s="109">
        <v>0</v>
      </c>
      <c r="AJ36" s="109">
        <v>0</v>
      </c>
      <c r="AK36" s="109">
        <v>0</v>
      </c>
      <c r="AL36" s="109">
        <v>0</v>
      </c>
      <c r="AM36" s="109">
        <v>0</v>
      </c>
    </row>
    <row r="37" spans="1:39" x14ac:dyDescent="0.15">
      <c r="A37" s="191" t="s">
        <v>227</v>
      </c>
      <c r="B37" s="109">
        <v>0</v>
      </c>
      <c r="C37" s="109">
        <v>0</v>
      </c>
      <c r="D37" s="109">
        <v>0</v>
      </c>
      <c r="E37" s="109">
        <v>0</v>
      </c>
      <c r="F37" s="109">
        <v>0</v>
      </c>
      <c r="G37" s="109">
        <v>0</v>
      </c>
      <c r="H37" s="109">
        <v>0</v>
      </c>
      <c r="I37" s="109">
        <v>0</v>
      </c>
      <c r="J37" s="109">
        <v>0</v>
      </c>
      <c r="K37" s="109">
        <v>0</v>
      </c>
      <c r="L37" s="109">
        <v>0</v>
      </c>
      <c r="M37" s="109">
        <v>0</v>
      </c>
      <c r="N37" s="109">
        <v>0</v>
      </c>
      <c r="O37" s="109">
        <v>0</v>
      </c>
      <c r="P37" s="109">
        <v>0</v>
      </c>
      <c r="Q37" s="109">
        <v>0</v>
      </c>
      <c r="R37" s="109">
        <v>0</v>
      </c>
      <c r="S37" s="109">
        <v>0</v>
      </c>
      <c r="T37" s="109">
        <v>0</v>
      </c>
      <c r="U37" s="109">
        <v>0</v>
      </c>
      <c r="V37" s="109">
        <v>0</v>
      </c>
      <c r="W37" s="109">
        <v>0</v>
      </c>
      <c r="X37" s="109">
        <v>0</v>
      </c>
      <c r="Y37" s="109">
        <v>0</v>
      </c>
      <c r="Z37" s="109">
        <v>0</v>
      </c>
      <c r="AA37" s="109">
        <v>0.8</v>
      </c>
      <c r="AB37" s="109">
        <v>0</v>
      </c>
      <c r="AC37" s="109">
        <v>0</v>
      </c>
      <c r="AD37" s="109">
        <v>0.8</v>
      </c>
      <c r="AE37" s="109">
        <v>0.8</v>
      </c>
      <c r="AF37" s="109">
        <v>0.8</v>
      </c>
      <c r="AG37" s="109">
        <v>0.8</v>
      </c>
      <c r="AH37" s="109">
        <v>0.8</v>
      </c>
      <c r="AI37" s="109">
        <v>0.8</v>
      </c>
      <c r="AJ37" s="109">
        <v>0.8</v>
      </c>
      <c r="AK37" s="109">
        <v>0</v>
      </c>
      <c r="AL37" s="109">
        <v>0</v>
      </c>
      <c r="AM37" s="109">
        <v>0</v>
      </c>
    </row>
    <row r="38" spans="1:39" x14ac:dyDescent="0.15">
      <c r="A38" s="191" t="s">
        <v>228</v>
      </c>
      <c r="B38" s="109">
        <v>0</v>
      </c>
      <c r="C38" s="109">
        <v>0</v>
      </c>
      <c r="D38" s="109">
        <v>0</v>
      </c>
      <c r="E38" s="109">
        <v>0</v>
      </c>
      <c r="F38" s="109">
        <v>0</v>
      </c>
      <c r="G38" s="109">
        <v>0</v>
      </c>
      <c r="H38" s="109">
        <v>0</v>
      </c>
      <c r="I38" s="109">
        <v>0</v>
      </c>
      <c r="J38" s="109">
        <v>0</v>
      </c>
      <c r="K38" s="109">
        <v>0</v>
      </c>
      <c r="L38" s="109">
        <v>0</v>
      </c>
      <c r="M38" s="109">
        <v>0</v>
      </c>
      <c r="N38" s="109">
        <v>0</v>
      </c>
      <c r="O38" s="109">
        <v>0</v>
      </c>
      <c r="P38" s="109">
        <v>0</v>
      </c>
      <c r="Q38" s="109">
        <v>0</v>
      </c>
      <c r="R38" s="109">
        <v>0</v>
      </c>
      <c r="S38" s="109">
        <v>0</v>
      </c>
      <c r="T38" s="109">
        <v>0</v>
      </c>
      <c r="U38" s="109">
        <v>0</v>
      </c>
      <c r="V38" s="109">
        <v>0</v>
      </c>
      <c r="W38" s="109">
        <v>0</v>
      </c>
      <c r="X38" s="109">
        <v>0</v>
      </c>
      <c r="Y38" s="109">
        <v>0</v>
      </c>
      <c r="Z38" s="109">
        <v>0</v>
      </c>
      <c r="AA38" s="109">
        <v>0</v>
      </c>
      <c r="AB38" s="109">
        <v>0.8</v>
      </c>
      <c r="AC38" s="109">
        <v>0.8</v>
      </c>
      <c r="AD38" s="109">
        <v>0.8</v>
      </c>
      <c r="AE38" s="109">
        <v>0.8</v>
      </c>
      <c r="AF38" s="109">
        <v>0.8</v>
      </c>
      <c r="AG38" s="109">
        <v>0.8</v>
      </c>
      <c r="AH38" s="109">
        <v>0.8</v>
      </c>
      <c r="AI38" s="109">
        <v>0.8</v>
      </c>
      <c r="AJ38" s="109">
        <v>0.8</v>
      </c>
      <c r="AK38" s="109">
        <v>0</v>
      </c>
      <c r="AL38" s="109">
        <v>0</v>
      </c>
      <c r="AM38" s="109">
        <v>0</v>
      </c>
    </row>
    <row r="39" spans="1:39" x14ac:dyDescent="0.15">
      <c r="A39" s="191" t="s">
        <v>229</v>
      </c>
      <c r="B39" s="109">
        <v>0</v>
      </c>
      <c r="C39" s="109">
        <v>0</v>
      </c>
      <c r="D39" s="109">
        <v>0</v>
      </c>
      <c r="E39" s="109">
        <v>0</v>
      </c>
      <c r="F39" s="109">
        <v>0</v>
      </c>
      <c r="G39" s="109">
        <v>0</v>
      </c>
      <c r="H39" s="109">
        <v>0</v>
      </c>
      <c r="I39" s="109">
        <v>0</v>
      </c>
      <c r="J39" s="109">
        <v>0</v>
      </c>
      <c r="K39" s="109">
        <v>0</v>
      </c>
      <c r="L39" s="109">
        <v>0</v>
      </c>
      <c r="M39" s="109">
        <v>0</v>
      </c>
      <c r="N39" s="109">
        <v>0</v>
      </c>
      <c r="O39" s="109">
        <v>0</v>
      </c>
      <c r="P39" s="109">
        <v>0</v>
      </c>
      <c r="Q39" s="109">
        <v>0</v>
      </c>
      <c r="R39" s="109">
        <v>0</v>
      </c>
      <c r="S39" s="109">
        <v>0</v>
      </c>
      <c r="T39" s="109">
        <v>0</v>
      </c>
      <c r="U39" s="109">
        <v>0</v>
      </c>
      <c r="V39" s="109">
        <v>0</v>
      </c>
      <c r="W39" s="109">
        <v>0</v>
      </c>
      <c r="X39" s="109">
        <v>0</v>
      </c>
      <c r="Y39" s="109">
        <v>0</v>
      </c>
      <c r="Z39" s="109">
        <v>0</v>
      </c>
      <c r="AA39" s="109">
        <v>0</v>
      </c>
      <c r="AB39" s="109">
        <v>0</v>
      </c>
      <c r="AC39" s="109">
        <v>0</v>
      </c>
      <c r="AD39" s="109">
        <v>0</v>
      </c>
      <c r="AE39" s="109">
        <v>0</v>
      </c>
      <c r="AF39" s="109">
        <v>0</v>
      </c>
      <c r="AG39" s="109">
        <v>0</v>
      </c>
      <c r="AH39" s="109">
        <v>0</v>
      </c>
      <c r="AI39" s="109">
        <v>0</v>
      </c>
      <c r="AJ39" s="109">
        <v>0</v>
      </c>
      <c r="AK39" s="109">
        <v>0</v>
      </c>
      <c r="AL39" s="109">
        <v>0</v>
      </c>
      <c r="AM39" s="109">
        <v>0</v>
      </c>
    </row>
    <row r="40" spans="1:39" x14ac:dyDescent="0.15">
      <c r="A40" s="191" t="s">
        <v>238</v>
      </c>
      <c r="B40" s="109">
        <v>0</v>
      </c>
      <c r="C40" s="109">
        <v>0</v>
      </c>
      <c r="D40" s="109">
        <v>0</v>
      </c>
      <c r="E40" s="109">
        <v>0</v>
      </c>
      <c r="F40" s="109">
        <v>0</v>
      </c>
      <c r="G40" s="109">
        <v>0</v>
      </c>
      <c r="H40" s="109">
        <v>0</v>
      </c>
      <c r="I40" s="109">
        <v>0</v>
      </c>
      <c r="J40" s="109">
        <v>0</v>
      </c>
      <c r="K40" s="109">
        <v>0</v>
      </c>
      <c r="L40" s="109">
        <v>0</v>
      </c>
      <c r="M40" s="109">
        <v>0</v>
      </c>
      <c r="N40" s="109">
        <v>0</v>
      </c>
      <c r="O40" s="109">
        <v>0</v>
      </c>
      <c r="P40" s="109">
        <v>0</v>
      </c>
      <c r="Q40" s="109">
        <v>0</v>
      </c>
      <c r="R40" s="109">
        <v>0</v>
      </c>
      <c r="S40" s="109">
        <v>0</v>
      </c>
      <c r="T40" s="109">
        <v>0</v>
      </c>
      <c r="U40" s="109">
        <v>0</v>
      </c>
      <c r="V40" s="109">
        <v>0</v>
      </c>
      <c r="W40" s="109">
        <v>0</v>
      </c>
      <c r="X40" s="109">
        <v>0</v>
      </c>
      <c r="Y40" s="109">
        <v>0</v>
      </c>
      <c r="Z40" s="109">
        <v>0</v>
      </c>
      <c r="AA40" s="109">
        <v>0</v>
      </c>
      <c r="AB40" s="109">
        <v>0</v>
      </c>
      <c r="AC40" s="109">
        <v>0</v>
      </c>
      <c r="AD40" s="109">
        <v>0</v>
      </c>
      <c r="AE40" s="109">
        <v>0</v>
      </c>
      <c r="AF40" s="109">
        <v>0</v>
      </c>
      <c r="AG40" s="109">
        <v>0</v>
      </c>
      <c r="AH40" s="109">
        <v>0</v>
      </c>
      <c r="AI40" s="109">
        <v>0</v>
      </c>
      <c r="AJ40" s="109">
        <v>0</v>
      </c>
      <c r="AK40" s="109">
        <v>0</v>
      </c>
      <c r="AL40" s="109">
        <v>0</v>
      </c>
      <c r="AM40" s="10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M40"/>
  <sheetViews>
    <sheetView workbookViewId="0">
      <selection activeCell="A3" sqref="A3"/>
    </sheetView>
  </sheetViews>
  <sheetFormatPr baseColWidth="10" defaultRowHeight="13" x14ac:dyDescent="0.15"/>
  <cols>
    <col min="1" max="1" width="21.6640625" style="109" bestFit="1" customWidth="1"/>
    <col min="2" max="39" width="2.33203125" style="109" customWidth="1"/>
    <col min="40" max="16384" width="10.83203125" style="109"/>
  </cols>
  <sheetData>
    <row r="1" spans="1:39" x14ac:dyDescent="0.15">
      <c r="A1" s="63" t="s">
        <v>139</v>
      </c>
      <c r="B1" s="194" t="s">
        <v>192</v>
      </c>
      <c r="C1" s="194" t="s">
        <v>193</v>
      </c>
      <c r="D1" s="194" t="s">
        <v>194</v>
      </c>
      <c r="E1" s="194" t="s">
        <v>195</v>
      </c>
      <c r="F1" s="194" t="s">
        <v>196</v>
      </c>
      <c r="G1" s="194" t="s">
        <v>197</v>
      </c>
      <c r="H1" s="194" t="s">
        <v>198</v>
      </c>
      <c r="I1" s="194" t="s">
        <v>199</v>
      </c>
      <c r="J1" s="194" t="s">
        <v>200</v>
      </c>
      <c r="K1" s="194" t="s">
        <v>201</v>
      </c>
      <c r="L1" s="194" t="s">
        <v>202</v>
      </c>
      <c r="M1" s="194" t="s">
        <v>203</v>
      </c>
      <c r="N1" s="194" t="s">
        <v>204</v>
      </c>
      <c r="O1" s="194" t="s">
        <v>205</v>
      </c>
      <c r="P1" s="194" t="s">
        <v>206</v>
      </c>
      <c r="Q1" s="194" t="s">
        <v>207</v>
      </c>
      <c r="R1" s="194" t="s">
        <v>208</v>
      </c>
      <c r="S1" s="194" t="s">
        <v>209</v>
      </c>
      <c r="T1" s="194" t="s">
        <v>210</v>
      </c>
      <c r="U1" s="194" t="s">
        <v>211</v>
      </c>
      <c r="V1" s="194" t="s">
        <v>212</v>
      </c>
      <c r="W1" s="194" t="s">
        <v>213</v>
      </c>
      <c r="X1" s="194" t="s">
        <v>214</v>
      </c>
      <c r="Y1" s="194" t="s">
        <v>215</v>
      </c>
      <c r="Z1" s="194" t="s">
        <v>216</v>
      </c>
      <c r="AA1" s="194" t="s">
        <v>217</v>
      </c>
      <c r="AB1" s="194" t="s">
        <v>218</v>
      </c>
      <c r="AC1" s="194" t="s">
        <v>219</v>
      </c>
      <c r="AD1" s="194" t="s">
        <v>220</v>
      </c>
      <c r="AE1" s="194" t="s">
        <v>221</v>
      </c>
      <c r="AF1" s="194" t="s">
        <v>222</v>
      </c>
      <c r="AG1" s="194" t="s">
        <v>223</v>
      </c>
      <c r="AH1" s="194" t="s">
        <v>224</v>
      </c>
      <c r="AI1" s="194" t="s">
        <v>225</v>
      </c>
      <c r="AJ1" s="194" t="s">
        <v>226</v>
      </c>
      <c r="AK1" s="194" t="s">
        <v>227</v>
      </c>
      <c r="AL1" s="194" t="s">
        <v>228</v>
      </c>
      <c r="AM1" s="194" t="s">
        <v>229</v>
      </c>
    </row>
    <row r="2" spans="1:39" customFormat="1" x14ac:dyDescent="0.15">
      <c r="A2" s="193" t="s">
        <v>192</v>
      </c>
      <c r="B2" s="109">
        <v>1</v>
      </c>
      <c r="C2" s="109">
        <v>0</v>
      </c>
      <c r="D2" s="109">
        <v>0</v>
      </c>
      <c r="E2" s="109">
        <v>0</v>
      </c>
      <c r="F2" s="109">
        <v>0</v>
      </c>
      <c r="G2" s="109">
        <v>0</v>
      </c>
      <c r="H2" s="109">
        <v>1</v>
      </c>
      <c r="I2" s="109">
        <v>0</v>
      </c>
      <c r="J2" s="109">
        <v>0</v>
      </c>
      <c r="K2" s="109">
        <v>0</v>
      </c>
      <c r="L2" s="109">
        <v>0</v>
      </c>
      <c r="M2" s="109">
        <v>0</v>
      </c>
      <c r="N2" s="109">
        <v>0</v>
      </c>
      <c r="O2" s="109">
        <v>0</v>
      </c>
      <c r="P2" s="109">
        <v>0</v>
      </c>
      <c r="Q2" s="109">
        <v>0</v>
      </c>
      <c r="R2" s="109">
        <v>0</v>
      </c>
      <c r="S2" s="109">
        <v>0</v>
      </c>
      <c r="T2" s="109">
        <v>0</v>
      </c>
      <c r="U2" s="109">
        <v>0</v>
      </c>
      <c r="V2" s="109">
        <v>0</v>
      </c>
      <c r="W2" s="109">
        <v>0</v>
      </c>
      <c r="X2" s="109">
        <v>0</v>
      </c>
      <c r="Y2" s="109">
        <v>0</v>
      </c>
      <c r="Z2" s="109">
        <v>0</v>
      </c>
      <c r="AA2" s="109">
        <v>0</v>
      </c>
      <c r="AB2" s="109">
        <v>0</v>
      </c>
      <c r="AC2" s="109">
        <v>0</v>
      </c>
      <c r="AD2" s="109">
        <v>0</v>
      </c>
      <c r="AE2" s="109">
        <v>0</v>
      </c>
      <c r="AF2" s="109">
        <v>0</v>
      </c>
      <c r="AG2" s="109">
        <v>0</v>
      </c>
      <c r="AH2" s="109">
        <v>0</v>
      </c>
      <c r="AI2" s="109">
        <v>0</v>
      </c>
      <c r="AJ2" s="109">
        <v>0</v>
      </c>
      <c r="AK2" s="109">
        <v>0</v>
      </c>
      <c r="AL2" s="109">
        <v>0</v>
      </c>
      <c r="AM2" s="109">
        <v>0</v>
      </c>
    </row>
    <row r="3" spans="1:39" customFormat="1" x14ac:dyDescent="0.15">
      <c r="A3" s="193" t="s">
        <v>193</v>
      </c>
      <c r="B3" s="109">
        <v>0</v>
      </c>
      <c r="C3" s="109">
        <v>0</v>
      </c>
      <c r="D3" s="109">
        <v>0</v>
      </c>
      <c r="E3" s="109">
        <v>0</v>
      </c>
      <c r="F3" s="109">
        <v>0</v>
      </c>
      <c r="G3" s="109">
        <v>0</v>
      </c>
      <c r="H3" s="109">
        <v>1</v>
      </c>
      <c r="I3" s="109">
        <v>0</v>
      </c>
      <c r="J3" s="109">
        <v>0</v>
      </c>
      <c r="K3" s="109">
        <v>0</v>
      </c>
      <c r="L3" s="109">
        <v>0</v>
      </c>
      <c r="M3" s="109">
        <v>0</v>
      </c>
      <c r="N3" s="109">
        <v>0</v>
      </c>
      <c r="O3" s="109">
        <v>0</v>
      </c>
      <c r="P3" s="109">
        <v>0</v>
      </c>
      <c r="Q3" s="109">
        <v>0</v>
      </c>
      <c r="R3" s="109">
        <v>0</v>
      </c>
      <c r="S3" s="109">
        <v>0</v>
      </c>
      <c r="T3" s="109">
        <v>0</v>
      </c>
      <c r="U3" s="109">
        <v>0</v>
      </c>
      <c r="V3" s="109">
        <v>0</v>
      </c>
      <c r="W3" s="109">
        <v>0</v>
      </c>
      <c r="X3" s="109">
        <v>0</v>
      </c>
      <c r="Y3" s="109">
        <v>0</v>
      </c>
      <c r="Z3" s="109">
        <v>0</v>
      </c>
      <c r="AA3" s="109">
        <v>0</v>
      </c>
      <c r="AB3" s="109">
        <v>0</v>
      </c>
      <c r="AC3" s="109">
        <v>0</v>
      </c>
      <c r="AD3" s="109">
        <v>0</v>
      </c>
      <c r="AE3" s="109">
        <v>0</v>
      </c>
      <c r="AF3" s="109">
        <v>0</v>
      </c>
      <c r="AG3" s="109">
        <v>0</v>
      </c>
      <c r="AH3" s="109">
        <v>0</v>
      </c>
      <c r="AI3" s="109">
        <v>0</v>
      </c>
      <c r="AJ3" s="109">
        <v>0</v>
      </c>
      <c r="AK3" s="109">
        <v>0</v>
      </c>
      <c r="AL3" s="109">
        <v>0</v>
      </c>
      <c r="AM3" s="109">
        <v>0</v>
      </c>
    </row>
    <row r="4" spans="1:39" customFormat="1" x14ac:dyDescent="0.15">
      <c r="A4" s="193" t="s">
        <v>194</v>
      </c>
      <c r="B4" s="109">
        <v>1</v>
      </c>
      <c r="C4" s="109">
        <v>1</v>
      </c>
      <c r="D4" s="109">
        <v>0</v>
      </c>
      <c r="E4" s="109">
        <v>0</v>
      </c>
      <c r="F4" s="109">
        <v>0</v>
      </c>
      <c r="G4" s="109">
        <v>0</v>
      </c>
      <c r="H4" s="109">
        <v>1</v>
      </c>
      <c r="I4" s="109">
        <v>0</v>
      </c>
      <c r="J4" s="109">
        <v>0</v>
      </c>
      <c r="K4" s="109">
        <v>0</v>
      </c>
      <c r="L4" s="109">
        <v>0</v>
      </c>
      <c r="M4" s="109">
        <v>0</v>
      </c>
      <c r="N4" s="109">
        <v>0</v>
      </c>
      <c r="O4" s="109">
        <v>0</v>
      </c>
      <c r="P4" s="109">
        <v>0</v>
      </c>
      <c r="Q4" s="109">
        <v>0</v>
      </c>
      <c r="R4" s="109">
        <v>0</v>
      </c>
      <c r="S4" s="109">
        <v>0</v>
      </c>
      <c r="T4" s="109">
        <v>0</v>
      </c>
      <c r="U4" s="109">
        <v>0</v>
      </c>
      <c r="V4" s="109">
        <v>0</v>
      </c>
      <c r="W4" s="109">
        <v>0</v>
      </c>
      <c r="X4" s="109">
        <v>0</v>
      </c>
      <c r="Y4" s="109">
        <v>0</v>
      </c>
      <c r="Z4" s="109">
        <v>0</v>
      </c>
      <c r="AA4" s="109">
        <v>0</v>
      </c>
      <c r="AB4" s="109">
        <v>0</v>
      </c>
      <c r="AC4" s="109">
        <v>0</v>
      </c>
      <c r="AD4" s="109">
        <v>0</v>
      </c>
      <c r="AE4" s="109">
        <v>0</v>
      </c>
      <c r="AF4" s="109">
        <v>0</v>
      </c>
      <c r="AG4" s="109">
        <v>0</v>
      </c>
      <c r="AH4" s="109">
        <v>0</v>
      </c>
      <c r="AI4" s="109">
        <v>0</v>
      </c>
      <c r="AJ4" s="109">
        <v>0</v>
      </c>
      <c r="AK4" s="109">
        <v>0</v>
      </c>
      <c r="AL4" s="109">
        <v>0</v>
      </c>
      <c r="AM4" s="109">
        <v>0</v>
      </c>
    </row>
    <row r="5" spans="1:39" customFormat="1" x14ac:dyDescent="0.15">
      <c r="A5" s="193" t="s">
        <v>195</v>
      </c>
      <c r="B5" s="109">
        <v>1</v>
      </c>
      <c r="C5" s="109">
        <v>0</v>
      </c>
      <c r="D5" s="109">
        <v>1</v>
      </c>
      <c r="E5" s="109">
        <v>0</v>
      </c>
      <c r="F5" s="109">
        <v>1</v>
      </c>
      <c r="G5" s="109">
        <v>0</v>
      </c>
      <c r="H5" s="109">
        <v>1</v>
      </c>
      <c r="I5" s="109">
        <v>1</v>
      </c>
      <c r="J5" s="109">
        <v>1</v>
      </c>
      <c r="K5" s="109">
        <v>1</v>
      </c>
      <c r="L5" s="109">
        <v>1</v>
      </c>
      <c r="M5" s="109">
        <v>0</v>
      </c>
      <c r="N5" s="109">
        <v>1</v>
      </c>
      <c r="O5" s="109">
        <v>0</v>
      </c>
      <c r="P5" s="109">
        <v>0</v>
      </c>
      <c r="Q5" s="109">
        <v>0</v>
      </c>
      <c r="R5" s="109">
        <v>0</v>
      </c>
      <c r="S5" s="109">
        <v>0</v>
      </c>
      <c r="T5" s="109">
        <v>0</v>
      </c>
      <c r="U5" s="109">
        <v>0</v>
      </c>
      <c r="V5" s="109">
        <v>0</v>
      </c>
      <c r="W5" s="109">
        <v>0</v>
      </c>
      <c r="X5" s="109">
        <v>0</v>
      </c>
      <c r="Y5" s="109">
        <v>1</v>
      </c>
      <c r="Z5" s="109">
        <v>0</v>
      </c>
      <c r="AA5" s="109">
        <v>0</v>
      </c>
      <c r="AB5" s="109">
        <v>0</v>
      </c>
      <c r="AC5" s="109">
        <v>0</v>
      </c>
      <c r="AD5" s="109">
        <v>0</v>
      </c>
      <c r="AE5" s="109">
        <v>0</v>
      </c>
      <c r="AF5" s="109">
        <v>0</v>
      </c>
      <c r="AG5" s="109">
        <v>0</v>
      </c>
      <c r="AH5" s="109">
        <v>0</v>
      </c>
      <c r="AI5" s="109">
        <v>0</v>
      </c>
      <c r="AJ5" s="109">
        <v>0</v>
      </c>
      <c r="AK5" s="109">
        <v>0</v>
      </c>
      <c r="AL5" s="109">
        <v>0</v>
      </c>
      <c r="AM5" s="109">
        <v>0</v>
      </c>
    </row>
    <row r="6" spans="1:39" customFormat="1" x14ac:dyDescent="0.15">
      <c r="A6" s="193" t="s">
        <v>196</v>
      </c>
      <c r="B6" s="109">
        <v>1</v>
      </c>
      <c r="C6" s="109">
        <v>1</v>
      </c>
      <c r="D6" s="109">
        <v>1</v>
      </c>
      <c r="E6" s="109">
        <v>1</v>
      </c>
      <c r="F6" s="109">
        <v>1</v>
      </c>
      <c r="G6" s="109">
        <v>1</v>
      </c>
      <c r="H6" s="109">
        <v>1</v>
      </c>
      <c r="I6" s="109">
        <v>0</v>
      </c>
      <c r="J6" s="109">
        <v>0</v>
      </c>
      <c r="K6" s="109">
        <v>0</v>
      </c>
      <c r="L6" s="109">
        <v>0</v>
      </c>
      <c r="M6" s="109">
        <v>0</v>
      </c>
      <c r="N6" s="109">
        <v>1</v>
      </c>
      <c r="O6" s="109">
        <v>0</v>
      </c>
      <c r="P6" s="109">
        <v>0</v>
      </c>
      <c r="Q6" s="109">
        <v>1</v>
      </c>
      <c r="R6" s="109">
        <v>1</v>
      </c>
      <c r="S6" s="109">
        <v>0</v>
      </c>
      <c r="T6" s="109">
        <v>0</v>
      </c>
      <c r="U6" s="109">
        <v>0</v>
      </c>
      <c r="V6" s="109">
        <v>0</v>
      </c>
      <c r="W6" s="109">
        <v>0</v>
      </c>
      <c r="X6" s="109">
        <v>0</v>
      </c>
      <c r="Y6" s="109">
        <v>0</v>
      </c>
      <c r="Z6" s="109">
        <v>0</v>
      </c>
      <c r="AA6" s="109">
        <v>0</v>
      </c>
      <c r="AB6" s="109">
        <v>0</v>
      </c>
      <c r="AC6" s="109">
        <v>0</v>
      </c>
      <c r="AD6" s="109">
        <v>0</v>
      </c>
      <c r="AE6" s="109">
        <v>0</v>
      </c>
      <c r="AF6" s="109">
        <v>0</v>
      </c>
      <c r="AG6" s="109">
        <v>0</v>
      </c>
      <c r="AH6" s="109">
        <v>0</v>
      </c>
      <c r="AI6" s="109">
        <v>0</v>
      </c>
      <c r="AJ6" s="109">
        <v>0</v>
      </c>
      <c r="AK6" s="109">
        <v>0</v>
      </c>
      <c r="AL6" s="109">
        <v>0</v>
      </c>
      <c r="AM6" s="109">
        <v>0</v>
      </c>
    </row>
    <row r="7" spans="1:39" customFormat="1" x14ac:dyDescent="0.15">
      <c r="A7" s="193" t="s">
        <v>197</v>
      </c>
      <c r="B7" s="109">
        <v>1</v>
      </c>
      <c r="C7" s="109">
        <v>1</v>
      </c>
      <c r="D7" s="109">
        <v>1</v>
      </c>
      <c r="E7" s="109">
        <v>1</v>
      </c>
      <c r="F7" s="109">
        <v>1</v>
      </c>
      <c r="G7" s="109">
        <v>1</v>
      </c>
      <c r="H7" s="109">
        <v>1</v>
      </c>
      <c r="I7" s="109">
        <v>0</v>
      </c>
      <c r="J7" s="109">
        <v>0</v>
      </c>
      <c r="K7" s="109">
        <v>0</v>
      </c>
      <c r="L7" s="109">
        <v>0</v>
      </c>
      <c r="M7" s="109">
        <v>1</v>
      </c>
      <c r="N7" s="109">
        <v>1</v>
      </c>
      <c r="O7" s="109">
        <v>1</v>
      </c>
      <c r="P7" s="109">
        <v>0</v>
      </c>
      <c r="Q7" s="109">
        <v>0</v>
      </c>
      <c r="R7" s="109">
        <v>1</v>
      </c>
      <c r="S7" s="109">
        <v>0</v>
      </c>
      <c r="T7" s="109">
        <v>0</v>
      </c>
      <c r="U7" s="109">
        <v>0</v>
      </c>
      <c r="V7" s="109">
        <v>0</v>
      </c>
      <c r="W7" s="109">
        <v>1</v>
      </c>
      <c r="X7" s="109">
        <v>0</v>
      </c>
      <c r="Y7" s="109">
        <v>0</v>
      </c>
      <c r="Z7" s="109">
        <v>0</v>
      </c>
      <c r="AA7" s="109">
        <v>0</v>
      </c>
      <c r="AB7" s="109">
        <v>0</v>
      </c>
      <c r="AC7" s="109">
        <v>0</v>
      </c>
      <c r="AD7" s="109">
        <v>0</v>
      </c>
      <c r="AE7" s="109">
        <v>0</v>
      </c>
      <c r="AF7" s="109">
        <v>0</v>
      </c>
      <c r="AG7" s="109">
        <v>0</v>
      </c>
      <c r="AH7" s="109">
        <v>0</v>
      </c>
      <c r="AI7" s="109">
        <v>0</v>
      </c>
      <c r="AJ7" s="109">
        <v>0</v>
      </c>
      <c r="AK7" s="109">
        <v>0</v>
      </c>
      <c r="AL7" s="109">
        <v>0</v>
      </c>
      <c r="AM7" s="109">
        <v>0</v>
      </c>
    </row>
    <row r="8" spans="1:39" customFormat="1" x14ac:dyDescent="0.15">
      <c r="A8" s="193" t="s">
        <v>198</v>
      </c>
      <c r="B8" s="109">
        <v>0</v>
      </c>
      <c r="C8" s="109">
        <v>1</v>
      </c>
      <c r="D8" s="109">
        <v>0</v>
      </c>
      <c r="E8" s="109">
        <v>1</v>
      </c>
      <c r="F8" s="109">
        <v>0</v>
      </c>
      <c r="G8" s="109">
        <v>0</v>
      </c>
      <c r="H8" s="109">
        <v>1</v>
      </c>
      <c r="I8" s="109">
        <v>0</v>
      </c>
      <c r="J8" s="109">
        <v>0</v>
      </c>
      <c r="K8" s="109">
        <v>0</v>
      </c>
      <c r="L8" s="109">
        <v>0</v>
      </c>
      <c r="M8" s="109">
        <v>0</v>
      </c>
      <c r="N8" s="109">
        <v>0</v>
      </c>
      <c r="O8" s="109">
        <v>0</v>
      </c>
      <c r="P8" s="109">
        <v>0</v>
      </c>
      <c r="Q8" s="109">
        <v>0</v>
      </c>
      <c r="R8" s="109">
        <v>0</v>
      </c>
      <c r="S8" s="109">
        <v>0</v>
      </c>
      <c r="T8" s="109">
        <v>0</v>
      </c>
      <c r="U8" s="109">
        <v>0</v>
      </c>
      <c r="V8" s="109">
        <v>0</v>
      </c>
      <c r="W8" s="109">
        <v>0</v>
      </c>
      <c r="X8" s="109">
        <v>0</v>
      </c>
      <c r="Y8" s="109">
        <v>0</v>
      </c>
      <c r="Z8" s="109">
        <v>0</v>
      </c>
      <c r="AA8" s="109">
        <v>0</v>
      </c>
      <c r="AB8" s="109">
        <v>0</v>
      </c>
      <c r="AC8" s="109">
        <v>0</v>
      </c>
      <c r="AD8" s="109">
        <v>0</v>
      </c>
      <c r="AE8" s="109">
        <v>0</v>
      </c>
      <c r="AF8" s="109">
        <v>0</v>
      </c>
      <c r="AG8" s="109">
        <v>0</v>
      </c>
      <c r="AH8" s="109">
        <v>0</v>
      </c>
      <c r="AI8" s="109">
        <v>0</v>
      </c>
      <c r="AJ8" s="109">
        <v>0</v>
      </c>
      <c r="AK8" s="109">
        <v>0</v>
      </c>
      <c r="AL8" s="109">
        <v>0</v>
      </c>
      <c r="AM8" s="109">
        <v>0</v>
      </c>
    </row>
    <row r="9" spans="1:39" customFormat="1" x14ac:dyDescent="0.15">
      <c r="A9" s="193" t="s">
        <v>199</v>
      </c>
      <c r="B9" s="109">
        <v>1</v>
      </c>
      <c r="C9" s="109">
        <v>0</v>
      </c>
      <c r="D9" s="109">
        <v>0</v>
      </c>
      <c r="E9" s="109">
        <v>0</v>
      </c>
      <c r="F9" s="109">
        <v>0</v>
      </c>
      <c r="G9" s="109">
        <v>1</v>
      </c>
      <c r="H9" s="109">
        <v>1</v>
      </c>
      <c r="I9" s="109">
        <v>0</v>
      </c>
      <c r="J9" s="109">
        <v>0</v>
      </c>
      <c r="K9" s="109">
        <v>0</v>
      </c>
      <c r="L9" s="109">
        <v>0</v>
      </c>
      <c r="M9" s="109">
        <v>0</v>
      </c>
      <c r="N9" s="109">
        <v>0</v>
      </c>
      <c r="O9" s="109">
        <v>0</v>
      </c>
      <c r="P9" s="109">
        <v>0</v>
      </c>
      <c r="Q9" s="109">
        <v>0</v>
      </c>
      <c r="R9" s="109">
        <v>0</v>
      </c>
      <c r="S9" s="109">
        <v>0</v>
      </c>
      <c r="T9" s="109">
        <v>0</v>
      </c>
      <c r="U9" s="109">
        <v>0</v>
      </c>
      <c r="V9" s="109">
        <v>0</v>
      </c>
      <c r="W9" s="109">
        <v>0</v>
      </c>
      <c r="X9" s="109">
        <v>0</v>
      </c>
      <c r="Y9" s="109">
        <v>0</v>
      </c>
      <c r="Z9" s="109">
        <v>0</v>
      </c>
      <c r="AA9" s="109">
        <v>0</v>
      </c>
      <c r="AB9" s="109">
        <v>0</v>
      </c>
      <c r="AC9" s="109">
        <v>0</v>
      </c>
      <c r="AD9" s="109">
        <v>0</v>
      </c>
      <c r="AE9" s="109">
        <v>0</v>
      </c>
      <c r="AF9" s="109">
        <v>0</v>
      </c>
      <c r="AG9" s="109">
        <v>0</v>
      </c>
      <c r="AH9" s="109">
        <v>0</v>
      </c>
      <c r="AI9" s="109">
        <v>0</v>
      </c>
      <c r="AJ9" s="109">
        <v>0</v>
      </c>
      <c r="AK9" s="109">
        <v>0</v>
      </c>
      <c r="AL9" s="109">
        <v>0</v>
      </c>
      <c r="AM9" s="109">
        <v>0</v>
      </c>
    </row>
    <row r="10" spans="1:39" customFormat="1" x14ac:dyDescent="0.15">
      <c r="A10" s="193" t="s">
        <v>200</v>
      </c>
      <c r="B10" s="109">
        <v>1</v>
      </c>
      <c r="C10" s="109">
        <v>1</v>
      </c>
      <c r="D10" s="109">
        <v>1</v>
      </c>
      <c r="E10" s="109">
        <v>1</v>
      </c>
      <c r="F10" s="109">
        <v>1</v>
      </c>
      <c r="G10" s="109">
        <v>1</v>
      </c>
      <c r="H10" s="109">
        <v>1</v>
      </c>
      <c r="I10" s="109">
        <v>0</v>
      </c>
      <c r="J10" s="109">
        <v>1</v>
      </c>
      <c r="K10" s="109">
        <v>1</v>
      </c>
      <c r="L10" s="109">
        <v>0</v>
      </c>
      <c r="M10" s="109">
        <v>0</v>
      </c>
      <c r="N10" s="109">
        <v>1</v>
      </c>
      <c r="O10" s="109">
        <v>0</v>
      </c>
      <c r="P10" s="109">
        <v>0</v>
      </c>
      <c r="Q10" s="109">
        <v>1</v>
      </c>
      <c r="R10" s="109">
        <v>1</v>
      </c>
      <c r="S10" s="109">
        <v>0</v>
      </c>
      <c r="T10" s="109">
        <v>0</v>
      </c>
      <c r="U10" s="109">
        <v>0</v>
      </c>
      <c r="V10" s="109">
        <v>0</v>
      </c>
      <c r="W10" s="109">
        <v>0</v>
      </c>
      <c r="X10" s="109">
        <v>0</v>
      </c>
      <c r="Y10" s="109">
        <v>0</v>
      </c>
      <c r="Z10" s="109">
        <v>0</v>
      </c>
      <c r="AA10" s="109">
        <v>0</v>
      </c>
      <c r="AB10" s="109">
        <v>0</v>
      </c>
      <c r="AC10" s="109">
        <v>0</v>
      </c>
      <c r="AD10" s="109">
        <v>0</v>
      </c>
      <c r="AE10" s="109">
        <v>0</v>
      </c>
      <c r="AF10" s="109">
        <v>0</v>
      </c>
      <c r="AG10" s="109">
        <v>0</v>
      </c>
      <c r="AH10" s="109">
        <v>0</v>
      </c>
      <c r="AI10" s="109">
        <v>0</v>
      </c>
      <c r="AJ10" s="109">
        <v>0</v>
      </c>
      <c r="AK10" s="109">
        <v>0</v>
      </c>
      <c r="AL10" s="109">
        <v>0</v>
      </c>
      <c r="AM10" s="109">
        <v>0</v>
      </c>
    </row>
    <row r="11" spans="1:39" customFormat="1" x14ac:dyDescent="0.15">
      <c r="A11" s="193" t="s">
        <v>201</v>
      </c>
      <c r="B11" s="109">
        <v>0</v>
      </c>
      <c r="C11" s="109">
        <v>1</v>
      </c>
      <c r="D11" s="109">
        <v>0</v>
      </c>
      <c r="E11" s="109">
        <v>0</v>
      </c>
      <c r="F11" s="109">
        <v>1</v>
      </c>
      <c r="G11" s="109">
        <v>0</v>
      </c>
      <c r="H11" s="109">
        <v>1</v>
      </c>
      <c r="I11" s="109">
        <v>0</v>
      </c>
      <c r="J11" s="109">
        <v>1</v>
      </c>
      <c r="K11" s="109">
        <v>0</v>
      </c>
      <c r="L11" s="109">
        <v>0</v>
      </c>
      <c r="M11" s="109">
        <v>0</v>
      </c>
      <c r="N11" s="109">
        <v>0</v>
      </c>
      <c r="O11" s="109">
        <v>0</v>
      </c>
      <c r="P11" s="109">
        <v>0</v>
      </c>
      <c r="Q11" s="109">
        <v>1</v>
      </c>
      <c r="R11" s="109">
        <v>0</v>
      </c>
      <c r="S11" s="109">
        <v>0</v>
      </c>
      <c r="T11" s="109">
        <v>0</v>
      </c>
      <c r="U11" s="109">
        <v>0</v>
      </c>
      <c r="V11" s="109">
        <v>0</v>
      </c>
      <c r="W11" s="109">
        <v>0</v>
      </c>
      <c r="X11" s="109">
        <v>0</v>
      </c>
      <c r="Y11" s="109">
        <v>0</v>
      </c>
      <c r="Z11" s="109">
        <v>0</v>
      </c>
      <c r="AA11" s="109">
        <v>0</v>
      </c>
      <c r="AB11" s="109">
        <v>0</v>
      </c>
      <c r="AC11" s="109">
        <v>0</v>
      </c>
      <c r="AD11" s="109">
        <v>0</v>
      </c>
      <c r="AE11" s="109">
        <v>0</v>
      </c>
      <c r="AF11" s="109">
        <v>0</v>
      </c>
      <c r="AG11" s="109">
        <v>0</v>
      </c>
      <c r="AH11" s="109">
        <v>0</v>
      </c>
      <c r="AI11" s="109">
        <v>0</v>
      </c>
      <c r="AJ11" s="109">
        <v>0</v>
      </c>
      <c r="AK11" s="109">
        <v>0</v>
      </c>
      <c r="AL11" s="109">
        <v>0</v>
      </c>
      <c r="AM11" s="109">
        <v>0</v>
      </c>
    </row>
    <row r="12" spans="1:39" customFormat="1" x14ac:dyDescent="0.15">
      <c r="A12" s="193" t="s">
        <v>202</v>
      </c>
      <c r="B12" s="109">
        <v>0</v>
      </c>
      <c r="C12" s="109">
        <v>1</v>
      </c>
      <c r="D12" s="109">
        <v>1</v>
      </c>
      <c r="E12" s="109">
        <v>0</v>
      </c>
      <c r="F12" s="109">
        <v>1</v>
      </c>
      <c r="G12" s="109">
        <v>1</v>
      </c>
      <c r="H12" s="109">
        <v>0</v>
      </c>
      <c r="I12" s="109">
        <v>1</v>
      </c>
      <c r="J12" s="109">
        <v>1</v>
      </c>
      <c r="K12" s="109">
        <v>1</v>
      </c>
      <c r="L12" s="109">
        <v>1</v>
      </c>
      <c r="M12" s="109">
        <v>0</v>
      </c>
      <c r="N12" s="109">
        <v>1</v>
      </c>
      <c r="O12" s="109">
        <v>1</v>
      </c>
      <c r="P12" s="109">
        <v>0</v>
      </c>
      <c r="Q12" s="109">
        <v>0</v>
      </c>
      <c r="R12" s="109">
        <v>1</v>
      </c>
      <c r="S12" s="109">
        <v>0</v>
      </c>
      <c r="T12" s="109">
        <v>0</v>
      </c>
      <c r="U12" s="109">
        <v>0</v>
      </c>
      <c r="V12" s="109">
        <v>0</v>
      </c>
      <c r="W12" s="109">
        <v>0</v>
      </c>
      <c r="X12" s="109">
        <v>1</v>
      </c>
      <c r="Y12" s="109">
        <v>0</v>
      </c>
      <c r="Z12" s="109">
        <v>0</v>
      </c>
      <c r="AA12" s="109">
        <v>0</v>
      </c>
      <c r="AB12" s="109">
        <v>0</v>
      </c>
      <c r="AC12" s="109">
        <v>0</v>
      </c>
      <c r="AD12" s="109">
        <v>0</v>
      </c>
      <c r="AE12" s="109">
        <v>0</v>
      </c>
      <c r="AF12" s="109">
        <v>0</v>
      </c>
      <c r="AG12" s="109">
        <v>0</v>
      </c>
      <c r="AH12" s="109">
        <v>0</v>
      </c>
      <c r="AI12" s="109">
        <v>0</v>
      </c>
      <c r="AJ12" s="109">
        <v>0</v>
      </c>
      <c r="AK12" s="109">
        <v>0</v>
      </c>
      <c r="AL12" s="109">
        <v>0</v>
      </c>
      <c r="AM12" s="109">
        <v>0</v>
      </c>
    </row>
    <row r="13" spans="1:39" customFormat="1" x14ac:dyDescent="0.15">
      <c r="A13" s="193" t="s">
        <v>203</v>
      </c>
      <c r="B13" s="109">
        <v>1</v>
      </c>
      <c r="C13" s="109">
        <v>0</v>
      </c>
      <c r="D13" s="109">
        <v>1</v>
      </c>
      <c r="E13" s="109">
        <v>1</v>
      </c>
      <c r="F13" s="109">
        <v>0</v>
      </c>
      <c r="G13" s="109">
        <v>1</v>
      </c>
      <c r="H13" s="109">
        <v>1</v>
      </c>
      <c r="I13" s="109">
        <v>1</v>
      </c>
      <c r="J13" s="109">
        <v>0</v>
      </c>
      <c r="K13" s="109">
        <v>0</v>
      </c>
      <c r="L13" s="109">
        <v>0</v>
      </c>
      <c r="M13" s="109">
        <v>1</v>
      </c>
      <c r="N13" s="109">
        <v>0</v>
      </c>
      <c r="O13" s="109">
        <v>0</v>
      </c>
      <c r="P13" s="109">
        <v>1</v>
      </c>
      <c r="Q13" s="109">
        <v>0</v>
      </c>
      <c r="R13" s="109">
        <v>0</v>
      </c>
      <c r="S13" s="109">
        <v>0</v>
      </c>
      <c r="T13" s="109">
        <v>0</v>
      </c>
      <c r="U13" s="109">
        <v>0</v>
      </c>
      <c r="V13" s="109">
        <v>0</v>
      </c>
      <c r="W13" s="109">
        <v>0</v>
      </c>
      <c r="X13" s="109">
        <v>1</v>
      </c>
      <c r="Y13" s="109">
        <v>0</v>
      </c>
      <c r="Z13" s="109">
        <v>0</v>
      </c>
      <c r="AA13" s="109">
        <v>0</v>
      </c>
      <c r="AB13" s="109">
        <v>0</v>
      </c>
      <c r="AC13" s="109">
        <v>0</v>
      </c>
      <c r="AD13" s="109">
        <v>0</v>
      </c>
      <c r="AE13" s="109">
        <v>0</v>
      </c>
      <c r="AF13" s="109">
        <v>0</v>
      </c>
      <c r="AG13" s="109">
        <v>0</v>
      </c>
      <c r="AH13" s="109">
        <v>0</v>
      </c>
      <c r="AI13" s="109">
        <v>0</v>
      </c>
      <c r="AJ13" s="109">
        <v>0</v>
      </c>
      <c r="AK13" s="109">
        <v>0</v>
      </c>
      <c r="AL13" s="109">
        <v>0</v>
      </c>
      <c r="AM13" s="109">
        <v>0</v>
      </c>
    </row>
    <row r="14" spans="1:39" customFormat="1" x14ac:dyDescent="0.15">
      <c r="A14" s="193" t="s">
        <v>204</v>
      </c>
      <c r="B14" s="109">
        <v>0</v>
      </c>
      <c r="C14" s="109">
        <v>0</v>
      </c>
      <c r="D14" s="109">
        <v>1</v>
      </c>
      <c r="E14" s="109">
        <v>0</v>
      </c>
      <c r="F14" s="109">
        <v>0</v>
      </c>
      <c r="G14" s="109">
        <v>1</v>
      </c>
      <c r="H14" s="109">
        <v>1</v>
      </c>
      <c r="I14" s="109">
        <v>1</v>
      </c>
      <c r="J14" s="109">
        <v>1</v>
      </c>
      <c r="K14" s="109">
        <v>0</v>
      </c>
      <c r="L14" s="109">
        <v>1</v>
      </c>
      <c r="M14" s="109">
        <v>0</v>
      </c>
      <c r="N14" s="109">
        <v>0</v>
      </c>
      <c r="O14" s="109">
        <v>1</v>
      </c>
      <c r="P14" s="109">
        <v>0</v>
      </c>
      <c r="Q14" s="109">
        <v>0</v>
      </c>
      <c r="R14" s="109">
        <v>0</v>
      </c>
      <c r="S14" s="109">
        <v>0</v>
      </c>
      <c r="T14" s="109">
        <v>0</v>
      </c>
      <c r="U14" s="109">
        <v>0</v>
      </c>
      <c r="V14" s="109">
        <v>0</v>
      </c>
      <c r="W14" s="109">
        <v>0</v>
      </c>
      <c r="X14" s="109">
        <v>1</v>
      </c>
      <c r="Y14" s="109">
        <v>0</v>
      </c>
      <c r="Z14" s="109">
        <v>0</v>
      </c>
      <c r="AA14" s="109">
        <v>0</v>
      </c>
      <c r="AB14" s="109">
        <v>0</v>
      </c>
      <c r="AC14" s="109">
        <v>0</v>
      </c>
      <c r="AD14" s="109">
        <v>0</v>
      </c>
      <c r="AE14" s="109">
        <v>0</v>
      </c>
      <c r="AF14" s="109">
        <v>0</v>
      </c>
      <c r="AG14" s="109">
        <v>0</v>
      </c>
      <c r="AH14" s="109">
        <v>0</v>
      </c>
      <c r="AI14" s="109">
        <v>0</v>
      </c>
      <c r="AJ14" s="109">
        <v>0</v>
      </c>
      <c r="AK14" s="109">
        <v>0</v>
      </c>
      <c r="AL14" s="109">
        <v>0</v>
      </c>
      <c r="AM14" s="109">
        <v>0</v>
      </c>
    </row>
    <row r="15" spans="1:39" customFormat="1" x14ac:dyDescent="0.15">
      <c r="A15" s="193" t="s">
        <v>205</v>
      </c>
      <c r="B15" s="109">
        <v>1</v>
      </c>
      <c r="C15" s="109">
        <v>1</v>
      </c>
      <c r="D15" s="109">
        <v>1</v>
      </c>
      <c r="E15" s="109">
        <v>1</v>
      </c>
      <c r="F15" s="109">
        <v>1</v>
      </c>
      <c r="G15" s="109">
        <v>0</v>
      </c>
      <c r="H15" s="109">
        <v>1</v>
      </c>
      <c r="I15" s="109">
        <v>0</v>
      </c>
      <c r="J15" s="109">
        <v>1</v>
      </c>
      <c r="K15" s="109">
        <v>1</v>
      </c>
      <c r="L15" s="109">
        <v>1</v>
      </c>
      <c r="M15" s="109">
        <v>0</v>
      </c>
      <c r="N15" s="109">
        <v>1</v>
      </c>
      <c r="O15" s="109">
        <v>1</v>
      </c>
      <c r="P15" s="109">
        <v>0</v>
      </c>
      <c r="Q15" s="109">
        <v>1</v>
      </c>
      <c r="R15" s="109">
        <v>1</v>
      </c>
      <c r="S15" s="109">
        <v>1</v>
      </c>
      <c r="T15" s="109">
        <v>0</v>
      </c>
      <c r="U15" s="109">
        <v>0</v>
      </c>
      <c r="V15" s="109">
        <v>0</v>
      </c>
      <c r="W15" s="109">
        <v>0</v>
      </c>
      <c r="X15" s="109">
        <v>1</v>
      </c>
      <c r="Y15" s="109">
        <v>0</v>
      </c>
      <c r="Z15" s="109">
        <v>0</v>
      </c>
      <c r="AA15" s="109">
        <v>0</v>
      </c>
      <c r="AB15" s="109">
        <v>0</v>
      </c>
      <c r="AC15" s="109">
        <v>0</v>
      </c>
      <c r="AD15" s="109">
        <v>0</v>
      </c>
      <c r="AE15" s="109">
        <v>0</v>
      </c>
      <c r="AF15" s="109">
        <v>0</v>
      </c>
      <c r="AG15" s="109">
        <v>0</v>
      </c>
      <c r="AH15" s="109">
        <v>0</v>
      </c>
      <c r="AI15" s="109">
        <v>0</v>
      </c>
      <c r="AJ15" s="109">
        <v>0</v>
      </c>
      <c r="AK15" s="109">
        <v>0</v>
      </c>
      <c r="AL15" s="109">
        <v>0</v>
      </c>
      <c r="AM15" s="109">
        <v>0</v>
      </c>
    </row>
    <row r="16" spans="1:39" customFormat="1" x14ac:dyDescent="0.15">
      <c r="A16" s="193" t="s">
        <v>206</v>
      </c>
      <c r="B16" s="109">
        <v>1</v>
      </c>
      <c r="C16" s="109">
        <v>1</v>
      </c>
      <c r="D16" s="109">
        <v>1</v>
      </c>
      <c r="E16" s="109">
        <v>0</v>
      </c>
      <c r="F16" s="109">
        <v>0</v>
      </c>
      <c r="G16" s="109">
        <v>1</v>
      </c>
      <c r="H16" s="109">
        <v>1</v>
      </c>
      <c r="I16" s="109">
        <v>0</v>
      </c>
      <c r="J16" s="109">
        <v>0</v>
      </c>
      <c r="K16" s="109">
        <v>0</v>
      </c>
      <c r="L16" s="109">
        <v>0</v>
      </c>
      <c r="M16" s="109">
        <v>0</v>
      </c>
      <c r="N16" s="109">
        <v>0</v>
      </c>
      <c r="O16" s="109">
        <v>0</v>
      </c>
      <c r="P16" s="109">
        <v>0</v>
      </c>
      <c r="Q16" s="109">
        <v>0</v>
      </c>
      <c r="R16" s="109">
        <v>0</v>
      </c>
      <c r="S16" s="109">
        <v>0</v>
      </c>
      <c r="T16" s="109">
        <v>0</v>
      </c>
      <c r="U16" s="109">
        <v>0</v>
      </c>
      <c r="V16" s="109">
        <v>0</v>
      </c>
      <c r="W16" s="109">
        <v>0</v>
      </c>
      <c r="X16" s="109">
        <v>0</v>
      </c>
      <c r="Y16" s="109">
        <v>0</v>
      </c>
      <c r="Z16" s="109">
        <v>0</v>
      </c>
      <c r="AA16" s="109">
        <v>0</v>
      </c>
      <c r="AB16" s="109">
        <v>0</v>
      </c>
      <c r="AC16" s="109">
        <v>0</v>
      </c>
      <c r="AD16" s="109">
        <v>0</v>
      </c>
      <c r="AE16" s="109">
        <v>0</v>
      </c>
      <c r="AF16" s="109">
        <v>0</v>
      </c>
      <c r="AG16" s="109">
        <v>0</v>
      </c>
      <c r="AH16" s="109">
        <v>0</v>
      </c>
      <c r="AI16" s="109">
        <v>0</v>
      </c>
      <c r="AJ16" s="109">
        <v>0</v>
      </c>
      <c r="AK16" s="109">
        <v>0</v>
      </c>
      <c r="AL16" s="109">
        <v>0</v>
      </c>
      <c r="AM16" s="109">
        <v>0</v>
      </c>
    </row>
    <row r="17" spans="1:39" customFormat="1" x14ac:dyDescent="0.15">
      <c r="A17" s="193" t="s">
        <v>207</v>
      </c>
      <c r="B17" s="109">
        <v>1</v>
      </c>
      <c r="C17" s="109">
        <v>1</v>
      </c>
      <c r="D17" s="109">
        <v>0</v>
      </c>
      <c r="E17" s="109">
        <v>0</v>
      </c>
      <c r="F17" s="109">
        <v>0</v>
      </c>
      <c r="G17" s="109">
        <v>0</v>
      </c>
      <c r="H17" s="109">
        <v>1</v>
      </c>
      <c r="I17" s="109">
        <v>0</v>
      </c>
      <c r="J17" s="109">
        <v>1</v>
      </c>
      <c r="K17" s="109">
        <v>0</v>
      </c>
      <c r="L17" s="109">
        <v>0</v>
      </c>
      <c r="M17" s="109">
        <v>0</v>
      </c>
      <c r="N17" s="109">
        <v>0</v>
      </c>
      <c r="O17" s="109">
        <v>0</v>
      </c>
      <c r="P17" s="109">
        <v>0</v>
      </c>
      <c r="Q17" s="109">
        <v>0</v>
      </c>
      <c r="R17" s="109">
        <v>0</v>
      </c>
      <c r="S17" s="109">
        <v>0</v>
      </c>
      <c r="T17" s="109">
        <v>0</v>
      </c>
      <c r="U17" s="109">
        <v>0</v>
      </c>
      <c r="V17" s="109">
        <v>0</v>
      </c>
      <c r="W17" s="109">
        <v>0</v>
      </c>
      <c r="X17" s="109">
        <v>0</v>
      </c>
      <c r="Y17" s="109">
        <v>0</v>
      </c>
      <c r="Z17" s="109">
        <v>0</v>
      </c>
      <c r="AA17" s="109">
        <v>0</v>
      </c>
      <c r="AB17" s="109">
        <v>0</v>
      </c>
      <c r="AC17" s="109">
        <v>0</v>
      </c>
      <c r="AD17" s="109">
        <v>0</v>
      </c>
      <c r="AE17" s="109">
        <v>0</v>
      </c>
      <c r="AF17" s="109">
        <v>0</v>
      </c>
      <c r="AG17" s="109">
        <v>0</v>
      </c>
      <c r="AH17" s="109">
        <v>0</v>
      </c>
      <c r="AI17" s="109">
        <v>0</v>
      </c>
      <c r="AJ17" s="109">
        <v>0</v>
      </c>
      <c r="AK17" s="109">
        <v>0</v>
      </c>
      <c r="AL17" s="109">
        <v>0</v>
      </c>
      <c r="AM17" s="109">
        <v>0</v>
      </c>
    </row>
    <row r="18" spans="1:39" customFormat="1" x14ac:dyDescent="0.15">
      <c r="A18" s="193" t="s">
        <v>208</v>
      </c>
      <c r="B18" s="109">
        <v>1</v>
      </c>
      <c r="C18" s="109">
        <v>1</v>
      </c>
      <c r="D18" s="109">
        <v>0</v>
      </c>
      <c r="E18" s="109">
        <v>0</v>
      </c>
      <c r="F18" s="109">
        <v>0</v>
      </c>
      <c r="G18" s="109">
        <v>1</v>
      </c>
      <c r="H18" s="109">
        <v>1</v>
      </c>
      <c r="I18" s="109">
        <v>0</v>
      </c>
      <c r="J18" s="109">
        <v>1</v>
      </c>
      <c r="K18" s="109">
        <v>0</v>
      </c>
      <c r="L18" s="109">
        <v>0</v>
      </c>
      <c r="M18" s="109">
        <v>0</v>
      </c>
      <c r="N18" s="109">
        <v>0</v>
      </c>
      <c r="O18" s="109">
        <v>0</v>
      </c>
      <c r="P18" s="109">
        <v>0</v>
      </c>
      <c r="Q18" s="109">
        <v>1</v>
      </c>
      <c r="R18" s="109">
        <v>0</v>
      </c>
      <c r="S18" s="109">
        <v>0</v>
      </c>
      <c r="T18" s="109">
        <v>0</v>
      </c>
      <c r="U18" s="109">
        <v>0</v>
      </c>
      <c r="V18" s="109">
        <v>0</v>
      </c>
      <c r="W18" s="109">
        <v>0</v>
      </c>
      <c r="X18" s="109">
        <v>0</v>
      </c>
      <c r="Y18" s="109">
        <v>0</v>
      </c>
      <c r="Z18" s="109">
        <v>0</v>
      </c>
      <c r="AA18" s="109">
        <v>0</v>
      </c>
      <c r="AB18" s="109">
        <v>0</v>
      </c>
      <c r="AC18" s="109">
        <v>0</v>
      </c>
      <c r="AD18" s="109">
        <v>0</v>
      </c>
      <c r="AE18" s="109">
        <v>0</v>
      </c>
      <c r="AF18" s="109">
        <v>0</v>
      </c>
      <c r="AG18" s="109">
        <v>0</v>
      </c>
      <c r="AH18" s="109">
        <v>0</v>
      </c>
      <c r="AI18" s="109">
        <v>0</v>
      </c>
      <c r="AJ18" s="109">
        <v>0</v>
      </c>
      <c r="AK18" s="109">
        <v>0</v>
      </c>
      <c r="AL18" s="109">
        <v>0</v>
      </c>
      <c r="AM18" s="109">
        <v>0</v>
      </c>
    </row>
    <row r="19" spans="1:39" customFormat="1" x14ac:dyDescent="0.15">
      <c r="A19" s="193" t="s">
        <v>209</v>
      </c>
      <c r="B19" s="109">
        <v>1</v>
      </c>
      <c r="C19" s="109">
        <v>0</v>
      </c>
      <c r="D19" s="109">
        <v>0</v>
      </c>
      <c r="E19" s="109">
        <v>0</v>
      </c>
      <c r="F19" s="109">
        <v>1</v>
      </c>
      <c r="G19" s="109">
        <v>0</v>
      </c>
      <c r="H19" s="109">
        <v>1</v>
      </c>
      <c r="I19" s="109">
        <v>0</v>
      </c>
      <c r="J19" s="109">
        <v>0</v>
      </c>
      <c r="K19" s="109">
        <v>1</v>
      </c>
      <c r="L19" s="109">
        <v>1</v>
      </c>
      <c r="M19" s="109">
        <v>0</v>
      </c>
      <c r="N19" s="109">
        <v>0</v>
      </c>
      <c r="O19" s="109">
        <v>0</v>
      </c>
      <c r="P19" s="109">
        <v>0</v>
      </c>
      <c r="Q19" s="109">
        <v>0</v>
      </c>
      <c r="R19" s="109">
        <v>1</v>
      </c>
      <c r="S19" s="109">
        <v>0</v>
      </c>
      <c r="T19" s="109">
        <v>0</v>
      </c>
      <c r="U19" s="109">
        <v>0</v>
      </c>
      <c r="V19" s="109">
        <v>0</v>
      </c>
      <c r="W19" s="109">
        <v>0</v>
      </c>
      <c r="X19" s="109">
        <v>1</v>
      </c>
      <c r="Y19" s="109">
        <v>0</v>
      </c>
      <c r="Z19" s="109">
        <v>0</v>
      </c>
      <c r="AA19" s="109">
        <v>0</v>
      </c>
      <c r="AB19" s="109">
        <v>0</v>
      </c>
      <c r="AC19" s="109">
        <v>0</v>
      </c>
      <c r="AD19" s="109">
        <v>0</v>
      </c>
      <c r="AE19" s="109">
        <v>0</v>
      </c>
      <c r="AF19" s="109">
        <v>0</v>
      </c>
      <c r="AG19" s="109">
        <v>0</v>
      </c>
      <c r="AH19" s="109">
        <v>0</v>
      </c>
      <c r="AI19" s="109">
        <v>0</v>
      </c>
      <c r="AJ19" s="109">
        <v>0</v>
      </c>
      <c r="AK19" s="109">
        <v>0</v>
      </c>
      <c r="AL19" s="109">
        <v>0</v>
      </c>
      <c r="AM19" s="109">
        <v>0</v>
      </c>
    </row>
    <row r="20" spans="1:39" customFormat="1" x14ac:dyDescent="0.15">
      <c r="A20" s="193" t="s">
        <v>210</v>
      </c>
      <c r="B20" s="109">
        <v>1</v>
      </c>
      <c r="C20" s="109">
        <v>0</v>
      </c>
      <c r="D20" s="109">
        <v>1</v>
      </c>
      <c r="E20" s="109">
        <v>0</v>
      </c>
      <c r="F20" s="109">
        <v>0</v>
      </c>
      <c r="G20" s="109">
        <v>1</v>
      </c>
      <c r="H20" s="109">
        <v>0</v>
      </c>
      <c r="I20" s="109">
        <v>1</v>
      </c>
      <c r="J20" s="109">
        <v>1</v>
      </c>
      <c r="K20" s="109">
        <v>1</v>
      </c>
      <c r="L20" s="109">
        <v>1</v>
      </c>
      <c r="M20" s="109">
        <v>0</v>
      </c>
      <c r="N20" s="109">
        <v>1</v>
      </c>
      <c r="O20" s="109">
        <v>0</v>
      </c>
      <c r="P20" s="109">
        <v>0</v>
      </c>
      <c r="Q20" s="109">
        <v>0</v>
      </c>
      <c r="R20" s="109">
        <v>0</v>
      </c>
      <c r="S20" s="109">
        <v>0</v>
      </c>
      <c r="T20" s="109">
        <v>0</v>
      </c>
      <c r="U20" s="109">
        <v>0</v>
      </c>
      <c r="V20" s="109">
        <v>0</v>
      </c>
      <c r="W20" s="109">
        <v>0</v>
      </c>
      <c r="X20" s="109">
        <v>1</v>
      </c>
      <c r="Y20" s="109">
        <v>0</v>
      </c>
      <c r="Z20" s="109">
        <v>0</v>
      </c>
      <c r="AA20" s="109">
        <v>0</v>
      </c>
      <c r="AB20" s="109">
        <v>0</v>
      </c>
      <c r="AC20" s="109">
        <v>0</v>
      </c>
      <c r="AD20" s="109">
        <v>0</v>
      </c>
      <c r="AE20" s="109">
        <v>0</v>
      </c>
      <c r="AF20" s="109">
        <v>0</v>
      </c>
      <c r="AG20" s="109">
        <v>0</v>
      </c>
      <c r="AH20" s="109">
        <v>0</v>
      </c>
      <c r="AI20" s="109">
        <v>0</v>
      </c>
      <c r="AJ20" s="109">
        <v>0</v>
      </c>
      <c r="AK20" s="109">
        <v>0</v>
      </c>
      <c r="AL20" s="109">
        <v>0</v>
      </c>
      <c r="AM20" s="109">
        <v>0</v>
      </c>
    </row>
    <row r="21" spans="1:39" customFormat="1" x14ac:dyDescent="0.15">
      <c r="A21" s="193" t="s">
        <v>211</v>
      </c>
      <c r="B21" s="109">
        <v>1</v>
      </c>
      <c r="C21" s="109">
        <v>0</v>
      </c>
      <c r="D21" s="109">
        <v>1</v>
      </c>
      <c r="E21" s="109">
        <v>0</v>
      </c>
      <c r="F21" s="109">
        <v>0</v>
      </c>
      <c r="G21" s="109">
        <v>1</v>
      </c>
      <c r="H21" s="109">
        <v>0</v>
      </c>
      <c r="I21" s="109">
        <v>1</v>
      </c>
      <c r="J21" s="109">
        <v>0</v>
      </c>
      <c r="K21" s="109">
        <v>1</v>
      </c>
      <c r="L21" s="109">
        <v>1</v>
      </c>
      <c r="M21" s="109">
        <v>0</v>
      </c>
      <c r="N21" s="109">
        <v>1</v>
      </c>
      <c r="O21" s="109">
        <v>0</v>
      </c>
      <c r="P21" s="109">
        <v>0</v>
      </c>
      <c r="Q21" s="109">
        <v>0</v>
      </c>
      <c r="R21" s="109">
        <v>0</v>
      </c>
      <c r="S21" s="109">
        <v>0</v>
      </c>
      <c r="T21" s="109">
        <v>0</v>
      </c>
      <c r="U21" s="109">
        <v>0</v>
      </c>
      <c r="V21" s="109">
        <v>0</v>
      </c>
      <c r="W21" s="109">
        <v>0</v>
      </c>
      <c r="X21" s="109">
        <v>1</v>
      </c>
      <c r="Y21" s="109">
        <v>0</v>
      </c>
      <c r="Z21" s="109">
        <v>0</v>
      </c>
      <c r="AA21" s="109">
        <v>0</v>
      </c>
      <c r="AB21" s="109">
        <v>0</v>
      </c>
      <c r="AC21" s="109">
        <v>0</v>
      </c>
      <c r="AD21" s="109">
        <v>0</v>
      </c>
      <c r="AE21" s="109">
        <v>0</v>
      </c>
      <c r="AF21" s="109">
        <v>0</v>
      </c>
      <c r="AG21" s="109">
        <v>0</v>
      </c>
      <c r="AH21" s="109">
        <v>0</v>
      </c>
      <c r="AI21" s="109">
        <v>0</v>
      </c>
      <c r="AJ21" s="109">
        <v>0</v>
      </c>
      <c r="AK21" s="109">
        <v>0</v>
      </c>
      <c r="AL21" s="109">
        <v>0</v>
      </c>
      <c r="AM21" s="109">
        <v>0</v>
      </c>
    </row>
    <row r="22" spans="1:39" customFormat="1" x14ac:dyDescent="0.15">
      <c r="A22" s="193" t="s">
        <v>212</v>
      </c>
      <c r="B22" s="109">
        <v>0</v>
      </c>
      <c r="C22" s="109">
        <v>0</v>
      </c>
      <c r="D22" s="109">
        <v>1</v>
      </c>
      <c r="E22" s="109">
        <v>1</v>
      </c>
      <c r="F22" s="109">
        <v>0</v>
      </c>
      <c r="G22" s="109">
        <v>1</v>
      </c>
      <c r="H22" s="109">
        <v>0</v>
      </c>
      <c r="I22" s="109">
        <v>1</v>
      </c>
      <c r="J22" s="109">
        <v>1</v>
      </c>
      <c r="K22" s="109">
        <v>0</v>
      </c>
      <c r="L22" s="109">
        <v>1</v>
      </c>
      <c r="M22" s="109">
        <v>1</v>
      </c>
      <c r="N22" s="109">
        <v>0</v>
      </c>
      <c r="O22" s="109">
        <v>0</v>
      </c>
      <c r="P22" s="109">
        <v>0</v>
      </c>
      <c r="Q22" s="109">
        <v>0</v>
      </c>
      <c r="R22" s="109">
        <v>0</v>
      </c>
      <c r="S22" s="109">
        <v>0</v>
      </c>
      <c r="T22" s="109">
        <v>0</v>
      </c>
      <c r="U22" s="109">
        <v>0</v>
      </c>
      <c r="V22" s="109">
        <v>0</v>
      </c>
      <c r="W22" s="109">
        <v>0</v>
      </c>
      <c r="X22" s="109">
        <v>1</v>
      </c>
      <c r="Y22" s="109">
        <v>0</v>
      </c>
      <c r="Z22" s="109">
        <v>0</v>
      </c>
      <c r="AA22" s="109">
        <v>0</v>
      </c>
      <c r="AB22" s="109">
        <v>0</v>
      </c>
      <c r="AC22" s="109">
        <v>0</v>
      </c>
      <c r="AD22" s="109">
        <v>0</v>
      </c>
      <c r="AE22" s="109">
        <v>0</v>
      </c>
      <c r="AF22" s="109">
        <v>0</v>
      </c>
      <c r="AG22" s="109">
        <v>0</v>
      </c>
      <c r="AH22" s="109">
        <v>0</v>
      </c>
      <c r="AI22" s="109">
        <v>0</v>
      </c>
      <c r="AJ22" s="109">
        <v>0</v>
      </c>
      <c r="AK22" s="109">
        <v>0</v>
      </c>
      <c r="AL22" s="109">
        <v>0</v>
      </c>
      <c r="AM22" s="109">
        <v>0</v>
      </c>
    </row>
    <row r="23" spans="1:39" customFormat="1" x14ac:dyDescent="0.15">
      <c r="A23" s="193" t="s">
        <v>213</v>
      </c>
      <c r="B23" s="109">
        <v>1</v>
      </c>
      <c r="C23" s="109">
        <v>0</v>
      </c>
      <c r="D23" s="109">
        <v>1</v>
      </c>
      <c r="E23" s="109">
        <v>1</v>
      </c>
      <c r="F23" s="109">
        <v>1</v>
      </c>
      <c r="G23" s="109">
        <v>0</v>
      </c>
      <c r="H23" s="109">
        <v>1</v>
      </c>
      <c r="I23" s="109">
        <v>1</v>
      </c>
      <c r="J23" s="109">
        <v>1</v>
      </c>
      <c r="K23" s="109">
        <v>1</v>
      </c>
      <c r="L23" s="109">
        <v>1</v>
      </c>
      <c r="M23" s="109">
        <v>0</v>
      </c>
      <c r="N23" s="109">
        <v>1</v>
      </c>
      <c r="O23" s="109">
        <v>1</v>
      </c>
      <c r="P23" s="109">
        <v>0</v>
      </c>
      <c r="Q23" s="109">
        <v>1</v>
      </c>
      <c r="R23" s="109">
        <v>1</v>
      </c>
      <c r="S23" s="109">
        <v>1</v>
      </c>
      <c r="T23" s="109">
        <v>0</v>
      </c>
      <c r="U23" s="109">
        <v>0</v>
      </c>
      <c r="V23" s="109">
        <v>0</v>
      </c>
      <c r="W23" s="109">
        <v>0</v>
      </c>
      <c r="X23" s="109">
        <v>1</v>
      </c>
      <c r="Y23" s="109">
        <v>0</v>
      </c>
      <c r="Z23" s="109">
        <v>0</v>
      </c>
      <c r="AA23" s="109">
        <v>0</v>
      </c>
      <c r="AB23" s="109">
        <v>0</v>
      </c>
      <c r="AC23" s="109">
        <v>0</v>
      </c>
      <c r="AD23" s="109">
        <v>0</v>
      </c>
      <c r="AE23" s="109">
        <v>0</v>
      </c>
      <c r="AF23" s="109">
        <v>0</v>
      </c>
      <c r="AG23" s="109">
        <v>0</v>
      </c>
      <c r="AH23" s="109">
        <v>0</v>
      </c>
      <c r="AI23" s="109">
        <v>0</v>
      </c>
      <c r="AJ23" s="109">
        <v>0</v>
      </c>
      <c r="AK23" s="109">
        <v>0</v>
      </c>
      <c r="AL23" s="109">
        <v>0</v>
      </c>
      <c r="AM23" s="109">
        <v>0</v>
      </c>
    </row>
    <row r="24" spans="1:39" customFormat="1" x14ac:dyDescent="0.15">
      <c r="A24" s="193" t="s">
        <v>214</v>
      </c>
      <c r="B24" s="109">
        <v>1</v>
      </c>
      <c r="C24" s="109">
        <v>1</v>
      </c>
      <c r="D24" s="109">
        <v>0</v>
      </c>
      <c r="E24" s="109">
        <v>1</v>
      </c>
      <c r="F24" s="109">
        <v>0</v>
      </c>
      <c r="G24" s="109">
        <v>0</v>
      </c>
      <c r="H24" s="109">
        <v>1</v>
      </c>
      <c r="I24" s="109">
        <v>0</v>
      </c>
      <c r="J24" s="109">
        <v>1</v>
      </c>
      <c r="K24" s="109">
        <v>1</v>
      </c>
      <c r="L24" s="109">
        <v>1</v>
      </c>
      <c r="M24" s="109">
        <v>0</v>
      </c>
      <c r="N24" s="109">
        <v>0</v>
      </c>
      <c r="O24" s="109">
        <v>0</v>
      </c>
      <c r="P24" s="109">
        <v>0</v>
      </c>
      <c r="Q24" s="109">
        <v>0</v>
      </c>
      <c r="R24" s="109">
        <v>0</v>
      </c>
      <c r="S24" s="109">
        <v>0</v>
      </c>
      <c r="T24" s="109">
        <v>0</v>
      </c>
      <c r="U24" s="109">
        <v>0</v>
      </c>
      <c r="V24" s="109">
        <v>0</v>
      </c>
      <c r="W24" s="109">
        <v>0</v>
      </c>
      <c r="X24" s="109">
        <v>0</v>
      </c>
      <c r="Y24" s="109">
        <v>0</v>
      </c>
      <c r="Z24" s="109">
        <v>0</v>
      </c>
      <c r="AA24" s="109">
        <v>0</v>
      </c>
      <c r="AB24" s="109">
        <v>0</v>
      </c>
      <c r="AC24" s="109">
        <v>0</v>
      </c>
      <c r="AD24" s="109">
        <v>0</v>
      </c>
      <c r="AE24" s="109">
        <v>0</v>
      </c>
      <c r="AF24" s="109">
        <v>0</v>
      </c>
      <c r="AG24" s="109">
        <v>0</v>
      </c>
      <c r="AH24" s="109">
        <v>0</v>
      </c>
      <c r="AI24" s="109">
        <v>0</v>
      </c>
      <c r="AJ24" s="109">
        <v>0</v>
      </c>
      <c r="AK24" s="109">
        <v>0</v>
      </c>
      <c r="AL24" s="109">
        <v>0</v>
      </c>
      <c r="AM24" s="109">
        <v>0</v>
      </c>
    </row>
    <row r="25" spans="1:39" customFormat="1" x14ac:dyDescent="0.15">
      <c r="A25" s="193" t="s">
        <v>215</v>
      </c>
      <c r="B25" s="109">
        <v>1</v>
      </c>
      <c r="C25" s="109">
        <v>1</v>
      </c>
      <c r="D25" s="109">
        <v>1</v>
      </c>
      <c r="E25" s="109">
        <v>0</v>
      </c>
      <c r="F25" s="109">
        <v>1</v>
      </c>
      <c r="G25" s="109">
        <v>1</v>
      </c>
      <c r="H25" s="109">
        <v>1</v>
      </c>
      <c r="I25" s="109">
        <v>1</v>
      </c>
      <c r="J25" s="109">
        <v>1</v>
      </c>
      <c r="K25" s="109">
        <v>1</v>
      </c>
      <c r="L25" s="109">
        <v>1</v>
      </c>
      <c r="M25" s="109">
        <v>0</v>
      </c>
      <c r="N25" s="109">
        <v>1</v>
      </c>
      <c r="O25" s="109">
        <v>1</v>
      </c>
      <c r="P25" s="109">
        <v>0</v>
      </c>
      <c r="Q25" s="109">
        <v>1</v>
      </c>
      <c r="R25" s="109">
        <v>1</v>
      </c>
      <c r="S25" s="109">
        <v>0</v>
      </c>
      <c r="T25" s="109">
        <v>0</v>
      </c>
      <c r="U25" s="109">
        <v>0</v>
      </c>
      <c r="V25" s="109">
        <v>0</v>
      </c>
      <c r="W25" s="109">
        <v>0</v>
      </c>
      <c r="X25" s="109">
        <v>1</v>
      </c>
      <c r="Y25" s="109">
        <v>0</v>
      </c>
      <c r="Z25" s="109">
        <v>0</v>
      </c>
      <c r="AA25" s="109">
        <v>1</v>
      </c>
      <c r="AB25" s="109">
        <v>0</v>
      </c>
      <c r="AC25" s="109">
        <v>0</v>
      </c>
      <c r="AD25" s="109">
        <v>0</v>
      </c>
      <c r="AE25" s="109">
        <v>0</v>
      </c>
      <c r="AF25" s="109">
        <v>0</v>
      </c>
      <c r="AG25" s="109">
        <v>0</v>
      </c>
      <c r="AH25" s="109">
        <v>0</v>
      </c>
      <c r="AI25" s="109">
        <v>0</v>
      </c>
      <c r="AJ25" s="109">
        <v>0</v>
      </c>
      <c r="AK25" s="109">
        <v>0</v>
      </c>
      <c r="AL25" s="109">
        <v>0</v>
      </c>
      <c r="AM25" s="109">
        <v>0</v>
      </c>
    </row>
    <row r="26" spans="1:39" customFormat="1" x14ac:dyDescent="0.15">
      <c r="A26" s="193" t="s">
        <v>216</v>
      </c>
      <c r="B26" s="109">
        <v>1</v>
      </c>
      <c r="C26" s="109">
        <v>1</v>
      </c>
      <c r="D26" s="109">
        <v>1</v>
      </c>
      <c r="E26" s="109">
        <v>0</v>
      </c>
      <c r="F26" s="109">
        <v>1</v>
      </c>
      <c r="G26" s="109">
        <v>1</v>
      </c>
      <c r="H26" s="109">
        <v>1</v>
      </c>
      <c r="I26" s="109">
        <v>1</v>
      </c>
      <c r="J26" s="109">
        <v>1</v>
      </c>
      <c r="K26" s="109">
        <v>1</v>
      </c>
      <c r="L26" s="109">
        <v>1</v>
      </c>
      <c r="M26" s="109">
        <v>0</v>
      </c>
      <c r="N26" s="109">
        <v>1</v>
      </c>
      <c r="O26" s="109">
        <v>1</v>
      </c>
      <c r="P26" s="109">
        <v>0</v>
      </c>
      <c r="Q26" s="109">
        <v>1</v>
      </c>
      <c r="R26" s="109">
        <v>1</v>
      </c>
      <c r="S26" s="109">
        <v>1</v>
      </c>
      <c r="T26" s="109">
        <v>0</v>
      </c>
      <c r="U26" s="109">
        <v>0</v>
      </c>
      <c r="V26" s="109">
        <v>0</v>
      </c>
      <c r="W26" s="109">
        <v>0</v>
      </c>
      <c r="X26" s="109">
        <v>1</v>
      </c>
      <c r="Y26" s="109">
        <v>0</v>
      </c>
      <c r="Z26" s="109">
        <v>0</v>
      </c>
      <c r="AA26" s="109">
        <v>1</v>
      </c>
      <c r="AB26" s="109">
        <v>0</v>
      </c>
      <c r="AC26" s="109">
        <v>0</v>
      </c>
      <c r="AD26" s="109">
        <v>0</v>
      </c>
      <c r="AE26" s="109">
        <v>0</v>
      </c>
      <c r="AF26" s="109">
        <v>0</v>
      </c>
      <c r="AG26" s="109">
        <v>0</v>
      </c>
      <c r="AH26" s="109">
        <v>0</v>
      </c>
      <c r="AI26" s="109">
        <v>0</v>
      </c>
      <c r="AJ26" s="109">
        <v>0</v>
      </c>
      <c r="AK26" s="109">
        <v>0</v>
      </c>
      <c r="AL26" s="109">
        <v>0</v>
      </c>
      <c r="AM26" s="109">
        <v>0</v>
      </c>
    </row>
    <row r="27" spans="1:39" customFormat="1" x14ac:dyDescent="0.15">
      <c r="A27" s="193" t="s">
        <v>217</v>
      </c>
      <c r="B27" s="109">
        <v>1</v>
      </c>
      <c r="C27" s="109">
        <v>1</v>
      </c>
      <c r="D27" s="109">
        <v>1</v>
      </c>
      <c r="E27" s="109">
        <v>0</v>
      </c>
      <c r="F27" s="109">
        <v>1</v>
      </c>
      <c r="G27" s="109">
        <v>1</v>
      </c>
      <c r="H27" s="109">
        <v>1</v>
      </c>
      <c r="I27" s="109">
        <v>1</v>
      </c>
      <c r="J27" s="109">
        <v>1</v>
      </c>
      <c r="K27" s="109">
        <v>1</v>
      </c>
      <c r="L27" s="109">
        <v>1</v>
      </c>
      <c r="M27" s="109">
        <v>0</v>
      </c>
      <c r="N27" s="109">
        <v>1</v>
      </c>
      <c r="O27" s="109">
        <v>1</v>
      </c>
      <c r="P27" s="109">
        <v>0</v>
      </c>
      <c r="Q27" s="109">
        <v>1</v>
      </c>
      <c r="R27" s="109">
        <v>1</v>
      </c>
      <c r="S27" s="109">
        <v>0</v>
      </c>
      <c r="T27" s="109">
        <v>0</v>
      </c>
      <c r="U27" s="109">
        <v>0</v>
      </c>
      <c r="V27" s="109">
        <v>0</v>
      </c>
      <c r="W27" s="109">
        <v>0</v>
      </c>
      <c r="X27" s="109">
        <v>1</v>
      </c>
      <c r="Y27" s="109">
        <v>0</v>
      </c>
      <c r="Z27" s="109">
        <v>0</v>
      </c>
      <c r="AA27" s="109">
        <v>0</v>
      </c>
      <c r="AB27" s="109">
        <v>0</v>
      </c>
      <c r="AC27" s="109">
        <v>0</v>
      </c>
      <c r="AD27" s="109">
        <v>0</v>
      </c>
      <c r="AE27" s="109">
        <v>0</v>
      </c>
      <c r="AF27" s="109">
        <v>0</v>
      </c>
      <c r="AG27" s="109">
        <v>0</v>
      </c>
      <c r="AH27" s="109">
        <v>0</v>
      </c>
      <c r="AI27" s="109">
        <v>0</v>
      </c>
      <c r="AJ27" s="109">
        <v>0</v>
      </c>
      <c r="AK27" s="109">
        <v>0</v>
      </c>
      <c r="AL27" s="109">
        <v>0</v>
      </c>
      <c r="AM27" s="109">
        <v>0</v>
      </c>
    </row>
    <row r="28" spans="1:39" customFormat="1" x14ac:dyDescent="0.15">
      <c r="A28" s="193" t="s">
        <v>218</v>
      </c>
      <c r="B28" s="109">
        <v>0</v>
      </c>
      <c r="C28" s="109">
        <v>0</v>
      </c>
      <c r="D28" s="109">
        <v>1</v>
      </c>
      <c r="E28" s="109">
        <v>1</v>
      </c>
      <c r="F28" s="109">
        <v>0</v>
      </c>
      <c r="G28" s="109">
        <v>1</v>
      </c>
      <c r="H28" s="109">
        <v>0</v>
      </c>
      <c r="I28" s="109">
        <v>1</v>
      </c>
      <c r="J28" s="109">
        <v>1</v>
      </c>
      <c r="K28" s="109">
        <v>0</v>
      </c>
      <c r="L28" s="109">
        <v>1</v>
      </c>
      <c r="M28" s="109">
        <v>1</v>
      </c>
      <c r="N28" s="109">
        <v>1</v>
      </c>
      <c r="O28" s="109">
        <v>1</v>
      </c>
      <c r="P28" s="109">
        <v>1</v>
      </c>
      <c r="Q28" s="109">
        <v>0</v>
      </c>
      <c r="R28" s="109">
        <v>0</v>
      </c>
      <c r="S28" s="109">
        <v>0</v>
      </c>
      <c r="T28" s="109">
        <v>1</v>
      </c>
      <c r="U28" s="109">
        <v>1</v>
      </c>
      <c r="V28" s="109">
        <v>1</v>
      </c>
      <c r="W28" s="109">
        <v>1</v>
      </c>
      <c r="X28" s="109">
        <v>0</v>
      </c>
      <c r="Y28" s="109">
        <v>0</v>
      </c>
      <c r="Z28" s="109">
        <v>0</v>
      </c>
      <c r="AA28" s="109">
        <v>0</v>
      </c>
      <c r="AB28" s="109">
        <v>1</v>
      </c>
      <c r="AC28" s="109">
        <v>0</v>
      </c>
      <c r="AD28" s="109">
        <v>0</v>
      </c>
      <c r="AE28" s="109">
        <v>0</v>
      </c>
      <c r="AF28" s="109">
        <v>0</v>
      </c>
      <c r="AG28" s="109">
        <v>0</v>
      </c>
      <c r="AH28" s="109">
        <v>0</v>
      </c>
      <c r="AI28" s="109">
        <v>0</v>
      </c>
      <c r="AJ28" s="109">
        <v>0</v>
      </c>
      <c r="AK28" s="109">
        <v>0</v>
      </c>
      <c r="AL28" s="109">
        <v>0</v>
      </c>
      <c r="AM28" s="109">
        <v>0</v>
      </c>
    </row>
    <row r="29" spans="1:39" customFormat="1" x14ac:dyDescent="0.15">
      <c r="A29" s="193" t="s">
        <v>219</v>
      </c>
      <c r="B29" s="109">
        <v>0</v>
      </c>
      <c r="C29" s="109">
        <v>1</v>
      </c>
      <c r="D29" s="109">
        <v>1</v>
      </c>
      <c r="E29" s="109">
        <v>1</v>
      </c>
      <c r="F29" s="109">
        <v>1</v>
      </c>
      <c r="G29" s="109">
        <v>1</v>
      </c>
      <c r="H29" s="109">
        <v>1</v>
      </c>
      <c r="I29" s="109">
        <v>1</v>
      </c>
      <c r="J29" s="109">
        <v>1</v>
      </c>
      <c r="K29" s="109">
        <v>0</v>
      </c>
      <c r="L29" s="109">
        <v>1</v>
      </c>
      <c r="M29" s="109">
        <v>1</v>
      </c>
      <c r="N29" s="109">
        <v>1</v>
      </c>
      <c r="O29" s="109">
        <v>1</v>
      </c>
      <c r="P29" s="109">
        <v>1</v>
      </c>
      <c r="Q29" s="109">
        <v>0</v>
      </c>
      <c r="R29" s="109">
        <v>0</v>
      </c>
      <c r="S29" s="109">
        <v>0</v>
      </c>
      <c r="T29" s="109">
        <v>1</v>
      </c>
      <c r="U29" s="109">
        <v>1</v>
      </c>
      <c r="V29" s="109">
        <v>1</v>
      </c>
      <c r="W29" s="109">
        <v>0</v>
      </c>
      <c r="X29" s="109">
        <v>1</v>
      </c>
      <c r="Y29" s="109">
        <v>0</v>
      </c>
      <c r="Z29" s="109">
        <v>0</v>
      </c>
      <c r="AA29" s="109">
        <v>0</v>
      </c>
      <c r="AB29" s="109">
        <v>1</v>
      </c>
      <c r="AC29" s="109">
        <v>1</v>
      </c>
      <c r="AD29" s="109">
        <v>1</v>
      </c>
      <c r="AE29" s="109">
        <v>0</v>
      </c>
      <c r="AF29" s="109">
        <v>0</v>
      </c>
      <c r="AG29" s="109">
        <v>0</v>
      </c>
      <c r="AH29" s="109">
        <v>0</v>
      </c>
      <c r="AI29" s="109">
        <v>0</v>
      </c>
      <c r="AJ29" s="109">
        <v>0</v>
      </c>
      <c r="AK29" s="109">
        <v>0</v>
      </c>
      <c r="AL29" s="109">
        <v>0</v>
      </c>
      <c r="AM29" s="109">
        <v>0</v>
      </c>
    </row>
    <row r="30" spans="1:39" customFormat="1" x14ac:dyDescent="0.15">
      <c r="A30" s="193" t="s">
        <v>220</v>
      </c>
      <c r="B30" s="109">
        <v>0</v>
      </c>
      <c r="C30" s="109">
        <v>1</v>
      </c>
      <c r="D30" s="109">
        <v>1</v>
      </c>
      <c r="E30" s="109">
        <v>1</v>
      </c>
      <c r="F30" s="109">
        <v>1</v>
      </c>
      <c r="G30" s="109">
        <v>1</v>
      </c>
      <c r="H30" s="109">
        <v>1</v>
      </c>
      <c r="I30" s="109">
        <v>1</v>
      </c>
      <c r="J30" s="109">
        <v>1</v>
      </c>
      <c r="K30" s="109">
        <v>1</v>
      </c>
      <c r="L30" s="109">
        <v>1</v>
      </c>
      <c r="M30" s="109">
        <v>1</v>
      </c>
      <c r="N30" s="109">
        <v>1</v>
      </c>
      <c r="O30" s="109">
        <v>1</v>
      </c>
      <c r="P30" s="109">
        <v>1</v>
      </c>
      <c r="Q30" s="109">
        <v>1</v>
      </c>
      <c r="R30" s="109">
        <v>1</v>
      </c>
      <c r="S30" s="109">
        <v>1</v>
      </c>
      <c r="T30" s="109">
        <v>1</v>
      </c>
      <c r="U30" s="109">
        <v>1</v>
      </c>
      <c r="V30" s="109">
        <v>0</v>
      </c>
      <c r="W30" s="109">
        <v>1</v>
      </c>
      <c r="X30" s="109">
        <v>0</v>
      </c>
      <c r="Y30" s="109">
        <v>1</v>
      </c>
      <c r="Z30" s="109">
        <v>1</v>
      </c>
      <c r="AA30" s="109">
        <v>1</v>
      </c>
      <c r="AB30" s="109">
        <v>0</v>
      </c>
      <c r="AC30" s="109">
        <v>0</v>
      </c>
      <c r="AD30" s="109">
        <v>1</v>
      </c>
      <c r="AE30" s="109">
        <v>0</v>
      </c>
      <c r="AF30" s="109">
        <v>0</v>
      </c>
      <c r="AG30" s="109">
        <v>0</v>
      </c>
      <c r="AH30" s="109">
        <v>0</v>
      </c>
      <c r="AI30" s="109">
        <v>0</v>
      </c>
      <c r="AJ30" s="109">
        <v>0</v>
      </c>
      <c r="AK30" s="109">
        <v>0</v>
      </c>
      <c r="AL30" s="109">
        <v>0</v>
      </c>
      <c r="AM30" s="109">
        <v>0</v>
      </c>
    </row>
    <row r="31" spans="1:39" customFormat="1" x14ac:dyDescent="0.15">
      <c r="A31" s="193" t="s">
        <v>221</v>
      </c>
      <c r="B31" s="109">
        <v>0</v>
      </c>
      <c r="C31" s="109">
        <v>0</v>
      </c>
      <c r="D31" s="109">
        <v>0</v>
      </c>
      <c r="E31" s="109">
        <v>0</v>
      </c>
      <c r="F31" s="109">
        <v>1</v>
      </c>
      <c r="G31" s="109">
        <v>1</v>
      </c>
      <c r="H31" s="109">
        <v>1</v>
      </c>
      <c r="I31" s="109">
        <v>0</v>
      </c>
      <c r="J31" s="109">
        <v>0</v>
      </c>
      <c r="K31" s="109">
        <v>1</v>
      </c>
      <c r="L31" s="109">
        <v>0</v>
      </c>
      <c r="M31" s="109">
        <v>0</v>
      </c>
      <c r="N31" s="109">
        <v>0</v>
      </c>
      <c r="O31" s="109">
        <v>0</v>
      </c>
      <c r="P31" s="109">
        <v>0</v>
      </c>
      <c r="Q31" s="109">
        <v>1</v>
      </c>
      <c r="R31" s="109">
        <v>1</v>
      </c>
      <c r="S31" s="109">
        <v>1</v>
      </c>
      <c r="T31" s="109">
        <v>0</v>
      </c>
      <c r="U31" s="109">
        <v>1</v>
      </c>
      <c r="V31" s="109">
        <v>1</v>
      </c>
      <c r="W31" s="109">
        <v>1</v>
      </c>
      <c r="X31" s="109">
        <v>0</v>
      </c>
      <c r="Y31" s="109">
        <v>1</v>
      </c>
      <c r="Z31" s="109">
        <v>1</v>
      </c>
      <c r="AA31" s="109">
        <v>1</v>
      </c>
      <c r="AB31" s="109">
        <v>0</v>
      </c>
      <c r="AC31" s="109">
        <v>0</v>
      </c>
      <c r="AD31" s="109">
        <v>1</v>
      </c>
      <c r="AE31" s="109">
        <v>0</v>
      </c>
      <c r="AF31" s="109">
        <v>0</v>
      </c>
      <c r="AG31" s="109">
        <v>0</v>
      </c>
      <c r="AH31" s="109">
        <v>0</v>
      </c>
      <c r="AI31" s="109">
        <v>0</v>
      </c>
      <c r="AJ31" s="109">
        <v>0</v>
      </c>
      <c r="AK31" s="109">
        <v>0</v>
      </c>
      <c r="AL31" s="109">
        <v>0</v>
      </c>
      <c r="AM31" s="109">
        <v>0</v>
      </c>
    </row>
    <row r="32" spans="1:39" x14ac:dyDescent="0.15">
      <c r="A32" s="193" t="s">
        <v>222</v>
      </c>
      <c r="B32" s="109">
        <v>0</v>
      </c>
      <c r="C32" s="109">
        <v>1</v>
      </c>
      <c r="D32" s="109">
        <v>0</v>
      </c>
      <c r="E32" s="109">
        <v>0</v>
      </c>
      <c r="F32" s="109">
        <v>0</v>
      </c>
      <c r="G32" s="109">
        <v>1</v>
      </c>
      <c r="H32" s="109">
        <v>0</v>
      </c>
      <c r="I32" s="109">
        <v>0</v>
      </c>
      <c r="J32" s="109">
        <v>0</v>
      </c>
      <c r="K32" s="109">
        <v>1</v>
      </c>
      <c r="L32" s="109">
        <v>1</v>
      </c>
      <c r="M32" s="109">
        <v>0</v>
      </c>
      <c r="N32" s="109">
        <v>1</v>
      </c>
      <c r="O32" s="109">
        <v>0</v>
      </c>
      <c r="P32" s="109">
        <v>0</v>
      </c>
      <c r="Q32" s="109">
        <v>1</v>
      </c>
      <c r="R32" s="109">
        <v>1</v>
      </c>
      <c r="S32" s="109">
        <v>1</v>
      </c>
      <c r="T32" s="109">
        <v>0</v>
      </c>
      <c r="U32" s="109">
        <v>0</v>
      </c>
      <c r="V32" s="109">
        <v>1</v>
      </c>
      <c r="W32" s="109">
        <v>1</v>
      </c>
      <c r="X32" s="109">
        <v>1</v>
      </c>
      <c r="Y32" s="109">
        <v>1</v>
      </c>
      <c r="Z32" s="109">
        <v>1</v>
      </c>
      <c r="AA32" s="109">
        <v>1</v>
      </c>
      <c r="AB32" s="109">
        <v>0</v>
      </c>
      <c r="AC32" s="109">
        <v>0</v>
      </c>
      <c r="AD32" s="109">
        <v>1</v>
      </c>
      <c r="AE32" s="109">
        <v>1</v>
      </c>
      <c r="AF32" s="109">
        <v>0</v>
      </c>
      <c r="AG32" s="109">
        <v>0</v>
      </c>
      <c r="AH32" s="109">
        <v>0</v>
      </c>
      <c r="AI32" s="109">
        <v>0</v>
      </c>
      <c r="AJ32" s="109">
        <v>0</v>
      </c>
      <c r="AK32" s="109">
        <v>0</v>
      </c>
      <c r="AL32" s="109">
        <v>0</v>
      </c>
      <c r="AM32" s="109">
        <v>0</v>
      </c>
    </row>
    <row r="33" spans="1:39" x14ac:dyDescent="0.15">
      <c r="A33" s="193" t="s">
        <v>223</v>
      </c>
      <c r="B33" s="109">
        <v>0</v>
      </c>
      <c r="C33" s="109">
        <v>0</v>
      </c>
      <c r="D33" s="109">
        <v>1</v>
      </c>
      <c r="E33" s="109">
        <v>0</v>
      </c>
      <c r="F33" s="109">
        <v>0</v>
      </c>
      <c r="G33" s="109">
        <v>1</v>
      </c>
      <c r="H33" s="109">
        <v>1</v>
      </c>
      <c r="I33" s="109">
        <v>1</v>
      </c>
      <c r="J33" s="109">
        <v>1</v>
      </c>
      <c r="K33" s="109">
        <v>0</v>
      </c>
      <c r="L33" s="109">
        <v>1</v>
      </c>
      <c r="M33" s="109">
        <v>1</v>
      </c>
      <c r="N33" s="109">
        <v>1</v>
      </c>
      <c r="O33" s="109">
        <v>1</v>
      </c>
      <c r="P33" s="109">
        <v>1</v>
      </c>
      <c r="Q33" s="109">
        <v>0</v>
      </c>
      <c r="R33" s="109">
        <v>1</v>
      </c>
      <c r="S33" s="109">
        <v>1</v>
      </c>
      <c r="T33" s="109">
        <v>1</v>
      </c>
      <c r="U33" s="109">
        <v>1</v>
      </c>
      <c r="V33" s="109">
        <v>1</v>
      </c>
      <c r="W33" s="109">
        <v>0</v>
      </c>
      <c r="X33" s="109">
        <v>1</v>
      </c>
      <c r="Y33" s="109">
        <v>1</v>
      </c>
      <c r="Z33" s="109">
        <v>0</v>
      </c>
      <c r="AA33" s="109">
        <v>0</v>
      </c>
      <c r="AB33" s="109">
        <v>1</v>
      </c>
      <c r="AC33" s="109">
        <v>1</v>
      </c>
      <c r="AD33" s="109">
        <v>1</v>
      </c>
      <c r="AE33" s="109">
        <v>0</v>
      </c>
      <c r="AF33" s="109">
        <v>0</v>
      </c>
      <c r="AG33" s="109">
        <v>1</v>
      </c>
      <c r="AH33" s="109">
        <v>0</v>
      </c>
      <c r="AI33" s="109">
        <v>0</v>
      </c>
      <c r="AJ33" s="109">
        <v>0</v>
      </c>
      <c r="AK33" s="109">
        <v>0</v>
      </c>
      <c r="AL33" s="109">
        <v>0</v>
      </c>
      <c r="AM33" s="109">
        <v>0</v>
      </c>
    </row>
    <row r="34" spans="1:39" x14ac:dyDescent="0.15">
      <c r="A34" s="193" t="s">
        <v>224</v>
      </c>
      <c r="B34" s="109">
        <v>0</v>
      </c>
      <c r="C34" s="109">
        <v>1</v>
      </c>
      <c r="D34" s="109">
        <v>0</v>
      </c>
      <c r="E34" s="109">
        <v>0</v>
      </c>
      <c r="F34" s="109">
        <v>0</v>
      </c>
      <c r="G34" s="109">
        <v>0</v>
      </c>
      <c r="H34" s="109">
        <v>0</v>
      </c>
      <c r="I34" s="109">
        <v>0</v>
      </c>
      <c r="J34" s="109">
        <v>0</v>
      </c>
      <c r="K34" s="109">
        <v>0</v>
      </c>
      <c r="L34" s="109">
        <v>1</v>
      </c>
      <c r="M34" s="109">
        <v>0</v>
      </c>
      <c r="N34" s="109">
        <v>0</v>
      </c>
      <c r="O34" s="109">
        <v>0</v>
      </c>
      <c r="P34" s="109">
        <v>0</v>
      </c>
      <c r="Q34" s="109">
        <v>0</v>
      </c>
      <c r="R34" s="109">
        <v>1</v>
      </c>
      <c r="S34" s="109">
        <v>1</v>
      </c>
      <c r="T34" s="109">
        <v>0</v>
      </c>
      <c r="U34" s="109">
        <v>0</v>
      </c>
      <c r="V34" s="109">
        <v>1</v>
      </c>
      <c r="W34" s="109">
        <v>0</v>
      </c>
      <c r="X34" s="109">
        <v>1</v>
      </c>
      <c r="Y34" s="109">
        <v>1</v>
      </c>
      <c r="Z34" s="109">
        <v>0</v>
      </c>
      <c r="AA34" s="109">
        <v>0</v>
      </c>
      <c r="AB34" s="109">
        <v>0</v>
      </c>
      <c r="AC34" s="109">
        <v>1</v>
      </c>
      <c r="AD34" s="109">
        <v>1</v>
      </c>
      <c r="AE34" s="109">
        <v>1</v>
      </c>
      <c r="AF34" s="109">
        <v>1</v>
      </c>
      <c r="AG34" s="109">
        <v>0</v>
      </c>
      <c r="AH34" s="109">
        <v>1</v>
      </c>
      <c r="AI34" s="109">
        <v>0</v>
      </c>
      <c r="AJ34" s="109">
        <v>0</v>
      </c>
      <c r="AK34" s="109">
        <v>0</v>
      </c>
      <c r="AL34" s="109">
        <v>0</v>
      </c>
      <c r="AM34" s="109">
        <v>0</v>
      </c>
    </row>
    <row r="35" spans="1:39" x14ac:dyDescent="0.15">
      <c r="A35" s="193" t="s">
        <v>225</v>
      </c>
      <c r="B35" s="109">
        <v>0</v>
      </c>
      <c r="C35" s="109">
        <v>0</v>
      </c>
      <c r="D35" s="109">
        <v>1</v>
      </c>
      <c r="E35" s="109">
        <v>0</v>
      </c>
      <c r="F35" s="109">
        <v>0</v>
      </c>
      <c r="G35" s="109">
        <v>1</v>
      </c>
      <c r="H35" s="109">
        <v>0</v>
      </c>
      <c r="I35" s="109">
        <v>0</v>
      </c>
      <c r="J35" s="109">
        <v>0</v>
      </c>
      <c r="K35" s="109">
        <v>0</v>
      </c>
      <c r="L35" s="109">
        <v>0</v>
      </c>
      <c r="M35" s="109">
        <v>1</v>
      </c>
      <c r="N35" s="109">
        <v>0</v>
      </c>
      <c r="O35" s="109">
        <v>0</v>
      </c>
      <c r="P35" s="109">
        <v>1</v>
      </c>
      <c r="Q35" s="109">
        <v>0</v>
      </c>
      <c r="R35" s="109">
        <v>0</v>
      </c>
      <c r="S35" s="109">
        <v>0</v>
      </c>
      <c r="T35" s="109">
        <v>0</v>
      </c>
      <c r="U35" s="109">
        <v>0</v>
      </c>
      <c r="V35" s="109">
        <v>0</v>
      </c>
      <c r="W35" s="109">
        <v>0</v>
      </c>
      <c r="X35" s="109">
        <v>1</v>
      </c>
      <c r="Y35" s="109">
        <v>0</v>
      </c>
      <c r="Z35" s="109">
        <v>0</v>
      </c>
      <c r="AA35" s="109">
        <v>0</v>
      </c>
      <c r="AB35" s="109">
        <v>1</v>
      </c>
      <c r="AC35" s="109">
        <v>1</v>
      </c>
      <c r="AD35" s="109">
        <v>0</v>
      </c>
      <c r="AE35" s="109">
        <v>0</v>
      </c>
      <c r="AF35" s="109">
        <v>0</v>
      </c>
      <c r="AG35" s="109">
        <v>0</v>
      </c>
      <c r="AH35" s="109">
        <v>0</v>
      </c>
      <c r="AI35" s="109">
        <v>0</v>
      </c>
      <c r="AJ35" s="109">
        <v>0</v>
      </c>
      <c r="AK35" s="109">
        <v>0</v>
      </c>
      <c r="AL35" s="109">
        <v>0</v>
      </c>
      <c r="AM35" s="109">
        <v>0</v>
      </c>
    </row>
    <row r="36" spans="1:39" x14ac:dyDescent="0.15">
      <c r="A36" s="193" t="s">
        <v>226</v>
      </c>
      <c r="B36" s="109">
        <v>0</v>
      </c>
      <c r="C36" s="109">
        <v>0</v>
      </c>
      <c r="D36" s="109">
        <v>0</v>
      </c>
      <c r="E36" s="109">
        <v>0</v>
      </c>
      <c r="F36" s="109">
        <v>0</v>
      </c>
      <c r="G36" s="109">
        <v>0</v>
      </c>
      <c r="H36" s="109">
        <v>0</v>
      </c>
      <c r="I36" s="109">
        <v>0</v>
      </c>
      <c r="J36" s="109">
        <v>0</v>
      </c>
      <c r="K36" s="109">
        <v>0</v>
      </c>
      <c r="L36" s="109">
        <v>0</v>
      </c>
      <c r="M36" s="109">
        <v>1</v>
      </c>
      <c r="N36" s="109">
        <v>0</v>
      </c>
      <c r="O36" s="109">
        <v>0</v>
      </c>
      <c r="P36" s="109">
        <v>1</v>
      </c>
      <c r="Q36" s="109">
        <v>0</v>
      </c>
      <c r="R36" s="109">
        <v>0</v>
      </c>
      <c r="S36" s="109">
        <v>0</v>
      </c>
      <c r="T36" s="109">
        <v>0</v>
      </c>
      <c r="U36" s="109">
        <v>0</v>
      </c>
      <c r="V36" s="109">
        <v>0</v>
      </c>
      <c r="W36" s="109">
        <v>0</v>
      </c>
      <c r="X36" s="109">
        <v>0</v>
      </c>
      <c r="Y36" s="109">
        <v>0</v>
      </c>
      <c r="Z36" s="109">
        <v>0</v>
      </c>
      <c r="AA36" s="109">
        <v>0</v>
      </c>
      <c r="AB36" s="109">
        <v>0</v>
      </c>
      <c r="AC36" s="109">
        <v>1</v>
      </c>
      <c r="AD36" s="109">
        <v>0</v>
      </c>
      <c r="AE36" s="109">
        <v>0</v>
      </c>
      <c r="AF36" s="109">
        <v>0</v>
      </c>
      <c r="AG36" s="109">
        <v>0</v>
      </c>
      <c r="AH36" s="109">
        <v>0</v>
      </c>
      <c r="AI36" s="109">
        <v>0</v>
      </c>
      <c r="AJ36" s="109">
        <v>0</v>
      </c>
      <c r="AK36" s="109">
        <v>0</v>
      </c>
      <c r="AL36" s="109">
        <v>0</v>
      </c>
      <c r="AM36" s="109">
        <v>0</v>
      </c>
    </row>
    <row r="37" spans="1:39" x14ac:dyDescent="0.15">
      <c r="A37" s="193" t="s">
        <v>227</v>
      </c>
      <c r="B37" s="109">
        <v>0</v>
      </c>
      <c r="C37" s="109">
        <v>0</v>
      </c>
      <c r="D37" s="109">
        <v>0</v>
      </c>
      <c r="E37" s="109">
        <v>0</v>
      </c>
      <c r="F37" s="109">
        <v>0</v>
      </c>
      <c r="G37" s="109">
        <v>0</v>
      </c>
      <c r="H37" s="109">
        <v>0</v>
      </c>
      <c r="I37" s="109">
        <v>0</v>
      </c>
      <c r="J37" s="109">
        <v>0</v>
      </c>
      <c r="K37" s="109">
        <v>0</v>
      </c>
      <c r="L37" s="109">
        <v>0</v>
      </c>
      <c r="M37" s="109">
        <v>0</v>
      </c>
      <c r="N37" s="109">
        <v>0</v>
      </c>
      <c r="O37" s="109">
        <v>0</v>
      </c>
      <c r="P37" s="109">
        <v>0</v>
      </c>
      <c r="Q37" s="109">
        <v>0</v>
      </c>
      <c r="R37" s="109">
        <v>0</v>
      </c>
      <c r="S37" s="109">
        <v>0</v>
      </c>
      <c r="T37" s="109">
        <v>0</v>
      </c>
      <c r="U37" s="109">
        <v>0</v>
      </c>
      <c r="V37" s="109">
        <v>0</v>
      </c>
      <c r="W37" s="109">
        <v>0</v>
      </c>
      <c r="X37" s="109">
        <v>0</v>
      </c>
      <c r="Y37" s="109">
        <v>0</v>
      </c>
      <c r="Z37" s="109">
        <v>0</v>
      </c>
      <c r="AA37" s="109">
        <v>1</v>
      </c>
      <c r="AB37" s="109">
        <v>0</v>
      </c>
      <c r="AC37" s="109">
        <v>0</v>
      </c>
      <c r="AD37" s="109">
        <v>1</v>
      </c>
      <c r="AE37" s="109">
        <v>1</v>
      </c>
      <c r="AF37" s="109">
        <v>1</v>
      </c>
      <c r="AG37" s="109">
        <v>1</v>
      </c>
      <c r="AH37" s="109">
        <v>1</v>
      </c>
      <c r="AI37" s="109">
        <v>1</v>
      </c>
      <c r="AJ37" s="109">
        <v>1</v>
      </c>
      <c r="AK37" s="109">
        <v>0</v>
      </c>
      <c r="AL37" s="109">
        <v>0</v>
      </c>
      <c r="AM37" s="109">
        <v>0</v>
      </c>
    </row>
    <row r="38" spans="1:39" x14ac:dyDescent="0.15">
      <c r="A38" s="193" t="s">
        <v>228</v>
      </c>
      <c r="B38" s="109">
        <v>0</v>
      </c>
      <c r="C38" s="109">
        <v>0</v>
      </c>
      <c r="D38" s="109">
        <v>0</v>
      </c>
      <c r="E38" s="109">
        <v>0</v>
      </c>
      <c r="F38" s="109">
        <v>0</v>
      </c>
      <c r="G38" s="109">
        <v>0</v>
      </c>
      <c r="H38" s="109">
        <v>0</v>
      </c>
      <c r="I38" s="109">
        <v>0</v>
      </c>
      <c r="J38" s="109">
        <v>0</v>
      </c>
      <c r="K38" s="109">
        <v>0</v>
      </c>
      <c r="L38" s="109">
        <v>0</v>
      </c>
      <c r="M38" s="109">
        <v>0</v>
      </c>
      <c r="N38" s="109">
        <v>0</v>
      </c>
      <c r="O38" s="109">
        <v>0</v>
      </c>
      <c r="P38" s="109">
        <v>0</v>
      </c>
      <c r="Q38" s="109">
        <v>0</v>
      </c>
      <c r="R38" s="109">
        <v>0</v>
      </c>
      <c r="S38" s="109">
        <v>0</v>
      </c>
      <c r="T38" s="109">
        <v>0</v>
      </c>
      <c r="U38" s="109">
        <v>0</v>
      </c>
      <c r="V38" s="109">
        <v>0</v>
      </c>
      <c r="W38" s="109">
        <v>0</v>
      </c>
      <c r="X38" s="109">
        <v>0</v>
      </c>
      <c r="Y38" s="109">
        <v>0</v>
      </c>
      <c r="Z38" s="109">
        <v>0</v>
      </c>
      <c r="AA38" s="109">
        <v>0</v>
      </c>
      <c r="AB38" s="109">
        <v>1</v>
      </c>
      <c r="AC38" s="109">
        <v>1</v>
      </c>
      <c r="AD38" s="109">
        <v>1</v>
      </c>
      <c r="AE38" s="109">
        <v>1</v>
      </c>
      <c r="AF38" s="109">
        <v>1</v>
      </c>
      <c r="AG38" s="109">
        <v>1</v>
      </c>
      <c r="AH38" s="109">
        <v>1</v>
      </c>
      <c r="AI38" s="109">
        <v>1</v>
      </c>
      <c r="AJ38" s="109">
        <v>1</v>
      </c>
      <c r="AK38" s="109">
        <v>0</v>
      </c>
      <c r="AL38" s="109">
        <v>0</v>
      </c>
      <c r="AM38" s="109">
        <v>0</v>
      </c>
    </row>
    <row r="39" spans="1:39" x14ac:dyDescent="0.15">
      <c r="A39" s="193" t="s">
        <v>229</v>
      </c>
      <c r="B39" s="109">
        <v>0</v>
      </c>
      <c r="C39" s="109">
        <v>0</v>
      </c>
      <c r="D39" s="109">
        <v>0</v>
      </c>
      <c r="E39" s="109">
        <v>0</v>
      </c>
      <c r="F39" s="109">
        <v>0</v>
      </c>
      <c r="G39" s="109">
        <v>0</v>
      </c>
      <c r="H39" s="109">
        <v>0</v>
      </c>
      <c r="I39" s="109">
        <v>0</v>
      </c>
      <c r="J39" s="109">
        <v>0</v>
      </c>
      <c r="K39" s="109">
        <v>0</v>
      </c>
      <c r="L39" s="109">
        <v>0</v>
      </c>
      <c r="M39" s="109">
        <v>0</v>
      </c>
      <c r="N39" s="109">
        <v>0</v>
      </c>
      <c r="O39" s="109">
        <v>0</v>
      </c>
      <c r="P39" s="109">
        <v>0</v>
      </c>
      <c r="Q39" s="109">
        <v>0</v>
      </c>
      <c r="R39" s="109">
        <v>0</v>
      </c>
      <c r="S39" s="109">
        <v>0</v>
      </c>
      <c r="T39" s="109">
        <v>0</v>
      </c>
      <c r="U39" s="109">
        <v>0</v>
      </c>
      <c r="V39" s="109">
        <v>0</v>
      </c>
      <c r="W39" s="109">
        <v>0</v>
      </c>
      <c r="X39" s="109">
        <v>0</v>
      </c>
      <c r="Y39" s="109">
        <v>0</v>
      </c>
      <c r="Z39" s="109">
        <v>0</v>
      </c>
      <c r="AA39" s="109">
        <v>0</v>
      </c>
      <c r="AB39" s="109">
        <v>0</v>
      </c>
      <c r="AC39" s="109">
        <v>0</v>
      </c>
      <c r="AD39" s="109">
        <v>0</v>
      </c>
      <c r="AE39" s="109">
        <v>0</v>
      </c>
      <c r="AF39" s="109">
        <v>0</v>
      </c>
      <c r="AG39" s="109">
        <v>0</v>
      </c>
      <c r="AH39" s="109">
        <v>0</v>
      </c>
      <c r="AI39" s="109">
        <v>0</v>
      </c>
      <c r="AJ39" s="109">
        <v>0</v>
      </c>
      <c r="AK39" s="109">
        <v>0</v>
      </c>
      <c r="AL39" s="109">
        <v>0</v>
      </c>
      <c r="AM39" s="109">
        <v>0</v>
      </c>
    </row>
    <row r="40" spans="1:39" x14ac:dyDescent="0.15">
      <c r="A40" s="193" t="s">
        <v>238</v>
      </c>
      <c r="B40" s="109">
        <v>0</v>
      </c>
      <c r="C40" s="109">
        <v>0</v>
      </c>
      <c r="D40" s="109">
        <v>0</v>
      </c>
      <c r="E40" s="109">
        <v>0</v>
      </c>
      <c r="F40" s="109">
        <v>0</v>
      </c>
      <c r="G40" s="109">
        <v>0</v>
      </c>
      <c r="H40" s="109">
        <v>0</v>
      </c>
      <c r="I40" s="109">
        <v>0</v>
      </c>
      <c r="J40" s="109">
        <v>0</v>
      </c>
      <c r="K40" s="109">
        <v>0</v>
      </c>
      <c r="L40" s="109">
        <v>0</v>
      </c>
      <c r="M40" s="109">
        <v>0</v>
      </c>
      <c r="N40" s="109">
        <v>0</v>
      </c>
      <c r="O40" s="109">
        <v>0</v>
      </c>
      <c r="P40" s="109">
        <v>0</v>
      </c>
      <c r="Q40" s="109">
        <v>0</v>
      </c>
      <c r="R40" s="109">
        <v>0</v>
      </c>
      <c r="S40" s="109">
        <v>0</v>
      </c>
      <c r="T40" s="109">
        <v>0</v>
      </c>
      <c r="U40" s="109">
        <v>0</v>
      </c>
      <c r="V40" s="109">
        <v>0</v>
      </c>
      <c r="W40" s="109">
        <v>0</v>
      </c>
      <c r="X40" s="109">
        <v>0</v>
      </c>
      <c r="Y40" s="109">
        <v>0</v>
      </c>
      <c r="Z40" s="109">
        <v>0</v>
      </c>
      <c r="AA40" s="109">
        <v>0</v>
      </c>
      <c r="AB40" s="109">
        <v>0</v>
      </c>
      <c r="AC40" s="109">
        <v>0</v>
      </c>
      <c r="AD40" s="109">
        <v>0</v>
      </c>
      <c r="AE40" s="109">
        <v>0</v>
      </c>
      <c r="AF40" s="109">
        <v>0</v>
      </c>
      <c r="AG40" s="109">
        <v>0</v>
      </c>
      <c r="AH40" s="109">
        <v>0</v>
      </c>
      <c r="AI40" s="109">
        <v>0</v>
      </c>
      <c r="AJ40" s="109">
        <v>0</v>
      </c>
      <c r="AK40" s="109">
        <v>0</v>
      </c>
      <c r="AL40" s="109">
        <v>0</v>
      </c>
      <c r="AM40" s="10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J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8.33203125" bestFit="1" customWidth="1"/>
    <col min="3" max="4" width="3.83203125" bestFit="1" customWidth="1"/>
    <col min="5" max="10" width="3.83203125" customWidth="1"/>
  </cols>
  <sheetData>
    <row r="1" spans="1:10" ht="112" x14ac:dyDescent="0.15">
      <c r="A1" s="5" t="s">
        <v>83</v>
      </c>
      <c r="B1" s="3" t="s">
        <v>0</v>
      </c>
      <c r="C1" s="196" t="s">
        <v>230</v>
      </c>
      <c r="D1" s="196" t="s">
        <v>231</v>
      </c>
      <c r="E1" s="196" t="s">
        <v>232</v>
      </c>
      <c r="F1" s="196" t="s">
        <v>233</v>
      </c>
      <c r="G1" s="196" t="s">
        <v>234</v>
      </c>
      <c r="H1" s="196" t="s">
        <v>235</v>
      </c>
      <c r="I1" s="196" t="s">
        <v>236</v>
      </c>
      <c r="J1" s="196" t="s">
        <v>237</v>
      </c>
    </row>
    <row r="2" spans="1:10" x14ac:dyDescent="0.15">
      <c r="A2">
        <v>1</v>
      </c>
      <c r="B2" s="195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15">
      <c r="A3">
        <v>2</v>
      </c>
      <c r="B3" s="195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x14ac:dyDescent="0.15">
      <c r="A4">
        <v>3</v>
      </c>
      <c r="B4" s="195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 x14ac:dyDescent="0.15">
      <c r="A5">
        <v>4</v>
      </c>
      <c r="B5" s="195" t="s">
        <v>195</v>
      </c>
      <c r="C5">
        <v>0.8</v>
      </c>
      <c r="D5">
        <v>0.8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10" x14ac:dyDescent="0.15">
      <c r="A6">
        <v>5</v>
      </c>
      <c r="B6" s="195" t="s">
        <v>196</v>
      </c>
      <c r="C6">
        <v>0.8</v>
      </c>
      <c r="D6">
        <v>0.8</v>
      </c>
      <c r="E6">
        <v>0.8</v>
      </c>
      <c r="F6">
        <v>0</v>
      </c>
      <c r="G6">
        <v>0.8</v>
      </c>
      <c r="H6">
        <v>0</v>
      </c>
      <c r="I6">
        <v>0</v>
      </c>
      <c r="J6">
        <v>0</v>
      </c>
    </row>
    <row r="7" spans="1:10" x14ac:dyDescent="0.15">
      <c r="A7">
        <v>6</v>
      </c>
      <c r="B7" s="195" t="s">
        <v>197</v>
      </c>
      <c r="C7">
        <v>0.8</v>
      </c>
      <c r="D7">
        <v>0.8</v>
      </c>
      <c r="E7">
        <v>0.8</v>
      </c>
      <c r="F7">
        <v>0</v>
      </c>
      <c r="G7">
        <v>0.8</v>
      </c>
      <c r="H7">
        <v>0.8</v>
      </c>
      <c r="I7">
        <v>0</v>
      </c>
      <c r="J7">
        <v>0</v>
      </c>
    </row>
    <row r="8" spans="1:10" x14ac:dyDescent="0.15">
      <c r="A8">
        <v>7</v>
      </c>
      <c r="B8" s="195" t="s">
        <v>198</v>
      </c>
      <c r="C8">
        <v>0.8</v>
      </c>
      <c r="D8">
        <v>0.8</v>
      </c>
      <c r="E8">
        <v>0</v>
      </c>
      <c r="F8">
        <v>0</v>
      </c>
      <c r="G8">
        <v>0.8</v>
      </c>
      <c r="H8">
        <v>0.8</v>
      </c>
      <c r="I8">
        <v>0</v>
      </c>
      <c r="J8">
        <v>0</v>
      </c>
    </row>
    <row r="9" spans="1:10" x14ac:dyDescent="0.15">
      <c r="A9">
        <v>8</v>
      </c>
      <c r="B9" s="195" t="s">
        <v>199</v>
      </c>
      <c r="C9">
        <v>0.8</v>
      </c>
      <c r="D9">
        <v>0.8</v>
      </c>
      <c r="E9">
        <v>0</v>
      </c>
      <c r="F9">
        <v>0</v>
      </c>
      <c r="G9">
        <v>0.8</v>
      </c>
      <c r="H9">
        <v>0</v>
      </c>
      <c r="I9">
        <v>0</v>
      </c>
      <c r="J9">
        <v>0</v>
      </c>
    </row>
    <row r="10" spans="1:10" x14ac:dyDescent="0.15">
      <c r="A10">
        <v>9</v>
      </c>
      <c r="B10" s="195" t="s">
        <v>200</v>
      </c>
      <c r="C10">
        <v>0.8</v>
      </c>
      <c r="D10">
        <v>0.8</v>
      </c>
      <c r="E10">
        <v>0.8</v>
      </c>
      <c r="F10">
        <v>0</v>
      </c>
      <c r="G10">
        <v>0.8</v>
      </c>
      <c r="H10">
        <v>0</v>
      </c>
      <c r="I10">
        <v>0</v>
      </c>
      <c r="J10">
        <v>0</v>
      </c>
    </row>
    <row r="11" spans="1:10" x14ac:dyDescent="0.15">
      <c r="A11">
        <v>10</v>
      </c>
      <c r="B11" s="195" t="s">
        <v>201</v>
      </c>
      <c r="C11">
        <v>0.8</v>
      </c>
      <c r="D11">
        <v>0.8</v>
      </c>
      <c r="E11">
        <v>0</v>
      </c>
      <c r="F11">
        <v>0</v>
      </c>
      <c r="G11">
        <v>0.8</v>
      </c>
      <c r="H11">
        <v>0</v>
      </c>
      <c r="I11">
        <v>0</v>
      </c>
      <c r="J11">
        <v>0</v>
      </c>
    </row>
    <row r="12" spans="1:10" x14ac:dyDescent="0.15">
      <c r="A12">
        <v>11</v>
      </c>
      <c r="B12" s="195" t="s">
        <v>202</v>
      </c>
      <c r="C12">
        <v>0.8</v>
      </c>
      <c r="D12">
        <v>0.8</v>
      </c>
      <c r="E12">
        <v>0.8</v>
      </c>
      <c r="F12">
        <v>0</v>
      </c>
      <c r="G12">
        <v>0.8</v>
      </c>
      <c r="H12">
        <v>0</v>
      </c>
      <c r="I12">
        <v>0</v>
      </c>
      <c r="J12">
        <v>0.8</v>
      </c>
    </row>
    <row r="13" spans="1:10" x14ac:dyDescent="0.15">
      <c r="A13">
        <v>12</v>
      </c>
      <c r="B13" s="195" t="s">
        <v>203</v>
      </c>
      <c r="C13">
        <v>0.8</v>
      </c>
      <c r="D13">
        <v>0.8</v>
      </c>
      <c r="E13">
        <v>0</v>
      </c>
      <c r="F13">
        <v>0</v>
      </c>
      <c r="G13">
        <v>0</v>
      </c>
      <c r="H13">
        <v>0</v>
      </c>
      <c r="I13">
        <v>0.8</v>
      </c>
      <c r="J13">
        <v>0</v>
      </c>
    </row>
    <row r="14" spans="1:10" x14ac:dyDescent="0.15">
      <c r="A14">
        <v>13</v>
      </c>
      <c r="B14" s="195" t="s">
        <v>204</v>
      </c>
      <c r="C14">
        <v>0.8</v>
      </c>
      <c r="D14">
        <v>0.8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15">
      <c r="A15">
        <v>14</v>
      </c>
      <c r="B15" s="195" t="s">
        <v>205</v>
      </c>
      <c r="C15">
        <v>0.8</v>
      </c>
      <c r="D15">
        <v>0.8</v>
      </c>
      <c r="E15">
        <v>0.8</v>
      </c>
      <c r="F15">
        <v>0</v>
      </c>
      <c r="G15">
        <v>0.8</v>
      </c>
      <c r="H15">
        <v>0</v>
      </c>
      <c r="I15">
        <v>0</v>
      </c>
      <c r="J15">
        <v>0</v>
      </c>
    </row>
    <row r="16" spans="1:10" x14ac:dyDescent="0.15">
      <c r="A16">
        <v>15</v>
      </c>
      <c r="B16" s="195" t="s">
        <v>206</v>
      </c>
      <c r="C16">
        <v>0.8</v>
      </c>
      <c r="D16">
        <v>0.8</v>
      </c>
      <c r="E16">
        <v>0</v>
      </c>
      <c r="F16">
        <v>0</v>
      </c>
      <c r="G16">
        <v>0</v>
      </c>
      <c r="H16">
        <v>0</v>
      </c>
      <c r="I16">
        <v>0</v>
      </c>
      <c r="J16">
        <v>0.8</v>
      </c>
    </row>
    <row r="17" spans="1:10" x14ac:dyDescent="0.15">
      <c r="A17">
        <v>16</v>
      </c>
      <c r="B17" s="195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 x14ac:dyDescent="0.15">
      <c r="A18">
        <v>17</v>
      </c>
      <c r="B18" s="195" t="s">
        <v>208</v>
      </c>
      <c r="C18">
        <v>0.8</v>
      </c>
      <c r="D18">
        <v>0</v>
      </c>
      <c r="E18">
        <v>0.8</v>
      </c>
      <c r="F18">
        <v>0</v>
      </c>
      <c r="G18">
        <v>0.8</v>
      </c>
      <c r="H18">
        <v>0</v>
      </c>
      <c r="I18">
        <v>0</v>
      </c>
      <c r="J18">
        <v>0</v>
      </c>
    </row>
    <row r="19" spans="1:10" x14ac:dyDescent="0.15">
      <c r="A19">
        <v>18</v>
      </c>
      <c r="B19" s="195" t="s">
        <v>209</v>
      </c>
      <c r="C19">
        <v>0.8</v>
      </c>
      <c r="D19">
        <v>0</v>
      </c>
      <c r="E19">
        <v>0.8</v>
      </c>
      <c r="F19">
        <v>0</v>
      </c>
      <c r="G19">
        <v>0.8</v>
      </c>
      <c r="H19">
        <v>0</v>
      </c>
      <c r="I19">
        <v>0</v>
      </c>
      <c r="J19">
        <v>0</v>
      </c>
    </row>
    <row r="20" spans="1:10" x14ac:dyDescent="0.15">
      <c r="A20">
        <v>19</v>
      </c>
      <c r="B20" s="195" t="s">
        <v>210</v>
      </c>
      <c r="C20">
        <v>0.8</v>
      </c>
      <c r="D20">
        <v>0.8</v>
      </c>
      <c r="E20">
        <v>0</v>
      </c>
      <c r="F20">
        <v>0</v>
      </c>
      <c r="G20">
        <v>0.8</v>
      </c>
      <c r="H20">
        <v>0</v>
      </c>
      <c r="I20">
        <v>0</v>
      </c>
      <c r="J20">
        <v>0</v>
      </c>
    </row>
    <row r="21" spans="1:10" x14ac:dyDescent="0.15">
      <c r="A21">
        <v>20</v>
      </c>
      <c r="B21" s="195" t="s">
        <v>211</v>
      </c>
      <c r="C21">
        <v>0.8</v>
      </c>
      <c r="D21">
        <v>0.8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 x14ac:dyDescent="0.15">
      <c r="A22">
        <v>21</v>
      </c>
      <c r="B22" s="195" t="s">
        <v>212</v>
      </c>
      <c r="C22">
        <v>0.8</v>
      </c>
      <c r="D22">
        <v>0.8</v>
      </c>
      <c r="E22">
        <v>0</v>
      </c>
      <c r="F22">
        <v>0</v>
      </c>
      <c r="G22">
        <v>0</v>
      </c>
      <c r="H22">
        <v>0</v>
      </c>
      <c r="I22">
        <v>0.8</v>
      </c>
      <c r="J22">
        <v>0</v>
      </c>
    </row>
    <row r="23" spans="1:10" x14ac:dyDescent="0.15">
      <c r="A23">
        <v>22</v>
      </c>
      <c r="B23" s="195" t="s">
        <v>213</v>
      </c>
      <c r="C23">
        <v>0.8</v>
      </c>
      <c r="D23">
        <v>0.8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 x14ac:dyDescent="0.15">
      <c r="A24">
        <v>23</v>
      </c>
      <c r="B24" s="195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 x14ac:dyDescent="0.15">
      <c r="A25">
        <v>24</v>
      </c>
      <c r="B25" s="195" t="s">
        <v>215</v>
      </c>
      <c r="C25">
        <v>0.8</v>
      </c>
      <c r="D25">
        <v>0</v>
      </c>
      <c r="E25">
        <v>0.8</v>
      </c>
      <c r="F25">
        <v>0</v>
      </c>
      <c r="G25">
        <v>0</v>
      </c>
      <c r="H25">
        <v>0</v>
      </c>
      <c r="I25">
        <v>0</v>
      </c>
      <c r="J25">
        <v>0</v>
      </c>
    </row>
    <row r="26" spans="1:10" x14ac:dyDescent="0.15">
      <c r="A26">
        <v>25</v>
      </c>
      <c r="B26" s="195" t="s">
        <v>216</v>
      </c>
      <c r="C26">
        <v>0.8</v>
      </c>
      <c r="D26">
        <v>0</v>
      </c>
      <c r="E26">
        <v>0.8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 x14ac:dyDescent="0.15">
      <c r="A27">
        <v>26</v>
      </c>
      <c r="B27" s="195" t="s">
        <v>217</v>
      </c>
      <c r="C27">
        <v>0.8</v>
      </c>
      <c r="D27">
        <v>0.8</v>
      </c>
      <c r="E27">
        <v>0.8</v>
      </c>
      <c r="F27">
        <v>0</v>
      </c>
      <c r="G27">
        <v>0.8</v>
      </c>
      <c r="H27">
        <v>0</v>
      </c>
      <c r="I27">
        <v>0</v>
      </c>
      <c r="J27">
        <v>0</v>
      </c>
    </row>
    <row r="28" spans="1:10" x14ac:dyDescent="0.15">
      <c r="A28">
        <v>27</v>
      </c>
      <c r="B28" s="195" t="s">
        <v>218</v>
      </c>
      <c r="C28">
        <v>0.8</v>
      </c>
      <c r="D28">
        <v>0.8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 x14ac:dyDescent="0.15">
      <c r="A29">
        <v>28</v>
      </c>
      <c r="B29" s="195" t="s">
        <v>219</v>
      </c>
      <c r="C29">
        <v>0.8</v>
      </c>
      <c r="D29">
        <v>0.8</v>
      </c>
      <c r="E29">
        <v>0</v>
      </c>
      <c r="F29">
        <v>0.8</v>
      </c>
      <c r="G29">
        <v>0</v>
      </c>
      <c r="H29">
        <v>0</v>
      </c>
      <c r="I29">
        <v>0.8</v>
      </c>
      <c r="J29">
        <v>0.8</v>
      </c>
    </row>
    <row r="30" spans="1:10" x14ac:dyDescent="0.15">
      <c r="A30">
        <v>29</v>
      </c>
      <c r="B30" s="195" t="s">
        <v>220</v>
      </c>
      <c r="C30">
        <v>0.8</v>
      </c>
      <c r="D30">
        <v>0.8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 x14ac:dyDescent="0.15">
      <c r="A31">
        <v>30</v>
      </c>
      <c r="B31" s="195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 x14ac:dyDescent="0.15">
      <c r="A32">
        <v>31</v>
      </c>
      <c r="B32" s="195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 x14ac:dyDescent="0.15">
      <c r="A33">
        <v>32</v>
      </c>
      <c r="B33" s="195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 x14ac:dyDescent="0.15">
      <c r="A34">
        <v>33</v>
      </c>
      <c r="B34" s="195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 x14ac:dyDescent="0.15">
      <c r="A35">
        <v>34</v>
      </c>
      <c r="B35" s="195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 x14ac:dyDescent="0.15">
      <c r="A36">
        <v>35</v>
      </c>
      <c r="B36" s="195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1:10" x14ac:dyDescent="0.15">
      <c r="A37">
        <v>36</v>
      </c>
      <c r="B37" s="195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 x14ac:dyDescent="0.15">
      <c r="A38">
        <v>37</v>
      </c>
      <c r="B38" s="195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 x14ac:dyDescent="0.15">
      <c r="A39">
        <v>38</v>
      </c>
      <c r="B39" s="195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J39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8.33203125" bestFit="1" customWidth="1"/>
    <col min="3" max="4" width="3.83203125" bestFit="1" customWidth="1"/>
    <col min="5" max="10" width="3.83203125" customWidth="1"/>
  </cols>
  <sheetData>
    <row r="1" spans="1:10" ht="112" x14ac:dyDescent="0.15">
      <c r="A1" s="5" t="s">
        <v>82</v>
      </c>
      <c r="B1" s="3" t="s">
        <v>0</v>
      </c>
      <c r="C1" s="198" t="s">
        <v>230</v>
      </c>
      <c r="D1" s="198" t="s">
        <v>231</v>
      </c>
      <c r="E1" s="198" t="s">
        <v>232</v>
      </c>
      <c r="F1" s="198" t="s">
        <v>233</v>
      </c>
      <c r="G1" s="198" t="s">
        <v>234</v>
      </c>
      <c r="H1" s="198" t="s">
        <v>235</v>
      </c>
      <c r="I1" s="198" t="s">
        <v>236</v>
      </c>
      <c r="J1" s="198" t="s">
        <v>237</v>
      </c>
    </row>
    <row r="2" spans="1:10" x14ac:dyDescent="0.15">
      <c r="A2">
        <v>1</v>
      </c>
      <c r="B2" s="197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15">
      <c r="A3">
        <v>2</v>
      </c>
      <c r="B3" s="197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x14ac:dyDescent="0.15">
      <c r="A4">
        <v>3</v>
      </c>
      <c r="B4" s="197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 x14ac:dyDescent="0.15">
      <c r="A5">
        <v>4</v>
      </c>
      <c r="B5" s="197" t="s">
        <v>195</v>
      </c>
      <c r="C5">
        <v>0.8</v>
      </c>
      <c r="D5">
        <v>0.8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10" x14ac:dyDescent="0.15">
      <c r="A6">
        <v>5</v>
      </c>
      <c r="B6" s="197" t="s">
        <v>196</v>
      </c>
      <c r="C6">
        <v>0.8</v>
      </c>
      <c r="D6">
        <v>0.8</v>
      </c>
      <c r="E6">
        <v>0.8</v>
      </c>
      <c r="F6">
        <v>0</v>
      </c>
      <c r="G6">
        <v>0.8</v>
      </c>
      <c r="H6">
        <v>0</v>
      </c>
      <c r="I6">
        <v>0</v>
      </c>
      <c r="J6">
        <v>0</v>
      </c>
    </row>
    <row r="7" spans="1:10" x14ac:dyDescent="0.15">
      <c r="A7">
        <v>6</v>
      </c>
      <c r="B7" s="197" t="s">
        <v>197</v>
      </c>
      <c r="C7">
        <v>0.8</v>
      </c>
      <c r="D7">
        <v>0.8</v>
      </c>
      <c r="E7">
        <v>0.8</v>
      </c>
      <c r="F7">
        <v>0</v>
      </c>
      <c r="G7">
        <v>0.8</v>
      </c>
      <c r="H7">
        <v>0.8</v>
      </c>
      <c r="I7">
        <v>0</v>
      </c>
      <c r="J7">
        <v>0</v>
      </c>
    </row>
    <row r="8" spans="1:10" x14ac:dyDescent="0.15">
      <c r="A8">
        <v>7</v>
      </c>
      <c r="B8" s="197" t="s">
        <v>198</v>
      </c>
      <c r="C8">
        <v>0.8</v>
      </c>
      <c r="D8">
        <v>0.8</v>
      </c>
      <c r="E8">
        <v>0</v>
      </c>
      <c r="F8">
        <v>0</v>
      </c>
      <c r="G8">
        <v>0.8</v>
      </c>
      <c r="H8">
        <v>0.8</v>
      </c>
      <c r="I8">
        <v>0</v>
      </c>
      <c r="J8">
        <v>0</v>
      </c>
    </row>
    <row r="9" spans="1:10" x14ac:dyDescent="0.15">
      <c r="A9">
        <v>8</v>
      </c>
      <c r="B9" s="197" t="s">
        <v>199</v>
      </c>
      <c r="C9">
        <v>0.8</v>
      </c>
      <c r="D9">
        <v>0.8</v>
      </c>
      <c r="E9">
        <v>0</v>
      </c>
      <c r="F9">
        <v>0</v>
      </c>
      <c r="G9">
        <v>0.8</v>
      </c>
      <c r="H9">
        <v>0</v>
      </c>
      <c r="I9">
        <v>0</v>
      </c>
      <c r="J9">
        <v>0</v>
      </c>
    </row>
    <row r="10" spans="1:10" x14ac:dyDescent="0.15">
      <c r="A10">
        <v>9</v>
      </c>
      <c r="B10" s="197" t="s">
        <v>200</v>
      </c>
      <c r="C10">
        <v>0.8</v>
      </c>
      <c r="D10">
        <v>0.8</v>
      </c>
      <c r="E10">
        <v>0.8</v>
      </c>
      <c r="F10">
        <v>0</v>
      </c>
      <c r="G10">
        <v>0.8</v>
      </c>
      <c r="H10">
        <v>0</v>
      </c>
      <c r="I10">
        <v>0</v>
      </c>
      <c r="J10">
        <v>0</v>
      </c>
    </row>
    <row r="11" spans="1:10" x14ac:dyDescent="0.15">
      <c r="A11">
        <v>10</v>
      </c>
      <c r="B11" s="197" t="s">
        <v>201</v>
      </c>
      <c r="C11">
        <v>0.8</v>
      </c>
      <c r="D11">
        <v>0.8</v>
      </c>
      <c r="E11">
        <v>0</v>
      </c>
      <c r="F11">
        <v>0</v>
      </c>
      <c r="G11">
        <v>0.8</v>
      </c>
      <c r="H11">
        <v>0</v>
      </c>
      <c r="I11">
        <v>0</v>
      </c>
      <c r="J11">
        <v>0</v>
      </c>
    </row>
    <row r="12" spans="1:10" x14ac:dyDescent="0.15">
      <c r="A12">
        <v>11</v>
      </c>
      <c r="B12" s="197" t="s">
        <v>202</v>
      </c>
      <c r="C12">
        <v>0.8</v>
      </c>
      <c r="D12">
        <v>0.8</v>
      </c>
      <c r="E12">
        <v>0.8</v>
      </c>
      <c r="F12">
        <v>0</v>
      </c>
      <c r="G12">
        <v>0.8</v>
      </c>
      <c r="H12">
        <v>0</v>
      </c>
      <c r="I12">
        <v>0</v>
      </c>
      <c r="J12">
        <v>0.8</v>
      </c>
    </row>
    <row r="13" spans="1:10" x14ac:dyDescent="0.15">
      <c r="A13">
        <v>12</v>
      </c>
      <c r="B13" s="197" t="s">
        <v>203</v>
      </c>
      <c r="C13">
        <v>0.8</v>
      </c>
      <c r="D13">
        <v>0.8</v>
      </c>
      <c r="E13">
        <v>0</v>
      </c>
      <c r="F13">
        <v>0</v>
      </c>
      <c r="G13">
        <v>0</v>
      </c>
      <c r="H13">
        <v>0</v>
      </c>
      <c r="I13">
        <v>0.8</v>
      </c>
      <c r="J13">
        <v>0</v>
      </c>
    </row>
    <row r="14" spans="1:10" x14ac:dyDescent="0.15">
      <c r="A14">
        <v>13</v>
      </c>
      <c r="B14" s="197" t="s">
        <v>204</v>
      </c>
      <c r="C14">
        <v>0.8</v>
      </c>
      <c r="D14">
        <v>0.8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15">
      <c r="A15">
        <v>14</v>
      </c>
      <c r="B15" s="197" t="s">
        <v>205</v>
      </c>
      <c r="C15">
        <v>0.8</v>
      </c>
      <c r="D15">
        <v>0.8</v>
      </c>
      <c r="E15">
        <v>0.8</v>
      </c>
      <c r="F15">
        <v>0</v>
      </c>
      <c r="G15">
        <v>0.8</v>
      </c>
      <c r="H15">
        <v>0</v>
      </c>
      <c r="I15">
        <v>0</v>
      </c>
      <c r="J15">
        <v>0</v>
      </c>
    </row>
    <row r="16" spans="1:10" x14ac:dyDescent="0.15">
      <c r="A16">
        <v>15</v>
      </c>
      <c r="B16" s="197" t="s">
        <v>206</v>
      </c>
      <c r="C16">
        <v>0.8</v>
      </c>
      <c r="D16">
        <v>0.8</v>
      </c>
      <c r="E16">
        <v>0</v>
      </c>
      <c r="F16">
        <v>0</v>
      </c>
      <c r="G16">
        <v>0</v>
      </c>
      <c r="H16">
        <v>0</v>
      </c>
      <c r="I16">
        <v>0</v>
      </c>
      <c r="J16">
        <v>0.8</v>
      </c>
    </row>
    <row r="17" spans="1:10" x14ac:dyDescent="0.15">
      <c r="A17">
        <v>16</v>
      </c>
      <c r="B17" s="197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 x14ac:dyDescent="0.15">
      <c r="A18">
        <v>17</v>
      </c>
      <c r="B18" s="197" t="s">
        <v>208</v>
      </c>
      <c r="C18">
        <v>0.8</v>
      </c>
      <c r="D18">
        <v>0</v>
      </c>
      <c r="E18">
        <v>0.8</v>
      </c>
      <c r="F18">
        <v>0</v>
      </c>
      <c r="G18">
        <v>0.8</v>
      </c>
      <c r="H18">
        <v>0</v>
      </c>
      <c r="I18">
        <v>0</v>
      </c>
      <c r="J18">
        <v>0</v>
      </c>
    </row>
    <row r="19" spans="1:10" x14ac:dyDescent="0.15">
      <c r="A19">
        <v>18</v>
      </c>
      <c r="B19" s="197" t="s">
        <v>209</v>
      </c>
      <c r="C19">
        <v>0.8</v>
      </c>
      <c r="D19">
        <v>0</v>
      </c>
      <c r="E19">
        <v>0.8</v>
      </c>
      <c r="F19">
        <v>0</v>
      </c>
      <c r="G19">
        <v>0.8</v>
      </c>
      <c r="H19">
        <v>0</v>
      </c>
      <c r="I19">
        <v>0</v>
      </c>
      <c r="J19">
        <v>0</v>
      </c>
    </row>
    <row r="20" spans="1:10" x14ac:dyDescent="0.15">
      <c r="A20">
        <v>19</v>
      </c>
      <c r="B20" s="197" t="s">
        <v>210</v>
      </c>
      <c r="C20">
        <v>0.8</v>
      </c>
      <c r="D20">
        <v>0.8</v>
      </c>
      <c r="E20">
        <v>0</v>
      </c>
      <c r="F20">
        <v>0</v>
      </c>
      <c r="G20">
        <v>0.8</v>
      </c>
      <c r="H20">
        <v>0</v>
      </c>
      <c r="I20">
        <v>0</v>
      </c>
      <c r="J20">
        <v>0</v>
      </c>
    </row>
    <row r="21" spans="1:10" x14ac:dyDescent="0.15">
      <c r="A21">
        <v>20</v>
      </c>
      <c r="B21" s="197" t="s">
        <v>211</v>
      </c>
      <c r="C21">
        <v>0.8</v>
      </c>
      <c r="D21">
        <v>0.8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 x14ac:dyDescent="0.15">
      <c r="A22">
        <v>21</v>
      </c>
      <c r="B22" s="197" t="s">
        <v>212</v>
      </c>
      <c r="C22">
        <v>0.8</v>
      </c>
      <c r="D22">
        <v>0.8</v>
      </c>
      <c r="E22">
        <v>0</v>
      </c>
      <c r="F22">
        <v>0</v>
      </c>
      <c r="G22">
        <v>0</v>
      </c>
      <c r="H22">
        <v>0</v>
      </c>
      <c r="I22">
        <v>0.8</v>
      </c>
      <c r="J22">
        <v>0</v>
      </c>
    </row>
    <row r="23" spans="1:10" x14ac:dyDescent="0.15">
      <c r="A23">
        <v>22</v>
      </c>
      <c r="B23" s="197" t="s">
        <v>213</v>
      </c>
      <c r="C23">
        <v>0.8</v>
      </c>
      <c r="D23">
        <v>0.8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 x14ac:dyDescent="0.15">
      <c r="A24">
        <v>23</v>
      </c>
      <c r="B24" s="197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 x14ac:dyDescent="0.15">
      <c r="A25">
        <v>24</v>
      </c>
      <c r="B25" s="197" t="s">
        <v>215</v>
      </c>
      <c r="C25">
        <v>0.8</v>
      </c>
      <c r="D25">
        <v>0</v>
      </c>
      <c r="E25">
        <v>0.8</v>
      </c>
      <c r="F25">
        <v>0</v>
      </c>
      <c r="G25">
        <v>0</v>
      </c>
      <c r="H25">
        <v>0</v>
      </c>
      <c r="I25">
        <v>0</v>
      </c>
      <c r="J25">
        <v>0</v>
      </c>
    </row>
    <row r="26" spans="1:10" x14ac:dyDescent="0.15">
      <c r="A26">
        <v>25</v>
      </c>
      <c r="B26" s="197" t="s">
        <v>216</v>
      </c>
      <c r="C26">
        <v>0.8</v>
      </c>
      <c r="D26">
        <v>0</v>
      </c>
      <c r="E26">
        <v>0.8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 x14ac:dyDescent="0.15">
      <c r="A27">
        <v>26</v>
      </c>
      <c r="B27" s="197" t="s">
        <v>217</v>
      </c>
      <c r="C27">
        <v>0.8</v>
      </c>
      <c r="D27">
        <v>0.8</v>
      </c>
      <c r="E27">
        <v>0.8</v>
      </c>
      <c r="F27">
        <v>0</v>
      </c>
      <c r="G27">
        <v>0.8</v>
      </c>
      <c r="H27">
        <v>0</v>
      </c>
      <c r="I27">
        <v>0</v>
      </c>
      <c r="J27">
        <v>0</v>
      </c>
    </row>
    <row r="28" spans="1:10" x14ac:dyDescent="0.15">
      <c r="A28">
        <v>27</v>
      </c>
      <c r="B28" s="197" t="s">
        <v>218</v>
      </c>
      <c r="C28">
        <v>0.8</v>
      </c>
      <c r="D28">
        <v>0.8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 x14ac:dyDescent="0.15">
      <c r="A29">
        <v>28</v>
      </c>
      <c r="B29" s="197" t="s">
        <v>219</v>
      </c>
      <c r="C29">
        <v>0.8</v>
      </c>
      <c r="D29">
        <v>0.8</v>
      </c>
      <c r="E29">
        <v>0</v>
      </c>
      <c r="F29">
        <v>0.8</v>
      </c>
      <c r="G29">
        <v>0</v>
      </c>
      <c r="H29">
        <v>0</v>
      </c>
      <c r="I29">
        <v>0.8</v>
      </c>
      <c r="J29">
        <v>0.8</v>
      </c>
    </row>
    <row r="30" spans="1:10" x14ac:dyDescent="0.15">
      <c r="A30">
        <v>29</v>
      </c>
      <c r="B30" s="197" t="s">
        <v>220</v>
      </c>
      <c r="C30">
        <v>0.8</v>
      </c>
      <c r="D30">
        <v>0.8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 x14ac:dyDescent="0.15">
      <c r="A31">
        <v>30</v>
      </c>
      <c r="B31" s="197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 x14ac:dyDescent="0.15">
      <c r="A32">
        <v>31</v>
      </c>
      <c r="B32" s="197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 x14ac:dyDescent="0.15">
      <c r="A33">
        <v>32</v>
      </c>
      <c r="B33" s="197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 x14ac:dyDescent="0.15">
      <c r="A34">
        <v>33</v>
      </c>
      <c r="B34" s="197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 x14ac:dyDescent="0.15">
      <c r="A35">
        <v>34</v>
      </c>
      <c r="B35" s="197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 x14ac:dyDescent="0.15">
      <c r="A36">
        <v>35</v>
      </c>
      <c r="B36" s="197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1:10" x14ac:dyDescent="0.15">
      <c r="A37">
        <v>36</v>
      </c>
      <c r="B37" s="197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 x14ac:dyDescent="0.15">
      <c r="A38">
        <v>37</v>
      </c>
      <c r="B38" s="197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 x14ac:dyDescent="0.15">
      <c r="A39">
        <v>38</v>
      </c>
      <c r="B39" s="197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3" sqref="K3"/>
    </sheetView>
  </sheetViews>
  <sheetFormatPr baseColWidth="10" defaultColWidth="8.83203125" defaultRowHeight="15" customHeight="1" x14ac:dyDescent="0.15"/>
  <cols>
    <col min="1" max="1" width="8.83203125" style="82"/>
    <col min="2" max="2" width="41.83203125" style="82" bestFit="1" customWidth="1"/>
    <col min="3" max="3" width="9.33203125" style="82" bestFit="1" customWidth="1"/>
    <col min="4" max="4" width="13" style="82" bestFit="1" customWidth="1"/>
    <col min="5" max="6" width="9.33203125" style="82" bestFit="1" customWidth="1"/>
    <col min="7" max="7" width="9.33203125" style="98" bestFit="1" customWidth="1"/>
    <col min="8" max="8" width="9.33203125" style="82" bestFit="1" customWidth="1"/>
    <col min="9" max="9" width="11" style="82" customWidth="1"/>
    <col min="10" max="10" width="8.83203125" style="82"/>
    <col min="15" max="16384" width="8.83203125" style="82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50">
        <v>1</v>
      </c>
      <c r="B2" s="150" t="s">
        <v>192</v>
      </c>
      <c r="C2" s="8">
        <v>4.9981451034545898</v>
      </c>
      <c r="D2" s="9">
        <v>0.21065418422222137</v>
      </c>
      <c r="E2" s="9">
        <v>7.0000000298023224E-2</v>
      </c>
      <c r="F2" s="9">
        <v>12</v>
      </c>
      <c r="G2" s="9">
        <v>0.80000001192092896</v>
      </c>
      <c r="H2" s="9">
        <v>5.833333358168602E-3</v>
      </c>
      <c r="I2">
        <v>0</v>
      </c>
      <c r="J2"/>
    </row>
    <row r="3" spans="1:10" ht="15" customHeight="1" x14ac:dyDescent="0.15">
      <c r="A3" s="151">
        <v>2</v>
      </c>
      <c r="B3" s="151" t="s">
        <v>193</v>
      </c>
      <c r="C3" s="8">
        <v>4.4168052673339844</v>
      </c>
      <c r="D3" s="9">
        <v>2.7000000700354576E-2</v>
      </c>
      <c r="E3" s="9">
        <v>9.0000003576278687E-2</v>
      </c>
      <c r="F3" s="9">
        <v>6.7750000953674316</v>
      </c>
      <c r="G3" s="9">
        <v>8.5787083953619003E-3</v>
      </c>
      <c r="H3" s="9">
        <v>1.3284132815897465E-2</v>
      </c>
      <c r="I3">
        <v>0</v>
      </c>
      <c r="J3"/>
    </row>
    <row r="4" spans="1:10" ht="15" customHeight="1" x14ac:dyDescent="0.15">
      <c r="A4" s="152">
        <v>3</v>
      </c>
      <c r="B4" s="152" t="s">
        <v>194</v>
      </c>
      <c r="C4" s="8">
        <v>4.0722708702087402</v>
      </c>
      <c r="D4" s="9">
        <v>5.5322409607470036E-3</v>
      </c>
      <c r="E4" s="9">
        <v>0.80000001192092896</v>
      </c>
      <c r="F4" s="9">
        <v>53.5</v>
      </c>
      <c r="G4" s="9">
        <v>0.80000013113021851</v>
      </c>
      <c r="H4" s="9">
        <v>1.4953271485865116E-2</v>
      </c>
      <c r="I4">
        <v>0</v>
      </c>
      <c r="J4"/>
    </row>
    <row r="5" spans="1:10" ht="15" customHeight="1" x14ac:dyDescent="0.15">
      <c r="A5" s="153">
        <v>4</v>
      </c>
      <c r="B5" s="153" t="s">
        <v>195</v>
      </c>
      <c r="C5" s="8">
        <v>4.246556282043457</v>
      </c>
      <c r="D5" s="9">
        <v>0.28035765886306763</v>
      </c>
      <c r="E5" s="9">
        <v>0.34999999403953552</v>
      </c>
      <c r="F5" s="9">
        <v>1.7999999523162842</v>
      </c>
      <c r="G5" s="9">
        <v>0.79999995231628418</v>
      </c>
      <c r="H5" s="9">
        <v>0.1944444477558136</v>
      </c>
      <c r="I5">
        <v>3.2470289617776871E-2</v>
      </c>
      <c r="J5"/>
    </row>
    <row r="6" spans="1:10" ht="15" customHeight="1" x14ac:dyDescent="0.15">
      <c r="A6" s="154">
        <v>5</v>
      </c>
      <c r="B6" s="154" t="s">
        <v>196</v>
      </c>
      <c r="C6" s="8">
        <v>4.3642210960388184</v>
      </c>
      <c r="D6" s="9">
        <v>2.8389513492584229</v>
      </c>
      <c r="E6" s="9">
        <v>0.69999998807907104</v>
      </c>
      <c r="F6" s="9">
        <v>2.4000000953674316</v>
      </c>
      <c r="G6" s="9">
        <v>0.8829999566078186</v>
      </c>
      <c r="H6" s="9">
        <v>0.2916666567325592</v>
      </c>
      <c r="I6">
        <v>0.13529475033283234</v>
      </c>
      <c r="J6"/>
    </row>
    <row r="7" spans="1:10" ht="15" customHeight="1" x14ac:dyDescent="0.15">
      <c r="A7" s="155">
        <v>6</v>
      </c>
      <c r="B7" s="155" t="s">
        <v>197</v>
      </c>
      <c r="C7" s="8">
        <v>4.1618080139160156</v>
      </c>
      <c r="D7" s="9">
        <v>4.3505945205688477</v>
      </c>
      <c r="E7" s="9">
        <v>0.76999998092651367</v>
      </c>
      <c r="F7" s="9">
        <v>2.5666666030883789</v>
      </c>
      <c r="G7" s="9">
        <v>0.93300002813339233</v>
      </c>
      <c r="H7" s="9">
        <v>0.30000001192092896</v>
      </c>
      <c r="I7">
        <v>0.13583968579769135</v>
      </c>
      <c r="J7"/>
    </row>
    <row r="8" spans="1:10" ht="15" customHeight="1" x14ac:dyDescent="0.15">
      <c r="A8" s="156">
        <v>7</v>
      </c>
      <c r="B8" s="156" t="s">
        <v>198</v>
      </c>
      <c r="C8" s="8">
        <v>4.1400856971740723</v>
      </c>
      <c r="D8" s="9">
        <v>0.69487893581390381</v>
      </c>
      <c r="E8" s="9">
        <v>0.15999999642372131</v>
      </c>
      <c r="F8" s="9">
        <v>3</v>
      </c>
      <c r="G8" s="9">
        <v>0.92600005865097046</v>
      </c>
      <c r="H8" s="9">
        <v>5.3333330899477005E-2</v>
      </c>
      <c r="I8">
        <v>1.6977103427052498E-2</v>
      </c>
      <c r="J8"/>
    </row>
    <row r="9" spans="1:10" ht="15" customHeight="1" x14ac:dyDescent="0.15">
      <c r="A9" s="157">
        <v>8</v>
      </c>
      <c r="B9" s="157" t="s">
        <v>199</v>
      </c>
      <c r="C9" s="8">
        <v>3.856985330581665</v>
      </c>
      <c r="D9" s="9">
        <v>1.521776556968689</v>
      </c>
      <c r="E9" s="9">
        <v>0.47999998927116394</v>
      </c>
      <c r="F9" s="9">
        <v>1.4500000476837158</v>
      </c>
      <c r="G9" s="9">
        <v>0.79799991846084595</v>
      </c>
      <c r="H9" s="9">
        <v>0.33103445172309875</v>
      </c>
      <c r="I9">
        <v>2.2235095500946045E-2</v>
      </c>
      <c r="J9"/>
    </row>
    <row r="10" spans="1:10" ht="15" customHeight="1" x14ac:dyDescent="0.15">
      <c r="A10" s="158">
        <v>9</v>
      </c>
      <c r="B10" s="158" t="s">
        <v>200</v>
      </c>
      <c r="C10" s="8">
        <v>3.940485954284668</v>
      </c>
      <c r="D10" s="9">
        <v>2.4969546794891357</v>
      </c>
      <c r="E10" s="9">
        <v>0.75</v>
      </c>
      <c r="F10" s="9">
        <v>3.7969999313354492</v>
      </c>
      <c r="G10" s="9">
        <v>0.85100001096725464</v>
      </c>
      <c r="H10" s="9">
        <v>0.19752436876296997</v>
      </c>
      <c r="I10">
        <v>3.5696737468242645E-2</v>
      </c>
      <c r="J10"/>
    </row>
    <row r="11" spans="1:10" ht="15" customHeight="1" x14ac:dyDescent="0.15">
      <c r="A11" s="159">
        <v>10</v>
      </c>
      <c r="B11" s="159" t="s">
        <v>201</v>
      </c>
      <c r="C11" s="8">
        <v>3.974785327911377</v>
      </c>
      <c r="D11" s="9">
        <v>0.27381941676139832</v>
      </c>
      <c r="E11" s="9">
        <v>0.87000000476837158</v>
      </c>
      <c r="F11" s="9">
        <v>4.0229997634887695</v>
      </c>
      <c r="G11" s="9">
        <v>0.91500008106231689</v>
      </c>
      <c r="H11" s="9">
        <v>0.21625654399394989</v>
      </c>
      <c r="I11">
        <v>1.8977101892232895E-2</v>
      </c>
      <c r="J11"/>
    </row>
    <row r="12" spans="1:10" ht="15" customHeight="1" x14ac:dyDescent="0.15">
      <c r="A12" s="160">
        <v>11</v>
      </c>
      <c r="B12" s="160" t="s">
        <v>202</v>
      </c>
      <c r="C12" s="8">
        <v>3.7950148582458496</v>
      </c>
      <c r="D12" s="9">
        <v>4.6996407508850098</v>
      </c>
      <c r="E12" s="9">
        <v>0.86850005388259888</v>
      </c>
      <c r="F12" s="9">
        <v>2.8949999809265137</v>
      </c>
      <c r="G12" s="9">
        <v>0.92299997806549072</v>
      </c>
      <c r="H12" s="9">
        <v>0.30000001192092896</v>
      </c>
      <c r="I12">
        <v>9.1977104544639587E-2</v>
      </c>
      <c r="J12"/>
    </row>
    <row r="13" spans="1:10" ht="15" customHeight="1" x14ac:dyDescent="0.15">
      <c r="A13" s="161">
        <v>12</v>
      </c>
      <c r="B13" s="161" t="s">
        <v>203</v>
      </c>
      <c r="C13" s="8">
        <v>3.8005859851837158</v>
      </c>
      <c r="D13" s="9">
        <v>0.2503865659236908</v>
      </c>
      <c r="E13" s="9">
        <v>4.5</v>
      </c>
      <c r="F13" s="9">
        <v>29.999998092651367</v>
      </c>
      <c r="G13" s="9">
        <v>0.90000009536743164</v>
      </c>
      <c r="H13" s="9">
        <v>0.15000000596046448</v>
      </c>
      <c r="I13">
        <v>8.3542048931121826E-2</v>
      </c>
      <c r="J13"/>
    </row>
    <row r="14" spans="1:10" ht="15" customHeight="1" x14ac:dyDescent="0.15">
      <c r="A14" s="162">
        <v>13</v>
      </c>
      <c r="B14" s="162" t="s">
        <v>204</v>
      </c>
      <c r="C14" s="8">
        <v>3.7201454639434814</v>
      </c>
      <c r="D14" s="9">
        <v>0.15000000596046448</v>
      </c>
      <c r="E14" s="9">
        <v>1.3999999761581421</v>
      </c>
      <c r="F14" s="9">
        <v>4.6669998168945312</v>
      </c>
      <c r="G14" s="9">
        <v>0.77717876434326172</v>
      </c>
      <c r="H14" s="9">
        <v>0.2999785840511322</v>
      </c>
      <c r="I14">
        <v>1.423509418964386E-2</v>
      </c>
      <c r="J14"/>
    </row>
    <row r="15" spans="1:10" ht="15" customHeight="1" x14ac:dyDescent="0.15">
      <c r="A15" s="163">
        <v>14</v>
      </c>
      <c r="B15" s="163" t="s">
        <v>205</v>
      </c>
      <c r="C15" s="8">
        <v>3.7073261737823486</v>
      </c>
      <c r="D15" s="9">
        <v>0.76680070161819458</v>
      </c>
      <c r="E15" s="9">
        <v>1</v>
      </c>
      <c r="F15" s="9">
        <v>4</v>
      </c>
      <c r="G15" s="9">
        <v>0.80000001192092896</v>
      </c>
      <c r="H15" s="9">
        <v>0.25</v>
      </c>
      <c r="I15">
        <v>9.297584742307663E-2</v>
      </c>
      <c r="J15"/>
    </row>
    <row r="16" spans="1:10" ht="15" customHeight="1" x14ac:dyDescent="0.15">
      <c r="A16" s="164">
        <v>15</v>
      </c>
      <c r="B16" s="164" t="s">
        <v>206</v>
      </c>
      <c r="C16" s="8">
        <v>3.5973601341247559</v>
      </c>
      <c r="D16" s="9">
        <v>0.20760080218315125</v>
      </c>
      <c r="E16" s="9">
        <v>5</v>
      </c>
      <c r="F16" s="9">
        <v>16.666666030883789</v>
      </c>
      <c r="G16" s="9">
        <v>0.90000003576278687</v>
      </c>
      <c r="H16" s="9">
        <v>0.30000001192092896</v>
      </c>
      <c r="I16">
        <v>3.8235090672969818E-2</v>
      </c>
      <c r="J16"/>
    </row>
    <row r="17" spans="1:10" ht="15" customHeight="1" x14ac:dyDescent="0.15">
      <c r="A17" s="165">
        <v>16</v>
      </c>
      <c r="B17" s="165" t="s">
        <v>207</v>
      </c>
      <c r="C17" s="8">
        <v>3.572786808013916</v>
      </c>
      <c r="D17" s="9">
        <v>4.172959178686142E-2</v>
      </c>
      <c r="E17" s="9">
        <v>0.80000001192092896</v>
      </c>
      <c r="F17" s="9">
        <v>3.5699999332427979</v>
      </c>
      <c r="G17" s="9">
        <v>0.80000013113021851</v>
      </c>
      <c r="H17" s="9">
        <v>0.22408963739871979</v>
      </c>
      <c r="I17">
        <v>0</v>
      </c>
      <c r="J17"/>
    </row>
    <row r="18" spans="1:10" ht="15" customHeight="1" x14ac:dyDescent="0.15">
      <c r="A18" s="166">
        <v>17</v>
      </c>
      <c r="B18" s="166" t="s">
        <v>208</v>
      </c>
      <c r="C18" s="8">
        <v>3.3715760707855225</v>
      </c>
      <c r="D18" s="9">
        <v>0.87476152181625366</v>
      </c>
      <c r="E18" s="9">
        <v>1.0210000276565552</v>
      </c>
      <c r="F18" s="9">
        <v>3.9500000476837158</v>
      </c>
      <c r="G18" s="9">
        <v>0.95000004768371582</v>
      </c>
      <c r="H18" s="9">
        <v>0.25848102569580078</v>
      </c>
      <c r="I18">
        <v>0.38574269413948059</v>
      </c>
      <c r="J18"/>
    </row>
    <row r="19" spans="1:10" ht="15" customHeight="1" x14ac:dyDescent="0.15">
      <c r="A19" s="167">
        <v>18</v>
      </c>
      <c r="B19" s="167" t="s">
        <v>209</v>
      </c>
      <c r="C19" s="8">
        <v>3.2374632358551025</v>
      </c>
      <c r="D19" s="9">
        <v>2.0004231929779053</v>
      </c>
      <c r="E19" s="9">
        <v>0.69999998807907104</v>
      </c>
      <c r="F19" s="9">
        <v>2.9000000953674316</v>
      </c>
      <c r="G19" s="9">
        <v>0.80500000715255737</v>
      </c>
      <c r="H19" s="9">
        <v>0.24137930572032928</v>
      </c>
      <c r="I19">
        <v>0.26826879382133484</v>
      </c>
      <c r="J19"/>
    </row>
    <row r="20" spans="1:10" ht="15" customHeight="1" x14ac:dyDescent="0.15">
      <c r="A20" s="168">
        <v>19</v>
      </c>
      <c r="B20" s="168" t="s">
        <v>210</v>
      </c>
      <c r="C20" s="8">
        <v>3.4535758495330811</v>
      </c>
      <c r="D20" s="9">
        <v>1.7736867666244507</v>
      </c>
      <c r="E20" s="9">
        <v>0.97500002384185791</v>
      </c>
      <c r="F20" s="9">
        <v>3.4200000762939453</v>
      </c>
      <c r="G20" s="9">
        <v>0.79199999570846558</v>
      </c>
      <c r="H20" s="9">
        <v>0.28508773446083069</v>
      </c>
      <c r="I20">
        <v>2.0235095173120499E-2</v>
      </c>
      <c r="J20"/>
    </row>
    <row r="21" spans="1:10" ht="15" customHeight="1" x14ac:dyDescent="0.15">
      <c r="A21" s="169">
        <v>20</v>
      </c>
      <c r="B21" s="169" t="s">
        <v>211</v>
      </c>
      <c r="C21" s="8">
        <v>3.3766586780548096</v>
      </c>
      <c r="D21" s="9">
        <v>0.49266192317008972</v>
      </c>
      <c r="E21" s="9">
        <v>0.80000001192092896</v>
      </c>
      <c r="F21" s="9">
        <v>2.7000000476837158</v>
      </c>
      <c r="G21" s="9">
        <v>0.8689998984336853</v>
      </c>
      <c r="H21" s="9">
        <v>0.29629629850387573</v>
      </c>
      <c r="I21">
        <v>1.5235094353556633E-2</v>
      </c>
      <c r="J21"/>
    </row>
    <row r="22" spans="1:10" ht="15" customHeight="1" x14ac:dyDescent="0.15">
      <c r="A22" s="170">
        <v>21</v>
      </c>
      <c r="B22" s="170" t="s">
        <v>212</v>
      </c>
      <c r="C22" s="8">
        <v>3.3164489269256592</v>
      </c>
      <c r="D22" s="9">
        <v>2.2000000476837158</v>
      </c>
      <c r="E22" s="9">
        <v>3</v>
      </c>
      <c r="F22" s="9">
        <v>10</v>
      </c>
      <c r="G22" s="9">
        <v>0.53493630886077881</v>
      </c>
      <c r="H22" s="9">
        <v>0.30000001192092896</v>
      </c>
      <c r="I22">
        <v>0.12017567455768585</v>
      </c>
      <c r="J22"/>
    </row>
    <row r="23" spans="1:10" ht="15" customHeight="1" x14ac:dyDescent="0.15">
      <c r="A23" s="171">
        <v>22</v>
      </c>
      <c r="B23" s="171" t="s">
        <v>213</v>
      </c>
      <c r="C23" s="8">
        <v>3.2318317890167236</v>
      </c>
      <c r="D23" s="9">
        <v>0.42957496643066406</v>
      </c>
      <c r="E23" s="9">
        <v>2</v>
      </c>
      <c r="F23" s="9">
        <v>7</v>
      </c>
      <c r="G23" s="9">
        <v>0.89999997615814209</v>
      </c>
      <c r="H23" s="9">
        <v>0.28571429848670959</v>
      </c>
      <c r="I23">
        <v>3.9542050217278302E-4</v>
      </c>
      <c r="J23"/>
    </row>
    <row r="24" spans="1:10" ht="15" customHeight="1" x14ac:dyDescent="0.15">
      <c r="A24" s="172">
        <v>23</v>
      </c>
      <c r="B24" s="172" t="s">
        <v>214</v>
      </c>
      <c r="C24" s="8">
        <v>3.1652200222015381</v>
      </c>
      <c r="D24" s="9">
        <v>0.39900287985801697</v>
      </c>
      <c r="E24" s="9">
        <v>3</v>
      </c>
      <c r="F24" s="9">
        <v>10</v>
      </c>
      <c r="G24" s="9">
        <v>0.83499997854232788</v>
      </c>
      <c r="H24" s="9">
        <v>0.30000001192092896</v>
      </c>
      <c r="I24">
        <v>0</v>
      </c>
      <c r="J24"/>
    </row>
    <row r="25" spans="1:10" ht="15" customHeight="1" x14ac:dyDescent="0.15">
      <c r="A25" s="173">
        <v>24</v>
      </c>
      <c r="B25" s="173" t="s">
        <v>215</v>
      </c>
      <c r="C25" s="8">
        <v>3.228527307510376</v>
      </c>
      <c r="D25" s="9">
        <v>0.95006841421127319</v>
      </c>
      <c r="E25" s="9">
        <v>3</v>
      </c>
      <c r="F25" s="9">
        <v>10.25</v>
      </c>
      <c r="G25" s="9">
        <v>0.80000007152557373</v>
      </c>
      <c r="H25" s="9">
        <v>0.29268291592597961</v>
      </c>
      <c r="I25">
        <v>2.500000037252903E-2</v>
      </c>
      <c r="J25"/>
    </row>
    <row r="26" spans="1:10" ht="15" customHeight="1" x14ac:dyDescent="0.15">
      <c r="A26" s="174">
        <v>25</v>
      </c>
      <c r="B26" s="174" t="s">
        <v>216</v>
      </c>
      <c r="C26" s="8">
        <v>3.152348518371582</v>
      </c>
      <c r="D26" s="9">
        <v>1.5595189332962036</v>
      </c>
      <c r="E26" s="9">
        <v>1.8999999761581421</v>
      </c>
      <c r="F26" s="9">
        <v>8.5</v>
      </c>
      <c r="G26" s="9">
        <v>0.80000001192092896</v>
      </c>
      <c r="H26" s="9">
        <v>0.22352941334247589</v>
      </c>
      <c r="I26">
        <v>2.5395404547452927E-2</v>
      </c>
      <c r="J26"/>
    </row>
    <row r="27" spans="1:10" ht="15" customHeight="1" x14ac:dyDescent="0.15">
      <c r="A27" s="175">
        <v>26</v>
      </c>
      <c r="B27" s="175" t="s">
        <v>217</v>
      </c>
      <c r="C27" s="8">
        <v>3.151378870010376</v>
      </c>
      <c r="D27" s="9">
        <v>3.9259905815124512</v>
      </c>
      <c r="E27" s="9">
        <v>1.7999999523162842</v>
      </c>
      <c r="F27" s="9">
        <v>7</v>
      </c>
      <c r="G27" s="9">
        <v>0.81800001859664917</v>
      </c>
      <c r="H27" s="9">
        <v>0.25714284181594849</v>
      </c>
      <c r="I27">
        <v>0.1201922819018364</v>
      </c>
      <c r="J27"/>
    </row>
    <row r="28" spans="1:10" ht="15" customHeight="1" x14ac:dyDescent="0.15">
      <c r="A28" s="176">
        <v>27</v>
      </c>
      <c r="B28" s="176" t="s">
        <v>218</v>
      </c>
      <c r="C28" s="8">
        <v>3.0013060569763184</v>
      </c>
      <c r="D28" s="9">
        <v>4.1165914535522461</v>
      </c>
      <c r="E28" s="9">
        <v>4</v>
      </c>
      <c r="F28" s="9">
        <v>16</v>
      </c>
      <c r="G28" s="9">
        <v>0.92000001668930054</v>
      </c>
      <c r="H28" s="9">
        <v>0.25</v>
      </c>
      <c r="I28">
        <v>3.1633619219064713E-2</v>
      </c>
      <c r="J28"/>
    </row>
    <row r="29" spans="1:10" ht="15" customHeight="1" x14ac:dyDescent="0.15">
      <c r="A29" s="177">
        <v>28</v>
      </c>
      <c r="B29" s="177" t="s">
        <v>219</v>
      </c>
      <c r="C29" s="8">
        <v>2.6655247211456299</v>
      </c>
      <c r="D29" s="9">
        <v>7.6778883934020996</v>
      </c>
      <c r="E29" s="9">
        <v>6</v>
      </c>
      <c r="F29" s="9">
        <v>24</v>
      </c>
      <c r="G29" s="9">
        <v>0.94999998807907104</v>
      </c>
      <c r="H29" s="9">
        <v>0.25</v>
      </c>
      <c r="I29">
        <v>0.10845047980546951</v>
      </c>
      <c r="J29"/>
    </row>
    <row r="30" spans="1:10" ht="15" customHeight="1" x14ac:dyDescent="0.15">
      <c r="A30" s="178">
        <v>29</v>
      </c>
      <c r="B30" s="178" t="s">
        <v>220</v>
      </c>
      <c r="C30" s="8">
        <v>2.4727170467376709</v>
      </c>
      <c r="D30" s="9">
        <v>17.581409454345703</v>
      </c>
      <c r="E30" s="9">
        <v>3</v>
      </c>
      <c r="F30" s="9">
        <v>12</v>
      </c>
      <c r="G30" s="9">
        <v>0.91699999570846558</v>
      </c>
      <c r="H30" s="9">
        <v>0.25</v>
      </c>
      <c r="I30">
        <v>3.9542049169540405E-2</v>
      </c>
      <c r="J30"/>
    </row>
    <row r="31" spans="1:10" ht="15" customHeight="1" x14ac:dyDescent="0.15">
      <c r="A31" s="179">
        <v>30</v>
      </c>
      <c r="B31" s="179" t="s">
        <v>221</v>
      </c>
      <c r="C31" s="8">
        <v>2.2583045959472656</v>
      </c>
      <c r="D31" s="9">
        <v>2.4594464302062988</v>
      </c>
      <c r="E31" s="9">
        <v>9</v>
      </c>
      <c r="F31" s="9">
        <v>36</v>
      </c>
      <c r="G31" s="9">
        <v>0.8619999885559082</v>
      </c>
      <c r="H31" s="9">
        <v>0.25</v>
      </c>
      <c r="I31">
        <v>0</v>
      </c>
      <c r="J31"/>
    </row>
    <row r="32" spans="1:10" ht="15" customHeight="1" x14ac:dyDescent="0.15">
      <c r="A32" s="207">
        <v>31</v>
      </c>
      <c r="B32" s="207" t="s">
        <v>222</v>
      </c>
      <c r="C32" s="8">
        <v>2.0549793243408203</v>
      </c>
      <c r="D32" s="9">
        <v>6.7340450286865234</v>
      </c>
      <c r="E32" s="9">
        <v>10</v>
      </c>
      <c r="F32" s="9">
        <v>35</v>
      </c>
      <c r="G32" s="9">
        <v>0.87900000810623169</v>
      </c>
      <c r="H32" s="9">
        <v>0.28571429848670959</v>
      </c>
      <c r="I32">
        <v>0</v>
      </c>
      <c r="J32"/>
    </row>
    <row r="33" spans="1:10" ht="15" customHeight="1" x14ac:dyDescent="0.15">
      <c r="A33" s="208">
        <v>32</v>
      </c>
      <c r="B33" s="208" t="s">
        <v>223</v>
      </c>
      <c r="C33" s="8">
        <v>2.0368926525115967</v>
      </c>
      <c r="D33" s="9">
        <v>10</v>
      </c>
      <c r="E33" s="9">
        <v>5</v>
      </c>
      <c r="F33" s="9">
        <v>16.666666030883789</v>
      </c>
      <c r="G33" s="9">
        <v>0.44762000441551208</v>
      </c>
      <c r="H33" s="9">
        <v>0.30000001192092896</v>
      </c>
      <c r="I33">
        <v>0</v>
      </c>
      <c r="J33"/>
    </row>
    <row r="34" spans="1:10" ht="15" customHeight="1" x14ac:dyDescent="0.15">
      <c r="A34" s="209">
        <v>33</v>
      </c>
      <c r="B34" s="209" t="s">
        <v>224</v>
      </c>
      <c r="C34" s="8">
        <v>2.0309276580810547</v>
      </c>
      <c r="D34" s="9">
        <v>8.3207941055297852</v>
      </c>
      <c r="E34" s="9">
        <v>18</v>
      </c>
      <c r="F34" s="9">
        <v>72</v>
      </c>
      <c r="G34" s="9">
        <v>0.80000007152557373</v>
      </c>
      <c r="H34" s="9">
        <v>0.25</v>
      </c>
      <c r="I34">
        <v>0</v>
      </c>
      <c r="J34"/>
    </row>
    <row r="35" spans="1:10" ht="15" customHeight="1" x14ac:dyDescent="0.15">
      <c r="A35" s="210">
        <v>34</v>
      </c>
      <c r="B35" s="210" t="s">
        <v>225</v>
      </c>
      <c r="C35" s="8">
        <v>2</v>
      </c>
      <c r="D35" s="9">
        <v>10.583999633789062</v>
      </c>
      <c r="E35" s="9">
        <v>20</v>
      </c>
      <c r="F35" s="9">
        <v>80</v>
      </c>
      <c r="G35" s="9">
        <v>0.40254238247871399</v>
      </c>
      <c r="H35" s="9">
        <v>0.25</v>
      </c>
      <c r="I35">
        <v>0</v>
      </c>
      <c r="J35"/>
    </row>
    <row r="36" spans="1:10" ht="15" customHeight="1" x14ac:dyDescent="0.15">
      <c r="A36" s="211">
        <v>35</v>
      </c>
      <c r="B36" s="211" t="s">
        <v>226</v>
      </c>
      <c r="C36" s="8">
        <v>2</v>
      </c>
      <c r="D36" s="9">
        <v>1.6390457153320312</v>
      </c>
      <c r="E36" s="9">
        <v>20</v>
      </c>
      <c r="F36" s="9">
        <v>80</v>
      </c>
      <c r="G36" s="9">
        <v>0.73099994659423828</v>
      </c>
      <c r="H36" s="9">
        <v>0.25</v>
      </c>
      <c r="I36">
        <v>0</v>
      </c>
      <c r="J36"/>
    </row>
    <row r="37" spans="1:10" ht="15" customHeight="1" x14ac:dyDescent="0.15">
      <c r="A37" s="212">
        <v>36</v>
      </c>
      <c r="B37" s="212" t="s">
        <v>227</v>
      </c>
      <c r="C37" s="8">
        <v>1</v>
      </c>
      <c r="D37" s="9">
        <v>80</v>
      </c>
      <c r="E37" s="9">
        <v>70</v>
      </c>
      <c r="F37" s="10"/>
      <c r="G37" s="9">
        <v>0.19121377170085907</v>
      </c>
      <c r="H37" s="10"/>
      <c r="I37">
        <v>0</v>
      </c>
      <c r="J37"/>
    </row>
    <row r="38" spans="1:10" ht="15" customHeight="1" x14ac:dyDescent="0.15">
      <c r="A38" s="213">
        <v>37</v>
      </c>
      <c r="B38" s="213" t="s">
        <v>228</v>
      </c>
      <c r="C38" s="8">
        <v>1</v>
      </c>
      <c r="D38" s="9">
        <v>100</v>
      </c>
      <c r="E38" s="10"/>
      <c r="F38" s="10"/>
      <c r="G38" s="7">
        <v>0.21762402355670929</v>
      </c>
      <c r="H38" s="10"/>
      <c r="I38">
        <v>0</v>
      </c>
      <c r="J38"/>
    </row>
    <row r="39" spans="1:10" ht="15" customHeight="1" x14ac:dyDescent="0.15">
      <c r="A39" s="214">
        <v>38</v>
      </c>
      <c r="B39" s="214" t="s">
        <v>229</v>
      </c>
      <c r="C39" s="8">
        <v>1</v>
      </c>
      <c r="D39" s="9">
        <v>5</v>
      </c>
      <c r="E39" s="10"/>
      <c r="F39" s="10"/>
      <c r="G39" s="7">
        <v>0</v>
      </c>
      <c r="H39" s="10"/>
      <c r="I39">
        <v>0</v>
      </c>
      <c r="J39"/>
    </row>
    <row r="40" spans="1:10" ht="15" customHeight="1" x14ac:dyDescent="0.15">
      <c r="A40" s="215">
        <v>39</v>
      </c>
      <c r="B40" s="215" t="s">
        <v>230</v>
      </c>
      <c r="C40" s="8">
        <v>4.6311454772949219</v>
      </c>
      <c r="D40" s="10"/>
      <c r="E40" s="10"/>
      <c r="F40" s="10"/>
      <c r="G40" s="10"/>
      <c r="H40" s="10"/>
      <c r="I40">
        <v>0.82300823926925659</v>
      </c>
      <c r="J40"/>
    </row>
    <row r="41" spans="1:10" ht="15" customHeight="1" x14ac:dyDescent="0.15">
      <c r="A41" s="216">
        <v>40</v>
      </c>
      <c r="B41" s="216" t="s">
        <v>231</v>
      </c>
      <c r="C41" s="8">
        <v>4.8045210838317871</v>
      </c>
      <c r="D41" s="10"/>
      <c r="E41" s="10"/>
      <c r="F41" s="10"/>
      <c r="G41" s="10"/>
      <c r="H41" s="10"/>
      <c r="I41">
        <v>2.0164630841463804E-3</v>
      </c>
      <c r="J41"/>
    </row>
    <row r="42" spans="1:10" ht="15" customHeight="1" x14ac:dyDescent="0.15">
      <c r="A42" s="217">
        <v>41</v>
      </c>
      <c r="B42" s="217" t="s">
        <v>232</v>
      </c>
      <c r="C42" s="8">
        <v>4.4390158653259277</v>
      </c>
      <c r="D42" s="10"/>
      <c r="E42" s="10"/>
      <c r="F42" s="10"/>
      <c r="G42" s="10"/>
      <c r="H42" s="10"/>
      <c r="I42">
        <v>0.72469770908355713</v>
      </c>
      <c r="J42"/>
    </row>
    <row r="43" spans="1:10" ht="15" customHeight="1" x14ac:dyDescent="0.15">
      <c r="A43" s="218">
        <v>42</v>
      </c>
      <c r="B43" s="218" t="s">
        <v>233</v>
      </c>
      <c r="C43" s="8">
        <v>3.6655247211456299</v>
      </c>
      <c r="D43" s="10"/>
      <c r="E43" s="10"/>
      <c r="F43" s="10"/>
      <c r="G43" s="10"/>
      <c r="H43" s="10"/>
      <c r="I43">
        <v>3.5999998450279236E-2</v>
      </c>
      <c r="J43"/>
    </row>
    <row r="44" spans="1:10" ht="15" customHeight="1" x14ac:dyDescent="0.15">
      <c r="A44" s="219">
        <v>43</v>
      </c>
      <c r="B44" s="219" t="s">
        <v>234</v>
      </c>
      <c r="C44" s="8">
        <v>4.3802714347839355</v>
      </c>
      <c r="D44" s="10"/>
      <c r="E44" s="10"/>
      <c r="F44" s="10"/>
      <c r="G44" s="10"/>
      <c r="H44" s="10"/>
      <c r="I44">
        <v>0.21299999952316284</v>
      </c>
      <c r="J44"/>
    </row>
    <row r="45" spans="1:10" ht="15" customHeight="1" x14ac:dyDescent="0.15">
      <c r="A45" s="220">
        <v>44</v>
      </c>
      <c r="B45" s="220" t="s">
        <v>235</v>
      </c>
      <c r="C45" s="8">
        <v>5.1473264694213867</v>
      </c>
      <c r="D45" s="10"/>
      <c r="E45" s="10"/>
      <c r="F45" s="10"/>
      <c r="G45" s="10"/>
      <c r="H45" s="10"/>
      <c r="I45">
        <v>3.0000000260770321E-3</v>
      </c>
      <c r="J45"/>
    </row>
    <row r="46" spans="1:10" ht="15" customHeight="1" x14ac:dyDescent="0.15">
      <c r="A46" s="221">
        <v>45</v>
      </c>
      <c r="B46" s="221" t="s">
        <v>236</v>
      </c>
      <c r="C46" s="8">
        <v>4.650660514831543</v>
      </c>
      <c r="D46" s="10"/>
      <c r="E46" s="10"/>
      <c r="F46" s="10"/>
      <c r="G46" s="10"/>
      <c r="H46" s="10"/>
      <c r="I46">
        <v>5.3999997675418854E-2</v>
      </c>
      <c r="J46"/>
    </row>
    <row r="47" spans="1:10" ht="15" customHeight="1" x14ac:dyDescent="0.15">
      <c r="A47" s="222">
        <v>46</v>
      </c>
      <c r="B47" s="222" t="s">
        <v>237</v>
      </c>
      <c r="C47" s="8">
        <v>3.8361775875091553</v>
      </c>
      <c r="D47" s="10"/>
      <c r="E47" s="10"/>
      <c r="F47" s="10"/>
      <c r="G47" s="10"/>
      <c r="H47" s="10"/>
      <c r="I47">
        <v>2.3000000044703484E-2</v>
      </c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2" bestFit="1" customWidth="1"/>
    <col min="2" max="4" width="9.5" style="82" bestFit="1" customWidth="1"/>
    <col min="5" max="7" width="9" style="82" bestFit="1" customWidth="1"/>
    <col min="8" max="16" width="12.6640625" style="82" bestFit="1" customWidth="1"/>
    <col min="17" max="17" width="12.33203125" style="82" bestFit="1" customWidth="1"/>
    <col min="18" max="18" width="8.83203125" style="82"/>
    <col min="19" max="21" width="9.33203125" style="82" bestFit="1" customWidth="1"/>
    <col min="22" max="23" width="8.83203125" style="82"/>
    <col min="24" max="24" width="9.33203125" style="82" bestFit="1" customWidth="1"/>
    <col min="25" max="27" width="8.83203125" style="82"/>
    <col min="28" max="58" width="9" style="82" bestFit="1" customWidth="1"/>
    <col min="59" max="59" width="12.33203125" style="82" bestFit="1" customWidth="1"/>
    <col min="60" max="60" width="9" style="82" bestFit="1" customWidth="1"/>
    <col min="61" max="61" width="11.33203125" style="82" bestFit="1" customWidth="1"/>
    <col min="62" max="77" width="9" style="82" bestFit="1" customWidth="1"/>
    <col min="78" max="78" width="12.33203125" style="82" bestFit="1" customWidth="1"/>
    <col min="79" max="79" width="9" style="82" bestFit="1" customWidth="1"/>
    <col min="80" max="80" width="12.33203125" style="82" bestFit="1" customWidth="1"/>
    <col min="81" max="107" width="9" style="82" bestFit="1" customWidth="1"/>
    <col min="108" max="108" width="11.33203125" style="82" bestFit="1" customWidth="1"/>
    <col min="109" max="124" width="9" style="82" bestFit="1" customWidth="1"/>
    <col min="125" max="125" width="10.33203125" style="82" bestFit="1" customWidth="1"/>
    <col min="126" max="129" width="9.33203125" style="82" bestFit="1" customWidth="1"/>
    <col min="130" max="130" width="9" style="82" bestFit="1" customWidth="1"/>
    <col min="131" max="134" width="9.33203125" style="82" bestFit="1" customWidth="1"/>
    <col min="135" max="165" width="9" style="82" bestFit="1" customWidth="1"/>
    <col min="166" max="166" width="12.33203125" style="82" bestFit="1" customWidth="1"/>
    <col min="167" max="170" width="9" style="82" bestFit="1" customWidth="1"/>
    <col min="171" max="176" width="8.83203125" style="82"/>
    <col min="177" max="177" width="13.83203125" style="82" bestFit="1" customWidth="1"/>
    <col min="178" max="16384" width="8.83203125" style="82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242</v>
      </c>
      <c r="E1" t="s">
        <v>243</v>
      </c>
      <c r="F1" t="s">
        <v>244</v>
      </c>
      <c r="G1" t="s">
        <v>245</v>
      </c>
      <c r="H1" t="s">
        <v>246</v>
      </c>
      <c r="I1" t="s">
        <v>247</v>
      </c>
      <c r="J1" t="s">
        <v>248</v>
      </c>
      <c r="K1" t="s">
        <v>249</v>
      </c>
      <c r="L1" t="s">
        <v>192</v>
      </c>
      <c r="M1" t="s">
        <v>193</v>
      </c>
      <c r="N1" t="s">
        <v>194</v>
      </c>
      <c r="O1" t="s">
        <v>195</v>
      </c>
      <c r="P1" t="s">
        <v>196</v>
      </c>
      <c r="Q1" t="s">
        <v>197</v>
      </c>
      <c r="R1" t="s">
        <v>198</v>
      </c>
      <c r="S1" t="s">
        <v>199</v>
      </c>
      <c r="T1" t="s">
        <v>200</v>
      </c>
      <c r="U1" t="s">
        <v>201</v>
      </c>
      <c r="V1" t="s">
        <v>202</v>
      </c>
      <c r="W1" t="s">
        <v>203</v>
      </c>
      <c r="X1" t="s">
        <v>204</v>
      </c>
      <c r="Y1" t="s">
        <v>205</v>
      </c>
      <c r="Z1" t="s">
        <v>206</v>
      </c>
      <c r="AA1" t="s">
        <v>207</v>
      </c>
      <c r="AB1" t="s">
        <v>208</v>
      </c>
      <c r="AC1" t="s">
        <v>209</v>
      </c>
      <c r="AD1" t="s">
        <v>210</v>
      </c>
      <c r="AE1" t="s">
        <v>211</v>
      </c>
      <c r="AF1" t="s">
        <v>212</v>
      </c>
      <c r="AG1" t="s">
        <v>213</v>
      </c>
      <c r="AH1" t="s">
        <v>214</v>
      </c>
      <c r="AI1" t="s">
        <v>215</v>
      </c>
      <c r="AJ1" t="s">
        <v>216</v>
      </c>
      <c r="AK1" t="s">
        <v>217</v>
      </c>
      <c r="AL1" t="s">
        <v>218</v>
      </c>
      <c r="AM1" t="s">
        <v>219</v>
      </c>
      <c r="AN1" t="s">
        <v>220</v>
      </c>
      <c r="AO1" t="s">
        <v>221</v>
      </c>
      <c r="AP1" t="s">
        <v>222</v>
      </c>
      <c r="AQ1" t="s">
        <v>223</v>
      </c>
      <c r="AR1" t="s">
        <v>224</v>
      </c>
      <c r="AS1" t="s">
        <v>225</v>
      </c>
      <c r="AT1" t="s">
        <v>226</v>
      </c>
      <c r="AU1" t="s">
        <v>227</v>
      </c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7.0000000298023224E-2</v>
      </c>
      <c r="C2">
        <v>1.39999995008111E-2</v>
      </c>
      <c r="D2"/>
      <c r="E2"/>
      <c r="F2"/>
      <c r="G2"/>
      <c r="H2"/>
      <c r="I2"/>
      <c r="J2"/>
      <c r="K2"/>
      <c r="L2" s="73">
        <v>6.5399743616580963E-3</v>
      </c>
      <c r="M2"/>
      <c r="N2"/>
      <c r="O2"/>
      <c r="P2"/>
      <c r="Q2"/>
      <c r="R2" s="236">
        <v>4.9460027366876602E-2</v>
      </c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9.0000003576278687E-2</v>
      </c>
      <c r="C3">
        <v>8.9227922260761261E-2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 s="22">
        <v>7.720837602391839E-4</v>
      </c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0.80000001192092896</v>
      </c>
      <c r="C4">
        <v>0.15999989211559296</v>
      </c>
      <c r="D4"/>
      <c r="E4"/>
      <c r="F4"/>
      <c r="G4"/>
      <c r="H4"/>
      <c r="I4"/>
      <c r="J4"/>
      <c r="K4"/>
      <c r="L4" s="232">
        <v>0.23074908554553986</v>
      </c>
      <c r="M4" s="66">
        <v>3.2436896115541458E-2</v>
      </c>
      <c r="N4"/>
      <c r="O4"/>
      <c r="P4"/>
      <c r="Q4"/>
      <c r="R4" s="233">
        <v>0.37681412696838379</v>
      </c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0.34999999403953552</v>
      </c>
      <c r="C5">
        <v>7.0000015199184418E-2</v>
      </c>
      <c r="D5" s="223">
        <v>0.11581314355134964</v>
      </c>
      <c r="E5" s="11">
        <v>4.2363744796602987E-6</v>
      </c>
      <c r="F5"/>
      <c r="G5"/>
      <c r="H5"/>
      <c r="I5"/>
      <c r="J5"/>
      <c r="K5"/>
      <c r="L5" s="17">
        <v>4.5533250086009502E-3</v>
      </c>
      <c r="M5"/>
      <c r="N5" s="11">
        <v>9.5054288976825774E-5</v>
      </c>
      <c r="O5"/>
      <c r="P5" s="226">
        <v>2.4302802979946136E-2</v>
      </c>
      <c r="Q5"/>
      <c r="R5" s="15">
        <v>3.7177985068410635E-3</v>
      </c>
      <c r="S5" s="65">
        <v>7.8705763444304466E-3</v>
      </c>
      <c r="T5" s="235">
        <v>3.3817294985055923E-2</v>
      </c>
      <c r="U5" s="18">
        <v>3.9291796274483204E-3</v>
      </c>
      <c r="V5" s="239">
        <v>4.9014229327440262E-2</v>
      </c>
      <c r="W5"/>
      <c r="X5" s="23">
        <v>2.1474105305969715E-3</v>
      </c>
      <c r="Y5"/>
      <c r="Z5"/>
      <c r="AA5"/>
      <c r="AB5"/>
      <c r="AC5"/>
      <c r="AD5"/>
      <c r="AE5"/>
      <c r="AF5"/>
      <c r="AG5"/>
      <c r="AH5"/>
      <c r="AI5" s="144">
        <v>3.4734919667243958E-2</v>
      </c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0.69999998807907104</v>
      </c>
      <c r="C6">
        <v>8.1900030374526978E-2</v>
      </c>
      <c r="D6" s="65">
        <v>1.5688186511397362E-2</v>
      </c>
      <c r="E6" s="11">
        <v>3.3121386877610348E-7</v>
      </c>
      <c r="F6" s="228">
        <v>3.0911343172192574E-2</v>
      </c>
      <c r="G6"/>
      <c r="H6" s="14">
        <v>1.0567281860858202E-3</v>
      </c>
      <c r="I6"/>
      <c r="J6"/>
      <c r="K6"/>
      <c r="L6" s="272">
        <v>0.34391683340072632</v>
      </c>
      <c r="M6" s="11">
        <v>6.3209510699380189E-5</v>
      </c>
      <c r="N6" s="11">
        <v>4.5370435691438615E-4</v>
      </c>
      <c r="O6" s="28">
        <v>2.4992648512125015E-2</v>
      </c>
      <c r="P6" s="256">
        <v>0.11614309251308441</v>
      </c>
      <c r="Q6" s="228">
        <v>3.1466618180274963E-2</v>
      </c>
      <c r="R6" s="25">
        <v>2.1284259855747223E-2</v>
      </c>
      <c r="S6"/>
      <c r="T6"/>
      <c r="U6"/>
      <c r="V6"/>
      <c r="W6"/>
      <c r="X6" s="26">
        <v>1.820802316069603E-2</v>
      </c>
      <c r="Y6"/>
      <c r="Z6"/>
      <c r="AA6" s="11">
        <v>5.2685139235109091E-4</v>
      </c>
      <c r="AB6" s="21">
        <v>1.3388178311288357E-2</v>
      </c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0.76999998092651367</v>
      </c>
      <c r="C7">
        <v>5.1589976996183395E-2</v>
      </c>
      <c r="D7" s="224">
        <v>3.0303698033094406E-2</v>
      </c>
      <c r="E7" s="11">
        <v>2.299863554071635E-4</v>
      </c>
      <c r="F7" s="11">
        <v>2.2985365649219602E-4</v>
      </c>
      <c r="G7"/>
      <c r="H7" s="11">
        <v>2.2985365649219602E-4</v>
      </c>
      <c r="I7" s="11">
        <v>2.2985365649219602E-4</v>
      </c>
      <c r="J7"/>
      <c r="K7"/>
      <c r="L7" s="269">
        <v>0.20107471942901611</v>
      </c>
      <c r="M7" s="12">
        <v>2.6506939902901649E-3</v>
      </c>
      <c r="N7" s="22">
        <v>6.3221091404557228E-3</v>
      </c>
      <c r="O7" s="12">
        <v>2.4451578501611948E-3</v>
      </c>
      <c r="P7" s="149">
        <v>0.19264000654220581</v>
      </c>
      <c r="Q7" s="107">
        <v>5.1333330571651459E-2</v>
      </c>
      <c r="R7" s="18">
        <v>9.6742203459143639E-3</v>
      </c>
      <c r="S7"/>
      <c r="T7"/>
      <c r="U7"/>
      <c r="V7"/>
      <c r="W7" s="268">
        <v>0.18084071576595306</v>
      </c>
      <c r="X7" s="23">
        <v>4.8916349187493324E-3</v>
      </c>
      <c r="Y7" s="13">
        <v>2.8150958940386772E-2</v>
      </c>
      <c r="Z7"/>
      <c r="AA7"/>
      <c r="AB7" s="23">
        <v>5.2418201230466366E-3</v>
      </c>
      <c r="AC7"/>
      <c r="AD7"/>
      <c r="AE7"/>
      <c r="AF7"/>
      <c r="AG7" s="14">
        <v>1.9214681815356016E-3</v>
      </c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0.15999999642372131</v>
      </c>
      <c r="C8">
        <v>1.1839990504086018E-2</v>
      </c>
      <c r="D8" s="225">
        <v>1.8675224855542183E-2</v>
      </c>
      <c r="E8" s="11">
        <v>1.1872572258653236E-7</v>
      </c>
      <c r="F8"/>
      <c r="G8"/>
      <c r="H8" s="19">
        <v>2.8781993314623833E-3</v>
      </c>
      <c r="I8" s="19">
        <v>2.8781993314623833E-3</v>
      </c>
      <c r="J8"/>
      <c r="K8"/>
      <c r="L8"/>
      <c r="M8" s="11">
        <v>2.6324623831897043E-5</v>
      </c>
      <c r="N8"/>
      <c r="O8" s="12">
        <v>7.6254422310739756E-4</v>
      </c>
      <c r="P8"/>
      <c r="Q8"/>
      <c r="R8" s="246">
        <v>0.12293939292430878</v>
      </c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0.47999998927116394</v>
      </c>
      <c r="C9">
        <v>9.696003794670105E-2</v>
      </c>
      <c r="D9" s="147">
        <v>1.3953756541013718E-2</v>
      </c>
      <c r="E9" s="11">
        <v>3.902018193002732E-7</v>
      </c>
      <c r="F9"/>
      <c r="G9"/>
      <c r="H9" s="14">
        <v>6.5712671494111419E-4</v>
      </c>
      <c r="I9"/>
      <c r="J9"/>
      <c r="K9"/>
      <c r="L9" s="11">
        <v>1.677722466411069E-4</v>
      </c>
      <c r="M9"/>
      <c r="N9"/>
      <c r="O9"/>
      <c r="P9"/>
      <c r="Q9" s="264">
        <v>0.36689102649688721</v>
      </c>
      <c r="R9" s="14">
        <v>1.369863748550415E-3</v>
      </c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0.75</v>
      </c>
      <c r="C10">
        <v>0.11174999177455902</v>
      </c>
      <c r="D10" s="17">
        <v>1.0615971870720387E-2</v>
      </c>
      <c r="E10" s="11">
        <v>7.5331762161567895E-8</v>
      </c>
      <c r="F10" s="12">
        <v>2.4785993155092001E-3</v>
      </c>
      <c r="G10"/>
      <c r="H10" s="14">
        <v>1.201463514007628E-3</v>
      </c>
      <c r="I10"/>
      <c r="J10"/>
      <c r="K10"/>
      <c r="L10" s="17">
        <v>1.0271499864757061E-2</v>
      </c>
      <c r="M10" s="11">
        <v>1.3560231309384108E-4</v>
      </c>
      <c r="N10" s="11">
        <v>3.5457013291306794E-4</v>
      </c>
      <c r="O10" s="26">
        <v>1.8880527466535568E-2</v>
      </c>
      <c r="P10" s="227">
        <v>2.4550244212150574E-2</v>
      </c>
      <c r="Q10" s="266">
        <v>0.22360284626483917</v>
      </c>
      <c r="R10" s="26">
        <v>1.9584322348237038E-2</v>
      </c>
      <c r="S10"/>
      <c r="T10" s="267">
        <v>0.29271075129508972</v>
      </c>
      <c r="U10" s="25">
        <v>2.2940712049603462E-2</v>
      </c>
      <c r="V10"/>
      <c r="W10"/>
      <c r="X10" s="12">
        <v>3.5549839958548546E-3</v>
      </c>
      <c r="Y10"/>
      <c r="Z10"/>
      <c r="AA10" s="11">
        <v>5.9662529565684963E-6</v>
      </c>
      <c r="AB10" s="15">
        <v>7.3618628084659576E-3</v>
      </c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0.87000000476837158</v>
      </c>
      <c r="C11">
        <v>7.3949933052062988E-2</v>
      </c>
      <c r="D11" s="70">
        <v>6.2000788748264313E-2</v>
      </c>
      <c r="E11" s="11">
        <v>3.0129345418572484E-7</v>
      </c>
      <c r="F11"/>
      <c r="G11"/>
      <c r="H11" s="22">
        <v>7.304084487259388E-3</v>
      </c>
      <c r="I11"/>
      <c r="J11"/>
      <c r="K11"/>
      <c r="L11"/>
      <c r="M11" s="11">
        <v>6.6871516173705459E-4</v>
      </c>
      <c r="N11"/>
      <c r="O11"/>
      <c r="P11" s="242">
        <v>0.17410707473754883</v>
      </c>
      <c r="Q11"/>
      <c r="R11" s="22">
        <v>7.6131438836455345E-3</v>
      </c>
      <c r="S11"/>
      <c r="T11" s="250">
        <v>0.54430150985717773</v>
      </c>
      <c r="U11"/>
      <c r="V11"/>
      <c r="W11"/>
      <c r="X11"/>
      <c r="Y11"/>
      <c r="Z11"/>
      <c r="AA11" s="11">
        <v>5.4406162234954536E-5</v>
      </c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0.86850005388259888</v>
      </c>
      <c r="C12">
        <v>6.687452644109726E-2</v>
      </c>
      <c r="D12" s="21">
        <v>1.7230471596121788E-2</v>
      </c>
      <c r="E12" s="11">
        <v>1.7554533826569241E-8</v>
      </c>
      <c r="F12" s="14">
        <v>1.9150399602949619E-3</v>
      </c>
      <c r="G12"/>
      <c r="H12" s="11">
        <v>2.1278223721310496E-4</v>
      </c>
      <c r="I12"/>
      <c r="J12"/>
      <c r="K12" s="11">
        <v>2.1278223721310496E-4</v>
      </c>
      <c r="L12"/>
      <c r="M12" s="147">
        <v>2.4783501401543617E-2</v>
      </c>
      <c r="N12" s="11">
        <v>2.7092271920992061E-5</v>
      </c>
      <c r="O12"/>
      <c r="P12" s="242">
        <v>0.17391206324100494</v>
      </c>
      <c r="Q12" s="273">
        <v>0.2376037985086441</v>
      </c>
      <c r="R12"/>
      <c r="S12" s="23">
        <v>4.6952017582952976E-3</v>
      </c>
      <c r="T12" s="234">
        <v>0.21632310748100281</v>
      </c>
      <c r="U12" s="12">
        <v>2.8127478435635567E-3</v>
      </c>
      <c r="V12" s="262">
        <v>9.8632648587226868E-2</v>
      </c>
      <c r="W12"/>
      <c r="X12" s="14">
        <v>2.2045813966542482E-3</v>
      </c>
      <c r="Y12" s="17">
        <v>1.2054376304149628E-2</v>
      </c>
      <c r="Z12"/>
      <c r="AA12"/>
      <c r="AB12" s="22">
        <v>7.3522813618183136E-3</v>
      </c>
      <c r="AC12"/>
      <c r="AD12"/>
      <c r="AE12"/>
      <c r="AF12"/>
      <c r="AG12"/>
      <c r="AH12" s="14">
        <v>1.6530221328139305E-3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4.5</v>
      </c>
      <c r="C13">
        <v>0.44999957084655762</v>
      </c>
      <c r="D13" s="28">
        <v>0.15791741013526917</v>
      </c>
      <c r="E13" s="11">
        <v>6.5882127273653168E-6</v>
      </c>
      <c r="F13"/>
      <c r="G13"/>
      <c r="H13"/>
      <c r="I13"/>
      <c r="J13" s="224">
        <v>0.17572827637195587</v>
      </c>
      <c r="K13"/>
      <c r="L13" s="14">
        <v>1.0196708142757416E-2</v>
      </c>
      <c r="M13"/>
      <c r="N13" s="17">
        <v>5.9129014611244202E-2</v>
      </c>
      <c r="O13" s="14">
        <v>1.0601312853395939E-2</v>
      </c>
      <c r="P13"/>
      <c r="Q13" s="261">
        <v>1.7838857173919678</v>
      </c>
      <c r="R13" s="19">
        <v>7.8136049211025238E-2</v>
      </c>
      <c r="S13" s="29">
        <v>0.211504265666008</v>
      </c>
      <c r="T13"/>
      <c r="U13"/>
      <c r="V13"/>
      <c r="W13" s="227">
        <v>0.14999999105930328</v>
      </c>
      <c r="X13"/>
      <c r="Y13"/>
      <c r="Z13" s="257">
        <v>1.3818687200546265</v>
      </c>
      <c r="AA13"/>
      <c r="AB13"/>
      <c r="AC13"/>
      <c r="AD13"/>
      <c r="AE13"/>
      <c r="AF13"/>
      <c r="AG13"/>
      <c r="AH13" s="22">
        <v>3.1026465818285942E-2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1.3999999761581421</v>
      </c>
      <c r="C14">
        <v>0.31194972991943359</v>
      </c>
      <c r="D14" s="226">
        <v>9.4896659255027771E-2</v>
      </c>
      <c r="E14" s="11">
        <v>3.9586666389368474E-6</v>
      </c>
      <c r="F14"/>
      <c r="G14"/>
      <c r="H14"/>
      <c r="I14"/>
      <c r="J14"/>
      <c r="K14"/>
      <c r="L14"/>
      <c r="M14"/>
      <c r="N14" s="23">
        <v>7.8960591927170753E-3</v>
      </c>
      <c r="O14"/>
      <c r="P14"/>
      <c r="Q14" s="240">
        <v>0.22333046793937683</v>
      </c>
      <c r="R14" s="15">
        <v>1.389751024544239E-2</v>
      </c>
      <c r="S14" s="237">
        <v>7.3552533984184265E-2</v>
      </c>
      <c r="T14" s="27">
        <v>0.10745061933994293</v>
      </c>
      <c r="U14"/>
      <c r="V14" s="244">
        <v>0.44898015260696411</v>
      </c>
      <c r="W14"/>
      <c r="X14"/>
      <c r="Y14" s="29">
        <v>6.6251575946807861E-2</v>
      </c>
      <c r="Z14"/>
      <c r="AA14"/>
      <c r="AB14"/>
      <c r="AC14"/>
      <c r="AD14"/>
      <c r="AE14"/>
      <c r="AF14"/>
      <c r="AG14"/>
      <c r="AH14" s="13">
        <v>5.1790732890367508E-2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</v>
      </c>
      <c r="C15">
        <v>0.19999998807907104</v>
      </c>
      <c r="D15" s="70">
        <v>7.0462115108966827E-2</v>
      </c>
      <c r="E15" s="11">
        <v>9.809589300857624E-7</v>
      </c>
      <c r="F15" s="66">
        <v>4.035559669137001E-2</v>
      </c>
      <c r="G15"/>
      <c r="H15" s="15">
        <v>1.0432959534227848E-2</v>
      </c>
      <c r="I15"/>
      <c r="J15"/>
      <c r="K15"/>
      <c r="L15" s="227">
        <v>3.3447373658418655E-2</v>
      </c>
      <c r="M15" s="11">
        <v>2.3855516701587476E-5</v>
      </c>
      <c r="N15" s="11">
        <v>1.5832264034543186E-4</v>
      </c>
      <c r="O15" s="16">
        <v>1.5643415972590446E-2</v>
      </c>
      <c r="P15" s="247">
        <v>0.12079958617687225</v>
      </c>
      <c r="Q15"/>
      <c r="R15" s="23">
        <v>6.0869515873491764E-3</v>
      </c>
      <c r="S15"/>
      <c r="T15" s="234">
        <v>0.2488928884267807</v>
      </c>
      <c r="U15" s="237">
        <v>5.3153697401285172E-2</v>
      </c>
      <c r="V15" s="20">
        <v>4.4003013521432877E-2</v>
      </c>
      <c r="W15"/>
      <c r="X15" s="12">
        <v>3.1861923635005951E-3</v>
      </c>
      <c r="Y15" s="14">
        <v>1.7199999419972301E-3</v>
      </c>
      <c r="Z15"/>
      <c r="AA15" s="11">
        <v>3.8856152968946844E-5</v>
      </c>
      <c r="AB15" s="25">
        <v>3.1542949378490448E-2</v>
      </c>
      <c r="AC15" s="144">
        <v>9.9788889288902283E-2</v>
      </c>
      <c r="AD15"/>
      <c r="AE15"/>
      <c r="AF15"/>
      <c r="AG15"/>
      <c r="AH15" s="21">
        <v>2.0262395963072777E-2</v>
      </c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5</v>
      </c>
      <c r="C16">
        <v>0.49999982118606567</v>
      </c>
      <c r="D16" s="227">
        <v>0.16972236335277557</v>
      </c>
      <c r="E16" s="11">
        <v>2.8602971724467352E-6</v>
      </c>
      <c r="F16"/>
      <c r="G16"/>
      <c r="H16"/>
      <c r="I16"/>
      <c r="J16"/>
      <c r="K16" s="14">
        <v>1.445081178098917E-2</v>
      </c>
      <c r="L16" s="14">
        <v>6.1491071246564388E-3</v>
      </c>
      <c r="M16" s="11">
        <v>8.6439325241371989E-4</v>
      </c>
      <c r="N16" s="11">
        <v>6.1331142205744982E-4</v>
      </c>
      <c r="O16"/>
      <c r="P16"/>
      <c r="Q16" s="271">
        <v>4.3030762672424316</v>
      </c>
      <c r="R16" s="14">
        <v>5.1211719401180744E-3</v>
      </c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0.80000001192092896</v>
      </c>
      <c r="C17">
        <v>0.15999989211559296</v>
      </c>
      <c r="D17"/>
      <c r="E17"/>
      <c r="F17"/>
      <c r="G17"/>
      <c r="H17"/>
      <c r="I17"/>
      <c r="J17"/>
      <c r="K17"/>
      <c r="L17" s="238">
        <v>0.30518537759780884</v>
      </c>
      <c r="M17" s="24">
        <v>2.1492607891559601E-2</v>
      </c>
      <c r="N17"/>
      <c r="O17"/>
      <c r="P17"/>
      <c r="Q17"/>
      <c r="R17" s="234">
        <v>0.19972246885299683</v>
      </c>
      <c r="S17"/>
      <c r="T17" s="77">
        <v>0.11359968781471252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1.0210000276565552</v>
      </c>
      <c r="C18">
        <v>5.1049951463937759E-2</v>
      </c>
      <c r="D18" s="17">
        <v>1.3718024827539921E-2</v>
      </c>
      <c r="E18"/>
      <c r="F18" s="229">
        <v>0.26149150729179382</v>
      </c>
      <c r="G18"/>
      <c r="H18" s="231">
        <v>0.16575945913791656</v>
      </c>
      <c r="I18"/>
      <c r="J18"/>
      <c r="K18"/>
      <c r="L18" s="224">
        <v>4.0317762643098831E-2</v>
      </c>
      <c r="M18" s="11">
        <v>2.0514018251560628E-4</v>
      </c>
      <c r="N18"/>
      <c r="O18"/>
      <c r="P18"/>
      <c r="Q18" s="110">
        <v>0.38295665383338928</v>
      </c>
      <c r="R18" s="224">
        <v>3.9611548185348511E-2</v>
      </c>
      <c r="S18"/>
      <c r="T18" s="67">
        <v>6.4704708755016327E-2</v>
      </c>
      <c r="U18"/>
      <c r="V18"/>
      <c r="W18"/>
      <c r="X18"/>
      <c r="Y18"/>
      <c r="Z18"/>
      <c r="AA18" s="14">
        <v>1.1853098403662443E-3</v>
      </c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0.69999998807907104</v>
      </c>
      <c r="C19">
        <v>0.13649998605251312</v>
      </c>
      <c r="D19" s="12">
        <v>2.4994709528982639E-3</v>
      </c>
      <c r="E19"/>
      <c r="F19" s="230">
        <v>0.1311066597700119</v>
      </c>
      <c r="G19"/>
      <c r="H19" s="11">
        <v>4.9989426042884588E-4</v>
      </c>
      <c r="I19"/>
      <c r="J19"/>
      <c r="K19"/>
      <c r="L19" s="249">
        <v>6.3211709260940552E-2</v>
      </c>
      <c r="M19"/>
      <c r="N19"/>
      <c r="O19"/>
      <c r="P19" s="76">
        <v>4.5283004641532898E-2</v>
      </c>
      <c r="Q19"/>
      <c r="R19" s="16">
        <v>1.0415717028081417E-2</v>
      </c>
      <c r="S19"/>
      <c r="T19"/>
      <c r="U19" s="29">
        <v>3.3040266484022141E-2</v>
      </c>
      <c r="V19" s="260">
        <v>0.20403872430324554</v>
      </c>
      <c r="W19"/>
      <c r="X19"/>
      <c r="Y19"/>
      <c r="Z19"/>
      <c r="AA19"/>
      <c r="AB19" s="245">
        <v>3.4545771777629852E-2</v>
      </c>
      <c r="AC19"/>
      <c r="AD19"/>
      <c r="AE19"/>
      <c r="AF19"/>
      <c r="AG19"/>
      <c r="AH19" s="64">
        <v>3.8858767598867416E-2</v>
      </c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0.97500002384185791</v>
      </c>
      <c r="C20">
        <v>0.20280000567436218</v>
      </c>
      <c r="D20" s="15">
        <v>1.0280563496053219E-2</v>
      </c>
      <c r="E20" s="11">
        <v>5.6413223501294851E-4</v>
      </c>
      <c r="F20"/>
      <c r="G20"/>
      <c r="H20" s="11">
        <v>5.6379742454737425E-4</v>
      </c>
      <c r="I20"/>
      <c r="J20"/>
      <c r="K20"/>
      <c r="L20" s="14">
        <v>1.4394416939467192E-3</v>
      </c>
      <c r="M20"/>
      <c r="N20" s="23">
        <v>5.5090747773647308E-3</v>
      </c>
      <c r="O20"/>
      <c r="P20"/>
      <c r="Q20" s="68">
        <v>5.0365261733531952E-2</v>
      </c>
      <c r="R20"/>
      <c r="S20" s="26">
        <v>2.4881238117814064E-2</v>
      </c>
      <c r="T20" s="258">
        <v>0.20242756605148315</v>
      </c>
      <c r="U20" s="18">
        <v>1.2421307153999805E-2</v>
      </c>
      <c r="V20" s="143">
        <v>0.44620594382286072</v>
      </c>
      <c r="W20"/>
      <c r="X20" s="11">
        <v>1.9734319721464999E-5</v>
      </c>
      <c r="Y20"/>
      <c r="Z20"/>
      <c r="AA20"/>
      <c r="AB20"/>
      <c r="AC20"/>
      <c r="AD20"/>
      <c r="AE20"/>
      <c r="AF20"/>
      <c r="AG20"/>
      <c r="AH20" s="19">
        <v>1.7521936446428299E-2</v>
      </c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0.80000001192092896</v>
      </c>
      <c r="C21">
        <v>0.10480008274316788</v>
      </c>
      <c r="D21" s="224">
        <v>3.0922828242182732E-2</v>
      </c>
      <c r="E21" s="11">
        <v>1.2052889815095114E-6</v>
      </c>
      <c r="F21"/>
      <c r="G21"/>
      <c r="H21"/>
      <c r="I21"/>
      <c r="J21"/>
      <c r="K21"/>
      <c r="L21" s="23">
        <v>5.1822932437062263E-3</v>
      </c>
      <c r="M21"/>
      <c r="N21" s="14">
        <v>1.2020503636449575E-3</v>
      </c>
      <c r="O21"/>
      <c r="P21"/>
      <c r="Q21" s="243">
        <v>0.13599416613578796</v>
      </c>
      <c r="R21"/>
      <c r="S21" s="241">
        <v>8.9577697217464447E-2</v>
      </c>
      <c r="T21"/>
      <c r="U21" s="65">
        <v>1.788773201406002E-2</v>
      </c>
      <c r="V21" s="253">
        <v>0.35127830505371094</v>
      </c>
      <c r="W21"/>
      <c r="X21" s="11">
        <v>7.1047710662242025E-5</v>
      </c>
      <c r="Y21"/>
      <c r="Z21"/>
      <c r="AA21"/>
      <c r="AB21"/>
      <c r="AC21"/>
      <c r="AD21"/>
      <c r="AE21"/>
      <c r="AF21"/>
      <c r="AG21"/>
      <c r="AH21" s="74">
        <v>6.3082665205001831E-2</v>
      </c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3</v>
      </c>
      <c r="C22">
        <v>1.3951910734176636</v>
      </c>
      <c r="D22" s="19">
        <v>5.2351225167512894E-2</v>
      </c>
      <c r="E22" s="11">
        <v>1.3496363635567832E-6</v>
      </c>
      <c r="F22"/>
      <c r="G22"/>
      <c r="H22"/>
      <c r="I22"/>
      <c r="J22" s="11">
        <v>2.2727272007614374E-3</v>
      </c>
      <c r="K22"/>
      <c r="L22"/>
      <c r="M22"/>
      <c r="N22" s="11">
        <v>5.7874520280165598E-5</v>
      </c>
      <c r="O22" s="11">
        <v>2.1814375650137663E-3</v>
      </c>
      <c r="P22"/>
      <c r="Q22" s="270">
        <v>0.40605548024177551</v>
      </c>
      <c r="R22"/>
      <c r="S22" s="20">
        <v>0.13038858771324158</v>
      </c>
      <c r="T22" s="21">
        <v>6.046251580119133E-2</v>
      </c>
      <c r="U22"/>
      <c r="V22" s="265">
        <v>0.58992040157318115</v>
      </c>
      <c r="W22" s="141">
        <v>0.35758614540100098</v>
      </c>
      <c r="X22"/>
      <c r="Y22"/>
      <c r="Z22"/>
      <c r="AA22"/>
      <c r="AB22"/>
      <c r="AC22"/>
      <c r="AD22"/>
      <c r="AE22"/>
      <c r="AF22"/>
      <c r="AG22"/>
      <c r="AH22" s="14">
        <v>3.5311863757669926E-3</v>
      </c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2</v>
      </c>
      <c r="C23">
        <v>0.20000004768371582</v>
      </c>
      <c r="D23" s="11">
        <v>9.2045398196205497E-4</v>
      </c>
      <c r="E23" s="11">
        <v>3.8410057356941252E-8</v>
      </c>
      <c r="F23"/>
      <c r="G23"/>
      <c r="H23"/>
      <c r="I23"/>
      <c r="J23"/>
      <c r="K23"/>
      <c r="L23" s="14">
        <v>2.9716806020587683E-3</v>
      </c>
      <c r="M23"/>
      <c r="N23" s="14">
        <v>2.7916289400309324E-3</v>
      </c>
      <c r="O23" s="14">
        <v>4.9457033164799213E-3</v>
      </c>
      <c r="P23" s="240">
        <v>0.31710842251777649</v>
      </c>
      <c r="Q23"/>
      <c r="R23" s="23">
        <v>1.0865340940654278E-2</v>
      </c>
      <c r="S23" s="26">
        <v>5.1366496831178665E-2</v>
      </c>
      <c r="T23" s="231">
        <v>0.32708489894866943</v>
      </c>
      <c r="U23" s="229">
        <v>0.51286762952804565</v>
      </c>
      <c r="V23" s="74">
        <v>0.15677596628665924</v>
      </c>
      <c r="W23"/>
      <c r="X23" s="12">
        <v>6.5348325297236443E-3</v>
      </c>
      <c r="Y23" s="227">
        <v>6.6402807831764221E-2</v>
      </c>
      <c r="Z23"/>
      <c r="AA23" s="11">
        <v>6.9359084591269493E-5</v>
      </c>
      <c r="AB23" s="66">
        <v>8.0435506999492645E-2</v>
      </c>
      <c r="AC23" s="241">
        <v>0.22269043326377869</v>
      </c>
      <c r="AD23"/>
      <c r="AE23"/>
      <c r="AF23"/>
      <c r="AG23"/>
      <c r="AH23" s="19">
        <v>3.6168821156024933E-2</v>
      </c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3</v>
      </c>
      <c r="C24">
        <v>0.49500006437301636</v>
      </c>
      <c r="D24"/>
      <c r="E24"/>
      <c r="F24"/>
      <c r="G24"/>
      <c r="H24"/>
      <c r="I24"/>
      <c r="J24"/>
      <c r="K24"/>
      <c r="L24" s="16">
        <v>4.7331728041172028E-2</v>
      </c>
      <c r="M24" s="11">
        <v>2.2569664288312197E-3</v>
      </c>
      <c r="N24"/>
      <c r="O24" s="248">
        <v>0.29294422268867493</v>
      </c>
      <c r="P24"/>
      <c r="Q24"/>
      <c r="R24" s="255">
        <v>0.78585660457611084</v>
      </c>
      <c r="S24"/>
      <c r="T24" s="252">
        <v>0.43293589353561401</v>
      </c>
      <c r="U24" s="12">
        <v>1.3804103247821331E-2</v>
      </c>
      <c r="V24" s="259">
        <v>0.92987018823623657</v>
      </c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3</v>
      </c>
      <c r="C25">
        <v>0.59999978542327881</v>
      </c>
      <c r="D25" s="22">
        <v>2.4208782240748405E-2</v>
      </c>
      <c r="E25"/>
      <c r="F25" s="11">
        <v>2.1051117219030857E-3</v>
      </c>
      <c r="G25"/>
      <c r="H25"/>
      <c r="I25"/>
      <c r="J25"/>
      <c r="K25"/>
      <c r="L25" s="65">
        <v>6.3446886837482452E-2</v>
      </c>
      <c r="M25" s="12">
        <v>1.4692574739456177E-2</v>
      </c>
      <c r="N25" s="15">
        <v>3.1166410073637962E-2</v>
      </c>
      <c r="O25"/>
      <c r="P25" s="141">
        <v>0.35844910144805908</v>
      </c>
      <c r="Q25" s="265">
        <v>0.58766943216323853</v>
      </c>
      <c r="R25" s="16">
        <v>4.4761385768651962E-2</v>
      </c>
      <c r="S25" s="224">
        <v>0.11612722277641296</v>
      </c>
      <c r="T25" s="252">
        <v>0.4340958297252655</v>
      </c>
      <c r="U25" s="18">
        <v>3.4784082323312759E-2</v>
      </c>
      <c r="V25" s="140">
        <v>0.39052018523216248</v>
      </c>
      <c r="W25"/>
      <c r="X25" s="21">
        <v>6.0472596436738968E-2</v>
      </c>
      <c r="Y25" s="25">
        <v>9.6852056682109833E-2</v>
      </c>
      <c r="Z25"/>
      <c r="AA25" s="14">
        <v>7.9970099031925201E-3</v>
      </c>
      <c r="AB25" s="18">
        <v>3.6369044333696365E-2</v>
      </c>
      <c r="AC25"/>
      <c r="AD25"/>
      <c r="AE25"/>
      <c r="AF25"/>
      <c r="AG25"/>
      <c r="AH25" s="24">
        <v>8.1819348037242889E-2</v>
      </c>
      <c r="AI25"/>
      <c r="AJ25"/>
      <c r="AK25" s="12">
        <v>1.4463135041296482E-2</v>
      </c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1.8999999761581421</v>
      </c>
      <c r="C26">
        <v>0.37999996542930603</v>
      </c>
      <c r="D26" s="11">
        <v>2.535422972869128E-4</v>
      </c>
      <c r="E26"/>
      <c r="F26" s="22">
        <v>1.6030585393309593E-2</v>
      </c>
      <c r="G26"/>
      <c r="H26"/>
      <c r="I26"/>
      <c r="J26"/>
      <c r="K26"/>
      <c r="L26" s="11">
        <v>1.6371193341910839E-3</v>
      </c>
      <c r="M26" s="11">
        <v>5.7744485093280673E-4</v>
      </c>
      <c r="N26" s="15">
        <v>1.8986767157912254E-2</v>
      </c>
      <c r="O26"/>
      <c r="P26" s="266">
        <v>0.56775957345962524</v>
      </c>
      <c r="Q26" s="263">
        <v>0.34369134902954102</v>
      </c>
      <c r="R26" s="226">
        <v>0.12882153689861298</v>
      </c>
      <c r="S26" s="147">
        <v>5.6596327573060989E-2</v>
      </c>
      <c r="T26" s="12">
        <v>6.0793985612690449E-3</v>
      </c>
      <c r="U26" s="227">
        <v>6.3572034239768982E-2</v>
      </c>
      <c r="V26" s="147">
        <v>5.6706905364990234E-2</v>
      </c>
      <c r="W26"/>
      <c r="X26" s="14">
        <v>2.5811083614826202E-3</v>
      </c>
      <c r="Y26" s="254">
        <v>0.15734095871448517</v>
      </c>
      <c r="Z26"/>
      <c r="AA26" s="11">
        <v>1.1463122209534049E-3</v>
      </c>
      <c r="AB26" s="18">
        <v>2.2333493456244469E-2</v>
      </c>
      <c r="AC26" s="25">
        <v>6.1340861022472382E-2</v>
      </c>
      <c r="AD26"/>
      <c r="AE26"/>
      <c r="AF26"/>
      <c r="AG26"/>
      <c r="AH26" s="23">
        <v>9.9628288298845291E-3</v>
      </c>
      <c r="AI26"/>
      <c r="AJ26"/>
      <c r="AK26" s="14">
        <v>4.5817350037395954E-3</v>
      </c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1.7999999523162842</v>
      </c>
      <c r="C27">
        <v>0.32759997248649597</v>
      </c>
      <c r="D27" s="11">
        <v>8.6485280189663172E-4</v>
      </c>
      <c r="E27" s="11">
        <v>4.2027608060379862E-9</v>
      </c>
      <c r="F27" s="15">
        <v>1.8287578597664833E-2</v>
      </c>
      <c r="G27"/>
      <c r="H27" s="23">
        <v>1.1462075635790825E-2</v>
      </c>
      <c r="I27"/>
      <c r="J27"/>
      <c r="K27"/>
      <c r="L27" s="68">
        <v>9.0379208326339722E-2</v>
      </c>
      <c r="M27" s="11">
        <v>4.5241951738717034E-5</v>
      </c>
      <c r="N27" s="18">
        <v>2.2249199450016022E-2</v>
      </c>
      <c r="O27"/>
      <c r="P27" s="274">
        <v>0.58985131978988647</v>
      </c>
      <c r="Q27" s="29">
        <v>8.5327699780464172E-2</v>
      </c>
      <c r="R27" s="73">
        <v>0.16786009073257446</v>
      </c>
      <c r="S27" s="66">
        <v>7.3065608739852905E-2</v>
      </c>
      <c r="T27" s="106">
        <v>0.22364535927772522</v>
      </c>
      <c r="U27" s="251">
        <v>4.2087804526090622E-2</v>
      </c>
      <c r="V27" s="237">
        <v>9.450376033782959E-2</v>
      </c>
      <c r="W27"/>
      <c r="X27" s="12">
        <v>5.4206750355660915E-3</v>
      </c>
      <c r="Y27" s="11">
        <v>4.6094090794213116E-4</v>
      </c>
      <c r="Z27"/>
      <c r="AA27" s="23">
        <v>9.4864368438720703E-3</v>
      </c>
      <c r="AB27" s="15">
        <v>1.7602222040295601E-2</v>
      </c>
      <c r="AC27"/>
      <c r="AD27"/>
      <c r="AE27"/>
      <c r="AF27"/>
      <c r="AG27"/>
      <c r="AH27" s="18">
        <v>1.9799837842583656E-2</v>
      </c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4</v>
      </c>
      <c r="C28">
        <v>0.31999993324279785</v>
      </c>
      <c r="D28" s="14">
        <v>7.6840999536216259E-3</v>
      </c>
      <c r="E28" s="11">
        <v>3.2058076726571016E-7</v>
      </c>
      <c r="F28"/>
      <c r="G28"/>
      <c r="H28"/>
      <c r="I28"/>
      <c r="J28"/>
      <c r="K28"/>
      <c r="L28"/>
      <c r="M28"/>
      <c r="N28" s="14">
        <v>7.9121869057416916E-3</v>
      </c>
      <c r="O28" s="23">
        <v>1.9872702658176422E-2</v>
      </c>
      <c r="P28"/>
      <c r="Q28" s="227">
        <v>0.13562826812267303</v>
      </c>
      <c r="R28"/>
      <c r="S28" s="23">
        <v>2.1440807729959488E-2</v>
      </c>
      <c r="T28" s="22">
        <v>3.2335575670003891E-2</v>
      </c>
      <c r="U28"/>
      <c r="V28" s="241">
        <v>0.45057478547096252</v>
      </c>
      <c r="W28" s="235">
        <v>0.38222256302833557</v>
      </c>
      <c r="X28" s="14">
        <v>9.2306258156895638E-3</v>
      </c>
      <c r="Y28" s="65">
        <v>8.9409969747066498E-2</v>
      </c>
      <c r="Z28" s="65">
        <v>8.4050446748733521E-2</v>
      </c>
      <c r="AA28"/>
      <c r="AB28"/>
      <c r="AC28"/>
      <c r="AD28" s="67">
        <v>0.24876493215560913</v>
      </c>
      <c r="AE28" s="14">
        <v>1.0427350178360939E-2</v>
      </c>
      <c r="AF28" s="142">
        <v>0.86246120929718018</v>
      </c>
      <c r="AG28" s="15">
        <v>3.7984166294336319E-2</v>
      </c>
      <c r="AH28"/>
      <c r="AI28"/>
      <c r="AJ28"/>
      <c r="AK28"/>
      <c r="AL28" s="283">
        <v>1.2799999713897705</v>
      </c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6</v>
      </c>
      <c r="C29">
        <v>0.30000007152557373</v>
      </c>
      <c r="D29" s="14">
        <v>6.3101337291300297E-3</v>
      </c>
      <c r="E29" s="11">
        <v>2.5781827162063564E-7</v>
      </c>
      <c r="F29"/>
      <c r="G29" s="11">
        <v>4.6887891367077827E-3</v>
      </c>
      <c r="H29"/>
      <c r="I29"/>
      <c r="J29" s="11">
        <v>6.5122073283419013E-4</v>
      </c>
      <c r="K29" s="11">
        <v>2.4746386334300041E-3</v>
      </c>
      <c r="L29"/>
      <c r="M29" s="11">
        <v>1.1674160305119585E-5</v>
      </c>
      <c r="N29" s="11">
        <v>1.6390372184105217E-4</v>
      </c>
      <c r="O29" s="14">
        <v>1.3560772873461246E-2</v>
      </c>
      <c r="P29" s="15">
        <v>6.209690123796463E-2</v>
      </c>
      <c r="Q29" s="224">
        <v>0.23851743340492249</v>
      </c>
      <c r="R29" s="23">
        <v>2.9471365734934807E-2</v>
      </c>
      <c r="S29" s="12">
        <v>2.8739362955093384E-2</v>
      </c>
      <c r="T29" s="18">
        <v>6.584148108959198E-2</v>
      </c>
      <c r="U29"/>
      <c r="V29" s="226">
        <v>0.41072145104408264</v>
      </c>
      <c r="W29" s="227">
        <v>0.20493318140506744</v>
      </c>
      <c r="X29" s="11">
        <v>3.9598350413143635E-3</v>
      </c>
      <c r="Y29" s="17">
        <v>8.4690861403942108E-2</v>
      </c>
      <c r="Z29" s="147">
        <v>0.18025860190391541</v>
      </c>
      <c r="AA29"/>
      <c r="AB29"/>
      <c r="AC29"/>
      <c r="AD29" s="66">
        <v>0.24658629298210144</v>
      </c>
      <c r="AE29" s="14">
        <v>1.1864096857607365E-2</v>
      </c>
      <c r="AF29" s="148">
        <v>0.3644777238368988</v>
      </c>
      <c r="AG29"/>
      <c r="AH29" s="11">
        <v>1.0118159698322415E-3</v>
      </c>
      <c r="AI29"/>
      <c r="AJ29"/>
      <c r="AK29"/>
      <c r="AL29" s="288">
        <v>2.0588617324829102</v>
      </c>
      <c r="AM29" s="287">
        <v>1.4327999353408813</v>
      </c>
      <c r="AN29" s="66">
        <v>0.24730655550956726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3</v>
      </c>
      <c r="C30">
        <v>0.24900001287460327</v>
      </c>
      <c r="D30" s="11">
        <v>2.2489891853183508E-3</v>
      </c>
      <c r="E30" s="11">
        <v>9.3826379554684536E-8</v>
      </c>
      <c r="F30"/>
      <c r="G30"/>
      <c r="H30"/>
      <c r="I30"/>
      <c r="J30"/>
      <c r="K30"/>
      <c r="L30"/>
      <c r="M30" s="11">
        <v>1.7177688278025016E-5</v>
      </c>
      <c r="N30" s="11">
        <v>7.1577567723579705E-5</v>
      </c>
      <c r="O30" s="11">
        <v>2.9004642274230719E-3</v>
      </c>
      <c r="P30" s="12">
        <v>1.3558817096054554E-2</v>
      </c>
      <c r="Q30" s="21">
        <v>5.7161934673786163E-2</v>
      </c>
      <c r="R30" s="12">
        <v>1.1851063929498196E-2</v>
      </c>
      <c r="S30" s="16">
        <v>4.7692358493804932E-2</v>
      </c>
      <c r="T30" s="277">
        <v>0.21941918134689331</v>
      </c>
      <c r="U30" s="14">
        <v>7.2054043412208557E-3</v>
      </c>
      <c r="V30" s="26">
        <v>7.3818020522594452E-2</v>
      </c>
      <c r="W30" s="65">
        <v>6.7124702036380768E-2</v>
      </c>
      <c r="X30" s="23">
        <v>1.4829677529633045E-2</v>
      </c>
      <c r="Y30" s="65">
        <v>6.4521238207817078E-2</v>
      </c>
      <c r="Z30" s="23">
        <v>1.9679956138134003E-2</v>
      </c>
      <c r="AA30" s="11">
        <v>9.3097449280321598E-4</v>
      </c>
      <c r="AB30" s="18">
        <v>3.6358404904603958E-2</v>
      </c>
      <c r="AC30" s="18">
        <v>3.3940069377422333E-2</v>
      </c>
      <c r="AD30" s="16">
        <v>4.5653581619262695E-2</v>
      </c>
      <c r="AE30" s="17">
        <v>4.3332785367965698E-2</v>
      </c>
      <c r="AF30"/>
      <c r="AG30" s="18">
        <v>3.3047255128622055E-2</v>
      </c>
      <c r="AH30"/>
      <c r="AI30" s="279">
        <v>0.22321844100952148</v>
      </c>
      <c r="AJ30" s="276">
        <v>0.17207175493240356</v>
      </c>
      <c r="AK30" s="280">
        <v>0.24034604430198669</v>
      </c>
      <c r="AL30"/>
      <c r="AM30"/>
      <c r="AN30" s="253">
        <v>1.3200000524520874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9</v>
      </c>
      <c r="C31">
        <v>1.2420001029968262</v>
      </c>
      <c r="D31"/>
      <c r="E31"/>
      <c r="F31"/>
      <c r="G31"/>
      <c r="H31"/>
      <c r="I31"/>
      <c r="J31"/>
      <c r="K31"/>
      <c r="L31"/>
      <c r="M31"/>
      <c r="N31"/>
      <c r="O31"/>
      <c r="P31" s="23">
        <v>5.5387195199728012E-2</v>
      </c>
      <c r="Q31" s="12">
        <v>3.6322075873613358E-2</v>
      </c>
      <c r="R31" s="12">
        <v>3.3887043595314026E-2</v>
      </c>
      <c r="S31"/>
      <c r="T31"/>
      <c r="U31" s="15">
        <v>8.9579135179519653E-2</v>
      </c>
      <c r="V31"/>
      <c r="W31"/>
      <c r="X31"/>
      <c r="Y31"/>
      <c r="Z31"/>
      <c r="AA31" s="12">
        <v>2.7257591485977173E-2</v>
      </c>
      <c r="AB31" s="76">
        <v>0.57601428031921387</v>
      </c>
      <c r="AC31" s="275">
        <v>0.99258702993392944</v>
      </c>
      <c r="AD31"/>
      <c r="AE31" s="12">
        <v>3.9038427174091339E-2</v>
      </c>
      <c r="AF31" s="278">
        <v>1.578826904296875</v>
      </c>
      <c r="AG31" s="24">
        <v>0.24697387218475342</v>
      </c>
      <c r="AH31"/>
      <c r="AI31" s="23">
        <v>5.9392638504505157E-2</v>
      </c>
      <c r="AJ31" s="23">
        <v>5.389794334769249E-2</v>
      </c>
      <c r="AK31" s="282">
        <v>2.0979244709014893</v>
      </c>
      <c r="AL31"/>
      <c r="AM31"/>
      <c r="AN31" s="258">
        <v>1.8709114789962769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10</v>
      </c>
      <c r="C32">
        <v>1.2099999189376831</v>
      </c>
      <c r="D32"/>
      <c r="E32"/>
      <c r="F32"/>
      <c r="G32"/>
      <c r="H32"/>
      <c r="I32"/>
      <c r="J32"/>
      <c r="K32"/>
      <c r="L32"/>
      <c r="M32" s="11">
        <v>3.5152251366525888E-3</v>
      </c>
      <c r="N32"/>
      <c r="O32"/>
      <c r="P32"/>
      <c r="Q32" s="22">
        <v>8.2910969853401184E-2</v>
      </c>
      <c r="R32"/>
      <c r="S32"/>
      <c r="T32"/>
      <c r="U32" s="11">
        <v>3.2716603018343449E-3</v>
      </c>
      <c r="V32" s="22">
        <v>6.8835005164146423E-2</v>
      </c>
      <c r="W32"/>
      <c r="X32" s="14">
        <v>2.2576306015253067E-2</v>
      </c>
      <c r="Y32"/>
      <c r="Z32"/>
      <c r="AA32" s="11">
        <v>2.4230892304331064E-3</v>
      </c>
      <c r="AB32" s="15">
        <v>9.7490958869457245E-2</v>
      </c>
      <c r="AC32" s="19">
        <v>0.17722313106060028</v>
      </c>
      <c r="AD32"/>
      <c r="AE32"/>
      <c r="AF32" s="284">
        <v>1.0545250177383423</v>
      </c>
      <c r="AG32" s="26">
        <v>0.24559736251831055</v>
      </c>
      <c r="AH32" s="28">
        <v>0.35780367255210876</v>
      </c>
      <c r="AI32" s="281">
        <v>0.83730041980743408</v>
      </c>
      <c r="AJ32" s="286">
        <v>1.4995576143264771</v>
      </c>
      <c r="AK32" s="289">
        <v>2.6576168537139893</v>
      </c>
      <c r="AL32"/>
      <c r="AM32"/>
      <c r="AN32" s="285">
        <v>1.3662965297698975</v>
      </c>
      <c r="AO32" s="25">
        <v>0.31305685639381409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5</v>
      </c>
      <c r="C33">
        <v>2.7618999481201172</v>
      </c>
      <c r="D33"/>
      <c r="E33"/>
      <c r="F33"/>
      <c r="G33"/>
      <c r="H33"/>
      <c r="I33"/>
      <c r="J33"/>
      <c r="K33"/>
      <c r="L33"/>
      <c r="M33"/>
      <c r="N33" s="14">
        <v>5.3298398852348328E-3</v>
      </c>
      <c r="O33"/>
      <c r="P33"/>
      <c r="Q33" s="23">
        <v>3.3499576151371002E-2</v>
      </c>
      <c r="R33" s="11">
        <v>2.084626248688437E-5</v>
      </c>
      <c r="S33" s="14">
        <v>8.8263042271137238E-3</v>
      </c>
      <c r="T33" s="17">
        <v>7.0500239729881287E-2</v>
      </c>
      <c r="U33"/>
      <c r="V33" s="13">
        <v>0.18545600771903992</v>
      </c>
      <c r="W33" s="16">
        <v>7.8676462173461914E-2</v>
      </c>
      <c r="X33" s="11">
        <v>3.7998713087290525E-3</v>
      </c>
      <c r="Y33" s="22">
        <v>3.5640895366668701E-2</v>
      </c>
      <c r="Z33" s="22">
        <v>3.4600134938955307E-2</v>
      </c>
      <c r="AA33"/>
      <c r="AB33" s="11">
        <v>1.7276540165767074E-3</v>
      </c>
      <c r="AC33" s="14">
        <v>5.4299486801028252E-3</v>
      </c>
      <c r="AD33" s="29">
        <v>0.23460289835929871</v>
      </c>
      <c r="AE33" s="23">
        <v>3.3830650150775909E-2</v>
      </c>
      <c r="AF33" s="65">
        <v>0.11165209114551544</v>
      </c>
      <c r="AG33"/>
      <c r="AH33" s="14">
        <v>8.0542964860796928E-3</v>
      </c>
      <c r="AI33" s="11">
        <v>9.738201042637229E-4</v>
      </c>
      <c r="AJ33"/>
      <c r="AK33"/>
      <c r="AL33" s="237">
        <v>0.26346185803413391</v>
      </c>
      <c r="AM33" s="281">
        <v>0.42437225580215454</v>
      </c>
      <c r="AN33" s="65">
        <v>0.10464455187320709</v>
      </c>
      <c r="AO33"/>
      <c r="AP33"/>
      <c r="AQ33" s="225">
        <v>0.59300005435943604</v>
      </c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18</v>
      </c>
      <c r="C34">
        <v>3.5999987125396729</v>
      </c>
      <c r="D34"/>
      <c r="E34"/>
      <c r="F34"/>
      <c r="G34"/>
      <c r="H34"/>
      <c r="I34"/>
      <c r="J34"/>
      <c r="K34"/>
      <c r="L34"/>
      <c r="M34" s="11">
        <v>1.5317564830183983E-3</v>
      </c>
      <c r="N34"/>
      <c r="O34"/>
      <c r="P34"/>
      <c r="Q34"/>
      <c r="R34"/>
      <c r="S34"/>
      <c r="T34"/>
      <c r="U34"/>
      <c r="V34" s="12">
        <v>5.57083860039711E-2</v>
      </c>
      <c r="W34"/>
      <c r="X34"/>
      <c r="Y34"/>
      <c r="Z34"/>
      <c r="AA34"/>
      <c r="AB34" s="14">
        <v>4.1526183485984802E-2</v>
      </c>
      <c r="AC34" s="22">
        <v>0.14995299279689789</v>
      </c>
      <c r="AD34"/>
      <c r="AE34"/>
      <c r="AF34" s="251">
        <v>0.42669010162353516</v>
      </c>
      <c r="AG34"/>
      <c r="AH34" s="22">
        <v>0.13357353210449219</v>
      </c>
      <c r="AI34" s="11">
        <v>1.170345232822001E-3</v>
      </c>
      <c r="AJ34"/>
      <c r="AK34"/>
      <c r="AL34"/>
      <c r="AM34" s="247">
        <v>2.1720445156097412</v>
      </c>
      <c r="AN34" s="108">
        <v>5.3403506278991699</v>
      </c>
      <c r="AO34" s="290">
        <v>2.4068470001220703</v>
      </c>
      <c r="AP34" s="281">
        <v>1.5106048583984375</v>
      </c>
      <c r="AQ34"/>
      <c r="AR34" s="141">
        <v>2.1600000858306885</v>
      </c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20</v>
      </c>
      <c r="C35">
        <v>11.949151992797852</v>
      </c>
      <c r="D35"/>
      <c r="E35"/>
      <c r="F35"/>
      <c r="G35"/>
      <c r="H35"/>
      <c r="I35"/>
      <c r="J35"/>
      <c r="K35"/>
      <c r="L35"/>
      <c r="M35"/>
      <c r="N35" s="11">
        <v>3.0774041078984737E-4</v>
      </c>
      <c r="O35"/>
      <c r="P35"/>
      <c r="Q35" s="11">
        <v>5.2751917392015457E-3</v>
      </c>
      <c r="R35"/>
      <c r="S35"/>
      <c r="T35"/>
      <c r="U35"/>
      <c r="V35"/>
      <c r="W35" s="14">
        <v>3.7167642265558243E-2</v>
      </c>
      <c r="X35"/>
      <c r="Y35"/>
      <c r="Z35" s="14">
        <v>3.2690983265638351E-2</v>
      </c>
      <c r="AA35"/>
      <c r="AB35"/>
      <c r="AC35"/>
      <c r="AD35"/>
      <c r="AE35"/>
      <c r="AF35"/>
      <c r="AG35"/>
      <c r="AH35" s="11">
        <v>7.3399569373577833E-4</v>
      </c>
      <c r="AI35"/>
      <c r="AJ35"/>
      <c r="AK35"/>
      <c r="AL35" s="106">
        <v>2.4892466068267822</v>
      </c>
      <c r="AM35" s="273">
        <v>5.4854249954223633</v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20</v>
      </c>
      <c r="C36">
        <v>5.3800010681152344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 s="18">
        <v>0.24000692367553711</v>
      </c>
      <c r="X36"/>
      <c r="Y36"/>
      <c r="Z36" s="15">
        <v>0.21109926700592041</v>
      </c>
      <c r="AA36"/>
      <c r="AB36"/>
      <c r="AC36"/>
      <c r="AD36"/>
      <c r="AE36"/>
      <c r="AF36"/>
      <c r="AG36"/>
      <c r="AH36"/>
      <c r="AI36"/>
      <c r="AJ36"/>
      <c r="AK36"/>
      <c r="AL36"/>
      <c r="AM36" s="291">
        <v>14.168892860412598</v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70</v>
      </c>
      <c r="C37">
        <v>56.615036010742188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 s="11">
        <v>2.2397774737328291E-3</v>
      </c>
      <c r="AL37"/>
      <c r="AM37"/>
      <c r="AN37" s="22">
        <v>0.5274423360824585</v>
      </c>
      <c r="AO37" s="15">
        <v>0.6308479905128479</v>
      </c>
      <c r="AP37" s="28">
        <v>2.5059022903442383</v>
      </c>
      <c r="AQ37" s="16">
        <v>1.0405833721160889</v>
      </c>
      <c r="AR37" s="292">
        <v>5.990971565246582</v>
      </c>
      <c r="AS37" s="13">
        <v>2.6459999084472656</v>
      </c>
      <c r="AT37" s="11">
        <v>4.0976144373416901E-2</v>
      </c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/>
      <c r="C38">
        <v>0.21762402355670929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 s="9">
        <v>15.807710647583008</v>
      </c>
      <c r="AM38" s="9">
        <v>69.670387268066406</v>
      </c>
      <c r="AN38" s="9">
        <v>84.390769958496094</v>
      </c>
      <c r="AO38" s="9">
        <v>15.937213897705078</v>
      </c>
      <c r="AP38" s="9">
        <v>22.649961471557617</v>
      </c>
      <c r="AQ38" s="9">
        <v>77.489997863769531</v>
      </c>
      <c r="AR38" s="9">
        <v>101.84651947021484</v>
      </c>
      <c r="AS38" s="9">
        <v>635.03997802734375</v>
      </c>
      <c r="AT38" s="9">
        <v>127.84556579589844</v>
      </c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/>
      <c r="C39">
        <v>0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17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9" t="s">
        <v>192</v>
      </c>
      <c r="E5">
        <v>4</v>
      </c>
      <c r="F5">
        <v>3.13</v>
      </c>
      <c r="G5">
        <v>4</v>
      </c>
      <c r="H5" s="200" t="s">
        <v>192</v>
      </c>
      <c r="J5" s="57"/>
      <c r="K5" s="58"/>
    </row>
    <row r="6" spans="1:12" ht="14" thickBot="1" x14ac:dyDescent="0.2">
      <c r="A6" s="41" t="s">
        <v>121</v>
      </c>
      <c r="D6" s="199" t="s">
        <v>193</v>
      </c>
      <c r="E6">
        <v>5</v>
      </c>
      <c r="F6">
        <v>3.13</v>
      </c>
      <c r="G6">
        <v>5</v>
      </c>
      <c r="H6" s="200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9" t="s">
        <v>194</v>
      </c>
      <c r="E7">
        <v>6</v>
      </c>
      <c r="F7">
        <v>3.13</v>
      </c>
      <c r="G7">
        <v>6</v>
      </c>
      <c r="H7" s="200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9" t="s">
        <v>195</v>
      </c>
      <c r="E8">
        <v>7</v>
      </c>
      <c r="F8">
        <v>3.22</v>
      </c>
      <c r="G8">
        <v>7</v>
      </c>
      <c r="H8" s="200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9" t="s">
        <v>196</v>
      </c>
      <c r="E9">
        <v>8</v>
      </c>
      <c r="F9">
        <v>3.12</v>
      </c>
      <c r="G9">
        <v>8</v>
      </c>
      <c r="H9" s="200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9" t="s">
        <v>197</v>
      </c>
      <c r="E10">
        <v>9</v>
      </c>
      <c r="F10">
        <v>3.2</v>
      </c>
      <c r="G10">
        <v>9</v>
      </c>
      <c r="H10" s="200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9" t="s">
        <v>198</v>
      </c>
      <c r="E11">
        <v>10</v>
      </c>
      <c r="F11">
        <v>3.12</v>
      </c>
      <c r="G11">
        <v>10</v>
      </c>
      <c r="H11" s="200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9" t="s">
        <v>199</v>
      </c>
      <c r="E12">
        <v>11</v>
      </c>
      <c r="F12">
        <v>3.22</v>
      </c>
      <c r="G12">
        <v>11</v>
      </c>
      <c r="H12" s="200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9" t="s">
        <v>200</v>
      </c>
      <c r="E13">
        <v>12</v>
      </c>
      <c r="F13">
        <v>3.22</v>
      </c>
      <c r="G13">
        <v>12</v>
      </c>
      <c r="H13" s="200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9" t="s">
        <v>201</v>
      </c>
      <c r="E14">
        <v>13</v>
      </c>
      <c r="F14">
        <v>3.22</v>
      </c>
      <c r="G14">
        <v>13</v>
      </c>
      <c r="H14" s="200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9" t="s">
        <v>202</v>
      </c>
      <c r="E15">
        <v>14</v>
      </c>
      <c r="F15">
        <v>3.12</v>
      </c>
      <c r="G15">
        <v>14</v>
      </c>
      <c r="H15" s="200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9" t="s">
        <v>203</v>
      </c>
      <c r="E16">
        <v>15</v>
      </c>
      <c r="F16">
        <v>3.21</v>
      </c>
      <c r="G16">
        <v>15</v>
      </c>
      <c r="H16" s="200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9" t="s">
        <v>204</v>
      </c>
      <c r="E17">
        <v>16</v>
      </c>
      <c r="F17">
        <v>3.22</v>
      </c>
      <c r="G17">
        <v>16</v>
      </c>
      <c r="H17" s="200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9" t="s">
        <v>205</v>
      </c>
      <c r="E18">
        <v>17</v>
      </c>
      <c r="F18">
        <v>3.22</v>
      </c>
      <c r="G18">
        <v>17</v>
      </c>
      <c r="H18" s="200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9" t="s">
        <v>206</v>
      </c>
      <c r="E19">
        <v>18</v>
      </c>
      <c r="F19">
        <v>3</v>
      </c>
      <c r="G19">
        <v>18</v>
      </c>
      <c r="H19" s="200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9" t="s">
        <v>207</v>
      </c>
      <c r="E20">
        <v>19</v>
      </c>
      <c r="F20">
        <v>3.12</v>
      </c>
      <c r="G20">
        <v>19</v>
      </c>
      <c r="H20" s="200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9" t="s">
        <v>208</v>
      </c>
      <c r="E21">
        <v>20</v>
      </c>
      <c r="F21">
        <v>3.12</v>
      </c>
      <c r="G21">
        <v>20</v>
      </c>
      <c r="H21" s="200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9" t="s">
        <v>209</v>
      </c>
      <c r="E22">
        <v>21</v>
      </c>
      <c r="F22">
        <v>3.12</v>
      </c>
      <c r="G22">
        <v>21</v>
      </c>
      <c r="H22" s="200" t="s">
        <v>209</v>
      </c>
    </row>
    <row r="23" spans="1:12" x14ac:dyDescent="0.15">
      <c r="A23" s="36" t="s">
        <v>129</v>
      </c>
      <c r="B23" s="44">
        <v>4</v>
      </c>
      <c r="C23" s="38"/>
      <c r="D23" s="199" t="s">
        <v>210</v>
      </c>
      <c r="E23">
        <v>22</v>
      </c>
      <c r="F23">
        <v>3.22</v>
      </c>
      <c r="G23">
        <v>22</v>
      </c>
      <c r="H23" s="200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99" t="s">
        <v>211</v>
      </c>
      <c r="E24">
        <v>23</v>
      </c>
      <c r="F24">
        <v>3.22</v>
      </c>
      <c r="G24">
        <v>23</v>
      </c>
      <c r="H24" s="200" t="s">
        <v>211</v>
      </c>
    </row>
    <row r="25" spans="1:12" x14ac:dyDescent="0.15">
      <c r="A25" s="36" t="s">
        <v>70</v>
      </c>
      <c r="B25" s="44">
        <v>4.2</v>
      </c>
      <c r="C25" s="38"/>
      <c r="D25" s="199" t="s">
        <v>212</v>
      </c>
      <c r="E25">
        <v>24</v>
      </c>
      <c r="F25">
        <v>3.21</v>
      </c>
      <c r="G25">
        <v>24</v>
      </c>
      <c r="H25" s="200" t="s">
        <v>212</v>
      </c>
    </row>
    <row r="26" spans="1:12" x14ac:dyDescent="0.15">
      <c r="A26" s="36" t="s">
        <v>123</v>
      </c>
      <c r="B26" s="44">
        <v>4.3</v>
      </c>
      <c r="C26" s="38"/>
      <c r="D26" s="199" t="s">
        <v>213</v>
      </c>
      <c r="E26">
        <v>25</v>
      </c>
      <c r="F26">
        <v>3.22</v>
      </c>
      <c r="G26">
        <v>25</v>
      </c>
      <c r="H26" s="200" t="s">
        <v>213</v>
      </c>
    </row>
    <row r="27" spans="1:12" x14ac:dyDescent="0.15">
      <c r="A27" s="36" t="s">
        <v>125</v>
      </c>
      <c r="B27" s="44">
        <v>6.1</v>
      </c>
      <c r="D27" s="199" t="s">
        <v>214</v>
      </c>
      <c r="E27">
        <v>26</v>
      </c>
      <c r="F27">
        <v>3.12</v>
      </c>
      <c r="G27">
        <v>26</v>
      </c>
      <c r="H27" s="200" t="s">
        <v>214</v>
      </c>
    </row>
    <row r="28" spans="1:12" x14ac:dyDescent="0.15">
      <c r="A28" s="36" t="s">
        <v>124</v>
      </c>
      <c r="B28" s="44">
        <v>6.2</v>
      </c>
      <c r="D28" s="199" t="s">
        <v>215</v>
      </c>
      <c r="E28">
        <v>27</v>
      </c>
      <c r="F28">
        <v>3.12</v>
      </c>
      <c r="G28">
        <v>27</v>
      </c>
      <c r="H28" s="200" t="s">
        <v>215</v>
      </c>
    </row>
    <row r="29" spans="1:12" x14ac:dyDescent="0.15">
      <c r="A29" s="36" t="s">
        <v>44</v>
      </c>
      <c r="B29" s="44">
        <v>5</v>
      </c>
      <c r="D29" s="199" t="s">
        <v>216</v>
      </c>
      <c r="E29">
        <v>28</v>
      </c>
      <c r="F29">
        <v>3.12</v>
      </c>
      <c r="G29">
        <v>28</v>
      </c>
      <c r="H29" s="200" t="s">
        <v>216</v>
      </c>
    </row>
    <row r="30" spans="1:12" x14ac:dyDescent="0.15">
      <c r="A30" s="36" t="s">
        <v>73</v>
      </c>
      <c r="B30" s="44">
        <v>7</v>
      </c>
      <c r="D30" s="199" t="s">
        <v>217</v>
      </c>
      <c r="E30">
        <v>29</v>
      </c>
      <c r="F30">
        <v>3.12</v>
      </c>
      <c r="G30">
        <v>29</v>
      </c>
      <c r="H30" s="200" t="s">
        <v>217</v>
      </c>
    </row>
    <row r="31" spans="1:12" x14ac:dyDescent="0.15">
      <c r="A31" s="36" t="s">
        <v>169</v>
      </c>
      <c r="B31" s="44">
        <v>3.14</v>
      </c>
      <c r="D31" s="199" t="s">
        <v>218</v>
      </c>
      <c r="E31">
        <v>30</v>
      </c>
      <c r="F31">
        <v>3.21</v>
      </c>
      <c r="G31">
        <v>30</v>
      </c>
      <c r="H31" s="200" t="s">
        <v>218</v>
      </c>
    </row>
    <row r="32" spans="1:12" ht="12" customHeight="1" thickBot="1" x14ac:dyDescent="0.2">
      <c r="A32" s="42" t="s">
        <v>170</v>
      </c>
      <c r="B32" s="45">
        <v>9</v>
      </c>
      <c r="D32" s="199" t="s">
        <v>219</v>
      </c>
      <c r="E32">
        <v>31</v>
      </c>
      <c r="F32">
        <v>3.21</v>
      </c>
      <c r="G32">
        <v>31</v>
      </c>
      <c r="H32" s="200" t="s">
        <v>219</v>
      </c>
    </row>
    <row r="33" spans="4:8" customFormat="1" ht="12" customHeight="1" x14ac:dyDescent="0.15">
      <c r="D33" s="199" t="s">
        <v>220</v>
      </c>
      <c r="E33">
        <v>32</v>
      </c>
      <c r="F33">
        <v>3</v>
      </c>
      <c r="G33">
        <v>32</v>
      </c>
      <c r="H33" s="200" t="s">
        <v>220</v>
      </c>
    </row>
    <row r="34" spans="4:8" customFormat="1" ht="12" customHeight="1" x14ac:dyDescent="0.15">
      <c r="D34" s="199" t="s">
        <v>221</v>
      </c>
      <c r="E34">
        <v>33</v>
      </c>
      <c r="F34">
        <v>3.12</v>
      </c>
      <c r="G34">
        <v>33</v>
      </c>
      <c r="H34" s="200" t="s">
        <v>221</v>
      </c>
    </row>
    <row r="35" spans="4:8" customFormat="1" x14ac:dyDescent="0.15">
      <c r="D35" s="199" t="s">
        <v>222</v>
      </c>
      <c r="E35">
        <v>34</v>
      </c>
      <c r="F35">
        <v>3.11</v>
      </c>
      <c r="G35">
        <v>34</v>
      </c>
      <c r="H35" s="200" t="s">
        <v>222</v>
      </c>
    </row>
    <row r="36" spans="4:8" customFormat="1" x14ac:dyDescent="0.15">
      <c r="D36" s="199" t="s">
        <v>223</v>
      </c>
      <c r="E36">
        <v>35</v>
      </c>
      <c r="F36">
        <v>3.21</v>
      </c>
      <c r="G36">
        <v>35</v>
      </c>
      <c r="H36" s="200" t="s">
        <v>223</v>
      </c>
    </row>
    <row r="37" spans="4:8" customFormat="1" ht="12" customHeight="1" x14ac:dyDescent="0.15">
      <c r="D37" s="199" t="s">
        <v>224</v>
      </c>
      <c r="E37">
        <v>36</v>
      </c>
      <c r="F37">
        <v>3.11</v>
      </c>
      <c r="G37">
        <v>36</v>
      </c>
      <c r="H37" s="200" t="s">
        <v>224</v>
      </c>
    </row>
    <row r="38" spans="4:8" customFormat="1" x14ac:dyDescent="0.15">
      <c r="D38" s="199" t="s">
        <v>225</v>
      </c>
      <c r="E38">
        <v>37</v>
      </c>
      <c r="F38">
        <v>3.21</v>
      </c>
      <c r="G38">
        <v>37</v>
      </c>
      <c r="H38" s="200" t="s">
        <v>225</v>
      </c>
    </row>
    <row r="39" spans="4:8" customFormat="1" x14ac:dyDescent="0.15">
      <c r="D39" s="199" t="s">
        <v>226</v>
      </c>
      <c r="E39">
        <v>38</v>
      </c>
      <c r="F39">
        <v>3.21</v>
      </c>
      <c r="G39">
        <v>38</v>
      </c>
      <c r="H39" s="200" t="s">
        <v>226</v>
      </c>
    </row>
    <row r="40" spans="4:8" customFormat="1" x14ac:dyDescent="0.15">
      <c r="D40" s="199" t="s">
        <v>227</v>
      </c>
      <c r="E40">
        <v>39</v>
      </c>
      <c r="F40">
        <v>2</v>
      </c>
      <c r="G40">
        <v>39</v>
      </c>
      <c r="H40" s="200" t="s">
        <v>227</v>
      </c>
    </row>
    <row r="41" spans="4:8" customFormat="1" x14ac:dyDescent="0.15">
      <c r="D41" s="199" t="s">
        <v>228</v>
      </c>
      <c r="E41">
        <v>40</v>
      </c>
      <c r="F41">
        <v>4.0999999999999996</v>
      </c>
      <c r="G41">
        <v>40</v>
      </c>
      <c r="H41" s="200" t="s">
        <v>228</v>
      </c>
    </row>
    <row r="42" spans="4:8" customFormat="1" x14ac:dyDescent="0.15">
      <c r="D42" s="199" t="s">
        <v>229</v>
      </c>
      <c r="E42">
        <v>41</v>
      </c>
      <c r="F42">
        <v>4.3</v>
      </c>
      <c r="G42">
        <v>41</v>
      </c>
      <c r="H42" s="200" t="s">
        <v>229</v>
      </c>
    </row>
    <row r="43" spans="4:8" customFormat="1" x14ac:dyDescent="0.15">
      <c r="D43" s="199" t="s">
        <v>230</v>
      </c>
      <c r="E43">
        <v>42</v>
      </c>
      <c r="F43">
        <v>5</v>
      </c>
      <c r="G43">
        <v>42</v>
      </c>
      <c r="H43" s="200" t="s">
        <v>230</v>
      </c>
    </row>
    <row r="44" spans="4:8" customFormat="1" x14ac:dyDescent="0.15">
      <c r="D44" s="199" t="s">
        <v>231</v>
      </c>
      <c r="E44">
        <v>43</v>
      </c>
      <c r="F44">
        <v>5</v>
      </c>
      <c r="G44">
        <v>43</v>
      </c>
      <c r="H44" s="200" t="s">
        <v>231</v>
      </c>
    </row>
    <row r="45" spans="4:8" customFormat="1" x14ac:dyDescent="0.15">
      <c r="D45" s="199" t="s">
        <v>232</v>
      </c>
      <c r="E45">
        <v>44</v>
      </c>
      <c r="F45">
        <v>5</v>
      </c>
      <c r="G45">
        <v>44</v>
      </c>
      <c r="H45" s="200" t="s">
        <v>232</v>
      </c>
    </row>
    <row r="46" spans="4:8" customFormat="1" x14ac:dyDescent="0.15">
      <c r="D46" s="199" t="s">
        <v>233</v>
      </c>
      <c r="E46">
        <v>45</v>
      </c>
      <c r="F46">
        <v>5</v>
      </c>
      <c r="G46">
        <v>45</v>
      </c>
      <c r="H46" s="200" t="s">
        <v>233</v>
      </c>
    </row>
    <row r="47" spans="4:8" customFormat="1" x14ac:dyDescent="0.15">
      <c r="D47" s="199" t="s">
        <v>234</v>
      </c>
      <c r="E47">
        <v>46</v>
      </c>
      <c r="F47">
        <v>5</v>
      </c>
      <c r="G47">
        <v>46</v>
      </c>
      <c r="H47" s="200" t="s">
        <v>234</v>
      </c>
    </row>
    <row r="48" spans="4:8" customFormat="1" x14ac:dyDescent="0.15">
      <c r="D48" s="199" t="s">
        <v>235</v>
      </c>
      <c r="E48">
        <v>47</v>
      </c>
      <c r="F48">
        <v>5</v>
      </c>
      <c r="G48">
        <v>47</v>
      </c>
      <c r="H48" s="200" t="s">
        <v>235</v>
      </c>
    </row>
    <row r="49" spans="4:8" customFormat="1" x14ac:dyDescent="0.15">
      <c r="D49" s="199" t="s">
        <v>236</v>
      </c>
      <c r="E49">
        <v>48</v>
      </c>
      <c r="F49">
        <v>5</v>
      </c>
      <c r="G49">
        <v>48</v>
      </c>
      <c r="H49" s="200" t="s">
        <v>236</v>
      </c>
    </row>
    <row r="50" spans="4:8" customFormat="1" ht="12" customHeight="1" x14ac:dyDescent="0.15">
      <c r="D50" s="199" t="s">
        <v>237</v>
      </c>
      <c r="E50">
        <v>49</v>
      </c>
      <c r="F50">
        <v>5</v>
      </c>
      <c r="G50">
        <v>49</v>
      </c>
      <c r="H50" s="200" t="s">
        <v>237</v>
      </c>
    </row>
    <row r="51" spans="4:8" customFormat="1" x14ac:dyDescent="0.15">
      <c r="D51" s="199" t="s">
        <v>138</v>
      </c>
      <c r="E51">
        <v>50</v>
      </c>
      <c r="F51">
        <v>6.1</v>
      </c>
      <c r="G51">
        <v>50</v>
      </c>
      <c r="H51" s="200" t="s">
        <v>138</v>
      </c>
    </row>
    <row r="52" spans="4:8" customFormat="1" ht="12" customHeight="1" x14ac:dyDescent="0.15">
      <c r="D52" s="199" t="s">
        <v>45</v>
      </c>
      <c r="E52">
        <v>51</v>
      </c>
      <c r="F52">
        <v>6.2</v>
      </c>
      <c r="G52">
        <v>51</v>
      </c>
      <c r="H52" s="200" t="s">
        <v>45</v>
      </c>
    </row>
    <row r="53" spans="4:8" customFormat="1" x14ac:dyDescent="0.15"/>
    <row r="54" spans="4:8" customFormat="1" ht="12" customHeight="1" x14ac:dyDescent="0.15"/>
    <row r="55" spans="4:8" customFormat="1" ht="12" customHeight="1" x14ac:dyDescent="0.15"/>
    <row r="56" spans="4:8" customFormat="1" x14ac:dyDescent="0.15"/>
    <row r="57" spans="4:8" customFormat="1" x14ac:dyDescent="0.15"/>
    <row r="58" spans="4:8" customFormat="1" x14ac:dyDescent="0.15"/>
    <row r="59" spans="4:8" customFormat="1" x14ac:dyDescent="0.15"/>
    <row r="60" spans="4:8" customFormat="1" x14ac:dyDescent="0.15"/>
    <row r="61" spans="4:8" customFormat="1" x14ac:dyDescent="0.15"/>
    <row r="62" spans="4:8" customFormat="1" x14ac:dyDescent="0.15"/>
    <row r="63" spans="4:8" customFormat="1" x14ac:dyDescent="0.15"/>
    <row r="64" spans="4:8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3" bestFit="1" customWidth="1"/>
    <col min="2" max="2" width="3.83203125" style="82" customWidth="1"/>
    <col min="3" max="3" width="13.1640625" style="82" customWidth="1"/>
    <col min="4" max="4" width="39.6640625" style="82" customWidth="1"/>
    <col min="5" max="5" width="8.1640625" style="82" customWidth="1"/>
    <col min="6" max="6" width="21.6640625" style="82" bestFit="1" customWidth="1"/>
    <col min="7" max="9" width="2.33203125" style="82" customWidth="1"/>
    <col min="10" max="10" width="2.33203125" style="82" bestFit="1" customWidth="1"/>
    <col min="11" max="15" width="2.33203125" style="82" customWidth="1"/>
    <col min="16" max="16" width="2.33203125" style="71" customWidth="1"/>
    <col min="17" max="17" width="2.33203125" style="82" customWidth="1"/>
    <col min="18" max="18" width="2.33203125" style="72" customWidth="1"/>
    <col min="19" max="16384" width="11.5" style="82"/>
  </cols>
  <sheetData>
    <row r="1" spans="1:23" ht="15" customHeight="1" thickBot="1" x14ac:dyDescent="0.2">
      <c r="F1" s="1"/>
      <c r="G1" s="69" t="s">
        <v>46</v>
      </c>
      <c r="H1" s="69" t="s">
        <v>47</v>
      </c>
      <c r="I1" s="69" t="s">
        <v>120</v>
      </c>
      <c r="J1" s="69" t="s">
        <v>132</v>
      </c>
      <c r="K1" s="84" t="s">
        <v>48</v>
      </c>
      <c r="L1" s="72"/>
      <c r="M1" s="84" t="s">
        <v>119</v>
      </c>
      <c r="N1" s="72"/>
      <c r="O1" s="84" t="s">
        <v>49</v>
      </c>
      <c r="P1" s="75"/>
      <c r="Q1" s="84" t="s">
        <v>50</v>
      </c>
      <c r="R1" s="69" t="s">
        <v>154</v>
      </c>
    </row>
    <row r="2" spans="1:23" ht="15" customHeight="1" x14ac:dyDescent="0.15">
      <c r="A2" s="84" t="s">
        <v>51</v>
      </c>
      <c r="B2" s="85">
        <v>0.5</v>
      </c>
      <c r="C2" s="83" t="s">
        <v>52</v>
      </c>
      <c r="D2" s="86"/>
      <c r="F2" s="1"/>
      <c r="G2" s="87"/>
      <c r="H2" s="87"/>
      <c r="I2" s="87" t="s">
        <v>133</v>
      </c>
      <c r="J2" s="87" t="s">
        <v>133</v>
      </c>
      <c r="K2" s="87" t="s">
        <v>52</v>
      </c>
      <c r="L2" s="87" t="s">
        <v>53</v>
      </c>
      <c r="M2" s="87" t="s">
        <v>52</v>
      </c>
      <c r="N2" s="87" t="s">
        <v>53</v>
      </c>
      <c r="O2" s="87" t="s">
        <v>52</v>
      </c>
      <c r="P2" s="88" t="s">
        <v>53</v>
      </c>
      <c r="Q2" s="87"/>
      <c r="R2" s="89" t="s">
        <v>155</v>
      </c>
    </row>
    <row r="3" spans="1:23" ht="15" customHeight="1" thickBot="1" x14ac:dyDescent="0.2">
      <c r="A3" s="84" t="s">
        <v>54</v>
      </c>
      <c r="B3" s="90">
        <v>0.5</v>
      </c>
      <c r="C3" s="83" t="s">
        <v>53</v>
      </c>
      <c r="D3" s="86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9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9">
        <v>0</v>
      </c>
      <c r="R4" s="111">
        <v>0</v>
      </c>
    </row>
    <row r="5" spans="1:23" ht="15" customHeight="1" x14ac:dyDescent="0.15">
      <c r="A5" s="84" t="s">
        <v>55</v>
      </c>
      <c r="B5" s="91">
        <v>0.5</v>
      </c>
      <c r="C5" s="83" t="s">
        <v>52</v>
      </c>
      <c r="D5" s="86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9">
        <v>0</v>
      </c>
      <c r="R5" s="111">
        <v>0</v>
      </c>
    </row>
    <row r="6" spans="1:23" ht="15" customHeight="1" thickBot="1" x14ac:dyDescent="0.2">
      <c r="A6" s="84"/>
      <c r="B6" s="92">
        <v>0.5</v>
      </c>
      <c r="C6" s="83" t="s">
        <v>53</v>
      </c>
      <c r="D6" s="86"/>
      <c r="F6" s="201" t="s">
        <v>192</v>
      </c>
      <c r="G6" s="82">
        <v>0</v>
      </c>
      <c r="H6" s="82">
        <v>0</v>
      </c>
      <c r="I6" s="82">
        <v>0</v>
      </c>
      <c r="J6" s="82">
        <v>0</v>
      </c>
      <c r="K6" s="82">
        <v>1</v>
      </c>
      <c r="L6" s="82">
        <v>0</v>
      </c>
      <c r="M6" s="82">
        <v>1</v>
      </c>
      <c r="N6" s="82">
        <v>0</v>
      </c>
      <c r="O6" s="82">
        <v>1</v>
      </c>
      <c r="P6" s="71">
        <v>0</v>
      </c>
      <c r="Q6" s="82">
        <v>0</v>
      </c>
      <c r="R6" s="72">
        <v>1</v>
      </c>
      <c r="S6"/>
      <c r="T6"/>
    </row>
    <row r="7" spans="1:23" ht="15" customHeight="1" thickBot="1" x14ac:dyDescent="0.2">
      <c r="F7" s="201" t="s">
        <v>193</v>
      </c>
      <c r="G7" s="82">
        <v>0</v>
      </c>
      <c r="H7" s="82">
        <v>0</v>
      </c>
      <c r="I7" s="82">
        <v>0</v>
      </c>
      <c r="J7" s="82">
        <v>0</v>
      </c>
      <c r="K7" s="82">
        <v>1</v>
      </c>
      <c r="L7" s="82">
        <v>0</v>
      </c>
      <c r="M7" s="82">
        <v>1</v>
      </c>
      <c r="N7" s="82">
        <v>0</v>
      </c>
      <c r="O7" s="82">
        <v>1</v>
      </c>
      <c r="P7" s="71">
        <v>0</v>
      </c>
      <c r="Q7" s="82">
        <v>0</v>
      </c>
      <c r="R7" s="72">
        <v>1</v>
      </c>
      <c r="S7"/>
      <c r="T7"/>
    </row>
    <row r="8" spans="1:23" ht="15" customHeight="1" x14ac:dyDescent="0.15">
      <c r="A8" s="84" t="s">
        <v>56</v>
      </c>
      <c r="B8" s="91">
        <v>1</v>
      </c>
      <c r="C8" s="202" t="s">
        <v>227</v>
      </c>
      <c r="D8" s="86" t="s">
        <v>160</v>
      </c>
      <c r="F8" s="201" t="s">
        <v>194</v>
      </c>
      <c r="G8" s="82">
        <v>0</v>
      </c>
      <c r="H8" s="82">
        <v>0</v>
      </c>
      <c r="I8" s="82">
        <v>0</v>
      </c>
      <c r="J8" s="82">
        <v>0</v>
      </c>
      <c r="K8" s="82">
        <v>1</v>
      </c>
      <c r="L8" s="82">
        <v>0</v>
      </c>
      <c r="M8" s="82">
        <v>1</v>
      </c>
      <c r="N8" s="82">
        <v>0</v>
      </c>
      <c r="O8" s="82">
        <v>1</v>
      </c>
      <c r="P8" s="71">
        <v>0</v>
      </c>
      <c r="Q8" s="82">
        <v>0</v>
      </c>
      <c r="R8" s="72">
        <v>1</v>
      </c>
      <c r="S8"/>
      <c r="T8"/>
      <c r="W8"/>
    </row>
    <row r="9" spans="1:23" ht="15" customHeight="1" x14ac:dyDescent="0.15">
      <c r="A9" s="125" t="s">
        <v>168</v>
      </c>
      <c r="B9" s="93"/>
      <c r="C9" s="81"/>
      <c r="D9" s="86" t="s">
        <v>160</v>
      </c>
      <c r="F9" s="201" t="s">
        <v>195</v>
      </c>
      <c r="G9" s="82">
        <v>0</v>
      </c>
      <c r="H9" s="82">
        <v>0</v>
      </c>
      <c r="I9" s="82">
        <v>0</v>
      </c>
      <c r="J9" s="82">
        <v>0</v>
      </c>
      <c r="K9" s="82">
        <v>1</v>
      </c>
      <c r="L9" s="82">
        <v>0</v>
      </c>
      <c r="M9" s="82">
        <v>1</v>
      </c>
      <c r="N9" s="82">
        <v>0</v>
      </c>
      <c r="O9" s="82">
        <v>1</v>
      </c>
      <c r="P9" s="71">
        <v>0</v>
      </c>
      <c r="Q9" s="82">
        <v>0</v>
      </c>
      <c r="R9" s="72">
        <v>1</v>
      </c>
      <c r="S9"/>
      <c r="T9"/>
      <c r="W9"/>
    </row>
    <row r="10" spans="1:23" ht="15" customHeight="1" x14ac:dyDescent="0.15">
      <c r="B10" s="93"/>
      <c r="C10" s="81"/>
      <c r="D10" s="86" t="s">
        <v>160</v>
      </c>
      <c r="F10" s="201" t="s">
        <v>196</v>
      </c>
      <c r="G10" s="82">
        <v>0</v>
      </c>
      <c r="H10" s="82">
        <v>0</v>
      </c>
      <c r="I10" s="82">
        <v>0</v>
      </c>
      <c r="J10" s="82">
        <v>0</v>
      </c>
      <c r="K10" s="82">
        <v>1</v>
      </c>
      <c r="L10" s="82">
        <v>0</v>
      </c>
      <c r="M10" s="82">
        <v>1</v>
      </c>
      <c r="N10" s="82">
        <v>0</v>
      </c>
      <c r="O10" s="82">
        <v>1</v>
      </c>
      <c r="P10" s="71">
        <v>0</v>
      </c>
      <c r="Q10" s="82">
        <v>0</v>
      </c>
      <c r="R10" s="72">
        <v>1</v>
      </c>
      <c r="S10"/>
      <c r="T10"/>
      <c r="W10"/>
    </row>
    <row r="11" spans="1:23" ht="15" customHeight="1" x14ac:dyDescent="0.15">
      <c r="A11" s="84"/>
      <c r="B11" s="93"/>
      <c r="C11" s="96"/>
      <c r="D11" s="86" t="s">
        <v>160</v>
      </c>
      <c r="F11" s="201" t="s">
        <v>197</v>
      </c>
      <c r="G11" s="82">
        <v>0</v>
      </c>
      <c r="H11" s="82">
        <v>0</v>
      </c>
      <c r="I11" s="82">
        <v>0</v>
      </c>
      <c r="J11" s="82">
        <v>0</v>
      </c>
      <c r="K11" s="82">
        <v>1</v>
      </c>
      <c r="L11" s="82">
        <v>0</v>
      </c>
      <c r="M11" s="82">
        <v>1</v>
      </c>
      <c r="N11" s="82">
        <v>0</v>
      </c>
      <c r="O11" s="82">
        <v>1</v>
      </c>
      <c r="P11" s="71">
        <v>0</v>
      </c>
      <c r="Q11" s="82">
        <v>0</v>
      </c>
      <c r="R11" s="72">
        <v>1</v>
      </c>
      <c r="S11"/>
      <c r="T11"/>
      <c r="W11"/>
    </row>
    <row r="12" spans="1:23" ht="15" customHeight="1" x14ac:dyDescent="0.15">
      <c r="B12" s="93"/>
      <c r="C12" s="97"/>
      <c r="D12" s="86" t="s">
        <v>160</v>
      </c>
      <c r="F12" s="201" t="s">
        <v>198</v>
      </c>
      <c r="G12" s="82">
        <v>0</v>
      </c>
      <c r="H12" s="82">
        <v>0</v>
      </c>
      <c r="I12" s="82">
        <v>0</v>
      </c>
      <c r="J12" s="82">
        <v>0</v>
      </c>
      <c r="K12" s="82">
        <v>1</v>
      </c>
      <c r="L12" s="82">
        <v>0</v>
      </c>
      <c r="M12" s="82">
        <v>1</v>
      </c>
      <c r="N12" s="82">
        <v>0</v>
      </c>
      <c r="O12" s="82">
        <v>1</v>
      </c>
      <c r="P12" s="71">
        <v>0</v>
      </c>
      <c r="Q12" s="82">
        <v>0</v>
      </c>
      <c r="R12" s="72">
        <v>1</v>
      </c>
      <c r="S12"/>
      <c r="T12"/>
      <c r="W12"/>
    </row>
    <row r="13" spans="1:23" ht="15" customHeight="1" x14ac:dyDescent="0.15">
      <c r="B13" s="93"/>
      <c r="C13" s="97"/>
      <c r="D13" s="86" t="s">
        <v>160</v>
      </c>
      <c r="F13" s="201" t="s">
        <v>199</v>
      </c>
      <c r="G13" s="82">
        <v>0</v>
      </c>
      <c r="H13" s="82">
        <v>0</v>
      </c>
      <c r="I13" s="82">
        <v>0</v>
      </c>
      <c r="J13" s="82">
        <v>0</v>
      </c>
      <c r="K13" s="82">
        <v>1</v>
      </c>
      <c r="L13" s="82">
        <v>0</v>
      </c>
      <c r="M13" s="82">
        <v>1</v>
      </c>
      <c r="N13" s="82">
        <v>0</v>
      </c>
      <c r="O13" s="82">
        <v>1</v>
      </c>
      <c r="P13" s="71">
        <v>0</v>
      </c>
      <c r="Q13" s="82">
        <v>0</v>
      </c>
      <c r="R13" s="72">
        <v>1</v>
      </c>
      <c r="S13"/>
      <c r="T13"/>
      <c r="W13"/>
    </row>
    <row r="14" spans="1:23" ht="15" customHeight="1" x14ac:dyDescent="0.15">
      <c r="B14" s="93"/>
      <c r="C14" s="81"/>
      <c r="D14" s="86" t="s">
        <v>160</v>
      </c>
      <c r="F14" s="201" t="s">
        <v>200</v>
      </c>
      <c r="G14" s="82">
        <v>0</v>
      </c>
      <c r="H14" s="82">
        <v>0</v>
      </c>
      <c r="I14" s="82">
        <v>0</v>
      </c>
      <c r="J14" s="82">
        <v>0</v>
      </c>
      <c r="K14" s="82">
        <v>1</v>
      </c>
      <c r="L14" s="82">
        <v>0</v>
      </c>
      <c r="M14" s="82">
        <v>1</v>
      </c>
      <c r="N14" s="82">
        <v>0</v>
      </c>
      <c r="O14" s="82">
        <v>1</v>
      </c>
      <c r="P14" s="71">
        <v>0</v>
      </c>
      <c r="Q14" s="82">
        <v>0</v>
      </c>
      <c r="R14" s="72">
        <v>1</v>
      </c>
      <c r="S14"/>
      <c r="T14"/>
      <c r="W14"/>
    </row>
    <row r="15" spans="1:23" ht="15" customHeight="1" x14ac:dyDescent="0.15">
      <c r="B15" s="93"/>
      <c r="C15" s="81"/>
      <c r="D15" s="86" t="s">
        <v>160</v>
      </c>
      <c r="F15" s="201" t="s">
        <v>201</v>
      </c>
      <c r="G15" s="82">
        <v>0</v>
      </c>
      <c r="H15" s="82">
        <v>0</v>
      </c>
      <c r="I15" s="82">
        <v>0</v>
      </c>
      <c r="J15" s="82">
        <v>0</v>
      </c>
      <c r="K15" s="82">
        <v>1</v>
      </c>
      <c r="L15" s="82">
        <v>0</v>
      </c>
      <c r="M15" s="82">
        <v>1</v>
      </c>
      <c r="N15" s="82">
        <v>0</v>
      </c>
      <c r="O15" s="82">
        <v>1</v>
      </c>
      <c r="P15" s="71">
        <v>0</v>
      </c>
      <c r="Q15" s="82">
        <v>0</v>
      </c>
      <c r="R15" s="72">
        <v>1</v>
      </c>
      <c r="S15"/>
      <c r="T15"/>
      <c r="W15"/>
    </row>
    <row r="16" spans="1:23" ht="15" customHeight="1" x14ac:dyDescent="0.15">
      <c r="B16" s="93"/>
      <c r="C16" s="81"/>
      <c r="D16" s="86" t="s">
        <v>160</v>
      </c>
      <c r="F16" s="201" t="s">
        <v>202</v>
      </c>
      <c r="G16" s="82">
        <v>0</v>
      </c>
      <c r="H16" s="82">
        <v>0</v>
      </c>
      <c r="I16" s="82">
        <v>0</v>
      </c>
      <c r="J16" s="82">
        <v>0</v>
      </c>
      <c r="K16" s="82">
        <v>1</v>
      </c>
      <c r="L16" s="82">
        <v>0</v>
      </c>
      <c r="M16" s="82">
        <v>1</v>
      </c>
      <c r="N16" s="82">
        <v>0</v>
      </c>
      <c r="O16" s="82">
        <v>1</v>
      </c>
      <c r="P16" s="71">
        <v>0</v>
      </c>
      <c r="Q16" s="82">
        <v>0</v>
      </c>
      <c r="R16" s="72">
        <v>1</v>
      </c>
      <c r="S16"/>
      <c r="T16"/>
    </row>
    <row r="17" spans="1:20" ht="15" customHeight="1" thickBot="1" x14ac:dyDescent="0.2">
      <c r="B17" s="92"/>
      <c r="C17" s="81"/>
      <c r="D17" s="86" t="s">
        <v>160</v>
      </c>
      <c r="F17" s="201" t="s">
        <v>203</v>
      </c>
      <c r="G17" s="82">
        <v>0</v>
      </c>
      <c r="H17" s="82">
        <v>0</v>
      </c>
      <c r="I17" s="82">
        <v>0</v>
      </c>
      <c r="J17" s="82">
        <v>0</v>
      </c>
      <c r="K17" s="82">
        <v>1</v>
      </c>
      <c r="L17" s="82">
        <v>0</v>
      </c>
      <c r="M17" s="82">
        <v>1</v>
      </c>
      <c r="N17" s="82">
        <v>0</v>
      </c>
      <c r="O17" s="82">
        <v>1</v>
      </c>
      <c r="P17" s="71">
        <v>0</v>
      </c>
      <c r="Q17" s="82">
        <v>0</v>
      </c>
      <c r="R17" s="72">
        <v>1</v>
      </c>
      <c r="S17"/>
      <c r="T17"/>
    </row>
    <row r="18" spans="1:20" ht="15" customHeight="1" thickBot="1" x14ac:dyDescent="0.2">
      <c r="B18" s="94"/>
      <c r="F18" s="201" t="s">
        <v>204</v>
      </c>
      <c r="G18" s="82">
        <v>0</v>
      </c>
      <c r="H18" s="82">
        <v>0</v>
      </c>
      <c r="I18" s="82">
        <v>0</v>
      </c>
      <c r="J18" s="82">
        <v>0</v>
      </c>
      <c r="K18" s="82">
        <v>1</v>
      </c>
      <c r="L18" s="82">
        <v>0</v>
      </c>
      <c r="M18" s="82">
        <v>1</v>
      </c>
      <c r="N18" s="82">
        <v>0</v>
      </c>
      <c r="O18" s="82">
        <v>1</v>
      </c>
      <c r="P18" s="71">
        <v>0</v>
      </c>
      <c r="Q18" s="82">
        <v>0</v>
      </c>
      <c r="R18" s="72">
        <v>1</v>
      </c>
      <c r="S18"/>
      <c r="T18"/>
    </row>
    <row r="19" spans="1:20" ht="15" customHeight="1" x14ac:dyDescent="0.15">
      <c r="A19" s="84" t="s">
        <v>57</v>
      </c>
      <c r="B19" s="91">
        <v>1</v>
      </c>
      <c r="C19" s="203" t="s">
        <v>227</v>
      </c>
      <c r="D19" s="86" t="s">
        <v>160</v>
      </c>
      <c r="F19" s="201" t="s">
        <v>205</v>
      </c>
      <c r="G19" s="82">
        <v>0</v>
      </c>
      <c r="H19" s="82">
        <v>0</v>
      </c>
      <c r="I19" s="82">
        <v>0</v>
      </c>
      <c r="J19" s="82">
        <v>0</v>
      </c>
      <c r="K19" s="82">
        <v>1</v>
      </c>
      <c r="L19" s="82">
        <v>0</v>
      </c>
      <c r="M19" s="82">
        <v>1</v>
      </c>
      <c r="N19" s="82">
        <v>0</v>
      </c>
      <c r="O19" s="82">
        <v>1</v>
      </c>
      <c r="P19" s="71">
        <v>0</v>
      </c>
      <c r="Q19" s="82">
        <v>0</v>
      </c>
      <c r="R19" s="72">
        <v>1</v>
      </c>
      <c r="S19"/>
      <c r="T19"/>
    </row>
    <row r="20" spans="1:20" ht="15" customHeight="1" x14ac:dyDescent="0.15">
      <c r="A20" s="125" t="s">
        <v>168</v>
      </c>
      <c r="B20" s="93"/>
      <c r="C20" s="81"/>
      <c r="D20" s="86" t="s">
        <v>160</v>
      </c>
      <c r="F20" s="201" t="s">
        <v>206</v>
      </c>
      <c r="G20" s="82">
        <v>0</v>
      </c>
      <c r="H20" s="82">
        <v>0</v>
      </c>
      <c r="I20" s="82">
        <v>0</v>
      </c>
      <c r="J20" s="82">
        <v>0</v>
      </c>
      <c r="K20" s="82">
        <v>1</v>
      </c>
      <c r="L20" s="82">
        <v>0</v>
      </c>
      <c r="M20" s="82">
        <v>1</v>
      </c>
      <c r="N20" s="82">
        <v>0</v>
      </c>
      <c r="O20" s="82">
        <v>1</v>
      </c>
      <c r="P20" s="71">
        <v>0</v>
      </c>
      <c r="Q20" s="82">
        <v>0</v>
      </c>
      <c r="R20" s="72">
        <v>1</v>
      </c>
      <c r="S20"/>
      <c r="T20"/>
    </row>
    <row r="21" spans="1:20" ht="15" customHeight="1" x14ac:dyDescent="0.15">
      <c r="B21" s="93"/>
      <c r="C21" s="81"/>
      <c r="D21" s="86" t="s">
        <v>160</v>
      </c>
      <c r="F21" s="201" t="s">
        <v>207</v>
      </c>
      <c r="G21" s="82">
        <v>0</v>
      </c>
      <c r="H21" s="82">
        <v>0</v>
      </c>
      <c r="I21" s="82">
        <v>0</v>
      </c>
      <c r="J21" s="82">
        <v>0</v>
      </c>
      <c r="K21" s="82">
        <v>1</v>
      </c>
      <c r="L21" s="82">
        <v>0</v>
      </c>
      <c r="M21" s="82">
        <v>1</v>
      </c>
      <c r="N21" s="82">
        <v>0</v>
      </c>
      <c r="O21" s="82">
        <v>1</v>
      </c>
      <c r="P21" s="71">
        <v>0</v>
      </c>
      <c r="Q21" s="82">
        <v>0</v>
      </c>
      <c r="R21" s="72">
        <v>1</v>
      </c>
      <c r="S21"/>
      <c r="T21"/>
    </row>
    <row r="22" spans="1:20" ht="15" customHeight="1" x14ac:dyDescent="0.15">
      <c r="A22" s="82"/>
      <c r="B22" s="93"/>
      <c r="C22" s="96"/>
      <c r="D22" s="86" t="s">
        <v>160</v>
      </c>
      <c r="F22" s="201" t="s">
        <v>208</v>
      </c>
      <c r="G22" s="82">
        <v>0</v>
      </c>
      <c r="H22" s="82">
        <v>0</v>
      </c>
      <c r="I22" s="82">
        <v>0</v>
      </c>
      <c r="J22" s="82">
        <v>0</v>
      </c>
      <c r="K22" s="82">
        <v>1</v>
      </c>
      <c r="L22" s="82">
        <v>0</v>
      </c>
      <c r="M22" s="82">
        <v>1</v>
      </c>
      <c r="N22" s="82">
        <v>0</v>
      </c>
      <c r="O22" s="82">
        <v>1</v>
      </c>
      <c r="P22" s="71">
        <v>0</v>
      </c>
      <c r="Q22" s="82">
        <v>0</v>
      </c>
      <c r="R22" s="72">
        <v>1</v>
      </c>
      <c r="S22"/>
      <c r="T22"/>
    </row>
    <row r="23" spans="1:20" ht="15" customHeight="1" x14ac:dyDescent="0.15">
      <c r="A23" s="82"/>
      <c r="B23" s="93"/>
      <c r="C23" s="97"/>
      <c r="D23" s="86" t="s">
        <v>160</v>
      </c>
      <c r="F23" s="201" t="s">
        <v>209</v>
      </c>
      <c r="G23" s="82">
        <v>0</v>
      </c>
      <c r="H23" s="82">
        <v>0</v>
      </c>
      <c r="I23" s="82">
        <v>0</v>
      </c>
      <c r="J23" s="82">
        <v>0</v>
      </c>
      <c r="K23" s="82">
        <v>1</v>
      </c>
      <c r="L23" s="82">
        <v>0</v>
      </c>
      <c r="M23" s="82">
        <v>1</v>
      </c>
      <c r="N23" s="82">
        <v>0</v>
      </c>
      <c r="O23" s="82">
        <v>1</v>
      </c>
      <c r="P23" s="71">
        <v>0</v>
      </c>
      <c r="Q23" s="82">
        <v>0</v>
      </c>
      <c r="R23" s="72">
        <v>1</v>
      </c>
      <c r="S23"/>
      <c r="T23"/>
    </row>
    <row r="24" spans="1:20" ht="15" customHeight="1" x14ac:dyDescent="0.15">
      <c r="A24" s="82"/>
      <c r="B24" s="93"/>
      <c r="C24" s="97"/>
      <c r="D24" s="86" t="s">
        <v>160</v>
      </c>
      <c r="F24" s="201" t="s">
        <v>210</v>
      </c>
      <c r="G24" s="82">
        <v>0</v>
      </c>
      <c r="H24" s="82">
        <v>0</v>
      </c>
      <c r="I24" s="82">
        <v>0</v>
      </c>
      <c r="J24" s="82">
        <v>0</v>
      </c>
      <c r="K24" s="82">
        <v>1</v>
      </c>
      <c r="L24" s="82">
        <v>0</v>
      </c>
      <c r="M24" s="82">
        <v>1</v>
      </c>
      <c r="N24" s="82">
        <v>0</v>
      </c>
      <c r="O24" s="82">
        <v>1</v>
      </c>
      <c r="P24" s="71">
        <v>0</v>
      </c>
      <c r="Q24" s="82">
        <v>0</v>
      </c>
      <c r="R24" s="72">
        <v>1</v>
      </c>
      <c r="S24"/>
      <c r="T24"/>
    </row>
    <row r="25" spans="1:20" ht="15" customHeight="1" x14ac:dyDescent="0.15">
      <c r="A25" s="82"/>
      <c r="B25" s="93"/>
      <c r="C25" s="81"/>
      <c r="D25" s="86" t="s">
        <v>160</v>
      </c>
      <c r="F25" s="201" t="s">
        <v>211</v>
      </c>
      <c r="G25" s="82">
        <v>0</v>
      </c>
      <c r="H25" s="82">
        <v>0</v>
      </c>
      <c r="I25" s="82">
        <v>0</v>
      </c>
      <c r="J25" s="82">
        <v>0</v>
      </c>
      <c r="K25" s="82">
        <v>1</v>
      </c>
      <c r="L25" s="82">
        <v>0</v>
      </c>
      <c r="M25" s="82">
        <v>1</v>
      </c>
      <c r="N25" s="82">
        <v>0</v>
      </c>
      <c r="O25" s="82">
        <v>1</v>
      </c>
      <c r="P25" s="71">
        <v>0</v>
      </c>
      <c r="Q25" s="82">
        <v>0</v>
      </c>
      <c r="R25" s="72">
        <v>1</v>
      </c>
      <c r="S25"/>
      <c r="T25"/>
    </row>
    <row r="26" spans="1:20" ht="15" customHeight="1" x14ac:dyDescent="0.15">
      <c r="B26" s="93"/>
      <c r="C26" s="81"/>
      <c r="D26" s="86" t="s">
        <v>160</v>
      </c>
      <c r="F26" s="201" t="s">
        <v>212</v>
      </c>
      <c r="G26" s="82">
        <v>0</v>
      </c>
      <c r="H26" s="82">
        <v>0</v>
      </c>
      <c r="I26" s="82">
        <v>0</v>
      </c>
      <c r="J26" s="82">
        <v>0</v>
      </c>
      <c r="K26" s="82">
        <v>1</v>
      </c>
      <c r="L26" s="82">
        <v>0</v>
      </c>
      <c r="M26" s="82">
        <v>1</v>
      </c>
      <c r="N26" s="82">
        <v>0</v>
      </c>
      <c r="O26" s="82">
        <v>1</v>
      </c>
      <c r="P26" s="71">
        <v>0</v>
      </c>
      <c r="Q26" s="82">
        <v>0</v>
      </c>
      <c r="R26" s="72">
        <v>1</v>
      </c>
      <c r="S26"/>
      <c r="T26"/>
    </row>
    <row r="27" spans="1:20" ht="15" customHeight="1" x14ac:dyDescent="0.15">
      <c r="B27" s="93"/>
      <c r="C27" s="81"/>
      <c r="D27" s="86" t="s">
        <v>160</v>
      </c>
      <c r="F27" s="201" t="s">
        <v>213</v>
      </c>
      <c r="G27" s="82">
        <v>0</v>
      </c>
      <c r="H27" s="82">
        <v>0</v>
      </c>
      <c r="I27" s="82">
        <v>0</v>
      </c>
      <c r="J27" s="82">
        <v>0</v>
      </c>
      <c r="K27" s="82">
        <v>1</v>
      </c>
      <c r="L27" s="82">
        <v>0</v>
      </c>
      <c r="M27" s="82">
        <v>1</v>
      </c>
      <c r="N27" s="82">
        <v>0</v>
      </c>
      <c r="O27" s="82">
        <v>1</v>
      </c>
      <c r="P27" s="71">
        <v>0</v>
      </c>
      <c r="Q27" s="82">
        <v>0</v>
      </c>
      <c r="R27" s="72">
        <v>1</v>
      </c>
      <c r="S27"/>
      <c r="T27"/>
    </row>
    <row r="28" spans="1:20" ht="15" customHeight="1" thickBot="1" x14ac:dyDescent="0.2">
      <c r="B28" s="92"/>
      <c r="C28" s="81"/>
      <c r="D28" s="86" t="s">
        <v>160</v>
      </c>
      <c r="F28" s="201" t="s">
        <v>214</v>
      </c>
      <c r="G28" s="82">
        <v>0</v>
      </c>
      <c r="H28" s="82">
        <v>0</v>
      </c>
      <c r="I28" s="82">
        <v>0</v>
      </c>
      <c r="J28" s="82">
        <v>0</v>
      </c>
      <c r="K28" s="82">
        <v>1</v>
      </c>
      <c r="L28" s="82">
        <v>0</v>
      </c>
      <c r="M28" s="82">
        <v>1</v>
      </c>
      <c r="N28" s="82">
        <v>0</v>
      </c>
      <c r="O28" s="82">
        <v>1</v>
      </c>
      <c r="P28" s="71">
        <v>0</v>
      </c>
      <c r="Q28" s="82">
        <v>0</v>
      </c>
      <c r="R28" s="72">
        <v>1</v>
      </c>
      <c r="S28"/>
      <c r="T28"/>
    </row>
    <row r="29" spans="1:20" ht="15" customHeight="1" x14ac:dyDescent="0.15">
      <c r="F29" s="201" t="s">
        <v>215</v>
      </c>
      <c r="G29" s="82">
        <v>0</v>
      </c>
      <c r="H29" s="82">
        <v>0</v>
      </c>
      <c r="I29" s="82">
        <v>0</v>
      </c>
      <c r="J29" s="82">
        <v>0</v>
      </c>
      <c r="K29" s="82">
        <v>1</v>
      </c>
      <c r="L29" s="82">
        <v>0</v>
      </c>
      <c r="M29" s="82">
        <v>1</v>
      </c>
      <c r="N29" s="82">
        <v>0</v>
      </c>
      <c r="O29" s="82">
        <v>1</v>
      </c>
      <c r="P29" s="71">
        <v>0</v>
      </c>
      <c r="Q29" s="82">
        <v>0</v>
      </c>
      <c r="R29" s="72">
        <v>1</v>
      </c>
      <c r="S29"/>
      <c r="T29"/>
    </row>
    <row r="30" spans="1:20" ht="15" customHeight="1" x14ac:dyDescent="0.15">
      <c r="F30" s="201" t="s">
        <v>216</v>
      </c>
      <c r="G30" s="82">
        <v>0</v>
      </c>
      <c r="H30" s="82">
        <v>0</v>
      </c>
      <c r="I30" s="82">
        <v>0</v>
      </c>
      <c r="J30" s="82">
        <v>0</v>
      </c>
      <c r="K30" s="82">
        <v>1</v>
      </c>
      <c r="L30" s="82">
        <v>0</v>
      </c>
      <c r="M30" s="82">
        <v>1</v>
      </c>
      <c r="N30" s="82">
        <v>0</v>
      </c>
      <c r="O30" s="82">
        <v>1</v>
      </c>
      <c r="P30" s="71">
        <v>0</v>
      </c>
      <c r="Q30" s="82">
        <v>0</v>
      </c>
      <c r="R30" s="72">
        <v>1</v>
      </c>
      <c r="S30"/>
      <c r="T30"/>
    </row>
    <row r="31" spans="1:20" ht="15" customHeight="1" x14ac:dyDescent="0.15">
      <c r="A31" s="126"/>
      <c r="B31" s="137" t="s">
        <v>17</v>
      </c>
      <c r="C31" s="137" t="s">
        <v>1</v>
      </c>
      <c r="D31" s="137" t="s">
        <v>161</v>
      </c>
      <c r="E31" s="138" t="s">
        <v>163</v>
      </c>
      <c r="F31" s="201" t="s">
        <v>217</v>
      </c>
      <c r="G31" s="82">
        <v>0</v>
      </c>
      <c r="H31" s="82">
        <v>0</v>
      </c>
      <c r="I31" s="82">
        <v>0</v>
      </c>
      <c r="J31" s="82">
        <v>0</v>
      </c>
      <c r="K31" s="82">
        <v>1</v>
      </c>
      <c r="L31" s="82">
        <v>0</v>
      </c>
      <c r="M31" s="82">
        <v>1</v>
      </c>
      <c r="N31" s="82">
        <v>0</v>
      </c>
      <c r="O31" s="82">
        <v>1</v>
      </c>
      <c r="P31" s="71">
        <v>0</v>
      </c>
      <c r="Q31" s="82">
        <v>0</v>
      </c>
      <c r="R31" s="72">
        <v>1</v>
      </c>
      <c r="S31"/>
      <c r="T31"/>
    </row>
    <row r="32" spans="1:20" ht="15" customHeight="1" x14ac:dyDescent="0.15">
      <c r="A32" s="204" t="s">
        <v>227</v>
      </c>
      <c r="B32" s="94">
        <v>80</v>
      </c>
      <c r="C32" s="94">
        <v>70</v>
      </c>
      <c r="D32" s="94">
        <v>5600</v>
      </c>
      <c r="E32" s="128">
        <v>1</v>
      </c>
      <c r="F32" s="201" t="s">
        <v>218</v>
      </c>
      <c r="G32" s="82">
        <v>0</v>
      </c>
      <c r="H32" s="82">
        <v>0</v>
      </c>
      <c r="I32" s="82">
        <v>0</v>
      </c>
      <c r="J32" s="82">
        <v>0</v>
      </c>
      <c r="K32" s="82">
        <v>1</v>
      </c>
      <c r="L32" s="82">
        <v>0</v>
      </c>
      <c r="M32" s="82">
        <v>1</v>
      </c>
      <c r="N32" s="82">
        <v>0</v>
      </c>
      <c r="O32" s="82">
        <v>1</v>
      </c>
      <c r="P32" s="71">
        <v>0</v>
      </c>
      <c r="Q32" s="82">
        <v>0</v>
      </c>
      <c r="R32" s="72">
        <v>1</v>
      </c>
      <c r="S32"/>
      <c r="T32"/>
    </row>
    <row r="33" spans="1:20" ht="15" customHeight="1" x14ac:dyDescent="0.15">
      <c r="A33" s="127"/>
      <c r="B33" s="94"/>
      <c r="C33" s="94"/>
      <c r="D33" s="94"/>
      <c r="E33" s="128"/>
      <c r="F33" s="201" t="s">
        <v>219</v>
      </c>
      <c r="G33" s="82">
        <v>0</v>
      </c>
      <c r="H33" s="82">
        <v>0</v>
      </c>
      <c r="I33" s="82">
        <v>0</v>
      </c>
      <c r="J33" s="82">
        <v>0</v>
      </c>
      <c r="K33" s="82">
        <v>1</v>
      </c>
      <c r="L33" s="82">
        <v>0</v>
      </c>
      <c r="M33" s="82">
        <v>1</v>
      </c>
      <c r="N33" s="82">
        <v>0</v>
      </c>
      <c r="O33" s="82">
        <v>1</v>
      </c>
      <c r="P33" s="71">
        <v>0</v>
      </c>
      <c r="Q33" s="82">
        <v>0</v>
      </c>
      <c r="R33" s="72">
        <v>1</v>
      </c>
      <c r="S33"/>
      <c r="T33"/>
    </row>
    <row r="34" spans="1:20" ht="15" customHeight="1" x14ac:dyDescent="0.15">
      <c r="A34" s="129"/>
      <c r="B34" s="94"/>
      <c r="C34" s="94"/>
      <c r="D34" s="94"/>
      <c r="E34" s="128"/>
      <c r="F34" s="201" t="s">
        <v>220</v>
      </c>
      <c r="G34" s="82">
        <v>0</v>
      </c>
      <c r="H34" s="82">
        <v>0</v>
      </c>
      <c r="I34" s="82">
        <v>0</v>
      </c>
      <c r="J34" s="82">
        <v>0</v>
      </c>
      <c r="K34" s="82">
        <v>1</v>
      </c>
      <c r="L34" s="82">
        <v>0</v>
      </c>
      <c r="M34" s="82">
        <v>1</v>
      </c>
      <c r="N34" s="82">
        <v>0</v>
      </c>
      <c r="O34" s="82">
        <v>1</v>
      </c>
      <c r="P34" s="71">
        <v>0</v>
      </c>
      <c r="Q34" s="82">
        <v>0</v>
      </c>
      <c r="R34" s="72">
        <v>1</v>
      </c>
      <c r="S34"/>
      <c r="T34"/>
    </row>
    <row r="35" spans="1:20" ht="15" customHeight="1" x14ac:dyDescent="0.15">
      <c r="A35" s="130"/>
      <c r="B35" s="94"/>
      <c r="C35" s="94"/>
      <c r="D35" s="94"/>
      <c r="E35" s="128"/>
      <c r="F35" s="201" t="s">
        <v>221</v>
      </c>
      <c r="G35" s="82">
        <v>0</v>
      </c>
      <c r="H35" s="82">
        <v>0</v>
      </c>
      <c r="I35" s="82">
        <v>0</v>
      </c>
      <c r="J35" s="82">
        <v>0</v>
      </c>
      <c r="K35" s="82">
        <v>1</v>
      </c>
      <c r="L35" s="82">
        <v>0</v>
      </c>
      <c r="M35" s="82">
        <v>1</v>
      </c>
      <c r="N35" s="82">
        <v>0</v>
      </c>
      <c r="O35" s="82">
        <v>1</v>
      </c>
      <c r="P35" s="71">
        <v>0</v>
      </c>
      <c r="Q35" s="82">
        <v>0</v>
      </c>
      <c r="R35" s="72">
        <v>1</v>
      </c>
      <c r="S35"/>
      <c r="T35"/>
    </row>
    <row r="36" spans="1:20" ht="15" customHeight="1" x14ac:dyDescent="0.15">
      <c r="A36" s="131"/>
      <c r="B36" s="94"/>
      <c r="C36" s="94"/>
      <c r="D36" s="94"/>
      <c r="E36" s="128"/>
      <c r="F36" s="201" t="s">
        <v>222</v>
      </c>
      <c r="G36" s="82">
        <v>0</v>
      </c>
      <c r="H36" s="82">
        <v>0</v>
      </c>
      <c r="I36" s="82">
        <v>0</v>
      </c>
      <c r="J36" s="82">
        <v>0</v>
      </c>
      <c r="K36" s="82">
        <v>1</v>
      </c>
      <c r="L36" s="82">
        <v>0</v>
      </c>
      <c r="M36" s="82">
        <v>1</v>
      </c>
      <c r="N36" s="82">
        <v>0</v>
      </c>
      <c r="O36" s="82">
        <v>1</v>
      </c>
      <c r="P36" s="71">
        <v>0</v>
      </c>
      <c r="Q36" s="82">
        <v>0</v>
      </c>
      <c r="R36" s="72">
        <v>1</v>
      </c>
      <c r="S36"/>
      <c r="T36"/>
    </row>
    <row r="37" spans="1:20" ht="15" customHeight="1" x14ac:dyDescent="0.15">
      <c r="A37" s="131"/>
      <c r="B37" s="94"/>
      <c r="C37" s="94"/>
      <c r="D37" s="94"/>
      <c r="E37" s="128"/>
      <c r="F37" s="201" t="s">
        <v>223</v>
      </c>
      <c r="G37" s="82">
        <v>0</v>
      </c>
      <c r="H37" s="82">
        <v>0</v>
      </c>
      <c r="I37" s="82">
        <v>0</v>
      </c>
      <c r="J37" s="82">
        <v>0</v>
      </c>
      <c r="K37" s="82">
        <v>1</v>
      </c>
      <c r="L37" s="82">
        <v>0</v>
      </c>
      <c r="M37" s="82">
        <v>1</v>
      </c>
      <c r="N37" s="82">
        <v>0</v>
      </c>
      <c r="O37" s="82">
        <v>1</v>
      </c>
      <c r="P37" s="71">
        <v>0</v>
      </c>
      <c r="Q37" s="82">
        <v>0</v>
      </c>
      <c r="R37" s="72">
        <v>1</v>
      </c>
      <c r="S37"/>
      <c r="T37"/>
    </row>
    <row r="38" spans="1:20" ht="15" customHeight="1" x14ac:dyDescent="0.15">
      <c r="A38" s="132"/>
      <c r="B38" s="94"/>
      <c r="C38" s="94"/>
      <c r="D38" s="94"/>
      <c r="E38" s="128"/>
      <c r="F38" s="201" t="s">
        <v>224</v>
      </c>
      <c r="G38" s="82">
        <v>0</v>
      </c>
      <c r="H38" s="82">
        <v>0</v>
      </c>
      <c r="I38" s="82">
        <v>0</v>
      </c>
      <c r="J38" s="82">
        <v>0</v>
      </c>
      <c r="K38" s="82">
        <v>1</v>
      </c>
      <c r="L38" s="82">
        <v>0</v>
      </c>
      <c r="M38" s="82">
        <v>1</v>
      </c>
      <c r="N38" s="82">
        <v>0</v>
      </c>
      <c r="O38" s="82">
        <v>1</v>
      </c>
      <c r="P38" s="71">
        <v>0</v>
      </c>
      <c r="Q38" s="82">
        <v>0</v>
      </c>
      <c r="R38" s="72">
        <v>1</v>
      </c>
      <c r="S38"/>
      <c r="T38"/>
    </row>
    <row r="39" spans="1:20" ht="15" customHeight="1" x14ac:dyDescent="0.15">
      <c r="A39" s="132"/>
      <c r="B39" s="94"/>
      <c r="C39" s="94"/>
      <c r="D39" s="94"/>
      <c r="E39" s="128"/>
      <c r="F39" s="201" t="s">
        <v>225</v>
      </c>
      <c r="G39" s="82">
        <v>0</v>
      </c>
      <c r="H39" s="82">
        <v>0</v>
      </c>
      <c r="I39" s="82">
        <v>0</v>
      </c>
      <c r="J39" s="82">
        <v>0</v>
      </c>
      <c r="K39" s="82">
        <v>1</v>
      </c>
      <c r="L39" s="82">
        <v>0</v>
      </c>
      <c r="M39" s="82">
        <v>1</v>
      </c>
      <c r="N39" s="82">
        <v>0</v>
      </c>
      <c r="O39" s="82">
        <v>1</v>
      </c>
      <c r="P39" s="71">
        <v>0</v>
      </c>
      <c r="Q39" s="82">
        <v>0</v>
      </c>
      <c r="R39" s="72">
        <v>1</v>
      </c>
      <c r="S39"/>
      <c r="T39"/>
    </row>
    <row r="40" spans="1:20" ht="15" customHeight="1" x14ac:dyDescent="0.15">
      <c r="A40" s="132"/>
      <c r="B40" s="94"/>
      <c r="C40" s="94"/>
      <c r="D40" s="94"/>
      <c r="E40" s="128"/>
      <c r="F40" s="201" t="s">
        <v>226</v>
      </c>
      <c r="G40" s="82">
        <v>0</v>
      </c>
      <c r="H40" s="82">
        <v>0</v>
      </c>
      <c r="I40" s="82">
        <v>0</v>
      </c>
      <c r="J40" s="82">
        <v>0</v>
      </c>
      <c r="K40" s="82">
        <v>1</v>
      </c>
      <c r="L40" s="82">
        <v>0</v>
      </c>
      <c r="M40" s="82">
        <v>1</v>
      </c>
      <c r="N40" s="82">
        <v>0</v>
      </c>
      <c r="O40" s="82">
        <v>1</v>
      </c>
      <c r="P40" s="71">
        <v>0</v>
      </c>
      <c r="Q40" s="82">
        <v>0</v>
      </c>
      <c r="R40" s="72">
        <v>1</v>
      </c>
      <c r="S40"/>
      <c r="T40"/>
    </row>
    <row r="41" spans="1:20" ht="15" customHeight="1" thickBot="1" x14ac:dyDescent="0.2">
      <c r="A41" s="132"/>
      <c r="B41" s="94"/>
      <c r="C41" s="94"/>
      <c r="D41" s="95"/>
      <c r="E41" s="133"/>
      <c r="F41" s="201" t="s">
        <v>227</v>
      </c>
      <c r="G41" s="82">
        <v>0</v>
      </c>
      <c r="H41" s="82">
        <v>0</v>
      </c>
      <c r="I41" s="82">
        <v>0</v>
      </c>
      <c r="J41" s="82">
        <v>0</v>
      </c>
      <c r="K41" s="82">
        <v>0</v>
      </c>
      <c r="L41" s="82">
        <v>0</v>
      </c>
      <c r="M41" s="82">
        <v>1</v>
      </c>
      <c r="N41" s="82">
        <v>0</v>
      </c>
      <c r="O41" s="82">
        <v>0</v>
      </c>
      <c r="P41" s="71">
        <v>0</v>
      </c>
      <c r="Q41" s="82">
        <v>0</v>
      </c>
      <c r="R41" s="72">
        <v>1</v>
      </c>
      <c r="S41"/>
      <c r="T41"/>
    </row>
    <row r="42" spans="1:20" ht="15" customHeight="1" x14ac:dyDescent="0.15">
      <c r="A42" s="134"/>
      <c r="B42" s="135"/>
      <c r="C42" s="135" t="s">
        <v>162</v>
      </c>
      <c r="D42" s="135">
        <f>SUM(D32:D41)</f>
        <v>5600</v>
      </c>
      <c r="E42" s="136">
        <f>SUM(E32:E41)</f>
        <v>1</v>
      </c>
      <c r="F42" s="201" t="s">
        <v>228</v>
      </c>
      <c r="G42" s="82">
        <v>0</v>
      </c>
      <c r="H42" s="82">
        <v>0</v>
      </c>
      <c r="I42" s="82">
        <v>0</v>
      </c>
      <c r="J42" s="82">
        <v>0</v>
      </c>
      <c r="K42" s="82">
        <v>0</v>
      </c>
      <c r="L42" s="82">
        <v>1</v>
      </c>
      <c r="M42" s="82">
        <v>0</v>
      </c>
      <c r="N42" s="82">
        <v>1</v>
      </c>
      <c r="O42" s="82">
        <v>0</v>
      </c>
      <c r="P42" s="71">
        <v>1</v>
      </c>
      <c r="Q42" s="82">
        <v>0</v>
      </c>
      <c r="R42" s="72">
        <v>1</v>
      </c>
      <c r="S42"/>
      <c r="T42"/>
    </row>
    <row r="43" spans="1:20" ht="15" customHeight="1" x14ac:dyDescent="0.15">
      <c r="A43" s="82"/>
      <c r="F43" s="201" t="s">
        <v>229</v>
      </c>
      <c r="G43" s="82">
        <v>0</v>
      </c>
      <c r="H43" s="82">
        <v>0</v>
      </c>
      <c r="I43" s="82">
        <v>0</v>
      </c>
      <c r="J43" s="82">
        <v>0</v>
      </c>
      <c r="K43" s="82">
        <v>0</v>
      </c>
      <c r="L43" s="82">
        <v>1</v>
      </c>
      <c r="M43" s="82">
        <v>0</v>
      </c>
      <c r="N43" s="82">
        <v>1</v>
      </c>
      <c r="O43" s="82">
        <v>0</v>
      </c>
      <c r="P43" s="71">
        <v>1</v>
      </c>
      <c r="Q43" s="82">
        <v>0</v>
      </c>
      <c r="R43" s="72">
        <v>1</v>
      </c>
      <c r="S43"/>
      <c r="T43"/>
    </row>
    <row r="44" spans="1:20" ht="15" customHeight="1" x14ac:dyDescent="0.15">
      <c r="A44" s="82"/>
      <c r="F44" s="201" t="s">
        <v>230</v>
      </c>
      <c r="G44" s="82">
        <v>0</v>
      </c>
      <c r="H44" s="82">
        <v>0</v>
      </c>
      <c r="I44" s="82">
        <v>0</v>
      </c>
      <c r="J44" s="82">
        <v>0</v>
      </c>
      <c r="K44" s="82">
        <v>0</v>
      </c>
      <c r="L44" s="82">
        <v>1</v>
      </c>
      <c r="M44" s="82">
        <v>0</v>
      </c>
      <c r="N44" s="82">
        <v>0</v>
      </c>
      <c r="O44" s="82">
        <v>0</v>
      </c>
      <c r="P44" s="71">
        <v>0</v>
      </c>
      <c r="Q44" s="82">
        <v>0</v>
      </c>
      <c r="R44" s="72">
        <v>1</v>
      </c>
    </row>
    <row r="45" spans="1:20" ht="15" customHeight="1" x14ac:dyDescent="0.15">
      <c r="A45" s="82"/>
      <c r="F45" s="201" t="s">
        <v>231</v>
      </c>
      <c r="G45" s="82">
        <v>0</v>
      </c>
      <c r="H45" s="82">
        <v>0</v>
      </c>
      <c r="I45" s="82">
        <v>0</v>
      </c>
      <c r="J45" s="82">
        <v>0</v>
      </c>
      <c r="K45" s="82">
        <v>0</v>
      </c>
      <c r="L45" s="82">
        <v>1</v>
      </c>
      <c r="M45" s="82">
        <v>0</v>
      </c>
      <c r="N45" s="82">
        <v>0</v>
      </c>
      <c r="O45" s="82">
        <v>0</v>
      </c>
      <c r="P45" s="71">
        <v>0</v>
      </c>
      <c r="Q45" s="82">
        <v>0</v>
      </c>
      <c r="R45" s="72">
        <v>1</v>
      </c>
    </row>
    <row r="46" spans="1:20" ht="15" customHeight="1" x14ac:dyDescent="0.15">
      <c r="A46" s="82"/>
      <c r="F46" s="201" t="s">
        <v>232</v>
      </c>
      <c r="G46" s="82">
        <v>0</v>
      </c>
      <c r="H46" s="82">
        <v>0</v>
      </c>
      <c r="I46" s="82">
        <v>0</v>
      </c>
      <c r="J46" s="82">
        <v>0</v>
      </c>
      <c r="K46" s="82">
        <v>0</v>
      </c>
      <c r="L46" s="82">
        <v>1</v>
      </c>
      <c r="M46" s="82">
        <v>0</v>
      </c>
      <c r="N46" s="82">
        <v>0</v>
      </c>
      <c r="O46" s="82">
        <v>0</v>
      </c>
      <c r="P46" s="71">
        <v>0</v>
      </c>
      <c r="Q46" s="82">
        <v>0</v>
      </c>
      <c r="R46" s="72">
        <v>1</v>
      </c>
    </row>
    <row r="47" spans="1:20" ht="15" customHeight="1" x14ac:dyDescent="0.15">
      <c r="A47" s="82"/>
      <c r="F47" s="201" t="s">
        <v>233</v>
      </c>
      <c r="G47" s="82">
        <v>0</v>
      </c>
      <c r="H47" s="82">
        <v>0</v>
      </c>
      <c r="I47" s="82">
        <v>0</v>
      </c>
      <c r="J47" s="82">
        <v>0</v>
      </c>
      <c r="K47" s="82">
        <v>0</v>
      </c>
      <c r="L47" s="82">
        <v>1</v>
      </c>
      <c r="M47" s="82">
        <v>0</v>
      </c>
      <c r="N47" s="82">
        <v>0</v>
      </c>
      <c r="O47" s="82">
        <v>0</v>
      </c>
      <c r="P47" s="71">
        <v>0</v>
      </c>
      <c r="Q47" s="82">
        <v>0</v>
      </c>
      <c r="R47" s="72">
        <v>1</v>
      </c>
    </row>
    <row r="48" spans="1:20" ht="15" customHeight="1" x14ac:dyDescent="0.15">
      <c r="A48" s="82"/>
      <c r="F48" s="201" t="s">
        <v>234</v>
      </c>
      <c r="G48" s="82">
        <v>0</v>
      </c>
      <c r="H48" s="82">
        <v>0</v>
      </c>
      <c r="I48" s="82">
        <v>0</v>
      </c>
      <c r="J48" s="82">
        <v>0</v>
      </c>
      <c r="K48" s="82">
        <v>0</v>
      </c>
      <c r="L48" s="82">
        <v>1</v>
      </c>
      <c r="M48" s="82">
        <v>0</v>
      </c>
      <c r="N48" s="82">
        <v>0</v>
      </c>
      <c r="O48" s="82">
        <v>0</v>
      </c>
      <c r="P48" s="71">
        <v>0</v>
      </c>
      <c r="Q48" s="82">
        <v>0</v>
      </c>
      <c r="R48" s="72">
        <v>1</v>
      </c>
    </row>
    <row r="49" spans="6:18" s="82" customFormat="1" ht="15" customHeight="1" x14ac:dyDescent="0.15">
      <c r="F49" s="201" t="s">
        <v>235</v>
      </c>
      <c r="G49" s="82">
        <v>0</v>
      </c>
      <c r="H49" s="82">
        <v>0</v>
      </c>
      <c r="I49" s="82">
        <v>0</v>
      </c>
      <c r="J49" s="82">
        <v>0</v>
      </c>
      <c r="K49" s="82">
        <v>0</v>
      </c>
      <c r="L49" s="82">
        <v>1</v>
      </c>
      <c r="M49" s="82">
        <v>0</v>
      </c>
      <c r="N49" s="82">
        <v>0</v>
      </c>
      <c r="O49" s="82">
        <v>0</v>
      </c>
      <c r="P49" s="71">
        <v>0</v>
      </c>
      <c r="Q49" s="82">
        <v>0</v>
      </c>
      <c r="R49" s="72">
        <v>1</v>
      </c>
    </row>
    <row r="50" spans="6:18" s="82" customFormat="1" ht="15" customHeight="1" x14ac:dyDescent="0.15">
      <c r="F50" s="201" t="s">
        <v>236</v>
      </c>
      <c r="G50" s="82">
        <v>0</v>
      </c>
      <c r="H50" s="82">
        <v>0</v>
      </c>
      <c r="I50" s="82">
        <v>0</v>
      </c>
      <c r="J50" s="82">
        <v>0</v>
      </c>
      <c r="K50" s="82">
        <v>0</v>
      </c>
      <c r="L50" s="82">
        <v>1</v>
      </c>
      <c r="M50" s="82">
        <v>0</v>
      </c>
      <c r="N50" s="82">
        <v>0</v>
      </c>
      <c r="O50" s="82">
        <v>0</v>
      </c>
      <c r="P50" s="71">
        <v>0</v>
      </c>
      <c r="Q50" s="82">
        <v>0</v>
      </c>
      <c r="R50" s="72">
        <v>1</v>
      </c>
    </row>
    <row r="51" spans="6:18" s="82" customFormat="1" ht="15" customHeight="1" x14ac:dyDescent="0.15">
      <c r="F51" s="201" t="s">
        <v>237</v>
      </c>
      <c r="G51" s="82">
        <v>0</v>
      </c>
      <c r="H51" s="82">
        <v>0</v>
      </c>
      <c r="I51" s="82">
        <v>0</v>
      </c>
      <c r="J51" s="82">
        <v>0</v>
      </c>
      <c r="K51" s="82">
        <v>0</v>
      </c>
      <c r="L51" s="82">
        <v>1</v>
      </c>
      <c r="M51" s="82">
        <v>0</v>
      </c>
      <c r="N51" s="82">
        <v>0</v>
      </c>
      <c r="O51" s="82">
        <v>0</v>
      </c>
      <c r="P51" s="71">
        <v>0</v>
      </c>
      <c r="Q51" s="82">
        <v>0</v>
      </c>
      <c r="R51" s="72">
        <v>1</v>
      </c>
    </row>
    <row r="52" spans="6:18" s="82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2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2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2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2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2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2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2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2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2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2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2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2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2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2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2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2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2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2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2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2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2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2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2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2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2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2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2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2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2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2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2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2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2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2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2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2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2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2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2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2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2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2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2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2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2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2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2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2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2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2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2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2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2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2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2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2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2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2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2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2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2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2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2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2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2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2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2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2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2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2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2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2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2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2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2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2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2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2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2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2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2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2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2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2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2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2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2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2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2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2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2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2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2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2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2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2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2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2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2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2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2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2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2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2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2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2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2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2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2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2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2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2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2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2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2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2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B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11" customWidth="1"/>
    <col min="3" max="5" width="7.83203125" style="111" customWidth="1"/>
    <col min="6" max="8" width="8.83203125" style="6"/>
    <col min="9" max="9" width="6" style="6" customWidth="1"/>
    <col min="10" max="10" width="10.1640625" style="6" customWidth="1"/>
    <col min="11" max="11" width="8.5" style="6" customWidth="1"/>
    <col min="12" max="12" width="15.6640625" style="6" customWidth="1"/>
    <col min="13" max="13" width="7.5" style="6" customWidth="1"/>
    <col min="14" max="14" width="15" style="6" customWidth="1"/>
    <col min="15" max="15" width="7.1640625" style="6" customWidth="1"/>
    <col min="16" max="16" width="12" style="6" customWidth="1"/>
    <col min="17" max="17" width="4.5" style="6" customWidth="1"/>
    <col min="18" max="18" width="6.5" style="6" customWidth="1"/>
    <col min="19" max="20" width="13.33203125" style="6" customWidth="1"/>
    <col min="21" max="21" width="8.83203125" style="6" customWidth="1"/>
    <col min="22" max="22" width="8.5" style="6" customWidth="1"/>
    <col min="23" max="23" width="10.6640625" style="6" customWidth="1"/>
    <col min="24" max="24" width="6.5" style="6" customWidth="1"/>
    <col min="25" max="25" width="8.83203125" style="6" customWidth="1"/>
    <col min="26" max="26" width="9.5" style="6" customWidth="1"/>
    <col min="27" max="27" width="6.5" style="6" customWidth="1"/>
    <col min="28" max="28" width="5" style="6" customWidth="1"/>
    <col min="29" max="29" width="9.1640625" style="6" customWidth="1"/>
    <col min="30" max="30" width="11.5" style="6" customWidth="1"/>
    <col min="31" max="31" width="12" style="6" customWidth="1"/>
    <col min="32" max="32" width="8" style="6" customWidth="1"/>
    <col min="33" max="33" width="5.6640625" style="6" customWidth="1"/>
    <col min="34" max="34" width="7.1640625" style="6" customWidth="1"/>
    <col min="35" max="35" width="12.1640625" style="6" customWidth="1"/>
    <col min="36" max="36" width="18.33203125" style="6" customWidth="1"/>
    <col min="37" max="37" width="14.5" style="6" customWidth="1"/>
    <col min="38" max="38" width="11.5" style="6" customWidth="1"/>
    <col min="39" max="39" width="16.5" customWidth="1"/>
    <col min="40" max="40" width="11.5" customWidth="1"/>
    <col min="41" max="41" width="16.5" customWidth="1"/>
    <col min="42" max="42" width="8.5" customWidth="1"/>
    <col min="43" max="43" width="7.1640625" customWidth="1"/>
    <col min="44" max="44" width="13.1640625" customWidth="1"/>
    <col min="45" max="45" width="7.6640625" customWidth="1"/>
    <col min="46" max="46" width="21.6640625" customWidth="1"/>
    <col min="47" max="48" width="6.5" customWidth="1"/>
    <col min="49" max="49" width="8.1640625" customWidth="1"/>
    <col min="50" max="50" width="7.1640625" customWidth="1"/>
    <col min="51" max="51" width="6.1640625" customWidth="1"/>
    <col min="52" max="52" width="4.6640625" customWidth="1"/>
    <col min="53" max="53" width="9" customWidth="1"/>
    <col min="54" max="54" width="5.33203125" customWidth="1"/>
    <col min="81" max="81" width="22.1640625" bestFit="1" customWidth="1"/>
  </cols>
  <sheetData>
    <row r="1" spans="1:54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6" t="s">
        <v>192</v>
      </c>
      <c r="J1" s="206" t="s">
        <v>193</v>
      </c>
      <c r="K1" s="206" t="s">
        <v>194</v>
      </c>
      <c r="L1" s="206" t="s">
        <v>195</v>
      </c>
      <c r="M1" s="206" t="s">
        <v>196</v>
      </c>
      <c r="N1" s="206" t="s">
        <v>197</v>
      </c>
      <c r="O1" s="206" t="s">
        <v>198</v>
      </c>
      <c r="P1" s="206" t="s">
        <v>199</v>
      </c>
      <c r="Q1" s="206" t="s">
        <v>200</v>
      </c>
      <c r="R1" s="206" t="s">
        <v>201</v>
      </c>
      <c r="S1" s="206" t="s">
        <v>202</v>
      </c>
      <c r="T1" s="206" t="s">
        <v>203</v>
      </c>
      <c r="U1" s="206" t="s">
        <v>204</v>
      </c>
      <c r="V1" s="206" t="s">
        <v>205</v>
      </c>
      <c r="W1" s="206" t="s">
        <v>206</v>
      </c>
      <c r="X1" s="206" t="s">
        <v>207</v>
      </c>
      <c r="Y1" s="206" t="s">
        <v>208</v>
      </c>
      <c r="Z1" s="206" t="s">
        <v>209</v>
      </c>
      <c r="AA1" s="206" t="s">
        <v>210</v>
      </c>
      <c r="AB1" s="206" t="s">
        <v>211</v>
      </c>
      <c r="AC1" s="206" t="s">
        <v>212</v>
      </c>
      <c r="AD1" s="206" t="s">
        <v>213</v>
      </c>
      <c r="AE1" s="206" t="s">
        <v>214</v>
      </c>
      <c r="AF1" s="206" t="s">
        <v>215</v>
      </c>
      <c r="AG1" s="206" t="s">
        <v>216</v>
      </c>
      <c r="AH1" s="206" t="s">
        <v>217</v>
      </c>
      <c r="AI1" s="206" t="s">
        <v>218</v>
      </c>
      <c r="AJ1" s="206" t="s">
        <v>219</v>
      </c>
      <c r="AK1" s="206" t="s">
        <v>220</v>
      </c>
      <c r="AL1" s="206" t="s">
        <v>221</v>
      </c>
      <c r="AM1" s="206" t="s">
        <v>222</v>
      </c>
      <c r="AN1" s="206" t="s">
        <v>223</v>
      </c>
      <c r="AO1" s="206" t="s">
        <v>224</v>
      </c>
      <c r="AP1" s="206" t="s">
        <v>225</v>
      </c>
      <c r="AQ1" s="206" t="s">
        <v>226</v>
      </c>
      <c r="AR1" s="206" t="s">
        <v>227</v>
      </c>
      <c r="AS1" s="206" t="s">
        <v>228</v>
      </c>
      <c r="AT1" s="206" t="s">
        <v>229</v>
      </c>
      <c r="AU1" s="206" t="s">
        <v>230</v>
      </c>
      <c r="AV1" s="206" t="s">
        <v>231</v>
      </c>
      <c r="AW1" s="206" t="s">
        <v>232</v>
      </c>
      <c r="AX1" s="206" t="s">
        <v>233</v>
      </c>
      <c r="AY1" s="206" t="s">
        <v>234</v>
      </c>
      <c r="AZ1" s="206" t="s">
        <v>235</v>
      </c>
      <c r="BA1" s="206" t="s">
        <v>236</v>
      </c>
      <c r="BB1" s="206" t="s">
        <v>237</v>
      </c>
    </row>
    <row r="2" spans="1:54" x14ac:dyDescent="0.15">
      <c r="A2" t="s">
        <v>38</v>
      </c>
      <c r="B2" s="111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54" x14ac:dyDescent="0.15">
      <c r="A3" t="s">
        <v>40</v>
      </c>
      <c r="B3" s="111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54" x14ac:dyDescent="0.15">
      <c r="A4" t="s">
        <v>41</v>
      </c>
      <c r="B4" s="111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54" x14ac:dyDescent="0.15">
      <c r="A5" s="205" t="s">
        <v>192</v>
      </c>
      <c r="B5" s="111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54" x14ac:dyDescent="0.15">
      <c r="A6" s="205" t="s">
        <v>193</v>
      </c>
      <c r="B6" s="111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54" x14ac:dyDescent="0.15">
      <c r="A7" s="205" t="s">
        <v>194</v>
      </c>
      <c r="B7" s="111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54" x14ac:dyDescent="0.15">
      <c r="A8" s="205" t="s">
        <v>195</v>
      </c>
      <c r="B8" s="111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54" x14ac:dyDescent="0.15">
      <c r="A9" s="205" t="s">
        <v>196</v>
      </c>
      <c r="B9" s="111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54" x14ac:dyDescent="0.15">
      <c r="A10" s="205" t="s">
        <v>197</v>
      </c>
      <c r="B10" s="111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54" x14ac:dyDescent="0.15">
      <c r="A11" s="205" t="s">
        <v>198</v>
      </c>
      <c r="B11" s="111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54" x14ac:dyDescent="0.15">
      <c r="A12" s="205" t="s">
        <v>199</v>
      </c>
      <c r="B12" s="111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54" x14ac:dyDescent="0.15">
      <c r="A13" s="205" t="s">
        <v>200</v>
      </c>
      <c r="B13" s="111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54" x14ac:dyDescent="0.15">
      <c r="A14" s="205" t="s">
        <v>201</v>
      </c>
      <c r="B14" s="111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54" x14ac:dyDescent="0.15">
      <c r="A15" s="205" t="s">
        <v>202</v>
      </c>
      <c r="B15" s="111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54" x14ac:dyDescent="0.15">
      <c r="A16" s="205" t="s">
        <v>203</v>
      </c>
      <c r="B16" s="111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5" t="s">
        <v>204</v>
      </c>
      <c r="B17" s="111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5" t="s">
        <v>205</v>
      </c>
      <c r="B18" s="111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5" t="s">
        <v>206</v>
      </c>
      <c r="B19" s="111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5" t="s">
        <v>207</v>
      </c>
      <c r="B20" s="111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5" t="s">
        <v>208</v>
      </c>
      <c r="B21" s="111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5" t="s">
        <v>209</v>
      </c>
      <c r="B22" s="111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5" t="s">
        <v>210</v>
      </c>
      <c r="B23" s="111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5" t="s">
        <v>211</v>
      </c>
      <c r="B24" s="111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5" t="s">
        <v>212</v>
      </c>
      <c r="B25" s="111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5" t="s">
        <v>213</v>
      </c>
      <c r="B26" s="111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5" t="s">
        <v>214</v>
      </c>
      <c r="B27" s="111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5" t="s">
        <v>215</v>
      </c>
      <c r="B28" s="111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5" t="s">
        <v>216</v>
      </c>
      <c r="B29" s="111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5" t="s">
        <v>217</v>
      </c>
      <c r="B30" s="111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5" t="s">
        <v>218</v>
      </c>
      <c r="B31" s="111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5" t="s">
        <v>219</v>
      </c>
      <c r="B32" s="111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5" t="s">
        <v>220</v>
      </c>
      <c r="B33" s="111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5" t="s">
        <v>221</v>
      </c>
      <c r="B34" s="111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5" t="s">
        <v>222</v>
      </c>
      <c r="B35" s="111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5" t="s">
        <v>223</v>
      </c>
      <c r="B36" s="111">
        <v>0</v>
      </c>
      <c r="C36"/>
      <c r="D36"/>
    </row>
    <row r="37" spans="1:38" ht="15" customHeight="1" x14ac:dyDescent="0.15">
      <c r="A37" s="205" t="s">
        <v>224</v>
      </c>
      <c r="B37" s="111">
        <v>0</v>
      </c>
      <c r="C37"/>
      <c r="D37"/>
    </row>
    <row r="38" spans="1:38" ht="15" customHeight="1" x14ac:dyDescent="0.15">
      <c r="A38" s="205" t="s">
        <v>225</v>
      </c>
      <c r="B38" s="111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5" t="s">
        <v>226</v>
      </c>
      <c r="B39" s="111">
        <v>0</v>
      </c>
      <c r="C39"/>
      <c r="D39"/>
    </row>
    <row r="40" spans="1:38" ht="15" customHeight="1" x14ac:dyDescent="0.15">
      <c r="A40" s="205" t="s">
        <v>227</v>
      </c>
      <c r="B40" s="111">
        <v>0</v>
      </c>
      <c r="C40"/>
      <c r="D40"/>
    </row>
    <row r="41" spans="1:38" ht="15" customHeight="1" x14ac:dyDescent="0.15">
      <c r="A41" s="205" t="s">
        <v>228</v>
      </c>
      <c r="B41" s="111">
        <v>0</v>
      </c>
      <c r="C41"/>
      <c r="D41"/>
    </row>
    <row r="42" spans="1:38" ht="15" customHeight="1" x14ac:dyDescent="0.15">
      <c r="A42" s="205" t="s">
        <v>229</v>
      </c>
      <c r="B42" s="111">
        <v>0</v>
      </c>
    </row>
    <row r="43" spans="1:38" ht="15" customHeight="1" x14ac:dyDescent="0.15">
      <c r="A43" s="205" t="s">
        <v>230</v>
      </c>
      <c r="B43" s="111">
        <v>0</v>
      </c>
    </row>
    <row r="44" spans="1:38" ht="15" customHeight="1" x14ac:dyDescent="0.15">
      <c r="A44" s="205" t="s">
        <v>231</v>
      </c>
      <c r="B44" s="111">
        <v>0</v>
      </c>
    </row>
    <row r="45" spans="1:38" ht="15" customHeight="1" x14ac:dyDescent="0.15">
      <c r="A45" s="205" t="s">
        <v>232</v>
      </c>
      <c r="B45" s="111">
        <v>0</v>
      </c>
    </row>
    <row r="46" spans="1:38" ht="15" customHeight="1" x14ac:dyDescent="0.15">
      <c r="A46" s="205" t="s">
        <v>233</v>
      </c>
      <c r="B46" s="111">
        <v>0</v>
      </c>
    </row>
    <row r="47" spans="1:38" ht="15" customHeight="1" x14ac:dyDescent="0.15">
      <c r="A47" s="205" t="s">
        <v>234</v>
      </c>
      <c r="B47" s="111">
        <v>0</v>
      </c>
    </row>
    <row r="48" spans="1:38" ht="15" customHeight="1" x14ac:dyDescent="0.15">
      <c r="A48" s="205" t="s">
        <v>235</v>
      </c>
      <c r="B48" s="111">
        <v>0</v>
      </c>
    </row>
    <row r="49" spans="1:38" ht="15" customHeight="1" x14ac:dyDescent="0.15">
      <c r="A49" s="205" t="s">
        <v>236</v>
      </c>
      <c r="B49" s="111">
        <v>0</v>
      </c>
    </row>
    <row r="50" spans="1:38" ht="15" customHeight="1" x14ac:dyDescent="0.15">
      <c r="A50" s="205" t="s">
        <v>237</v>
      </c>
      <c r="B50" s="111">
        <v>0</v>
      </c>
    </row>
    <row r="51" spans="1:38" ht="15" customHeight="1" x14ac:dyDescent="0.15"/>
    <row r="52" spans="1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2022-10-24T04:33:25Z</dcterms:modified>
</cp:coreProperties>
</file>