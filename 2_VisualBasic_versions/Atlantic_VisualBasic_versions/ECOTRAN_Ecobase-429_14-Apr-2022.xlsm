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F12C90FA-2555-2445-A08A-A6256BBD93AD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Main!$C$2:$N$28</definedName>
    <definedName name="matDetritus">Detritus!$C$2:$E$28</definedName>
    <definedName name="matDiet">Diets!$B$2:$Y$28</definedName>
    <definedName name="matDiscards">Discards!$C$2:$C$27</definedName>
    <definedName name="matFishery">Fishing!$C$2:$C$27</definedName>
    <definedName name="matFishing">Fishing!#REF!</definedName>
    <definedName name="matMort">Mortalities!$A$1:$AD$27</definedName>
    <definedName name="matOut">MainOutputs!$A$2:$I$28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<sst xmlns="http://schemas.openxmlformats.org/spreadsheetml/2006/main" count="848" uniqueCount="224">
  <si>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</si>
  <si>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</si>
  <si>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</si>
  <si>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</si>
  <si>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</si>
  <si>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</si>
  <si>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</si>
  <si>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</si>
  <si>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</si>
  <si>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</si>
  <si>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</si>
  <si>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</si>
  <si>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</si>
  <si>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</si>
  <si>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</si>
  <si>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</si>
  <si>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</si>
  <si>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</si>
  <si>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</si>
  <si>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</si>
  <si>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</si>
  <si>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</si>
  <si>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</si>
  <si>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</si>
  <si>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</si>
  <si>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</si>
  <si>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</si>
  <si>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</si>
  <si>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</si>
  <si>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</si>
  <si>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</si>
  <si>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</si>
  <si>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</si>
  <si>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</si>
  <si>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</si>
  <si>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</si>
  <si>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</si>
  <si>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</si>
  <si>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</si>
  <si>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</si>
  <si>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</si>
  <si>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</si>
  <si>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</si>
  <si>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</si>
  <si>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</si>
  <si>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</si>
  <si>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</si>
  <si>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</si>
  <si>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</si>
  <si>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</si>
  <si>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</si>
  <si>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</si>
  <si>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</si>
  <si>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</si>
  <si>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</si>
  <si>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</si>
  <si>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</si>
  <si>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</si>
  <si>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</si>
  <si>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</si>
  <si>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</si>
  <si>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</si>
  <si>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</si>
  <si>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</si>
  <si>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</si>
  <si>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</si>
  <si>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</si>
  <si>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</si>
  <si>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</si>
  <si>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</si>
  <si>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</si>
  <si>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</si>
  <si>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</si>
  <si>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</si>
  <si>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</si>
  <si>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</si>
  <si>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</si>
  <si>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</si>
  <si>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</si>
  <si>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</si>
  <si>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</si>
  <si>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</si>
  <si>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</si>
  <si>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</si>
  <si>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</si>
  <si>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</si>
  <si>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</si>
  <si>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</si>
  <si>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</si>
  <si>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</si>
  <si>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</si>
  <si>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</si>
  <si>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</si>
  <si>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</si>
  <si>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</si>
  <si>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</si>
  <si>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</si>
  <si>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</si>
  <si>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</si>
  <si>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</si>
  <si>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</si>
  <si>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</si>
  <si>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</si>
  <si>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</si>
  <si>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</si>
  <si>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</si>
  <si>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</si>
  <si>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</si>
  <si>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</si>
  <si>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</si>
  <si>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</si>
  <si>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</si>
  <si>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</si>
  <si>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</si>
  <si>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</si>
  <si>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</si>
  <si>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</si>
  <si>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</si>
  <si>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</si>
  <si>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</si>
  <si>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</si>
  <si>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</si>
  <si>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</si>
  <si>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</si>
  <si>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</si>
  <si>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</si>
  <si>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</si>
  <si>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</si>
  <si>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</si>
  <si>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</si>
  <si>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</si>
  <si>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</si>
  <si>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</si>
  <si>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</si>
  <si>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</si>
  <si>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</si>
  <si>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</si>
  <si>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</si>
  <si>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</si>
  <si>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</si>
  <si>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</si>
  <si>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</si>
  <si>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</si>
  <si>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</si>
  <si>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</si>
  <si>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</si>
  <si>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</si>
  <si>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</si>
  <si>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</si>
  <si>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</si>
  <si>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</si>
  <si>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</si>
  <si>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</si>
  <si>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</si>
  <si>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</si>
  <si>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</si>
  <si>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</si>
  <si>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</si>
  <si>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</si>
  <si>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</si>
  <si>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</si>
  <si>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euphausiids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</si>
  <si>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</si>
  <si>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</si>
  <si>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</si>
  <si>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</si>
  <si>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</si>
  <si>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</si>
  <si>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</si>
  <si>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</si>
  <si>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</si>
  <si>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</si>
  <si>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</si>
  <si>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</si>
  <si>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</si>
  <si>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</si>
  <si>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</si>
  <si>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</si>
  <si>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</si>
  <si>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</si>
  <si>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</si>
  <si>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</si>
  <si>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</si>
  <si>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</si>
  <si>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</si>
  <si>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</si>
  <si>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Sørfjord</t>
  </si>
  <si>
    <t>Norway</t>
  </si>
  <si>
    <t>BOX(19.5 69.3,20.1 70)</t>
  </si>
  <si>
    <t>bay/fjord</t>
  </si>
  <si>
    <t>WetWeight</t>
  </si>
  <si>
    <t>No description</t>
  </si>
  <si>
    <t xml:space="preserve">Falk-Petersen J.(2004). Ecosystem effects of red king crab invasion - a modelling approach using Ecopath with Ecosim </t>
  </si>
  <si>
    <t>Cormorants</t>
  </si>
  <si>
    <t>mammals</t>
  </si>
  <si>
    <t>large cod</t>
  </si>
  <si>
    <t>small cod</t>
  </si>
  <si>
    <t>large other fish</t>
  </si>
  <si>
    <t>small other fish</t>
  </si>
  <si>
    <t>herring</t>
  </si>
  <si>
    <t>small zooplankton</t>
  </si>
  <si>
    <t>schypomedusae</t>
  </si>
  <si>
    <t>chaetognaths</t>
  </si>
  <si>
    <t>shrimps</t>
  </si>
  <si>
    <t>other large zooplantkon</t>
  </si>
  <si>
    <t>large decapoda</t>
  </si>
  <si>
    <t>predatory benthos</t>
  </si>
  <si>
    <t>detrivore polychaetes</t>
  </si>
  <si>
    <t>small benthic crustaceans</t>
  </si>
  <si>
    <t>small molluscs</t>
  </si>
  <si>
    <t>large bivalves</t>
  </si>
  <si>
    <t>detrivore echinoderms</t>
  </si>
  <si>
    <t>other benthic invert</t>
  </si>
  <si>
    <t>Large King crab</t>
  </si>
  <si>
    <t>small king crab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</si>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</sst>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BC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32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4" borderId="0" xfId="0" applyFill="1"/>
    <xf numFmtId="0" fontId="0" fillId="0" borderId="0" xfId="0" applyFont="1" applyFill="1" applyAlignment="1">
      <alignment horizontal="center"/>
    </xf>
    <xf numFmtId="0" fontId="0" fillId="35" borderId="0" xfId="0" applyFill="1"/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3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3" borderId="3" xfId="0" applyNumberFormat="1" applyFont="1" applyFill="1" applyBorder="1"/>
    <xf numFmtId="0" fontId="0" fillId="33" borderId="2" xfId="0" applyFont="1" applyFill="1" applyBorder="1"/>
    <xf numFmtId="0" fontId="0" fillId="33" borderId="3" xfId="0" applyFont="1" applyFill="1" applyBorder="1"/>
    <xf numFmtId="0" fontId="0" fillId="33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00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165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166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4" x14ac:dyDescent="0.15">
      <c r="B49" s="45" t="s">
        <v>44</v>
      </c>
      <c r="C49" s="29">
        <v>5</v>
      </c>
    </row>
    <row r="50" spans="2:4" x14ac:dyDescent="0.15">
      <c r="B50" s="45"/>
      <c r="C50" s="29"/>
    </row>
    <row r="51" spans="2:4" ht="14" thickBot="1" x14ac:dyDescent="0.2">
      <c r="B51" s="46" t="s">
        <v>73</v>
      </c>
      <c r="C51" s="30">
        <v>7</v>
      </c>
    </row>
    <row r="53" spans="2:4" x14ac:dyDescent="0.15">
      <c r="B53" s="164" t="s">
        <v>172</v>
      </c>
      <c r="C53" s="101">
        <v>429</v>
      </c>
      <c r="D53" s="101"/>
    </row>
    <row r="54" spans="2:4" x14ac:dyDescent="0.15">
      <c r="B54" s="164" t="s">
        <v>173</v>
      </c>
      <c r="C54" s="164" t="s">
        <v>186</v>
      </c>
      <c r="D54" s="101"/>
    </row>
    <row r="55" spans="2:4" x14ac:dyDescent="0.15">
      <c r="B55" s="164" t="s">
        <v>174</v>
      </c>
      <c r="C55" s="164" t="s">
        <v>187</v>
      </c>
      <c r="D55" s="101"/>
    </row>
    <row r="56" spans="2:4" x14ac:dyDescent="0.15">
      <c r="B56" s="164" t="s">
        <v>175</v>
      </c>
      <c r="C56" s="101">
        <v>55</v>
      </c>
      <c r="D56" s="101"/>
    </row>
    <row r="57" spans="2:4" x14ac:dyDescent="0.15">
      <c r="B57" s="164" t="s">
        <v>176</v>
      </c>
      <c r="C57" s="164" t="s">
        <v>188</v>
      </c>
      <c r="D57" s="101"/>
    </row>
    <row r="58" spans="2:4" x14ac:dyDescent="0.15">
      <c r="B58" s="164" t="s">
        <v>177</v>
      </c>
      <c r="C58" s="164" t="s">
        <v>189</v>
      </c>
      <c r="D58" s="101"/>
    </row>
    <row r="59" spans="2:4" x14ac:dyDescent="0.15">
      <c r="B59" s="164" t="s">
        <v>178</v>
      </c>
      <c r="C59" s="164" t="s">
        <v>190</v>
      </c>
      <c r="D59" s="101"/>
    </row>
    <row r="60" spans="2:4" x14ac:dyDescent="0.15">
      <c r="B60" s="164" t="s">
        <v>179</v>
      </c>
      <c r="C60" s="164" t="s">
        <v>191</v>
      </c>
      <c r="D60" s="101"/>
    </row>
    <row r="61" spans="2:4" x14ac:dyDescent="0.15">
      <c r="B61" s="164" t="s">
        <v>180</v>
      </c>
      <c r="C61" s="101">
        <v>25</v>
      </c>
      <c r="D61" s="101"/>
    </row>
    <row r="62" spans="2:4" x14ac:dyDescent="0.15">
      <c r="B62" s="164" t="s">
        <v>181</v>
      </c>
      <c r="C62" s="101">
        <v>1</v>
      </c>
      <c r="D62" s="101"/>
    </row>
    <row r="63" spans="2:4" x14ac:dyDescent="0.15">
      <c r="B63" s="164" t="s">
        <v>182</v>
      </c>
      <c r="C63" s="101">
        <v>1993</v>
      </c>
      <c r="D63" s="101"/>
    </row>
    <row r="64" spans="2:4" x14ac:dyDescent="0.15">
      <c r="B64" s="164" t="s">
        <v>183</v>
      </c>
      <c r="C64" s="101">
        <v>3</v>
      </c>
      <c r="D64" s="101"/>
    </row>
    <row r="65" spans="2:4" x14ac:dyDescent="0.15">
      <c r="B65" s="164" t="s">
        <v>184</v>
      </c>
      <c r="C65" s="164" t="s">
        <v>192</v>
      </c>
      <c r="D65" s="101"/>
    </row>
    <row r="66" spans="2:4" x14ac:dyDescent="0.15">
      <c r="B66" s="164" t="s">
        <v>185</v>
      </c>
      <c r="D66" s="101"/>
    </row>
    <row r="67" spans="2:4" x14ac:dyDescent="0.15">
      <c r="B67" s="101"/>
      <c r="C67" s="101"/>
      <c r="D67" s="101"/>
    </row>
    <row r="68" spans="2:4" x14ac:dyDescent="0.15">
      <c r="B68" s="101"/>
      <c r="C68" s="101"/>
      <c r="D68" s="10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23" style="77" bestFit="1" customWidth="1"/>
    <col min="6" max="6" width="2.33203125" style="77" bestFit="1" customWidth="1"/>
    <col min="7" max="7" width="6.83203125" style="77" bestFit="1" customWidth="1"/>
    <col min="8" max="9" width="5.83203125" style="77" customWidth="1"/>
    <col min="10" max="10" width="11.83203125" style="77" customWidth="1"/>
    <col min="11" max="11" width="13.83203125" style="77" customWidth="1"/>
    <col min="12" max="12" width="2.33203125" style="77" customWidth="1"/>
    <col min="13" max="13" width="3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65" t="s">
        <v>193</v>
      </c>
      <c r="F2" s="77">
        <v>0</v>
      </c>
      <c r="G2" s="77">
        <v>8.9999999999999998E-4</v>
      </c>
      <c r="H2" s="77">
        <v>0.125</v>
      </c>
      <c r="I2" s="6">
        <v>37.1</v>
      </c>
      <c r="J2" s="6">
        <v>0.53333330000000001</v>
      </c>
      <c r="K2" s="6">
        <v>3.3692724499999999E-3</v>
      </c>
      <c r="L2" s="6">
        <v>0</v>
      </c>
      <c r="M2" s="77">
        <v>0.2</v>
      </c>
      <c r="N2" s="77">
        <v>0</v>
      </c>
    </row>
    <row r="3" spans="1:46" ht="15" customHeight="1" x14ac:dyDescent="0.15">
      <c r="A3" s="1" t="s">
        <v>9</v>
      </c>
      <c r="B3" s="4">
        <v>24</v>
      </c>
      <c r="C3" s="77">
        <v>2</v>
      </c>
      <c r="D3"/>
      <c r="E3" s="165" t="s">
        <v>194</v>
      </c>
      <c r="F3" s="77">
        <v>0</v>
      </c>
      <c r="G3" s="77">
        <v>0.01</v>
      </c>
      <c r="H3" s="77">
        <v>0.10199999999999999</v>
      </c>
      <c r="I3" s="77">
        <v>35.299999999999997</v>
      </c>
      <c r="J3" s="77">
        <v>0.49019610000000002</v>
      </c>
      <c r="K3" s="77">
        <v>2.88951839E-3</v>
      </c>
      <c r="L3" s="77">
        <v>0</v>
      </c>
      <c r="M3" s="77">
        <v>0.2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65" t="s">
        <v>195</v>
      </c>
      <c r="F4" s="77">
        <v>0</v>
      </c>
      <c r="G4" s="77">
        <v>1.81</v>
      </c>
      <c r="H4" s="77">
        <v>0.42</v>
      </c>
      <c r="I4" s="77">
        <v>3</v>
      </c>
      <c r="J4" s="77">
        <v>0.6579081</v>
      </c>
      <c r="K4" s="77">
        <v>0.14000000000000001</v>
      </c>
      <c r="L4" s="77">
        <v>0</v>
      </c>
      <c r="M4" s="77">
        <v>0.2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65" t="s">
        <v>196</v>
      </c>
      <c r="F5" s="77">
        <v>0</v>
      </c>
      <c r="G5" s="77">
        <v>0.14000000000000001</v>
      </c>
      <c r="H5" s="77">
        <v>1.7</v>
      </c>
      <c r="I5" s="77">
        <v>6</v>
      </c>
      <c r="J5" s="77">
        <v>0.34403732399999998</v>
      </c>
      <c r="K5" s="77">
        <v>0.28333333100000002</v>
      </c>
      <c r="L5" s="77">
        <v>0</v>
      </c>
      <c r="M5" s="77">
        <v>0.2</v>
      </c>
      <c r="N5" s="77">
        <v>0</v>
      </c>
      <c r="P5" s="67"/>
      <c r="Q5" s="67"/>
      <c r="R5" s="67"/>
    </row>
    <row r="6" spans="1:46" ht="15" customHeight="1" thickBot="1" x14ac:dyDescent="0.2">
      <c r="B6" s="1"/>
      <c r="C6" s="77">
        <v>5</v>
      </c>
      <c r="D6"/>
      <c r="E6" s="165" t="s">
        <v>197</v>
      </c>
      <c r="F6" s="77">
        <v>0</v>
      </c>
      <c r="G6" s="77">
        <v>0.78</v>
      </c>
      <c r="H6" s="77">
        <v>0.5</v>
      </c>
      <c r="I6" s="77">
        <v>3</v>
      </c>
      <c r="J6" s="77">
        <v>0.55355239999999994</v>
      </c>
      <c r="K6" s="77">
        <v>0.16666667199999999</v>
      </c>
      <c r="L6" s="77">
        <v>0</v>
      </c>
      <c r="M6" s="77">
        <v>0.2</v>
      </c>
      <c r="N6" s="77">
        <v>0</v>
      </c>
      <c r="P6" s="67"/>
      <c r="Q6" s="67"/>
      <c r="R6" s="67"/>
      <c r="W6" s="32" t="s">
        <v>31</v>
      </c>
      <c r="X6" s="48">
        <f>MAX(MainOutputs!G:G)</f>
        <v>0.92986077070236206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162</v>
      </c>
      <c r="C7" s="77">
        <v>6</v>
      </c>
      <c r="D7"/>
      <c r="E7" s="165" t="s">
        <v>198</v>
      </c>
      <c r="F7" s="77">
        <v>0</v>
      </c>
      <c r="G7" s="77">
        <v>0.52500000000000002</v>
      </c>
      <c r="H7" s="77">
        <v>1.7</v>
      </c>
      <c r="I7" s="77">
        <v>6.7</v>
      </c>
      <c r="J7" s="77">
        <v>0.92986082999999997</v>
      </c>
      <c r="K7" s="77">
        <v>0.25373137000000001</v>
      </c>
      <c r="L7" s="77">
        <v>0</v>
      </c>
      <c r="M7" s="77">
        <v>0.2</v>
      </c>
      <c r="N7" s="77">
        <v>0</v>
      </c>
      <c r="P7" s="67"/>
      <c r="Q7" s="67"/>
      <c r="R7" s="67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32</v>
      </c>
      <c r="C8" s="77">
        <v>7</v>
      </c>
      <c r="D8"/>
      <c r="E8" s="165" t="s">
        <v>199</v>
      </c>
      <c r="F8" s="77">
        <v>0</v>
      </c>
      <c r="G8" s="77">
        <v>0.22</v>
      </c>
      <c r="H8" s="77">
        <v>1</v>
      </c>
      <c r="I8" s="77">
        <v>6</v>
      </c>
      <c r="J8" s="77">
        <v>0.55897419999999998</v>
      </c>
      <c r="K8" s="77">
        <v>0.16666667199999999</v>
      </c>
      <c r="L8" s="77">
        <v>0</v>
      </c>
      <c r="M8" s="77">
        <v>0.2</v>
      </c>
      <c r="N8" s="77">
        <v>0</v>
      </c>
      <c r="P8" s="67"/>
      <c r="Q8" s="67"/>
      <c r="R8" s="67"/>
    </row>
    <row r="9" spans="1:46" ht="15" customHeight="1" x14ac:dyDescent="0.15">
      <c r="B9" s="1"/>
      <c r="C9" s="77">
        <v>8</v>
      </c>
      <c r="D9"/>
      <c r="E9" s="165" t="s">
        <v>161</v>
      </c>
      <c r="F9" s="77">
        <v>0</v>
      </c>
      <c r="G9" s="77">
        <v>4.2169999999999996</v>
      </c>
      <c r="H9" s="77">
        <v>2.5</v>
      </c>
      <c r="I9" s="77">
        <v>16.7</v>
      </c>
      <c r="J9" s="77">
        <v>0.91070050000000002</v>
      </c>
      <c r="K9" s="77">
        <v>0.14970059999999999</v>
      </c>
      <c r="L9" s="77">
        <v>0</v>
      </c>
      <c r="M9" s="77">
        <v>0.2</v>
      </c>
      <c r="N9" s="77">
        <v>0</v>
      </c>
      <c r="P9" s="67"/>
      <c r="Q9" s="67"/>
      <c r="R9" s="67"/>
    </row>
    <row r="10" spans="1:46" ht="15" customHeight="1" x14ac:dyDescent="0.15">
      <c r="B10" s="1"/>
      <c r="C10" s="77">
        <v>9</v>
      </c>
      <c r="D10"/>
      <c r="E10" s="165" t="s">
        <v>200</v>
      </c>
      <c r="F10" s="77">
        <v>0</v>
      </c>
      <c r="G10" s="77">
        <v>20</v>
      </c>
      <c r="H10" s="77">
        <v>6.5</v>
      </c>
      <c r="I10" s="77">
        <v>26</v>
      </c>
      <c r="J10" s="77">
        <v>0.35614693200000003</v>
      </c>
      <c r="K10" s="77">
        <v>0.25</v>
      </c>
      <c r="L10" s="77">
        <v>0</v>
      </c>
      <c r="M10" s="77">
        <v>0.2</v>
      </c>
      <c r="N10" s="77">
        <v>0</v>
      </c>
    </row>
    <row r="11" spans="1:46" ht="15" customHeight="1" x14ac:dyDescent="0.15">
      <c r="C11" s="77">
        <v>10</v>
      </c>
      <c r="D11"/>
      <c r="E11" s="165" t="s">
        <v>201</v>
      </c>
      <c r="F11" s="77">
        <v>0</v>
      </c>
      <c r="G11" s="77">
        <v>0.72</v>
      </c>
      <c r="H11" s="77">
        <v>6.5</v>
      </c>
      <c r="I11" s="77">
        <v>17.329999999999998</v>
      </c>
      <c r="J11" s="77">
        <v>0.1333077</v>
      </c>
      <c r="K11" s="77">
        <v>0.37507212200000001</v>
      </c>
      <c r="L11" s="77">
        <v>0</v>
      </c>
      <c r="M11" s="77">
        <v>0.2</v>
      </c>
      <c r="N11" s="77">
        <v>0</v>
      </c>
    </row>
    <row r="12" spans="1:46" ht="15" customHeight="1" x14ac:dyDescent="0.15">
      <c r="C12" s="77">
        <v>11</v>
      </c>
      <c r="D12"/>
      <c r="E12" s="165" t="s">
        <v>202</v>
      </c>
      <c r="F12" s="77">
        <v>0</v>
      </c>
      <c r="G12" s="77">
        <v>0.2</v>
      </c>
      <c r="H12" s="77">
        <v>3.8</v>
      </c>
      <c r="I12" s="77">
        <v>19</v>
      </c>
      <c r="J12" s="77">
        <v>0.49253687299999999</v>
      </c>
      <c r="K12" s="77">
        <v>0.2</v>
      </c>
      <c r="L12" s="77">
        <v>0</v>
      </c>
      <c r="M12" s="77">
        <v>0.2</v>
      </c>
      <c r="N12" s="77">
        <v>0</v>
      </c>
    </row>
    <row r="13" spans="1:46" ht="15" customHeight="1" x14ac:dyDescent="0.15">
      <c r="C13" s="77">
        <v>12</v>
      </c>
      <c r="D13"/>
      <c r="E13" s="165" t="s">
        <v>203</v>
      </c>
      <c r="F13" s="77">
        <v>0</v>
      </c>
      <c r="G13" s="77">
        <v>0.17799999999999999</v>
      </c>
      <c r="H13" s="77">
        <v>2</v>
      </c>
      <c r="I13" s="77">
        <v>13.3</v>
      </c>
      <c r="J13" s="77">
        <v>0.91679339999999998</v>
      </c>
      <c r="K13" s="77">
        <v>0.15037593199999999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65" t="s">
        <v>204</v>
      </c>
      <c r="F14" s="77">
        <v>0</v>
      </c>
      <c r="G14" s="77">
        <v>0.69</v>
      </c>
      <c r="H14" s="77">
        <v>2</v>
      </c>
      <c r="I14" s="77">
        <v>13.3</v>
      </c>
      <c r="J14" s="77">
        <v>0.90281426899999995</v>
      </c>
      <c r="K14" s="77">
        <v>0.15037593199999999</v>
      </c>
      <c r="L14" s="77">
        <v>0</v>
      </c>
      <c r="M14" s="77">
        <v>0.2</v>
      </c>
      <c r="N14" s="77">
        <v>0</v>
      </c>
    </row>
    <row r="15" spans="1:46" ht="15" customHeight="1" x14ac:dyDescent="0.15">
      <c r="C15" s="77">
        <v>14</v>
      </c>
      <c r="D15"/>
      <c r="E15" s="165" t="s">
        <v>205</v>
      </c>
      <c r="F15" s="77">
        <v>0</v>
      </c>
      <c r="G15" s="77">
        <v>0.432</v>
      </c>
      <c r="H15" s="77">
        <v>0.5</v>
      </c>
      <c r="I15" s="77">
        <v>3.33</v>
      </c>
      <c r="J15" s="77">
        <v>0.9229887</v>
      </c>
      <c r="K15" s="77">
        <v>0.15015015000000001</v>
      </c>
      <c r="L15" s="77">
        <v>0</v>
      </c>
      <c r="M15" s="77">
        <v>0.2</v>
      </c>
      <c r="N15" s="77">
        <v>0</v>
      </c>
    </row>
    <row r="16" spans="1:46" ht="15" customHeight="1" x14ac:dyDescent="0.15">
      <c r="C16" s="77">
        <v>15</v>
      </c>
      <c r="D16"/>
      <c r="E16" s="165" t="s">
        <v>206</v>
      </c>
      <c r="F16" s="77">
        <v>0</v>
      </c>
      <c r="G16" s="77">
        <v>1.6579999999999999</v>
      </c>
      <c r="H16" s="77">
        <v>0.5</v>
      </c>
      <c r="I16" s="77">
        <v>3.33</v>
      </c>
      <c r="J16" s="77">
        <v>0.91072759999999997</v>
      </c>
      <c r="K16" s="77">
        <v>0.15015015000000001</v>
      </c>
      <c r="L16" s="77">
        <v>0</v>
      </c>
      <c r="M16" s="77">
        <v>0.2</v>
      </c>
      <c r="N16" s="77">
        <v>0</v>
      </c>
    </row>
    <row r="17" spans="1:22" ht="15" customHeight="1" x14ac:dyDescent="0.15">
      <c r="C17" s="77">
        <v>16</v>
      </c>
      <c r="D17"/>
      <c r="E17" s="165" t="s">
        <v>207</v>
      </c>
      <c r="F17" s="77">
        <v>0</v>
      </c>
      <c r="G17" s="77">
        <v>43</v>
      </c>
      <c r="H17" s="77">
        <v>0.74</v>
      </c>
      <c r="I17" s="77">
        <v>4.93</v>
      </c>
      <c r="J17" s="77">
        <v>0.24759981</v>
      </c>
      <c r="K17" s="77">
        <v>0.15010142300000001</v>
      </c>
      <c r="L17" s="77">
        <v>0</v>
      </c>
      <c r="M17" s="77">
        <v>0.2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65" t="s">
        <v>208</v>
      </c>
      <c r="F18" s="77">
        <v>0</v>
      </c>
      <c r="G18" s="77">
        <v>4</v>
      </c>
      <c r="H18" s="77">
        <v>0.5</v>
      </c>
      <c r="I18" s="77">
        <v>3.33</v>
      </c>
      <c r="J18" s="77">
        <v>0.64014439999999995</v>
      </c>
      <c r="K18" s="77">
        <v>0.15015015000000001</v>
      </c>
      <c r="L18" s="77">
        <v>0</v>
      </c>
      <c r="M18" s="77">
        <v>0.2</v>
      </c>
      <c r="N18" s="77">
        <v>0</v>
      </c>
      <c r="V18" s="1"/>
    </row>
    <row r="19" spans="1:22" ht="15" customHeight="1" x14ac:dyDescent="0.15">
      <c r="C19" s="77">
        <v>18</v>
      </c>
      <c r="D19"/>
      <c r="E19" s="165" t="s">
        <v>209</v>
      </c>
      <c r="F19" s="77">
        <v>0</v>
      </c>
      <c r="G19" s="77">
        <v>26</v>
      </c>
      <c r="H19" s="77">
        <v>0.35</v>
      </c>
      <c r="I19" s="77">
        <v>2.33</v>
      </c>
      <c r="J19" s="77">
        <v>0.91874480000000003</v>
      </c>
      <c r="K19" s="77">
        <v>0.1502146</v>
      </c>
      <c r="L19" s="77">
        <v>0</v>
      </c>
      <c r="M19" s="77">
        <v>0.2</v>
      </c>
      <c r="N19" s="77">
        <v>0</v>
      </c>
    </row>
    <row r="20" spans="1:22" ht="15" customHeight="1" thickBot="1" x14ac:dyDescent="0.2">
      <c r="C20" s="77">
        <v>19</v>
      </c>
      <c r="D20"/>
      <c r="E20" s="165" t="s">
        <v>210</v>
      </c>
      <c r="F20" s="77">
        <v>0</v>
      </c>
      <c r="G20" s="77">
        <v>62.9</v>
      </c>
      <c r="H20" s="77">
        <v>0.19</v>
      </c>
      <c r="I20" s="77">
        <v>2.11</v>
      </c>
      <c r="J20" s="77">
        <v>0.35049802099999999</v>
      </c>
      <c r="K20" s="77">
        <v>9.00474E-2</v>
      </c>
      <c r="L20" s="77">
        <v>0</v>
      </c>
      <c r="M20" s="77">
        <v>0.2</v>
      </c>
      <c r="N20" s="77">
        <v>0</v>
      </c>
    </row>
    <row r="21" spans="1:22" ht="15" customHeight="1" thickBot="1" x14ac:dyDescent="0.2">
      <c r="A21" s="43" t="s">
        <v>137</v>
      </c>
      <c r="B21" s="95"/>
      <c r="C21" s="77">
        <v>20</v>
      </c>
      <c r="D21"/>
      <c r="E21" s="165" t="s">
        <v>211</v>
      </c>
      <c r="F21" s="77">
        <v>0</v>
      </c>
      <c r="G21" s="77">
        <v>41</v>
      </c>
      <c r="H21" s="77">
        <v>0.2</v>
      </c>
      <c r="I21" s="77">
        <v>2.2200000000000002</v>
      </c>
      <c r="J21" s="77">
        <v>0.79243240000000004</v>
      </c>
      <c r="K21" s="77">
        <v>9.0090089999999998E-2</v>
      </c>
      <c r="L21" s="77">
        <v>0</v>
      </c>
      <c r="M21" s="77">
        <v>0.2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65" t="s">
        <v>212</v>
      </c>
      <c r="F22" s="77">
        <v>0</v>
      </c>
      <c r="G22" s="77">
        <v>2</v>
      </c>
      <c r="H22" s="77">
        <v>0.5</v>
      </c>
      <c r="I22" s="77">
        <v>3.33</v>
      </c>
      <c r="J22" s="77">
        <v>0.46672580000000002</v>
      </c>
      <c r="K22" s="77">
        <v>0.15015015000000001</v>
      </c>
      <c r="L22" s="77">
        <v>0</v>
      </c>
      <c r="M22" s="77">
        <v>0.2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65" t="s">
        <v>213</v>
      </c>
      <c r="F23" s="77">
        <v>0</v>
      </c>
      <c r="G23" s="77">
        <v>2.8</v>
      </c>
      <c r="H23" s="77">
        <v>0.2</v>
      </c>
      <c r="I23" s="77">
        <v>3</v>
      </c>
      <c r="J23" s="77">
        <v>0.521536</v>
      </c>
      <c r="K23" s="77">
        <v>6.6666669999999997E-2</v>
      </c>
      <c r="L23" s="77">
        <v>0</v>
      </c>
      <c r="M23" s="77">
        <v>0.2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65" t="s">
        <v>214</v>
      </c>
      <c r="F24" s="77">
        <v>0</v>
      </c>
      <c r="G24" s="77">
        <v>1.2</v>
      </c>
      <c r="H24" s="77">
        <v>1</v>
      </c>
      <c r="I24" s="77">
        <v>5</v>
      </c>
      <c r="J24" s="77">
        <v>0.46963405600000002</v>
      </c>
      <c r="K24" s="77">
        <v>0.2</v>
      </c>
      <c r="L24" s="77">
        <v>0</v>
      </c>
      <c r="M24" s="77">
        <v>0.2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 s="77">
        <v>24</v>
      </c>
      <c r="D25"/>
      <c r="E25" s="165" t="s">
        <v>215</v>
      </c>
      <c r="F25" s="77">
        <v>1</v>
      </c>
      <c r="G25" s="77">
        <v>20</v>
      </c>
      <c r="H25" s="77">
        <v>60</v>
      </c>
      <c r="I25" s="77">
        <v>0</v>
      </c>
      <c r="J25" s="77">
        <v>0.45742493899999997</v>
      </c>
      <c r="K25" s="77">
        <v>0</v>
      </c>
      <c r="L25" s="77">
        <v>0</v>
      </c>
      <c r="M25" s="77">
        <v>0</v>
      </c>
      <c r="N25" s="77">
        <v>0</v>
      </c>
    </row>
    <row r="26" spans="1:22" ht="15" customHeight="1" x14ac:dyDescent="0.15">
      <c r="A26" s="100" t="s">
        <v>140</v>
      </c>
      <c r="C26" s="77">
        <v>25</v>
      </c>
      <c r="D26"/>
      <c r="E26" s="165" t="s">
        <v>216</v>
      </c>
      <c r="F26" s="77">
        <v>2</v>
      </c>
      <c r="G26" s="77">
        <v>50</v>
      </c>
      <c r="H26" s="77">
        <v>0</v>
      </c>
      <c r="I26" s="77">
        <v>0</v>
      </c>
      <c r="J26" s="77">
        <v>0</v>
      </c>
      <c r="K26" s="77">
        <v>0</v>
      </c>
      <c r="L26" s="77">
        <v>0</v>
      </c>
      <c r="M26" s="77">
        <v>0</v>
      </c>
      <c r="N26" s="77">
        <v>0</v>
      </c>
    </row>
    <row r="27" spans="1:22" ht="15" customHeight="1" x14ac:dyDescent="0.15">
      <c r="C27" s="77">
        <v>26</v>
      </c>
      <c r="D27"/>
      <c r="E27" s="165" t="s">
        <v>217</v>
      </c>
      <c r="F27" s="77">
        <v>2</v>
      </c>
      <c r="G27" s="77">
        <v>5</v>
      </c>
      <c r="H27" s="77">
        <v>0</v>
      </c>
      <c r="I27" s="77">
        <v>0</v>
      </c>
      <c r="J27" s="77">
        <v>0</v>
      </c>
      <c r="K27" s="77">
        <v>0</v>
      </c>
      <c r="L27" s="77">
        <v>0</v>
      </c>
      <c r="M27" s="77">
        <v>0</v>
      </c>
      <c r="N27" s="77">
        <v>0</v>
      </c>
    </row>
    <row r="28" spans="1:22" ht="15" customHeight="1" x14ac:dyDescent="0.15">
      <c r="C28" s="77">
        <v>27</v>
      </c>
      <c r="D28"/>
      <c r="E28" s="165" t="s">
        <v>218</v>
      </c>
      <c r="F28" s="77">
        <v>3</v>
      </c>
      <c r="G28" s="77">
        <v>0</v>
      </c>
      <c r="H28" s="77">
        <v>0</v>
      </c>
      <c r="I28" s="77">
        <v>0</v>
      </c>
      <c r="J28" s="77">
        <v>0</v>
      </c>
      <c r="K28" s="77">
        <v>0</v>
      </c>
      <c r="L28" s="77">
        <v>0</v>
      </c>
      <c r="M28" s="77">
        <v>0</v>
      </c>
      <c r="N28" s="77">
        <v>0</v>
      </c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3" style="133" bestFit="1" customWidth="1"/>
    <col min="2" max="2" width="4.83203125" style="133" bestFit="1" customWidth="1"/>
    <col min="3" max="3" width="5.83203125" style="133" bestFit="1" customWidth="1"/>
    <col min="4" max="4" width="14.83203125" style="133" bestFit="1" customWidth="1"/>
    <col min="5" max="5" width="15.83203125" style="133" bestFit="1" customWidth="1"/>
    <col min="6" max="7" width="5.83203125" style="133" bestFit="1" customWidth="1"/>
    <col min="8" max="8" width="3.83203125" style="133" bestFit="1" customWidth="1"/>
    <col min="9" max="11" width="4.83203125" style="133" bestFit="1" customWidth="1"/>
    <col min="12" max="12" width="2.33203125" style="133" bestFit="1" customWidth="1"/>
    <col min="13" max="13" width="4.83203125" style="133" bestFit="1" customWidth="1"/>
    <col min="14" max="14" width="3.83203125" style="133" bestFit="1" customWidth="1"/>
    <col min="15" max="15" width="14.83203125" style="133" bestFit="1" customWidth="1"/>
    <col min="16" max="16" width="4.83203125" style="133" bestFit="1" customWidth="1"/>
    <col min="17" max="17" width="3.83203125" style="133" bestFit="1" customWidth="1"/>
    <col min="18" max="19" width="4.83203125" style="133" bestFit="1" customWidth="1"/>
    <col min="20" max="20" width="3.83203125" style="133" bestFit="1" customWidth="1"/>
    <col min="21" max="22" width="2.33203125" style="133" bestFit="1" customWidth="1"/>
    <col min="23" max="24" width="14.83203125" style="133" bestFit="1" customWidth="1"/>
    <col min="25" max="27" width="2.33203125" style="133" bestFit="1" customWidth="1"/>
    <col min="28" max="29" width="9" style="133" bestFit="1" customWidth="1"/>
    <col min="30" max="16384" width="8.83203125" style="133"/>
  </cols>
  <sheetData>
    <row r="1" spans="1:34" x14ac:dyDescent="0.15">
      <c r="A1" s="132" t="s">
        <v>19</v>
      </c>
      <c r="B1" s="167" t="s">
        <v>193</v>
      </c>
      <c r="C1" s="167" t="s">
        <v>194</v>
      </c>
      <c r="D1" s="167" t="s">
        <v>195</v>
      </c>
      <c r="E1" s="167" t="s">
        <v>196</v>
      </c>
      <c r="F1" s="167" t="s">
        <v>197</v>
      </c>
      <c r="G1" s="167" t="s">
        <v>198</v>
      </c>
      <c r="H1" s="167" t="s">
        <v>199</v>
      </c>
      <c r="I1" s="167" t="s">
        <v>161</v>
      </c>
      <c r="J1" s="167" t="s">
        <v>200</v>
      </c>
      <c r="K1" s="167" t="s">
        <v>201</v>
      </c>
      <c r="L1" s="167" t="s">
        <v>202</v>
      </c>
      <c r="M1" s="167" t="s">
        <v>203</v>
      </c>
      <c r="N1" s="167" t="s">
        <v>204</v>
      </c>
      <c r="O1" s="167" t="s">
        <v>205</v>
      </c>
      <c r="P1" s="167" t="s">
        <v>206</v>
      </c>
      <c r="Q1" s="167" t="s">
        <v>207</v>
      </c>
      <c r="R1" s="167" t="s">
        <v>208</v>
      </c>
      <c r="S1" s="167" t="s">
        <v>209</v>
      </c>
      <c r="T1" s="167" t="s">
        <v>210</v>
      </c>
      <c r="U1" s="167" t="s">
        <v>211</v>
      </c>
      <c r="V1" s="167" t="s">
        <v>212</v>
      </c>
      <c r="W1" s="167" t="s">
        <v>213</v>
      </c>
      <c r="X1" s="167" t="s">
        <v>214</v>
      </c>
      <c r="Y1" s="167" t="s">
        <v>215</v>
      </c>
      <c r="Z1" s="167" t="s">
        <v>216</v>
      </c>
      <c r="AA1" s="167" t="s">
        <v>217</v>
      </c>
      <c r="AB1"/>
      <c r="AC1"/>
      <c r="AD1"/>
      <c r="AE1"/>
      <c r="AF1"/>
      <c r="AG1"/>
      <c r="AH1"/>
    </row>
    <row r="2" spans="1:34" customFormat="1" x14ac:dyDescent="0.15">
      <c r="A2" s="166" t="s">
        <v>193</v>
      </c>
      <c r="B2" s="133">
        <v>0</v>
      </c>
      <c r="C2" s="133">
        <v>0</v>
      </c>
      <c r="D2" s="133">
        <v>0</v>
      </c>
      <c r="E2" s="133">
        <v>0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 s="133">
        <v>0</v>
      </c>
      <c r="L2" s="133">
        <v>0</v>
      </c>
      <c r="M2" s="133">
        <v>0</v>
      </c>
      <c r="N2" s="133">
        <v>0</v>
      </c>
      <c r="O2" s="133">
        <v>0</v>
      </c>
      <c r="P2" s="133">
        <v>0</v>
      </c>
      <c r="Q2" s="133">
        <v>0</v>
      </c>
      <c r="R2" s="133">
        <v>0</v>
      </c>
      <c r="S2" s="133">
        <v>0</v>
      </c>
      <c r="T2" s="133">
        <v>0</v>
      </c>
      <c r="U2" s="133">
        <v>0</v>
      </c>
      <c r="V2" s="133">
        <v>0</v>
      </c>
      <c r="W2" s="133">
        <v>0</v>
      </c>
      <c r="X2" s="133">
        <v>0</v>
      </c>
      <c r="Y2" s="133">
        <v>0</v>
      </c>
      <c r="Z2" s="133">
        <v>0</v>
      </c>
      <c r="AA2" s="133">
        <v>0</v>
      </c>
    </row>
    <row r="3" spans="1:34" customFormat="1" x14ac:dyDescent="0.15">
      <c r="A3" s="166" t="s">
        <v>194</v>
      </c>
      <c r="B3" s="133">
        <v>0</v>
      </c>
      <c r="C3" s="133">
        <v>0</v>
      </c>
      <c r="D3" s="133">
        <v>0</v>
      </c>
      <c r="E3" s="133">
        <v>0</v>
      </c>
      <c r="F3" s="133">
        <v>0</v>
      </c>
      <c r="G3" s="133">
        <v>0</v>
      </c>
      <c r="H3" s="133">
        <v>0</v>
      </c>
      <c r="I3" s="133">
        <v>0</v>
      </c>
      <c r="J3" s="133">
        <v>0</v>
      </c>
      <c r="K3" s="133">
        <v>0</v>
      </c>
      <c r="L3" s="133">
        <v>0</v>
      </c>
      <c r="M3" s="133">
        <v>0</v>
      </c>
      <c r="N3" s="133">
        <v>0</v>
      </c>
      <c r="O3" s="133">
        <v>0</v>
      </c>
      <c r="P3" s="133">
        <v>0</v>
      </c>
      <c r="Q3" s="133">
        <v>0</v>
      </c>
      <c r="R3" s="133">
        <v>0</v>
      </c>
      <c r="S3" s="133">
        <v>0</v>
      </c>
      <c r="T3" s="133">
        <v>0</v>
      </c>
      <c r="U3" s="133">
        <v>0</v>
      </c>
      <c r="V3" s="133">
        <v>0</v>
      </c>
      <c r="W3" s="133">
        <v>0</v>
      </c>
      <c r="X3" s="133">
        <v>0</v>
      </c>
      <c r="Y3" s="133">
        <v>0</v>
      </c>
      <c r="Z3" s="133">
        <v>0</v>
      </c>
      <c r="AA3" s="133">
        <v>0</v>
      </c>
    </row>
    <row r="4" spans="1:34" customFormat="1" x14ac:dyDescent="0.15">
      <c r="A4" s="166" t="s">
        <v>195</v>
      </c>
      <c r="B4" s="133">
        <v>0.43000000000000005</v>
      </c>
      <c r="C4" s="133">
        <v>0.32800000000000001</v>
      </c>
      <c r="D4" s="133">
        <v>0</v>
      </c>
      <c r="E4" s="133">
        <v>0</v>
      </c>
      <c r="F4" s="133">
        <v>0</v>
      </c>
      <c r="G4" s="133">
        <v>0</v>
      </c>
      <c r="H4" s="133">
        <v>0</v>
      </c>
      <c r="I4" s="133">
        <v>0</v>
      </c>
      <c r="J4" s="133">
        <v>0</v>
      </c>
      <c r="K4" s="133">
        <v>0</v>
      </c>
      <c r="L4" s="133">
        <v>0</v>
      </c>
      <c r="M4" s="133">
        <v>0</v>
      </c>
      <c r="N4" s="133">
        <v>0</v>
      </c>
      <c r="O4" s="133">
        <v>0</v>
      </c>
      <c r="P4" s="133">
        <v>0</v>
      </c>
      <c r="Q4" s="133">
        <v>0</v>
      </c>
      <c r="R4" s="133">
        <v>0</v>
      </c>
      <c r="S4" s="133">
        <v>0</v>
      </c>
      <c r="T4" s="133">
        <v>0</v>
      </c>
      <c r="U4" s="133">
        <v>0</v>
      </c>
      <c r="V4" s="133">
        <v>0</v>
      </c>
      <c r="W4" s="133">
        <v>0</v>
      </c>
      <c r="X4" s="133">
        <v>0</v>
      </c>
      <c r="Y4" s="133">
        <v>0</v>
      </c>
      <c r="Z4" s="133">
        <v>0</v>
      </c>
      <c r="AA4" s="133">
        <v>0</v>
      </c>
    </row>
    <row r="5" spans="1:34" customFormat="1" x14ac:dyDescent="0.15">
      <c r="A5" s="166" t="s">
        <v>196</v>
      </c>
      <c r="B5" s="133">
        <v>0.42000000000000004</v>
      </c>
      <c r="C5" s="133">
        <v>3.2000000000000001E-2</v>
      </c>
      <c r="D5" s="133">
        <v>1.0416405848550466E-2</v>
      </c>
      <c r="E5" s="133">
        <v>0</v>
      </c>
      <c r="F5" s="133">
        <v>0</v>
      </c>
      <c r="G5" s="133">
        <v>0</v>
      </c>
      <c r="H5" s="133">
        <v>0</v>
      </c>
      <c r="I5" s="133">
        <v>0</v>
      </c>
      <c r="J5" s="133">
        <v>0</v>
      </c>
      <c r="K5" s="133">
        <v>0</v>
      </c>
      <c r="L5" s="133">
        <v>0</v>
      </c>
      <c r="M5" s="133">
        <v>0</v>
      </c>
      <c r="N5" s="133">
        <v>0</v>
      </c>
      <c r="O5" s="133">
        <v>0</v>
      </c>
      <c r="P5" s="133">
        <v>0</v>
      </c>
      <c r="Q5" s="133">
        <v>0</v>
      </c>
      <c r="R5" s="133">
        <v>0</v>
      </c>
      <c r="S5" s="133">
        <v>0</v>
      </c>
      <c r="T5" s="133">
        <v>0</v>
      </c>
      <c r="U5" s="133">
        <v>0</v>
      </c>
      <c r="V5" s="133">
        <v>0</v>
      </c>
      <c r="W5" s="133">
        <v>0</v>
      </c>
      <c r="X5" s="133">
        <v>0</v>
      </c>
      <c r="Y5" s="133">
        <v>0</v>
      </c>
      <c r="Z5" s="133">
        <v>0</v>
      </c>
      <c r="AA5" s="133">
        <v>0</v>
      </c>
    </row>
    <row r="6" spans="1:34" customFormat="1" x14ac:dyDescent="0.15">
      <c r="A6" s="166" t="s">
        <v>197</v>
      </c>
      <c r="B6" s="133">
        <v>7.0000000000000021E-2</v>
      </c>
      <c r="C6" s="133">
        <v>0.16400000000000001</v>
      </c>
      <c r="D6" s="133">
        <v>1.0416406048550458E-3</v>
      </c>
      <c r="E6" s="133">
        <v>0</v>
      </c>
      <c r="F6" s="133">
        <v>0</v>
      </c>
      <c r="G6" s="133">
        <v>0</v>
      </c>
      <c r="H6" s="133">
        <v>0</v>
      </c>
      <c r="I6" s="133">
        <v>0</v>
      </c>
      <c r="J6" s="133">
        <v>0</v>
      </c>
      <c r="K6" s="133">
        <v>0</v>
      </c>
      <c r="L6" s="133">
        <v>0</v>
      </c>
      <c r="M6" s="133">
        <v>0</v>
      </c>
      <c r="N6" s="133">
        <v>0</v>
      </c>
      <c r="O6" s="133">
        <v>0</v>
      </c>
      <c r="P6" s="133">
        <v>0</v>
      </c>
      <c r="Q6" s="133">
        <v>0</v>
      </c>
      <c r="R6" s="133">
        <v>0</v>
      </c>
      <c r="S6" s="133">
        <v>0</v>
      </c>
      <c r="T6" s="133">
        <v>0</v>
      </c>
      <c r="U6" s="133">
        <v>0</v>
      </c>
      <c r="V6" s="133">
        <v>0</v>
      </c>
      <c r="W6" s="133">
        <v>0</v>
      </c>
      <c r="X6" s="133">
        <v>0</v>
      </c>
      <c r="Y6" s="133">
        <v>0</v>
      </c>
      <c r="Z6" s="133">
        <v>0</v>
      </c>
      <c r="AA6" s="133">
        <v>0</v>
      </c>
    </row>
    <row r="7" spans="1:34" customFormat="1" x14ac:dyDescent="0.15">
      <c r="A7" s="166" t="s">
        <v>198</v>
      </c>
      <c r="B7" s="133">
        <v>8.0000000000000016E-2</v>
      </c>
      <c r="C7" s="133">
        <v>9.8000000000000004E-2</v>
      </c>
      <c r="D7" s="133">
        <v>0.12395523781775025</v>
      </c>
      <c r="E7" s="133">
        <v>8.7912090628571457E-2</v>
      </c>
      <c r="F7" s="133">
        <v>3.0000000000000001E-3</v>
      </c>
      <c r="G7" s="133">
        <v>1.0999999999999999E-2</v>
      </c>
      <c r="H7" s="133">
        <v>0</v>
      </c>
      <c r="I7" s="133">
        <v>0</v>
      </c>
      <c r="J7" s="133">
        <v>0</v>
      </c>
      <c r="K7" s="133">
        <v>0</v>
      </c>
      <c r="L7" s="133">
        <v>0</v>
      </c>
      <c r="M7" s="133">
        <v>0</v>
      </c>
      <c r="N7" s="133">
        <v>0</v>
      </c>
      <c r="O7" s="133">
        <v>0</v>
      </c>
      <c r="P7" s="133">
        <v>0</v>
      </c>
      <c r="Q7" s="133">
        <v>0</v>
      </c>
      <c r="R7" s="133">
        <v>0</v>
      </c>
      <c r="S7" s="133">
        <v>0</v>
      </c>
      <c r="T7" s="133">
        <v>0</v>
      </c>
      <c r="U7" s="133">
        <v>0</v>
      </c>
      <c r="V7" s="133">
        <v>0</v>
      </c>
      <c r="W7" s="133">
        <v>0</v>
      </c>
      <c r="X7" s="133">
        <v>0</v>
      </c>
      <c r="Y7" s="133">
        <v>0</v>
      </c>
      <c r="Z7" s="133">
        <v>0</v>
      </c>
      <c r="AA7" s="133">
        <v>0</v>
      </c>
    </row>
    <row r="8" spans="1:34" customFormat="1" x14ac:dyDescent="0.15">
      <c r="A8" s="166" t="s">
        <v>199</v>
      </c>
      <c r="B8" s="133">
        <v>0</v>
      </c>
      <c r="C8" s="133">
        <v>3.2000000000000001E-2</v>
      </c>
      <c r="D8" s="133">
        <v>8.3581247179968701E-3</v>
      </c>
      <c r="E8" s="133">
        <v>7.8921090564285812E-2</v>
      </c>
      <c r="F8" s="133">
        <v>0</v>
      </c>
      <c r="G8" s="133">
        <v>0</v>
      </c>
      <c r="H8" s="133">
        <v>0</v>
      </c>
      <c r="I8" s="133">
        <v>0</v>
      </c>
      <c r="J8" s="133">
        <v>0</v>
      </c>
      <c r="K8" s="133">
        <v>0</v>
      </c>
      <c r="L8" s="133">
        <v>0</v>
      </c>
      <c r="M8" s="133">
        <v>0</v>
      </c>
      <c r="N8" s="133">
        <v>0</v>
      </c>
      <c r="O8" s="133">
        <v>0</v>
      </c>
      <c r="P8" s="133">
        <v>0</v>
      </c>
      <c r="Q8" s="133">
        <v>0</v>
      </c>
      <c r="R8" s="133">
        <v>0</v>
      </c>
      <c r="S8" s="133">
        <v>0</v>
      </c>
      <c r="T8" s="133">
        <v>0</v>
      </c>
      <c r="U8" s="133">
        <v>0</v>
      </c>
      <c r="V8" s="133">
        <v>0</v>
      </c>
      <c r="W8" s="133">
        <v>0</v>
      </c>
      <c r="X8" s="133">
        <v>0</v>
      </c>
      <c r="Y8" s="133">
        <v>0</v>
      </c>
      <c r="Z8" s="133">
        <v>0</v>
      </c>
      <c r="AA8" s="133">
        <v>0</v>
      </c>
    </row>
    <row r="9" spans="1:34" customFormat="1" x14ac:dyDescent="0.15">
      <c r="A9" s="166" t="s">
        <v>161</v>
      </c>
      <c r="B9" s="133">
        <v>0</v>
      </c>
      <c r="C9" s="133">
        <v>0</v>
      </c>
      <c r="D9" s="133">
        <v>0.50936228281411655</v>
      </c>
      <c r="E9" s="133">
        <v>0.44255742716428564</v>
      </c>
      <c r="F9" s="133">
        <v>0.59399999999999997</v>
      </c>
      <c r="G9" s="133">
        <v>0.60599999999999998</v>
      </c>
      <c r="H9" s="133">
        <v>0.5</v>
      </c>
      <c r="I9" s="133">
        <v>0.02</v>
      </c>
      <c r="J9" s="133">
        <v>0</v>
      </c>
      <c r="K9" s="133">
        <v>6.9999999999999993E-2</v>
      </c>
      <c r="L9" s="133">
        <v>0</v>
      </c>
      <c r="M9" s="133">
        <v>0</v>
      </c>
      <c r="N9" s="133">
        <v>0</v>
      </c>
      <c r="O9" s="133">
        <v>0</v>
      </c>
      <c r="P9" s="133">
        <v>0</v>
      </c>
      <c r="Q9" s="133">
        <v>0</v>
      </c>
      <c r="R9" s="133">
        <v>0</v>
      </c>
      <c r="S9" s="133">
        <v>0</v>
      </c>
      <c r="T9" s="133">
        <v>0</v>
      </c>
      <c r="U9" s="133">
        <v>0</v>
      </c>
      <c r="V9" s="133">
        <v>0</v>
      </c>
      <c r="W9" s="133">
        <v>0</v>
      </c>
      <c r="X9" s="133">
        <v>0</v>
      </c>
      <c r="Y9" s="133">
        <v>0</v>
      </c>
      <c r="Z9" s="133">
        <v>0</v>
      </c>
      <c r="AA9" s="133">
        <v>0</v>
      </c>
    </row>
    <row r="10" spans="1:34" customFormat="1" x14ac:dyDescent="0.15">
      <c r="A10" s="166" t="s">
        <v>200</v>
      </c>
      <c r="B10" s="133">
        <v>0</v>
      </c>
      <c r="C10" s="133">
        <v>0</v>
      </c>
      <c r="D10" s="133">
        <v>0</v>
      </c>
      <c r="E10" s="133">
        <v>0</v>
      </c>
      <c r="F10" s="133">
        <v>0</v>
      </c>
      <c r="G10" s="133">
        <v>0</v>
      </c>
      <c r="H10" s="133">
        <v>0.4</v>
      </c>
      <c r="I10" s="133">
        <v>0.08</v>
      </c>
      <c r="J10" s="133">
        <v>0.05</v>
      </c>
      <c r="K10" s="133">
        <v>0.79999999999999982</v>
      </c>
      <c r="L10" s="133">
        <v>1</v>
      </c>
      <c r="M10" s="133">
        <v>0.15</v>
      </c>
      <c r="N10" s="133">
        <v>0</v>
      </c>
      <c r="O10" s="133">
        <v>0</v>
      </c>
      <c r="P10" s="133">
        <v>0</v>
      </c>
      <c r="Q10" s="133">
        <v>0</v>
      </c>
      <c r="R10" s="133">
        <v>0</v>
      </c>
      <c r="S10" s="133">
        <v>0</v>
      </c>
      <c r="T10" s="133">
        <v>0</v>
      </c>
      <c r="U10" s="133">
        <v>0</v>
      </c>
      <c r="V10" s="133">
        <v>0</v>
      </c>
      <c r="W10" s="133">
        <v>0</v>
      </c>
      <c r="X10" s="133">
        <v>0</v>
      </c>
      <c r="Y10" s="133">
        <v>0</v>
      </c>
      <c r="Z10" s="133">
        <v>0</v>
      </c>
      <c r="AA10" s="133">
        <v>0</v>
      </c>
    </row>
    <row r="11" spans="1:34" customFormat="1" x14ac:dyDescent="0.15">
      <c r="A11" s="166" t="s">
        <v>201</v>
      </c>
      <c r="B11" s="133">
        <v>0</v>
      </c>
      <c r="C11" s="133">
        <v>0</v>
      </c>
      <c r="D11" s="133">
        <v>0</v>
      </c>
      <c r="E11" s="133">
        <v>0</v>
      </c>
      <c r="F11" s="133">
        <v>0</v>
      </c>
      <c r="G11" s="133">
        <v>0</v>
      </c>
      <c r="H11" s="133">
        <v>0</v>
      </c>
      <c r="I11" s="133">
        <v>0</v>
      </c>
      <c r="J11" s="133">
        <v>0</v>
      </c>
      <c r="K11" s="133">
        <v>4.9999999999999989E-2</v>
      </c>
      <c r="L11" s="133">
        <v>0</v>
      </c>
      <c r="M11" s="133">
        <v>0</v>
      </c>
      <c r="N11" s="133">
        <v>0</v>
      </c>
      <c r="O11" s="133">
        <v>0</v>
      </c>
      <c r="P11" s="133">
        <v>0</v>
      </c>
      <c r="Q11" s="133">
        <v>0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</row>
    <row r="12" spans="1:34" customFormat="1" x14ac:dyDescent="0.15">
      <c r="A12" s="166" t="s">
        <v>202</v>
      </c>
      <c r="B12" s="133">
        <v>0</v>
      </c>
      <c r="C12" s="133">
        <v>0</v>
      </c>
      <c r="D12" s="133">
        <v>0</v>
      </c>
      <c r="E12" s="133">
        <v>0</v>
      </c>
      <c r="F12" s="133">
        <v>0</v>
      </c>
      <c r="G12" s="133">
        <v>0</v>
      </c>
      <c r="H12" s="133">
        <v>0</v>
      </c>
      <c r="I12" s="133">
        <v>0</v>
      </c>
      <c r="J12" s="133">
        <v>0</v>
      </c>
      <c r="K12" s="133">
        <v>2.9999999999999992E-2</v>
      </c>
      <c r="L12" s="133">
        <v>0</v>
      </c>
      <c r="M12" s="133">
        <v>0</v>
      </c>
      <c r="N12" s="133">
        <v>0</v>
      </c>
      <c r="O12" s="133">
        <v>0</v>
      </c>
      <c r="P12" s="133">
        <v>0</v>
      </c>
      <c r="Q12" s="133">
        <v>0</v>
      </c>
      <c r="R12" s="133">
        <v>0</v>
      </c>
      <c r="S12" s="133">
        <v>0</v>
      </c>
      <c r="T12" s="133">
        <v>0</v>
      </c>
      <c r="U12" s="133">
        <v>0</v>
      </c>
      <c r="V12" s="133">
        <v>0</v>
      </c>
      <c r="W12" s="133">
        <v>0</v>
      </c>
      <c r="X12" s="133">
        <v>0</v>
      </c>
      <c r="Y12" s="133">
        <v>0</v>
      </c>
      <c r="Z12" s="133">
        <v>0</v>
      </c>
      <c r="AA12" s="133">
        <v>0</v>
      </c>
    </row>
    <row r="13" spans="1:34" customFormat="1" x14ac:dyDescent="0.15">
      <c r="A13" s="166" t="s">
        <v>203</v>
      </c>
      <c r="B13" s="133">
        <v>0</v>
      </c>
      <c r="C13" s="133">
        <v>0</v>
      </c>
      <c r="D13" s="133">
        <v>2.7082654686231229E-2</v>
      </c>
      <c r="E13" s="133">
        <v>5.9940060428571446E-2</v>
      </c>
      <c r="F13" s="133">
        <v>1E-3</v>
      </c>
      <c r="G13" s="133">
        <v>3.5999999999999997E-2</v>
      </c>
      <c r="H13" s="133">
        <v>0</v>
      </c>
      <c r="I13" s="133">
        <v>0</v>
      </c>
      <c r="J13" s="133">
        <v>0</v>
      </c>
      <c r="K13" s="133">
        <v>0</v>
      </c>
      <c r="L13" s="133">
        <v>0</v>
      </c>
      <c r="M13" s="133">
        <v>0</v>
      </c>
      <c r="N13" s="133">
        <v>0</v>
      </c>
      <c r="O13" s="133">
        <v>0</v>
      </c>
      <c r="P13" s="133">
        <v>0</v>
      </c>
      <c r="Q13" s="133">
        <v>0</v>
      </c>
      <c r="R13" s="133">
        <v>0</v>
      </c>
      <c r="S13" s="133">
        <v>0</v>
      </c>
      <c r="T13" s="133">
        <v>0</v>
      </c>
      <c r="U13" s="133">
        <v>0</v>
      </c>
      <c r="V13" s="133">
        <v>0</v>
      </c>
      <c r="W13" s="133">
        <v>0</v>
      </c>
      <c r="X13" s="133">
        <v>0</v>
      </c>
      <c r="Y13" s="133">
        <v>0</v>
      </c>
      <c r="Z13" s="133">
        <v>0</v>
      </c>
      <c r="AA13" s="133">
        <v>0</v>
      </c>
    </row>
    <row r="14" spans="1:34" customFormat="1" x14ac:dyDescent="0.15">
      <c r="A14" s="166" t="s">
        <v>204</v>
      </c>
      <c r="B14" s="133">
        <v>0</v>
      </c>
      <c r="C14" s="133">
        <v>0</v>
      </c>
      <c r="D14" s="133">
        <v>8.3331247188403717E-3</v>
      </c>
      <c r="E14" s="133">
        <v>4.8951050350000018E-2</v>
      </c>
      <c r="F14" s="133">
        <v>0</v>
      </c>
      <c r="G14" s="133">
        <v>0</v>
      </c>
      <c r="H14" s="133">
        <v>0.1</v>
      </c>
      <c r="I14" s="133">
        <v>0</v>
      </c>
      <c r="J14" s="133">
        <v>0</v>
      </c>
      <c r="K14" s="133">
        <v>9.9999999999999985E-3</v>
      </c>
      <c r="L14" s="133">
        <v>0</v>
      </c>
      <c r="M14" s="133">
        <v>0.1</v>
      </c>
      <c r="N14" s="133">
        <v>0</v>
      </c>
      <c r="O14" s="133">
        <v>0</v>
      </c>
      <c r="P14" s="133">
        <v>0</v>
      </c>
      <c r="Q14" s="133">
        <v>0</v>
      </c>
      <c r="R14" s="133">
        <v>0.05</v>
      </c>
      <c r="S14" s="133">
        <v>0</v>
      </c>
      <c r="T14" s="133">
        <v>0</v>
      </c>
      <c r="U14" s="133">
        <v>0</v>
      </c>
      <c r="V14" s="133">
        <v>0</v>
      </c>
      <c r="W14" s="133">
        <v>0</v>
      </c>
      <c r="X14" s="133">
        <v>0</v>
      </c>
      <c r="Y14" s="133">
        <v>0</v>
      </c>
      <c r="Z14" s="133">
        <v>0</v>
      </c>
      <c r="AA14" s="133">
        <v>0</v>
      </c>
    </row>
    <row r="15" spans="1:34" customFormat="1" x14ac:dyDescent="0.15">
      <c r="A15" s="166" t="s">
        <v>205</v>
      </c>
      <c r="B15" s="133">
        <v>0</v>
      </c>
      <c r="C15" s="133">
        <v>0</v>
      </c>
      <c r="D15" s="133">
        <v>1.8749530767390832E-2</v>
      </c>
      <c r="E15" s="133">
        <v>2.4975026178571443E-2</v>
      </c>
      <c r="F15" s="133">
        <v>4.0000000000000001E-3</v>
      </c>
      <c r="G15" s="133">
        <v>8.0000000000000002E-3</v>
      </c>
      <c r="H15" s="133">
        <v>0</v>
      </c>
      <c r="I15" s="133">
        <v>0</v>
      </c>
      <c r="J15" s="133">
        <v>0</v>
      </c>
      <c r="K15" s="133">
        <v>0</v>
      </c>
      <c r="L15" s="133">
        <v>0</v>
      </c>
      <c r="M15" s="133">
        <v>0</v>
      </c>
      <c r="N15" s="133">
        <v>0</v>
      </c>
      <c r="O15" s="133">
        <v>2.9970029940059942E-3</v>
      </c>
      <c r="P15" s="133">
        <v>0</v>
      </c>
      <c r="Q15" s="133">
        <v>0</v>
      </c>
      <c r="R15" s="133">
        <v>0</v>
      </c>
      <c r="S15" s="133">
        <v>0</v>
      </c>
      <c r="T15" s="133">
        <v>0</v>
      </c>
      <c r="U15" s="133">
        <v>0</v>
      </c>
      <c r="V15" s="133">
        <v>0</v>
      </c>
      <c r="W15" s="133">
        <v>1.9980021665334659E-3</v>
      </c>
      <c r="X15" s="133">
        <v>2.9970030126473526E-3</v>
      </c>
      <c r="Y15" s="133">
        <v>0</v>
      </c>
      <c r="Z15" s="133">
        <v>0</v>
      </c>
      <c r="AA15" s="133">
        <v>0</v>
      </c>
    </row>
    <row r="16" spans="1:34" customFormat="1" x14ac:dyDescent="0.15">
      <c r="A16" s="166" t="s">
        <v>206</v>
      </c>
      <c r="B16" s="133">
        <v>0</v>
      </c>
      <c r="C16" s="133">
        <v>0</v>
      </c>
      <c r="D16" s="133">
        <v>3.5415778805071622E-2</v>
      </c>
      <c r="E16" s="133">
        <v>3.7962038371428579E-2</v>
      </c>
      <c r="F16" s="133">
        <v>1E-3</v>
      </c>
      <c r="G16" s="133">
        <v>3.1E-2</v>
      </c>
      <c r="H16" s="133">
        <v>0</v>
      </c>
      <c r="I16" s="133">
        <v>0</v>
      </c>
      <c r="J16" s="133">
        <v>0</v>
      </c>
      <c r="K16" s="133">
        <v>0</v>
      </c>
      <c r="L16" s="133">
        <v>0</v>
      </c>
      <c r="M16" s="133">
        <v>0</v>
      </c>
      <c r="N16" s="133">
        <v>0</v>
      </c>
      <c r="O16" s="133">
        <v>1.2987012974025975E-2</v>
      </c>
      <c r="P16" s="133">
        <v>0.05</v>
      </c>
      <c r="Q16" s="133">
        <v>0</v>
      </c>
      <c r="R16" s="133">
        <v>0</v>
      </c>
      <c r="S16" s="133">
        <v>0</v>
      </c>
      <c r="T16" s="133">
        <v>0</v>
      </c>
      <c r="U16" s="133">
        <v>0</v>
      </c>
      <c r="V16" s="133">
        <v>0</v>
      </c>
      <c r="W16" s="133">
        <v>6.9930073328671313E-3</v>
      </c>
      <c r="X16" s="133">
        <v>1.0989011346373629E-2</v>
      </c>
      <c r="Y16" s="133">
        <v>0</v>
      </c>
      <c r="Z16" s="133">
        <v>0</v>
      </c>
      <c r="AA16" s="133">
        <v>0</v>
      </c>
    </row>
    <row r="17" spans="1:27" customFormat="1" x14ac:dyDescent="0.15">
      <c r="A17" s="166" t="s">
        <v>207</v>
      </c>
      <c r="B17" s="133">
        <v>0</v>
      </c>
      <c r="C17" s="133">
        <v>0</v>
      </c>
      <c r="D17" s="133">
        <v>3.5415778805071622E-2</v>
      </c>
      <c r="E17" s="133">
        <v>3.5964034757142854E-2</v>
      </c>
      <c r="F17" s="133">
        <v>5.6000000000000001E-2</v>
      </c>
      <c r="G17" s="133">
        <v>9.7000000000000003E-2</v>
      </c>
      <c r="H17" s="133">
        <v>0</v>
      </c>
      <c r="I17" s="133">
        <v>0</v>
      </c>
      <c r="J17" s="133">
        <v>0</v>
      </c>
      <c r="K17" s="133">
        <v>0</v>
      </c>
      <c r="L17" s="133">
        <v>0</v>
      </c>
      <c r="M17" s="133">
        <v>0.2</v>
      </c>
      <c r="N17" s="133">
        <v>0</v>
      </c>
      <c r="O17" s="133">
        <v>0.34465533431068934</v>
      </c>
      <c r="P17" s="133">
        <v>0.3</v>
      </c>
      <c r="Q17" s="133">
        <v>0</v>
      </c>
      <c r="R17" s="133">
        <v>0.03</v>
      </c>
      <c r="S17" s="133">
        <v>0</v>
      </c>
      <c r="T17" s="133">
        <v>0</v>
      </c>
      <c r="U17" s="133">
        <v>0</v>
      </c>
      <c r="V17" s="133">
        <v>0</v>
      </c>
      <c r="W17" s="133">
        <v>0.23676323740421579</v>
      </c>
      <c r="X17" s="133">
        <v>0.36163836852611392</v>
      </c>
      <c r="Y17" s="133">
        <v>0</v>
      </c>
      <c r="Z17" s="133">
        <v>0</v>
      </c>
      <c r="AA17" s="133">
        <v>0</v>
      </c>
    </row>
    <row r="18" spans="1:27" customFormat="1" x14ac:dyDescent="0.15">
      <c r="A18" s="166" t="s">
        <v>208</v>
      </c>
      <c r="B18" s="133">
        <v>0</v>
      </c>
      <c r="C18" s="133">
        <v>0</v>
      </c>
      <c r="D18" s="133">
        <v>1.9791170332245912E-2</v>
      </c>
      <c r="E18" s="133">
        <v>9.2907090664285708E-2</v>
      </c>
      <c r="F18" s="133">
        <v>1E-3</v>
      </c>
      <c r="G18" s="133">
        <v>6.0000000000000001E-3</v>
      </c>
      <c r="H18" s="133">
        <v>0</v>
      </c>
      <c r="I18" s="133">
        <v>0</v>
      </c>
      <c r="J18" s="133">
        <v>0</v>
      </c>
      <c r="K18" s="133">
        <v>0</v>
      </c>
      <c r="L18" s="133">
        <v>0</v>
      </c>
      <c r="M18" s="133">
        <v>0.04</v>
      </c>
      <c r="N18" s="133">
        <v>0</v>
      </c>
      <c r="O18" s="133">
        <v>1.5984015468031972E-2</v>
      </c>
      <c r="P18" s="133">
        <v>0.03</v>
      </c>
      <c r="Q18" s="133">
        <v>0</v>
      </c>
      <c r="R18" s="133">
        <v>0.03</v>
      </c>
      <c r="S18" s="133">
        <v>0</v>
      </c>
      <c r="T18" s="133">
        <v>0</v>
      </c>
      <c r="U18" s="133">
        <v>0</v>
      </c>
      <c r="V18" s="133">
        <v>0</v>
      </c>
      <c r="W18" s="133">
        <v>2.1978022351868132E-2</v>
      </c>
      <c r="X18" s="133">
        <v>3.396603484333667E-2</v>
      </c>
      <c r="Y18" s="133">
        <v>0</v>
      </c>
      <c r="Z18" s="133">
        <v>0</v>
      </c>
      <c r="AA18" s="133">
        <v>0</v>
      </c>
    </row>
    <row r="19" spans="1:27" customFormat="1" x14ac:dyDescent="0.15">
      <c r="A19" s="166" t="s">
        <v>209</v>
      </c>
      <c r="B19" s="133">
        <v>0</v>
      </c>
      <c r="C19" s="133">
        <v>0</v>
      </c>
      <c r="D19" s="133">
        <v>3.4374138840216548E-2</v>
      </c>
      <c r="E19" s="133">
        <v>9.9900110714285818E-4</v>
      </c>
      <c r="F19" s="133">
        <v>9.4E-2</v>
      </c>
      <c r="G19" s="133">
        <v>9.1999999999999998E-2</v>
      </c>
      <c r="H19" s="133">
        <v>0</v>
      </c>
      <c r="I19" s="133">
        <v>0</v>
      </c>
      <c r="J19" s="133">
        <v>0</v>
      </c>
      <c r="K19" s="133">
        <v>0</v>
      </c>
      <c r="L19" s="133">
        <v>0</v>
      </c>
      <c r="M19" s="133">
        <v>0.08</v>
      </c>
      <c r="N19" s="133">
        <v>0</v>
      </c>
      <c r="O19" s="133">
        <v>0.20879121058241759</v>
      </c>
      <c r="P19" s="133">
        <v>7.0000000000000007E-2</v>
      </c>
      <c r="Q19" s="133">
        <v>0</v>
      </c>
      <c r="R19" s="133">
        <v>0</v>
      </c>
      <c r="S19" s="133">
        <v>7.0000000000000007E-2</v>
      </c>
      <c r="T19" s="133">
        <v>0</v>
      </c>
      <c r="U19" s="133">
        <v>0</v>
      </c>
      <c r="V19" s="133">
        <v>0</v>
      </c>
      <c r="W19" s="133">
        <v>0.14285714803714283</v>
      </c>
      <c r="X19" s="133">
        <v>0.21878121892325675</v>
      </c>
      <c r="Y19" s="133">
        <v>0</v>
      </c>
      <c r="Z19" s="133">
        <v>0</v>
      </c>
      <c r="AA19" s="133">
        <v>0</v>
      </c>
    </row>
    <row r="20" spans="1:27" customFormat="1" x14ac:dyDescent="0.15">
      <c r="A20" s="166" t="s">
        <v>210</v>
      </c>
      <c r="B20" s="133">
        <v>0</v>
      </c>
      <c r="C20" s="133">
        <v>0</v>
      </c>
      <c r="D20" s="133">
        <v>0</v>
      </c>
      <c r="E20" s="133">
        <v>0</v>
      </c>
      <c r="F20" s="133">
        <v>0</v>
      </c>
      <c r="G20" s="133">
        <v>0</v>
      </c>
      <c r="H20" s="133">
        <v>0</v>
      </c>
      <c r="I20" s="133">
        <v>0</v>
      </c>
      <c r="J20" s="133">
        <v>0</v>
      </c>
      <c r="K20" s="133">
        <v>0</v>
      </c>
      <c r="L20" s="133">
        <v>0</v>
      </c>
      <c r="M20" s="133">
        <v>0</v>
      </c>
      <c r="N20" s="133">
        <v>0</v>
      </c>
      <c r="O20" s="133">
        <v>0.12587413174825174</v>
      </c>
      <c r="P20" s="133">
        <v>0.2</v>
      </c>
      <c r="Q20" s="133">
        <v>0</v>
      </c>
      <c r="R20" s="133">
        <v>0</v>
      </c>
      <c r="S20" s="133">
        <v>0</v>
      </c>
      <c r="T20" s="133">
        <v>0</v>
      </c>
      <c r="U20" s="133">
        <v>0</v>
      </c>
      <c r="V20" s="133">
        <v>0</v>
      </c>
      <c r="W20" s="133">
        <v>0.34565433667028977</v>
      </c>
      <c r="X20" s="133">
        <v>0</v>
      </c>
      <c r="Y20" s="133">
        <v>0</v>
      </c>
      <c r="Z20" s="133">
        <v>0</v>
      </c>
      <c r="AA20" s="133">
        <v>0</v>
      </c>
    </row>
    <row r="21" spans="1:27" customFormat="1" x14ac:dyDescent="0.15">
      <c r="A21" s="166" t="s">
        <v>211</v>
      </c>
      <c r="B21" s="133">
        <v>0</v>
      </c>
      <c r="C21" s="133">
        <v>0</v>
      </c>
      <c r="D21" s="133">
        <v>7.0831557610143245E-2</v>
      </c>
      <c r="E21" s="133">
        <v>1.9980019142857141E-2</v>
      </c>
      <c r="F21" s="133">
        <v>0.215</v>
      </c>
      <c r="G21" s="133">
        <v>9.0999999999999998E-2</v>
      </c>
      <c r="H21" s="133">
        <v>0</v>
      </c>
      <c r="I21" s="133">
        <v>0</v>
      </c>
      <c r="J21" s="133">
        <v>0</v>
      </c>
      <c r="K21" s="133">
        <v>0</v>
      </c>
      <c r="L21" s="133">
        <v>0</v>
      </c>
      <c r="M21" s="133">
        <v>0</v>
      </c>
      <c r="N21" s="133">
        <v>0</v>
      </c>
      <c r="O21" s="133">
        <v>0.16483516967032968</v>
      </c>
      <c r="P21" s="133">
        <v>0.17</v>
      </c>
      <c r="Q21" s="133">
        <v>0</v>
      </c>
      <c r="R21" s="133">
        <v>0.01</v>
      </c>
      <c r="S21" s="133">
        <v>0</v>
      </c>
      <c r="T21" s="133">
        <v>0</v>
      </c>
      <c r="U21" s="133">
        <v>0</v>
      </c>
      <c r="V21" s="133">
        <v>0</v>
      </c>
      <c r="W21" s="133">
        <v>0.22577422747828171</v>
      </c>
      <c r="X21" s="133">
        <v>0.34465533645444552</v>
      </c>
      <c r="Y21" s="133">
        <v>0</v>
      </c>
      <c r="Z21" s="133">
        <v>0</v>
      </c>
      <c r="AA21" s="133">
        <v>0</v>
      </c>
    </row>
    <row r="22" spans="1:27" customFormat="1" x14ac:dyDescent="0.15">
      <c r="A22" s="166" t="s">
        <v>212</v>
      </c>
      <c r="B22" s="133">
        <v>0</v>
      </c>
      <c r="C22" s="133">
        <v>0</v>
      </c>
      <c r="D22" s="133">
        <v>2.4999373656521131E-2</v>
      </c>
      <c r="E22" s="133">
        <v>3.9960043785714321E-3</v>
      </c>
      <c r="F22" s="133">
        <v>0</v>
      </c>
      <c r="G22" s="133">
        <v>0</v>
      </c>
      <c r="H22" s="133">
        <v>0</v>
      </c>
      <c r="I22" s="133">
        <v>0</v>
      </c>
      <c r="J22" s="133">
        <v>0</v>
      </c>
      <c r="K22" s="133">
        <v>0</v>
      </c>
      <c r="L22" s="133">
        <v>0</v>
      </c>
      <c r="M22" s="133">
        <v>0</v>
      </c>
      <c r="N22" s="133">
        <v>0</v>
      </c>
      <c r="O22" s="133">
        <v>1.5984015468031972E-2</v>
      </c>
      <c r="P22" s="133">
        <v>0.02</v>
      </c>
      <c r="Q22" s="133">
        <v>0</v>
      </c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1.0989011225934067E-2</v>
      </c>
      <c r="X22" s="133">
        <v>1.6983017371668335E-2</v>
      </c>
      <c r="Y22" s="133">
        <v>0</v>
      </c>
      <c r="Z22" s="133">
        <v>0</v>
      </c>
      <c r="AA22" s="133">
        <v>0</v>
      </c>
    </row>
    <row r="23" spans="1:27" customFormat="1" x14ac:dyDescent="0.15">
      <c r="A23" s="166" t="s">
        <v>213</v>
      </c>
      <c r="B23" s="133">
        <v>0</v>
      </c>
      <c r="C23" s="133">
        <v>0.34599999999999997</v>
      </c>
      <c r="D23" s="133">
        <v>2.0832811697100932E-2</v>
      </c>
      <c r="E23" s="133">
        <v>0</v>
      </c>
      <c r="F23" s="133">
        <v>0.02</v>
      </c>
      <c r="G23" s="133">
        <v>0</v>
      </c>
      <c r="H23" s="133">
        <v>0</v>
      </c>
      <c r="I23" s="133">
        <v>0</v>
      </c>
      <c r="J23" s="133">
        <v>0</v>
      </c>
      <c r="K23" s="133">
        <v>0</v>
      </c>
      <c r="L23" s="133">
        <v>0</v>
      </c>
      <c r="M23" s="133">
        <v>0</v>
      </c>
      <c r="N23" s="133">
        <v>0</v>
      </c>
      <c r="O23" s="133">
        <v>0</v>
      </c>
      <c r="P23" s="133">
        <v>0</v>
      </c>
      <c r="Q23" s="133">
        <v>0</v>
      </c>
      <c r="R23" s="133">
        <v>0</v>
      </c>
      <c r="S23" s="133">
        <v>0</v>
      </c>
      <c r="T23" s="133">
        <v>0</v>
      </c>
      <c r="U23" s="133">
        <v>0</v>
      </c>
      <c r="V23" s="133">
        <v>0</v>
      </c>
      <c r="W23" s="133">
        <v>0</v>
      </c>
      <c r="X23" s="133">
        <v>0</v>
      </c>
      <c r="Y23" s="133">
        <v>0</v>
      </c>
      <c r="Z23" s="133">
        <v>0</v>
      </c>
      <c r="AA23" s="133">
        <v>0</v>
      </c>
    </row>
    <row r="24" spans="1:27" customFormat="1" x14ac:dyDescent="0.15">
      <c r="A24" s="166" t="s">
        <v>214</v>
      </c>
      <c r="B24" s="133">
        <v>0</v>
      </c>
      <c r="C24" s="133">
        <v>0</v>
      </c>
      <c r="D24" s="133">
        <v>5.1040388277897288E-2</v>
      </c>
      <c r="E24" s="133">
        <v>6.4935066264285732E-2</v>
      </c>
      <c r="F24" s="133">
        <v>1.0999999999999999E-2</v>
      </c>
      <c r="G24" s="133">
        <v>2.1999999999999999E-2</v>
      </c>
      <c r="H24" s="133">
        <v>0</v>
      </c>
      <c r="I24" s="133">
        <v>0</v>
      </c>
      <c r="J24" s="133">
        <v>0</v>
      </c>
      <c r="K24" s="133">
        <v>0</v>
      </c>
      <c r="L24" s="133">
        <v>0</v>
      </c>
      <c r="M24" s="133">
        <v>0</v>
      </c>
      <c r="N24" s="133">
        <v>0</v>
      </c>
      <c r="O24" s="133">
        <v>6.9930069860139861E-3</v>
      </c>
      <c r="P24" s="133">
        <v>0</v>
      </c>
      <c r="Q24" s="133">
        <v>0</v>
      </c>
      <c r="R24" s="133">
        <v>0</v>
      </c>
      <c r="S24" s="133">
        <v>0</v>
      </c>
      <c r="T24" s="133">
        <v>0</v>
      </c>
      <c r="U24" s="133">
        <v>0</v>
      </c>
      <c r="V24" s="133">
        <v>0</v>
      </c>
      <c r="W24" s="133">
        <v>6.9930073328671313E-3</v>
      </c>
      <c r="X24" s="133">
        <v>9.9900095221578389E-3</v>
      </c>
      <c r="Y24" s="133">
        <v>0</v>
      </c>
      <c r="Z24" s="133">
        <v>0</v>
      </c>
      <c r="AA24" s="133">
        <v>0</v>
      </c>
    </row>
    <row r="25" spans="1:27" customFormat="1" x14ac:dyDescent="0.15">
      <c r="A25" s="166" t="s">
        <v>215</v>
      </c>
      <c r="B25" s="133">
        <v>0</v>
      </c>
      <c r="C25" s="133">
        <v>0</v>
      </c>
      <c r="D25" s="133">
        <v>0</v>
      </c>
      <c r="E25" s="133">
        <v>0</v>
      </c>
      <c r="F25" s="133">
        <v>0</v>
      </c>
      <c r="G25" s="133">
        <v>0</v>
      </c>
      <c r="H25" s="133">
        <v>0</v>
      </c>
      <c r="I25" s="133">
        <v>0.6</v>
      </c>
      <c r="J25" s="133">
        <v>0.85</v>
      </c>
      <c r="K25" s="133">
        <v>0</v>
      </c>
      <c r="L25" s="133">
        <v>0</v>
      </c>
      <c r="M25" s="133">
        <v>0.2</v>
      </c>
      <c r="N25" s="133">
        <v>0.2</v>
      </c>
      <c r="O25" s="133">
        <v>0</v>
      </c>
      <c r="P25" s="133">
        <v>0</v>
      </c>
      <c r="Q25" s="133">
        <v>0.1</v>
      </c>
      <c r="R25" s="133">
        <v>0.1</v>
      </c>
      <c r="S25" s="133">
        <v>0</v>
      </c>
      <c r="T25" s="133">
        <v>0.3</v>
      </c>
      <c r="U25" s="133">
        <v>0</v>
      </c>
      <c r="V25" s="133">
        <v>0</v>
      </c>
      <c r="W25" s="133">
        <v>0</v>
      </c>
      <c r="X25" s="133">
        <v>0</v>
      </c>
      <c r="Y25" s="133">
        <v>0</v>
      </c>
      <c r="Z25" s="133">
        <v>0</v>
      </c>
      <c r="AA25" s="133">
        <v>0</v>
      </c>
    </row>
    <row r="26" spans="1:27" customFormat="1" x14ac:dyDescent="0.15">
      <c r="A26" s="166" t="s">
        <v>216</v>
      </c>
      <c r="B26" s="133">
        <v>0</v>
      </c>
      <c r="C26" s="133">
        <v>0</v>
      </c>
      <c r="D26" s="133">
        <v>0</v>
      </c>
      <c r="E26" s="133">
        <v>0</v>
      </c>
      <c r="F26" s="133">
        <v>0</v>
      </c>
      <c r="G26" s="133">
        <v>0</v>
      </c>
      <c r="H26" s="133">
        <v>0</v>
      </c>
      <c r="I26" s="133">
        <v>0.3</v>
      </c>
      <c r="J26" s="133">
        <v>0.1</v>
      </c>
      <c r="K26" s="133">
        <v>3.9999999999999994E-2</v>
      </c>
      <c r="L26" s="133">
        <v>0</v>
      </c>
      <c r="M26" s="133">
        <v>0.23</v>
      </c>
      <c r="N26" s="133">
        <v>0.8</v>
      </c>
      <c r="O26" s="133">
        <v>0.10089909979820182</v>
      </c>
      <c r="P26" s="133">
        <v>0.16</v>
      </c>
      <c r="Q26" s="133">
        <v>0.9</v>
      </c>
      <c r="R26" s="133">
        <v>0.78</v>
      </c>
      <c r="S26" s="133">
        <v>0.93</v>
      </c>
      <c r="T26" s="133">
        <v>0.7</v>
      </c>
      <c r="U26" s="133">
        <v>1</v>
      </c>
      <c r="V26" s="133">
        <v>1</v>
      </c>
      <c r="W26" s="133">
        <v>0</v>
      </c>
      <c r="X26" s="133">
        <v>0</v>
      </c>
      <c r="Y26" s="133">
        <v>0</v>
      </c>
      <c r="Z26" s="133">
        <v>0</v>
      </c>
      <c r="AA26" s="133">
        <v>0</v>
      </c>
    </row>
    <row r="27" spans="1:27" customFormat="1" x14ac:dyDescent="0.15">
      <c r="A27" s="166" t="s">
        <v>217</v>
      </c>
      <c r="B27" s="133">
        <v>0</v>
      </c>
      <c r="C27" s="133">
        <v>0</v>
      </c>
      <c r="D27" s="133">
        <v>0</v>
      </c>
      <c r="E27" s="133">
        <v>0</v>
      </c>
      <c r="F27" s="133">
        <v>0</v>
      </c>
      <c r="G27" s="133">
        <v>0</v>
      </c>
      <c r="H27" s="133">
        <v>0</v>
      </c>
      <c r="I27" s="133">
        <v>0</v>
      </c>
      <c r="J27" s="133">
        <v>0</v>
      </c>
      <c r="K27" s="133">
        <v>0</v>
      </c>
      <c r="L27" s="133">
        <v>0</v>
      </c>
      <c r="M27" s="133">
        <v>0</v>
      </c>
      <c r="N27" s="133">
        <v>0</v>
      </c>
      <c r="O27" s="133">
        <v>0</v>
      </c>
      <c r="P27" s="133">
        <v>0</v>
      </c>
      <c r="Q27" s="133">
        <v>0</v>
      </c>
      <c r="R27" s="133">
        <v>0</v>
      </c>
      <c r="S27" s="133">
        <v>0</v>
      </c>
      <c r="T27" s="133">
        <v>0</v>
      </c>
      <c r="U27" s="133">
        <v>0</v>
      </c>
      <c r="V27" s="133">
        <v>0</v>
      </c>
      <c r="W27" s="133">
        <v>0</v>
      </c>
      <c r="X27" s="133">
        <v>0</v>
      </c>
      <c r="Y27" s="133">
        <v>0</v>
      </c>
      <c r="Z27" s="133">
        <v>0</v>
      </c>
      <c r="AA27" s="133">
        <v>0</v>
      </c>
    </row>
    <row r="28" spans="1:27" customFormat="1" x14ac:dyDescent="0.15">
      <c r="A28" s="166" t="s">
        <v>219</v>
      </c>
      <c r="B28" s="133">
        <v>0</v>
      </c>
      <c r="C28" s="133">
        <v>0</v>
      </c>
      <c r="D28" s="133">
        <v>0</v>
      </c>
      <c r="E28" s="133">
        <v>0</v>
      </c>
      <c r="F28" s="133">
        <v>0</v>
      </c>
      <c r="G28" s="133">
        <v>0</v>
      </c>
      <c r="H28" s="133">
        <v>0</v>
      </c>
      <c r="I28" s="133">
        <v>0</v>
      </c>
      <c r="J28" s="133">
        <v>0</v>
      </c>
      <c r="K28" s="133">
        <v>0</v>
      </c>
      <c r="L28" s="133">
        <v>0</v>
      </c>
      <c r="M28" s="133">
        <v>0</v>
      </c>
      <c r="N28" s="133">
        <v>0</v>
      </c>
      <c r="O28" s="133">
        <v>0</v>
      </c>
      <c r="P28" s="133">
        <v>0</v>
      </c>
      <c r="Q28" s="133">
        <v>0</v>
      </c>
      <c r="R28" s="133">
        <v>0</v>
      </c>
      <c r="S28" s="133">
        <v>0</v>
      </c>
      <c r="T28" s="133">
        <v>0</v>
      </c>
      <c r="U28" s="133">
        <v>0</v>
      </c>
      <c r="V28" s="133">
        <v>0</v>
      </c>
      <c r="W28" s="133">
        <v>0</v>
      </c>
      <c r="X28" s="133">
        <v>0</v>
      </c>
      <c r="Y28" s="133">
        <v>0</v>
      </c>
      <c r="Z28" s="133">
        <v>0</v>
      </c>
      <c r="AA28" s="133">
        <v>0</v>
      </c>
    </row>
    <row r="29" spans="1:27" customFormat="1" x14ac:dyDescent="0.15"/>
    <row r="30" spans="1:27" customFormat="1" x14ac:dyDescent="0.15"/>
    <row r="31" spans="1:27" customFormat="1" x14ac:dyDescent="0.15"/>
    <row r="32" spans="1:27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8" sqref="I28"/>
    </sheetView>
  </sheetViews>
  <sheetFormatPr baseColWidth="10" defaultColWidth="8.83203125" defaultRowHeight="13" x14ac:dyDescent="0.15"/>
  <cols>
    <col min="1" max="1" width="3.33203125" customWidth="1"/>
    <col min="2" max="2" width="23" customWidth="1"/>
    <col min="3" max="4" width="12" style="103" customWidth="1"/>
    <col min="5" max="6" width="12" style="102" customWidth="1"/>
    <col min="7" max="8" width="8.83203125" style="103"/>
  </cols>
  <sheetData>
    <row r="1" spans="1:8" ht="70" x14ac:dyDescent="0.15">
      <c r="A1" s="5" t="s">
        <v>20</v>
      </c>
      <c r="B1" s="1" t="s">
        <v>0</v>
      </c>
      <c r="C1" s="169" t="s">
        <v>216</v>
      </c>
      <c r="D1" s="169" t="s">
        <v>217</v>
      </c>
      <c r="E1" s="169" t="s">
        <v>220</v>
      </c>
      <c r="F1" s="169" t="s">
        <v>221</v>
      </c>
      <c r="G1"/>
      <c r="H1"/>
    </row>
    <row r="2" spans="1:8" x14ac:dyDescent="0.15">
      <c r="A2">
        <v>1</v>
      </c>
      <c r="B2" s="168" t="s">
        <v>193</v>
      </c>
      <c r="C2" s="103">
        <v>1</v>
      </c>
      <c r="D2" s="103">
        <v>0</v>
      </c>
      <c r="E2" s="102">
        <v>0</v>
      </c>
      <c r="F2" s="102">
        <v>1</v>
      </c>
      <c r="G2"/>
      <c r="H2"/>
    </row>
    <row r="3" spans="1:8" x14ac:dyDescent="0.15">
      <c r="A3">
        <v>2</v>
      </c>
      <c r="B3" s="168" t="s">
        <v>194</v>
      </c>
      <c r="C3" s="103">
        <v>1</v>
      </c>
      <c r="D3" s="103">
        <v>0</v>
      </c>
      <c r="E3" s="102">
        <v>0</v>
      </c>
      <c r="F3" s="102">
        <v>1</v>
      </c>
      <c r="G3"/>
      <c r="H3"/>
    </row>
    <row r="4" spans="1:8" x14ac:dyDescent="0.15">
      <c r="A4">
        <v>3</v>
      </c>
      <c r="B4" s="168" t="s">
        <v>195</v>
      </c>
      <c r="C4" s="103">
        <v>1</v>
      </c>
      <c r="D4" s="103">
        <v>0</v>
      </c>
      <c r="E4" s="102">
        <v>0</v>
      </c>
      <c r="F4" s="102">
        <v>1</v>
      </c>
      <c r="G4"/>
      <c r="H4"/>
    </row>
    <row r="5" spans="1:8" x14ac:dyDescent="0.15">
      <c r="A5">
        <v>4</v>
      </c>
      <c r="B5" s="168" t="s">
        <v>196</v>
      </c>
      <c r="C5" s="103">
        <v>1</v>
      </c>
      <c r="D5" s="103">
        <v>0</v>
      </c>
      <c r="E5" s="102">
        <v>0</v>
      </c>
      <c r="F5" s="102">
        <v>1</v>
      </c>
      <c r="G5"/>
      <c r="H5"/>
    </row>
    <row r="6" spans="1:8" x14ac:dyDescent="0.15">
      <c r="A6">
        <v>5</v>
      </c>
      <c r="B6" s="168" t="s">
        <v>197</v>
      </c>
      <c r="C6" s="103">
        <v>1</v>
      </c>
      <c r="D6" s="103">
        <v>0</v>
      </c>
      <c r="E6" s="102">
        <v>0</v>
      </c>
      <c r="F6" s="102">
        <v>1</v>
      </c>
      <c r="G6"/>
      <c r="H6"/>
    </row>
    <row r="7" spans="1:8" x14ac:dyDescent="0.15">
      <c r="A7">
        <v>6</v>
      </c>
      <c r="B7" s="168" t="s">
        <v>198</v>
      </c>
      <c r="C7" s="103">
        <v>1</v>
      </c>
      <c r="D7" s="103">
        <v>0</v>
      </c>
      <c r="E7" s="102">
        <v>0</v>
      </c>
      <c r="F7" s="102">
        <v>1</v>
      </c>
      <c r="G7"/>
      <c r="H7"/>
    </row>
    <row r="8" spans="1:8" x14ac:dyDescent="0.15">
      <c r="A8">
        <v>7</v>
      </c>
      <c r="B8" s="168" t="s">
        <v>199</v>
      </c>
      <c r="C8" s="103">
        <v>1</v>
      </c>
      <c r="D8" s="103">
        <v>0</v>
      </c>
      <c r="E8" s="102">
        <v>0</v>
      </c>
      <c r="F8" s="102">
        <v>1</v>
      </c>
      <c r="G8"/>
      <c r="H8"/>
    </row>
    <row r="9" spans="1:8" x14ac:dyDescent="0.15">
      <c r="A9">
        <v>8</v>
      </c>
      <c r="B9" s="168" t="s">
        <v>161</v>
      </c>
      <c r="C9" s="103">
        <v>1</v>
      </c>
      <c r="D9" s="103">
        <v>0</v>
      </c>
      <c r="E9" s="102">
        <v>0</v>
      </c>
      <c r="F9" s="102">
        <v>1</v>
      </c>
      <c r="G9"/>
      <c r="H9"/>
    </row>
    <row r="10" spans="1:8" x14ac:dyDescent="0.15">
      <c r="A10">
        <v>9</v>
      </c>
      <c r="B10" s="168" t="s">
        <v>200</v>
      </c>
      <c r="C10" s="103">
        <v>1</v>
      </c>
      <c r="D10" s="103">
        <v>0</v>
      </c>
      <c r="E10" s="102">
        <v>0</v>
      </c>
      <c r="F10" s="102">
        <v>1</v>
      </c>
      <c r="G10"/>
      <c r="H10"/>
    </row>
    <row r="11" spans="1:8" x14ac:dyDescent="0.15">
      <c r="A11">
        <v>10</v>
      </c>
      <c r="B11" s="168" t="s">
        <v>201</v>
      </c>
      <c r="C11" s="103">
        <v>1</v>
      </c>
      <c r="D11" s="103">
        <v>0</v>
      </c>
      <c r="E11" s="102">
        <v>0</v>
      </c>
      <c r="F11" s="102">
        <v>1</v>
      </c>
      <c r="G11"/>
      <c r="H11"/>
    </row>
    <row r="12" spans="1:8" x14ac:dyDescent="0.15">
      <c r="A12">
        <v>11</v>
      </c>
      <c r="B12" s="168" t="s">
        <v>202</v>
      </c>
      <c r="C12" s="103">
        <v>1</v>
      </c>
      <c r="D12" s="103">
        <v>0</v>
      </c>
      <c r="E12" s="102">
        <v>0</v>
      </c>
      <c r="F12" s="102">
        <v>1</v>
      </c>
      <c r="G12"/>
      <c r="H12"/>
    </row>
    <row r="13" spans="1:8" x14ac:dyDescent="0.15">
      <c r="A13">
        <v>12</v>
      </c>
      <c r="B13" s="168" t="s">
        <v>203</v>
      </c>
      <c r="C13" s="103">
        <v>1</v>
      </c>
      <c r="D13" s="103">
        <v>0</v>
      </c>
      <c r="E13" s="102">
        <v>0</v>
      </c>
      <c r="F13" s="102">
        <v>1</v>
      </c>
      <c r="G13"/>
      <c r="H13"/>
    </row>
    <row r="14" spans="1:8" x14ac:dyDescent="0.15">
      <c r="A14">
        <v>13</v>
      </c>
      <c r="B14" s="168" t="s">
        <v>204</v>
      </c>
      <c r="C14" s="103">
        <v>1</v>
      </c>
      <c r="D14" s="103">
        <v>0</v>
      </c>
      <c r="E14" s="102">
        <v>0</v>
      </c>
      <c r="F14" s="102">
        <v>1</v>
      </c>
      <c r="G14"/>
      <c r="H14"/>
    </row>
    <row r="15" spans="1:8" x14ac:dyDescent="0.15">
      <c r="A15">
        <v>14</v>
      </c>
      <c r="B15" s="168" t="s">
        <v>205</v>
      </c>
      <c r="C15" s="103">
        <v>1</v>
      </c>
      <c r="D15" s="103">
        <v>0</v>
      </c>
      <c r="E15" s="102">
        <v>0</v>
      </c>
      <c r="F15" s="102">
        <v>1</v>
      </c>
      <c r="G15"/>
      <c r="H15"/>
    </row>
    <row r="16" spans="1:8" x14ac:dyDescent="0.15">
      <c r="A16">
        <v>15</v>
      </c>
      <c r="B16" s="168" t="s">
        <v>206</v>
      </c>
      <c r="C16" s="103">
        <v>1</v>
      </c>
      <c r="D16" s="103">
        <v>0</v>
      </c>
      <c r="E16" s="102">
        <v>0</v>
      </c>
      <c r="F16" s="102">
        <v>1</v>
      </c>
      <c r="G16"/>
      <c r="H16"/>
    </row>
    <row r="17" spans="1:8" ht="15" customHeight="1" x14ac:dyDescent="0.15">
      <c r="A17">
        <v>16</v>
      </c>
      <c r="B17" s="168" t="s">
        <v>207</v>
      </c>
      <c r="C17" s="103">
        <v>1</v>
      </c>
      <c r="D17" s="103">
        <v>0</v>
      </c>
      <c r="E17" s="102">
        <v>0</v>
      </c>
      <c r="F17" s="102">
        <v>1</v>
      </c>
      <c r="G17"/>
      <c r="H17"/>
    </row>
    <row r="18" spans="1:8" ht="15" customHeight="1" x14ac:dyDescent="0.15">
      <c r="A18">
        <v>17</v>
      </c>
      <c r="B18" s="168" t="s">
        <v>208</v>
      </c>
      <c r="C18" s="103">
        <v>1</v>
      </c>
      <c r="D18" s="103">
        <v>0</v>
      </c>
      <c r="E18" s="102">
        <v>0</v>
      </c>
      <c r="F18" s="102">
        <v>1</v>
      </c>
      <c r="G18"/>
      <c r="H18"/>
    </row>
    <row r="19" spans="1:8" ht="15" customHeight="1" x14ac:dyDescent="0.15">
      <c r="A19">
        <v>18</v>
      </c>
      <c r="B19" s="168" t="s">
        <v>209</v>
      </c>
      <c r="C19" s="103">
        <v>1</v>
      </c>
      <c r="D19" s="103">
        <v>0</v>
      </c>
      <c r="E19" s="102">
        <v>0</v>
      </c>
      <c r="F19" s="102">
        <v>1</v>
      </c>
      <c r="G19"/>
      <c r="H19"/>
    </row>
    <row r="20" spans="1:8" ht="15" customHeight="1" x14ac:dyDescent="0.15">
      <c r="A20">
        <v>19</v>
      </c>
      <c r="B20" s="168" t="s">
        <v>210</v>
      </c>
      <c r="C20" s="103">
        <v>1</v>
      </c>
      <c r="D20" s="103">
        <v>0</v>
      </c>
      <c r="E20" s="102">
        <v>0</v>
      </c>
      <c r="F20" s="102">
        <v>1</v>
      </c>
      <c r="G20"/>
      <c r="H20"/>
    </row>
    <row r="21" spans="1:8" ht="15" customHeight="1" x14ac:dyDescent="0.15">
      <c r="A21">
        <v>20</v>
      </c>
      <c r="B21" s="168" t="s">
        <v>211</v>
      </c>
      <c r="C21" s="103">
        <v>1</v>
      </c>
      <c r="D21" s="103">
        <v>0</v>
      </c>
      <c r="E21" s="102">
        <v>0</v>
      </c>
      <c r="F21" s="102">
        <v>1</v>
      </c>
      <c r="G21"/>
      <c r="H21"/>
    </row>
    <row r="22" spans="1:8" ht="15" customHeight="1" x14ac:dyDescent="0.15">
      <c r="A22">
        <v>21</v>
      </c>
      <c r="B22" s="168" t="s">
        <v>212</v>
      </c>
      <c r="C22" s="103">
        <v>1</v>
      </c>
      <c r="D22" s="103">
        <v>0</v>
      </c>
      <c r="E22" s="102">
        <v>0</v>
      </c>
      <c r="F22" s="102">
        <v>1</v>
      </c>
      <c r="G22"/>
      <c r="H22"/>
    </row>
    <row r="23" spans="1:8" ht="15" customHeight="1" x14ac:dyDescent="0.15">
      <c r="A23">
        <v>22</v>
      </c>
      <c r="B23" s="168" t="s">
        <v>213</v>
      </c>
      <c r="C23" s="103">
        <v>1</v>
      </c>
      <c r="D23" s="103">
        <v>0</v>
      </c>
      <c r="E23" s="102">
        <v>0</v>
      </c>
      <c r="F23" s="102">
        <v>1</v>
      </c>
      <c r="G23"/>
      <c r="H23"/>
    </row>
    <row r="24" spans="1:8" ht="15" customHeight="1" x14ac:dyDescent="0.15">
      <c r="A24">
        <v>23</v>
      </c>
      <c r="B24" s="168" t="s">
        <v>214</v>
      </c>
      <c r="C24" s="103">
        <v>1</v>
      </c>
      <c r="D24" s="103">
        <v>0</v>
      </c>
      <c r="E24" s="102">
        <v>0</v>
      </c>
      <c r="F24" s="102">
        <v>1</v>
      </c>
      <c r="G24"/>
      <c r="H24"/>
    </row>
    <row r="25" spans="1:8" ht="15" customHeight="1" x14ac:dyDescent="0.15">
      <c r="A25">
        <v>24</v>
      </c>
      <c r="B25" s="168" t="s">
        <v>215</v>
      </c>
      <c r="C25" s="103">
        <v>1</v>
      </c>
      <c r="D25" s="103">
        <v>0</v>
      </c>
      <c r="E25" s="102">
        <v>0</v>
      </c>
      <c r="F25" s="102">
        <v>1</v>
      </c>
      <c r="G25"/>
      <c r="H25"/>
    </row>
    <row r="26" spans="1:8" ht="15" customHeight="1" x14ac:dyDescent="0.15">
      <c r="A26">
        <v>25</v>
      </c>
      <c r="B26" s="168" t="s">
        <v>216</v>
      </c>
      <c r="C26" s="103">
        <v>0</v>
      </c>
      <c r="D26" s="103">
        <v>1</v>
      </c>
      <c r="E26" s="102">
        <v>0</v>
      </c>
      <c r="F26" s="102">
        <v>1</v>
      </c>
      <c r="G26"/>
      <c r="H26"/>
    </row>
    <row r="27" spans="1:8" ht="15" customHeight="1" x14ac:dyDescent="0.15">
      <c r="A27">
        <v>26</v>
      </c>
      <c r="B27" s="168" t="s">
        <v>217</v>
      </c>
      <c r="C27" s="103">
        <v>0</v>
      </c>
      <c r="D27" s="103">
        <v>0</v>
      </c>
      <c r="E27" s="102">
        <v>1</v>
      </c>
      <c r="F27" s="102">
        <v>1</v>
      </c>
      <c r="G27"/>
      <c r="H27"/>
    </row>
    <row r="28" spans="1:8" ht="15" customHeight="1" x14ac:dyDescent="0.15">
      <c r="A28">
        <v>27</v>
      </c>
      <c r="B28" s="168" t="s">
        <v>218</v>
      </c>
      <c r="C28" s="103">
        <v>0</v>
      </c>
      <c r="D28" s="103">
        <v>1</v>
      </c>
      <c r="E28" s="102">
        <v>0</v>
      </c>
      <c r="F28" s="102">
        <v>1</v>
      </c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3"/>
      <c r="F36" s="103"/>
      <c r="G36"/>
      <c r="H36"/>
    </row>
    <row r="37" spans="3:8" ht="15" customHeight="1" x14ac:dyDescent="0.15">
      <c r="C37"/>
      <c r="D37"/>
      <c r="E37" s="103"/>
      <c r="F37" s="103"/>
      <c r="G37"/>
      <c r="H37"/>
    </row>
    <row r="38" spans="3:8" ht="15" customHeight="1" x14ac:dyDescent="0.15">
      <c r="C38"/>
      <c r="D38"/>
      <c r="E38" s="103"/>
      <c r="F38" s="103"/>
      <c r="G38"/>
      <c r="H38"/>
    </row>
    <row r="39" spans="3:8" ht="15" customHeight="1" x14ac:dyDescent="0.15">
      <c r="C39"/>
      <c r="D39"/>
      <c r="E39" s="103"/>
      <c r="F39" s="103"/>
      <c r="G39"/>
      <c r="H39"/>
    </row>
    <row r="40" spans="3:8" ht="15" customHeight="1" x14ac:dyDescent="0.15">
      <c r="C40"/>
      <c r="D40"/>
      <c r="E40" s="103"/>
      <c r="F40" s="103"/>
      <c r="G40"/>
      <c r="H40"/>
    </row>
    <row r="41" spans="3:8" ht="15" customHeight="1" x14ac:dyDescent="0.15">
      <c r="C41"/>
      <c r="D41"/>
      <c r="E41" s="103"/>
      <c r="F41" s="103"/>
      <c r="G41"/>
      <c r="H41"/>
    </row>
    <row r="42" spans="3:8" ht="15" customHeight="1" x14ac:dyDescent="0.15">
      <c r="C42"/>
      <c r="D42"/>
      <c r="E42" s="103"/>
      <c r="F42" s="103"/>
      <c r="G42"/>
      <c r="H42"/>
    </row>
    <row r="43" spans="3:8" ht="15" customHeight="1" x14ac:dyDescent="0.15">
      <c r="C43"/>
      <c r="D43"/>
      <c r="E43" s="103"/>
      <c r="F43" s="10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3"/>
      <c r="F46" s="10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" bestFit="1" customWidth="1"/>
    <col min="3" max="4" width="6.83203125" bestFit="1" customWidth="1"/>
    <col min="5" max="5" width="12.1640625" bestFit="1" customWidth="1"/>
  </cols>
  <sheetData>
    <row r="1" spans="1:5" s="104" customFormat="1" ht="112" x14ac:dyDescent="0.15">
      <c r="A1" s="5" t="s">
        <v>21</v>
      </c>
      <c r="B1" s="3" t="s">
        <v>0</v>
      </c>
      <c r="C1" s="171" t="s">
        <v>218</v>
      </c>
      <c r="D1" s="171" t="s">
        <v>222</v>
      </c>
      <c r="E1"/>
    </row>
    <row r="2" spans="1:5" ht="15" customHeight="1" x14ac:dyDescent="0.15">
      <c r="A2">
        <v>1</v>
      </c>
      <c r="B2" s="170" t="s">
        <v>193</v>
      </c>
      <c r="C2">
        <v>6.0000000000000002E-5</v>
      </c>
      <c r="D2">
        <v>6.0000000000000002E-5</v>
      </c>
    </row>
    <row r="3" spans="1:5" ht="15" customHeight="1" x14ac:dyDescent="0.15">
      <c r="A3">
        <v>2</v>
      </c>
      <c r="B3" s="170" t="s">
        <v>194</v>
      </c>
      <c r="C3">
        <v>5.0000000000000001E-4</v>
      </c>
      <c r="D3">
        <v>5.0000000000000001E-4</v>
      </c>
    </row>
    <row r="4" spans="1:5" ht="15" customHeight="1" x14ac:dyDescent="0.15">
      <c r="A4">
        <v>3</v>
      </c>
      <c r="B4" s="170" t="s">
        <v>195</v>
      </c>
      <c r="C4">
        <v>0.37</v>
      </c>
      <c r="D4">
        <v>0.37</v>
      </c>
    </row>
    <row r="5" spans="1:5" ht="15" customHeight="1" x14ac:dyDescent="0.15">
      <c r="A5">
        <v>4</v>
      </c>
      <c r="B5" s="170" t="s">
        <v>196</v>
      </c>
      <c r="C5">
        <v>0</v>
      </c>
      <c r="D5">
        <v>0</v>
      </c>
    </row>
    <row r="6" spans="1:5" ht="15" customHeight="1" x14ac:dyDescent="0.15">
      <c r="A6">
        <v>5</v>
      </c>
      <c r="B6" s="170" t="s">
        <v>197</v>
      </c>
      <c r="C6">
        <v>0.15</v>
      </c>
      <c r="D6">
        <v>0.15</v>
      </c>
    </row>
    <row r="7" spans="1:5" ht="15" customHeight="1" x14ac:dyDescent="0.15">
      <c r="A7">
        <v>6</v>
      </c>
      <c r="B7" s="170" t="s">
        <v>198</v>
      </c>
      <c r="C7">
        <v>0</v>
      </c>
      <c r="D7">
        <v>0</v>
      </c>
    </row>
    <row r="8" spans="1:5" ht="15" customHeight="1" x14ac:dyDescent="0.15">
      <c r="A8">
        <v>7</v>
      </c>
      <c r="B8" s="170" t="s">
        <v>199</v>
      </c>
      <c r="C8">
        <v>0</v>
      </c>
      <c r="D8">
        <v>0</v>
      </c>
    </row>
    <row r="9" spans="1:5" ht="15" customHeight="1" x14ac:dyDescent="0.15">
      <c r="A9">
        <v>8</v>
      </c>
      <c r="B9" s="170" t="s">
        <v>161</v>
      </c>
      <c r="C9">
        <v>0</v>
      </c>
      <c r="D9">
        <v>0</v>
      </c>
    </row>
    <row r="10" spans="1:5" ht="15" customHeight="1" x14ac:dyDescent="0.15">
      <c r="A10">
        <v>9</v>
      </c>
      <c r="B10" s="170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70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0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70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70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70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70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70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0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0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0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0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0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0" t="s">
        <v>213</v>
      </c>
      <c r="C23">
        <v>0.01</v>
      </c>
      <c r="D23">
        <v>0.01</v>
      </c>
    </row>
    <row r="24" spans="1:4" ht="15" customHeight="1" x14ac:dyDescent="0.15">
      <c r="A24">
        <v>23</v>
      </c>
      <c r="B24" s="170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70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0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0" t="s">
        <v>217</v>
      </c>
      <c r="C27">
        <v>0</v>
      </c>
      <c r="D27">
        <v>0</v>
      </c>
    </row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" bestFit="1" customWidth="1"/>
    <col min="3" max="4" width="2.33203125" bestFit="1" customWidth="1"/>
    <col min="5" max="5" width="12.1640625" bestFit="1" customWidth="1"/>
  </cols>
  <sheetData>
    <row r="1" spans="1:4" s="104" customFormat="1" ht="112" x14ac:dyDescent="0.15">
      <c r="A1" s="5" t="s">
        <v>22</v>
      </c>
      <c r="B1" s="3" t="s">
        <v>0</v>
      </c>
      <c r="C1" s="173" t="s">
        <v>218</v>
      </c>
      <c r="D1" s="173" t="s">
        <v>222</v>
      </c>
    </row>
    <row r="2" spans="1:4" x14ac:dyDescent="0.15">
      <c r="A2">
        <v>1</v>
      </c>
      <c r="B2" s="172" t="s">
        <v>193</v>
      </c>
      <c r="C2">
        <v>0</v>
      </c>
      <c r="D2">
        <v>0</v>
      </c>
    </row>
    <row r="3" spans="1:4" x14ac:dyDescent="0.15">
      <c r="A3">
        <v>2</v>
      </c>
      <c r="B3" s="172" t="s">
        <v>194</v>
      </c>
      <c r="C3">
        <v>0</v>
      </c>
      <c r="D3">
        <v>0</v>
      </c>
    </row>
    <row r="4" spans="1:4" x14ac:dyDescent="0.15">
      <c r="A4">
        <v>3</v>
      </c>
      <c r="B4" s="172" t="s">
        <v>195</v>
      </c>
      <c r="C4">
        <v>0</v>
      </c>
      <c r="D4">
        <v>0</v>
      </c>
    </row>
    <row r="5" spans="1:4" x14ac:dyDescent="0.15">
      <c r="A5">
        <v>4</v>
      </c>
      <c r="B5" s="172" t="s">
        <v>196</v>
      </c>
      <c r="C5">
        <v>0</v>
      </c>
      <c r="D5">
        <v>0</v>
      </c>
    </row>
    <row r="6" spans="1:4" x14ac:dyDescent="0.15">
      <c r="A6">
        <v>5</v>
      </c>
      <c r="B6" s="172" t="s">
        <v>197</v>
      </c>
      <c r="C6">
        <v>0</v>
      </c>
      <c r="D6">
        <v>0</v>
      </c>
    </row>
    <row r="7" spans="1:4" x14ac:dyDescent="0.15">
      <c r="A7">
        <v>6</v>
      </c>
      <c r="B7" s="172" t="s">
        <v>198</v>
      </c>
      <c r="C7">
        <v>0</v>
      </c>
      <c r="D7">
        <v>0</v>
      </c>
    </row>
    <row r="8" spans="1:4" x14ac:dyDescent="0.15">
      <c r="A8">
        <v>7</v>
      </c>
      <c r="B8" s="172" t="s">
        <v>199</v>
      </c>
      <c r="C8">
        <v>0</v>
      </c>
      <c r="D8">
        <v>0</v>
      </c>
    </row>
    <row r="9" spans="1:4" x14ac:dyDescent="0.15">
      <c r="A9">
        <v>8</v>
      </c>
      <c r="B9" s="172" t="s">
        <v>161</v>
      </c>
      <c r="C9">
        <v>0</v>
      </c>
      <c r="D9">
        <v>0</v>
      </c>
    </row>
    <row r="10" spans="1:4" x14ac:dyDescent="0.15">
      <c r="A10">
        <v>9</v>
      </c>
      <c r="B10" s="172" t="s">
        <v>200</v>
      </c>
      <c r="C10">
        <v>0</v>
      </c>
      <c r="D10">
        <v>0</v>
      </c>
    </row>
    <row r="11" spans="1:4" x14ac:dyDescent="0.15">
      <c r="A11">
        <v>10</v>
      </c>
      <c r="B11" s="172" t="s">
        <v>201</v>
      </c>
      <c r="C11">
        <v>0</v>
      </c>
      <c r="D11">
        <v>0</v>
      </c>
    </row>
    <row r="12" spans="1:4" x14ac:dyDescent="0.15">
      <c r="A12">
        <v>11</v>
      </c>
      <c r="B12" s="172" t="s">
        <v>202</v>
      </c>
      <c r="C12">
        <v>0</v>
      </c>
      <c r="D12">
        <v>0</v>
      </c>
    </row>
    <row r="13" spans="1:4" x14ac:dyDescent="0.15">
      <c r="A13">
        <v>12</v>
      </c>
      <c r="B13" s="172" t="s">
        <v>203</v>
      </c>
      <c r="C13">
        <v>0</v>
      </c>
      <c r="D13">
        <v>0</v>
      </c>
    </row>
    <row r="14" spans="1:4" x14ac:dyDescent="0.15">
      <c r="A14">
        <v>13</v>
      </c>
      <c r="B14" s="172" t="s">
        <v>204</v>
      </c>
      <c r="C14">
        <v>0</v>
      </c>
      <c r="D14">
        <v>0</v>
      </c>
    </row>
    <row r="15" spans="1:4" x14ac:dyDescent="0.15">
      <c r="A15">
        <v>14</v>
      </c>
      <c r="B15" s="172" t="s">
        <v>205</v>
      </c>
      <c r="C15">
        <v>0</v>
      </c>
      <c r="D15">
        <v>0</v>
      </c>
    </row>
    <row r="16" spans="1:4" x14ac:dyDescent="0.15">
      <c r="A16">
        <v>15</v>
      </c>
      <c r="B16" s="172" t="s">
        <v>206</v>
      </c>
      <c r="C16">
        <v>0</v>
      </c>
      <c r="D16">
        <v>0</v>
      </c>
    </row>
    <row r="17" spans="1:4" x14ac:dyDescent="0.15">
      <c r="A17">
        <v>16</v>
      </c>
      <c r="B17" s="172" t="s">
        <v>207</v>
      </c>
      <c r="C17">
        <v>0</v>
      </c>
      <c r="D17">
        <v>0</v>
      </c>
    </row>
    <row r="18" spans="1:4" x14ac:dyDescent="0.15">
      <c r="A18">
        <v>17</v>
      </c>
      <c r="B18" s="172" t="s">
        <v>208</v>
      </c>
      <c r="C18">
        <v>0</v>
      </c>
      <c r="D18">
        <v>0</v>
      </c>
    </row>
    <row r="19" spans="1:4" x14ac:dyDescent="0.15">
      <c r="A19">
        <v>18</v>
      </c>
      <c r="B19" s="172" t="s">
        <v>209</v>
      </c>
      <c r="C19">
        <v>0</v>
      </c>
      <c r="D19">
        <v>0</v>
      </c>
    </row>
    <row r="20" spans="1:4" x14ac:dyDescent="0.15">
      <c r="A20">
        <v>19</v>
      </c>
      <c r="B20" s="172" t="s">
        <v>210</v>
      </c>
      <c r="C20">
        <v>0</v>
      </c>
      <c r="D20">
        <v>0</v>
      </c>
    </row>
    <row r="21" spans="1:4" x14ac:dyDescent="0.15">
      <c r="A21">
        <v>20</v>
      </c>
      <c r="B21" s="172" t="s">
        <v>211</v>
      </c>
      <c r="C21">
        <v>0</v>
      </c>
      <c r="D21">
        <v>0</v>
      </c>
    </row>
    <row r="22" spans="1:4" x14ac:dyDescent="0.15">
      <c r="A22">
        <v>21</v>
      </c>
      <c r="B22" s="172" t="s">
        <v>212</v>
      </c>
      <c r="C22">
        <v>0</v>
      </c>
      <c r="D22">
        <v>0</v>
      </c>
    </row>
    <row r="23" spans="1:4" x14ac:dyDescent="0.15">
      <c r="A23">
        <v>22</v>
      </c>
      <c r="B23" s="172" t="s">
        <v>213</v>
      </c>
      <c r="C23">
        <v>0</v>
      </c>
      <c r="D23">
        <v>0</v>
      </c>
    </row>
    <row r="24" spans="1:4" x14ac:dyDescent="0.15">
      <c r="A24">
        <v>23</v>
      </c>
      <c r="B24" s="172" t="s">
        <v>214</v>
      </c>
      <c r="C24">
        <v>0</v>
      </c>
      <c r="D24">
        <v>0</v>
      </c>
    </row>
    <row r="25" spans="1:4" x14ac:dyDescent="0.15">
      <c r="A25">
        <v>24</v>
      </c>
      <c r="B25" s="172" t="s">
        <v>215</v>
      </c>
      <c r="C25">
        <v>0</v>
      </c>
      <c r="D25">
        <v>0</v>
      </c>
    </row>
    <row r="26" spans="1:4" x14ac:dyDescent="0.15">
      <c r="A26">
        <v>25</v>
      </c>
      <c r="B26" s="172" t="s">
        <v>216</v>
      </c>
      <c r="C26">
        <v>0</v>
      </c>
      <c r="D26">
        <v>0</v>
      </c>
    </row>
    <row r="27" spans="1:4" x14ac:dyDescent="0.15">
      <c r="A27">
        <v>26</v>
      </c>
      <c r="B27" s="172" t="s">
        <v>217</v>
      </c>
      <c r="C27">
        <v>0</v>
      </c>
      <c r="D2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3" bestFit="1" customWidth="1"/>
    <col min="6" max="6" width="4.83203125" bestFit="1" customWidth="1"/>
    <col min="7" max="9" width="3.83203125" bestFit="1" customWidth="1"/>
    <col min="10" max="11" width="4.83203125" style="10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5" customFormat="1" ht="14" thickBot="1" x14ac:dyDescent="0.2">
      <c r="D1" s="106" t="s">
        <v>8</v>
      </c>
      <c r="E1" s="106" t="s">
        <v>0</v>
      </c>
      <c r="F1" s="107" t="s">
        <v>99</v>
      </c>
      <c r="G1" s="108" t="s">
        <v>84</v>
      </c>
      <c r="H1" s="108" t="s">
        <v>85</v>
      </c>
      <c r="I1" s="108" t="s">
        <v>86</v>
      </c>
      <c r="J1" s="108" t="s">
        <v>87</v>
      </c>
      <c r="K1" s="108" t="s">
        <v>88</v>
      </c>
      <c r="L1" s="109" t="s">
        <v>89</v>
      </c>
      <c r="M1" s="109" t="s">
        <v>93</v>
      </c>
      <c r="N1" s="109" t="s">
        <v>92</v>
      </c>
      <c r="O1" s="109" t="s">
        <v>90</v>
      </c>
      <c r="P1" s="109" t="s">
        <v>91</v>
      </c>
      <c r="Q1" s="110" t="s">
        <v>94</v>
      </c>
      <c r="R1" s="110" t="s">
        <v>95</v>
      </c>
      <c r="S1" s="110" t="s">
        <v>96</v>
      </c>
      <c r="T1" s="110" t="s">
        <v>97</v>
      </c>
      <c r="U1" s="110" t="s">
        <v>98</v>
      </c>
      <c r="V1" s="108" t="s">
        <v>100</v>
      </c>
      <c r="W1" s="108" t="s">
        <v>101</v>
      </c>
      <c r="X1" s="108" t="s">
        <v>102</v>
      </c>
      <c r="Y1" s="108" t="s">
        <v>134</v>
      </c>
      <c r="Z1" s="109" t="s">
        <v>103</v>
      </c>
      <c r="AA1" s="109" t="s">
        <v>104</v>
      </c>
      <c r="AB1" s="109" t="s">
        <v>105</v>
      </c>
      <c r="AC1" s="111" t="s">
        <v>135</v>
      </c>
      <c r="AD1" s="110" t="s">
        <v>106</v>
      </c>
      <c r="AE1" s="110" t="s">
        <v>107</v>
      </c>
      <c r="AF1" s="110" t="s">
        <v>108</v>
      </c>
      <c r="AG1" s="110" t="s">
        <v>136</v>
      </c>
      <c r="AH1" s="108" t="s">
        <v>109</v>
      </c>
      <c r="AI1" s="108" t="s">
        <v>111</v>
      </c>
      <c r="AJ1" s="108" t="s">
        <v>110</v>
      </c>
      <c r="AK1" s="109" t="s">
        <v>115</v>
      </c>
      <c r="AL1" s="109" t="s">
        <v>116</v>
      </c>
      <c r="AM1" s="109" t="s">
        <v>117</v>
      </c>
      <c r="AN1" s="110" t="s">
        <v>112</v>
      </c>
      <c r="AO1" s="110" t="s">
        <v>113</v>
      </c>
      <c r="AP1" s="110" t="s">
        <v>114</v>
      </c>
    </row>
    <row r="2" spans="1:42" x14ac:dyDescent="0.15">
      <c r="A2" s="112" t="s">
        <v>74</v>
      </c>
      <c r="B2" s="113">
        <v>1</v>
      </c>
      <c r="D2">
        <v>1</v>
      </c>
      <c r="E2" s="174" t="s">
        <v>193</v>
      </c>
      <c r="F2">
        <v>0.98</v>
      </c>
      <c r="G2">
        <v>0.8</v>
      </c>
      <c r="H2">
        <v>0.8</v>
      </c>
      <c r="I2">
        <v>0.8</v>
      </c>
      <c r="J2" s="103">
        <v>0.25</v>
      </c>
      <c r="K2" s="103">
        <v>0.05</v>
      </c>
    </row>
    <row r="3" spans="1:42" x14ac:dyDescent="0.15">
      <c r="A3" s="112" t="s">
        <v>75</v>
      </c>
      <c r="B3" s="114">
        <v>1</v>
      </c>
      <c r="D3">
        <v>2</v>
      </c>
      <c r="E3" s="174" t="s">
        <v>194</v>
      </c>
      <c r="F3">
        <v>0.98</v>
      </c>
      <c r="G3">
        <v>0.8</v>
      </c>
      <c r="H3">
        <v>0.8</v>
      </c>
      <c r="I3">
        <v>0.8</v>
      </c>
      <c r="J3" s="103">
        <v>0.25</v>
      </c>
      <c r="K3" s="103">
        <v>0.05</v>
      </c>
    </row>
    <row r="4" spans="1:42" x14ac:dyDescent="0.15">
      <c r="A4" s="112" t="s">
        <v>76</v>
      </c>
      <c r="B4" s="114">
        <v>1</v>
      </c>
      <c r="D4">
        <v>3</v>
      </c>
      <c r="E4" s="174" t="s">
        <v>195</v>
      </c>
      <c r="F4">
        <v>0.98</v>
      </c>
      <c r="G4">
        <v>0.8</v>
      </c>
      <c r="H4">
        <v>0.8</v>
      </c>
      <c r="I4">
        <v>0.8</v>
      </c>
      <c r="J4" s="103">
        <v>0.25</v>
      </c>
      <c r="K4" s="103">
        <v>0.05</v>
      </c>
    </row>
    <row r="5" spans="1:42" x14ac:dyDescent="0.15">
      <c r="A5" s="112" t="s">
        <v>77</v>
      </c>
      <c r="B5" s="114">
        <v>1</v>
      </c>
      <c r="D5">
        <v>4</v>
      </c>
      <c r="E5" s="174" t="s">
        <v>196</v>
      </c>
      <c r="F5">
        <v>0.98</v>
      </c>
      <c r="G5">
        <v>0.8</v>
      </c>
      <c r="H5">
        <v>0.8</v>
      </c>
      <c r="I5">
        <v>0.8</v>
      </c>
      <c r="J5" s="103">
        <v>0.25</v>
      </c>
      <c r="K5" s="103">
        <v>0.05</v>
      </c>
    </row>
    <row r="6" spans="1:42" x14ac:dyDescent="0.15">
      <c r="A6" s="112" t="s">
        <v>78</v>
      </c>
      <c r="B6" s="114">
        <v>1</v>
      </c>
      <c r="D6">
        <v>5</v>
      </c>
      <c r="E6" s="174" t="s">
        <v>197</v>
      </c>
      <c r="F6">
        <v>0.98</v>
      </c>
      <c r="G6">
        <v>0.8</v>
      </c>
      <c r="H6">
        <v>0.8</v>
      </c>
      <c r="I6">
        <v>0.8</v>
      </c>
      <c r="J6" s="103">
        <v>0.25</v>
      </c>
      <c r="K6" s="103">
        <v>0.05</v>
      </c>
    </row>
    <row r="7" spans="1:42" x14ac:dyDescent="0.15">
      <c r="A7" s="112" t="s">
        <v>79</v>
      </c>
      <c r="B7" s="114">
        <v>1</v>
      </c>
      <c r="D7">
        <v>6</v>
      </c>
      <c r="E7" s="174" t="s">
        <v>198</v>
      </c>
      <c r="F7">
        <v>0.98</v>
      </c>
      <c r="G7">
        <v>0.8</v>
      </c>
      <c r="H7">
        <v>0.8</v>
      </c>
      <c r="I7">
        <v>0.8</v>
      </c>
      <c r="J7" s="103">
        <v>0.25</v>
      </c>
      <c r="K7" s="103">
        <v>0.05</v>
      </c>
    </row>
    <row r="8" spans="1:42" x14ac:dyDescent="0.15">
      <c r="A8" s="112" t="s">
        <v>80</v>
      </c>
      <c r="B8" s="114">
        <v>1</v>
      </c>
      <c r="D8">
        <v>7</v>
      </c>
      <c r="E8" s="174" t="s">
        <v>199</v>
      </c>
      <c r="F8">
        <v>0.98</v>
      </c>
      <c r="G8">
        <v>0.8</v>
      </c>
      <c r="H8">
        <v>0.8</v>
      </c>
      <c r="I8">
        <v>0.8</v>
      </c>
      <c r="J8" s="103">
        <v>0.25</v>
      </c>
      <c r="K8" s="103">
        <v>0.05</v>
      </c>
    </row>
    <row r="9" spans="1:42" x14ac:dyDescent="0.15">
      <c r="A9" s="112" t="s">
        <v>81</v>
      </c>
      <c r="B9" s="114">
        <v>0.1</v>
      </c>
      <c r="C9" s="57" t="s">
        <v>150</v>
      </c>
      <c r="D9">
        <v>8</v>
      </c>
      <c r="E9" s="174" t="s">
        <v>161</v>
      </c>
      <c r="F9">
        <v>0.98</v>
      </c>
      <c r="G9">
        <v>0.8</v>
      </c>
      <c r="H9">
        <v>0.8</v>
      </c>
      <c r="I9">
        <v>0.8</v>
      </c>
      <c r="J9" s="103">
        <v>0.25</v>
      </c>
      <c r="K9" s="103">
        <v>0.05</v>
      </c>
    </row>
    <row r="10" spans="1:42" ht="14" thickBot="1" x14ac:dyDescent="0.2">
      <c r="A10" s="112" t="s">
        <v>149</v>
      </c>
      <c r="B10" s="115">
        <f>1/3</f>
        <v>0.33333333333333331</v>
      </c>
      <c r="C10" s="57" t="s">
        <v>150</v>
      </c>
      <c r="D10">
        <v>9</v>
      </c>
      <c r="E10" s="174" t="s">
        <v>200</v>
      </c>
      <c r="F10">
        <v>0.98</v>
      </c>
      <c r="G10">
        <v>0.8</v>
      </c>
      <c r="H10">
        <v>0.8</v>
      </c>
      <c r="I10">
        <v>0.8</v>
      </c>
      <c r="J10" s="103">
        <v>0.25</v>
      </c>
      <c r="K10" s="103">
        <v>0.05</v>
      </c>
    </row>
    <row r="11" spans="1:42" x14ac:dyDescent="0.15">
      <c r="D11">
        <v>10</v>
      </c>
      <c r="E11" s="174" t="s">
        <v>201</v>
      </c>
      <c r="F11">
        <v>0.98</v>
      </c>
      <c r="G11">
        <v>0.8</v>
      </c>
      <c r="H11">
        <v>0.8</v>
      </c>
      <c r="I11">
        <v>0.8</v>
      </c>
      <c r="J11" s="103">
        <v>0.25</v>
      </c>
      <c r="K11" s="103">
        <v>0.05</v>
      </c>
    </row>
    <row r="12" spans="1:42" x14ac:dyDescent="0.15">
      <c r="D12">
        <v>11</v>
      </c>
      <c r="E12" s="174" t="s">
        <v>202</v>
      </c>
      <c r="F12">
        <v>0.98</v>
      </c>
      <c r="G12">
        <v>0.8</v>
      </c>
      <c r="H12">
        <v>0.8</v>
      </c>
      <c r="I12">
        <v>0.8</v>
      </c>
      <c r="J12" s="103">
        <v>0.25</v>
      </c>
      <c r="K12" s="103">
        <v>0.05</v>
      </c>
    </row>
    <row r="13" spans="1:42" x14ac:dyDescent="0.15">
      <c r="D13">
        <v>12</v>
      </c>
      <c r="E13" s="174" t="s">
        <v>203</v>
      </c>
      <c r="F13">
        <v>0.98</v>
      </c>
      <c r="G13">
        <v>0.8</v>
      </c>
      <c r="H13">
        <v>0.8</v>
      </c>
      <c r="I13">
        <v>0.8</v>
      </c>
      <c r="J13" s="103">
        <v>0.25</v>
      </c>
      <c r="K13" s="103">
        <v>0.05</v>
      </c>
    </row>
    <row r="14" spans="1:42" x14ac:dyDescent="0.15">
      <c r="D14">
        <v>13</v>
      </c>
      <c r="E14" s="174" t="s">
        <v>204</v>
      </c>
      <c r="F14">
        <v>0.98</v>
      </c>
      <c r="G14">
        <v>0.8</v>
      </c>
      <c r="H14">
        <v>0.8</v>
      </c>
      <c r="I14">
        <v>0.8</v>
      </c>
      <c r="J14" s="103">
        <v>0.25</v>
      </c>
      <c r="K14" s="103">
        <v>0.05</v>
      </c>
    </row>
    <row r="15" spans="1:42" x14ac:dyDescent="0.15">
      <c r="D15">
        <v>14</v>
      </c>
      <c r="E15" s="174" t="s">
        <v>205</v>
      </c>
      <c r="F15">
        <v>0.98</v>
      </c>
      <c r="G15">
        <v>0.8</v>
      </c>
      <c r="H15">
        <v>0.8</v>
      </c>
      <c r="I15">
        <v>0.8</v>
      </c>
      <c r="J15" s="103">
        <v>0.25</v>
      </c>
      <c r="K15" s="103">
        <v>0.05</v>
      </c>
    </row>
    <row r="16" spans="1:42" x14ac:dyDescent="0.15">
      <c r="D16">
        <v>15</v>
      </c>
      <c r="E16" s="174" t="s">
        <v>206</v>
      </c>
      <c r="F16">
        <v>0.98</v>
      </c>
      <c r="G16">
        <v>0.8</v>
      </c>
      <c r="H16">
        <v>0.8</v>
      </c>
      <c r="I16">
        <v>0.8</v>
      </c>
      <c r="J16" s="103">
        <v>0.25</v>
      </c>
      <c r="K16" s="103">
        <v>0.05</v>
      </c>
    </row>
    <row r="17" spans="4:33" ht="15" customHeight="1" x14ac:dyDescent="0.15">
      <c r="D17">
        <v>16</v>
      </c>
      <c r="E17" s="174" t="s">
        <v>207</v>
      </c>
      <c r="F17">
        <v>0.98</v>
      </c>
      <c r="G17">
        <v>0.8</v>
      </c>
      <c r="H17">
        <v>0.8</v>
      </c>
      <c r="I17">
        <v>0.8</v>
      </c>
      <c r="J17" s="103">
        <v>0.25</v>
      </c>
      <c r="K17" s="103">
        <v>0.05</v>
      </c>
    </row>
    <row r="18" spans="4:33" ht="15" customHeight="1" x14ac:dyDescent="0.15">
      <c r="D18">
        <v>17</v>
      </c>
      <c r="E18" s="174" t="s">
        <v>208</v>
      </c>
      <c r="F18">
        <v>0.98</v>
      </c>
      <c r="G18">
        <v>0.8</v>
      </c>
      <c r="H18">
        <v>0.8</v>
      </c>
      <c r="I18">
        <v>0.8</v>
      </c>
      <c r="J18" s="103">
        <v>0.25</v>
      </c>
      <c r="K18" s="103">
        <v>0.05</v>
      </c>
    </row>
    <row r="19" spans="4:33" ht="15" customHeight="1" x14ac:dyDescent="0.15">
      <c r="D19">
        <v>18</v>
      </c>
      <c r="E19" s="174" t="s">
        <v>209</v>
      </c>
      <c r="F19">
        <v>0.98</v>
      </c>
      <c r="G19">
        <v>0.8</v>
      </c>
      <c r="H19">
        <v>0.8</v>
      </c>
      <c r="I19">
        <v>0.8</v>
      </c>
      <c r="J19" s="103">
        <v>0.25</v>
      </c>
      <c r="K19" s="103">
        <v>0.05</v>
      </c>
    </row>
    <row r="20" spans="4:33" ht="15" customHeight="1" x14ac:dyDescent="0.15">
      <c r="D20">
        <v>19</v>
      </c>
      <c r="E20" s="174" t="s">
        <v>210</v>
      </c>
      <c r="F20">
        <v>0.98</v>
      </c>
      <c r="G20">
        <v>0.8</v>
      </c>
      <c r="H20">
        <v>0.8</v>
      </c>
      <c r="I20">
        <v>0.8</v>
      </c>
      <c r="J20" s="103">
        <v>0.25</v>
      </c>
      <c r="K20" s="103">
        <v>0.05</v>
      </c>
    </row>
    <row r="21" spans="4:33" ht="15" customHeight="1" x14ac:dyDescent="0.15">
      <c r="D21">
        <v>20</v>
      </c>
      <c r="E21" s="174" t="s">
        <v>211</v>
      </c>
      <c r="F21">
        <v>0.98</v>
      </c>
      <c r="G21">
        <v>0.8</v>
      </c>
      <c r="H21">
        <v>0.8</v>
      </c>
      <c r="I21">
        <v>0.8</v>
      </c>
      <c r="J21" s="103">
        <v>0.25</v>
      </c>
      <c r="K21" s="103">
        <v>0.05</v>
      </c>
    </row>
    <row r="22" spans="4:33" ht="15" customHeight="1" x14ac:dyDescent="0.15">
      <c r="D22">
        <v>21</v>
      </c>
      <c r="E22" s="174" t="s">
        <v>212</v>
      </c>
      <c r="F22">
        <v>0.98</v>
      </c>
      <c r="G22">
        <v>0.8</v>
      </c>
      <c r="H22">
        <v>0.8</v>
      </c>
      <c r="I22">
        <v>0.8</v>
      </c>
      <c r="J22" s="103">
        <v>0.25</v>
      </c>
      <c r="K22" s="103">
        <v>0.05</v>
      </c>
    </row>
    <row r="23" spans="4:33" ht="15" customHeight="1" x14ac:dyDescent="0.15">
      <c r="D23">
        <v>22</v>
      </c>
      <c r="E23" s="174" t="s">
        <v>213</v>
      </c>
      <c r="F23">
        <v>0.98</v>
      </c>
      <c r="G23">
        <v>0.8</v>
      </c>
      <c r="H23">
        <v>0.8</v>
      </c>
      <c r="I23">
        <v>0.8</v>
      </c>
      <c r="J23" s="103">
        <v>0.25</v>
      </c>
      <c r="K23" s="103">
        <v>0.05</v>
      </c>
    </row>
    <row r="24" spans="4:33" ht="15" customHeight="1" x14ac:dyDescent="0.15">
      <c r="D24">
        <v>23</v>
      </c>
      <c r="E24" s="174" t="s">
        <v>214</v>
      </c>
      <c r="F24">
        <v>0.98</v>
      </c>
      <c r="G24">
        <v>0.8</v>
      </c>
      <c r="H24">
        <v>0.8</v>
      </c>
      <c r="I24">
        <v>0.8</v>
      </c>
      <c r="J24" s="103">
        <v>0.25</v>
      </c>
      <c r="K24" s="103">
        <v>0.05</v>
      </c>
    </row>
    <row r="25" spans="4:33" ht="15" customHeight="1" x14ac:dyDescent="0.15">
      <c r="D25">
        <v>24</v>
      </c>
      <c r="E25" s="174" t="s">
        <v>215</v>
      </c>
      <c r="F25">
        <v>0.98</v>
      </c>
      <c r="G25">
        <v>0.8</v>
      </c>
      <c r="H25">
        <v>0.8</v>
      </c>
      <c r="I25">
        <v>0</v>
      </c>
      <c r="J25" s="103">
        <v>0</v>
      </c>
      <c r="K25" s="103">
        <v>0</v>
      </c>
    </row>
    <row r="26" spans="4:33" ht="15" customHeight="1" x14ac:dyDescent="0.15">
      <c r="D26">
        <v>25</v>
      </c>
      <c r="E26" s="174" t="s">
        <v>216</v>
      </c>
      <c r="F26">
        <v>0.98</v>
      </c>
      <c r="G26">
        <v>0.8</v>
      </c>
      <c r="H26">
        <v>0</v>
      </c>
      <c r="I26">
        <v>0</v>
      </c>
      <c r="J26" s="103">
        <v>0</v>
      </c>
      <c r="K26" s="103">
        <v>0</v>
      </c>
    </row>
    <row r="27" spans="4:33" ht="15" customHeight="1" x14ac:dyDescent="0.15">
      <c r="D27">
        <v>26</v>
      </c>
      <c r="E27" s="174" t="s">
        <v>217</v>
      </c>
      <c r="F27">
        <v>0.98</v>
      </c>
      <c r="G27">
        <v>0.8</v>
      </c>
      <c r="H27">
        <v>0</v>
      </c>
      <c r="I27">
        <v>0</v>
      </c>
      <c r="J27" s="103">
        <v>0</v>
      </c>
      <c r="K27" s="103">
        <v>0</v>
      </c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3" style="101" bestFit="1" customWidth="1"/>
    <col min="2" max="24" width="3.83203125" style="101" customWidth="1"/>
    <col min="25" max="27" width="2.33203125" style="101" customWidth="1"/>
    <col min="28" max="16384" width="10.83203125" style="101"/>
  </cols>
  <sheetData>
    <row r="1" spans="1:30" x14ac:dyDescent="0.15">
      <c r="A1" s="59" t="s">
        <v>118</v>
      </c>
      <c r="B1" s="176" t="s">
        <v>193</v>
      </c>
      <c r="C1" s="176" t="s">
        <v>194</v>
      </c>
      <c r="D1" s="176" t="s">
        <v>195</v>
      </c>
      <c r="E1" s="176" t="s">
        <v>196</v>
      </c>
      <c r="F1" s="176" t="s">
        <v>197</v>
      </c>
      <c r="G1" s="176" t="s">
        <v>198</v>
      </c>
      <c r="H1" s="176" t="s">
        <v>199</v>
      </c>
      <c r="I1" s="176" t="s">
        <v>161</v>
      </c>
      <c r="J1" s="176" t="s">
        <v>200</v>
      </c>
      <c r="K1" s="176" t="s">
        <v>201</v>
      </c>
      <c r="L1" s="176" t="s">
        <v>202</v>
      </c>
      <c r="M1" s="176" t="s">
        <v>203</v>
      </c>
      <c r="N1" s="176" t="s">
        <v>204</v>
      </c>
      <c r="O1" s="176" t="s">
        <v>205</v>
      </c>
      <c r="P1" s="176" t="s">
        <v>206</v>
      </c>
      <c r="Q1" s="176" t="s">
        <v>207</v>
      </c>
      <c r="R1" s="176" t="s">
        <v>208</v>
      </c>
      <c r="S1" s="176" t="s">
        <v>209</v>
      </c>
      <c r="T1" s="176" t="s">
        <v>210</v>
      </c>
      <c r="U1" s="176" t="s">
        <v>211</v>
      </c>
      <c r="V1" s="176" t="s">
        <v>212</v>
      </c>
      <c r="W1" s="176" t="s">
        <v>213</v>
      </c>
      <c r="X1" s="176" t="s">
        <v>214</v>
      </c>
      <c r="Y1" s="176" t="s">
        <v>215</v>
      </c>
      <c r="Z1" s="176" t="s">
        <v>216</v>
      </c>
      <c r="AA1" s="176" t="s">
        <v>217</v>
      </c>
      <c r="AB1"/>
      <c r="AC1"/>
      <c r="AD1"/>
    </row>
    <row r="2" spans="1:30" customFormat="1" x14ac:dyDescent="0.15">
      <c r="A2" s="175" t="s">
        <v>193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</row>
    <row r="3" spans="1:30" customFormat="1" x14ac:dyDescent="0.15">
      <c r="A3" s="175" t="s">
        <v>194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</row>
    <row r="4" spans="1:30" customFormat="1" x14ac:dyDescent="0.15">
      <c r="A4" s="175" t="s">
        <v>195</v>
      </c>
      <c r="B4" s="101">
        <v>0.8</v>
      </c>
      <c r="C4" s="101">
        <v>0.8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</row>
    <row r="5" spans="1:30" customFormat="1" x14ac:dyDescent="0.15">
      <c r="A5" s="175" t="s">
        <v>196</v>
      </c>
      <c r="B5" s="101">
        <v>0.8</v>
      </c>
      <c r="C5" s="101">
        <v>0.8</v>
      </c>
      <c r="D5" s="101">
        <v>0.8</v>
      </c>
      <c r="E5" s="101">
        <v>0</v>
      </c>
      <c r="F5" s="101">
        <v>0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</row>
    <row r="6" spans="1:30" customFormat="1" x14ac:dyDescent="0.15">
      <c r="A6" s="175" t="s">
        <v>197</v>
      </c>
      <c r="B6" s="101">
        <v>0.8</v>
      </c>
      <c r="C6" s="101">
        <v>0.8</v>
      </c>
      <c r="D6" s="101">
        <v>0.8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</row>
    <row r="7" spans="1:30" customFormat="1" x14ac:dyDescent="0.15">
      <c r="A7" s="175" t="s">
        <v>198</v>
      </c>
      <c r="B7" s="101">
        <v>0.8</v>
      </c>
      <c r="C7" s="101">
        <v>0.8</v>
      </c>
      <c r="D7" s="101">
        <v>0.8</v>
      </c>
      <c r="E7" s="101">
        <v>0.8</v>
      </c>
      <c r="F7" s="101">
        <v>0.8</v>
      </c>
      <c r="G7" s="101">
        <v>0.8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</row>
    <row r="8" spans="1:30" customFormat="1" x14ac:dyDescent="0.15">
      <c r="A8" s="175" t="s">
        <v>199</v>
      </c>
      <c r="B8" s="101">
        <v>0</v>
      </c>
      <c r="C8" s="101">
        <v>0.8</v>
      </c>
      <c r="D8" s="101">
        <v>0.8</v>
      </c>
      <c r="E8" s="101">
        <v>0.8</v>
      </c>
      <c r="F8" s="101">
        <v>0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</row>
    <row r="9" spans="1:30" customFormat="1" x14ac:dyDescent="0.15">
      <c r="A9" s="175" t="s">
        <v>161</v>
      </c>
      <c r="B9" s="101">
        <v>0</v>
      </c>
      <c r="C9" s="101">
        <v>0</v>
      </c>
      <c r="D9" s="101">
        <v>0.8</v>
      </c>
      <c r="E9" s="101">
        <v>0.8</v>
      </c>
      <c r="F9" s="101">
        <v>0.8</v>
      </c>
      <c r="G9" s="101">
        <v>0.8</v>
      </c>
      <c r="H9" s="101">
        <v>0.8</v>
      </c>
      <c r="I9" s="101">
        <v>0.8</v>
      </c>
      <c r="J9" s="101">
        <v>0</v>
      </c>
      <c r="K9" s="101">
        <v>0.8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</row>
    <row r="10" spans="1:30" customFormat="1" x14ac:dyDescent="0.15">
      <c r="A10" s="175" t="s">
        <v>200</v>
      </c>
      <c r="B10" s="101">
        <v>0</v>
      </c>
      <c r="C10" s="101">
        <v>0</v>
      </c>
      <c r="D10" s="101">
        <v>0</v>
      </c>
      <c r="E10" s="101">
        <v>0</v>
      </c>
      <c r="F10" s="101">
        <v>0</v>
      </c>
      <c r="G10" s="101">
        <v>0</v>
      </c>
      <c r="H10" s="101">
        <v>0.8</v>
      </c>
      <c r="I10" s="101">
        <v>0.8</v>
      </c>
      <c r="J10" s="101">
        <v>0.8</v>
      </c>
      <c r="K10" s="101">
        <v>0.8</v>
      </c>
      <c r="L10" s="101">
        <v>0.8</v>
      </c>
      <c r="M10" s="101">
        <v>0.8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</row>
    <row r="11" spans="1:30" customFormat="1" x14ac:dyDescent="0.15">
      <c r="A11" s="175" t="s">
        <v>201</v>
      </c>
      <c r="B11" s="101">
        <v>0</v>
      </c>
      <c r="C11" s="101">
        <v>0</v>
      </c>
      <c r="D11" s="101">
        <v>0</v>
      </c>
      <c r="E11" s="101">
        <v>0</v>
      </c>
      <c r="F11" s="101">
        <v>0</v>
      </c>
      <c r="G11" s="101">
        <v>0</v>
      </c>
      <c r="H11" s="101">
        <v>0</v>
      </c>
      <c r="I11" s="101">
        <v>0</v>
      </c>
      <c r="J11" s="101">
        <v>0</v>
      </c>
      <c r="K11" s="101">
        <v>0.8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</row>
    <row r="12" spans="1:30" customFormat="1" x14ac:dyDescent="0.15">
      <c r="A12" s="175" t="s">
        <v>202</v>
      </c>
      <c r="B12" s="101">
        <v>0</v>
      </c>
      <c r="C12" s="101">
        <v>0</v>
      </c>
      <c r="D12" s="101">
        <v>0</v>
      </c>
      <c r="E12" s="101">
        <v>0</v>
      </c>
      <c r="F12" s="101">
        <v>0</v>
      </c>
      <c r="G12" s="101">
        <v>0</v>
      </c>
      <c r="H12" s="101">
        <v>0</v>
      </c>
      <c r="I12" s="101">
        <v>0</v>
      </c>
      <c r="J12" s="101">
        <v>0</v>
      </c>
      <c r="K12" s="101">
        <v>0.8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</row>
    <row r="13" spans="1:30" customFormat="1" x14ac:dyDescent="0.15">
      <c r="A13" s="175" t="s">
        <v>203</v>
      </c>
      <c r="B13" s="101">
        <v>0</v>
      </c>
      <c r="C13" s="101">
        <v>0</v>
      </c>
      <c r="D13" s="101">
        <v>0.8</v>
      </c>
      <c r="E13" s="101">
        <v>0.8</v>
      </c>
      <c r="F13" s="101">
        <v>0.8</v>
      </c>
      <c r="G13" s="101">
        <v>0.8</v>
      </c>
      <c r="H13" s="101">
        <v>0</v>
      </c>
      <c r="I13" s="101">
        <v>0</v>
      </c>
      <c r="J13" s="101">
        <v>0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</row>
    <row r="14" spans="1:30" customFormat="1" x14ac:dyDescent="0.15">
      <c r="A14" s="175" t="s">
        <v>204</v>
      </c>
      <c r="B14" s="101">
        <v>0</v>
      </c>
      <c r="C14" s="101">
        <v>0</v>
      </c>
      <c r="D14" s="101">
        <v>0.8</v>
      </c>
      <c r="E14" s="101">
        <v>0.8</v>
      </c>
      <c r="F14" s="101">
        <v>0</v>
      </c>
      <c r="G14" s="101">
        <v>0</v>
      </c>
      <c r="H14" s="101">
        <v>0.8</v>
      </c>
      <c r="I14" s="101">
        <v>0</v>
      </c>
      <c r="J14" s="101">
        <v>0</v>
      </c>
      <c r="K14" s="101">
        <v>0.8</v>
      </c>
      <c r="L14" s="101">
        <v>0</v>
      </c>
      <c r="M14" s="101">
        <v>0.8</v>
      </c>
      <c r="N14" s="101">
        <v>0</v>
      </c>
      <c r="O14" s="101">
        <v>0</v>
      </c>
      <c r="P14" s="101">
        <v>0</v>
      </c>
      <c r="Q14" s="101">
        <v>0</v>
      </c>
      <c r="R14" s="101">
        <v>0.8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</row>
    <row r="15" spans="1:30" customFormat="1" x14ac:dyDescent="0.15">
      <c r="A15" s="175" t="s">
        <v>205</v>
      </c>
      <c r="B15" s="101">
        <v>0</v>
      </c>
      <c r="C15" s="101">
        <v>0</v>
      </c>
      <c r="D15" s="101">
        <v>0.8</v>
      </c>
      <c r="E15" s="101">
        <v>0.8</v>
      </c>
      <c r="F15" s="101">
        <v>0.8</v>
      </c>
      <c r="G15" s="101">
        <v>0.8</v>
      </c>
      <c r="H15" s="101">
        <v>0</v>
      </c>
      <c r="I15" s="101">
        <v>0</v>
      </c>
      <c r="J15" s="101">
        <v>0</v>
      </c>
      <c r="K15" s="101">
        <v>0</v>
      </c>
      <c r="L15" s="101">
        <v>0</v>
      </c>
      <c r="M15" s="101">
        <v>0</v>
      </c>
      <c r="N15" s="101">
        <v>0</v>
      </c>
      <c r="O15" s="101">
        <v>0.8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0.8</v>
      </c>
      <c r="X15" s="101">
        <v>0.8</v>
      </c>
      <c r="Y15" s="101">
        <v>0</v>
      </c>
      <c r="Z15" s="101">
        <v>0</v>
      </c>
      <c r="AA15" s="101">
        <v>0</v>
      </c>
    </row>
    <row r="16" spans="1:30" customFormat="1" x14ac:dyDescent="0.15">
      <c r="A16" s="175" t="s">
        <v>206</v>
      </c>
      <c r="B16" s="101">
        <v>0</v>
      </c>
      <c r="C16" s="101">
        <v>0</v>
      </c>
      <c r="D16" s="101">
        <v>0.8</v>
      </c>
      <c r="E16" s="101">
        <v>0.8</v>
      </c>
      <c r="F16" s="101">
        <v>0.8</v>
      </c>
      <c r="G16" s="101">
        <v>0.8</v>
      </c>
      <c r="H16" s="101">
        <v>0</v>
      </c>
      <c r="I16" s="101">
        <v>0</v>
      </c>
      <c r="J16" s="101">
        <v>0</v>
      </c>
      <c r="K16" s="101">
        <v>0</v>
      </c>
      <c r="L16" s="101">
        <v>0</v>
      </c>
      <c r="M16" s="101">
        <v>0</v>
      </c>
      <c r="N16" s="101">
        <v>0</v>
      </c>
      <c r="O16" s="101">
        <v>0.8</v>
      </c>
      <c r="P16" s="101">
        <v>0.8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  <c r="W16" s="101">
        <v>0.8</v>
      </c>
      <c r="X16" s="101">
        <v>0.8</v>
      </c>
      <c r="Y16" s="101">
        <v>0</v>
      </c>
      <c r="Z16" s="101">
        <v>0</v>
      </c>
      <c r="AA16" s="101">
        <v>0</v>
      </c>
    </row>
    <row r="17" spans="1:27" customFormat="1" x14ac:dyDescent="0.15">
      <c r="A17" s="175" t="s">
        <v>207</v>
      </c>
      <c r="B17" s="101">
        <v>0</v>
      </c>
      <c r="C17" s="101">
        <v>0</v>
      </c>
      <c r="D17" s="101">
        <v>0.8</v>
      </c>
      <c r="E17" s="101">
        <v>0.8</v>
      </c>
      <c r="F17" s="101">
        <v>0.8</v>
      </c>
      <c r="G17" s="101">
        <v>0.8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0.8</v>
      </c>
      <c r="N17" s="101">
        <v>0</v>
      </c>
      <c r="O17" s="101">
        <v>0.8</v>
      </c>
      <c r="P17" s="101">
        <v>0.8</v>
      </c>
      <c r="Q17" s="101">
        <v>0</v>
      </c>
      <c r="R17" s="101">
        <v>0.8</v>
      </c>
      <c r="S17" s="101">
        <v>0</v>
      </c>
      <c r="T17" s="101">
        <v>0</v>
      </c>
      <c r="U17" s="101">
        <v>0</v>
      </c>
      <c r="V17" s="101">
        <v>0</v>
      </c>
      <c r="W17" s="101">
        <v>0.8</v>
      </c>
      <c r="X17" s="101">
        <v>0.8</v>
      </c>
      <c r="Y17" s="101">
        <v>0</v>
      </c>
      <c r="Z17" s="101">
        <v>0</v>
      </c>
      <c r="AA17" s="101">
        <v>0</v>
      </c>
    </row>
    <row r="18" spans="1:27" customFormat="1" x14ac:dyDescent="0.15">
      <c r="A18" s="175" t="s">
        <v>208</v>
      </c>
      <c r="B18" s="101">
        <v>0</v>
      </c>
      <c r="C18" s="101">
        <v>0</v>
      </c>
      <c r="D18" s="101">
        <v>0.8</v>
      </c>
      <c r="E18" s="101">
        <v>0.8</v>
      </c>
      <c r="F18" s="101">
        <v>0.8</v>
      </c>
      <c r="G18" s="101">
        <v>0.8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0.8</v>
      </c>
      <c r="N18" s="101">
        <v>0</v>
      </c>
      <c r="O18" s="101">
        <v>0.8</v>
      </c>
      <c r="P18" s="101">
        <v>0.8</v>
      </c>
      <c r="Q18" s="101">
        <v>0</v>
      </c>
      <c r="R18" s="101">
        <v>0.8</v>
      </c>
      <c r="S18" s="101">
        <v>0</v>
      </c>
      <c r="T18" s="101">
        <v>0</v>
      </c>
      <c r="U18" s="101">
        <v>0</v>
      </c>
      <c r="V18" s="101">
        <v>0</v>
      </c>
      <c r="W18" s="101">
        <v>0.8</v>
      </c>
      <c r="X18" s="101">
        <v>0.8</v>
      </c>
      <c r="Y18" s="101">
        <v>0</v>
      </c>
      <c r="Z18" s="101">
        <v>0</v>
      </c>
      <c r="AA18" s="101">
        <v>0</v>
      </c>
    </row>
    <row r="19" spans="1:27" customFormat="1" x14ac:dyDescent="0.15">
      <c r="A19" s="175" t="s">
        <v>209</v>
      </c>
      <c r="B19" s="101">
        <v>0</v>
      </c>
      <c r="C19" s="101">
        <v>0</v>
      </c>
      <c r="D19" s="101">
        <v>0.8</v>
      </c>
      <c r="E19" s="101">
        <v>0.8</v>
      </c>
      <c r="F19" s="101">
        <v>0.8</v>
      </c>
      <c r="G19" s="101">
        <v>0.8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0.8</v>
      </c>
      <c r="N19" s="101">
        <v>0</v>
      </c>
      <c r="O19" s="101">
        <v>0.8</v>
      </c>
      <c r="P19" s="101">
        <v>0.8</v>
      </c>
      <c r="Q19" s="101">
        <v>0</v>
      </c>
      <c r="R19" s="101">
        <v>0</v>
      </c>
      <c r="S19" s="101">
        <v>0.8</v>
      </c>
      <c r="T19" s="101">
        <v>0</v>
      </c>
      <c r="U19" s="101">
        <v>0</v>
      </c>
      <c r="V19" s="101">
        <v>0</v>
      </c>
      <c r="W19" s="101">
        <v>0.8</v>
      </c>
      <c r="X19" s="101">
        <v>0.8</v>
      </c>
      <c r="Y19" s="101">
        <v>0</v>
      </c>
      <c r="Z19" s="101">
        <v>0</v>
      </c>
      <c r="AA19" s="101">
        <v>0</v>
      </c>
    </row>
    <row r="20" spans="1:27" customFormat="1" x14ac:dyDescent="0.15">
      <c r="A20" s="175" t="s">
        <v>210</v>
      </c>
      <c r="B20" s="101">
        <v>0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0.8</v>
      </c>
      <c r="P20" s="101">
        <v>0.8</v>
      </c>
      <c r="Q20" s="101">
        <v>0</v>
      </c>
      <c r="R20" s="101">
        <v>0</v>
      </c>
      <c r="S20" s="101">
        <v>0</v>
      </c>
      <c r="T20" s="101">
        <v>0</v>
      </c>
      <c r="U20" s="101">
        <v>0</v>
      </c>
      <c r="V20" s="101">
        <v>0</v>
      </c>
      <c r="W20" s="101">
        <v>0.8</v>
      </c>
      <c r="X20" s="101">
        <v>0</v>
      </c>
      <c r="Y20" s="101">
        <v>0</v>
      </c>
      <c r="Z20" s="101">
        <v>0</v>
      </c>
      <c r="AA20" s="101">
        <v>0</v>
      </c>
    </row>
    <row r="21" spans="1:27" customFormat="1" x14ac:dyDescent="0.15">
      <c r="A21" s="175" t="s">
        <v>211</v>
      </c>
      <c r="B21" s="101">
        <v>0</v>
      </c>
      <c r="C21" s="101">
        <v>0</v>
      </c>
      <c r="D21" s="101">
        <v>0.8</v>
      </c>
      <c r="E21" s="101">
        <v>0.8</v>
      </c>
      <c r="F21" s="101">
        <v>0.8</v>
      </c>
      <c r="G21" s="101">
        <v>0.8</v>
      </c>
      <c r="H21" s="101">
        <v>0</v>
      </c>
      <c r="I21" s="101">
        <v>0</v>
      </c>
      <c r="J21" s="101">
        <v>0</v>
      </c>
      <c r="K21" s="101">
        <v>0</v>
      </c>
      <c r="L21" s="101">
        <v>0</v>
      </c>
      <c r="M21" s="101">
        <v>0</v>
      </c>
      <c r="N21" s="101">
        <v>0</v>
      </c>
      <c r="O21" s="101">
        <v>0.8</v>
      </c>
      <c r="P21" s="101">
        <v>0.8</v>
      </c>
      <c r="Q21" s="101">
        <v>0</v>
      </c>
      <c r="R21" s="101">
        <v>0.8</v>
      </c>
      <c r="S21" s="101">
        <v>0</v>
      </c>
      <c r="T21" s="101">
        <v>0</v>
      </c>
      <c r="U21" s="101">
        <v>0</v>
      </c>
      <c r="V21" s="101">
        <v>0</v>
      </c>
      <c r="W21" s="101">
        <v>0.8</v>
      </c>
      <c r="X21" s="101">
        <v>0.8</v>
      </c>
      <c r="Y21" s="101">
        <v>0</v>
      </c>
      <c r="Z21" s="101">
        <v>0</v>
      </c>
      <c r="AA21" s="101">
        <v>0</v>
      </c>
    </row>
    <row r="22" spans="1:27" customFormat="1" x14ac:dyDescent="0.15">
      <c r="A22" s="175" t="s">
        <v>212</v>
      </c>
      <c r="B22" s="101">
        <v>0</v>
      </c>
      <c r="C22" s="101">
        <v>0</v>
      </c>
      <c r="D22" s="101">
        <v>0.8</v>
      </c>
      <c r="E22" s="101">
        <v>0.8</v>
      </c>
      <c r="F22" s="101">
        <v>0</v>
      </c>
      <c r="G22" s="101">
        <v>0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0.8</v>
      </c>
      <c r="P22" s="101">
        <v>0.8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  <c r="V22" s="101">
        <v>0</v>
      </c>
      <c r="W22" s="101">
        <v>0.8</v>
      </c>
      <c r="X22" s="101">
        <v>0.8</v>
      </c>
      <c r="Y22" s="101">
        <v>0</v>
      </c>
      <c r="Z22" s="101">
        <v>0</v>
      </c>
      <c r="AA22" s="101">
        <v>0</v>
      </c>
    </row>
    <row r="23" spans="1:27" customFormat="1" x14ac:dyDescent="0.15">
      <c r="A23" s="175" t="s">
        <v>213</v>
      </c>
      <c r="B23" s="101">
        <v>0</v>
      </c>
      <c r="C23" s="101">
        <v>0.8</v>
      </c>
      <c r="D23" s="101">
        <v>0.8</v>
      </c>
      <c r="E23" s="101">
        <v>0</v>
      </c>
      <c r="F23" s="101">
        <v>0.8</v>
      </c>
      <c r="G23" s="101">
        <v>0</v>
      </c>
      <c r="H23" s="101">
        <v>0</v>
      </c>
      <c r="I23" s="101">
        <v>0</v>
      </c>
      <c r="J23" s="101">
        <v>0</v>
      </c>
      <c r="K23" s="101">
        <v>0</v>
      </c>
      <c r="L23" s="101">
        <v>0</v>
      </c>
      <c r="M23" s="101">
        <v>0</v>
      </c>
      <c r="N23" s="101">
        <v>0</v>
      </c>
      <c r="O23" s="101">
        <v>0</v>
      </c>
      <c r="P23" s="101">
        <v>0</v>
      </c>
      <c r="Q23" s="101">
        <v>0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  <c r="W23" s="101">
        <v>0</v>
      </c>
      <c r="X23" s="101">
        <v>0</v>
      </c>
      <c r="Y23" s="101">
        <v>0</v>
      </c>
      <c r="Z23" s="101">
        <v>0</v>
      </c>
      <c r="AA23" s="101">
        <v>0</v>
      </c>
    </row>
    <row r="24" spans="1:27" customFormat="1" x14ac:dyDescent="0.15">
      <c r="A24" s="175" t="s">
        <v>214</v>
      </c>
      <c r="B24" s="101">
        <v>0</v>
      </c>
      <c r="C24" s="101">
        <v>0</v>
      </c>
      <c r="D24" s="101">
        <v>0.8</v>
      </c>
      <c r="E24" s="101">
        <v>0.8</v>
      </c>
      <c r="F24" s="101">
        <v>0.8</v>
      </c>
      <c r="G24" s="101">
        <v>0.8</v>
      </c>
      <c r="H24" s="101">
        <v>0</v>
      </c>
      <c r="I24" s="101">
        <v>0</v>
      </c>
      <c r="J24" s="101">
        <v>0</v>
      </c>
      <c r="K24" s="101">
        <v>0</v>
      </c>
      <c r="L24" s="101">
        <v>0</v>
      </c>
      <c r="M24" s="101">
        <v>0</v>
      </c>
      <c r="N24" s="101">
        <v>0</v>
      </c>
      <c r="O24" s="101">
        <v>0.8</v>
      </c>
      <c r="P24" s="101">
        <v>0</v>
      </c>
      <c r="Q24" s="101">
        <v>0</v>
      </c>
      <c r="R24" s="101">
        <v>0</v>
      </c>
      <c r="S24" s="101">
        <v>0</v>
      </c>
      <c r="T24" s="101">
        <v>0</v>
      </c>
      <c r="U24" s="101">
        <v>0</v>
      </c>
      <c r="V24" s="101">
        <v>0</v>
      </c>
      <c r="W24" s="101">
        <v>0.8</v>
      </c>
      <c r="X24" s="101">
        <v>0.8</v>
      </c>
      <c r="Y24" s="101">
        <v>0</v>
      </c>
      <c r="Z24" s="101">
        <v>0</v>
      </c>
      <c r="AA24" s="101">
        <v>0</v>
      </c>
    </row>
    <row r="25" spans="1:27" customFormat="1" x14ac:dyDescent="0.15">
      <c r="A25" s="175" t="s">
        <v>215</v>
      </c>
      <c r="B25" s="101">
        <v>0</v>
      </c>
      <c r="C25" s="101">
        <v>0</v>
      </c>
      <c r="D25" s="101">
        <v>0</v>
      </c>
      <c r="E25" s="101">
        <v>0</v>
      </c>
      <c r="F25" s="101">
        <v>0</v>
      </c>
      <c r="G25" s="101">
        <v>0</v>
      </c>
      <c r="H25" s="101">
        <v>0</v>
      </c>
      <c r="I25" s="101">
        <v>0.8</v>
      </c>
      <c r="J25" s="101">
        <v>0.8</v>
      </c>
      <c r="K25" s="101">
        <v>0</v>
      </c>
      <c r="L25" s="101">
        <v>0</v>
      </c>
      <c r="M25" s="101">
        <v>0.8</v>
      </c>
      <c r="N25" s="101">
        <v>0.8</v>
      </c>
      <c r="O25" s="101">
        <v>0</v>
      </c>
      <c r="P25" s="101">
        <v>0</v>
      </c>
      <c r="Q25" s="101">
        <v>0.8</v>
      </c>
      <c r="R25" s="101">
        <v>0.8</v>
      </c>
      <c r="S25" s="101">
        <v>0</v>
      </c>
      <c r="T25" s="101">
        <v>0.8</v>
      </c>
      <c r="U25" s="101">
        <v>0</v>
      </c>
      <c r="V25" s="101">
        <v>0</v>
      </c>
      <c r="W25" s="101">
        <v>0</v>
      </c>
      <c r="X25" s="101">
        <v>0</v>
      </c>
      <c r="Y25" s="101">
        <v>0</v>
      </c>
      <c r="Z25" s="101">
        <v>0</v>
      </c>
      <c r="AA25" s="101">
        <v>0</v>
      </c>
    </row>
    <row r="26" spans="1:27" customFormat="1" x14ac:dyDescent="0.15">
      <c r="A26" s="175" t="s">
        <v>216</v>
      </c>
      <c r="B26" s="101">
        <v>0</v>
      </c>
      <c r="C26" s="101">
        <v>0</v>
      </c>
      <c r="D26" s="101">
        <v>0</v>
      </c>
      <c r="E26" s="101">
        <v>0</v>
      </c>
      <c r="F26" s="101">
        <v>0</v>
      </c>
      <c r="G26" s="101">
        <v>0</v>
      </c>
      <c r="H26" s="101">
        <v>0</v>
      </c>
      <c r="I26" s="101">
        <v>0.8</v>
      </c>
      <c r="J26" s="101">
        <v>0.8</v>
      </c>
      <c r="K26" s="101">
        <v>0.8</v>
      </c>
      <c r="L26" s="101">
        <v>0</v>
      </c>
      <c r="M26" s="101">
        <v>0.8</v>
      </c>
      <c r="N26" s="101">
        <v>0.8</v>
      </c>
      <c r="O26" s="101">
        <v>0.8</v>
      </c>
      <c r="P26" s="101">
        <v>0.8</v>
      </c>
      <c r="Q26" s="101">
        <v>0.8</v>
      </c>
      <c r="R26" s="101">
        <v>0.8</v>
      </c>
      <c r="S26" s="101">
        <v>0.8</v>
      </c>
      <c r="T26" s="101">
        <v>0.8</v>
      </c>
      <c r="U26" s="101">
        <v>0.8</v>
      </c>
      <c r="V26" s="101">
        <v>0.8</v>
      </c>
      <c r="W26" s="101">
        <v>0</v>
      </c>
      <c r="X26" s="101">
        <v>0</v>
      </c>
      <c r="Y26" s="101">
        <v>0</v>
      </c>
      <c r="Z26" s="101">
        <v>0</v>
      </c>
      <c r="AA26" s="101">
        <v>0</v>
      </c>
    </row>
    <row r="27" spans="1:27" customFormat="1" x14ac:dyDescent="0.15">
      <c r="A27" s="175" t="s">
        <v>217</v>
      </c>
      <c r="B27" s="101">
        <v>0</v>
      </c>
      <c r="C27" s="101">
        <v>0</v>
      </c>
      <c r="D27" s="101">
        <v>0</v>
      </c>
      <c r="E27" s="101">
        <v>0</v>
      </c>
      <c r="F27" s="101">
        <v>0</v>
      </c>
      <c r="G27" s="101">
        <v>0</v>
      </c>
      <c r="H27" s="101">
        <v>0</v>
      </c>
      <c r="I27" s="101">
        <v>0</v>
      </c>
      <c r="J27" s="101">
        <v>0</v>
      </c>
      <c r="K27" s="101">
        <v>0</v>
      </c>
      <c r="L27" s="101">
        <v>0</v>
      </c>
      <c r="M27" s="101">
        <v>0</v>
      </c>
      <c r="N27" s="101">
        <v>0</v>
      </c>
      <c r="O27" s="101">
        <v>0</v>
      </c>
      <c r="P27" s="101">
        <v>0</v>
      </c>
      <c r="Q27" s="101">
        <v>0</v>
      </c>
      <c r="R27" s="101">
        <v>0</v>
      </c>
      <c r="S27" s="101">
        <v>0</v>
      </c>
      <c r="T27" s="101">
        <v>0</v>
      </c>
      <c r="U27" s="101">
        <v>0</v>
      </c>
      <c r="V27" s="101">
        <v>0</v>
      </c>
      <c r="W27" s="101">
        <v>0</v>
      </c>
      <c r="X27" s="101">
        <v>0</v>
      </c>
      <c r="Y27" s="101">
        <v>0</v>
      </c>
      <c r="Z27" s="101">
        <v>0</v>
      </c>
      <c r="AA27" s="101">
        <v>0</v>
      </c>
    </row>
    <row r="28" spans="1:27" customFormat="1" x14ac:dyDescent="0.15">
      <c r="A28" s="175" t="s">
        <v>219</v>
      </c>
      <c r="B28" s="101">
        <v>0</v>
      </c>
      <c r="C28" s="101">
        <v>0</v>
      </c>
      <c r="D28" s="101">
        <v>0</v>
      </c>
      <c r="E28" s="101">
        <v>0</v>
      </c>
      <c r="F28" s="101">
        <v>0</v>
      </c>
      <c r="G28" s="101">
        <v>0</v>
      </c>
      <c r="H28" s="101">
        <v>0</v>
      </c>
      <c r="I28" s="101">
        <v>0</v>
      </c>
      <c r="J28" s="101">
        <v>0</v>
      </c>
      <c r="K28" s="101">
        <v>0</v>
      </c>
      <c r="L28" s="101">
        <v>0</v>
      </c>
      <c r="M28" s="101">
        <v>0</v>
      </c>
      <c r="N28" s="101">
        <v>0</v>
      </c>
      <c r="O28" s="101">
        <v>0</v>
      </c>
      <c r="P28" s="101">
        <v>0</v>
      </c>
      <c r="Q28" s="101">
        <v>0</v>
      </c>
      <c r="R28" s="101">
        <v>0</v>
      </c>
      <c r="S28" s="101">
        <v>0</v>
      </c>
      <c r="T28" s="101">
        <v>0</v>
      </c>
      <c r="U28" s="101">
        <v>0</v>
      </c>
      <c r="V28" s="101">
        <v>0</v>
      </c>
      <c r="W28" s="101">
        <v>0</v>
      </c>
      <c r="X28" s="101">
        <v>0</v>
      </c>
      <c r="Y28" s="101">
        <v>0</v>
      </c>
      <c r="Z28" s="101">
        <v>0</v>
      </c>
      <c r="AA28" s="101">
        <v>0</v>
      </c>
    </row>
    <row r="29" spans="1:27" customFormat="1" x14ac:dyDescent="0.15"/>
    <row r="30" spans="1:27" customFormat="1" x14ac:dyDescent="0.15"/>
    <row r="31" spans="1:27" customFormat="1" x14ac:dyDescent="0.15"/>
    <row r="32" spans="1:2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3" style="101" bestFit="1" customWidth="1"/>
    <col min="2" max="27" width="2.33203125" style="101" customWidth="1"/>
    <col min="28" max="16384" width="10.83203125" style="101"/>
  </cols>
  <sheetData>
    <row r="1" spans="1:31" x14ac:dyDescent="0.15">
      <c r="A1" s="59" t="s">
        <v>139</v>
      </c>
      <c r="B1" s="178" t="s">
        <v>193</v>
      </c>
      <c r="C1" s="178" t="s">
        <v>194</v>
      </c>
      <c r="D1" s="178" t="s">
        <v>195</v>
      </c>
      <c r="E1" s="178" t="s">
        <v>196</v>
      </c>
      <c r="F1" s="178" t="s">
        <v>197</v>
      </c>
      <c r="G1" s="178" t="s">
        <v>198</v>
      </c>
      <c r="H1" s="178" t="s">
        <v>199</v>
      </c>
      <c r="I1" s="178" t="s">
        <v>161</v>
      </c>
      <c r="J1" s="178" t="s">
        <v>200</v>
      </c>
      <c r="K1" s="178" t="s">
        <v>201</v>
      </c>
      <c r="L1" s="178" t="s">
        <v>202</v>
      </c>
      <c r="M1" s="178" t="s">
        <v>203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/>
      <c r="AC1"/>
      <c r="AD1"/>
      <c r="AE1"/>
    </row>
    <row r="2" spans="1:31" customFormat="1" x14ac:dyDescent="0.15">
      <c r="A2" s="177" t="s">
        <v>193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</row>
    <row r="3" spans="1:31" customFormat="1" x14ac:dyDescent="0.15">
      <c r="A3" s="177" t="s">
        <v>194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</row>
    <row r="4" spans="1:31" customFormat="1" x14ac:dyDescent="0.15">
      <c r="A4" s="177" t="s">
        <v>195</v>
      </c>
      <c r="B4" s="101">
        <v>1</v>
      </c>
      <c r="C4" s="101">
        <v>1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</row>
    <row r="5" spans="1:31" customFormat="1" x14ac:dyDescent="0.15">
      <c r="A5" s="177" t="s">
        <v>196</v>
      </c>
      <c r="B5" s="101">
        <v>1</v>
      </c>
      <c r="C5" s="101">
        <v>1</v>
      </c>
      <c r="D5" s="101">
        <v>1</v>
      </c>
      <c r="E5" s="101">
        <v>0</v>
      </c>
      <c r="F5" s="101">
        <v>0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</row>
    <row r="6" spans="1:31" customFormat="1" x14ac:dyDescent="0.15">
      <c r="A6" s="177" t="s">
        <v>197</v>
      </c>
      <c r="B6" s="101">
        <v>1</v>
      </c>
      <c r="C6" s="101">
        <v>1</v>
      </c>
      <c r="D6" s="101">
        <v>1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</row>
    <row r="7" spans="1:31" customFormat="1" x14ac:dyDescent="0.15">
      <c r="A7" s="177" t="s">
        <v>198</v>
      </c>
      <c r="B7" s="101">
        <v>1</v>
      </c>
      <c r="C7" s="101">
        <v>1</v>
      </c>
      <c r="D7" s="101">
        <v>1</v>
      </c>
      <c r="E7" s="101">
        <v>1</v>
      </c>
      <c r="F7" s="101">
        <v>1</v>
      </c>
      <c r="G7" s="101">
        <v>1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</row>
    <row r="8" spans="1:31" customFormat="1" x14ac:dyDescent="0.15">
      <c r="A8" s="177" t="s">
        <v>199</v>
      </c>
      <c r="B8" s="101">
        <v>0</v>
      </c>
      <c r="C8" s="101">
        <v>1</v>
      </c>
      <c r="D8" s="101">
        <v>1</v>
      </c>
      <c r="E8" s="101">
        <v>1</v>
      </c>
      <c r="F8" s="101">
        <v>0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</row>
    <row r="9" spans="1:31" customFormat="1" x14ac:dyDescent="0.15">
      <c r="A9" s="177" t="s">
        <v>161</v>
      </c>
      <c r="B9" s="101">
        <v>0</v>
      </c>
      <c r="C9" s="101">
        <v>0</v>
      </c>
      <c r="D9" s="101">
        <v>1</v>
      </c>
      <c r="E9" s="101">
        <v>1</v>
      </c>
      <c r="F9" s="101">
        <v>1</v>
      </c>
      <c r="G9" s="101">
        <v>1</v>
      </c>
      <c r="H9" s="101">
        <v>1</v>
      </c>
      <c r="I9" s="101">
        <v>1</v>
      </c>
      <c r="J9" s="101">
        <v>0</v>
      </c>
      <c r="K9" s="101">
        <v>1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</row>
    <row r="10" spans="1:31" customFormat="1" x14ac:dyDescent="0.15">
      <c r="A10" s="177" t="s">
        <v>200</v>
      </c>
      <c r="B10" s="101">
        <v>0</v>
      </c>
      <c r="C10" s="101">
        <v>0</v>
      </c>
      <c r="D10" s="101">
        <v>0</v>
      </c>
      <c r="E10" s="101">
        <v>0</v>
      </c>
      <c r="F10" s="101">
        <v>0</v>
      </c>
      <c r="G10" s="101">
        <v>0</v>
      </c>
      <c r="H10" s="101">
        <v>1</v>
      </c>
      <c r="I10" s="101">
        <v>1</v>
      </c>
      <c r="J10" s="101">
        <v>1</v>
      </c>
      <c r="K10" s="101">
        <v>1</v>
      </c>
      <c r="L10" s="101">
        <v>1</v>
      </c>
      <c r="M10" s="101">
        <v>1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</row>
    <row r="11" spans="1:31" customFormat="1" x14ac:dyDescent="0.15">
      <c r="A11" s="177" t="s">
        <v>201</v>
      </c>
      <c r="B11" s="101">
        <v>0</v>
      </c>
      <c r="C11" s="101">
        <v>0</v>
      </c>
      <c r="D11" s="101">
        <v>0</v>
      </c>
      <c r="E11" s="101">
        <v>0</v>
      </c>
      <c r="F11" s="101">
        <v>0</v>
      </c>
      <c r="G11" s="101">
        <v>0</v>
      </c>
      <c r="H11" s="101">
        <v>0</v>
      </c>
      <c r="I11" s="101">
        <v>0</v>
      </c>
      <c r="J11" s="101">
        <v>0</v>
      </c>
      <c r="K11" s="101">
        <v>1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</row>
    <row r="12" spans="1:31" customFormat="1" x14ac:dyDescent="0.15">
      <c r="A12" s="177" t="s">
        <v>202</v>
      </c>
      <c r="B12" s="101">
        <v>0</v>
      </c>
      <c r="C12" s="101">
        <v>0</v>
      </c>
      <c r="D12" s="101">
        <v>0</v>
      </c>
      <c r="E12" s="101">
        <v>0</v>
      </c>
      <c r="F12" s="101">
        <v>0</v>
      </c>
      <c r="G12" s="101">
        <v>0</v>
      </c>
      <c r="H12" s="101">
        <v>0</v>
      </c>
      <c r="I12" s="101">
        <v>0</v>
      </c>
      <c r="J12" s="101">
        <v>0</v>
      </c>
      <c r="K12" s="101">
        <v>1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</row>
    <row r="13" spans="1:31" customFormat="1" x14ac:dyDescent="0.15">
      <c r="A13" s="177" t="s">
        <v>203</v>
      </c>
      <c r="B13" s="101">
        <v>0</v>
      </c>
      <c r="C13" s="101">
        <v>0</v>
      </c>
      <c r="D13" s="101">
        <v>1</v>
      </c>
      <c r="E13" s="101">
        <v>1</v>
      </c>
      <c r="F13" s="101">
        <v>1</v>
      </c>
      <c r="G13" s="101">
        <v>1</v>
      </c>
      <c r="H13" s="101">
        <v>0</v>
      </c>
      <c r="I13" s="101">
        <v>0</v>
      </c>
      <c r="J13" s="101">
        <v>0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</row>
    <row r="14" spans="1:31" customFormat="1" x14ac:dyDescent="0.15">
      <c r="A14" s="177" t="s">
        <v>204</v>
      </c>
      <c r="B14" s="101">
        <v>0</v>
      </c>
      <c r="C14" s="101">
        <v>0</v>
      </c>
      <c r="D14" s="101">
        <v>1</v>
      </c>
      <c r="E14" s="101">
        <v>1</v>
      </c>
      <c r="F14" s="101">
        <v>0</v>
      </c>
      <c r="G14" s="101">
        <v>0</v>
      </c>
      <c r="H14" s="101">
        <v>1</v>
      </c>
      <c r="I14" s="101">
        <v>0</v>
      </c>
      <c r="J14" s="101">
        <v>0</v>
      </c>
      <c r="K14" s="101">
        <v>1</v>
      </c>
      <c r="L14" s="101">
        <v>0</v>
      </c>
      <c r="M14" s="101">
        <v>1</v>
      </c>
      <c r="N14" s="101">
        <v>0</v>
      </c>
      <c r="O14" s="101">
        <v>0</v>
      </c>
      <c r="P14" s="101">
        <v>0</v>
      </c>
      <c r="Q14" s="101">
        <v>0</v>
      </c>
      <c r="R14" s="101">
        <v>1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</row>
    <row r="15" spans="1:31" customFormat="1" x14ac:dyDescent="0.15">
      <c r="A15" s="177" t="s">
        <v>205</v>
      </c>
      <c r="B15" s="101">
        <v>0</v>
      </c>
      <c r="C15" s="101">
        <v>0</v>
      </c>
      <c r="D15" s="101">
        <v>1</v>
      </c>
      <c r="E15" s="101">
        <v>1</v>
      </c>
      <c r="F15" s="101">
        <v>1</v>
      </c>
      <c r="G15" s="101">
        <v>1</v>
      </c>
      <c r="H15" s="101">
        <v>0</v>
      </c>
      <c r="I15" s="101">
        <v>0</v>
      </c>
      <c r="J15" s="101">
        <v>0</v>
      </c>
      <c r="K15" s="101">
        <v>0</v>
      </c>
      <c r="L15" s="101">
        <v>0</v>
      </c>
      <c r="M15" s="101">
        <v>0</v>
      </c>
      <c r="N15" s="101">
        <v>0</v>
      </c>
      <c r="O15" s="101">
        <v>1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1</v>
      </c>
      <c r="X15" s="101">
        <v>1</v>
      </c>
      <c r="Y15" s="101">
        <v>0</v>
      </c>
      <c r="Z15" s="101">
        <v>0</v>
      </c>
      <c r="AA15" s="101">
        <v>0</v>
      </c>
    </row>
    <row r="16" spans="1:31" customFormat="1" x14ac:dyDescent="0.15">
      <c r="A16" s="177" t="s">
        <v>206</v>
      </c>
      <c r="B16" s="101">
        <v>0</v>
      </c>
      <c r="C16" s="101">
        <v>0</v>
      </c>
      <c r="D16" s="101">
        <v>1</v>
      </c>
      <c r="E16" s="101">
        <v>1</v>
      </c>
      <c r="F16" s="101">
        <v>1</v>
      </c>
      <c r="G16" s="101">
        <v>1</v>
      </c>
      <c r="H16" s="101">
        <v>0</v>
      </c>
      <c r="I16" s="101">
        <v>0</v>
      </c>
      <c r="J16" s="101">
        <v>0</v>
      </c>
      <c r="K16" s="101">
        <v>0</v>
      </c>
      <c r="L16" s="101">
        <v>0</v>
      </c>
      <c r="M16" s="101">
        <v>0</v>
      </c>
      <c r="N16" s="101">
        <v>0</v>
      </c>
      <c r="O16" s="101">
        <v>1</v>
      </c>
      <c r="P16" s="101">
        <v>1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  <c r="W16" s="101">
        <v>1</v>
      </c>
      <c r="X16" s="101">
        <v>1</v>
      </c>
      <c r="Y16" s="101">
        <v>0</v>
      </c>
      <c r="Z16" s="101">
        <v>0</v>
      </c>
      <c r="AA16" s="101">
        <v>0</v>
      </c>
    </row>
    <row r="17" spans="1:27" customFormat="1" x14ac:dyDescent="0.15">
      <c r="A17" s="177" t="s">
        <v>207</v>
      </c>
      <c r="B17" s="101">
        <v>0</v>
      </c>
      <c r="C17" s="101">
        <v>0</v>
      </c>
      <c r="D17" s="101">
        <v>1</v>
      </c>
      <c r="E17" s="101">
        <v>1</v>
      </c>
      <c r="F17" s="101">
        <v>1</v>
      </c>
      <c r="G17" s="101">
        <v>1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1</v>
      </c>
      <c r="N17" s="101">
        <v>0</v>
      </c>
      <c r="O17" s="101">
        <v>1</v>
      </c>
      <c r="P17" s="101">
        <v>1</v>
      </c>
      <c r="Q17" s="101">
        <v>0</v>
      </c>
      <c r="R17" s="101">
        <v>1</v>
      </c>
      <c r="S17" s="101">
        <v>0</v>
      </c>
      <c r="T17" s="101">
        <v>0</v>
      </c>
      <c r="U17" s="101">
        <v>0</v>
      </c>
      <c r="V17" s="101">
        <v>0</v>
      </c>
      <c r="W17" s="101">
        <v>1</v>
      </c>
      <c r="X17" s="101">
        <v>1</v>
      </c>
      <c r="Y17" s="101">
        <v>0</v>
      </c>
      <c r="Z17" s="101">
        <v>0</v>
      </c>
      <c r="AA17" s="101">
        <v>0</v>
      </c>
    </row>
    <row r="18" spans="1:27" customFormat="1" x14ac:dyDescent="0.15">
      <c r="A18" s="177" t="s">
        <v>208</v>
      </c>
      <c r="B18" s="101">
        <v>0</v>
      </c>
      <c r="C18" s="101">
        <v>0</v>
      </c>
      <c r="D18" s="101">
        <v>1</v>
      </c>
      <c r="E18" s="101">
        <v>1</v>
      </c>
      <c r="F18" s="101">
        <v>1</v>
      </c>
      <c r="G18" s="101">
        <v>1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1</v>
      </c>
      <c r="N18" s="101">
        <v>0</v>
      </c>
      <c r="O18" s="101">
        <v>1</v>
      </c>
      <c r="P18" s="101">
        <v>1</v>
      </c>
      <c r="Q18" s="101">
        <v>0</v>
      </c>
      <c r="R18" s="101">
        <v>1</v>
      </c>
      <c r="S18" s="101">
        <v>0</v>
      </c>
      <c r="T18" s="101">
        <v>0</v>
      </c>
      <c r="U18" s="101">
        <v>0</v>
      </c>
      <c r="V18" s="101">
        <v>0</v>
      </c>
      <c r="W18" s="101">
        <v>1</v>
      </c>
      <c r="X18" s="101">
        <v>1</v>
      </c>
      <c r="Y18" s="101">
        <v>0</v>
      </c>
      <c r="Z18" s="101">
        <v>0</v>
      </c>
      <c r="AA18" s="101">
        <v>0</v>
      </c>
    </row>
    <row r="19" spans="1:27" customFormat="1" x14ac:dyDescent="0.15">
      <c r="A19" s="177" t="s">
        <v>209</v>
      </c>
      <c r="B19" s="101">
        <v>0</v>
      </c>
      <c r="C19" s="101">
        <v>0</v>
      </c>
      <c r="D19" s="101">
        <v>1</v>
      </c>
      <c r="E19" s="101">
        <v>1</v>
      </c>
      <c r="F19" s="101">
        <v>1</v>
      </c>
      <c r="G19" s="101">
        <v>1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1</v>
      </c>
      <c r="N19" s="101">
        <v>0</v>
      </c>
      <c r="O19" s="101">
        <v>1</v>
      </c>
      <c r="P19" s="101">
        <v>1</v>
      </c>
      <c r="Q19" s="101">
        <v>0</v>
      </c>
      <c r="R19" s="101">
        <v>0</v>
      </c>
      <c r="S19" s="101">
        <v>1</v>
      </c>
      <c r="T19" s="101">
        <v>0</v>
      </c>
      <c r="U19" s="101">
        <v>0</v>
      </c>
      <c r="V19" s="101">
        <v>0</v>
      </c>
      <c r="W19" s="101">
        <v>1</v>
      </c>
      <c r="X19" s="101">
        <v>1</v>
      </c>
      <c r="Y19" s="101">
        <v>0</v>
      </c>
      <c r="Z19" s="101">
        <v>0</v>
      </c>
      <c r="AA19" s="101">
        <v>0</v>
      </c>
    </row>
    <row r="20" spans="1:27" customFormat="1" x14ac:dyDescent="0.15">
      <c r="A20" s="177" t="s">
        <v>210</v>
      </c>
      <c r="B20" s="101">
        <v>0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1</v>
      </c>
      <c r="P20" s="101">
        <v>1</v>
      </c>
      <c r="Q20" s="101">
        <v>0</v>
      </c>
      <c r="R20" s="101">
        <v>0</v>
      </c>
      <c r="S20" s="101">
        <v>0</v>
      </c>
      <c r="T20" s="101">
        <v>0</v>
      </c>
      <c r="U20" s="101">
        <v>0</v>
      </c>
      <c r="V20" s="101">
        <v>0</v>
      </c>
      <c r="W20" s="101">
        <v>1</v>
      </c>
      <c r="X20" s="101">
        <v>0</v>
      </c>
      <c r="Y20" s="101">
        <v>0</v>
      </c>
      <c r="Z20" s="101">
        <v>0</v>
      </c>
      <c r="AA20" s="101">
        <v>0</v>
      </c>
    </row>
    <row r="21" spans="1:27" customFormat="1" x14ac:dyDescent="0.15">
      <c r="A21" s="177" t="s">
        <v>211</v>
      </c>
      <c r="B21" s="101">
        <v>0</v>
      </c>
      <c r="C21" s="101">
        <v>0</v>
      </c>
      <c r="D21" s="101">
        <v>1</v>
      </c>
      <c r="E21" s="101">
        <v>1</v>
      </c>
      <c r="F21" s="101">
        <v>1</v>
      </c>
      <c r="G21" s="101">
        <v>1</v>
      </c>
      <c r="H21" s="101">
        <v>0</v>
      </c>
      <c r="I21" s="101">
        <v>0</v>
      </c>
      <c r="J21" s="101">
        <v>0</v>
      </c>
      <c r="K21" s="101">
        <v>0</v>
      </c>
      <c r="L21" s="101">
        <v>0</v>
      </c>
      <c r="M21" s="101">
        <v>0</v>
      </c>
      <c r="N21" s="101">
        <v>0</v>
      </c>
      <c r="O21" s="101">
        <v>1</v>
      </c>
      <c r="P21" s="101">
        <v>1</v>
      </c>
      <c r="Q21" s="101">
        <v>0</v>
      </c>
      <c r="R21" s="101">
        <v>1</v>
      </c>
      <c r="S21" s="101">
        <v>0</v>
      </c>
      <c r="T21" s="101">
        <v>0</v>
      </c>
      <c r="U21" s="101">
        <v>0</v>
      </c>
      <c r="V21" s="101">
        <v>0</v>
      </c>
      <c r="W21" s="101">
        <v>1</v>
      </c>
      <c r="X21" s="101">
        <v>1</v>
      </c>
      <c r="Y21" s="101">
        <v>0</v>
      </c>
      <c r="Z21" s="101">
        <v>0</v>
      </c>
      <c r="AA21" s="101">
        <v>0</v>
      </c>
    </row>
    <row r="22" spans="1:27" customFormat="1" x14ac:dyDescent="0.15">
      <c r="A22" s="177" t="s">
        <v>212</v>
      </c>
      <c r="B22" s="101">
        <v>0</v>
      </c>
      <c r="C22" s="101">
        <v>0</v>
      </c>
      <c r="D22" s="101">
        <v>1</v>
      </c>
      <c r="E22" s="101">
        <v>1</v>
      </c>
      <c r="F22" s="101">
        <v>0</v>
      </c>
      <c r="G22" s="101">
        <v>0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1</v>
      </c>
      <c r="P22" s="101">
        <v>1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  <c r="V22" s="101">
        <v>0</v>
      </c>
      <c r="W22" s="101">
        <v>1</v>
      </c>
      <c r="X22" s="101">
        <v>1</v>
      </c>
      <c r="Y22" s="101">
        <v>0</v>
      </c>
      <c r="Z22" s="101">
        <v>0</v>
      </c>
      <c r="AA22" s="101">
        <v>0</v>
      </c>
    </row>
    <row r="23" spans="1:27" customFormat="1" x14ac:dyDescent="0.15">
      <c r="A23" s="177" t="s">
        <v>213</v>
      </c>
      <c r="B23" s="101">
        <v>0</v>
      </c>
      <c r="C23" s="101">
        <v>1</v>
      </c>
      <c r="D23" s="101">
        <v>1</v>
      </c>
      <c r="E23" s="101">
        <v>0</v>
      </c>
      <c r="F23" s="101">
        <v>1</v>
      </c>
      <c r="G23" s="101">
        <v>0</v>
      </c>
      <c r="H23" s="101">
        <v>0</v>
      </c>
      <c r="I23" s="101">
        <v>0</v>
      </c>
      <c r="J23" s="101">
        <v>0</v>
      </c>
      <c r="K23" s="101">
        <v>0</v>
      </c>
      <c r="L23" s="101">
        <v>0</v>
      </c>
      <c r="M23" s="101">
        <v>0</v>
      </c>
      <c r="N23" s="101">
        <v>0</v>
      </c>
      <c r="O23" s="101">
        <v>0</v>
      </c>
      <c r="P23" s="101">
        <v>0</v>
      </c>
      <c r="Q23" s="101">
        <v>0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  <c r="W23" s="101">
        <v>0</v>
      </c>
      <c r="X23" s="101">
        <v>0</v>
      </c>
      <c r="Y23" s="101">
        <v>0</v>
      </c>
      <c r="Z23" s="101">
        <v>0</v>
      </c>
      <c r="AA23" s="101">
        <v>0</v>
      </c>
    </row>
    <row r="24" spans="1:27" customFormat="1" x14ac:dyDescent="0.15">
      <c r="A24" s="177" t="s">
        <v>214</v>
      </c>
      <c r="B24" s="101">
        <v>0</v>
      </c>
      <c r="C24" s="101">
        <v>0</v>
      </c>
      <c r="D24" s="101">
        <v>1</v>
      </c>
      <c r="E24" s="101">
        <v>1</v>
      </c>
      <c r="F24" s="101">
        <v>1</v>
      </c>
      <c r="G24" s="101">
        <v>1</v>
      </c>
      <c r="H24" s="101">
        <v>0</v>
      </c>
      <c r="I24" s="101">
        <v>0</v>
      </c>
      <c r="J24" s="101">
        <v>0</v>
      </c>
      <c r="K24" s="101">
        <v>0</v>
      </c>
      <c r="L24" s="101">
        <v>0</v>
      </c>
      <c r="M24" s="101">
        <v>0</v>
      </c>
      <c r="N24" s="101">
        <v>0</v>
      </c>
      <c r="O24" s="101">
        <v>1</v>
      </c>
      <c r="P24" s="101">
        <v>0</v>
      </c>
      <c r="Q24" s="101">
        <v>0</v>
      </c>
      <c r="R24" s="101">
        <v>0</v>
      </c>
      <c r="S24" s="101">
        <v>0</v>
      </c>
      <c r="T24" s="101">
        <v>0</v>
      </c>
      <c r="U24" s="101">
        <v>0</v>
      </c>
      <c r="V24" s="101">
        <v>0</v>
      </c>
      <c r="W24" s="101">
        <v>1</v>
      </c>
      <c r="X24" s="101">
        <v>1</v>
      </c>
      <c r="Y24" s="101">
        <v>0</v>
      </c>
      <c r="Z24" s="101">
        <v>0</v>
      </c>
      <c r="AA24" s="101">
        <v>0</v>
      </c>
    </row>
    <row r="25" spans="1:27" customFormat="1" x14ac:dyDescent="0.15">
      <c r="A25" s="177" t="s">
        <v>215</v>
      </c>
      <c r="B25" s="101">
        <v>0</v>
      </c>
      <c r="C25" s="101">
        <v>0</v>
      </c>
      <c r="D25" s="101">
        <v>0</v>
      </c>
      <c r="E25" s="101">
        <v>0</v>
      </c>
      <c r="F25" s="101">
        <v>0</v>
      </c>
      <c r="G25" s="101">
        <v>0</v>
      </c>
      <c r="H25" s="101">
        <v>0</v>
      </c>
      <c r="I25" s="101">
        <v>1</v>
      </c>
      <c r="J25" s="101">
        <v>1</v>
      </c>
      <c r="K25" s="101">
        <v>0</v>
      </c>
      <c r="L25" s="101">
        <v>0</v>
      </c>
      <c r="M25" s="101">
        <v>1</v>
      </c>
      <c r="N25" s="101">
        <v>1</v>
      </c>
      <c r="O25" s="101">
        <v>0</v>
      </c>
      <c r="P25" s="101">
        <v>0</v>
      </c>
      <c r="Q25" s="101">
        <v>1</v>
      </c>
      <c r="R25" s="101">
        <v>1</v>
      </c>
      <c r="S25" s="101">
        <v>0</v>
      </c>
      <c r="T25" s="101">
        <v>1</v>
      </c>
      <c r="U25" s="101">
        <v>0</v>
      </c>
      <c r="V25" s="101">
        <v>0</v>
      </c>
      <c r="W25" s="101">
        <v>0</v>
      </c>
      <c r="X25" s="101">
        <v>0</v>
      </c>
      <c r="Y25" s="101">
        <v>0</v>
      </c>
      <c r="Z25" s="101">
        <v>0</v>
      </c>
      <c r="AA25" s="101">
        <v>0</v>
      </c>
    </row>
    <row r="26" spans="1:27" customFormat="1" x14ac:dyDescent="0.15">
      <c r="A26" s="177" t="s">
        <v>216</v>
      </c>
      <c r="B26" s="101">
        <v>0</v>
      </c>
      <c r="C26" s="101">
        <v>0</v>
      </c>
      <c r="D26" s="101">
        <v>0</v>
      </c>
      <c r="E26" s="101">
        <v>0</v>
      </c>
      <c r="F26" s="101">
        <v>0</v>
      </c>
      <c r="G26" s="101">
        <v>0</v>
      </c>
      <c r="H26" s="101">
        <v>0</v>
      </c>
      <c r="I26" s="101">
        <v>1</v>
      </c>
      <c r="J26" s="101">
        <v>1</v>
      </c>
      <c r="K26" s="101">
        <v>1</v>
      </c>
      <c r="L26" s="101">
        <v>0</v>
      </c>
      <c r="M26" s="101">
        <v>1</v>
      </c>
      <c r="N26" s="101">
        <v>1</v>
      </c>
      <c r="O26" s="101">
        <v>1</v>
      </c>
      <c r="P26" s="101">
        <v>1</v>
      </c>
      <c r="Q26" s="101">
        <v>1</v>
      </c>
      <c r="R26" s="101">
        <v>1</v>
      </c>
      <c r="S26" s="101">
        <v>1</v>
      </c>
      <c r="T26" s="101">
        <v>1</v>
      </c>
      <c r="U26" s="101">
        <v>1</v>
      </c>
      <c r="V26" s="101">
        <v>1</v>
      </c>
      <c r="W26" s="101">
        <v>0</v>
      </c>
      <c r="X26" s="101">
        <v>0</v>
      </c>
      <c r="Y26" s="101">
        <v>0</v>
      </c>
      <c r="Z26" s="101">
        <v>0</v>
      </c>
      <c r="AA26" s="101">
        <v>0</v>
      </c>
    </row>
    <row r="27" spans="1:27" customFormat="1" x14ac:dyDescent="0.15">
      <c r="A27" s="177" t="s">
        <v>217</v>
      </c>
      <c r="B27" s="101">
        <v>0</v>
      </c>
      <c r="C27" s="101">
        <v>0</v>
      </c>
      <c r="D27" s="101">
        <v>0</v>
      </c>
      <c r="E27" s="101">
        <v>0</v>
      </c>
      <c r="F27" s="101">
        <v>0</v>
      </c>
      <c r="G27" s="101">
        <v>0</v>
      </c>
      <c r="H27" s="101">
        <v>0</v>
      </c>
      <c r="I27" s="101">
        <v>0</v>
      </c>
      <c r="J27" s="101">
        <v>0</v>
      </c>
      <c r="K27" s="101">
        <v>0</v>
      </c>
      <c r="L27" s="101">
        <v>0</v>
      </c>
      <c r="M27" s="101">
        <v>0</v>
      </c>
      <c r="N27" s="101">
        <v>0</v>
      </c>
      <c r="O27" s="101">
        <v>0</v>
      </c>
      <c r="P27" s="101">
        <v>0</v>
      </c>
      <c r="Q27" s="101">
        <v>0</v>
      </c>
      <c r="R27" s="101">
        <v>0</v>
      </c>
      <c r="S27" s="101">
        <v>0</v>
      </c>
      <c r="T27" s="101">
        <v>0</v>
      </c>
      <c r="U27" s="101">
        <v>0</v>
      </c>
      <c r="V27" s="101">
        <v>0</v>
      </c>
      <c r="W27" s="101">
        <v>0</v>
      </c>
      <c r="X27" s="101">
        <v>0</v>
      </c>
      <c r="Y27" s="101">
        <v>0</v>
      </c>
      <c r="Z27" s="101">
        <v>0</v>
      </c>
      <c r="AA27" s="101">
        <v>0</v>
      </c>
    </row>
    <row r="28" spans="1:27" customFormat="1" x14ac:dyDescent="0.15">
      <c r="A28" s="177" t="s">
        <v>219</v>
      </c>
      <c r="B28" s="101">
        <v>0</v>
      </c>
      <c r="C28" s="101">
        <v>0</v>
      </c>
      <c r="D28" s="101">
        <v>0</v>
      </c>
      <c r="E28" s="101">
        <v>0</v>
      </c>
      <c r="F28" s="101">
        <v>0</v>
      </c>
      <c r="G28" s="101">
        <v>0</v>
      </c>
      <c r="H28" s="101">
        <v>0</v>
      </c>
      <c r="I28" s="101">
        <v>0</v>
      </c>
      <c r="J28" s="101">
        <v>0</v>
      </c>
      <c r="K28" s="101">
        <v>0</v>
      </c>
      <c r="L28" s="101">
        <v>0</v>
      </c>
      <c r="M28" s="101">
        <v>0</v>
      </c>
      <c r="N28" s="101">
        <v>0</v>
      </c>
      <c r="O28" s="101">
        <v>0</v>
      </c>
      <c r="P28" s="101">
        <v>0</v>
      </c>
      <c r="Q28" s="101">
        <v>0</v>
      </c>
      <c r="R28" s="101">
        <v>0</v>
      </c>
      <c r="S28" s="101">
        <v>0</v>
      </c>
      <c r="T28" s="101">
        <v>0</v>
      </c>
      <c r="U28" s="101">
        <v>0</v>
      </c>
      <c r="V28" s="101">
        <v>0</v>
      </c>
      <c r="W28" s="101">
        <v>0</v>
      </c>
      <c r="X28" s="101">
        <v>0</v>
      </c>
      <c r="Y28" s="101">
        <v>0</v>
      </c>
      <c r="Z28" s="101">
        <v>0</v>
      </c>
      <c r="AA28" s="101">
        <v>0</v>
      </c>
    </row>
    <row r="29" spans="1:27" customFormat="1" x14ac:dyDescent="0.15"/>
    <row r="30" spans="1:27" customFormat="1" x14ac:dyDescent="0.15"/>
    <row r="31" spans="1:2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0" t="s">
        <v>218</v>
      </c>
    </row>
    <row r="2" spans="1:3" x14ac:dyDescent="0.15">
      <c r="A2">
        <v>1</v>
      </c>
      <c r="B2" s="179" t="s">
        <v>193</v>
      </c>
      <c r="C2">
        <v>0.8</v>
      </c>
    </row>
    <row r="3" spans="1:3" x14ac:dyDescent="0.15">
      <c r="A3">
        <v>2</v>
      </c>
      <c r="B3" s="179" t="s">
        <v>194</v>
      </c>
      <c r="C3">
        <v>0.8</v>
      </c>
    </row>
    <row r="4" spans="1:3" x14ac:dyDescent="0.15">
      <c r="A4">
        <v>3</v>
      </c>
      <c r="B4" s="179" t="s">
        <v>195</v>
      </c>
      <c r="C4">
        <v>0.8</v>
      </c>
    </row>
    <row r="5" spans="1:3" x14ac:dyDescent="0.15">
      <c r="A5">
        <v>4</v>
      </c>
      <c r="B5" s="179" t="s">
        <v>196</v>
      </c>
      <c r="C5">
        <v>0</v>
      </c>
    </row>
    <row r="6" spans="1:3" x14ac:dyDescent="0.15">
      <c r="A6">
        <v>5</v>
      </c>
      <c r="B6" s="179" t="s">
        <v>197</v>
      </c>
      <c r="C6">
        <v>0.8</v>
      </c>
    </row>
    <row r="7" spans="1:3" x14ac:dyDescent="0.15">
      <c r="A7">
        <v>6</v>
      </c>
      <c r="B7" s="179" t="s">
        <v>198</v>
      </c>
      <c r="C7">
        <v>0</v>
      </c>
    </row>
    <row r="8" spans="1:3" x14ac:dyDescent="0.15">
      <c r="A8">
        <v>7</v>
      </c>
      <c r="B8" s="179" t="s">
        <v>199</v>
      </c>
      <c r="C8">
        <v>0</v>
      </c>
    </row>
    <row r="9" spans="1:3" x14ac:dyDescent="0.15">
      <c r="A9">
        <v>8</v>
      </c>
      <c r="B9" s="179" t="s">
        <v>161</v>
      </c>
      <c r="C9">
        <v>0</v>
      </c>
    </row>
    <row r="10" spans="1:3" x14ac:dyDescent="0.15">
      <c r="A10">
        <v>9</v>
      </c>
      <c r="B10" s="179" t="s">
        <v>200</v>
      </c>
      <c r="C10">
        <v>0</v>
      </c>
    </row>
    <row r="11" spans="1:3" x14ac:dyDescent="0.15">
      <c r="A11">
        <v>10</v>
      </c>
      <c r="B11" s="179" t="s">
        <v>201</v>
      </c>
      <c r="C11">
        <v>0</v>
      </c>
    </row>
    <row r="12" spans="1:3" x14ac:dyDescent="0.15">
      <c r="A12">
        <v>11</v>
      </c>
      <c r="B12" s="179" t="s">
        <v>202</v>
      </c>
      <c r="C12">
        <v>0</v>
      </c>
    </row>
    <row r="13" spans="1:3" x14ac:dyDescent="0.15">
      <c r="A13">
        <v>12</v>
      </c>
      <c r="B13" s="179" t="s">
        <v>203</v>
      </c>
      <c r="C13">
        <v>0</v>
      </c>
    </row>
    <row r="14" spans="1:3" x14ac:dyDescent="0.15">
      <c r="A14">
        <v>13</v>
      </c>
      <c r="B14" s="179" t="s">
        <v>204</v>
      </c>
      <c r="C14">
        <v>0</v>
      </c>
    </row>
    <row r="15" spans="1:3" x14ac:dyDescent="0.15">
      <c r="A15">
        <v>14</v>
      </c>
      <c r="B15" s="179" t="s">
        <v>205</v>
      </c>
      <c r="C15">
        <v>0</v>
      </c>
    </row>
    <row r="16" spans="1:3" x14ac:dyDescent="0.15">
      <c r="A16">
        <v>15</v>
      </c>
      <c r="B16" s="179" t="s">
        <v>206</v>
      </c>
      <c r="C16">
        <v>0</v>
      </c>
    </row>
    <row r="17" spans="1:3" x14ac:dyDescent="0.15">
      <c r="A17">
        <v>16</v>
      </c>
      <c r="B17" s="179" t="s">
        <v>207</v>
      </c>
      <c r="C17">
        <v>0</v>
      </c>
    </row>
    <row r="18" spans="1:3" x14ac:dyDescent="0.15">
      <c r="A18">
        <v>17</v>
      </c>
      <c r="B18" s="179" t="s">
        <v>208</v>
      </c>
      <c r="C18">
        <v>0</v>
      </c>
    </row>
    <row r="19" spans="1:3" x14ac:dyDescent="0.15">
      <c r="A19">
        <v>18</v>
      </c>
      <c r="B19" s="179" t="s">
        <v>209</v>
      </c>
      <c r="C19">
        <v>0</v>
      </c>
    </row>
    <row r="20" spans="1:3" x14ac:dyDescent="0.15">
      <c r="A20">
        <v>19</v>
      </c>
      <c r="B20" s="179" t="s">
        <v>210</v>
      </c>
      <c r="C20">
        <v>0</v>
      </c>
    </row>
    <row r="21" spans="1:3" x14ac:dyDescent="0.15">
      <c r="A21">
        <v>20</v>
      </c>
      <c r="B21" s="179" t="s">
        <v>211</v>
      </c>
      <c r="C21">
        <v>0</v>
      </c>
    </row>
    <row r="22" spans="1:3" x14ac:dyDescent="0.15">
      <c r="A22">
        <v>21</v>
      </c>
      <c r="B22" s="179" t="s">
        <v>212</v>
      </c>
      <c r="C22">
        <v>0</v>
      </c>
    </row>
    <row r="23" spans="1:3" x14ac:dyDescent="0.15">
      <c r="A23">
        <v>22</v>
      </c>
      <c r="B23" s="179" t="s">
        <v>213</v>
      </c>
      <c r="C23">
        <v>0.8</v>
      </c>
    </row>
    <row r="24" spans="1:3" x14ac:dyDescent="0.15">
      <c r="A24">
        <v>23</v>
      </c>
      <c r="B24" s="179" t="s">
        <v>214</v>
      </c>
      <c r="C24">
        <v>0</v>
      </c>
    </row>
    <row r="25" spans="1:3" x14ac:dyDescent="0.15">
      <c r="A25">
        <v>24</v>
      </c>
      <c r="B25" s="179" t="s">
        <v>215</v>
      </c>
      <c r="C25">
        <v>0</v>
      </c>
    </row>
    <row r="26" spans="1:3" x14ac:dyDescent="0.15">
      <c r="A26">
        <v>25</v>
      </c>
      <c r="B26" s="179" t="s">
        <v>216</v>
      </c>
      <c r="C26">
        <v>0</v>
      </c>
    </row>
    <row r="27" spans="1:3" x14ac:dyDescent="0.15">
      <c r="A27">
        <v>26</v>
      </c>
      <c r="B27" s="179" t="s">
        <v>217</v>
      </c>
      <c r="C2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2" t="s">
        <v>218</v>
      </c>
    </row>
    <row r="2" spans="1:3" x14ac:dyDescent="0.15">
      <c r="A2">
        <v>1</v>
      </c>
      <c r="B2" s="181" t="s">
        <v>193</v>
      </c>
      <c r="C2">
        <v>0.8</v>
      </c>
    </row>
    <row r="3" spans="1:3" x14ac:dyDescent="0.15">
      <c r="A3">
        <v>2</v>
      </c>
      <c r="B3" s="181" t="s">
        <v>194</v>
      </c>
      <c r="C3">
        <v>0.8</v>
      </c>
    </row>
    <row r="4" spans="1:3" x14ac:dyDescent="0.15">
      <c r="A4">
        <v>3</v>
      </c>
      <c r="B4" s="181" t="s">
        <v>195</v>
      </c>
      <c r="C4">
        <v>0.8</v>
      </c>
    </row>
    <row r="5" spans="1:3" x14ac:dyDescent="0.15">
      <c r="A5">
        <v>4</v>
      </c>
      <c r="B5" s="181" t="s">
        <v>196</v>
      </c>
      <c r="C5">
        <v>0</v>
      </c>
    </row>
    <row r="6" spans="1:3" x14ac:dyDescent="0.15">
      <c r="A6">
        <v>5</v>
      </c>
      <c r="B6" s="181" t="s">
        <v>197</v>
      </c>
      <c r="C6">
        <v>0.8</v>
      </c>
    </row>
    <row r="7" spans="1:3" x14ac:dyDescent="0.15">
      <c r="A7">
        <v>6</v>
      </c>
      <c r="B7" s="181" t="s">
        <v>198</v>
      </c>
      <c r="C7">
        <v>0</v>
      </c>
    </row>
    <row r="8" spans="1:3" x14ac:dyDescent="0.15">
      <c r="A8">
        <v>7</v>
      </c>
      <c r="B8" s="181" t="s">
        <v>199</v>
      </c>
      <c r="C8">
        <v>0</v>
      </c>
    </row>
    <row r="9" spans="1:3" x14ac:dyDescent="0.15">
      <c r="A9">
        <v>8</v>
      </c>
      <c r="B9" s="181" t="s">
        <v>161</v>
      </c>
      <c r="C9">
        <v>0</v>
      </c>
    </row>
    <row r="10" spans="1:3" x14ac:dyDescent="0.15">
      <c r="A10">
        <v>9</v>
      </c>
      <c r="B10" s="181" t="s">
        <v>200</v>
      </c>
      <c r="C10">
        <v>0</v>
      </c>
    </row>
    <row r="11" spans="1:3" x14ac:dyDescent="0.15">
      <c r="A11">
        <v>10</v>
      </c>
      <c r="B11" s="181" t="s">
        <v>201</v>
      </c>
      <c r="C11">
        <v>0</v>
      </c>
    </row>
    <row r="12" spans="1:3" x14ac:dyDescent="0.15">
      <c r="A12">
        <v>11</v>
      </c>
      <c r="B12" s="181" t="s">
        <v>202</v>
      </c>
      <c r="C12">
        <v>0</v>
      </c>
    </row>
    <row r="13" spans="1:3" x14ac:dyDescent="0.15">
      <c r="A13">
        <v>12</v>
      </c>
      <c r="B13" s="181" t="s">
        <v>203</v>
      </c>
      <c r="C13">
        <v>0</v>
      </c>
    </row>
    <row r="14" spans="1:3" x14ac:dyDescent="0.15">
      <c r="A14">
        <v>13</v>
      </c>
      <c r="B14" s="181" t="s">
        <v>204</v>
      </c>
      <c r="C14">
        <v>0</v>
      </c>
    </row>
    <row r="15" spans="1:3" x14ac:dyDescent="0.15">
      <c r="A15">
        <v>14</v>
      </c>
      <c r="B15" s="181" t="s">
        <v>205</v>
      </c>
      <c r="C15">
        <v>0</v>
      </c>
    </row>
    <row r="16" spans="1:3" x14ac:dyDescent="0.15">
      <c r="A16">
        <v>15</v>
      </c>
      <c r="B16" s="181" t="s">
        <v>206</v>
      </c>
      <c r="C16">
        <v>0</v>
      </c>
    </row>
    <row r="17" spans="1:3" x14ac:dyDescent="0.15">
      <c r="A17">
        <v>16</v>
      </c>
      <c r="B17" s="181" t="s">
        <v>207</v>
      </c>
      <c r="C17">
        <v>0</v>
      </c>
    </row>
    <row r="18" spans="1:3" x14ac:dyDescent="0.15">
      <c r="A18">
        <v>17</v>
      </c>
      <c r="B18" s="181" t="s">
        <v>208</v>
      </c>
      <c r="C18">
        <v>0</v>
      </c>
    </row>
    <row r="19" spans="1:3" x14ac:dyDescent="0.15">
      <c r="A19">
        <v>18</v>
      </c>
      <c r="B19" s="181" t="s">
        <v>209</v>
      </c>
      <c r="C19">
        <v>0</v>
      </c>
    </row>
    <row r="20" spans="1:3" x14ac:dyDescent="0.15">
      <c r="A20">
        <v>19</v>
      </c>
      <c r="B20" s="181" t="s">
        <v>210</v>
      </c>
      <c r="C20">
        <v>0</v>
      </c>
    </row>
    <row r="21" spans="1:3" x14ac:dyDescent="0.15">
      <c r="A21">
        <v>20</v>
      </c>
      <c r="B21" s="181" t="s">
        <v>211</v>
      </c>
      <c r="C21">
        <v>0</v>
      </c>
    </row>
    <row r="22" spans="1:3" x14ac:dyDescent="0.15">
      <c r="A22">
        <v>21</v>
      </c>
      <c r="B22" s="181" t="s">
        <v>212</v>
      </c>
      <c r="C22">
        <v>0</v>
      </c>
    </row>
    <row r="23" spans="1:3" x14ac:dyDescent="0.15">
      <c r="A23">
        <v>22</v>
      </c>
      <c r="B23" s="181" t="s">
        <v>213</v>
      </c>
      <c r="C23">
        <v>0.8</v>
      </c>
    </row>
    <row r="24" spans="1:3" x14ac:dyDescent="0.15">
      <c r="A24">
        <v>23</v>
      </c>
      <c r="B24" s="181" t="s">
        <v>214</v>
      </c>
      <c r="C24">
        <v>0</v>
      </c>
    </row>
    <row r="25" spans="1:3" x14ac:dyDescent="0.15">
      <c r="A25">
        <v>24</v>
      </c>
      <c r="B25" s="181" t="s">
        <v>215</v>
      </c>
      <c r="C25">
        <v>0</v>
      </c>
    </row>
    <row r="26" spans="1:3" x14ac:dyDescent="0.15">
      <c r="A26">
        <v>25</v>
      </c>
      <c r="B26" s="181" t="s">
        <v>216</v>
      </c>
      <c r="C26">
        <v>0</v>
      </c>
    </row>
    <row r="27" spans="1:3" x14ac:dyDescent="0.15">
      <c r="A27">
        <v>26</v>
      </c>
      <c r="B27" s="181" t="s">
        <v>217</v>
      </c>
      <c r="C2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137">
        <v>1</v>
      </c>
      <c r="B2" s="137" t="s">
        <v>193</v>
      </c>
      <c r="C2" s="8">
        <v>4.3498544692993164</v>
      </c>
      <c r="D2" s="9">
        <v>8.9999998454004526E-4</v>
      </c>
      <c r="E2" s="9">
        <v>0.125</v>
      </c>
      <c r="F2" s="9">
        <v>37.099998474121094</v>
      </c>
      <c r="G2" s="9">
        <v>0.53333330154418945</v>
      </c>
      <c r="H2" s="9">
        <v>3.3692724537104368E-3</v>
      </c>
      <c r="I2">
        <v>5.999999848427251E-5</v>
      </c>
      <c r="J2"/>
    </row>
    <row r="3" spans="1:10" ht="15" customHeight="1" x14ac:dyDescent="0.15">
      <c r="A3" s="138">
        <v>2</v>
      </c>
      <c r="B3" s="138" t="s">
        <v>194</v>
      </c>
      <c r="C3" s="8">
        <v>4.1804718971252441</v>
      </c>
      <c r="D3" s="9">
        <v>9.9999997764825821E-3</v>
      </c>
      <c r="E3" s="9">
        <v>0.10199999809265137</v>
      </c>
      <c r="F3" s="9">
        <v>35.299999237060547</v>
      </c>
      <c r="G3" s="9">
        <v>0.4901961088180542</v>
      </c>
      <c r="H3" s="9">
        <v>2.8895183932036161E-3</v>
      </c>
      <c r="I3">
        <v>5.0000002374872565E-4</v>
      </c>
      <c r="J3"/>
    </row>
    <row r="4" spans="1:10" ht="15" customHeight="1" x14ac:dyDescent="0.15">
      <c r="A4" s="139">
        <v>3</v>
      </c>
      <c r="B4" s="139" t="s">
        <v>195</v>
      </c>
      <c r="C4" s="8">
        <v>3.3682041168212891</v>
      </c>
      <c r="D4" s="9">
        <v>1.809999942779541</v>
      </c>
      <c r="E4" s="9">
        <v>0.41999998688697815</v>
      </c>
      <c r="F4" s="9">
        <v>3</v>
      </c>
      <c r="G4" s="9">
        <v>0.65790808200836182</v>
      </c>
      <c r="H4" s="9">
        <v>0.14000000059604645</v>
      </c>
      <c r="I4">
        <v>0.37000000476837158</v>
      </c>
      <c r="J4"/>
    </row>
    <row r="5" spans="1:10" ht="15" customHeight="1" x14ac:dyDescent="0.15">
      <c r="A5" s="140">
        <v>4</v>
      </c>
      <c r="B5" s="140" t="s">
        <v>196</v>
      </c>
      <c r="C5" s="8">
        <v>3.4061987400054932</v>
      </c>
      <c r="D5" s="9">
        <v>0.14000000059604645</v>
      </c>
      <c r="E5" s="9">
        <v>1.7000000476837158</v>
      </c>
      <c r="F5" s="9">
        <v>6</v>
      </c>
      <c r="G5" s="9">
        <v>0.34403732419013977</v>
      </c>
      <c r="H5" s="9">
        <v>0.28333333134651184</v>
      </c>
      <c r="I5">
        <v>0</v>
      </c>
      <c r="J5"/>
    </row>
    <row r="6" spans="1:10" ht="15" customHeight="1" x14ac:dyDescent="0.15">
      <c r="A6" s="141">
        <v>5</v>
      </c>
      <c r="B6" s="141" t="s">
        <v>197</v>
      </c>
      <c r="C6" s="8">
        <v>3.1111516952514648</v>
      </c>
      <c r="D6" s="9">
        <v>0.77999997138977051</v>
      </c>
      <c r="E6" s="9">
        <v>0.5</v>
      </c>
      <c r="F6" s="9">
        <v>3</v>
      </c>
      <c r="G6" s="9">
        <v>0.55355238914489746</v>
      </c>
      <c r="H6" s="9">
        <v>0.1666666716337204</v>
      </c>
      <c r="I6">
        <v>0.15000000596046448</v>
      </c>
      <c r="J6"/>
    </row>
    <row r="7" spans="1:10" ht="15" customHeight="1" x14ac:dyDescent="0.15">
      <c r="A7" s="142">
        <v>6</v>
      </c>
      <c r="B7" s="142" t="s">
        <v>198</v>
      </c>
      <c r="C7" s="8">
        <v>3.1642873287200928</v>
      </c>
      <c r="D7" s="9">
        <v>0.52499997615814209</v>
      </c>
      <c r="E7" s="9">
        <v>1.7000000476837158</v>
      </c>
      <c r="F7" s="9">
        <v>6.6999998092651367</v>
      </c>
      <c r="G7" s="9">
        <v>0.92986077070236206</v>
      </c>
      <c r="H7" s="9">
        <v>0.253731369972229</v>
      </c>
      <c r="I7">
        <v>0</v>
      </c>
      <c r="J7"/>
    </row>
    <row r="8" spans="1:10" ht="15" customHeight="1" x14ac:dyDescent="0.15">
      <c r="A8" s="143">
        <v>7</v>
      </c>
      <c r="B8" s="143" t="s">
        <v>199</v>
      </c>
      <c r="C8" s="8">
        <v>3.0742213726043701</v>
      </c>
      <c r="D8" s="9">
        <v>0.2199999988079071</v>
      </c>
      <c r="E8" s="9">
        <v>1</v>
      </c>
      <c r="F8" s="9">
        <v>6</v>
      </c>
      <c r="G8" s="9">
        <v>0.55897426605224609</v>
      </c>
      <c r="H8" s="9">
        <v>0.1666666716337204</v>
      </c>
      <c r="I8">
        <v>0</v>
      </c>
      <c r="J8"/>
    </row>
    <row r="9" spans="1:10" ht="15" customHeight="1" x14ac:dyDescent="0.15">
      <c r="A9" s="144">
        <v>8</v>
      </c>
      <c r="B9" s="144" t="s">
        <v>161</v>
      </c>
      <c r="C9" s="8">
        <v>2.106337308883667</v>
      </c>
      <c r="D9" s="9">
        <v>4.2170000076293945</v>
      </c>
      <c r="E9" s="9">
        <v>2.5</v>
      </c>
      <c r="F9" s="9">
        <v>16.700000762939453</v>
      </c>
      <c r="G9" s="9">
        <v>0.91070050001144409</v>
      </c>
      <c r="H9" s="9">
        <v>0.1497005969285965</v>
      </c>
      <c r="I9">
        <v>0</v>
      </c>
      <c r="J9"/>
    </row>
    <row r="10" spans="1:10" ht="15" customHeight="1" x14ac:dyDescent="0.15">
      <c r="A10" s="145">
        <v>9</v>
      </c>
      <c r="B10" s="145" t="s">
        <v>200</v>
      </c>
      <c r="C10" s="8">
        <v>2.0526316165924072</v>
      </c>
      <c r="D10" s="9">
        <v>20</v>
      </c>
      <c r="E10" s="9">
        <v>6.5</v>
      </c>
      <c r="F10" s="9">
        <v>26</v>
      </c>
      <c r="G10" s="9">
        <v>0.35614693164825439</v>
      </c>
      <c r="H10" s="9">
        <v>0.25</v>
      </c>
      <c r="I10">
        <v>0</v>
      </c>
      <c r="J10"/>
    </row>
    <row r="11" spans="1:10" ht="15" customHeight="1" x14ac:dyDescent="0.15">
      <c r="A11" s="146">
        <v>10</v>
      </c>
      <c r="B11" s="146" t="s">
        <v>201</v>
      </c>
      <c r="C11" s="8">
        <v>3.095923900604248</v>
      </c>
      <c r="D11" s="9">
        <v>0.72000002861022949</v>
      </c>
      <c r="E11" s="9">
        <v>6.5</v>
      </c>
      <c r="F11" s="9">
        <v>17.329999923706055</v>
      </c>
      <c r="G11" s="9">
        <v>0.13330769538879395</v>
      </c>
      <c r="H11" s="9">
        <v>0.37507212162017822</v>
      </c>
      <c r="I11">
        <v>0</v>
      </c>
      <c r="J11"/>
    </row>
    <row r="12" spans="1:10" ht="15" customHeight="1" x14ac:dyDescent="0.15">
      <c r="A12" s="147">
        <v>11</v>
      </c>
      <c r="B12" s="147" t="s">
        <v>202</v>
      </c>
      <c r="C12" s="8">
        <v>3.0526316165924072</v>
      </c>
      <c r="D12" s="9">
        <v>0.20000000298023224</v>
      </c>
      <c r="E12" s="9">
        <v>3.7999999523162842</v>
      </c>
      <c r="F12" s="9">
        <v>19</v>
      </c>
      <c r="G12" s="9">
        <v>0.49253687262535095</v>
      </c>
      <c r="H12" s="9">
        <v>0.20000000298023224</v>
      </c>
      <c r="I12">
        <v>0</v>
      </c>
      <c r="J12"/>
    </row>
    <row r="13" spans="1:10" ht="15" customHeight="1" x14ac:dyDescent="0.15">
      <c r="A13" s="148">
        <v>12</v>
      </c>
      <c r="B13" s="148" t="s">
        <v>203</v>
      </c>
      <c r="C13" s="8">
        <v>2.5888650417327881</v>
      </c>
      <c r="D13" s="9">
        <v>0.17800000309944153</v>
      </c>
      <c r="E13" s="9">
        <v>2</v>
      </c>
      <c r="F13" s="9">
        <v>13.300000190734863</v>
      </c>
      <c r="G13" s="9">
        <v>0.91679340600967407</v>
      </c>
      <c r="H13" s="9">
        <v>0.15037593245506287</v>
      </c>
      <c r="I13">
        <v>0</v>
      </c>
      <c r="J13"/>
    </row>
    <row r="14" spans="1:10" ht="15" customHeight="1" x14ac:dyDescent="0.15">
      <c r="A14" s="149">
        <v>13</v>
      </c>
      <c r="B14" s="149" t="s">
        <v>204</v>
      </c>
      <c r="C14" s="8">
        <v>2</v>
      </c>
      <c r="D14" s="9">
        <v>0.68999999761581421</v>
      </c>
      <c r="E14" s="9">
        <v>2</v>
      </c>
      <c r="F14" s="9">
        <v>13.300000190734863</v>
      </c>
      <c r="G14" s="9">
        <v>0.90281426906585693</v>
      </c>
      <c r="H14" s="9">
        <v>0.15037593245506287</v>
      </c>
      <c r="I14">
        <v>0</v>
      </c>
      <c r="J14"/>
    </row>
    <row r="15" spans="1:10" ht="15" customHeight="1" x14ac:dyDescent="0.15">
      <c r="A15" s="150">
        <v>14</v>
      </c>
      <c r="B15" s="150" t="s">
        <v>205</v>
      </c>
      <c r="C15" s="8">
        <v>2.9385113716125488</v>
      </c>
      <c r="D15" s="9">
        <v>0.43200001120567322</v>
      </c>
      <c r="E15" s="9">
        <v>0.5</v>
      </c>
      <c r="F15" s="9">
        <v>3.3299999237060547</v>
      </c>
      <c r="G15" s="9">
        <v>0.92298877239227295</v>
      </c>
      <c r="H15" s="9">
        <v>0.15015015006065369</v>
      </c>
      <c r="I15">
        <v>0</v>
      </c>
      <c r="J15"/>
    </row>
    <row r="16" spans="1:10" ht="15" customHeight="1" x14ac:dyDescent="0.15">
      <c r="A16" s="151">
        <v>15</v>
      </c>
      <c r="B16" s="151" t="s">
        <v>206</v>
      </c>
      <c r="C16" s="8">
        <v>2.8936631679534912</v>
      </c>
      <c r="D16" s="9">
        <v>1.6579999923706055</v>
      </c>
      <c r="E16" s="9">
        <v>0.5</v>
      </c>
      <c r="F16" s="9">
        <v>3.3299999237060547</v>
      </c>
      <c r="G16" s="9">
        <v>0.91072762012481689</v>
      </c>
      <c r="H16" s="9">
        <v>0.15015015006065369</v>
      </c>
      <c r="I16">
        <v>0</v>
      </c>
      <c r="J16"/>
    </row>
    <row r="17" spans="1:10" ht="15" customHeight="1" x14ac:dyDescent="0.15">
      <c r="A17" s="152">
        <v>16</v>
      </c>
      <c r="B17" s="152" t="s">
        <v>207</v>
      </c>
      <c r="C17" s="8">
        <v>2</v>
      </c>
      <c r="D17" s="9">
        <v>43</v>
      </c>
      <c r="E17" s="9">
        <v>0.74000000953674316</v>
      </c>
      <c r="F17" s="9">
        <v>4.929999828338623</v>
      </c>
      <c r="G17" s="9">
        <v>0.24759981036186218</v>
      </c>
      <c r="H17" s="9">
        <v>0.1501014232635498</v>
      </c>
      <c r="I17">
        <v>0</v>
      </c>
      <c r="J17"/>
    </row>
    <row r="18" spans="1:10" ht="15" customHeight="1" x14ac:dyDescent="0.15">
      <c r="A18" s="153">
        <v>17</v>
      </c>
      <c r="B18" s="153" t="s">
        <v>208</v>
      </c>
      <c r="C18" s="8">
        <v>2.123711109161377</v>
      </c>
      <c r="D18" s="9">
        <v>4</v>
      </c>
      <c r="E18" s="9">
        <v>0.5</v>
      </c>
      <c r="F18" s="9">
        <v>3.3299999237060547</v>
      </c>
      <c r="G18" s="9">
        <v>0.64014440774917603</v>
      </c>
      <c r="H18" s="9">
        <v>0.15015015006065369</v>
      </c>
      <c r="I18">
        <v>0</v>
      </c>
      <c r="J18"/>
    </row>
    <row r="19" spans="1:10" ht="15" customHeight="1" x14ac:dyDescent="0.15">
      <c r="A19" s="154">
        <v>18</v>
      </c>
      <c r="B19" s="154" t="s">
        <v>209</v>
      </c>
      <c r="C19" s="8">
        <v>2.0752689838409424</v>
      </c>
      <c r="D19" s="9">
        <v>26</v>
      </c>
      <c r="E19" s="9">
        <v>0.34999999403953552</v>
      </c>
      <c r="F19" s="9">
        <v>2.3299999237060547</v>
      </c>
      <c r="G19" s="9">
        <v>0.91874480247497559</v>
      </c>
      <c r="H19" s="9">
        <v>0.15021459758281708</v>
      </c>
      <c r="I19">
        <v>0</v>
      </c>
      <c r="J19"/>
    </row>
    <row r="20" spans="1:10" ht="15" customHeight="1" x14ac:dyDescent="0.15">
      <c r="A20" s="155">
        <v>19</v>
      </c>
      <c r="B20" s="155" t="s">
        <v>210</v>
      </c>
      <c r="C20" s="8">
        <v>2</v>
      </c>
      <c r="D20" s="9">
        <v>62.900001525878906</v>
      </c>
      <c r="E20" s="9">
        <v>0.18999999761581421</v>
      </c>
      <c r="F20" s="9">
        <v>2.1099998950958252</v>
      </c>
      <c r="G20" s="9">
        <v>0.3504980206489563</v>
      </c>
      <c r="H20" s="9">
        <v>9.0047396719455719E-2</v>
      </c>
      <c r="I20">
        <v>0</v>
      </c>
      <c r="J20"/>
    </row>
    <row r="21" spans="1:10" ht="15" customHeight="1" x14ac:dyDescent="0.15">
      <c r="A21" s="156">
        <v>20</v>
      </c>
      <c r="B21" s="156" t="s">
        <v>211</v>
      </c>
      <c r="C21" s="8">
        <v>2</v>
      </c>
      <c r="D21" s="9">
        <v>41</v>
      </c>
      <c r="E21" s="9">
        <v>0.20000000298023224</v>
      </c>
      <c r="F21" s="9">
        <v>2.2200000286102295</v>
      </c>
      <c r="G21" s="9">
        <v>0.79243236780166626</v>
      </c>
      <c r="H21" s="9">
        <v>9.0090088546276093E-2</v>
      </c>
      <c r="I21">
        <v>0</v>
      </c>
      <c r="J21"/>
    </row>
    <row r="22" spans="1:10" ht="15" customHeight="1" x14ac:dyDescent="0.15">
      <c r="A22" s="157">
        <v>21</v>
      </c>
      <c r="B22" s="157" t="s">
        <v>212</v>
      </c>
      <c r="C22" s="8">
        <v>2</v>
      </c>
      <c r="D22" s="9">
        <v>2</v>
      </c>
      <c r="E22" s="9">
        <v>0.5</v>
      </c>
      <c r="F22" s="9">
        <v>3.3299999237060547</v>
      </c>
      <c r="G22" s="9">
        <v>0.46672579646110535</v>
      </c>
      <c r="H22" s="9">
        <v>0.15015015006065369</v>
      </c>
      <c r="I22">
        <v>0</v>
      </c>
      <c r="J22"/>
    </row>
    <row r="23" spans="1:10" ht="15" customHeight="1" x14ac:dyDescent="0.15">
      <c r="A23" s="158">
        <v>22</v>
      </c>
      <c r="B23" s="158" t="s">
        <v>213</v>
      </c>
      <c r="C23" s="8">
        <v>3.0288949012756348</v>
      </c>
      <c r="D23" s="9">
        <v>2.7999999523162842</v>
      </c>
      <c r="E23" s="9">
        <v>0.20000000298023224</v>
      </c>
      <c r="F23" s="9">
        <v>3</v>
      </c>
      <c r="G23" s="9">
        <v>0.52153599262237549</v>
      </c>
      <c r="H23" s="9">
        <v>6.6666670143604279E-2</v>
      </c>
      <c r="I23">
        <v>9.9999997764825821E-3</v>
      </c>
      <c r="J23"/>
    </row>
    <row r="24" spans="1:10" ht="15" customHeight="1" x14ac:dyDescent="0.15">
      <c r="A24" s="159">
        <v>23</v>
      </c>
      <c r="B24" s="159" t="s">
        <v>214</v>
      </c>
      <c r="C24" s="8">
        <v>3.0437297821044922</v>
      </c>
      <c r="D24" s="9">
        <v>1.2000000476837158</v>
      </c>
      <c r="E24" s="9">
        <v>1</v>
      </c>
      <c r="F24" s="9">
        <v>5</v>
      </c>
      <c r="G24" s="9">
        <v>0.46963405609130859</v>
      </c>
      <c r="H24" s="9">
        <v>0.20000000298023224</v>
      </c>
      <c r="I24">
        <v>0</v>
      </c>
      <c r="J24"/>
    </row>
    <row r="25" spans="1:10" ht="15" customHeight="1" x14ac:dyDescent="0.15">
      <c r="A25" s="160">
        <v>24</v>
      </c>
      <c r="B25" s="160" t="s">
        <v>215</v>
      </c>
      <c r="C25" s="8">
        <v>1</v>
      </c>
      <c r="D25" s="9">
        <v>20</v>
      </c>
      <c r="E25" s="9">
        <v>60</v>
      </c>
      <c r="F25" s="10"/>
      <c r="G25" s="9">
        <v>0.45742493867874146</v>
      </c>
      <c r="H25" s="10"/>
      <c r="I25">
        <v>0</v>
      </c>
      <c r="J25"/>
    </row>
    <row r="26" spans="1:10" ht="15" customHeight="1" x14ac:dyDescent="0.15">
      <c r="A26" s="161">
        <v>25</v>
      </c>
      <c r="B26" s="161" t="s">
        <v>216</v>
      </c>
      <c r="C26" s="8">
        <v>1</v>
      </c>
      <c r="D26" s="9">
        <v>50</v>
      </c>
      <c r="E26" s="10"/>
      <c r="F26" s="10"/>
      <c r="G26" s="7">
        <v>0.52464896440505981</v>
      </c>
      <c r="H26" s="10"/>
      <c r="I26">
        <v>0</v>
      </c>
      <c r="J26"/>
    </row>
    <row r="27" spans="1:10" ht="15" customHeight="1" x14ac:dyDescent="0.15">
      <c r="A27" s="162">
        <v>26</v>
      </c>
      <c r="B27" s="162" t="s">
        <v>217</v>
      </c>
      <c r="C27" s="8">
        <v>1</v>
      </c>
      <c r="D27" s="9">
        <v>5</v>
      </c>
      <c r="E27" s="10"/>
      <c r="F27" s="10"/>
      <c r="G27" s="7">
        <v>0</v>
      </c>
      <c r="H27" s="10"/>
      <c r="I27">
        <v>0</v>
      </c>
      <c r="J27"/>
    </row>
    <row r="28" spans="1:10" ht="15" customHeight="1" x14ac:dyDescent="0.15">
      <c r="A28" s="163">
        <v>27</v>
      </c>
      <c r="B28" s="163" t="s">
        <v>218</v>
      </c>
      <c r="C28" s="8">
        <v>4.290010929107666</v>
      </c>
      <c r="D28" s="10"/>
      <c r="E28" s="10"/>
      <c r="F28" s="10"/>
      <c r="G28" s="10"/>
      <c r="H28" s="10"/>
      <c r="I28">
        <v>0.53056001663208008</v>
      </c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223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161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0.125</v>
      </c>
      <c r="C2">
        <v>5.8333337306976318E-2</v>
      </c>
      <c r="D2" s="191">
        <v>6.6666662693023682E-2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0.10199999809265137</v>
      </c>
      <c r="C3">
        <v>5.1999997347593307E-2</v>
      </c>
      <c r="D3" s="192">
        <v>5.0000004470348358E-2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0.41999998688697815</v>
      </c>
      <c r="C4">
        <v>0.14367860555648804</v>
      </c>
      <c r="D4" s="193">
        <v>0.20441989600658417</v>
      </c>
      <c r="E4" s="20">
        <v>7.9324310645461082E-3</v>
      </c>
      <c r="F4" s="214">
        <v>6.3969060778617859E-2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1.7000000476837158</v>
      </c>
      <c r="C5">
        <v>1.1151366233825684</v>
      </c>
      <c r="D5"/>
      <c r="E5" s="61">
        <v>0.10016998648643494</v>
      </c>
      <c r="F5" s="25">
        <v>8.0685719847679138E-2</v>
      </c>
      <c r="G5" s="203">
        <v>0.40400773286819458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0.5</v>
      </c>
      <c r="C6">
        <v>0.22322380542755127</v>
      </c>
      <c r="D6" s="194">
        <v>0.19230771064758301</v>
      </c>
      <c r="E6" s="22">
        <v>2.99653853289783E-3</v>
      </c>
      <c r="F6" s="204">
        <v>7.4220515787601471E-2</v>
      </c>
      <c r="G6" s="16">
        <v>7.2514219209551811E-3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1.7000000476837158</v>
      </c>
      <c r="C7">
        <v>0.11923669278621674</v>
      </c>
      <c r="D7"/>
      <c r="E7" s="12">
        <v>5.0880000926554203E-3</v>
      </c>
      <c r="F7" s="198">
        <v>6.589333713054657E-2</v>
      </c>
      <c r="G7" s="228">
        <v>1.2820513248443604</v>
      </c>
      <c r="H7" s="195">
        <v>0.14065937697887421</v>
      </c>
      <c r="I7" s="21">
        <v>1.3371430337429047E-2</v>
      </c>
      <c r="J7" s="19">
        <v>7.3699995875358582E-2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</v>
      </c>
      <c r="C8">
        <v>0.44102573394775391</v>
      </c>
      <c r="D8"/>
      <c r="E8"/>
      <c r="F8" s="64">
        <v>5.1345456391572952E-2</v>
      </c>
      <c r="G8" s="200">
        <v>0.20629370212554932</v>
      </c>
      <c r="H8" s="207">
        <v>0.30133509635925293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161</v>
      </c>
      <c r="B9">
        <v>2.5</v>
      </c>
      <c r="C9">
        <v>0.22324874997138977</v>
      </c>
      <c r="D9"/>
      <c r="E9"/>
      <c r="F9"/>
      <c r="G9" s="232">
        <v>0.65587794780731201</v>
      </c>
      <c r="H9" s="24">
        <v>8.8154681026935577E-2</v>
      </c>
      <c r="I9" s="211">
        <v>0.3296087384223938</v>
      </c>
      <c r="J9" s="213">
        <v>0.50547897815704346</v>
      </c>
      <c r="K9" s="62">
        <v>0.15650935471057892</v>
      </c>
      <c r="L9" s="226">
        <v>0.33399999141693115</v>
      </c>
      <c r="M9"/>
      <c r="N9" s="195">
        <v>0.20712165534496307</v>
      </c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6.5</v>
      </c>
      <c r="C10">
        <v>4.1850447654724121</v>
      </c>
      <c r="D10"/>
      <c r="E10"/>
      <c r="F10"/>
      <c r="G10"/>
      <c r="H10"/>
      <c r="I10"/>
      <c r="J10"/>
      <c r="K10" s="12">
        <v>2.6399999856948853E-2</v>
      </c>
      <c r="L10" s="19">
        <v>0.28169560432434082</v>
      </c>
      <c r="M10" s="225">
        <v>1.2999999523162842</v>
      </c>
      <c r="N10" s="23">
        <v>0.49910402297973633</v>
      </c>
      <c r="O10" s="134">
        <v>0.18999999761581421</v>
      </c>
      <c r="P10" s="13">
        <v>1.7755500972270966E-2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6.5</v>
      </c>
      <c r="C11">
        <v>5.6335000991821289</v>
      </c>
      <c r="D11"/>
      <c r="E11"/>
      <c r="F11"/>
      <c r="G11"/>
      <c r="H11"/>
      <c r="I11"/>
      <c r="J11"/>
      <c r="K11"/>
      <c r="L11"/>
      <c r="M11"/>
      <c r="N11" s="226">
        <v>0.86650002002716064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3.7999999523162842</v>
      </c>
      <c r="C12">
        <v>1.9283598661422729</v>
      </c>
      <c r="D12"/>
      <c r="E12"/>
      <c r="F12"/>
      <c r="G12"/>
      <c r="H12"/>
      <c r="I12"/>
      <c r="J12"/>
      <c r="K12"/>
      <c r="L12"/>
      <c r="M12"/>
      <c r="N12" s="224">
        <v>1.8716400861740112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</v>
      </c>
      <c r="C13">
        <v>0.16641318798065186</v>
      </c>
      <c r="D13"/>
      <c r="E13"/>
      <c r="F13"/>
      <c r="G13" s="220">
        <v>0.82617312669754028</v>
      </c>
      <c r="H13" s="72">
        <v>0.28286325931549072</v>
      </c>
      <c r="I13" s="22">
        <v>1.3146068900823593E-2</v>
      </c>
      <c r="J13" s="217">
        <v>0.71140438318252563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2</v>
      </c>
      <c r="C14">
        <v>0.19437146186828613</v>
      </c>
      <c r="D14"/>
      <c r="E14"/>
      <c r="F14"/>
      <c r="G14" s="199">
        <v>6.5578073263168335E-2</v>
      </c>
      <c r="H14" s="134">
        <v>5.9592600911855698E-2</v>
      </c>
      <c r="I14"/>
      <c r="J14"/>
      <c r="K14" s="218">
        <v>0.19130434095859528</v>
      </c>
      <c r="L14"/>
      <c r="M14"/>
      <c r="N14" s="216">
        <v>0.18083478510379791</v>
      </c>
      <c r="O14"/>
      <c r="P14" s="222">
        <v>0.34310147166252136</v>
      </c>
      <c r="Q14"/>
      <c r="R14"/>
      <c r="S14"/>
      <c r="T14"/>
      <c r="U14" s="227">
        <v>0.96521741151809692</v>
      </c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0.5</v>
      </c>
      <c r="C15">
        <v>3.8505613803863525E-2</v>
      </c>
      <c r="D15"/>
      <c r="E15"/>
      <c r="F15"/>
      <c r="G15" s="208">
        <v>0.23567117750644684</v>
      </c>
      <c r="H15" s="196">
        <v>4.8562560230493546E-2</v>
      </c>
      <c r="I15" s="19">
        <v>2.1666670218110085E-2</v>
      </c>
      <c r="J15" s="131">
        <v>6.5138883888721466E-2</v>
      </c>
      <c r="K15"/>
      <c r="L15"/>
      <c r="M15"/>
      <c r="N15"/>
      <c r="O15"/>
      <c r="P15"/>
      <c r="Q15"/>
      <c r="R15" s="20">
        <v>9.9800191819667816E-3</v>
      </c>
      <c r="S15"/>
      <c r="T15"/>
      <c r="U15"/>
      <c r="V15"/>
      <c r="W15"/>
      <c r="X15"/>
      <c r="Y15"/>
      <c r="Z15" s="69">
        <v>3.8850042968988419E-2</v>
      </c>
      <c r="AA15" s="195">
        <v>4.1625041514635086E-2</v>
      </c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</v>
      </c>
      <c r="C16">
        <v>4.4636189937591553E-2</v>
      </c>
      <c r="D16"/>
      <c r="E16"/>
      <c r="F16"/>
      <c r="G16" s="221">
        <v>0.11598774790763855</v>
      </c>
      <c r="H16" s="198">
        <v>1.9232882186770439E-2</v>
      </c>
      <c r="I16" s="13">
        <v>1.4113391516730189E-3</v>
      </c>
      <c r="J16" s="211">
        <v>6.5767481923103333E-2</v>
      </c>
      <c r="K16"/>
      <c r="L16"/>
      <c r="M16"/>
      <c r="N16"/>
      <c r="O16"/>
      <c r="P16"/>
      <c r="Q16"/>
      <c r="R16" s="60">
        <v>1.1268151924014091E-2</v>
      </c>
      <c r="S16" s="223">
        <v>0.16650000214576721</v>
      </c>
      <c r="T16"/>
      <c r="U16"/>
      <c r="V16"/>
      <c r="W16"/>
      <c r="X16"/>
      <c r="Y16"/>
      <c r="Z16" s="66">
        <v>3.5428985953330994E-2</v>
      </c>
      <c r="AA16" s="206">
        <v>3.9767231792211533E-2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0.74000000953674316</v>
      </c>
      <c r="C17">
        <v>0.55677616596221924</v>
      </c>
      <c r="D17"/>
      <c r="E17"/>
      <c r="F17"/>
      <c r="G17" s="22">
        <v>4.4722715392708778E-3</v>
      </c>
      <c r="H17" s="11">
        <v>7.0255337050184608E-4</v>
      </c>
      <c r="I17" s="12">
        <v>3.0474420636892319E-3</v>
      </c>
      <c r="J17" s="14">
        <v>7.9348254948854446E-3</v>
      </c>
      <c r="K17"/>
      <c r="L17"/>
      <c r="M17"/>
      <c r="N17"/>
      <c r="O17"/>
      <c r="P17" s="15">
        <v>1.1011162772774696E-2</v>
      </c>
      <c r="Q17"/>
      <c r="R17" s="15">
        <v>1.1530403979122639E-2</v>
      </c>
      <c r="S17" s="210">
        <v>3.8519583642482758E-2</v>
      </c>
      <c r="T17"/>
      <c r="U17" s="17">
        <v>9.2930225655436516E-3</v>
      </c>
      <c r="V17"/>
      <c r="W17"/>
      <c r="X17"/>
      <c r="Y17"/>
      <c r="Z17" s="62">
        <v>4.6251419931650162E-2</v>
      </c>
      <c r="AA17" s="231">
        <v>5.0461169332265854E-2</v>
      </c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</v>
      </c>
      <c r="C18">
        <v>0.17992779612541199</v>
      </c>
      <c r="D18"/>
      <c r="E18"/>
      <c r="F18"/>
      <c r="G18" s="210">
        <v>2.686651423573494E-2</v>
      </c>
      <c r="H18" s="198">
        <v>1.951049268245697E-2</v>
      </c>
      <c r="I18" s="13">
        <v>5.8500008890405297E-4</v>
      </c>
      <c r="J18" s="14">
        <v>5.2762497216463089E-3</v>
      </c>
      <c r="K18"/>
      <c r="L18"/>
      <c r="M18"/>
      <c r="N18"/>
      <c r="O18"/>
      <c r="P18" s="25">
        <v>2.3674000054597855E-2</v>
      </c>
      <c r="Q18"/>
      <c r="R18" s="17">
        <v>5.7484912686049938E-3</v>
      </c>
      <c r="S18" s="195">
        <v>4.1408546268939972E-2</v>
      </c>
      <c r="T18"/>
      <c r="U18" s="225">
        <v>9.9899992346763611E-2</v>
      </c>
      <c r="V18"/>
      <c r="W18"/>
      <c r="X18"/>
      <c r="Y18"/>
      <c r="Z18" s="63">
        <v>4.6153847128152847E-2</v>
      </c>
      <c r="AA18" s="209">
        <v>5.0949055701494217E-2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0.34999999403953552</v>
      </c>
      <c r="C19">
        <v>2.8439318761229515E-2</v>
      </c>
      <c r="D19"/>
      <c r="E19"/>
      <c r="F19"/>
      <c r="G19" s="20">
        <v>7.1789068169891834E-3</v>
      </c>
      <c r="H19" s="11">
        <v>3.2275427656713873E-5</v>
      </c>
      <c r="I19" s="197">
        <v>8.4600001573562622E-3</v>
      </c>
      <c r="J19" s="24">
        <v>1.2446537613868713E-2</v>
      </c>
      <c r="K19"/>
      <c r="L19"/>
      <c r="M19"/>
      <c r="N19"/>
      <c r="O19"/>
      <c r="P19" s="60">
        <v>7.2843078523874283E-3</v>
      </c>
      <c r="Q19"/>
      <c r="R19" s="199">
        <v>1.1552255600690842E-2</v>
      </c>
      <c r="S19" s="19">
        <v>1.4864607714116573E-2</v>
      </c>
      <c r="T19"/>
      <c r="U19"/>
      <c r="V19" s="234">
        <v>0.16310000419616699</v>
      </c>
      <c r="W19"/>
      <c r="X19"/>
      <c r="Y19"/>
      <c r="Z19" s="211">
        <v>4.6153847128152847E-2</v>
      </c>
      <c r="AA19" s="230">
        <v>5.0487976521253586E-2</v>
      </c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0.18999999761581421</v>
      </c>
      <c r="C20">
        <v>0.12340537458658218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 s="15">
        <v>2.8788154013454914E-3</v>
      </c>
      <c r="S20" s="63">
        <v>1.7555294558405876E-2</v>
      </c>
      <c r="T20"/>
      <c r="U20"/>
      <c r="V20"/>
      <c r="W20"/>
      <c r="X20"/>
      <c r="Y20"/>
      <c r="Z20" s="233">
        <v>4.6160515397787094E-2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0.20000000298023224</v>
      </c>
      <c r="C21">
        <v>4.1513528674840927E-2</v>
      </c>
      <c r="D21"/>
      <c r="E21"/>
      <c r="F21"/>
      <c r="G21" s="25">
        <v>9.3808621168136597E-3</v>
      </c>
      <c r="H21" s="13">
        <v>4.0934680146165192E-4</v>
      </c>
      <c r="I21" s="135">
        <v>1.2270732782781124E-2</v>
      </c>
      <c r="J21" s="198">
        <v>7.8071332536637783E-3</v>
      </c>
      <c r="K21"/>
      <c r="L21"/>
      <c r="M21"/>
      <c r="N21"/>
      <c r="O21"/>
      <c r="P21"/>
      <c r="Q21"/>
      <c r="R21" s="134">
        <v>5.7835434563457966E-3</v>
      </c>
      <c r="S21" s="229">
        <v>2.2892531007528305E-2</v>
      </c>
      <c r="T21"/>
      <c r="U21" s="15">
        <v>3.2487802673131227E-3</v>
      </c>
      <c r="V21"/>
      <c r="W21"/>
      <c r="X21"/>
      <c r="Y21"/>
      <c r="Z21" s="221">
        <v>4.6256177127361298E-2</v>
      </c>
      <c r="AA21" s="136">
        <v>5.0437368452548981E-2</v>
      </c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0.5</v>
      </c>
      <c r="C22">
        <v>0.26663708686828613</v>
      </c>
      <c r="D22"/>
      <c r="E22"/>
      <c r="F22"/>
      <c r="G22" s="219">
        <v>6.7873299121856689E-2</v>
      </c>
      <c r="H22" s="12">
        <v>1.6783222090452909E-3</v>
      </c>
      <c r="I22"/>
      <c r="J22"/>
      <c r="K22"/>
      <c r="L22"/>
      <c r="M22"/>
      <c r="N22"/>
      <c r="O22"/>
      <c r="P22"/>
      <c r="Q22"/>
      <c r="R22" s="197">
        <v>1.1496982537209988E-2</v>
      </c>
      <c r="S22" s="212">
        <v>5.5211398750543594E-2</v>
      </c>
      <c r="T22"/>
      <c r="U22"/>
      <c r="V22"/>
      <c r="W22"/>
      <c r="X22"/>
      <c r="Y22"/>
      <c r="Z22" s="63">
        <v>4.6153847128152847E-2</v>
      </c>
      <c r="AA22" s="209">
        <v>5.0949055701494217E-2</v>
      </c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0.20000000298023224</v>
      </c>
      <c r="C23">
        <v>9.569280594587326E-2</v>
      </c>
      <c r="D23" s="18">
        <v>3.5714285913854837E-3</v>
      </c>
      <c r="E23"/>
      <c r="F23" s="215">
        <v>4.3620709329843521E-2</v>
      </c>
      <c r="G23" s="213">
        <v>4.0400773286819458E-2</v>
      </c>
      <c r="H23"/>
      <c r="I23" s="201">
        <v>1.6714286059141159E-2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</v>
      </c>
      <c r="C24">
        <v>0.53036594390869141</v>
      </c>
      <c r="D24"/>
      <c r="E24"/>
      <c r="F24"/>
      <c r="G24" s="221">
        <v>0.23095773160457611</v>
      </c>
      <c r="H24" s="202">
        <v>4.5454557985067368E-2</v>
      </c>
      <c r="I24" s="60">
        <v>2.1449999883770943E-2</v>
      </c>
      <c r="J24" s="71">
        <v>6.448749452829361E-2</v>
      </c>
      <c r="K24"/>
      <c r="L24"/>
      <c r="M24"/>
      <c r="N24"/>
      <c r="O24"/>
      <c r="P24"/>
      <c r="Q24"/>
      <c r="R24" s="21">
        <v>8.3832163363695145E-3</v>
      </c>
      <c r="S24"/>
      <c r="T24"/>
      <c r="U24"/>
      <c r="V24"/>
      <c r="W24"/>
      <c r="X24"/>
      <c r="Y24"/>
      <c r="Z24" s="205">
        <v>4.8951044678688049E-2</v>
      </c>
      <c r="AA24" s="205">
        <v>4.9950048327445984E-2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60</v>
      </c>
      <c r="C25">
        <v>32.55450439453125</v>
      </c>
      <c r="D25"/>
      <c r="E25"/>
      <c r="F25"/>
      <c r="G25"/>
      <c r="H25"/>
      <c r="I25"/>
      <c r="J25"/>
      <c r="K25"/>
      <c r="L25" s="24">
        <v>2.1127171516418457</v>
      </c>
      <c r="M25" s="235">
        <v>22.100000381469727</v>
      </c>
      <c r="N25"/>
      <c r="O25"/>
      <c r="P25" s="11">
        <v>2.3674000054597855E-2</v>
      </c>
      <c r="Q25" s="13">
        <v>9.1770008206367493E-2</v>
      </c>
      <c r="R25"/>
      <c r="S25"/>
      <c r="T25" s="18">
        <v>1.0599499940872192</v>
      </c>
      <c r="U25" s="13">
        <v>6.6600002348423004E-2</v>
      </c>
      <c r="V25"/>
      <c r="W25" s="199">
        <v>1.9907850027084351</v>
      </c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/>
      <c r="C26">
        <v>0.52464896440505981</v>
      </c>
      <c r="D26"/>
      <c r="E26"/>
      <c r="F26"/>
      <c r="G26"/>
      <c r="H26"/>
      <c r="I26"/>
      <c r="J26"/>
      <c r="K26"/>
      <c r="L26" s="9">
        <v>21.127172470092773</v>
      </c>
      <c r="M26" s="9">
        <v>52</v>
      </c>
      <c r="N26" s="9">
        <v>0.49910399317741394</v>
      </c>
      <c r="O26"/>
      <c r="P26" s="9">
        <v>0.54450201988220215</v>
      </c>
      <c r="Q26" s="9">
        <v>7.3416004180908203</v>
      </c>
      <c r="R26" s="9">
        <v>0.14514939486980438</v>
      </c>
      <c r="S26" s="9">
        <v>0.88338238000869751</v>
      </c>
      <c r="T26" s="9">
        <v>190.79098510742188</v>
      </c>
      <c r="U26" s="9">
        <v>10.389599800109863</v>
      </c>
      <c r="V26" s="9">
        <v>56.339397430419922</v>
      </c>
      <c r="W26" s="9">
        <v>92.903297424316406</v>
      </c>
      <c r="X26" s="9">
        <v>91.020004272460938</v>
      </c>
      <c r="Y26" s="9">
        <v>6.6599998474121094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/>
      <c r="C27">
        <v>0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3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3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167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168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83" t="s">
        <v>193</v>
      </c>
      <c r="E5">
        <v>4</v>
      </c>
      <c r="F5">
        <v>3.13</v>
      </c>
      <c r="G5">
        <v>4</v>
      </c>
      <c r="H5" s="184" t="s">
        <v>193</v>
      </c>
      <c r="J5" s="53"/>
      <c r="K5" s="54"/>
    </row>
    <row r="6" spans="1:12" ht="14" thickBot="1" x14ac:dyDescent="0.2">
      <c r="A6" s="37" t="s">
        <v>121</v>
      </c>
      <c r="D6" s="183" t="s">
        <v>194</v>
      </c>
      <c r="E6">
        <v>5</v>
      </c>
      <c r="F6">
        <v>3.13</v>
      </c>
      <c r="G6">
        <v>5</v>
      </c>
      <c r="H6" s="184" t="s">
        <v>194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83" t="s">
        <v>195</v>
      </c>
      <c r="E7">
        <v>6</v>
      </c>
      <c r="F7">
        <v>3.22</v>
      </c>
      <c r="G7">
        <v>6</v>
      </c>
      <c r="H7" s="184" t="s">
        <v>195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83" t="s">
        <v>196</v>
      </c>
      <c r="E8">
        <v>7</v>
      </c>
      <c r="F8">
        <v>3.22</v>
      </c>
      <c r="G8">
        <v>7</v>
      </c>
      <c r="H8" s="184" t="s">
        <v>196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83" t="s">
        <v>197</v>
      </c>
      <c r="E9">
        <v>8</v>
      </c>
      <c r="F9">
        <v>3</v>
      </c>
      <c r="G9">
        <v>8</v>
      </c>
      <c r="H9" s="184" t="s">
        <v>197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83" t="s">
        <v>198</v>
      </c>
      <c r="E10">
        <v>9</v>
      </c>
      <c r="F10">
        <v>3</v>
      </c>
      <c r="G10">
        <v>9</v>
      </c>
      <c r="H10" s="184" t="s">
        <v>198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83" t="s">
        <v>199</v>
      </c>
      <c r="E11">
        <v>10</v>
      </c>
      <c r="F11">
        <v>3.12</v>
      </c>
      <c r="G11">
        <v>10</v>
      </c>
      <c r="H11" s="184" t="s">
        <v>199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83" t="s">
        <v>161</v>
      </c>
      <c r="E12">
        <v>11</v>
      </c>
      <c r="F12">
        <v>3.12</v>
      </c>
      <c r="G12">
        <v>11</v>
      </c>
      <c r="H12" s="184" t="s">
        <v>161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83" t="s">
        <v>200</v>
      </c>
      <c r="E13">
        <v>12</v>
      </c>
      <c r="F13">
        <v>3.11</v>
      </c>
      <c r="G13">
        <v>12</v>
      </c>
      <c r="H13" s="184" t="s">
        <v>200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83" t="s">
        <v>201</v>
      </c>
      <c r="E14">
        <v>13</v>
      </c>
      <c r="F14">
        <v>3.11</v>
      </c>
      <c r="G14">
        <v>13</v>
      </c>
      <c r="H14" s="184" t="s">
        <v>201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83" t="s">
        <v>202</v>
      </c>
      <c r="E15">
        <v>14</v>
      </c>
      <c r="F15">
        <v>3.11</v>
      </c>
      <c r="G15">
        <v>14</v>
      </c>
      <c r="H15" s="184" t="s">
        <v>202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83" t="s">
        <v>203</v>
      </c>
      <c r="E16">
        <v>15</v>
      </c>
      <c r="F16">
        <v>3</v>
      </c>
      <c r="G16">
        <v>15</v>
      </c>
      <c r="H16" s="184" t="s">
        <v>203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83" t="s">
        <v>204</v>
      </c>
      <c r="E17">
        <v>16</v>
      </c>
      <c r="F17">
        <v>3.11</v>
      </c>
      <c r="G17">
        <v>16</v>
      </c>
      <c r="H17" s="184" t="s">
        <v>204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83" t="s">
        <v>205</v>
      </c>
      <c r="E18">
        <v>17</v>
      </c>
      <c r="F18">
        <v>3.21</v>
      </c>
      <c r="G18">
        <v>17</v>
      </c>
      <c r="H18" s="184" t="s">
        <v>205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83" t="s">
        <v>206</v>
      </c>
      <c r="E19">
        <v>18</v>
      </c>
      <c r="F19">
        <v>3.21</v>
      </c>
      <c r="G19">
        <v>18</v>
      </c>
      <c r="H19" s="184" t="s">
        <v>206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83" t="s">
        <v>207</v>
      </c>
      <c r="E20">
        <v>19</v>
      </c>
      <c r="F20">
        <v>3.21</v>
      </c>
      <c r="G20">
        <v>19</v>
      </c>
      <c r="H20" s="184" t="s">
        <v>207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83" t="s">
        <v>208</v>
      </c>
      <c r="E21">
        <v>20</v>
      </c>
      <c r="F21">
        <v>3.21</v>
      </c>
      <c r="G21">
        <v>20</v>
      </c>
      <c r="H21" s="184" t="s">
        <v>208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83" t="s">
        <v>209</v>
      </c>
      <c r="E22">
        <v>21</v>
      </c>
      <c r="F22">
        <v>3.21</v>
      </c>
      <c r="G22">
        <v>21</v>
      </c>
      <c r="H22" s="184" t="s">
        <v>209</v>
      </c>
    </row>
    <row r="23" spans="1:12" x14ac:dyDescent="0.15">
      <c r="A23" s="32" t="s">
        <v>129</v>
      </c>
      <c r="B23" s="40">
        <v>4</v>
      </c>
      <c r="C23" s="34"/>
      <c r="D23" s="183" t="s">
        <v>210</v>
      </c>
      <c r="E23">
        <v>22</v>
      </c>
      <c r="F23">
        <v>3.21</v>
      </c>
      <c r="G23">
        <v>22</v>
      </c>
      <c r="H23" s="184" t="s">
        <v>210</v>
      </c>
    </row>
    <row r="24" spans="1:12" x14ac:dyDescent="0.15">
      <c r="A24" s="32" t="s">
        <v>122</v>
      </c>
      <c r="B24" s="40">
        <v>4.0999999999999996</v>
      </c>
      <c r="C24" s="34"/>
      <c r="D24" s="183" t="s">
        <v>211</v>
      </c>
      <c r="E24">
        <v>23</v>
      </c>
      <c r="F24">
        <v>3.21</v>
      </c>
      <c r="G24">
        <v>23</v>
      </c>
      <c r="H24" s="184" t="s">
        <v>211</v>
      </c>
    </row>
    <row r="25" spans="1:12" x14ac:dyDescent="0.15">
      <c r="A25" s="32" t="s">
        <v>70</v>
      </c>
      <c r="B25" s="40">
        <v>4.2</v>
      </c>
      <c r="C25" s="34"/>
      <c r="D25" s="183" t="s">
        <v>212</v>
      </c>
      <c r="E25">
        <v>24</v>
      </c>
      <c r="F25">
        <v>3.21</v>
      </c>
      <c r="G25">
        <v>24</v>
      </c>
      <c r="H25" s="184" t="s">
        <v>212</v>
      </c>
    </row>
    <row r="26" spans="1:12" x14ac:dyDescent="0.15">
      <c r="A26" s="32" t="s">
        <v>123</v>
      </c>
      <c r="B26" s="40">
        <v>4.3</v>
      </c>
      <c r="C26" s="34"/>
      <c r="D26" s="183" t="s">
        <v>213</v>
      </c>
      <c r="E26">
        <v>25</v>
      </c>
      <c r="F26">
        <v>3.21</v>
      </c>
      <c r="G26">
        <v>25</v>
      </c>
      <c r="H26" s="184" t="s">
        <v>213</v>
      </c>
    </row>
    <row r="27" spans="1:12" x14ac:dyDescent="0.15">
      <c r="A27" s="32" t="s">
        <v>125</v>
      </c>
      <c r="B27" s="40">
        <v>6.1</v>
      </c>
      <c r="D27" s="183" t="s">
        <v>214</v>
      </c>
      <c r="E27">
        <v>26</v>
      </c>
      <c r="F27">
        <v>3.21</v>
      </c>
      <c r="G27">
        <v>26</v>
      </c>
      <c r="H27" s="184" t="s">
        <v>214</v>
      </c>
    </row>
    <row r="28" spans="1:12" x14ac:dyDescent="0.15">
      <c r="A28" s="32" t="s">
        <v>124</v>
      </c>
      <c r="B28" s="40">
        <v>6.2</v>
      </c>
      <c r="D28" s="183" t="s">
        <v>215</v>
      </c>
      <c r="E28">
        <v>27</v>
      </c>
      <c r="F28">
        <v>2</v>
      </c>
      <c r="G28">
        <v>27</v>
      </c>
      <c r="H28" s="184" t="s">
        <v>215</v>
      </c>
    </row>
    <row r="29" spans="1:12" x14ac:dyDescent="0.15">
      <c r="A29" s="32" t="s">
        <v>44</v>
      </c>
      <c r="B29" s="40">
        <v>5</v>
      </c>
      <c r="D29" s="183" t="s">
        <v>216</v>
      </c>
      <c r="E29">
        <v>28</v>
      </c>
      <c r="F29">
        <v>4.0999999999999996</v>
      </c>
      <c r="G29">
        <v>28</v>
      </c>
      <c r="H29" s="184" t="s">
        <v>216</v>
      </c>
    </row>
    <row r="30" spans="1:12" x14ac:dyDescent="0.15">
      <c r="A30" s="32" t="s">
        <v>73</v>
      </c>
      <c r="B30" s="40">
        <v>7</v>
      </c>
      <c r="D30" s="183" t="s">
        <v>217</v>
      </c>
      <c r="E30">
        <v>29</v>
      </c>
      <c r="F30">
        <v>4.3</v>
      </c>
      <c r="G30">
        <v>29</v>
      </c>
      <c r="H30" s="184" t="s">
        <v>217</v>
      </c>
    </row>
    <row r="31" spans="1:12" x14ac:dyDescent="0.15">
      <c r="A31" s="32" t="s">
        <v>170</v>
      </c>
      <c r="B31" s="40">
        <v>3.14</v>
      </c>
      <c r="D31" s="183" t="s">
        <v>218</v>
      </c>
      <c r="E31">
        <v>30</v>
      </c>
      <c r="F31">
        <v>5</v>
      </c>
      <c r="G31">
        <v>30</v>
      </c>
      <c r="H31" s="184" t="s">
        <v>218</v>
      </c>
    </row>
    <row r="32" spans="1:12" ht="12" customHeight="1" thickBot="1" x14ac:dyDescent="0.2">
      <c r="A32" s="38" t="s">
        <v>171</v>
      </c>
      <c r="B32" s="41">
        <v>9</v>
      </c>
      <c r="D32" s="183" t="s">
        <v>138</v>
      </c>
      <c r="E32">
        <v>31</v>
      </c>
      <c r="F32">
        <v>6.1</v>
      </c>
      <c r="G32">
        <v>31</v>
      </c>
      <c r="H32" s="184" t="s">
        <v>138</v>
      </c>
    </row>
    <row r="33" spans="4:8" customFormat="1" ht="12" customHeight="1" x14ac:dyDescent="0.15">
      <c r="D33" s="183" t="s">
        <v>45</v>
      </c>
      <c r="E33">
        <v>32</v>
      </c>
      <c r="F33">
        <v>6.2</v>
      </c>
      <c r="G33">
        <v>32</v>
      </c>
      <c r="H33" s="184" t="s">
        <v>45</v>
      </c>
    </row>
    <row r="34" spans="4:8" customFormat="1" ht="12" customHeight="1" x14ac:dyDescent="0.15"/>
    <row r="35" spans="4:8" customFormat="1" x14ac:dyDescent="0.15"/>
    <row r="36" spans="4:8" customFormat="1" x14ac:dyDescent="0.15"/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8" bestFit="1" customWidth="1"/>
    <col min="2" max="2" width="3.83203125" style="77" customWidth="1"/>
    <col min="3" max="3" width="12.83203125" style="77" customWidth="1"/>
    <col min="4" max="4" width="39.6640625" style="77" customWidth="1"/>
    <col min="5" max="5" width="8.1640625" style="77" customWidth="1"/>
    <col min="6" max="6" width="23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7" customWidth="1"/>
    <col min="17" max="17" width="2.33203125" style="77" customWidth="1"/>
    <col min="18" max="18" width="2.33203125" style="68" customWidth="1"/>
    <col min="19" max="16384" width="11.5" style="77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9" t="s">
        <v>48</v>
      </c>
      <c r="L1" s="68"/>
      <c r="M1" s="79" t="s">
        <v>119</v>
      </c>
      <c r="N1" s="68"/>
      <c r="O1" s="79" t="s">
        <v>49</v>
      </c>
      <c r="P1" s="70"/>
      <c r="Q1" s="79" t="s">
        <v>50</v>
      </c>
      <c r="R1" s="65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0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0">
        <v>0</v>
      </c>
      <c r="R4" s="102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0">
        <v>0</v>
      </c>
      <c r="R5" s="102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85" t="s">
        <v>193</v>
      </c>
      <c r="G6" s="77">
        <v>0</v>
      </c>
      <c r="H6" s="77">
        <v>0</v>
      </c>
      <c r="I6" s="77">
        <v>0</v>
      </c>
      <c r="J6" s="77">
        <v>0</v>
      </c>
      <c r="K6" s="77">
        <v>1</v>
      </c>
      <c r="L6" s="77">
        <v>0</v>
      </c>
      <c r="M6" s="77">
        <v>1</v>
      </c>
      <c r="N6" s="77">
        <v>0</v>
      </c>
      <c r="O6" s="77">
        <v>1</v>
      </c>
      <c r="P6" s="67">
        <v>0</v>
      </c>
      <c r="Q6" s="77">
        <v>0</v>
      </c>
      <c r="R6" s="68">
        <v>1</v>
      </c>
      <c r="S6"/>
      <c r="T6"/>
    </row>
    <row r="7" spans="1:23" ht="15" customHeight="1" thickBot="1" x14ac:dyDescent="0.2">
      <c r="F7" s="185" t="s">
        <v>194</v>
      </c>
      <c r="G7" s="77">
        <v>0</v>
      </c>
      <c r="H7" s="77">
        <v>0</v>
      </c>
      <c r="I7" s="77">
        <v>0</v>
      </c>
      <c r="J7" s="77">
        <v>0</v>
      </c>
      <c r="K7" s="77">
        <v>1</v>
      </c>
      <c r="L7" s="77">
        <v>0</v>
      </c>
      <c r="M7" s="77">
        <v>1</v>
      </c>
      <c r="N7" s="77">
        <v>0</v>
      </c>
      <c r="O7" s="77">
        <v>1</v>
      </c>
      <c r="P7" s="67">
        <v>0</v>
      </c>
      <c r="Q7" s="77">
        <v>0</v>
      </c>
      <c r="R7" s="68">
        <v>1</v>
      </c>
      <c r="S7"/>
      <c r="T7"/>
    </row>
    <row r="8" spans="1:23" ht="15" customHeight="1" x14ac:dyDescent="0.15">
      <c r="A8" s="79" t="s">
        <v>56</v>
      </c>
      <c r="B8" s="86">
        <v>1</v>
      </c>
      <c r="C8" s="186" t="s">
        <v>215</v>
      </c>
      <c r="D8" s="81" t="s">
        <v>160</v>
      </c>
      <c r="F8" s="185" t="s">
        <v>195</v>
      </c>
      <c r="G8" s="77">
        <v>0</v>
      </c>
      <c r="H8" s="77">
        <v>0</v>
      </c>
      <c r="I8" s="77">
        <v>0</v>
      </c>
      <c r="J8" s="77">
        <v>0</v>
      </c>
      <c r="K8" s="77">
        <v>1</v>
      </c>
      <c r="L8" s="77">
        <v>0</v>
      </c>
      <c r="M8" s="77">
        <v>1</v>
      </c>
      <c r="N8" s="77">
        <v>0</v>
      </c>
      <c r="O8" s="77">
        <v>1</v>
      </c>
      <c r="P8" s="67">
        <v>0</v>
      </c>
      <c r="Q8" s="77">
        <v>0</v>
      </c>
      <c r="R8" s="68">
        <v>1</v>
      </c>
      <c r="S8"/>
      <c r="T8"/>
      <c r="W8"/>
    </row>
    <row r="9" spans="1:23" ht="15" customHeight="1" x14ac:dyDescent="0.15">
      <c r="A9" s="116" t="s">
        <v>169</v>
      </c>
      <c r="B9" s="88"/>
      <c r="C9" s="76"/>
      <c r="D9" s="81" t="s">
        <v>160</v>
      </c>
      <c r="F9" s="185" t="s">
        <v>196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7">
        <v>0</v>
      </c>
      <c r="Q9" s="77">
        <v>0</v>
      </c>
      <c r="R9" s="68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85" t="s">
        <v>197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7">
        <v>0</v>
      </c>
      <c r="Q10" s="77">
        <v>0</v>
      </c>
      <c r="R10" s="68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85" t="s">
        <v>198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7">
        <v>0</v>
      </c>
      <c r="Q11" s="77">
        <v>0</v>
      </c>
      <c r="R11" s="68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85" t="s">
        <v>199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7">
        <v>0</v>
      </c>
      <c r="Q12" s="77">
        <v>0</v>
      </c>
      <c r="R12" s="68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85" t="s">
        <v>161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7">
        <v>0</v>
      </c>
      <c r="Q13" s="77">
        <v>0</v>
      </c>
      <c r="R13" s="68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85" t="s">
        <v>200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7">
        <v>0</v>
      </c>
      <c r="Q14" s="77">
        <v>0</v>
      </c>
      <c r="R14" s="68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85" t="s">
        <v>201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7">
        <v>0</v>
      </c>
      <c r="Q15" s="77">
        <v>0</v>
      </c>
      <c r="R15" s="68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85" t="s">
        <v>202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7">
        <v>0</v>
      </c>
      <c r="Q16" s="77">
        <v>0</v>
      </c>
      <c r="R16" s="68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85" t="s">
        <v>203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7">
        <v>0</v>
      </c>
      <c r="Q17" s="77">
        <v>0</v>
      </c>
      <c r="R17" s="68">
        <v>1</v>
      </c>
      <c r="S17"/>
      <c r="T17"/>
    </row>
    <row r="18" spans="1:20" ht="15" customHeight="1" thickBot="1" x14ac:dyDescent="0.2">
      <c r="B18" s="89"/>
      <c r="F18" s="185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7">
        <v>0</v>
      </c>
      <c r="Q18" s="77">
        <v>0</v>
      </c>
      <c r="R18" s="68">
        <v>1</v>
      </c>
      <c r="S18"/>
      <c r="T18"/>
    </row>
    <row r="19" spans="1:20" ht="15" customHeight="1" x14ac:dyDescent="0.15">
      <c r="A19" s="79" t="s">
        <v>57</v>
      </c>
      <c r="B19" s="86">
        <v>1</v>
      </c>
      <c r="C19" s="187" t="s">
        <v>215</v>
      </c>
      <c r="D19" s="81" t="s">
        <v>160</v>
      </c>
      <c r="F19" s="185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7">
        <v>0</v>
      </c>
      <c r="Q19" s="77">
        <v>0</v>
      </c>
      <c r="R19" s="68">
        <v>1</v>
      </c>
      <c r="S19"/>
      <c r="T19"/>
    </row>
    <row r="20" spans="1:20" ht="15" customHeight="1" x14ac:dyDescent="0.15">
      <c r="A20" s="116" t="s">
        <v>169</v>
      </c>
      <c r="B20" s="88"/>
      <c r="C20" s="76"/>
      <c r="D20" s="81" t="s">
        <v>160</v>
      </c>
      <c r="F20" s="185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7">
        <v>0</v>
      </c>
      <c r="Q20" s="77">
        <v>0</v>
      </c>
      <c r="R20" s="68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85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7">
        <v>0</v>
      </c>
      <c r="Q21" s="77">
        <v>0</v>
      </c>
      <c r="R21" s="68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85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1</v>
      </c>
      <c r="L22" s="77">
        <v>0</v>
      </c>
      <c r="M22" s="77">
        <v>1</v>
      </c>
      <c r="N22" s="77">
        <v>0</v>
      </c>
      <c r="O22" s="77">
        <v>1</v>
      </c>
      <c r="P22" s="67">
        <v>0</v>
      </c>
      <c r="Q22" s="77">
        <v>0</v>
      </c>
      <c r="R22" s="68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85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1</v>
      </c>
      <c r="L23" s="77">
        <v>0</v>
      </c>
      <c r="M23" s="77">
        <v>1</v>
      </c>
      <c r="N23" s="77">
        <v>0</v>
      </c>
      <c r="O23" s="77">
        <v>1</v>
      </c>
      <c r="P23" s="67">
        <v>0</v>
      </c>
      <c r="Q23" s="77">
        <v>0</v>
      </c>
      <c r="R23" s="68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85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1</v>
      </c>
      <c r="L24" s="77">
        <v>0</v>
      </c>
      <c r="M24" s="77">
        <v>1</v>
      </c>
      <c r="N24" s="77">
        <v>0</v>
      </c>
      <c r="O24" s="77">
        <v>1</v>
      </c>
      <c r="P24" s="67">
        <v>0</v>
      </c>
      <c r="Q24" s="77">
        <v>0</v>
      </c>
      <c r="R24" s="68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85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1</v>
      </c>
      <c r="L25" s="77">
        <v>0</v>
      </c>
      <c r="M25" s="77">
        <v>1</v>
      </c>
      <c r="N25" s="77">
        <v>0</v>
      </c>
      <c r="O25" s="77">
        <v>1</v>
      </c>
      <c r="P25" s="67">
        <v>0</v>
      </c>
      <c r="Q25" s="77">
        <v>0</v>
      </c>
      <c r="R25" s="68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85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1</v>
      </c>
      <c r="L26" s="77">
        <v>0</v>
      </c>
      <c r="M26" s="77">
        <v>1</v>
      </c>
      <c r="N26" s="77">
        <v>0</v>
      </c>
      <c r="O26" s="77">
        <v>1</v>
      </c>
      <c r="P26" s="67">
        <v>0</v>
      </c>
      <c r="Q26" s="77">
        <v>0</v>
      </c>
      <c r="R26" s="68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85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1</v>
      </c>
      <c r="L27" s="77">
        <v>0</v>
      </c>
      <c r="M27" s="77">
        <v>1</v>
      </c>
      <c r="N27" s="77">
        <v>0</v>
      </c>
      <c r="O27" s="77">
        <v>1</v>
      </c>
      <c r="P27" s="67">
        <v>0</v>
      </c>
      <c r="Q27" s="77">
        <v>0</v>
      </c>
      <c r="R27" s="68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85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1</v>
      </c>
      <c r="L28" s="77">
        <v>0</v>
      </c>
      <c r="M28" s="77">
        <v>1</v>
      </c>
      <c r="N28" s="77">
        <v>0</v>
      </c>
      <c r="O28" s="77">
        <v>1</v>
      </c>
      <c r="P28" s="67">
        <v>0</v>
      </c>
      <c r="Q28" s="77">
        <v>0</v>
      </c>
      <c r="R28" s="68">
        <v>1</v>
      </c>
      <c r="S28"/>
      <c r="T28"/>
    </row>
    <row r="29" spans="1:20" ht="15" customHeight="1" x14ac:dyDescent="0.15">
      <c r="F29" s="185" t="s">
        <v>215</v>
      </c>
      <c r="G29" s="77">
        <v>0</v>
      </c>
      <c r="H29" s="77">
        <v>0</v>
      </c>
      <c r="I29" s="77">
        <v>0</v>
      </c>
      <c r="J29" s="77">
        <v>0</v>
      </c>
      <c r="K29" s="77">
        <v>0</v>
      </c>
      <c r="L29" s="77">
        <v>0</v>
      </c>
      <c r="M29" s="77">
        <v>1</v>
      </c>
      <c r="N29" s="77">
        <v>0</v>
      </c>
      <c r="O29" s="77">
        <v>0</v>
      </c>
      <c r="P29" s="67">
        <v>0</v>
      </c>
      <c r="Q29" s="77">
        <v>0</v>
      </c>
      <c r="R29" s="68">
        <v>1</v>
      </c>
      <c r="S29"/>
      <c r="T29"/>
    </row>
    <row r="30" spans="1:20" ht="15" customHeight="1" x14ac:dyDescent="0.15">
      <c r="F30" s="185" t="s">
        <v>216</v>
      </c>
      <c r="G30" s="77">
        <v>0</v>
      </c>
      <c r="H30" s="77">
        <v>0</v>
      </c>
      <c r="I30" s="77">
        <v>0</v>
      </c>
      <c r="J30" s="77">
        <v>0</v>
      </c>
      <c r="K30" s="77">
        <v>0</v>
      </c>
      <c r="L30" s="77">
        <v>1</v>
      </c>
      <c r="M30" s="77">
        <v>0</v>
      </c>
      <c r="N30" s="77">
        <v>1</v>
      </c>
      <c r="O30" s="77">
        <v>0</v>
      </c>
      <c r="P30" s="67">
        <v>1</v>
      </c>
      <c r="Q30" s="77">
        <v>0</v>
      </c>
      <c r="R30" s="68">
        <v>1</v>
      </c>
      <c r="S30"/>
      <c r="T30"/>
    </row>
    <row r="31" spans="1:20" ht="15" customHeight="1" x14ac:dyDescent="0.15">
      <c r="A31" s="117"/>
      <c r="B31" s="128" t="s">
        <v>17</v>
      </c>
      <c r="C31" s="128" t="s">
        <v>1</v>
      </c>
      <c r="D31" s="128" t="s">
        <v>162</v>
      </c>
      <c r="E31" s="129" t="s">
        <v>164</v>
      </c>
      <c r="F31" s="185" t="s">
        <v>217</v>
      </c>
      <c r="G31" s="77">
        <v>0</v>
      </c>
      <c r="H31" s="77">
        <v>0</v>
      </c>
      <c r="I31" s="77">
        <v>0</v>
      </c>
      <c r="J31" s="77">
        <v>0</v>
      </c>
      <c r="K31" s="77">
        <v>0</v>
      </c>
      <c r="L31" s="77">
        <v>1</v>
      </c>
      <c r="M31" s="77">
        <v>0</v>
      </c>
      <c r="N31" s="77">
        <v>1</v>
      </c>
      <c r="O31" s="77">
        <v>0</v>
      </c>
      <c r="P31" s="67">
        <v>1</v>
      </c>
      <c r="Q31" s="77">
        <v>0</v>
      </c>
      <c r="R31" s="68">
        <v>1</v>
      </c>
      <c r="S31"/>
      <c r="T31"/>
    </row>
    <row r="32" spans="1:20" ht="15" customHeight="1" x14ac:dyDescent="0.15">
      <c r="A32" s="188" t="s">
        <v>215</v>
      </c>
      <c r="B32" s="89">
        <v>20</v>
      </c>
      <c r="C32" s="89">
        <v>60</v>
      </c>
      <c r="D32" s="89">
        <v>1200</v>
      </c>
      <c r="E32" s="119">
        <v>1</v>
      </c>
      <c r="F32" s="185" t="s">
        <v>218</v>
      </c>
      <c r="G32" s="77">
        <v>0</v>
      </c>
      <c r="H32" s="77">
        <v>0</v>
      </c>
      <c r="I32" s="77">
        <v>0</v>
      </c>
      <c r="J32" s="77">
        <v>0</v>
      </c>
      <c r="K32" s="77">
        <v>0</v>
      </c>
      <c r="L32" s="77">
        <v>1</v>
      </c>
      <c r="M32" s="77">
        <v>0</v>
      </c>
      <c r="N32" s="77">
        <v>0</v>
      </c>
      <c r="O32" s="77">
        <v>0</v>
      </c>
      <c r="P32" s="67">
        <v>0</v>
      </c>
      <c r="Q32" s="77">
        <v>0</v>
      </c>
      <c r="R32" s="68">
        <v>1</v>
      </c>
      <c r="S32"/>
      <c r="T32"/>
    </row>
    <row r="33" spans="1:20" ht="15" customHeight="1" x14ac:dyDescent="0.15">
      <c r="A33" s="118"/>
      <c r="B33" s="89"/>
      <c r="C33" s="89"/>
      <c r="D33" s="89"/>
      <c r="E33" s="119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0"/>
      <c r="B34" s="89"/>
      <c r="C34" s="89"/>
      <c r="D34" s="89"/>
      <c r="E34" s="11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1"/>
      <c r="B35" s="89"/>
      <c r="C35" s="89"/>
      <c r="D35" s="89"/>
      <c r="E35" s="11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2"/>
      <c r="B36" s="89"/>
      <c r="C36" s="89"/>
      <c r="D36" s="89"/>
      <c r="E36" s="11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2"/>
      <c r="B37" s="89"/>
      <c r="C37" s="89"/>
      <c r="D37" s="89"/>
      <c r="E37" s="11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3"/>
      <c r="B38" s="89"/>
      <c r="C38" s="89"/>
      <c r="D38" s="89"/>
      <c r="E38" s="11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3"/>
      <c r="B39" s="89"/>
      <c r="C39" s="89"/>
      <c r="D39" s="89"/>
      <c r="E39" s="11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3"/>
      <c r="B40" s="89"/>
      <c r="C40" s="89"/>
      <c r="D40" s="89"/>
      <c r="E40" s="11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3"/>
      <c r="B41" s="89"/>
      <c r="C41" s="89"/>
      <c r="D41" s="90"/>
      <c r="E41" s="1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5"/>
      <c r="B42" s="126"/>
      <c r="C42" s="126" t="s">
        <v>163</v>
      </c>
      <c r="D42" s="126">
        <f>SUM(D32:D41)</f>
        <v>1200</v>
      </c>
      <c r="E42" s="12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3" bestFit="1" customWidth="1"/>
    <col min="2" max="2" width="2.33203125" style="102" customWidth="1"/>
    <col min="3" max="5" width="7.83203125" style="102" customWidth="1"/>
    <col min="6" max="8" width="8.83203125" style="6"/>
    <col min="9" max="9" width="10.83203125" style="6" customWidth="1"/>
    <col min="10" max="10" width="9.5" style="6" customWidth="1"/>
    <col min="11" max="11" width="8.83203125" style="6" customWidth="1"/>
    <col min="12" max="12" width="9.33203125" style="6" customWidth="1"/>
    <col min="13" max="13" width="13.5" style="6" customWidth="1"/>
    <col min="14" max="14" width="13.83203125" style="6" customWidth="1"/>
    <col min="15" max="15" width="6.83203125" style="6" customWidth="1"/>
    <col min="16" max="16" width="11.1640625" style="6" customWidth="1"/>
    <col min="17" max="17" width="16.33203125" style="6" customWidth="1"/>
    <col min="18" max="18" width="14.83203125" style="6" customWidth="1"/>
    <col min="19" max="19" width="12.5" style="6" customWidth="1"/>
    <col min="20" max="20" width="7.83203125" style="6" customWidth="1"/>
    <col min="21" max="21" width="20.5" style="6" customWidth="1"/>
    <col min="22" max="22" width="13.83203125" style="6" customWidth="1"/>
    <col min="23" max="23" width="16.1640625" style="6" customWidth="1"/>
    <col min="24" max="24" width="18.6640625" style="6" customWidth="1"/>
    <col min="25" max="25" width="23" style="6" customWidth="1"/>
    <col min="26" max="26" width="13.6640625" style="6" customWidth="1"/>
    <col min="27" max="27" width="12.1640625" style="6" customWidth="1"/>
    <col min="28" max="28" width="19.33203125" style="6" customWidth="1"/>
    <col min="29" max="29" width="16.83203125" style="6" customWidth="1"/>
    <col min="30" max="30" width="14.33203125" style="6" customWidth="1"/>
    <col min="31" max="31" width="13.83203125" style="6" customWidth="1"/>
    <col min="32" max="32" width="12.83203125" style="6" customWidth="1"/>
    <col min="33" max="33" width="7.6640625" style="6" customWidth="1"/>
    <col min="34" max="34" width="21.6640625" style="6" customWidth="1"/>
    <col min="35" max="35" width="6.5" style="6" customWidth="1"/>
    <col min="36" max="38" width="8.83203125" style="6"/>
    <col min="81" max="81" width="22.1640625" bestFit="1" customWidth="1"/>
  </cols>
  <sheetData>
    <row r="1" spans="1:38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 t="s">
        <v>38</v>
      </c>
      <c r="G1" t="s">
        <v>40</v>
      </c>
      <c r="H1" t="s">
        <v>41</v>
      </c>
      <c r="I1" s="190" t="s">
        <v>193</v>
      </c>
      <c r="J1" s="190" t="s">
        <v>194</v>
      </c>
      <c r="K1" s="190" t="s">
        <v>195</v>
      </c>
      <c r="L1" s="190" t="s">
        <v>196</v>
      </c>
      <c r="M1" s="190" t="s">
        <v>197</v>
      </c>
      <c r="N1" s="190" t="s">
        <v>198</v>
      </c>
      <c r="O1" s="190" t="s">
        <v>199</v>
      </c>
      <c r="P1" s="190" t="s">
        <v>161</v>
      </c>
      <c r="Q1" s="190" t="s">
        <v>200</v>
      </c>
      <c r="R1" s="190" t="s">
        <v>201</v>
      </c>
      <c r="S1" s="190" t="s">
        <v>202</v>
      </c>
      <c r="T1" s="190" t="s">
        <v>203</v>
      </c>
      <c r="U1" s="190" t="s">
        <v>204</v>
      </c>
      <c r="V1" s="190" t="s">
        <v>205</v>
      </c>
      <c r="W1" s="190" t="s">
        <v>206</v>
      </c>
      <c r="X1" s="190" t="s">
        <v>207</v>
      </c>
      <c r="Y1" s="190" t="s">
        <v>208</v>
      </c>
      <c r="Z1" s="190" t="s">
        <v>209</v>
      </c>
      <c r="AA1" s="190" t="s">
        <v>210</v>
      </c>
      <c r="AB1" s="190" t="s">
        <v>211</v>
      </c>
      <c r="AC1" s="190" t="s">
        <v>212</v>
      </c>
      <c r="AD1" s="190" t="s">
        <v>213</v>
      </c>
      <c r="AE1" s="190" t="s">
        <v>214</v>
      </c>
      <c r="AF1" s="190" t="s">
        <v>215</v>
      </c>
      <c r="AG1" s="190" t="s">
        <v>216</v>
      </c>
      <c r="AH1" s="190" t="s">
        <v>217</v>
      </c>
      <c r="AI1" s="190" t="s">
        <v>218</v>
      </c>
      <c r="AJ1"/>
      <c r="AK1"/>
      <c r="AL1"/>
    </row>
    <row r="2" spans="1:38" x14ac:dyDescent="0.15">
      <c r="A2" t="s">
        <v>38</v>
      </c>
      <c r="B2" s="10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9" t="s">
        <v>193</v>
      </c>
      <c r="B5" s="10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9" t="s">
        <v>194</v>
      </c>
      <c r="B6" s="10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9" t="s">
        <v>195</v>
      </c>
      <c r="B7" s="10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9" t="s">
        <v>196</v>
      </c>
      <c r="B8" s="10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9" t="s">
        <v>197</v>
      </c>
      <c r="B9" s="10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9" t="s">
        <v>198</v>
      </c>
      <c r="B10" s="10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9" t="s">
        <v>199</v>
      </c>
      <c r="B11" s="10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9" t="s">
        <v>161</v>
      </c>
      <c r="B12" s="10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9" t="s">
        <v>200</v>
      </c>
      <c r="B13" s="10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9" t="s">
        <v>201</v>
      </c>
      <c r="B14" s="10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9" t="s">
        <v>202</v>
      </c>
      <c r="B15" s="10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9" t="s">
        <v>203</v>
      </c>
      <c r="B16" s="10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9" t="s">
        <v>204</v>
      </c>
      <c r="B17" s="10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9" t="s">
        <v>205</v>
      </c>
      <c r="B18" s="10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9" t="s">
        <v>206</v>
      </c>
      <c r="B19" s="10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9" t="s">
        <v>207</v>
      </c>
      <c r="B20" s="10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9" t="s">
        <v>208</v>
      </c>
      <c r="B21" s="10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9" t="s">
        <v>209</v>
      </c>
      <c r="B22" s="10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9" t="s">
        <v>210</v>
      </c>
      <c r="B23" s="10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9" t="s">
        <v>211</v>
      </c>
      <c r="B24" s="10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9" t="s">
        <v>212</v>
      </c>
      <c r="B25" s="10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9" t="s">
        <v>213</v>
      </c>
      <c r="B26" s="10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9" t="s">
        <v>214</v>
      </c>
      <c r="B27" s="10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89" t="s">
        <v>215</v>
      </c>
      <c r="B28" s="10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89" t="s">
        <v>216</v>
      </c>
      <c r="B29" s="10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89" t="s">
        <v>217</v>
      </c>
      <c r="B30" s="10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89" t="s">
        <v>218</v>
      </c>
      <c r="B31" s="10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2022-10-24T04:27:37Z</dcterms:modified>
</cp:coreProperties>
</file>