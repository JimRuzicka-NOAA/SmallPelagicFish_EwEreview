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BF07BFF9-357A-1941-AFF4-0079C46ADBBA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Main!$C$2:$N$36</definedName>
    <definedName name="matDetritus">Detritus!$C$2:$E$36</definedName>
    <definedName name="matDiet">Diets!$B$2:$Z$29</definedName>
    <definedName name="matDiscards">Discards!$C$2:$J$28</definedName>
    <definedName name="matFishery">Fishing!$C$2:$J$28</definedName>
    <definedName name="matFishing">Fishing!#REF!</definedName>
    <definedName name="matMort">Mortalities!$A$1:$AL$28</definedName>
    <definedName name="matOut">MainOutputs!$A$2:$I$36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<sst xmlns="http://schemas.openxmlformats.org/spreadsheetml/2006/main" count="960" uniqueCount="239">
  <si>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</si>
  <si>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</si>
  <si>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</si>
  <si>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</si>
  <si>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</si>
  <si>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</si>
  <si>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</si>
  <si>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</si>
  <si>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</si>
  <si>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</si>
  <si>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</si>
  <si>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</si>
  <si>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</si>
  <si>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</si>
  <si>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</si>
  <si>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</si>
  <si>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</si>
  <si>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</si>
  <si>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</si>
  <si>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</si>
  <si>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</si>
  <si>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</si>
  <si>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</si>
  <si>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</si>
  <si>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</si>
  <si>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</si>
  <si>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</si>
  <si>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</si>
  <si>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</si>
  <si>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</si>
  <si>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</si>
  <si>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</si>
  <si>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</si>
  <si>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</si>
  <si>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</si>
  <si>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</si>
  <si>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</si>
  <si>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</si>
  <si>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</si>
  <si>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</si>
  <si>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</si>
  <si>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</si>
  <si>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</si>
  <si>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</si>
  <si>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</si>
  <si>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</si>
  <si>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</si>
  <si>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</si>
  <si>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</si>
  <si>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</si>
  <si>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</si>
  <si>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</si>
  <si>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</si>
  <si>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</si>
  <si>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</si>
  <si>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</si>
  <si>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</si>
  <si>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</si>
  <si>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</si>
  <si>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</si>
  <si>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</si>
  <si>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</si>
  <si>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</si>
  <si>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</si>
  <si>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</si>
  <si>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</si>
  <si>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</si>
  <si>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</si>
  <si>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</si>
  <si>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</si>
  <si>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</si>
  <si>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</si>
  <si>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</si>
  <si>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</si>
  <si>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</si>
  <si>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</si>
  <si>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</si>
  <si>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</si>
  <si>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</si>
  <si>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</si>
  <si>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</si>
  <si>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</si>
  <si>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</si>
  <si>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</si>
  <si>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</si>
  <si>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</si>
  <si>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</si>
  <si>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</si>
  <si>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</si>
  <si>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</si>
  <si>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</si>
  <si>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</si>
  <si>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</si>
  <si>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</si>
  <si>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</si>
  <si>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</si>
  <si>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</si>
  <si>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</si>
  <si>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</si>
  <si>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</si>
  <si>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</si>
  <si>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</si>
  <si>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</si>
  <si>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</si>
  <si>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</si>
  <si>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</si>
  <si>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</si>
  <si>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</si>
  <si>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</si>
  <si>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</si>
  <si>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</si>
  <si>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</si>
  <si>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</si>
  <si>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</si>
  <si>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</si>
  <si>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</si>
  <si>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</si>
  <si>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</si>
  <si>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</si>
  <si>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</si>
  <si>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</si>
  <si>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</si>
  <si>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</si>
  <si>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</si>
  <si>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</si>
  <si>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</si>
  <si>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</si>
  <si>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</si>
  <si>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</si>
  <si>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</si>
  <si>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</si>
  <si>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</si>
  <si>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</si>
  <si>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</si>
  <si>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</si>
  <si>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</si>
  <si>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</si>
  <si>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</si>
  <si>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</si>
  <si>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</si>
  <si>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</si>
  <si>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</si>
  <si>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</si>
  <si>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</si>
  <si>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</si>
  <si>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</si>
  <si>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</si>
  <si>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</si>
  <si>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</si>
  <si>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</si>
  <si>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</si>
  <si>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</si>
  <si>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</si>
  <si>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</si>
  <si>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</si>
  <si>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</si>
  <si>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</si>
  <si>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</si>
  <si>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</si>
  <si>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</si>
  <si>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</si>
  <si>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</si>
  <si>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</si>
  <si>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</si>
  <si>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</si>
  <si>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</si>
  <si>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</si>
  <si>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</si>
  <si>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</si>
  <si>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</si>
  <si>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</si>
  <si>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</si>
  <si>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</si>
  <si>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</si>
  <si>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</si>
  <si>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</si>
  <si>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</si>
  <si>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</si>
  <si>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</si>
  <si>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</si>
  <si>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</si>
  <si>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</si>
  <si>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</si>
  <si>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</si>
  <si>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</si>
  <si>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</si>
  <si>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Benguela</t>
  </si>
  <si>
    <t>Namibia</t>
  </si>
  <si>
    <t>BOX(10.7685524326509 -26.1858850548363,16.0824484205916 -16.060758915652)</t>
  </si>
  <si>
    <t>upwelling</t>
  </si>
  <si>
    <t>WetWeight</t>
  </si>
  <si>
    <t>; 05/01/09 08:40:55 AM; 2006/12/27 12:06:44 PM; 2006/12/31 01:19:00 PM; 2007/01/05 12:05:24 AM; 2007/02/23 12:48:12 PM; 07/01/2011 11:21:11 AM</t>
  </si>
  <si>
    <t>Watermeyer K.E.,Shannon L.J.,Roux J.P.,Griffiths C.L.(2008). Changes in the trophic structure of the northern Benguela before and after the onset of industrial fishing African Journal of Marine Science. pp 383-403</t>
  </si>
  <si>
    <t>Phytoplankton</t>
  </si>
  <si>
    <t>Microzooplankto</t>
  </si>
  <si>
    <t>Mesozooplankton</t>
  </si>
  <si>
    <t>Macrozooplankto</t>
  </si>
  <si>
    <t>Gelatinous zoop</t>
  </si>
  <si>
    <t>Meiobenthos</t>
  </si>
  <si>
    <t>Macrobenthos</t>
  </si>
  <si>
    <t>Sardine</t>
  </si>
  <si>
    <t>Anchovy</t>
  </si>
  <si>
    <t>Pelagic Goby</t>
  </si>
  <si>
    <t>Mesopelagics</t>
  </si>
  <si>
    <t>Other small pel</t>
  </si>
  <si>
    <t>Juvenile horse</t>
  </si>
  <si>
    <t>Adult horse mac</t>
  </si>
  <si>
    <t>Large pelagics</t>
  </si>
  <si>
    <t>Small M. capens</t>
  </si>
  <si>
    <t>Large M. capens</t>
  </si>
  <si>
    <t>Large M. parado</t>
  </si>
  <si>
    <t>Benthic-feeding</t>
  </si>
  <si>
    <t>Pelagic-feeding</t>
  </si>
  <si>
    <t>Chondrichthyans</t>
  </si>
  <si>
    <t>Seabirds</t>
  </si>
  <si>
    <t>Seals</t>
  </si>
  <si>
    <t>Cetaceans</t>
  </si>
  <si>
    <t>Detritus</t>
  </si>
  <si>
    <t>detritus_TerminalBenthic</t>
  </si>
  <si>
    <t>Pelagic</t>
  </si>
  <si>
    <t>Midwater</t>
  </si>
  <si>
    <t>Demersal</t>
  </si>
  <si>
    <t>Tuna</t>
  </si>
  <si>
    <t>Linefish</t>
  </si>
  <si>
    <t>Sealing</t>
  </si>
  <si>
    <t>Squid</t>
  </si>
  <si>
    <t>Other</t>
  </si>
  <si>
    <t>Import</t>
  </si>
  <si>
    <t>export</t>
  </si>
  <si>
    <t>sum</t>
  </si>
  <si>
    <t>TOTAL</t>
  </si>
  <si>
    <t>F Pelagic</t>
  </si>
  <si>
    <t>F Midwater</t>
  </si>
  <si>
    <t>F Demersal</t>
  </si>
  <si>
    <t>F Tuna</t>
  </si>
  <si>
    <t>F Linefish</t>
  </si>
  <si>
    <t>F Sealing</t>
  </si>
  <si>
    <t>F Squid</t>
  </si>
  <si>
    <t>F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</si>
</sst>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E8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76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0" t="s">
        <v>172</v>
      </c>
      <c r="C53" s="106">
        <v>503</v>
      </c>
      <c r="D53" s="106"/>
    </row>
    <row r="54" spans="2:4" x14ac:dyDescent="0.15">
      <c r="B54" s="170" t="s">
        <v>173</v>
      </c>
      <c r="C54" s="170" t="s">
        <v>186</v>
      </c>
      <c r="D54" s="106"/>
    </row>
    <row r="55" spans="2:4" x14ac:dyDescent="0.15">
      <c r="B55" s="170" t="s">
        <v>174</v>
      </c>
      <c r="C55" s="170" t="s">
        <v>187</v>
      </c>
      <c r="D55" s="106"/>
    </row>
    <row r="56" spans="2:4" x14ac:dyDescent="0.15">
      <c r="B56" s="170" t="s">
        <v>175</v>
      </c>
      <c r="C56" s="106">
        <v>179000</v>
      </c>
      <c r="D56" s="106"/>
    </row>
    <row r="57" spans="2:4" x14ac:dyDescent="0.15">
      <c r="B57" s="170" t="s">
        <v>176</v>
      </c>
      <c r="C57" s="170" t="s">
        <v>188</v>
      </c>
      <c r="D57" s="106"/>
    </row>
    <row r="58" spans="2:4" x14ac:dyDescent="0.15">
      <c r="B58" s="170" t="s">
        <v>177</v>
      </c>
      <c r="C58" s="170" t="s">
        <v>189</v>
      </c>
      <c r="D58" s="106"/>
    </row>
    <row r="59" spans="2:4" x14ac:dyDescent="0.15">
      <c r="B59" s="170" t="s">
        <v>178</v>
      </c>
      <c r="C59" s="170" t="s">
        <v>190</v>
      </c>
      <c r="D59" s="106"/>
    </row>
    <row r="60" spans="2:4" x14ac:dyDescent="0.15">
      <c r="B60" s="170" t="s">
        <v>179</v>
      </c>
      <c r="C60" s="170" t="s">
        <v>191</v>
      </c>
      <c r="D60" s="106"/>
    </row>
    <row r="61" spans="2:4" x14ac:dyDescent="0.15">
      <c r="B61" s="170" t="s">
        <v>180</v>
      </c>
      <c r="C61" s="106">
        <v>26</v>
      </c>
      <c r="D61" s="106"/>
    </row>
    <row r="62" spans="2:4" x14ac:dyDescent="0.15">
      <c r="B62" s="170" t="s">
        <v>181</v>
      </c>
      <c r="C62" s="106">
        <v>8</v>
      </c>
      <c r="D62" s="106"/>
    </row>
    <row r="63" spans="2:4" x14ac:dyDescent="0.15">
      <c r="B63" s="170" t="s">
        <v>182</v>
      </c>
      <c r="C63" s="106">
        <v>1990</v>
      </c>
      <c r="D63" s="106"/>
    </row>
    <row r="64" spans="2:4" x14ac:dyDescent="0.15">
      <c r="B64" s="170" t="s">
        <v>183</v>
      </c>
      <c r="C64" s="106">
        <v>1</v>
      </c>
      <c r="D64" s="106"/>
    </row>
    <row r="65" spans="2:4" x14ac:dyDescent="0.15">
      <c r="B65" s="170" t="s">
        <v>184</v>
      </c>
      <c r="C65" s="170" t="s">
        <v>192</v>
      </c>
      <c r="D65" s="106"/>
    </row>
    <row r="66" spans="2:4" x14ac:dyDescent="0.15">
      <c r="B66" s="170" t="s">
        <v>185</v>
      </c>
      <c r="D66" s="106"/>
    </row>
    <row r="67" spans="2:4" x14ac:dyDescent="0.15">
      <c r="B67" s="106"/>
      <c r="C67" s="106"/>
      <c r="D67" s="106"/>
    </row>
    <row r="68" spans="2:4" x14ac:dyDescent="0.15">
      <c r="B68" s="106"/>
      <c r="C68" s="106"/>
      <c r="D68" s="10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21.6640625" style="81" bestFit="1" customWidth="1"/>
    <col min="6" max="6" width="2.33203125" style="81" bestFit="1" customWidth="1"/>
    <col min="7" max="7" width="10.83203125" style="81" bestFit="1" customWidth="1"/>
    <col min="8" max="8" width="8.83203125" style="81" customWidth="1"/>
    <col min="9" max="9" width="7.83203125" style="81" customWidth="1"/>
    <col min="10" max="10" width="11.83203125" style="81" customWidth="1"/>
    <col min="11" max="11" width="13.83203125" style="81" customWidth="1"/>
    <col min="12" max="12" width="2.33203125" style="81" customWidth="1"/>
    <col min="13" max="13" width="4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1" t="s">
        <v>193</v>
      </c>
      <c r="F2" s="81">
        <v>1</v>
      </c>
      <c r="G2" s="81">
        <v>203.66399999999999</v>
      </c>
      <c r="H2" s="81">
        <v>35.700000000000003</v>
      </c>
      <c r="I2" s="6">
        <v>0</v>
      </c>
      <c r="J2" s="6">
        <v>0.69828920000000005</v>
      </c>
      <c r="K2" s="6">
        <v>0</v>
      </c>
      <c r="L2" s="6">
        <v>0</v>
      </c>
      <c r="M2" s="81">
        <v>0</v>
      </c>
      <c r="N2" s="81">
        <v>0</v>
      </c>
    </row>
    <row r="3" spans="1:46" ht="15" customHeight="1" x14ac:dyDescent="0.15">
      <c r="A3" s="1" t="s">
        <v>9</v>
      </c>
      <c r="B3" s="4">
        <v>25</v>
      </c>
      <c r="C3" s="81">
        <v>2</v>
      </c>
      <c r="D3"/>
      <c r="E3" s="171" t="s">
        <v>194</v>
      </c>
      <c r="F3" s="81">
        <v>0</v>
      </c>
      <c r="G3" s="81">
        <v>3.6453289999999998</v>
      </c>
      <c r="H3" s="81">
        <v>482</v>
      </c>
      <c r="I3" s="81">
        <v>1928</v>
      </c>
      <c r="J3" s="81">
        <v>0.9</v>
      </c>
      <c r="K3" s="81">
        <v>0.25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1" t="s">
        <v>195</v>
      </c>
      <c r="F4" s="81">
        <v>0</v>
      </c>
      <c r="G4" s="81">
        <v>17.379570000000001</v>
      </c>
      <c r="H4" s="81">
        <v>40</v>
      </c>
      <c r="I4" s="81">
        <v>133.333</v>
      </c>
      <c r="J4" s="81">
        <v>0.9</v>
      </c>
      <c r="K4" s="81">
        <v>0.30000075700000001</v>
      </c>
      <c r="L4" s="81">
        <v>0</v>
      </c>
      <c r="M4" s="81">
        <v>0.35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8</v>
      </c>
      <c r="C5" s="81">
        <v>4</v>
      </c>
      <c r="D5"/>
      <c r="E5" s="171" t="s">
        <v>196</v>
      </c>
      <c r="F5" s="81">
        <v>0</v>
      </c>
      <c r="G5" s="81">
        <v>19.7212639</v>
      </c>
      <c r="H5" s="81">
        <v>13</v>
      </c>
      <c r="I5" s="81">
        <v>31.707000000000001</v>
      </c>
      <c r="J5" s="81">
        <v>0.9</v>
      </c>
      <c r="K5" s="81">
        <v>0.41000407900000002</v>
      </c>
      <c r="L5" s="81">
        <v>0</v>
      </c>
      <c r="M5" s="81">
        <v>0.2</v>
      </c>
      <c r="N5" s="81">
        <v>0</v>
      </c>
      <c r="P5" s="71"/>
      <c r="Q5" s="71"/>
      <c r="R5" s="71"/>
    </row>
    <row r="6" spans="1:46" ht="15" customHeight="1" thickBot="1" x14ac:dyDescent="0.2">
      <c r="B6" s="1"/>
      <c r="C6" s="81">
        <v>5</v>
      </c>
      <c r="D6"/>
      <c r="E6" s="171" t="s">
        <v>197</v>
      </c>
      <c r="F6" s="81">
        <v>0</v>
      </c>
      <c r="G6" s="81">
        <v>245.66</v>
      </c>
      <c r="H6" s="81">
        <v>0.44</v>
      </c>
      <c r="I6" s="81">
        <v>1.4670000000000001</v>
      </c>
      <c r="J6" s="81">
        <v>0.14987558100000001</v>
      </c>
      <c r="K6" s="81">
        <v>0.29993182400000001</v>
      </c>
      <c r="L6" s="81">
        <v>0</v>
      </c>
      <c r="M6" s="81">
        <v>0.2</v>
      </c>
      <c r="N6" s="81">
        <v>0</v>
      </c>
      <c r="P6" s="71"/>
      <c r="Q6" s="71"/>
      <c r="R6" s="71"/>
      <c r="W6" s="36" t="s">
        <v>31</v>
      </c>
      <c r="X6" s="52">
        <f>MAX(MainOutputs!G:G)</f>
        <v>0.9991268515586853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211</v>
      </c>
      <c r="C7" s="81">
        <v>6</v>
      </c>
      <c r="D7"/>
      <c r="E7" s="171" t="s">
        <v>198</v>
      </c>
      <c r="F7" s="81">
        <v>0</v>
      </c>
      <c r="G7" s="81">
        <v>46.429470000000002</v>
      </c>
      <c r="H7" s="81">
        <v>8</v>
      </c>
      <c r="I7" s="81">
        <v>33</v>
      </c>
      <c r="J7" s="81">
        <v>0.999</v>
      </c>
      <c r="K7" s="81">
        <v>0.24242425000000001</v>
      </c>
      <c r="L7" s="81">
        <v>0</v>
      </c>
      <c r="M7" s="81">
        <v>0.2</v>
      </c>
      <c r="N7" s="81">
        <v>0</v>
      </c>
      <c r="P7" s="71"/>
      <c r="Q7" s="71"/>
      <c r="R7" s="71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45</v>
      </c>
      <c r="C8" s="81">
        <v>7</v>
      </c>
      <c r="D8"/>
      <c r="E8" s="171" t="s">
        <v>199</v>
      </c>
      <c r="F8" s="81">
        <v>0</v>
      </c>
      <c r="G8" s="81">
        <v>22.419002500000001</v>
      </c>
      <c r="H8" s="81">
        <v>1.2</v>
      </c>
      <c r="I8" s="81">
        <v>10</v>
      </c>
      <c r="J8" s="81">
        <v>0.999</v>
      </c>
      <c r="K8" s="81">
        <v>0.12000000500000001</v>
      </c>
      <c r="L8" s="81">
        <v>0</v>
      </c>
      <c r="M8" s="81">
        <v>0.2</v>
      </c>
      <c r="N8" s="81">
        <v>0</v>
      </c>
      <c r="P8" s="71"/>
      <c r="Q8" s="71"/>
      <c r="R8" s="71"/>
    </row>
    <row r="9" spans="1:46" ht="15" customHeight="1" x14ac:dyDescent="0.15">
      <c r="B9" s="1"/>
      <c r="C9" s="81">
        <v>8</v>
      </c>
      <c r="D9"/>
      <c r="E9" s="171" t="s">
        <v>200</v>
      </c>
      <c r="F9" s="81">
        <v>0</v>
      </c>
      <c r="G9" s="81">
        <v>0.43829304000000002</v>
      </c>
      <c r="H9" s="81">
        <v>1.35</v>
      </c>
      <c r="I9" s="81">
        <v>14</v>
      </c>
      <c r="J9" s="81">
        <v>0.999</v>
      </c>
      <c r="K9" s="81">
        <v>9.6428570000000005E-2</v>
      </c>
      <c r="L9" s="81">
        <v>0</v>
      </c>
      <c r="M9" s="81">
        <v>0.35</v>
      </c>
      <c r="N9" s="81">
        <v>0</v>
      </c>
      <c r="P9" s="71"/>
      <c r="Q9" s="71"/>
      <c r="R9" s="71"/>
    </row>
    <row r="10" spans="1:46" ht="15" customHeight="1" x14ac:dyDescent="0.15">
      <c r="B10" s="1"/>
      <c r="C10" s="81">
        <v>9</v>
      </c>
      <c r="D10"/>
      <c r="E10" s="171" t="s">
        <v>201</v>
      </c>
      <c r="F10" s="81">
        <v>0</v>
      </c>
      <c r="G10" s="81">
        <v>0.15</v>
      </c>
      <c r="H10" s="81">
        <v>1.8</v>
      </c>
      <c r="I10" s="81">
        <v>18</v>
      </c>
      <c r="J10" s="81">
        <v>0.95425265999999997</v>
      </c>
      <c r="K10" s="81">
        <v>9.9999993999999995E-2</v>
      </c>
      <c r="L10" s="81">
        <v>0</v>
      </c>
      <c r="M10" s="81">
        <v>0.35</v>
      </c>
      <c r="N10" s="81">
        <v>0</v>
      </c>
    </row>
    <row r="11" spans="1:46" ht="15" customHeight="1" x14ac:dyDescent="0.15">
      <c r="C11" s="81">
        <v>10</v>
      </c>
      <c r="D11"/>
      <c r="E11" s="171" t="s">
        <v>202</v>
      </c>
      <c r="F11" s="81">
        <v>0</v>
      </c>
      <c r="G11" s="81">
        <v>19.999195100000001</v>
      </c>
      <c r="H11" s="81">
        <v>1.8</v>
      </c>
      <c r="I11" s="81">
        <v>12</v>
      </c>
      <c r="J11" s="81">
        <v>0.999</v>
      </c>
      <c r="K11" s="81">
        <v>0.149999991</v>
      </c>
      <c r="L11" s="81">
        <v>0</v>
      </c>
      <c r="M11" s="81">
        <v>0.35</v>
      </c>
      <c r="N11" s="81">
        <v>0</v>
      </c>
    </row>
    <row r="12" spans="1:46" ht="15" customHeight="1" x14ac:dyDescent="0.15">
      <c r="C12" s="81">
        <v>11</v>
      </c>
      <c r="D12"/>
      <c r="E12" s="171" t="s">
        <v>203</v>
      </c>
      <c r="F12" s="81">
        <v>0</v>
      </c>
      <c r="G12" s="81">
        <v>10.5472918</v>
      </c>
      <c r="H12" s="81">
        <v>1.23</v>
      </c>
      <c r="I12" s="81">
        <v>12.3</v>
      </c>
      <c r="J12" s="81">
        <v>0.999</v>
      </c>
      <c r="K12" s="81">
        <v>0.1</v>
      </c>
      <c r="L12" s="81">
        <v>0</v>
      </c>
      <c r="M12" s="81">
        <v>0.35</v>
      </c>
      <c r="N12" s="81">
        <v>0</v>
      </c>
    </row>
    <row r="13" spans="1:46" ht="15" customHeight="1" x14ac:dyDescent="0.15">
      <c r="C13" s="81">
        <v>12</v>
      </c>
      <c r="D13"/>
      <c r="E13" s="171" t="s">
        <v>166</v>
      </c>
      <c r="F13" s="81">
        <v>0</v>
      </c>
      <c r="G13" s="81">
        <v>1.8643778600000001</v>
      </c>
      <c r="H13" s="81">
        <v>5</v>
      </c>
      <c r="I13" s="81">
        <v>15</v>
      </c>
      <c r="J13" s="81">
        <v>0.999</v>
      </c>
      <c r="K13" s="81">
        <v>0.333333343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71" t="s">
        <v>204</v>
      </c>
      <c r="F14" s="81">
        <v>0</v>
      </c>
      <c r="G14" s="81">
        <v>7.4803814900000001</v>
      </c>
      <c r="H14" s="81">
        <v>0.95822399999999996</v>
      </c>
      <c r="I14" s="81">
        <v>9.3493399999999998</v>
      </c>
      <c r="J14" s="81">
        <v>0.999</v>
      </c>
      <c r="K14" s="81">
        <v>0.102491081</v>
      </c>
      <c r="L14" s="81">
        <v>0</v>
      </c>
      <c r="M14" s="81">
        <v>0.35</v>
      </c>
      <c r="N14" s="81">
        <v>0</v>
      </c>
    </row>
    <row r="15" spans="1:46" ht="15" customHeight="1" x14ac:dyDescent="0.15">
      <c r="C15" s="81">
        <v>14</v>
      </c>
      <c r="D15"/>
      <c r="E15" s="171" t="s">
        <v>205</v>
      </c>
      <c r="F15" s="81">
        <v>0</v>
      </c>
      <c r="G15" s="81">
        <v>4.4099570000000003</v>
      </c>
      <c r="H15" s="81">
        <v>1.2</v>
      </c>
      <c r="I15" s="81">
        <v>10</v>
      </c>
      <c r="J15" s="81">
        <v>0.999</v>
      </c>
      <c r="K15" s="81">
        <v>0.12000000500000001</v>
      </c>
      <c r="L15" s="81">
        <v>0</v>
      </c>
      <c r="M15" s="81">
        <v>0.35</v>
      </c>
      <c r="N15" s="81">
        <v>0</v>
      </c>
    </row>
    <row r="16" spans="1:46" ht="15" customHeight="1" x14ac:dyDescent="0.15">
      <c r="C16" s="81">
        <v>15</v>
      </c>
      <c r="D16"/>
      <c r="E16" s="171" t="s">
        <v>206</v>
      </c>
      <c r="F16" s="81">
        <v>0</v>
      </c>
      <c r="G16" s="81">
        <v>5.3620000000000001</v>
      </c>
      <c r="H16" s="81">
        <v>0.8</v>
      </c>
      <c r="I16" s="81">
        <v>5.3330000000000002</v>
      </c>
      <c r="J16" s="81">
        <v>0.64858199999999999</v>
      </c>
      <c r="K16" s="81">
        <v>0.150009379</v>
      </c>
      <c r="L16" s="81">
        <v>0</v>
      </c>
      <c r="M16" s="81">
        <v>0.3</v>
      </c>
      <c r="N16" s="81">
        <v>0</v>
      </c>
    </row>
    <row r="17" spans="1:22" ht="15" customHeight="1" x14ac:dyDescent="0.15">
      <c r="C17" s="81">
        <v>16</v>
      </c>
      <c r="D17"/>
      <c r="E17" s="171" t="s">
        <v>207</v>
      </c>
      <c r="F17" s="81">
        <v>0</v>
      </c>
      <c r="G17" s="81">
        <v>0.188</v>
      </c>
      <c r="H17" s="81">
        <v>0.5</v>
      </c>
      <c r="I17" s="81">
        <v>5</v>
      </c>
      <c r="J17" s="81">
        <v>0.275551349</v>
      </c>
      <c r="K17" s="81">
        <v>0.1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1" t="s">
        <v>208</v>
      </c>
      <c r="F18" s="81">
        <v>0</v>
      </c>
      <c r="G18" s="81">
        <v>2.0691519999999999</v>
      </c>
      <c r="H18" s="81">
        <v>2</v>
      </c>
      <c r="I18" s="81">
        <v>13.333299999999999</v>
      </c>
      <c r="J18" s="81">
        <v>0.999</v>
      </c>
      <c r="K18" s="81">
        <v>0.15000037799999999</v>
      </c>
      <c r="L18" s="81">
        <v>0</v>
      </c>
      <c r="M18" s="81">
        <v>0.35</v>
      </c>
      <c r="N18" s="81">
        <v>0</v>
      </c>
      <c r="V18" s="1"/>
    </row>
    <row r="19" spans="1:22" ht="15" customHeight="1" x14ac:dyDescent="0.15">
      <c r="C19" s="81">
        <v>18</v>
      </c>
      <c r="D19"/>
      <c r="E19" s="171" t="s">
        <v>209</v>
      </c>
      <c r="F19" s="81">
        <v>0</v>
      </c>
      <c r="G19" s="81">
        <v>3.3279999999999998</v>
      </c>
      <c r="H19" s="81">
        <v>1.2282500000000001</v>
      </c>
      <c r="I19" s="81">
        <v>7.8243999999999998</v>
      </c>
      <c r="J19" s="81">
        <v>0.92762460000000002</v>
      </c>
      <c r="K19" s="81">
        <v>0.1569769</v>
      </c>
      <c r="L19" s="81">
        <v>0</v>
      </c>
      <c r="M19" s="81">
        <v>0.2</v>
      </c>
      <c r="N19" s="81">
        <v>0</v>
      </c>
    </row>
    <row r="20" spans="1:22" ht="15" customHeight="1" thickBot="1" x14ac:dyDescent="0.2">
      <c r="C20" s="81">
        <v>19</v>
      </c>
      <c r="D20"/>
      <c r="E20" s="171" t="s">
        <v>210</v>
      </c>
      <c r="F20" s="81">
        <v>0</v>
      </c>
      <c r="G20" s="81">
        <v>1.8939999999999999</v>
      </c>
      <c r="H20" s="81">
        <v>1.140021</v>
      </c>
      <c r="I20" s="81">
        <v>7.2774999999999999</v>
      </c>
      <c r="J20" s="81">
        <v>0.65618973999999997</v>
      </c>
      <c r="K20" s="81">
        <v>0.156650081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7" t="s">
        <v>137</v>
      </c>
      <c r="B21" s="99"/>
      <c r="C21" s="81">
        <v>20</v>
      </c>
      <c r="D21"/>
      <c r="E21" s="171" t="s">
        <v>211</v>
      </c>
      <c r="F21" s="81">
        <v>0</v>
      </c>
      <c r="G21" s="81">
        <v>2.5472049999999999</v>
      </c>
      <c r="H21" s="81">
        <v>1</v>
      </c>
      <c r="I21" s="81">
        <v>5</v>
      </c>
      <c r="J21" s="81">
        <v>0.999</v>
      </c>
      <c r="K21" s="81">
        <v>0.2</v>
      </c>
      <c r="L21" s="81">
        <v>0</v>
      </c>
      <c r="M21" s="81">
        <v>0.2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1" t="s">
        <v>212</v>
      </c>
      <c r="F22" s="81">
        <v>0</v>
      </c>
      <c r="G22" s="81">
        <v>1.30019784</v>
      </c>
      <c r="H22" s="81">
        <v>1</v>
      </c>
      <c r="I22" s="81">
        <v>5</v>
      </c>
      <c r="J22" s="81">
        <v>0.999</v>
      </c>
      <c r="K22" s="81">
        <v>0.2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1" t="s">
        <v>213</v>
      </c>
      <c r="F23" s="81">
        <v>0</v>
      </c>
      <c r="G23" s="81">
        <v>0.36</v>
      </c>
      <c r="H23" s="81">
        <v>0.5</v>
      </c>
      <c r="I23" s="81">
        <v>3.3332999999999999</v>
      </c>
      <c r="J23" s="81">
        <v>0.66666009999999998</v>
      </c>
      <c r="K23" s="81">
        <v>0.15000150000000001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1" t="s">
        <v>214</v>
      </c>
      <c r="F24" s="81">
        <v>0</v>
      </c>
      <c r="G24" s="81">
        <v>4.0000000000000001E-3</v>
      </c>
      <c r="H24" s="81">
        <v>0.156</v>
      </c>
      <c r="I24" s="81">
        <v>120.3</v>
      </c>
      <c r="J24" s="81">
        <v>0.60761100000000001</v>
      </c>
      <c r="K24" s="81">
        <v>1.29675807E-3</v>
      </c>
      <c r="L24" s="81">
        <v>0</v>
      </c>
      <c r="M24" s="81">
        <v>0.26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1" t="s">
        <v>215</v>
      </c>
      <c r="F25" s="81">
        <v>0</v>
      </c>
      <c r="G25" s="81">
        <v>0.253</v>
      </c>
      <c r="H25" s="81">
        <v>0.28999999999999998</v>
      </c>
      <c r="I25" s="81">
        <v>18.25</v>
      </c>
      <c r="J25" s="81">
        <v>0.17056191000000001</v>
      </c>
      <c r="K25" s="81">
        <v>1.5890410000000001E-2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1" t="s">
        <v>216</v>
      </c>
      <c r="F26" s="81">
        <v>0</v>
      </c>
      <c r="G26" s="81">
        <v>1.9E-2</v>
      </c>
      <c r="H26" s="81">
        <v>0.15</v>
      </c>
      <c r="I26" s="81">
        <v>7.4183000000000003</v>
      </c>
      <c r="J26" s="81">
        <v>0</v>
      </c>
      <c r="K26" s="81">
        <v>2.02202667E-2</v>
      </c>
      <c r="L26" s="81">
        <v>0</v>
      </c>
      <c r="M26" s="81">
        <v>0.21</v>
      </c>
      <c r="N26" s="81">
        <v>0</v>
      </c>
    </row>
    <row r="27" spans="1:22" ht="15" customHeight="1" x14ac:dyDescent="0.15">
      <c r="C27" s="81">
        <v>26</v>
      </c>
      <c r="D27"/>
      <c r="E27" s="171" t="s">
        <v>217</v>
      </c>
      <c r="F27" s="81">
        <v>2</v>
      </c>
      <c r="G27" s="81">
        <v>0</v>
      </c>
      <c r="H27" s="81">
        <v>0</v>
      </c>
      <c r="I27" s="81">
        <v>0</v>
      </c>
      <c r="J27" s="81">
        <v>0.3401479</v>
      </c>
      <c r="K27" s="81">
        <v>0</v>
      </c>
      <c r="L27" s="81">
        <v>0</v>
      </c>
      <c r="M27" s="81">
        <v>0</v>
      </c>
      <c r="N27" s="81">
        <v>0</v>
      </c>
    </row>
    <row r="28" spans="1:22" ht="15" customHeight="1" x14ac:dyDescent="0.15">
      <c r="C28" s="81">
        <v>27</v>
      </c>
      <c r="D28"/>
      <c r="E28" s="171" t="s">
        <v>218</v>
      </c>
      <c r="F28" s="81">
        <v>2</v>
      </c>
      <c r="G28" s="81">
        <v>5</v>
      </c>
      <c r="H28" s="81">
        <v>0</v>
      </c>
      <c r="I28" s="81">
        <v>0</v>
      </c>
      <c r="J28" s="81">
        <v>0</v>
      </c>
      <c r="K28" s="81">
        <v>0</v>
      </c>
      <c r="L28" s="81">
        <v>0</v>
      </c>
      <c r="M28" s="81">
        <v>0</v>
      </c>
      <c r="N28" s="81">
        <v>0</v>
      </c>
    </row>
    <row r="29" spans="1:22" customFormat="1" ht="15" customHeight="1" x14ac:dyDescent="0.15">
      <c r="C29" s="81">
        <v>28</v>
      </c>
      <c r="E29" s="171" t="s">
        <v>219</v>
      </c>
      <c r="F29" s="81">
        <v>3</v>
      </c>
      <c r="G29" s="81">
        <v>0</v>
      </c>
      <c r="H29" s="81">
        <v>0</v>
      </c>
      <c r="I29" s="81">
        <v>0</v>
      </c>
      <c r="J29" s="81">
        <v>0</v>
      </c>
      <c r="K29" s="81">
        <v>0</v>
      </c>
      <c r="L29" s="81">
        <v>0</v>
      </c>
      <c r="M29" s="81">
        <v>0</v>
      </c>
      <c r="N29" s="81">
        <v>0</v>
      </c>
    </row>
    <row r="30" spans="1:22" customFormat="1" ht="15" customHeight="1" x14ac:dyDescent="0.15">
      <c r="C30" s="81">
        <v>29</v>
      </c>
      <c r="E30" s="171" t="s">
        <v>220</v>
      </c>
      <c r="F30" s="81">
        <v>3</v>
      </c>
      <c r="G30" s="81">
        <v>0</v>
      </c>
      <c r="H30" s="81">
        <v>0</v>
      </c>
      <c r="I30" s="81">
        <v>0</v>
      </c>
      <c r="J30" s="81">
        <v>0</v>
      </c>
      <c r="K30" s="81">
        <v>0</v>
      </c>
      <c r="L30" s="81">
        <v>0</v>
      </c>
      <c r="M30" s="81">
        <v>0</v>
      </c>
      <c r="N30" s="81">
        <v>0</v>
      </c>
    </row>
    <row r="31" spans="1:22" customFormat="1" ht="15" customHeight="1" x14ac:dyDescent="0.15">
      <c r="C31" s="81">
        <v>30</v>
      </c>
      <c r="E31" s="171" t="s">
        <v>221</v>
      </c>
      <c r="F31" s="81">
        <v>3</v>
      </c>
      <c r="G31" s="81">
        <v>0</v>
      </c>
      <c r="H31" s="81">
        <v>0</v>
      </c>
      <c r="I31" s="81">
        <v>0</v>
      </c>
      <c r="J31" s="81">
        <v>0</v>
      </c>
      <c r="K31" s="81">
        <v>0</v>
      </c>
      <c r="L31" s="81">
        <v>0</v>
      </c>
      <c r="M31" s="81">
        <v>0</v>
      </c>
      <c r="N31" s="81">
        <v>0</v>
      </c>
    </row>
    <row r="32" spans="1:22" customFormat="1" ht="15" customHeight="1" x14ac:dyDescent="0.15">
      <c r="C32" s="81">
        <v>31</v>
      </c>
      <c r="E32" s="171" t="s">
        <v>222</v>
      </c>
      <c r="F32" s="81">
        <v>3</v>
      </c>
      <c r="G32" s="81">
        <v>0</v>
      </c>
      <c r="H32" s="81">
        <v>0</v>
      </c>
      <c r="I32" s="81">
        <v>0</v>
      </c>
      <c r="J32" s="81">
        <v>0</v>
      </c>
      <c r="K32" s="81">
        <v>0</v>
      </c>
      <c r="L32" s="81">
        <v>0</v>
      </c>
      <c r="M32" s="81">
        <v>0</v>
      </c>
      <c r="N32" s="81">
        <v>0</v>
      </c>
    </row>
    <row r="33" spans="3:14" customFormat="1" ht="15" customHeight="1" x14ac:dyDescent="0.15">
      <c r="C33" s="81">
        <v>32</v>
      </c>
      <c r="E33" s="171" t="s">
        <v>223</v>
      </c>
      <c r="F33" s="81">
        <v>3</v>
      </c>
      <c r="G33" s="81">
        <v>0</v>
      </c>
      <c r="H33" s="81">
        <v>0</v>
      </c>
      <c r="I33" s="81">
        <v>0</v>
      </c>
      <c r="J33" s="81">
        <v>0</v>
      </c>
      <c r="K33" s="81">
        <v>0</v>
      </c>
      <c r="L33" s="81">
        <v>0</v>
      </c>
      <c r="M33" s="81">
        <v>0</v>
      </c>
      <c r="N33" s="81">
        <v>0</v>
      </c>
    </row>
    <row r="34" spans="3:14" customFormat="1" ht="15" customHeight="1" x14ac:dyDescent="0.15">
      <c r="C34" s="81">
        <v>33</v>
      </c>
      <c r="E34" s="171" t="s">
        <v>224</v>
      </c>
      <c r="F34" s="81">
        <v>3</v>
      </c>
      <c r="G34" s="81">
        <v>0</v>
      </c>
      <c r="H34" s="81">
        <v>0</v>
      </c>
      <c r="I34" s="81">
        <v>0</v>
      </c>
      <c r="J34" s="81">
        <v>0</v>
      </c>
      <c r="K34" s="81">
        <v>0</v>
      </c>
      <c r="L34" s="81">
        <v>0</v>
      </c>
      <c r="M34" s="81">
        <v>0</v>
      </c>
      <c r="N34" s="81">
        <v>0</v>
      </c>
    </row>
    <row r="35" spans="3:14" customFormat="1" ht="15" customHeight="1" x14ac:dyDescent="0.15">
      <c r="C35" s="81">
        <v>34</v>
      </c>
      <c r="E35" s="171" t="s">
        <v>225</v>
      </c>
      <c r="F35" s="81">
        <v>3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0</v>
      </c>
      <c r="N35" s="81">
        <v>0</v>
      </c>
    </row>
    <row r="36" spans="3:14" customFormat="1" ht="15" customHeight="1" x14ac:dyDescent="0.15">
      <c r="C36" s="81">
        <v>35</v>
      </c>
      <c r="E36" s="171" t="s">
        <v>226</v>
      </c>
      <c r="F36" s="81">
        <v>3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0</v>
      </c>
      <c r="N36" s="81">
        <v>0</v>
      </c>
    </row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7" bestFit="1" customWidth="1"/>
    <col min="2" max="2" width="2.33203125" style="137" bestFit="1" customWidth="1"/>
    <col min="3" max="3" width="4.83203125" style="137" bestFit="1" customWidth="1"/>
    <col min="4" max="5" width="3.83203125" style="137" bestFit="1" customWidth="1"/>
    <col min="6" max="6" width="11.83203125" style="137" bestFit="1" customWidth="1"/>
    <col min="7" max="7" width="2.33203125" style="137" bestFit="1" customWidth="1"/>
    <col min="8" max="10" width="4.83203125" style="137" bestFit="1" customWidth="1"/>
    <col min="11" max="11" width="5.83203125" style="137" bestFit="1" customWidth="1"/>
    <col min="12" max="12" width="3.83203125" style="137" bestFit="1" customWidth="1"/>
    <col min="13" max="13" width="5.83203125" style="137" bestFit="1" customWidth="1"/>
    <col min="14" max="14" width="14.83203125" style="137" bestFit="1" customWidth="1"/>
    <col min="15" max="15" width="3.83203125" style="137" bestFit="1" customWidth="1"/>
    <col min="16" max="16" width="4.83203125" style="137" bestFit="1" customWidth="1"/>
    <col min="17" max="18" width="5.83203125" style="137" bestFit="1" customWidth="1"/>
    <col min="19" max="19" width="14.83203125" style="137" bestFit="1" customWidth="1"/>
    <col min="20" max="21" width="5.83203125" style="137" bestFit="1" customWidth="1"/>
    <col min="22" max="22" width="14.83203125" style="137" bestFit="1" customWidth="1"/>
    <col min="23" max="23" width="5.83203125" style="137" bestFit="1" customWidth="1"/>
    <col min="24" max="25" width="13.83203125" style="137" bestFit="1" customWidth="1"/>
    <col min="26" max="26" width="7.83203125" style="137" bestFit="1" customWidth="1"/>
    <col min="27" max="28" width="2.33203125" style="137" bestFit="1" customWidth="1"/>
    <col min="29" max="29" width="9" style="137" bestFit="1" customWidth="1"/>
    <col min="30" max="16384" width="8.83203125" style="137"/>
  </cols>
  <sheetData>
    <row r="1" spans="1:34" x14ac:dyDescent="0.15">
      <c r="A1" s="136" t="s">
        <v>19</v>
      </c>
      <c r="B1" s="173" t="s">
        <v>193</v>
      </c>
      <c r="C1" s="173" t="s">
        <v>194</v>
      </c>
      <c r="D1" s="173" t="s">
        <v>195</v>
      </c>
      <c r="E1" s="173" t="s">
        <v>196</v>
      </c>
      <c r="F1" s="173" t="s">
        <v>197</v>
      </c>
      <c r="G1" s="173" t="s">
        <v>198</v>
      </c>
      <c r="H1" s="173" t="s">
        <v>199</v>
      </c>
      <c r="I1" s="173" t="s">
        <v>200</v>
      </c>
      <c r="J1" s="173" t="s">
        <v>201</v>
      </c>
      <c r="K1" s="173" t="s">
        <v>202</v>
      </c>
      <c r="L1" s="173" t="s">
        <v>203</v>
      </c>
      <c r="M1" s="173" t="s">
        <v>166</v>
      </c>
      <c r="N1" s="173" t="s">
        <v>204</v>
      </c>
      <c r="O1" s="173" t="s">
        <v>205</v>
      </c>
      <c r="P1" s="173" t="s">
        <v>206</v>
      </c>
      <c r="Q1" s="173" t="s">
        <v>207</v>
      </c>
      <c r="R1" s="173" t="s">
        <v>208</v>
      </c>
      <c r="S1" s="173" t="s">
        <v>209</v>
      </c>
      <c r="T1" s="173" t="s">
        <v>210</v>
      </c>
      <c r="U1" s="173" t="s">
        <v>211</v>
      </c>
      <c r="V1" s="173" t="s">
        <v>212</v>
      </c>
      <c r="W1" s="173" t="s">
        <v>213</v>
      </c>
      <c r="X1" s="173" t="s">
        <v>214</v>
      </c>
      <c r="Y1" s="173" t="s">
        <v>215</v>
      </c>
      <c r="Z1" s="173" t="s">
        <v>216</v>
      </c>
      <c r="AA1" s="173" t="s">
        <v>217</v>
      </c>
      <c r="AB1" s="173" t="s">
        <v>218</v>
      </c>
      <c r="AC1"/>
      <c r="AD1"/>
      <c r="AE1"/>
      <c r="AF1"/>
      <c r="AG1"/>
      <c r="AH1"/>
    </row>
    <row r="2" spans="1:34" customFormat="1" x14ac:dyDescent="0.15">
      <c r="A2" s="172" t="s">
        <v>193</v>
      </c>
      <c r="B2" s="137">
        <v>0</v>
      </c>
      <c r="C2" s="137">
        <v>0.47</v>
      </c>
      <c r="D2" s="137">
        <v>0.5</v>
      </c>
      <c r="E2" s="137">
        <v>0.6</v>
      </c>
      <c r="F2" s="137">
        <v>1.9999998000000199E-2</v>
      </c>
      <c r="G2" s="137">
        <v>0</v>
      </c>
      <c r="H2" s="137">
        <v>0</v>
      </c>
      <c r="I2" s="137">
        <v>0.56000000000000005</v>
      </c>
      <c r="J2" s="137">
        <v>0.33</v>
      </c>
      <c r="K2" s="137">
        <v>0</v>
      </c>
      <c r="L2" s="137">
        <v>0</v>
      </c>
      <c r="M2" s="137">
        <v>0</v>
      </c>
      <c r="N2" s="137">
        <v>7.4700224100672308E-3</v>
      </c>
      <c r="O2" s="137">
        <v>0</v>
      </c>
      <c r="P2" s="137">
        <v>0</v>
      </c>
      <c r="Q2" s="137">
        <v>0</v>
      </c>
      <c r="R2" s="137">
        <v>0</v>
      </c>
      <c r="S2" s="137">
        <v>0</v>
      </c>
      <c r="T2" s="137">
        <v>0</v>
      </c>
      <c r="U2" s="137">
        <v>0</v>
      </c>
      <c r="V2" s="137">
        <v>0</v>
      </c>
      <c r="W2" s="137">
        <v>0</v>
      </c>
      <c r="X2" s="137">
        <v>0</v>
      </c>
      <c r="Y2" s="137">
        <v>0</v>
      </c>
      <c r="Z2" s="137">
        <v>0</v>
      </c>
      <c r="AA2" s="137">
        <v>0</v>
      </c>
      <c r="AB2" s="137">
        <v>0</v>
      </c>
    </row>
    <row r="3" spans="1:34" customFormat="1" x14ac:dyDescent="0.15">
      <c r="A3" s="172" t="s">
        <v>194</v>
      </c>
      <c r="B3" s="137">
        <v>0</v>
      </c>
      <c r="C3" s="137">
        <v>0.06</v>
      </c>
      <c r="D3" s="137">
        <v>0.5</v>
      </c>
      <c r="E3" s="137">
        <v>0</v>
      </c>
      <c r="F3" s="137">
        <v>0</v>
      </c>
      <c r="G3" s="137">
        <v>0</v>
      </c>
      <c r="H3" s="137">
        <v>0</v>
      </c>
      <c r="I3" s="137">
        <v>0.08</v>
      </c>
      <c r="J3" s="137">
        <v>0.04</v>
      </c>
      <c r="K3" s="137">
        <v>0</v>
      </c>
      <c r="L3" s="137">
        <v>0</v>
      </c>
      <c r="M3" s="137">
        <v>0</v>
      </c>
      <c r="N3" s="137">
        <v>5.9780179340538026E-3</v>
      </c>
      <c r="O3" s="137">
        <v>0</v>
      </c>
      <c r="P3" s="137">
        <v>0</v>
      </c>
      <c r="Q3" s="137">
        <v>0</v>
      </c>
      <c r="R3" s="137">
        <v>0</v>
      </c>
      <c r="S3" s="137">
        <v>0</v>
      </c>
      <c r="T3" s="137">
        <v>0</v>
      </c>
      <c r="U3" s="137">
        <v>0</v>
      </c>
      <c r="V3" s="137">
        <v>0</v>
      </c>
      <c r="W3" s="137">
        <v>0</v>
      </c>
      <c r="X3" s="137">
        <v>0</v>
      </c>
      <c r="Y3" s="137">
        <v>0</v>
      </c>
      <c r="Z3" s="137">
        <v>0</v>
      </c>
      <c r="AA3" s="137">
        <v>0</v>
      </c>
      <c r="AB3" s="137">
        <v>0</v>
      </c>
    </row>
    <row r="4" spans="1:34" customFormat="1" x14ac:dyDescent="0.15">
      <c r="A4" s="172" t="s">
        <v>195</v>
      </c>
      <c r="B4" s="137">
        <v>0</v>
      </c>
      <c r="C4" s="137">
        <v>0</v>
      </c>
      <c r="D4" s="137">
        <v>0</v>
      </c>
      <c r="E4" s="137">
        <v>0.4</v>
      </c>
      <c r="F4" s="137">
        <v>0.62000003799999626</v>
      </c>
      <c r="G4" s="137">
        <v>0</v>
      </c>
      <c r="H4" s="137">
        <v>0</v>
      </c>
      <c r="I4" s="137">
        <v>0.18</v>
      </c>
      <c r="J4" s="137">
        <v>0.31</v>
      </c>
      <c r="K4" s="137">
        <v>5.9999999999999984E-2</v>
      </c>
      <c r="L4" s="137">
        <v>0.4</v>
      </c>
      <c r="M4" s="137">
        <v>0.02</v>
      </c>
      <c r="N4" s="137">
        <v>0.7741313223939672</v>
      </c>
      <c r="O4" s="137">
        <v>0.5</v>
      </c>
      <c r="P4" s="137">
        <v>0.15</v>
      </c>
      <c r="Q4" s="137">
        <v>0</v>
      </c>
      <c r="R4" s="137">
        <v>0.06</v>
      </c>
      <c r="S4" s="137">
        <v>0</v>
      </c>
      <c r="T4" s="137">
        <v>0</v>
      </c>
      <c r="U4" s="137">
        <v>0</v>
      </c>
      <c r="V4" s="137">
        <v>0.17999999981999998</v>
      </c>
      <c r="W4" s="137">
        <v>0</v>
      </c>
      <c r="X4" s="137">
        <v>2.9999999400000012E-3</v>
      </c>
      <c r="Y4" s="137">
        <v>0</v>
      </c>
      <c r="Z4" s="137">
        <v>5.0170000000000013E-2</v>
      </c>
      <c r="AA4" s="137">
        <v>0</v>
      </c>
      <c r="AB4" s="137">
        <v>0</v>
      </c>
    </row>
    <row r="5" spans="1:34" customFormat="1" x14ac:dyDescent="0.15">
      <c r="A5" s="172" t="s">
        <v>196</v>
      </c>
      <c r="B5" s="137">
        <v>0</v>
      </c>
      <c r="C5" s="137">
        <v>0</v>
      </c>
      <c r="D5" s="137">
        <v>0</v>
      </c>
      <c r="E5" s="137">
        <v>0</v>
      </c>
      <c r="F5" s="137">
        <v>0.1199999880000012</v>
      </c>
      <c r="G5" s="137">
        <v>0</v>
      </c>
      <c r="H5" s="137">
        <v>0</v>
      </c>
      <c r="I5" s="137">
        <v>0.18</v>
      </c>
      <c r="J5" s="137">
        <v>0.32</v>
      </c>
      <c r="K5" s="137">
        <v>0.13999999999999999</v>
      </c>
      <c r="L5" s="137">
        <v>0.6</v>
      </c>
      <c r="M5" s="137">
        <v>0.54</v>
      </c>
      <c r="N5" s="137">
        <v>0.16989050967152905</v>
      </c>
      <c r="O5" s="137">
        <v>0.2</v>
      </c>
      <c r="P5" s="137">
        <v>0.65</v>
      </c>
      <c r="Q5" s="137">
        <v>0.2</v>
      </c>
      <c r="R5" s="137">
        <v>0.36</v>
      </c>
      <c r="S5" s="137">
        <v>9.4920642177696954E-2</v>
      </c>
      <c r="T5" s="137">
        <v>0.2</v>
      </c>
      <c r="U5" s="137">
        <v>7.9999999999999988E-2</v>
      </c>
      <c r="V5" s="137">
        <v>0.49999999949999996</v>
      </c>
      <c r="W5" s="137">
        <v>0</v>
      </c>
      <c r="X5" s="137">
        <v>4.3000009139999809E-2</v>
      </c>
      <c r="Y5" s="137">
        <v>0</v>
      </c>
      <c r="Z5" s="137">
        <v>0.41597000000000012</v>
      </c>
      <c r="AA5" s="137">
        <v>0</v>
      </c>
      <c r="AB5" s="137">
        <v>0</v>
      </c>
    </row>
    <row r="6" spans="1:34" customFormat="1" x14ac:dyDescent="0.15">
      <c r="A6" s="172" t="s">
        <v>197</v>
      </c>
      <c r="B6" s="137">
        <v>0</v>
      </c>
      <c r="C6" s="137">
        <v>0</v>
      </c>
      <c r="D6" s="137">
        <v>0</v>
      </c>
      <c r="E6" s="137">
        <v>0</v>
      </c>
      <c r="F6" s="137">
        <v>3.9999996000000398E-2</v>
      </c>
      <c r="G6" s="137">
        <v>0</v>
      </c>
      <c r="H6" s="137">
        <v>0</v>
      </c>
      <c r="I6" s="137">
        <v>0</v>
      </c>
      <c r="J6" s="137">
        <v>0</v>
      </c>
      <c r="K6" s="137">
        <v>0</v>
      </c>
      <c r="L6" s="137">
        <v>0</v>
      </c>
      <c r="M6" s="137">
        <v>0</v>
      </c>
      <c r="N6" s="137">
        <v>2.5520076560229685E-2</v>
      </c>
      <c r="O6" s="137">
        <v>0</v>
      </c>
      <c r="P6" s="137">
        <v>0</v>
      </c>
      <c r="Q6" s="137">
        <v>0</v>
      </c>
      <c r="R6" s="137">
        <v>0</v>
      </c>
      <c r="S6" s="137">
        <v>0</v>
      </c>
      <c r="T6" s="137">
        <v>0</v>
      </c>
      <c r="U6" s="137">
        <v>0</v>
      </c>
      <c r="V6" s="137">
        <v>0</v>
      </c>
      <c r="W6" s="137">
        <v>0</v>
      </c>
      <c r="X6" s="137">
        <v>0</v>
      </c>
      <c r="Y6" s="137">
        <v>0</v>
      </c>
      <c r="Z6" s="137">
        <v>0</v>
      </c>
      <c r="AA6" s="137">
        <v>0</v>
      </c>
      <c r="AB6" s="137">
        <v>0</v>
      </c>
    </row>
    <row r="7" spans="1:34" customFormat="1" x14ac:dyDescent="0.15">
      <c r="A7" s="172" t="s">
        <v>198</v>
      </c>
      <c r="B7" s="137">
        <v>0</v>
      </c>
      <c r="C7" s="137">
        <v>0</v>
      </c>
      <c r="D7" s="137">
        <v>0</v>
      </c>
      <c r="E7" s="137">
        <v>0</v>
      </c>
      <c r="F7" s="137">
        <v>0</v>
      </c>
      <c r="G7" s="137">
        <v>0</v>
      </c>
      <c r="H7" s="137">
        <v>0.86</v>
      </c>
      <c r="I7" s="137">
        <v>0</v>
      </c>
      <c r="J7" s="137">
        <v>0</v>
      </c>
      <c r="K7" s="137">
        <v>0.64999999999999991</v>
      </c>
      <c r="L7" s="137">
        <v>0</v>
      </c>
      <c r="M7" s="137">
        <v>0</v>
      </c>
      <c r="N7" s="137">
        <v>0</v>
      </c>
      <c r="O7" s="137">
        <v>0.3</v>
      </c>
      <c r="P7" s="137">
        <v>0.1</v>
      </c>
      <c r="Q7" s="137">
        <v>0</v>
      </c>
      <c r="R7" s="137">
        <v>0</v>
      </c>
      <c r="S7" s="137">
        <v>0</v>
      </c>
      <c r="T7" s="137">
        <v>0.18</v>
      </c>
      <c r="U7" s="137">
        <v>0.26999999999999996</v>
      </c>
      <c r="V7" s="137">
        <v>0</v>
      </c>
      <c r="W7" s="137">
        <v>0.215</v>
      </c>
      <c r="X7" s="137">
        <v>0</v>
      </c>
      <c r="Y7" s="137">
        <v>0</v>
      </c>
      <c r="Z7" s="137">
        <v>0</v>
      </c>
      <c r="AA7" s="137">
        <v>0</v>
      </c>
      <c r="AB7" s="137">
        <v>0</v>
      </c>
    </row>
    <row r="8" spans="1:34" customFormat="1" x14ac:dyDescent="0.15">
      <c r="A8" s="172" t="s">
        <v>199</v>
      </c>
      <c r="B8" s="137">
        <v>0</v>
      </c>
      <c r="C8" s="137">
        <v>0</v>
      </c>
      <c r="D8" s="137">
        <v>0</v>
      </c>
      <c r="E8" s="137">
        <v>0</v>
      </c>
      <c r="F8" s="137">
        <v>0</v>
      </c>
      <c r="G8" s="137">
        <v>0</v>
      </c>
      <c r="H8" s="137">
        <v>0.08</v>
      </c>
      <c r="I8" s="137">
        <v>0</v>
      </c>
      <c r="J8" s="137">
        <v>0</v>
      </c>
      <c r="K8" s="137">
        <v>2.4999999999999994E-2</v>
      </c>
      <c r="L8" s="137">
        <v>0</v>
      </c>
      <c r="M8" s="137">
        <v>0</v>
      </c>
      <c r="N8" s="137">
        <v>0</v>
      </c>
      <c r="O8" s="137">
        <v>0</v>
      </c>
      <c r="P8" s="137">
        <v>0</v>
      </c>
      <c r="Q8" s="137">
        <v>0</v>
      </c>
      <c r="R8" s="137">
        <v>0</v>
      </c>
      <c r="S8" s="137">
        <v>0</v>
      </c>
      <c r="T8" s="137">
        <v>0.05</v>
      </c>
      <c r="U8" s="137">
        <v>0.15999999999999998</v>
      </c>
      <c r="V8" s="137">
        <v>0</v>
      </c>
      <c r="W8" s="137">
        <v>0.17</v>
      </c>
      <c r="X8" s="137">
        <v>0</v>
      </c>
      <c r="Y8" s="137">
        <v>0</v>
      </c>
      <c r="Z8" s="137">
        <v>0</v>
      </c>
      <c r="AA8" s="137">
        <v>0</v>
      </c>
      <c r="AB8" s="137">
        <v>0</v>
      </c>
    </row>
    <row r="9" spans="1:34" customFormat="1" x14ac:dyDescent="0.15">
      <c r="A9" s="172" t="s">
        <v>200</v>
      </c>
      <c r="B9" s="137">
        <v>0</v>
      </c>
      <c r="C9" s="137">
        <v>0</v>
      </c>
      <c r="D9" s="137">
        <v>0</v>
      </c>
      <c r="E9" s="137">
        <v>0</v>
      </c>
      <c r="F9" s="137">
        <v>0</v>
      </c>
      <c r="G9" s="137">
        <v>0</v>
      </c>
      <c r="H9" s="137">
        <v>0</v>
      </c>
      <c r="I9" s="137">
        <v>0</v>
      </c>
      <c r="J9" s="137">
        <v>0</v>
      </c>
      <c r="K9" s="137">
        <v>0</v>
      </c>
      <c r="L9" s="137">
        <v>0</v>
      </c>
      <c r="M9" s="137">
        <v>5.0000000000000001E-3</v>
      </c>
      <c r="N9" s="137">
        <v>0</v>
      </c>
      <c r="O9" s="137">
        <v>0</v>
      </c>
      <c r="P9" s="137">
        <v>0</v>
      </c>
      <c r="Q9" s="137">
        <v>1.7000000000000001E-2</v>
      </c>
      <c r="R9" s="137">
        <v>0</v>
      </c>
      <c r="S9" s="137">
        <v>3.9966588285691076E-3</v>
      </c>
      <c r="T9" s="137">
        <v>0</v>
      </c>
      <c r="U9" s="137">
        <v>0</v>
      </c>
      <c r="V9" s="137">
        <v>6.0000009939999979E-3</v>
      </c>
      <c r="W9" s="137">
        <v>1.2E-2</v>
      </c>
      <c r="X9" s="137">
        <v>3.7999999240000013E-2</v>
      </c>
      <c r="Y9" s="137">
        <v>1.5000001800000214E-2</v>
      </c>
      <c r="Z9" s="137">
        <v>9.1600000000000015E-3</v>
      </c>
      <c r="AA9" s="137">
        <v>0</v>
      </c>
      <c r="AB9" s="137">
        <v>0</v>
      </c>
    </row>
    <row r="10" spans="1:34" customFormat="1" x14ac:dyDescent="0.15">
      <c r="A10" s="172" t="s">
        <v>201</v>
      </c>
      <c r="B10" s="137">
        <v>0</v>
      </c>
      <c r="C10" s="137">
        <v>0</v>
      </c>
      <c r="D10" s="137">
        <v>0</v>
      </c>
      <c r="E10" s="137">
        <v>0</v>
      </c>
      <c r="F10" s="137">
        <v>0</v>
      </c>
      <c r="G10" s="137">
        <v>0</v>
      </c>
      <c r="H10" s="137">
        <v>0</v>
      </c>
      <c r="I10" s="137">
        <v>0</v>
      </c>
      <c r="J10" s="137">
        <v>0</v>
      </c>
      <c r="K10" s="137">
        <v>0</v>
      </c>
      <c r="L10" s="137">
        <v>0</v>
      </c>
      <c r="M10" s="137">
        <v>1E-3</v>
      </c>
      <c r="N10" s="137">
        <v>0</v>
      </c>
      <c r="O10" s="137">
        <v>0</v>
      </c>
      <c r="P10" s="137">
        <v>0</v>
      </c>
      <c r="Q10" s="137">
        <v>3.0000000000000001E-3</v>
      </c>
      <c r="R10" s="137">
        <v>0</v>
      </c>
      <c r="S10" s="137">
        <v>1.9983294142845538E-3</v>
      </c>
      <c r="T10" s="137">
        <v>0</v>
      </c>
      <c r="U10" s="137">
        <v>0</v>
      </c>
      <c r="V10" s="137">
        <v>9.9999999900000002E-4</v>
      </c>
      <c r="W10" s="137">
        <v>0.01</v>
      </c>
      <c r="X10" s="137">
        <v>0.14899999702000002</v>
      </c>
      <c r="Y10" s="137">
        <v>1.6000001920000229E-2</v>
      </c>
      <c r="Z10" s="137">
        <v>5.3900000000000007E-3</v>
      </c>
      <c r="AA10" s="137">
        <v>0</v>
      </c>
      <c r="AB10" s="137">
        <v>0</v>
      </c>
    </row>
    <row r="11" spans="1:34" customFormat="1" x14ac:dyDescent="0.15">
      <c r="A11" s="172" t="s">
        <v>202</v>
      </c>
      <c r="B11" s="137">
        <v>0</v>
      </c>
      <c r="C11" s="137">
        <v>0</v>
      </c>
      <c r="D11" s="137">
        <v>0</v>
      </c>
      <c r="E11" s="137">
        <v>0</v>
      </c>
      <c r="F11" s="137">
        <v>0</v>
      </c>
      <c r="G11" s="137">
        <v>0</v>
      </c>
      <c r="H11" s="137">
        <v>0</v>
      </c>
      <c r="I11" s="137">
        <v>0</v>
      </c>
      <c r="J11" s="137">
        <v>0</v>
      </c>
      <c r="K11" s="137">
        <v>1.9999999999999997E-2</v>
      </c>
      <c r="L11" s="137">
        <v>0</v>
      </c>
      <c r="M11" s="137">
        <v>0.123</v>
      </c>
      <c r="N11" s="137">
        <v>0</v>
      </c>
      <c r="O11" s="137">
        <v>0</v>
      </c>
      <c r="P11" s="137">
        <v>0.08</v>
      </c>
      <c r="Q11" s="137">
        <v>0.05</v>
      </c>
      <c r="R11" s="137">
        <v>0.46200000000000002</v>
      </c>
      <c r="S11" s="137">
        <v>0.36005899350573189</v>
      </c>
      <c r="T11" s="137">
        <v>7.0000000000000007E-2</v>
      </c>
      <c r="U11" s="137">
        <v>0</v>
      </c>
      <c r="V11" s="137">
        <v>3.8999999960999995E-2</v>
      </c>
      <c r="W11" s="137">
        <v>2.5000000000000001E-2</v>
      </c>
      <c r="X11" s="137">
        <v>0.46499999070000014</v>
      </c>
      <c r="Y11" s="137">
        <v>0.37699994523999342</v>
      </c>
      <c r="Z11" s="137">
        <v>6.5790000000000015E-2</v>
      </c>
      <c r="AA11" s="137">
        <v>0</v>
      </c>
      <c r="AB11" s="137">
        <v>0</v>
      </c>
    </row>
    <row r="12" spans="1:34" customFormat="1" x14ac:dyDescent="0.15">
      <c r="A12" s="172" t="s">
        <v>203</v>
      </c>
      <c r="B12" s="137">
        <v>0</v>
      </c>
      <c r="C12" s="137">
        <v>0</v>
      </c>
      <c r="D12" s="137">
        <v>0</v>
      </c>
      <c r="E12" s="137">
        <v>0</v>
      </c>
      <c r="F12" s="137">
        <v>0</v>
      </c>
      <c r="G12" s="137">
        <v>0</v>
      </c>
      <c r="H12" s="137">
        <v>0</v>
      </c>
      <c r="I12" s="137">
        <v>0</v>
      </c>
      <c r="J12" s="137">
        <v>0</v>
      </c>
      <c r="K12" s="137">
        <v>4.9999999999999992E-3</v>
      </c>
      <c r="L12" s="137">
        <v>0</v>
      </c>
      <c r="M12" s="137">
        <v>0.123</v>
      </c>
      <c r="N12" s="137">
        <v>0</v>
      </c>
      <c r="O12" s="137">
        <v>0</v>
      </c>
      <c r="P12" s="137">
        <v>0.02</v>
      </c>
      <c r="Q12" s="137">
        <v>0.13300000000000001</v>
      </c>
      <c r="R12" s="137">
        <v>3.3000000000000002E-2</v>
      </c>
      <c r="S12" s="137">
        <v>7.6012454184543402E-2</v>
      </c>
      <c r="T12" s="137">
        <v>0.26</v>
      </c>
      <c r="U12" s="137">
        <v>2.9999999999999992E-2</v>
      </c>
      <c r="V12" s="137">
        <v>3.5999999963999996E-2</v>
      </c>
      <c r="W12" s="137">
        <v>2.5000000000000001E-2</v>
      </c>
      <c r="X12" s="137">
        <v>4.9999999000000017E-2</v>
      </c>
      <c r="Y12" s="137">
        <v>0.10400001248000149</v>
      </c>
      <c r="Z12" s="137">
        <v>0</v>
      </c>
      <c r="AA12" s="137">
        <v>0</v>
      </c>
      <c r="AB12" s="137">
        <v>0</v>
      </c>
    </row>
    <row r="13" spans="1:34" customFormat="1" x14ac:dyDescent="0.15">
      <c r="A13" s="172" t="s">
        <v>166</v>
      </c>
      <c r="B13" s="137">
        <v>0</v>
      </c>
      <c r="C13" s="137">
        <v>0</v>
      </c>
      <c r="D13" s="137">
        <v>0</v>
      </c>
      <c r="E13" s="137">
        <v>0</v>
      </c>
      <c r="F13" s="137">
        <v>0</v>
      </c>
      <c r="G13" s="137">
        <v>0</v>
      </c>
      <c r="H13" s="137">
        <v>0</v>
      </c>
      <c r="I13" s="137">
        <v>0</v>
      </c>
      <c r="J13" s="137">
        <v>0</v>
      </c>
      <c r="K13" s="137">
        <v>0</v>
      </c>
      <c r="L13" s="137">
        <v>0</v>
      </c>
      <c r="M13" s="137">
        <v>0.01</v>
      </c>
      <c r="N13" s="137">
        <v>0</v>
      </c>
      <c r="O13" s="137">
        <v>0</v>
      </c>
      <c r="P13" s="137">
        <v>0</v>
      </c>
      <c r="Q13" s="137">
        <v>0.29499999999999998</v>
      </c>
      <c r="R13" s="137">
        <v>7.0000000000000007E-2</v>
      </c>
      <c r="S13" s="137">
        <v>4.9008029671613516E-2</v>
      </c>
      <c r="T13" s="137">
        <v>6.5000000000000002E-2</v>
      </c>
      <c r="U13" s="137">
        <v>0.25999999999999995</v>
      </c>
      <c r="V13" s="137">
        <v>0.15399999984599999</v>
      </c>
      <c r="W13" s="137">
        <v>0.1</v>
      </c>
      <c r="X13" s="137">
        <v>4.5000009099999815E-2</v>
      </c>
      <c r="Y13" s="137">
        <v>3.5000004200000503E-2</v>
      </c>
      <c r="Z13" s="137">
        <v>0.25370000000000004</v>
      </c>
      <c r="AA13" s="137">
        <v>0</v>
      </c>
      <c r="AB13" s="137">
        <v>0</v>
      </c>
    </row>
    <row r="14" spans="1:34" customFormat="1" x14ac:dyDescent="0.15">
      <c r="A14" s="172" t="s">
        <v>204</v>
      </c>
      <c r="B14" s="137">
        <v>0</v>
      </c>
      <c r="C14" s="137">
        <v>0</v>
      </c>
      <c r="D14" s="137">
        <v>0</v>
      </c>
      <c r="E14" s="137">
        <v>0</v>
      </c>
      <c r="F14" s="137">
        <v>0</v>
      </c>
      <c r="G14" s="137">
        <v>0</v>
      </c>
      <c r="H14" s="137">
        <v>0</v>
      </c>
      <c r="I14" s="137">
        <v>0</v>
      </c>
      <c r="J14" s="137">
        <v>0</v>
      </c>
      <c r="K14" s="137">
        <v>9.9999999999999985E-3</v>
      </c>
      <c r="L14" s="137">
        <v>0</v>
      </c>
      <c r="M14" s="137">
        <v>6.8000000000000005E-2</v>
      </c>
      <c r="N14" s="137">
        <v>0</v>
      </c>
      <c r="O14" s="137">
        <v>0</v>
      </c>
      <c r="P14" s="137">
        <v>0</v>
      </c>
      <c r="Q14" s="137">
        <v>0.08</v>
      </c>
      <c r="R14" s="137">
        <v>1.4999999999999999E-2</v>
      </c>
      <c r="S14" s="137">
        <v>5.5009012896709043E-2</v>
      </c>
      <c r="T14" s="137">
        <v>0.01</v>
      </c>
      <c r="U14" s="137">
        <v>2.4999999999999994E-2</v>
      </c>
      <c r="V14" s="137">
        <v>3.3999999965999998E-2</v>
      </c>
      <c r="W14" s="137">
        <v>7.0000000000000007E-2</v>
      </c>
      <c r="X14" s="137">
        <v>8.2999998340000034E-2</v>
      </c>
      <c r="Y14" s="137">
        <v>2.3000002760000329E-2</v>
      </c>
      <c r="Z14" s="137">
        <v>3.7700000000000008E-3</v>
      </c>
      <c r="AA14" s="137">
        <v>0</v>
      </c>
      <c r="AB14" s="137">
        <v>0</v>
      </c>
    </row>
    <row r="15" spans="1:34" customFormat="1" x14ac:dyDescent="0.15">
      <c r="A15" s="172" t="s">
        <v>205</v>
      </c>
      <c r="B15" s="137">
        <v>0</v>
      </c>
      <c r="C15" s="137">
        <v>0</v>
      </c>
      <c r="D15" s="137">
        <v>0</v>
      </c>
      <c r="E15" s="137">
        <v>0</v>
      </c>
      <c r="F15" s="137">
        <v>0</v>
      </c>
      <c r="G15" s="137">
        <v>0</v>
      </c>
      <c r="H15" s="137">
        <v>0</v>
      </c>
      <c r="I15" s="137">
        <v>0</v>
      </c>
      <c r="J15" s="137">
        <v>0</v>
      </c>
      <c r="K15" s="137">
        <v>0</v>
      </c>
      <c r="L15" s="137">
        <v>0</v>
      </c>
      <c r="M15" s="137">
        <v>0.1</v>
      </c>
      <c r="N15" s="137">
        <v>0</v>
      </c>
      <c r="O15" s="137">
        <v>0</v>
      </c>
      <c r="P15" s="137">
        <v>0</v>
      </c>
      <c r="Q15" s="137">
        <v>2.8000000000000001E-2</v>
      </c>
      <c r="R15" s="137">
        <v>0</v>
      </c>
      <c r="S15" s="137">
        <v>7.2011798701146379E-2</v>
      </c>
      <c r="T15" s="137">
        <v>0</v>
      </c>
      <c r="U15" s="137">
        <v>0</v>
      </c>
      <c r="V15" s="137">
        <v>0</v>
      </c>
      <c r="W15" s="137">
        <v>3.0000000000000001E-3</v>
      </c>
      <c r="X15" s="137">
        <v>4.9999999000000014E-3</v>
      </c>
      <c r="Y15" s="137">
        <v>4.9999995999999519E-2</v>
      </c>
      <c r="Z15" s="137">
        <v>5.0020000000000016E-2</v>
      </c>
      <c r="AA15" s="137">
        <v>0</v>
      </c>
      <c r="AB15" s="137">
        <v>0</v>
      </c>
    </row>
    <row r="16" spans="1:34" customFormat="1" x14ac:dyDescent="0.15">
      <c r="A16" s="172" t="s">
        <v>206</v>
      </c>
      <c r="B16" s="137">
        <v>0</v>
      </c>
      <c r="C16" s="137">
        <v>0</v>
      </c>
      <c r="D16" s="137">
        <v>0</v>
      </c>
      <c r="E16" s="137">
        <v>0</v>
      </c>
      <c r="F16" s="137">
        <v>0</v>
      </c>
      <c r="G16" s="137">
        <v>0</v>
      </c>
      <c r="H16" s="137">
        <v>0</v>
      </c>
      <c r="I16" s="137">
        <v>0</v>
      </c>
      <c r="J16" s="137">
        <v>0</v>
      </c>
      <c r="K16" s="137">
        <v>0</v>
      </c>
      <c r="L16" s="137">
        <v>0</v>
      </c>
      <c r="M16" s="137">
        <v>0</v>
      </c>
      <c r="N16" s="137">
        <v>0</v>
      </c>
      <c r="O16" s="137">
        <v>0</v>
      </c>
      <c r="P16" s="137">
        <v>0</v>
      </c>
      <c r="Q16" s="137">
        <v>0</v>
      </c>
      <c r="R16" s="137">
        <v>0</v>
      </c>
      <c r="S16" s="137">
        <v>3.3005407738025426E-2</v>
      </c>
      <c r="T16" s="137">
        <v>0</v>
      </c>
      <c r="U16" s="137">
        <v>1.4999999999999996E-2</v>
      </c>
      <c r="V16" s="137">
        <v>1.9999999979999999E-2</v>
      </c>
      <c r="W16" s="137">
        <v>0.02</v>
      </c>
      <c r="X16" s="137">
        <v>0</v>
      </c>
      <c r="Y16" s="137">
        <v>5.2999996359999559E-2</v>
      </c>
      <c r="Z16" s="137">
        <v>4.3110000000000009E-2</v>
      </c>
      <c r="AA16" s="137">
        <v>0</v>
      </c>
      <c r="AB16" s="137">
        <v>0</v>
      </c>
    </row>
    <row r="17" spans="1:28" customFormat="1" x14ac:dyDescent="0.15">
      <c r="A17" s="172" t="s">
        <v>207</v>
      </c>
      <c r="B17" s="137">
        <v>0</v>
      </c>
      <c r="C17" s="137">
        <v>0</v>
      </c>
      <c r="D17" s="137">
        <v>0</v>
      </c>
      <c r="E17" s="137">
        <v>0</v>
      </c>
      <c r="F17" s="137">
        <v>0</v>
      </c>
      <c r="G17" s="137">
        <v>0</v>
      </c>
      <c r="H17" s="137">
        <v>0</v>
      </c>
      <c r="I17" s="137">
        <v>0</v>
      </c>
      <c r="J17" s="137">
        <v>0</v>
      </c>
      <c r="K17" s="137">
        <v>0</v>
      </c>
      <c r="L17" s="137">
        <v>0</v>
      </c>
      <c r="M17" s="137">
        <v>0</v>
      </c>
      <c r="N17" s="137">
        <v>0</v>
      </c>
      <c r="O17" s="137">
        <v>0</v>
      </c>
      <c r="P17" s="137">
        <v>0</v>
      </c>
      <c r="Q17" s="137">
        <v>0</v>
      </c>
      <c r="R17" s="137">
        <v>0</v>
      </c>
      <c r="S17" s="137">
        <v>0</v>
      </c>
      <c r="T17" s="137">
        <v>0</v>
      </c>
      <c r="U17" s="137">
        <v>0</v>
      </c>
      <c r="V17" s="137">
        <v>0</v>
      </c>
      <c r="W17" s="137">
        <v>4.0000000000000001E-3</v>
      </c>
      <c r="X17" s="137">
        <v>2.9999999400000012E-3</v>
      </c>
      <c r="Y17" s="137">
        <v>0</v>
      </c>
      <c r="Z17" s="137">
        <v>1.8860000000000002E-2</v>
      </c>
      <c r="AA17" s="137">
        <v>0</v>
      </c>
      <c r="AB17" s="137">
        <v>0</v>
      </c>
    </row>
    <row r="18" spans="1:28" customFormat="1" x14ac:dyDescent="0.15">
      <c r="A18" s="172" t="s">
        <v>208</v>
      </c>
      <c r="B18" s="137">
        <v>0</v>
      </c>
      <c r="C18" s="137">
        <v>0</v>
      </c>
      <c r="D18" s="137">
        <v>0</v>
      </c>
      <c r="E18" s="137">
        <v>0</v>
      </c>
      <c r="F18" s="137">
        <v>0</v>
      </c>
      <c r="G18" s="137">
        <v>0</v>
      </c>
      <c r="H18" s="137">
        <v>0</v>
      </c>
      <c r="I18" s="137">
        <v>0</v>
      </c>
      <c r="J18" s="137">
        <v>0</v>
      </c>
      <c r="K18" s="137">
        <v>0</v>
      </c>
      <c r="L18" s="137">
        <v>0</v>
      </c>
      <c r="M18" s="137">
        <v>0</v>
      </c>
      <c r="N18" s="137">
        <v>0</v>
      </c>
      <c r="O18" s="137">
        <v>0</v>
      </c>
      <c r="P18" s="137">
        <v>0</v>
      </c>
      <c r="Q18" s="137">
        <v>2.3E-2</v>
      </c>
      <c r="R18" s="137">
        <v>0</v>
      </c>
      <c r="S18" s="137">
        <v>0.12302015611445841</v>
      </c>
      <c r="T18" s="137">
        <v>1.2999999999999999E-2</v>
      </c>
      <c r="U18" s="137">
        <v>0</v>
      </c>
      <c r="V18" s="137">
        <v>0</v>
      </c>
      <c r="W18" s="137">
        <v>0</v>
      </c>
      <c r="X18" s="137">
        <v>1.9999999600000006E-3</v>
      </c>
      <c r="Y18" s="137">
        <v>0.15800001896000226</v>
      </c>
      <c r="Z18" s="137">
        <v>0</v>
      </c>
      <c r="AA18" s="137">
        <v>0</v>
      </c>
      <c r="AB18" s="137">
        <v>0</v>
      </c>
    </row>
    <row r="19" spans="1:28" customFormat="1" x14ac:dyDescent="0.15">
      <c r="A19" s="172" t="s">
        <v>209</v>
      </c>
      <c r="B19" s="137">
        <v>0</v>
      </c>
      <c r="C19" s="137">
        <v>0</v>
      </c>
      <c r="D19" s="137">
        <v>0</v>
      </c>
      <c r="E19" s="137">
        <v>0</v>
      </c>
      <c r="F19" s="137">
        <v>0</v>
      </c>
      <c r="G19" s="137">
        <v>0</v>
      </c>
      <c r="H19" s="137">
        <v>0</v>
      </c>
      <c r="I19" s="137">
        <v>0</v>
      </c>
      <c r="J19" s="137">
        <v>0</v>
      </c>
      <c r="K19" s="137">
        <v>0</v>
      </c>
      <c r="L19" s="137">
        <v>0</v>
      </c>
      <c r="M19" s="137">
        <v>0.01</v>
      </c>
      <c r="N19" s="137">
        <v>0</v>
      </c>
      <c r="O19" s="137">
        <v>0</v>
      </c>
      <c r="P19" s="137">
        <v>0</v>
      </c>
      <c r="Q19" s="137">
        <v>2.5000000000000001E-2</v>
      </c>
      <c r="R19" s="137">
        <v>0</v>
      </c>
      <c r="S19" s="137">
        <v>6.801114321774937E-2</v>
      </c>
      <c r="T19" s="137">
        <v>2.7E-2</v>
      </c>
      <c r="U19" s="137">
        <v>2.4999999999999994E-2</v>
      </c>
      <c r="V19" s="137">
        <v>0</v>
      </c>
      <c r="W19" s="137">
        <v>2E-3</v>
      </c>
      <c r="X19" s="137">
        <v>5.1999998960000016E-2</v>
      </c>
      <c r="Y19" s="137">
        <v>0.15800001896000226</v>
      </c>
      <c r="Z19" s="137">
        <v>2.4250000000000008E-2</v>
      </c>
      <c r="AA19" s="137">
        <v>0</v>
      </c>
      <c r="AB19" s="137">
        <v>0</v>
      </c>
    </row>
    <row r="20" spans="1:28" customFormat="1" x14ac:dyDescent="0.15">
      <c r="A20" s="172" t="s">
        <v>210</v>
      </c>
      <c r="B20" s="137">
        <v>0</v>
      </c>
      <c r="C20" s="137">
        <v>0</v>
      </c>
      <c r="D20" s="137">
        <v>0</v>
      </c>
      <c r="E20" s="137">
        <v>0</v>
      </c>
      <c r="F20" s="137">
        <v>0</v>
      </c>
      <c r="G20" s="137">
        <v>0</v>
      </c>
      <c r="H20" s="137">
        <v>0</v>
      </c>
      <c r="I20" s="137">
        <v>0</v>
      </c>
      <c r="J20" s="137">
        <v>0</v>
      </c>
      <c r="K20" s="137">
        <v>0</v>
      </c>
      <c r="L20" s="137">
        <v>0</v>
      </c>
      <c r="M20" s="137">
        <v>0</v>
      </c>
      <c r="N20" s="137">
        <v>0</v>
      </c>
      <c r="O20" s="137">
        <v>0</v>
      </c>
      <c r="P20" s="137">
        <v>0</v>
      </c>
      <c r="Q20" s="137">
        <v>4.5999999999999999E-2</v>
      </c>
      <c r="R20" s="137">
        <v>0</v>
      </c>
      <c r="S20" s="137">
        <v>1.6985803021910321E-2</v>
      </c>
      <c r="T20" s="137">
        <v>0</v>
      </c>
      <c r="U20" s="137">
        <v>2.4999999999999994E-2</v>
      </c>
      <c r="V20" s="137">
        <v>1.9999999979999999E-2</v>
      </c>
      <c r="W20" s="137">
        <v>2E-3</v>
      </c>
      <c r="X20" s="137">
        <v>4.5999999080000013E-2</v>
      </c>
      <c r="Y20" s="137">
        <v>0</v>
      </c>
      <c r="Z20" s="137">
        <v>2.4250000000000008E-2</v>
      </c>
      <c r="AA20" s="137">
        <v>0</v>
      </c>
      <c r="AB20" s="137">
        <v>0</v>
      </c>
    </row>
    <row r="21" spans="1:28" customFormat="1" x14ac:dyDescent="0.15">
      <c r="A21" s="172" t="s">
        <v>211</v>
      </c>
      <c r="B21" s="137">
        <v>0</v>
      </c>
      <c r="C21" s="137">
        <v>0</v>
      </c>
      <c r="D21" s="137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3.2972432335203528E-2</v>
      </c>
      <c r="T21" s="137">
        <v>7.4999999999999997E-2</v>
      </c>
      <c r="U21" s="137">
        <v>3.9999999999999994E-2</v>
      </c>
      <c r="V21" s="137">
        <v>0</v>
      </c>
      <c r="W21" s="137">
        <v>0.05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</row>
    <row r="22" spans="1:28" customFormat="1" x14ac:dyDescent="0.15">
      <c r="A22" s="172" t="s">
        <v>212</v>
      </c>
      <c r="B22" s="137">
        <v>0</v>
      </c>
      <c r="C22" s="137">
        <v>0</v>
      </c>
      <c r="D22" s="137">
        <v>0</v>
      </c>
      <c r="E22" s="137">
        <v>0</v>
      </c>
      <c r="F22" s="137">
        <v>0</v>
      </c>
      <c r="G22" s="137">
        <v>0</v>
      </c>
      <c r="H22" s="137">
        <v>0</v>
      </c>
      <c r="I22" s="137">
        <v>0</v>
      </c>
      <c r="J22" s="137">
        <v>0</v>
      </c>
      <c r="K22" s="137">
        <v>0</v>
      </c>
      <c r="L22" s="137">
        <v>0</v>
      </c>
      <c r="M22" s="137">
        <v>0</v>
      </c>
      <c r="N22" s="137">
        <v>0</v>
      </c>
      <c r="O22" s="137">
        <v>0</v>
      </c>
      <c r="P22" s="137">
        <v>0</v>
      </c>
      <c r="Q22" s="137">
        <v>0.1</v>
      </c>
      <c r="R22" s="137">
        <v>0</v>
      </c>
      <c r="S22" s="137">
        <v>1.2989138192357988E-2</v>
      </c>
      <c r="T22" s="137">
        <v>0.04</v>
      </c>
      <c r="U22" s="137">
        <v>9.9999999999999985E-3</v>
      </c>
      <c r="V22" s="137">
        <v>9.9999999899999994E-3</v>
      </c>
      <c r="W22" s="137">
        <v>0.02</v>
      </c>
      <c r="X22" s="137">
        <v>1.4999999700000004E-2</v>
      </c>
      <c r="Y22" s="137">
        <v>1.1000001320000157E-2</v>
      </c>
      <c r="Z22" s="137">
        <v>0</v>
      </c>
      <c r="AA22" s="137">
        <v>0</v>
      </c>
      <c r="AB22" s="137">
        <v>0</v>
      </c>
    </row>
    <row r="23" spans="1:28" customFormat="1" x14ac:dyDescent="0.15">
      <c r="A23" s="172" t="s">
        <v>213</v>
      </c>
      <c r="B23" s="137">
        <v>0</v>
      </c>
      <c r="C23" s="137">
        <v>0</v>
      </c>
      <c r="D23" s="137">
        <v>0</v>
      </c>
      <c r="E23" s="137">
        <v>0</v>
      </c>
      <c r="F23" s="137">
        <v>0</v>
      </c>
      <c r="G23" s="137">
        <v>0</v>
      </c>
      <c r="H23" s="137">
        <v>0</v>
      </c>
      <c r="I23" s="137">
        <v>0</v>
      </c>
      <c r="J23" s="137">
        <v>0</v>
      </c>
      <c r="K23" s="137">
        <v>0</v>
      </c>
      <c r="L23" s="137">
        <v>0</v>
      </c>
      <c r="M23" s="137">
        <v>0</v>
      </c>
      <c r="N23" s="137">
        <v>0</v>
      </c>
      <c r="O23" s="137">
        <v>0</v>
      </c>
      <c r="P23" s="137">
        <v>0</v>
      </c>
      <c r="Q23" s="137">
        <v>0</v>
      </c>
      <c r="R23" s="137">
        <v>0</v>
      </c>
      <c r="S23" s="137">
        <v>0</v>
      </c>
      <c r="T23" s="137">
        <v>0</v>
      </c>
      <c r="U23" s="137">
        <v>0</v>
      </c>
      <c r="V23" s="137">
        <v>0</v>
      </c>
      <c r="W23" s="137">
        <v>0.1</v>
      </c>
      <c r="X23" s="137">
        <v>0</v>
      </c>
      <c r="Y23" s="137">
        <v>0</v>
      </c>
      <c r="Z23" s="137">
        <v>0</v>
      </c>
      <c r="AA23" s="137">
        <v>0</v>
      </c>
      <c r="AB23" s="137">
        <v>0</v>
      </c>
    </row>
    <row r="24" spans="1:28" customFormat="1" x14ac:dyDescent="0.15">
      <c r="A24" s="172" t="s">
        <v>214</v>
      </c>
      <c r="B24" s="137">
        <v>0</v>
      </c>
      <c r="C24" s="137">
        <v>0</v>
      </c>
      <c r="D24" s="137">
        <v>0</v>
      </c>
      <c r="E24" s="137">
        <v>0</v>
      </c>
      <c r="F24" s="137">
        <v>0</v>
      </c>
      <c r="G24" s="137">
        <v>0</v>
      </c>
      <c r="H24" s="137">
        <v>0</v>
      </c>
      <c r="I24" s="137">
        <v>0</v>
      </c>
      <c r="J24" s="137">
        <v>0</v>
      </c>
      <c r="K24" s="137">
        <v>0</v>
      </c>
      <c r="L24" s="137">
        <v>0</v>
      </c>
      <c r="M24" s="137">
        <v>0</v>
      </c>
      <c r="N24" s="137">
        <v>0</v>
      </c>
      <c r="O24" s="137">
        <v>0</v>
      </c>
      <c r="P24" s="137">
        <v>0</v>
      </c>
      <c r="Q24" s="137">
        <v>0</v>
      </c>
      <c r="R24" s="137">
        <v>0</v>
      </c>
      <c r="S24" s="137">
        <v>0</v>
      </c>
      <c r="T24" s="137">
        <v>0</v>
      </c>
      <c r="U24" s="137">
        <v>0</v>
      </c>
      <c r="V24" s="137">
        <v>0</v>
      </c>
      <c r="W24" s="137">
        <v>0</v>
      </c>
      <c r="X24" s="137">
        <v>0</v>
      </c>
      <c r="Y24" s="137">
        <v>0</v>
      </c>
      <c r="Z24" s="137">
        <v>2.6900000000000006E-3</v>
      </c>
      <c r="AA24" s="137">
        <v>0</v>
      </c>
      <c r="AB24" s="137">
        <v>0</v>
      </c>
    </row>
    <row r="25" spans="1:28" customFormat="1" x14ac:dyDescent="0.15">
      <c r="A25" s="172" t="s">
        <v>215</v>
      </c>
      <c r="B25" s="137">
        <v>0</v>
      </c>
      <c r="C25" s="137">
        <v>0</v>
      </c>
      <c r="D25" s="137">
        <v>0</v>
      </c>
      <c r="E25" s="137">
        <v>0</v>
      </c>
      <c r="F25" s="137">
        <v>0</v>
      </c>
      <c r="G25" s="137">
        <v>0</v>
      </c>
      <c r="H25" s="137">
        <v>0</v>
      </c>
      <c r="I25" s="137">
        <v>0</v>
      </c>
      <c r="J25" s="137">
        <v>0</v>
      </c>
      <c r="K25" s="137">
        <v>0</v>
      </c>
      <c r="L25" s="137">
        <v>0</v>
      </c>
      <c r="M25" s="137">
        <v>0</v>
      </c>
      <c r="N25" s="137">
        <v>0</v>
      </c>
      <c r="O25" s="137">
        <v>0</v>
      </c>
      <c r="P25" s="137">
        <v>0</v>
      </c>
      <c r="Q25" s="137">
        <v>0</v>
      </c>
      <c r="R25" s="137">
        <v>0</v>
      </c>
      <c r="S25" s="137">
        <v>0</v>
      </c>
      <c r="T25" s="137">
        <v>0</v>
      </c>
      <c r="U25" s="137">
        <v>0</v>
      </c>
      <c r="V25" s="137">
        <v>0</v>
      </c>
      <c r="W25" s="137">
        <v>2E-3</v>
      </c>
      <c r="X25" s="137">
        <v>9.9999998000000032E-4</v>
      </c>
      <c r="Y25" s="137">
        <v>0</v>
      </c>
      <c r="Z25" s="137">
        <v>3.287000000000001E-2</v>
      </c>
      <c r="AA25" s="137">
        <v>0</v>
      </c>
      <c r="AB25" s="137">
        <v>0</v>
      </c>
    </row>
    <row r="26" spans="1:28" customFormat="1" x14ac:dyDescent="0.15">
      <c r="A26" s="172" t="s">
        <v>216</v>
      </c>
      <c r="B26" s="137">
        <v>0</v>
      </c>
      <c r="C26" s="137">
        <v>0</v>
      </c>
      <c r="D26" s="137">
        <v>0</v>
      </c>
      <c r="E26" s="137">
        <v>0</v>
      </c>
      <c r="F26" s="137">
        <v>0</v>
      </c>
      <c r="G26" s="137">
        <v>0</v>
      </c>
      <c r="H26" s="137">
        <v>0</v>
      </c>
      <c r="I26" s="137">
        <v>0</v>
      </c>
      <c r="J26" s="137">
        <v>0</v>
      </c>
      <c r="K26" s="137">
        <v>0</v>
      </c>
      <c r="L26" s="137">
        <v>0</v>
      </c>
      <c r="M26" s="137">
        <v>0</v>
      </c>
      <c r="N26" s="137">
        <v>0</v>
      </c>
      <c r="O26" s="137">
        <v>0</v>
      </c>
      <c r="P26" s="137">
        <v>0</v>
      </c>
      <c r="Q26" s="137">
        <v>0</v>
      </c>
      <c r="R26" s="137">
        <v>0</v>
      </c>
      <c r="S26" s="137">
        <v>0</v>
      </c>
      <c r="T26" s="137">
        <v>0</v>
      </c>
      <c r="U26" s="137">
        <v>0</v>
      </c>
      <c r="V26" s="137">
        <v>0</v>
      </c>
      <c r="W26" s="137">
        <v>0</v>
      </c>
      <c r="X26" s="137">
        <v>0</v>
      </c>
      <c r="Y26" s="137">
        <v>0</v>
      </c>
      <c r="Z26" s="137">
        <v>0</v>
      </c>
      <c r="AA26" s="137">
        <v>0</v>
      </c>
      <c r="AB26" s="137">
        <v>0</v>
      </c>
    </row>
    <row r="27" spans="1:28" customFormat="1" x14ac:dyDescent="0.15">
      <c r="A27" s="172" t="s">
        <v>217</v>
      </c>
      <c r="B27" s="137">
        <v>0</v>
      </c>
      <c r="C27" s="137">
        <v>0.47</v>
      </c>
      <c r="D27" s="137">
        <v>0</v>
      </c>
      <c r="E27" s="137">
        <v>0</v>
      </c>
      <c r="F27" s="137">
        <v>0.19999998000000199</v>
      </c>
      <c r="G27" s="137">
        <v>1</v>
      </c>
      <c r="H27" s="137">
        <v>0.06</v>
      </c>
      <c r="I27" s="137">
        <v>0</v>
      </c>
      <c r="J27" s="137">
        <v>0</v>
      </c>
      <c r="K27" s="137">
        <v>8.9999999999999983E-2</v>
      </c>
      <c r="L27" s="137">
        <v>0</v>
      </c>
      <c r="M27" s="137">
        <v>0</v>
      </c>
      <c r="N27" s="137">
        <v>1.7010051030153094E-2</v>
      </c>
      <c r="O27" s="137">
        <v>0</v>
      </c>
      <c r="P27" s="137">
        <v>0</v>
      </c>
      <c r="Q27" s="137">
        <v>0</v>
      </c>
      <c r="R27" s="137">
        <v>0</v>
      </c>
      <c r="S27" s="137">
        <v>0</v>
      </c>
      <c r="T27" s="137">
        <v>0.01</v>
      </c>
      <c r="U27" s="137">
        <v>5.9999999999999984E-2</v>
      </c>
      <c r="V27" s="137">
        <v>0</v>
      </c>
      <c r="W27" s="137">
        <v>0.17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</row>
    <row r="28" spans="1:28" customFormat="1" x14ac:dyDescent="0.15">
      <c r="A28" s="172" t="s">
        <v>218</v>
      </c>
      <c r="B28" s="137">
        <v>0</v>
      </c>
      <c r="C28" s="137">
        <v>0</v>
      </c>
      <c r="D28" s="137">
        <v>0</v>
      </c>
      <c r="E28" s="137">
        <v>0</v>
      </c>
      <c r="F28" s="137">
        <v>0</v>
      </c>
      <c r="G28" s="137">
        <v>0</v>
      </c>
      <c r="H28" s="137">
        <v>0</v>
      </c>
      <c r="I28" s="137">
        <v>0</v>
      </c>
      <c r="J28" s="137">
        <v>0</v>
      </c>
      <c r="K28" s="137">
        <v>0</v>
      </c>
      <c r="L28" s="137">
        <v>0</v>
      </c>
      <c r="M28" s="137">
        <v>0</v>
      </c>
      <c r="N28" s="137">
        <v>0</v>
      </c>
      <c r="O28" s="137">
        <v>0</v>
      </c>
      <c r="P28" s="137">
        <v>0</v>
      </c>
      <c r="Q28" s="137">
        <v>0</v>
      </c>
      <c r="R28" s="137">
        <v>0</v>
      </c>
      <c r="S28" s="137">
        <v>0</v>
      </c>
      <c r="T28" s="137">
        <v>0</v>
      </c>
      <c r="U28" s="137">
        <v>0</v>
      </c>
      <c r="V28" s="137">
        <v>0</v>
      </c>
      <c r="W28" s="137">
        <v>0</v>
      </c>
      <c r="X28" s="137">
        <v>0</v>
      </c>
      <c r="Y28" s="137">
        <v>0</v>
      </c>
      <c r="Z28" s="137">
        <v>0</v>
      </c>
      <c r="AA28" s="137">
        <v>0</v>
      </c>
      <c r="AB28" s="137">
        <v>0</v>
      </c>
    </row>
    <row r="29" spans="1:28" customFormat="1" x14ac:dyDescent="0.15">
      <c r="A29" s="172" t="s">
        <v>227</v>
      </c>
      <c r="B29" s="137">
        <v>0</v>
      </c>
      <c r="C29" s="137">
        <v>0</v>
      </c>
      <c r="D29" s="137">
        <v>0</v>
      </c>
      <c r="E29" s="137">
        <v>0</v>
      </c>
      <c r="F29" s="137">
        <v>0</v>
      </c>
      <c r="G29" s="137">
        <v>0</v>
      </c>
      <c r="H29" s="137">
        <v>0</v>
      </c>
      <c r="I29" s="137">
        <v>0</v>
      </c>
      <c r="J29" s="137">
        <v>0</v>
      </c>
      <c r="K29" s="137">
        <v>0</v>
      </c>
      <c r="L29" s="137">
        <v>0</v>
      </c>
      <c r="M29" s="137">
        <v>0</v>
      </c>
      <c r="N29" s="137">
        <v>0</v>
      </c>
      <c r="O29" s="137">
        <v>0</v>
      </c>
      <c r="P29" s="137">
        <v>0</v>
      </c>
      <c r="Q29" s="137">
        <v>0</v>
      </c>
      <c r="R29" s="137">
        <v>0</v>
      </c>
      <c r="S29" s="137">
        <v>0</v>
      </c>
      <c r="T29" s="137">
        <v>0</v>
      </c>
      <c r="U29" s="137">
        <v>0</v>
      </c>
      <c r="V29" s="137">
        <v>0</v>
      </c>
      <c r="W29" s="137">
        <v>0</v>
      </c>
      <c r="X29" s="137">
        <v>0</v>
      </c>
      <c r="Y29" s="137">
        <v>0</v>
      </c>
      <c r="Z29" s="137">
        <v>0</v>
      </c>
      <c r="AA29" s="137">
        <v>0</v>
      </c>
      <c r="AB29" s="137">
        <v>0</v>
      </c>
    </row>
    <row r="30" spans="1:28" customFormat="1" x14ac:dyDescent="0.15"/>
    <row r="31" spans="1:28" customFormat="1" x14ac:dyDescent="0.15"/>
    <row r="32" spans="1:28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H38" sqref="H38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7.33203125" style="108" customWidth="1"/>
    <col min="5" max="6" width="17.33203125" style="107" customWidth="1"/>
    <col min="7" max="8" width="8.83203125" style="108"/>
  </cols>
  <sheetData>
    <row r="1" spans="1:8" ht="70" x14ac:dyDescent="0.15">
      <c r="A1" s="5" t="s">
        <v>20</v>
      </c>
      <c r="B1" s="1" t="s">
        <v>0</v>
      </c>
      <c r="C1" s="175" t="s">
        <v>217</v>
      </c>
      <c r="D1" s="175" t="s">
        <v>218</v>
      </c>
      <c r="E1" s="175" t="s">
        <v>228</v>
      </c>
      <c r="F1" s="175" t="s">
        <v>229</v>
      </c>
      <c r="G1"/>
      <c r="H1"/>
    </row>
    <row r="2" spans="1:8" x14ac:dyDescent="0.15">
      <c r="A2">
        <v>1</v>
      </c>
      <c r="B2" s="174" t="s">
        <v>193</v>
      </c>
      <c r="C2" s="108">
        <v>1</v>
      </c>
      <c r="D2" s="108">
        <v>0</v>
      </c>
      <c r="E2" s="107">
        <v>0</v>
      </c>
      <c r="F2" s="107">
        <v>1</v>
      </c>
      <c r="G2"/>
      <c r="H2"/>
    </row>
    <row r="3" spans="1:8" x14ac:dyDescent="0.15">
      <c r="A3">
        <v>2</v>
      </c>
      <c r="B3" s="174" t="s">
        <v>194</v>
      </c>
      <c r="C3" s="108">
        <v>1</v>
      </c>
      <c r="D3" s="108">
        <v>0</v>
      </c>
      <c r="E3" s="107">
        <v>0</v>
      </c>
      <c r="F3" s="107">
        <v>1</v>
      </c>
      <c r="G3"/>
      <c r="H3"/>
    </row>
    <row r="4" spans="1:8" x14ac:dyDescent="0.15">
      <c r="A4">
        <v>3</v>
      </c>
      <c r="B4" s="174" t="s">
        <v>195</v>
      </c>
      <c r="C4" s="108">
        <v>1</v>
      </c>
      <c r="D4" s="108">
        <v>0</v>
      </c>
      <c r="E4" s="107">
        <v>0</v>
      </c>
      <c r="F4" s="107">
        <v>1</v>
      </c>
      <c r="G4"/>
      <c r="H4"/>
    </row>
    <row r="5" spans="1:8" x14ac:dyDescent="0.15">
      <c r="A5">
        <v>4</v>
      </c>
      <c r="B5" s="174" t="s">
        <v>196</v>
      </c>
      <c r="C5" s="108">
        <v>1</v>
      </c>
      <c r="D5" s="108">
        <v>0</v>
      </c>
      <c r="E5" s="107">
        <v>0</v>
      </c>
      <c r="F5" s="107">
        <v>1</v>
      </c>
      <c r="G5"/>
      <c r="H5"/>
    </row>
    <row r="6" spans="1:8" x14ac:dyDescent="0.15">
      <c r="A6">
        <v>5</v>
      </c>
      <c r="B6" s="174" t="s">
        <v>197</v>
      </c>
      <c r="C6" s="108">
        <v>1</v>
      </c>
      <c r="D6" s="108">
        <v>0</v>
      </c>
      <c r="E6" s="107">
        <v>0</v>
      </c>
      <c r="F6" s="107">
        <v>1</v>
      </c>
      <c r="G6"/>
      <c r="H6"/>
    </row>
    <row r="7" spans="1:8" x14ac:dyDescent="0.15">
      <c r="A7">
        <v>6</v>
      </c>
      <c r="B7" s="174" t="s">
        <v>198</v>
      </c>
      <c r="C7" s="108">
        <v>1</v>
      </c>
      <c r="D7" s="108">
        <v>0</v>
      </c>
      <c r="E7" s="107">
        <v>0</v>
      </c>
      <c r="F7" s="107">
        <v>1</v>
      </c>
      <c r="G7"/>
      <c r="H7"/>
    </row>
    <row r="8" spans="1:8" x14ac:dyDescent="0.15">
      <c r="A8">
        <v>7</v>
      </c>
      <c r="B8" s="174" t="s">
        <v>199</v>
      </c>
      <c r="C8" s="108">
        <v>1</v>
      </c>
      <c r="D8" s="108">
        <v>0</v>
      </c>
      <c r="E8" s="107">
        <v>0</v>
      </c>
      <c r="F8" s="107">
        <v>1</v>
      </c>
      <c r="G8"/>
      <c r="H8"/>
    </row>
    <row r="9" spans="1:8" x14ac:dyDescent="0.15">
      <c r="A9">
        <v>8</v>
      </c>
      <c r="B9" s="174" t="s">
        <v>200</v>
      </c>
      <c r="C9" s="108">
        <v>1</v>
      </c>
      <c r="D9" s="108">
        <v>0</v>
      </c>
      <c r="E9" s="107">
        <v>0</v>
      </c>
      <c r="F9" s="107">
        <v>1</v>
      </c>
      <c r="G9"/>
      <c r="H9"/>
    </row>
    <row r="10" spans="1:8" x14ac:dyDescent="0.15">
      <c r="A10">
        <v>9</v>
      </c>
      <c r="B10" s="174" t="s">
        <v>201</v>
      </c>
      <c r="C10" s="108">
        <v>1</v>
      </c>
      <c r="D10" s="108">
        <v>0</v>
      </c>
      <c r="E10" s="107">
        <v>0</v>
      </c>
      <c r="F10" s="107">
        <v>1</v>
      </c>
      <c r="G10"/>
      <c r="H10"/>
    </row>
    <row r="11" spans="1:8" x14ac:dyDescent="0.15">
      <c r="A11">
        <v>10</v>
      </c>
      <c r="B11" s="174" t="s">
        <v>202</v>
      </c>
      <c r="C11" s="108">
        <v>1</v>
      </c>
      <c r="D11" s="108">
        <v>0</v>
      </c>
      <c r="E11" s="107">
        <v>0</v>
      </c>
      <c r="F11" s="107">
        <v>1</v>
      </c>
      <c r="G11"/>
      <c r="H11"/>
    </row>
    <row r="12" spans="1:8" x14ac:dyDescent="0.15">
      <c r="A12">
        <v>11</v>
      </c>
      <c r="B12" s="174" t="s">
        <v>203</v>
      </c>
      <c r="C12" s="108">
        <v>1</v>
      </c>
      <c r="D12" s="108">
        <v>0</v>
      </c>
      <c r="E12" s="107">
        <v>0</v>
      </c>
      <c r="F12" s="107">
        <v>1</v>
      </c>
      <c r="G12"/>
      <c r="H12"/>
    </row>
    <row r="13" spans="1:8" x14ac:dyDescent="0.15">
      <c r="A13">
        <v>12</v>
      </c>
      <c r="B13" s="174" t="s">
        <v>166</v>
      </c>
      <c r="C13" s="108">
        <v>1</v>
      </c>
      <c r="D13" s="108">
        <v>0</v>
      </c>
      <c r="E13" s="107">
        <v>0</v>
      </c>
      <c r="F13" s="107">
        <v>1</v>
      </c>
      <c r="G13"/>
      <c r="H13"/>
    </row>
    <row r="14" spans="1:8" x14ac:dyDescent="0.15">
      <c r="A14">
        <v>13</v>
      </c>
      <c r="B14" s="174" t="s">
        <v>204</v>
      </c>
      <c r="C14" s="108">
        <v>1</v>
      </c>
      <c r="D14" s="108">
        <v>0</v>
      </c>
      <c r="E14" s="107">
        <v>0</v>
      </c>
      <c r="F14" s="107">
        <v>1</v>
      </c>
      <c r="G14"/>
      <c r="H14"/>
    </row>
    <row r="15" spans="1:8" x14ac:dyDescent="0.15">
      <c r="A15">
        <v>14</v>
      </c>
      <c r="B15" s="174" t="s">
        <v>205</v>
      </c>
      <c r="C15" s="108">
        <v>1</v>
      </c>
      <c r="D15" s="108">
        <v>0</v>
      </c>
      <c r="E15" s="107">
        <v>0</v>
      </c>
      <c r="F15" s="107">
        <v>1</v>
      </c>
      <c r="G15"/>
      <c r="H15"/>
    </row>
    <row r="16" spans="1:8" x14ac:dyDescent="0.15">
      <c r="A16">
        <v>15</v>
      </c>
      <c r="B16" s="174" t="s">
        <v>206</v>
      </c>
      <c r="C16" s="108">
        <v>1</v>
      </c>
      <c r="D16" s="108">
        <v>0</v>
      </c>
      <c r="E16" s="107">
        <v>0</v>
      </c>
      <c r="F16" s="107">
        <v>1</v>
      </c>
      <c r="G16"/>
      <c r="H16"/>
    </row>
    <row r="17" spans="1:8" ht="15" customHeight="1" x14ac:dyDescent="0.15">
      <c r="A17">
        <v>16</v>
      </c>
      <c r="B17" s="174" t="s">
        <v>207</v>
      </c>
      <c r="C17" s="108">
        <v>1</v>
      </c>
      <c r="D17" s="108">
        <v>0</v>
      </c>
      <c r="E17" s="107">
        <v>0</v>
      </c>
      <c r="F17" s="107">
        <v>1</v>
      </c>
      <c r="G17"/>
      <c r="H17"/>
    </row>
    <row r="18" spans="1:8" ht="15" customHeight="1" x14ac:dyDescent="0.15">
      <c r="A18">
        <v>17</v>
      </c>
      <c r="B18" s="174" t="s">
        <v>208</v>
      </c>
      <c r="C18" s="108">
        <v>1</v>
      </c>
      <c r="D18" s="108">
        <v>0</v>
      </c>
      <c r="E18" s="107">
        <v>0</v>
      </c>
      <c r="F18" s="107">
        <v>1</v>
      </c>
      <c r="G18"/>
      <c r="H18"/>
    </row>
    <row r="19" spans="1:8" ht="15" customHeight="1" x14ac:dyDescent="0.15">
      <c r="A19">
        <v>18</v>
      </c>
      <c r="B19" s="174" t="s">
        <v>209</v>
      </c>
      <c r="C19" s="108">
        <v>1</v>
      </c>
      <c r="D19" s="108">
        <v>0</v>
      </c>
      <c r="E19" s="107">
        <v>0</v>
      </c>
      <c r="F19" s="107">
        <v>1</v>
      </c>
      <c r="G19"/>
      <c r="H19"/>
    </row>
    <row r="20" spans="1:8" ht="15" customHeight="1" x14ac:dyDescent="0.15">
      <c r="A20">
        <v>19</v>
      </c>
      <c r="B20" s="174" t="s">
        <v>210</v>
      </c>
      <c r="C20" s="108">
        <v>1</v>
      </c>
      <c r="D20" s="108">
        <v>0</v>
      </c>
      <c r="E20" s="107">
        <v>0</v>
      </c>
      <c r="F20" s="107">
        <v>1</v>
      </c>
      <c r="G20"/>
      <c r="H20"/>
    </row>
    <row r="21" spans="1:8" ht="15" customHeight="1" x14ac:dyDescent="0.15">
      <c r="A21">
        <v>20</v>
      </c>
      <c r="B21" s="174" t="s">
        <v>211</v>
      </c>
      <c r="C21" s="108">
        <v>1</v>
      </c>
      <c r="D21" s="108">
        <v>0</v>
      </c>
      <c r="E21" s="107">
        <v>0</v>
      </c>
      <c r="F21" s="107">
        <v>1</v>
      </c>
      <c r="G21"/>
      <c r="H21"/>
    </row>
    <row r="22" spans="1:8" ht="15" customHeight="1" x14ac:dyDescent="0.15">
      <c r="A22">
        <v>21</v>
      </c>
      <c r="B22" s="174" t="s">
        <v>212</v>
      </c>
      <c r="C22" s="108">
        <v>1</v>
      </c>
      <c r="D22" s="108">
        <v>0</v>
      </c>
      <c r="E22" s="107">
        <v>0</v>
      </c>
      <c r="F22" s="107">
        <v>1</v>
      </c>
      <c r="G22"/>
      <c r="H22"/>
    </row>
    <row r="23" spans="1:8" ht="15" customHeight="1" x14ac:dyDescent="0.15">
      <c r="A23">
        <v>22</v>
      </c>
      <c r="B23" s="174" t="s">
        <v>213</v>
      </c>
      <c r="C23" s="108">
        <v>1</v>
      </c>
      <c r="D23" s="108">
        <v>0</v>
      </c>
      <c r="E23" s="107">
        <v>0</v>
      </c>
      <c r="F23" s="107">
        <v>1</v>
      </c>
      <c r="G23"/>
      <c r="H23"/>
    </row>
    <row r="24" spans="1:8" ht="15" customHeight="1" x14ac:dyDescent="0.15">
      <c r="A24">
        <v>23</v>
      </c>
      <c r="B24" s="174" t="s">
        <v>214</v>
      </c>
      <c r="C24" s="108">
        <v>1</v>
      </c>
      <c r="D24" s="108">
        <v>0</v>
      </c>
      <c r="E24" s="107">
        <v>0</v>
      </c>
      <c r="F24" s="107">
        <v>1</v>
      </c>
      <c r="G24"/>
      <c r="H24"/>
    </row>
    <row r="25" spans="1:8" ht="15" customHeight="1" x14ac:dyDescent="0.15">
      <c r="A25">
        <v>24</v>
      </c>
      <c r="B25" s="174" t="s">
        <v>215</v>
      </c>
      <c r="C25" s="108">
        <v>1</v>
      </c>
      <c r="D25" s="108">
        <v>0</v>
      </c>
      <c r="E25" s="107">
        <v>0</v>
      </c>
      <c r="F25" s="107">
        <v>1</v>
      </c>
      <c r="G25"/>
      <c r="H25"/>
    </row>
    <row r="26" spans="1:8" ht="15" customHeight="1" x14ac:dyDescent="0.15">
      <c r="A26">
        <v>25</v>
      </c>
      <c r="B26" s="174" t="s">
        <v>216</v>
      </c>
      <c r="C26" s="108">
        <v>1</v>
      </c>
      <c r="D26" s="108">
        <v>0</v>
      </c>
      <c r="E26" s="107">
        <v>0</v>
      </c>
      <c r="F26" s="107">
        <v>1</v>
      </c>
      <c r="G26"/>
      <c r="H26"/>
    </row>
    <row r="27" spans="1:8" ht="15" customHeight="1" x14ac:dyDescent="0.15">
      <c r="A27">
        <v>26</v>
      </c>
      <c r="B27" s="174" t="s">
        <v>217</v>
      </c>
      <c r="C27" s="108">
        <v>0</v>
      </c>
      <c r="D27" s="108">
        <v>1</v>
      </c>
      <c r="E27" s="107">
        <v>0</v>
      </c>
      <c r="F27" s="107">
        <v>1</v>
      </c>
      <c r="G27"/>
      <c r="H27"/>
    </row>
    <row r="28" spans="1:8" ht="15" customHeight="1" x14ac:dyDescent="0.15">
      <c r="A28">
        <v>27</v>
      </c>
      <c r="B28" s="174" t="s">
        <v>218</v>
      </c>
      <c r="C28" s="108">
        <v>0</v>
      </c>
      <c r="D28" s="108">
        <v>0</v>
      </c>
      <c r="E28" s="107">
        <v>1</v>
      </c>
      <c r="F28" s="107">
        <v>1</v>
      </c>
      <c r="G28"/>
      <c r="H28"/>
    </row>
    <row r="29" spans="1:8" ht="15" customHeight="1" x14ac:dyDescent="0.15">
      <c r="A29">
        <v>28</v>
      </c>
      <c r="B29" s="174" t="s">
        <v>219</v>
      </c>
      <c r="C29" s="108">
        <v>0</v>
      </c>
      <c r="D29" s="108">
        <v>1</v>
      </c>
      <c r="E29" s="107">
        <v>0</v>
      </c>
      <c r="F29" s="107">
        <v>1</v>
      </c>
      <c r="G29"/>
      <c r="H29"/>
    </row>
    <row r="30" spans="1:8" ht="15" customHeight="1" x14ac:dyDescent="0.15">
      <c r="A30">
        <v>29</v>
      </c>
      <c r="B30" s="174" t="s">
        <v>220</v>
      </c>
      <c r="C30" s="108">
        <v>0</v>
      </c>
      <c r="D30" s="108">
        <v>1</v>
      </c>
      <c r="E30" s="107">
        <v>0</v>
      </c>
      <c r="F30" s="107">
        <v>1</v>
      </c>
      <c r="G30"/>
      <c r="H30"/>
    </row>
    <row r="31" spans="1:8" ht="15" customHeight="1" x14ac:dyDescent="0.15">
      <c r="A31">
        <v>30</v>
      </c>
      <c r="B31" s="174" t="s">
        <v>221</v>
      </c>
      <c r="C31" s="108">
        <v>0</v>
      </c>
      <c r="D31" s="108">
        <v>1</v>
      </c>
      <c r="E31" s="107">
        <v>0</v>
      </c>
      <c r="F31" s="107">
        <v>1</v>
      </c>
      <c r="G31"/>
      <c r="H31"/>
    </row>
    <row r="32" spans="1:8" ht="15" customHeight="1" x14ac:dyDescent="0.15">
      <c r="A32">
        <v>31</v>
      </c>
      <c r="B32" s="174" t="s">
        <v>222</v>
      </c>
      <c r="C32" s="108">
        <v>0</v>
      </c>
      <c r="D32" s="108">
        <v>1</v>
      </c>
      <c r="E32" s="107">
        <v>0</v>
      </c>
      <c r="F32" s="107">
        <v>1</v>
      </c>
    </row>
    <row r="33" spans="1:8" ht="15" customHeight="1" x14ac:dyDescent="0.15">
      <c r="A33">
        <v>32</v>
      </c>
      <c r="B33" s="174" t="s">
        <v>223</v>
      </c>
      <c r="C33" s="108">
        <v>0</v>
      </c>
      <c r="D33" s="108">
        <v>1</v>
      </c>
      <c r="E33" s="107">
        <v>0</v>
      </c>
      <c r="F33" s="107">
        <v>1</v>
      </c>
    </row>
    <row r="34" spans="1:8" ht="15" customHeight="1" x14ac:dyDescent="0.15">
      <c r="A34">
        <v>33</v>
      </c>
      <c r="B34" s="174" t="s">
        <v>224</v>
      </c>
      <c r="C34" s="108">
        <v>0</v>
      </c>
      <c r="D34" s="108">
        <v>1</v>
      </c>
      <c r="E34" s="107">
        <v>0</v>
      </c>
      <c r="F34" s="107">
        <v>1</v>
      </c>
    </row>
    <row r="35" spans="1:8" ht="15" customHeight="1" x14ac:dyDescent="0.15">
      <c r="A35">
        <v>34</v>
      </c>
      <c r="B35" s="174" t="s">
        <v>225</v>
      </c>
      <c r="C35" s="108">
        <v>0</v>
      </c>
      <c r="D35" s="108">
        <v>1</v>
      </c>
      <c r="E35" s="107">
        <v>0</v>
      </c>
      <c r="F35" s="107">
        <v>1</v>
      </c>
    </row>
    <row r="36" spans="1:8" ht="15" customHeight="1" x14ac:dyDescent="0.15">
      <c r="A36">
        <v>35</v>
      </c>
      <c r="B36" s="174" t="s">
        <v>226</v>
      </c>
      <c r="C36" s="108">
        <v>0</v>
      </c>
      <c r="D36" s="108">
        <v>1</v>
      </c>
      <c r="E36" s="108">
        <v>0</v>
      </c>
      <c r="F36" s="108">
        <v>1</v>
      </c>
      <c r="G36"/>
      <c r="H36"/>
    </row>
    <row r="37" spans="1:8" ht="15" customHeight="1" x14ac:dyDescent="0.15">
      <c r="C37"/>
      <c r="D37"/>
      <c r="E37" s="108"/>
      <c r="F37" s="108"/>
      <c r="G37"/>
      <c r="H37"/>
    </row>
    <row r="38" spans="1:8" ht="15" customHeight="1" x14ac:dyDescent="0.15">
      <c r="C38"/>
      <c r="D38"/>
      <c r="E38" s="108"/>
      <c r="F38" s="108"/>
      <c r="G38"/>
      <c r="H38"/>
    </row>
    <row r="39" spans="1:8" ht="15" customHeight="1" x14ac:dyDescent="0.15">
      <c r="C39"/>
      <c r="D39"/>
      <c r="E39" s="108"/>
      <c r="F39" s="108"/>
      <c r="G39"/>
      <c r="H39"/>
    </row>
    <row r="40" spans="1:8" ht="15" customHeight="1" x14ac:dyDescent="0.15">
      <c r="C40"/>
      <c r="D40"/>
      <c r="E40" s="108"/>
      <c r="F40" s="108"/>
      <c r="G40"/>
      <c r="H40"/>
    </row>
    <row r="41" spans="1:8" ht="15" customHeight="1" x14ac:dyDescent="0.15">
      <c r="C41"/>
      <c r="D41"/>
      <c r="E41" s="108"/>
      <c r="F41" s="108"/>
      <c r="G41"/>
      <c r="H41"/>
    </row>
    <row r="42" spans="1:8" ht="15" customHeight="1" x14ac:dyDescent="0.15">
      <c r="C42"/>
      <c r="D42"/>
      <c r="E42" s="108"/>
      <c r="F42" s="108"/>
      <c r="G42"/>
      <c r="H42"/>
    </row>
    <row r="43" spans="1:8" ht="15" customHeight="1" x14ac:dyDescent="0.15">
      <c r="C43"/>
      <c r="D43"/>
      <c r="E43" s="108"/>
      <c r="F43" s="108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8"/>
      <c r="F46" s="108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K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5" width="5.83203125" bestFit="1" customWidth="1"/>
    <col min="6" max="9" width="5.83203125" customWidth="1"/>
    <col min="10" max="10" width="4.83203125" customWidth="1"/>
    <col min="11" max="11" width="5.83203125" customWidth="1"/>
  </cols>
  <sheetData>
    <row r="1" spans="1:11" s="109" customFormat="1" ht="112" x14ac:dyDescent="0.15">
      <c r="A1" s="5" t="s">
        <v>21</v>
      </c>
      <c r="B1" s="3" t="s">
        <v>0</v>
      </c>
      <c r="C1" s="177" t="s">
        <v>219</v>
      </c>
      <c r="D1" s="177" t="s">
        <v>220</v>
      </c>
      <c r="E1" s="177" t="s">
        <v>221</v>
      </c>
      <c r="F1" s="177" t="s">
        <v>222</v>
      </c>
      <c r="G1" s="177" t="s">
        <v>223</v>
      </c>
      <c r="H1" s="177" t="s">
        <v>224</v>
      </c>
      <c r="I1" s="177" t="s">
        <v>225</v>
      </c>
      <c r="J1" s="177" t="s">
        <v>226</v>
      </c>
      <c r="K1" s="177" t="s">
        <v>230</v>
      </c>
    </row>
    <row r="2" spans="1:11" ht="15" customHeight="1" x14ac:dyDescent="0.15">
      <c r="A2">
        <v>1</v>
      </c>
      <c r="B2" s="176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ht="15" customHeight="1" x14ac:dyDescent="0.15">
      <c r="A3">
        <v>2</v>
      </c>
      <c r="B3" s="176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ht="15" customHeight="1" x14ac:dyDescent="0.15">
      <c r="A4">
        <v>3</v>
      </c>
      <c r="B4" s="176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ht="15" customHeight="1" x14ac:dyDescent="0.15">
      <c r="A5">
        <v>4</v>
      </c>
      <c r="B5" s="176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ht="15" customHeight="1" x14ac:dyDescent="0.15">
      <c r="A6">
        <v>5</v>
      </c>
      <c r="B6" s="176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ht="15" customHeight="1" x14ac:dyDescent="0.15">
      <c r="A7">
        <v>6</v>
      </c>
      <c r="B7" s="176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ht="15" customHeight="1" x14ac:dyDescent="0.15">
      <c r="A8">
        <v>7</v>
      </c>
      <c r="B8" s="176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0.01</v>
      </c>
      <c r="K8">
        <v>0.01</v>
      </c>
    </row>
    <row r="9" spans="1:11" ht="15" customHeight="1" x14ac:dyDescent="0.15">
      <c r="A9">
        <v>8</v>
      </c>
      <c r="B9" s="176" t="s">
        <v>200</v>
      </c>
      <c r="C9">
        <v>0.189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0.189</v>
      </c>
    </row>
    <row r="10" spans="1:11" ht="15" customHeight="1" x14ac:dyDescent="0.15">
      <c r="A10">
        <v>9</v>
      </c>
      <c r="B10" s="176" t="s">
        <v>201</v>
      </c>
      <c r="C10">
        <v>0.01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0.01</v>
      </c>
    </row>
    <row r="11" spans="1:11" ht="15" customHeight="1" x14ac:dyDescent="0.15">
      <c r="A11">
        <v>10</v>
      </c>
      <c r="B11" s="176" t="s">
        <v>202</v>
      </c>
      <c r="C11">
        <v>4.5999999999999999E-2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4.5999999999999999E-2</v>
      </c>
    </row>
    <row r="12" spans="1:11" ht="15" customHeight="1" x14ac:dyDescent="0.15">
      <c r="A12">
        <v>11</v>
      </c>
      <c r="B12" s="176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ht="15" customHeight="1" x14ac:dyDescent="0.15">
      <c r="A13">
        <v>12</v>
      </c>
      <c r="B13" s="176" t="s">
        <v>166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1E-3</v>
      </c>
      <c r="J13">
        <v>0</v>
      </c>
      <c r="K13">
        <v>1E-3</v>
      </c>
    </row>
    <row r="14" spans="1:11" ht="15" customHeight="1" x14ac:dyDescent="0.15">
      <c r="A14">
        <v>13</v>
      </c>
      <c r="B14" s="176" t="s">
        <v>204</v>
      </c>
      <c r="C14">
        <v>0.03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0.03</v>
      </c>
    </row>
    <row r="15" spans="1:11" ht="15" customHeight="1" x14ac:dyDescent="0.15">
      <c r="A15">
        <v>14</v>
      </c>
      <c r="B15" s="176" t="s">
        <v>205</v>
      </c>
      <c r="C15">
        <v>0.34499999999999997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0.34499999999999997</v>
      </c>
    </row>
    <row r="16" spans="1:11" ht="15" customHeight="1" x14ac:dyDescent="0.15">
      <c r="A16">
        <v>15</v>
      </c>
      <c r="B16" s="176" t="s">
        <v>206</v>
      </c>
      <c r="C16">
        <v>0</v>
      </c>
      <c r="D16">
        <v>1.3069999999999999</v>
      </c>
      <c r="E16">
        <v>0.02</v>
      </c>
      <c r="F16">
        <v>0</v>
      </c>
      <c r="G16">
        <v>0</v>
      </c>
      <c r="H16">
        <v>0</v>
      </c>
      <c r="I16">
        <v>0</v>
      </c>
      <c r="J16">
        <v>0</v>
      </c>
      <c r="K16">
        <v>1.327</v>
      </c>
    </row>
    <row r="17" spans="1:11" ht="15" customHeight="1" x14ac:dyDescent="0.15">
      <c r="A17">
        <v>16</v>
      </c>
      <c r="B17" s="176" t="s">
        <v>207</v>
      </c>
      <c r="C17">
        <v>0</v>
      </c>
      <c r="D17">
        <v>4.0000000000000001E-3</v>
      </c>
      <c r="E17">
        <v>0</v>
      </c>
      <c r="F17">
        <v>8.9999999999999993E-3</v>
      </c>
      <c r="G17">
        <v>4.0000000000000001E-3</v>
      </c>
      <c r="H17">
        <v>0</v>
      </c>
      <c r="I17">
        <v>0</v>
      </c>
      <c r="J17">
        <v>0</v>
      </c>
      <c r="K17">
        <v>1.7000000000000001E-2</v>
      </c>
    </row>
    <row r="18" spans="1:11" ht="15" customHeight="1" x14ac:dyDescent="0.15">
      <c r="A18">
        <v>17</v>
      </c>
      <c r="B18" s="17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ht="15" customHeight="1" x14ac:dyDescent="0.15">
      <c r="A19">
        <v>18</v>
      </c>
      <c r="B19" s="176" t="s">
        <v>209</v>
      </c>
      <c r="C19">
        <v>0</v>
      </c>
      <c r="D19">
        <v>0</v>
      </c>
      <c r="E19">
        <v>0.26700000000000002</v>
      </c>
      <c r="F19">
        <v>0</v>
      </c>
      <c r="G19">
        <v>0</v>
      </c>
      <c r="H19">
        <v>0</v>
      </c>
      <c r="I19">
        <v>0</v>
      </c>
      <c r="J19">
        <v>0</v>
      </c>
      <c r="K19">
        <v>0.26700000000000002</v>
      </c>
    </row>
    <row r="20" spans="1:11" ht="15" customHeight="1" x14ac:dyDescent="0.15">
      <c r="A20">
        <v>19</v>
      </c>
      <c r="B20" s="176" t="s">
        <v>210</v>
      </c>
      <c r="C20">
        <v>0</v>
      </c>
      <c r="D20">
        <v>0</v>
      </c>
      <c r="E20">
        <v>0.45500000000000002</v>
      </c>
      <c r="F20">
        <v>0</v>
      </c>
      <c r="G20">
        <v>0</v>
      </c>
      <c r="H20">
        <v>0</v>
      </c>
      <c r="I20">
        <v>0</v>
      </c>
      <c r="J20">
        <v>0</v>
      </c>
      <c r="K20">
        <v>0.45500000000000002</v>
      </c>
    </row>
    <row r="21" spans="1:11" ht="15" customHeight="1" x14ac:dyDescent="0.15">
      <c r="A21">
        <v>20</v>
      </c>
      <c r="B21" s="176" t="s">
        <v>211</v>
      </c>
      <c r="C21">
        <v>0</v>
      </c>
      <c r="D21">
        <v>0</v>
      </c>
      <c r="E21">
        <v>8.3000000000000004E-2</v>
      </c>
      <c r="F21">
        <v>0</v>
      </c>
      <c r="G21">
        <v>0</v>
      </c>
      <c r="H21">
        <v>0</v>
      </c>
      <c r="I21">
        <v>0</v>
      </c>
      <c r="J21">
        <v>0</v>
      </c>
      <c r="K21">
        <v>8.3000000000000004E-2</v>
      </c>
    </row>
    <row r="22" spans="1:11" ht="15" customHeight="1" x14ac:dyDescent="0.15">
      <c r="A22">
        <v>21</v>
      </c>
      <c r="B22" s="176" t="s">
        <v>212</v>
      </c>
      <c r="C22">
        <v>0</v>
      </c>
      <c r="D22">
        <v>4.1000000000000002E-2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4.1000000000000002E-2</v>
      </c>
    </row>
    <row r="23" spans="1:11" ht="15" customHeight="1" x14ac:dyDescent="0.15">
      <c r="A23">
        <v>22</v>
      </c>
      <c r="B23" s="17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ht="15" customHeight="1" x14ac:dyDescent="0.15">
      <c r="A24">
        <v>23</v>
      </c>
      <c r="B24" s="176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ht="15" customHeight="1" x14ac:dyDescent="0.15">
      <c r="A25">
        <v>24</v>
      </c>
      <c r="B25" s="176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5.0000000000000001E-3</v>
      </c>
      <c r="I25">
        <v>0</v>
      </c>
      <c r="J25">
        <v>0</v>
      </c>
      <c r="K25">
        <v>5.0000000000000001E-3</v>
      </c>
    </row>
    <row r="26" spans="1:11" ht="15" customHeight="1" x14ac:dyDescent="0.15">
      <c r="A26">
        <v>25</v>
      </c>
      <c r="B26" s="176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ht="15" customHeight="1" x14ac:dyDescent="0.15">
      <c r="A27">
        <v>26</v>
      </c>
      <c r="B27" s="17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ht="15" customHeight="1" x14ac:dyDescent="0.15">
      <c r="A28">
        <v>27</v>
      </c>
      <c r="B28" s="17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ht="15" customHeight="1" x14ac:dyDescent="0.15"/>
    <row r="30" spans="1:11" ht="15" customHeight="1" x14ac:dyDescent="0.15"/>
    <row r="31" spans="1:11" ht="15" customHeight="1" x14ac:dyDescent="0.15"/>
    <row r="32" spans="1:11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K2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5" width="2.33203125" bestFit="1" customWidth="1"/>
    <col min="6" max="11" width="2.33203125" customWidth="1"/>
  </cols>
  <sheetData>
    <row r="1" spans="1:11" s="109" customFormat="1" ht="112" x14ac:dyDescent="0.15">
      <c r="A1" s="5" t="s">
        <v>22</v>
      </c>
      <c r="B1" s="3" t="s">
        <v>0</v>
      </c>
      <c r="C1" s="179" t="s">
        <v>219</v>
      </c>
      <c r="D1" s="179" t="s">
        <v>220</v>
      </c>
      <c r="E1" s="179" t="s">
        <v>221</v>
      </c>
      <c r="F1" s="179" t="s">
        <v>222</v>
      </c>
      <c r="G1" s="179" t="s">
        <v>223</v>
      </c>
      <c r="H1" s="179" t="s">
        <v>224</v>
      </c>
      <c r="I1" s="179" t="s">
        <v>225</v>
      </c>
      <c r="J1" s="179" t="s">
        <v>226</v>
      </c>
      <c r="K1" s="179" t="s">
        <v>230</v>
      </c>
    </row>
    <row r="2" spans="1:11" x14ac:dyDescent="0.15">
      <c r="A2">
        <v>1</v>
      </c>
      <c r="B2" s="178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78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78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78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78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78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15">
      <c r="A8">
        <v>7</v>
      </c>
      <c r="B8" s="178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15">
      <c r="A9">
        <v>8</v>
      </c>
      <c r="B9" s="178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78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78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78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178" t="s">
        <v>166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x14ac:dyDescent="0.15">
      <c r="A14">
        <v>13</v>
      </c>
      <c r="B14" s="17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7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x14ac:dyDescent="0.15">
      <c r="A16">
        <v>15</v>
      </c>
      <c r="B16" s="178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15">
      <c r="A17">
        <v>16</v>
      </c>
      <c r="B17" s="17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7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17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x14ac:dyDescent="0.15">
      <c r="A20">
        <v>19</v>
      </c>
      <c r="B20" s="17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x14ac:dyDescent="0.15">
      <c r="A21">
        <v>20</v>
      </c>
      <c r="B21" s="17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7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15">
      <c r="A23">
        <v>22</v>
      </c>
      <c r="B23" s="178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7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15">
      <c r="A25">
        <v>24</v>
      </c>
      <c r="B25" s="17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15">
      <c r="A26">
        <v>25</v>
      </c>
      <c r="B26" s="17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7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7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10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0" customFormat="1" ht="14" thickBot="1" x14ac:dyDescent="0.2">
      <c r="D1" s="111" t="s">
        <v>8</v>
      </c>
      <c r="E1" s="111" t="s">
        <v>0</v>
      </c>
      <c r="F1" s="112" t="s">
        <v>99</v>
      </c>
      <c r="G1" s="113" t="s">
        <v>84</v>
      </c>
      <c r="H1" s="113" t="s">
        <v>85</v>
      </c>
      <c r="I1" s="113" t="s">
        <v>86</v>
      </c>
      <c r="J1" s="113" t="s">
        <v>87</v>
      </c>
      <c r="K1" s="113" t="s">
        <v>88</v>
      </c>
      <c r="L1" s="114" t="s">
        <v>89</v>
      </c>
      <c r="M1" s="114" t="s">
        <v>93</v>
      </c>
      <c r="N1" s="114" t="s">
        <v>92</v>
      </c>
      <c r="O1" s="114" t="s">
        <v>90</v>
      </c>
      <c r="P1" s="114" t="s">
        <v>91</v>
      </c>
      <c r="Q1" s="115" t="s">
        <v>94</v>
      </c>
      <c r="R1" s="115" t="s">
        <v>95</v>
      </c>
      <c r="S1" s="115" t="s">
        <v>96</v>
      </c>
      <c r="T1" s="115" t="s">
        <v>97</v>
      </c>
      <c r="U1" s="115" t="s">
        <v>98</v>
      </c>
      <c r="V1" s="113" t="s">
        <v>100</v>
      </c>
      <c r="W1" s="113" t="s">
        <v>101</v>
      </c>
      <c r="X1" s="113" t="s">
        <v>102</v>
      </c>
      <c r="Y1" s="113" t="s">
        <v>134</v>
      </c>
      <c r="Z1" s="114" t="s">
        <v>103</v>
      </c>
      <c r="AA1" s="114" t="s">
        <v>104</v>
      </c>
      <c r="AB1" s="114" t="s">
        <v>105</v>
      </c>
      <c r="AC1" s="116" t="s">
        <v>135</v>
      </c>
      <c r="AD1" s="115" t="s">
        <v>106</v>
      </c>
      <c r="AE1" s="115" t="s">
        <v>107</v>
      </c>
      <c r="AF1" s="115" t="s">
        <v>108</v>
      </c>
      <c r="AG1" s="115" t="s">
        <v>136</v>
      </c>
      <c r="AH1" s="113" t="s">
        <v>109</v>
      </c>
      <c r="AI1" s="113" t="s">
        <v>111</v>
      </c>
      <c r="AJ1" s="113" t="s">
        <v>110</v>
      </c>
      <c r="AK1" s="114" t="s">
        <v>115</v>
      </c>
      <c r="AL1" s="114" t="s">
        <v>116</v>
      </c>
      <c r="AM1" s="114" t="s">
        <v>117</v>
      </c>
      <c r="AN1" s="115" t="s">
        <v>112</v>
      </c>
      <c r="AO1" s="115" t="s">
        <v>113</v>
      </c>
      <c r="AP1" s="115" t="s">
        <v>114</v>
      </c>
    </row>
    <row r="2" spans="1:42" x14ac:dyDescent="0.15">
      <c r="A2" s="117" t="s">
        <v>74</v>
      </c>
      <c r="B2" s="118">
        <v>1</v>
      </c>
      <c r="D2">
        <v>1</v>
      </c>
      <c r="E2" s="180" t="s">
        <v>193</v>
      </c>
      <c r="F2">
        <v>0.98</v>
      </c>
      <c r="G2">
        <v>0.8</v>
      </c>
      <c r="H2">
        <v>0.8</v>
      </c>
      <c r="I2">
        <v>0</v>
      </c>
      <c r="J2" s="108">
        <v>0</v>
      </c>
      <c r="K2" s="108">
        <v>0</v>
      </c>
    </row>
    <row r="3" spans="1:42" x14ac:dyDescent="0.15">
      <c r="A3" s="117" t="s">
        <v>75</v>
      </c>
      <c r="B3" s="119">
        <v>1</v>
      </c>
      <c r="D3">
        <v>2</v>
      </c>
      <c r="E3" s="180" t="s">
        <v>194</v>
      </c>
      <c r="F3">
        <v>0.98</v>
      </c>
      <c r="G3">
        <v>0.8</v>
      </c>
      <c r="H3">
        <v>0.8</v>
      </c>
      <c r="I3">
        <v>0.8</v>
      </c>
      <c r="J3" s="108">
        <v>0.25</v>
      </c>
      <c r="K3" s="108">
        <v>0.05</v>
      </c>
    </row>
    <row r="4" spans="1:42" x14ac:dyDescent="0.15">
      <c r="A4" s="117" t="s">
        <v>76</v>
      </c>
      <c r="B4" s="119">
        <v>1</v>
      </c>
      <c r="D4">
        <v>3</v>
      </c>
      <c r="E4" s="180" t="s">
        <v>195</v>
      </c>
      <c r="F4">
        <v>0.98</v>
      </c>
      <c r="G4">
        <v>0.8</v>
      </c>
      <c r="H4">
        <v>0.8</v>
      </c>
      <c r="I4">
        <v>0.8</v>
      </c>
      <c r="J4" s="108">
        <v>0.25</v>
      </c>
      <c r="K4" s="108">
        <v>0.05</v>
      </c>
    </row>
    <row r="5" spans="1:42" x14ac:dyDescent="0.15">
      <c r="A5" s="117" t="s">
        <v>77</v>
      </c>
      <c r="B5" s="119">
        <v>1</v>
      </c>
      <c r="D5">
        <v>4</v>
      </c>
      <c r="E5" s="180" t="s">
        <v>196</v>
      </c>
      <c r="F5">
        <v>0.98</v>
      </c>
      <c r="G5">
        <v>0.8</v>
      </c>
      <c r="H5">
        <v>0.8</v>
      </c>
      <c r="I5">
        <v>0.8</v>
      </c>
      <c r="J5" s="108">
        <v>0.25</v>
      </c>
      <c r="K5" s="108">
        <v>0.05</v>
      </c>
    </row>
    <row r="6" spans="1:42" x14ac:dyDescent="0.15">
      <c r="A6" s="117" t="s">
        <v>78</v>
      </c>
      <c r="B6" s="119">
        <v>1</v>
      </c>
      <c r="D6">
        <v>5</v>
      </c>
      <c r="E6" s="180" t="s">
        <v>197</v>
      </c>
      <c r="F6">
        <v>0.98</v>
      </c>
      <c r="G6">
        <v>0.8</v>
      </c>
      <c r="H6">
        <v>0.8</v>
      </c>
      <c r="I6">
        <v>0.8</v>
      </c>
      <c r="J6" s="108">
        <v>0.25</v>
      </c>
      <c r="K6" s="108">
        <v>0.05</v>
      </c>
    </row>
    <row r="7" spans="1:42" x14ac:dyDescent="0.15">
      <c r="A7" s="117" t="s">
        <v>79</v>
      </c>
      <c r="B7" s="119">
        <v>1</v>
      </c>
      <c r="D7">
        <v>6</v>
      </c>
      <c r="E7" s="180" t="s">
        <v>198</v>
      </c>
      <c r="F7">
        <v>0.98</v>
      </c>
      <c r="G7">
        <v>0.8</v>
      </c>
      <c r="H7">
        <v>0.8</v>
      </c>
      <c r="I7">
        <v>0.8</v>
      </c>
      <c r="J7" s="108">
        <v>0.25</v>
      </c>
      <c r="K7" s="108">
        <v>0.05</v>
      </c>
    </row>
    <row r="8" spans="1:42" x14ac:dyDescent="0.15">
      <c r="A8" s="117" t="s">
        <v>80</v>
      </c>
      <c r="B8" s="119">
        <v>1</v>
      </c>
      <c r="D8">
        <v>7</v>
      </c>
      <c r="E8" s="180" t="s">
        <v>199</v>
      </c>
      <c r="F8">
        <v>0.98</v>
      </c>
      <c r="G8">
        <v>0.8</v>
      </c>
      <c r="H8">
        <v>0.8</v>
      </c>
      <c r="I8">
        <v>0.8</v>
      </c>
      <c r="J8" s="108">
        <v>0.25</v>
      </c>
      <c r="K8" s="108">
        <v>0.05</v>
      </c>
    </row>
    <row r="9" spans="1:42" x14ac:dyDescent="0.15">
      <c r="A9" s="117" t="s">
        <v>81</v>
      </c>
      <c r="B9" s="119">
        <v>0.1</v>
      </c>
      <c r="C9" s="61" t="s">
        <v>150</v>
      </c>
      <c r="D9">
        <v>8</v>
      </c>
      <c r="E9" s="180" t="s">
        <v>200</v>
      </c>
      <c r="F9">
        <v>0.98</v>
      </c>
      <c r="G9">
        <v>0.8</v>
      </c>
      <c r="H9">
        <v>0.8</v>
      </c>
      <c r="I9">
        <v>0.8</v>
      </c>
      <c r="J9" s="108">
        <v>0.25</v>
      </c>
      <c r="K9" s="108">
        <v>0.05</v>
      </c>
    </row>
    <row r="10" spans="1:42" ht="14" thickBot="1" x14ac:dyDescent="0.2">
      <c r="A10" s="117" t="s">
        <v>149</v>
      </c>
      <c r="B10" s="120">
        <f>1/3</f>
        <v>0.33333333333333331</v>
      </c>
      <c r="C10" s="61" t="s">
        <v>150</v>
      </c>
      <c r="D10">
        <v>9</v>
      </c>
      <c r="E10" s="180" t="s">
        <v>201</v>
      </c>
      <c r="F10">
        <v>0.98</v>
      </c>
      <c r="G10">
        <v>0.8</v>
      </c>
      <c r="H10">
        <v>0.8</v>
      </c>
      <c r="I10">
        <v>0.8</v>
      </c>
      <c r="J10" s="108">
        <v>0.25</v>
      </c>
      <c r="K10" s="108">
        <v>0.05</v>
      </c>
    </row>
    <row r="11" spans="1:42" x14ac:dyDescent="0.15">
      <c r="D11">
        <v>10</v>
      </c>
      <c r="E11" s="180" t="s">
        <v>202</v>
      </c>
      <c r="F11">
        <v>0.98</v>
      </c>
      <c r="G11">
        <v>0.8</v>
      </c>
      <c r="H11">
        <v>0.8</v>
      </c>
      <c r="I11">
        <v>0.8</v>
      </c>
      <c r="J11" s="108">
        <v>0.25</v>
      </c>
      <c r="K11" s="108">
        <v>0.05</v>
      </c>
    </row>
    <row r="12" spans="1:42" x14ac:dyDescent="0.15">
      <c r="D12">
        <v>11</v>
      </c>
      <c r="E12" s="180" t="s">
        <v>203</v>
      </c>
      <c r="F12">
        <v>0.98</v>
      </c>
      <c r="G12">
        <v>0.8</v>
      </c>
      <c r="H12">
        <v>0.8</v>
      </c>
      <c r="I12">
        <v>0.8</v>
      </c>
      <c r="J12" s="108">
        <v>0.25</v>
      </c>
      <c r="K12" s="108">
        <v>0.05</v>
      </c>
    </row>
    <row r="13" spans="1:42" x14ac:dyDescent="0.15">
      <c r="D13">
        <v>12</v>
      </c>
      <c r="E13" s="180" t="s">
        <v>166</v>
      </c>
      <c r="F13">
        <v>0.98</v>
      </c>
      <c r="G13">
        <v>0.8</v>
      </c>
      <c r="H13">
        <v>0.8</v>
      </c>
      <c r="I13">
        <v>0.8</v>
      </c>
      <c r="J13" s="108">
        <v>0.25</v>
      </c>
      <c r="K13" s="108">
        <v>0.05</v>
      </c>
    </row>
    <row r="14" spans="1:42" x14ac:dyDescent="0.15">
      <c r="D14">
        <v>13</v>
      </c>
      <c r="E14" s="180" t="s">
        <v>204</v>
      </c>
      <c r="F14">
        <v>0.98</v>
      </c>
      <c r="G14">
        <v>0.8</v>
      </c>
      <c r="H14">
        <v>0.8</v>
      </c>
      <c r="I14">
        <v>0.8</v>
      </c>
      <c r="J14" s="108">
        <v>0.25</v>
      </c>
      <c r="K14" s="108">
        <v>0.05</v>
      </c>
    </row>
    <row r="15" spans="1:42" x14ac:dyDescent="0.15">
      <c r="D15">
        <v>14</v>
      </c>
      <c r="E15" s="180" t="s">
        <v>205</v>
      </c>
      <c r="F15">
        <v>0.98</v>
      </c>
      <c r="G15">
        <v>0.8</v>
      </c>
      <c r="H15">
        <v>0.8</v>
      </c>
      <c r="I15">
        <v>0.8</v>
      </c>
      <c r="J15" s="108">
        <v>0.25</v>
      </c>
      <c r="K15" s="108">
        <v>0.05</v>
      </c>
    </row>
    <row r="16" spans="1:42" x14ac:dyDescent="0.15">
      <c r="D16">
        <v>15</v>
      </c>
      <c r="E16" s="180" t="s">
        <v>206</v>
      </c>
      <c r="F16">
        <v>0.98</v>
      </c>
      <c r="G16">
        <v>0.8</v>
      </c>
      <c r="H16">
        <v>0.8</v>
      </c>
      <c r="I16">
        <v>0.8</v>
      </c>
      <c r="J16" s="108">
        <v>0.25</v>
      </c>
      <c r="K16" s="108">
        <v>0.05</v>
      </c>
    </row>
    <row r="17" spans="4:33" ht="15" customHeight="1" x14ac:dyDescent="0.15">
      <c r="D17">
        <v>16</v>
      </c>
      <c r="E17" s="180" t="s">
        <v>207</v>
      </c>
      <c r="F17">
        <v>0.98</v>
      </c>
      <c r="G17">
        <v>0.8</v>
      </c>
      <c r="H17">
        <v>0.8</v>
      </c>
      <c r="I17">
        <v>0.8</v>
      </c>
      <c r="J17" s="108">
        <v>0.25</v>
      </c>
      <c r="K17" s="108">
        <v>0.05</v>
      </c>
    </row>
    <row r="18" spans="4:33" ht="15" customHeight="1" x14ac:dyDescent="0.15">
      <c r="D18">
        <v>17</v>
      </c>
      <c r="E18" s="180" t="s">
        <v>208</v>
      </c>
      <c r="F18">
        <v>0.98</v>
      </c>
      <c r="G18">
        <v>0.8</v>
      </c>
      <c r="H18">
        <v>0.8</v>
      </c>
      <c r="I18">
        <v>0.8</v>
      </c>
      <c r="J18" s="108">
        <v>0.25</v>
      </c>
      <c r="K18" s="108">
        <v>0.05</v>
      </c>
    </row>
    <row r="19" spans="4:33" ht="15" customHeight="1" x14ac:dyDescent="0.15">
      <c r="D19">
        <v>18</v>
      </c>
      <c r="E19" s="180" t="s">
        <v>209</v>
      </c>
      <c r="F19">
        <v>0.98</v>
      </c>
      <c r="G19">
        <v>0.8</v>
      </c>
      <c r="H19">
        <v>0.8</v>
      </c>
      <c r="I19">
        <v>0.8</v>
      </c>
      <c r="J19" s="108">
        <v>0.25</v>
      </c>
      <c r="K19" s="108">
        <v>0.05</v>
      </c>
    </row>
    <row r="20" spans="4:33" ht="15" customHeight="1" x14ac:dyDescent="0.15">
      <c r="D20">
        <v>19</v>
      </c>
      <c r="E20" s="180" t="s">
        <v>210</v>
      </c>
      <c r="F20">
        <v>0.98</v>
      </c>
      <c r="G20">
        <v>0.8</v>
      </c>
      <c r="H20">
        <v>0.8</v>
      </c>
      <c r="I20">
        <v>0.8</v>
      </c>
      <c r="J20" s="108">
        <v>0.25</v>
      </c>
      <c r="K20" s="108">
        <v>0.05</v>
      </c>
    </row>
    <row r="21" spans="4:33" ht="15" customHeight="1" x14ac:dyDescent="0.15">
      <c r="D21">
        <v>20</v>
      </c>
      <c r="E21" s="180" t="s">
        <v>211</v>
      </c>
      <c r="F21">
        <v>0.98</v>
      </c>
      <c r="G21">
        <v>0.8</v>
      </c>
      <c r="H21">
        <v>0.8</v>
      </c>
      <c r="I21">
        <v>0.8</v>
      </c>
      <c r="J21" s="108">
        <v>0.25</v>
      </c>
      <c r="K21" s="108">
        <v>0.05</v>
      </c>
    </row>
    <row r="22" spans="4:33" ht="15" customHeight="1" x14ac:dyDescent="0.15">
      <c r="D22">
        <v>21</v>
      </c>
      <c r="E22" s="180" t="s">
        <v>212</v>
      </c>
      <c r="F22">
        <v>0.98</v>
      </c>
      <c r="G22">
        <v>0.8</v>
      </c>
      <c r="H22">
        <v>0.8</v>
      </c>
      <c r="I22">
        <v>0.8</v>
      </c>
      <c r="J22" s="108">
        <v>0.25</v>
      </c>
      <c r="K22" s="108">
        <v>0.05</v>
      </c>
    </row>
    <row r="23" spans="4:33" ht="15" customHeight="1" x14ac:dyDescent="0.15">
      <c r="D23">
        <v>22</v>
      </c>
      <c r="E23" s="180" t="s">
        <v>213</v>
      </c>
      <c r="F23">
        <v>0.98</v>
      </c>
      <c r="G23">
        <v>0.8</v>
      </c>
      <c r="H23">
        <v>0.8</v>
      </c>
      <c r="I23">
        <v>0.8</v>
      </c>
      <c r="J23" s="108">
        <v>0.25</v>
      </c>
      <c r="K23" s="108">
        <v>0.05</v>
      </c>
    </row>
    <row r="24" spans="4:33" ht="15" customHeight="1" x14ac:dyDescent="0.15">
      <c r="D24">
        <v>23</v>
      </c>
      <c r="E24" s="180" t="s">
        <v>214</v>
      </c>
      <c r="F24">
        <v>0.98</v>
      </c>
      <c r="G24">
        <v>0.8</v>
      </c>
      <c r="H24">
        <v>0.8</v>
      </c>
      <c r="I24">
        <v>0.8</v>
      </c>
      <c r="J24" s="108">
        <v>0.25</v>
      </c>
      <c r="K24" s="108">
        <v>0.05</v>
      </c>
    </row>
    <row r="25" spans="4:33" ht="15" customHeight="1" x14ac:dyDescent="0.15">
      <c r="D25">
        <v>24</v>
      </c>
      <c r="E25" s="180" t="s">
        <v>215</v>
      </c>
      <c r="F25">
        <v>0.98</v>
      </c>
      <c r="G25">
        <v>0.8</v>
      </c>
      <c r="H25">
        <v>0.8</v>
      </c>
      <c r="I25">
        <v>0.8</v>
      </c>
      <c r="J25" s="108">
        <v>0.25</v>
      </c>
      <c r="K25" s="108">
        <v>0.05</v>
      </c>
    </row>
    <row r="26" spans="4:33" ht="15" customHeight="1" x14ac:dyDescent="0.15">
      <c r="D26">
        <v>25</v>
      </c>
      <c r="E26" s="180" t="s">
        <v>216</v>
      </c>
      <c r="F26">
        <v>0.98</v>
      </c>
      <c r="G26">
        <v>0.8</v>
      </c>
      <c r="H26">
        <v>0.8</v>
      </c>
      <c r="I26">
        <v>0.8</v>
      </c>
      <c r="J26" s="108">
        <v>0.25</v>
      </c>
      <c r="K26" s="108">
        <v>0.05</v>
      </c>
    </row>
    <row r="27" spans="4:33" ht="15" customHeight="1" x14ac:dyDescent="0.15">
      <c r="D27">
        <v>26</v>
      </c>
      <c r="E27" s="180" t="s">
        <v>217</v>
      </c>
      <c r="F27">
        <v>0.98</v>
      </c>
      <c r="G27">
        <v>0.8</v>
      </c>
      <c r="H27">
        <v>0</v>
      </c>
      <c r="I27">
        <v>0</v>
      </c>
      <c r="J27" s="108">
        <v>0</v>
      </c>
      <c r="K27" s="108">
        <v>0</v>
      </c>
    </row>
    <row r="28" spans="4:33" ht="15" customHeight="1" x14ac:dyDescent="0.15">
      <c r="D28">
        <v>27</v>
      </c>
      <c r="E28" s="180" t="s">
        <v>218</v>
      </c>
      <c r="F28">
        <v>0.98</v>
      </c>
      <c r="G28">
        <v>0.8</v>
      </c>
      <c r="H28">
        <v>0</v>
      </c>
      <c r="I28">
        <v>0</v>
      </c>
      <c r="J28" s="108">
        <v>0</v>
      </c>
      <c r="K28" s="108">
        <v>0</v>
      </c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2" width="2.33203125" style="106" customWidth="1"/>
    <col min="3" max="26" width="3.83203125" style="106" customWidth="1"/>
    <col min="27" max="28" width="2.33203125" style="106" customWidth="1"/>
    <col min="29" max="16384" width="10.83203125" style="106"/>
  </cols>
  <sheetData>
    <row r="1" spans="1:30" x14ac:dyDescent="0.15">
      <c r="A1" s="63" t="s">
        <v>118</v>
      </c>
      <c r="B1" s="182" t="s">
        <v>193</v>
      </c>
      <c r="C1" s="182" t="s">
        <v>194</v>
      </c>
      <c r="D1" s="182" t="s">
        <v>195</v>
      </c>
      <c r="E1" s="182" t="s">
        <v>196</v>
      </c>
      <c r="F1" s="182" t="s">
        <v>197</v>
      </c>
      <c r="G1" s="182" t="s">
        <v>198</v>
      </c>
      <c r="H1" s="182" t="s">
        <v>199</v>
      </c>
      <c r="I1" s="182" t="s">
        <v>200</v>
      </c>
      <c r="J1" s="182" t="s">
        <v>201</v>
      </c>
      <c r="K1" s="182" t="s">
        <v>202</v>
      </c>
      <c r="L1" s="182" t="s">
        <v>203</v>
      </c>
      <c r="M1" s="182" t="s">
        <v>166</v>
      </c>
      <c r="N1" s="182" t="s">
        <v>204</v>
      </c>
      <c r="O1" s="182" t="s">
        <v>205</v>
      </c>
      <c r="P1" s="182" t="s">
        <v>206</v>
      </c>
      <c r="Q1" s="182" t="s">
        <v>207</v>
      </c>
      <c r="R1" s="182" t="s">
        <v>208</v>
      </c>
      <c r="S1" s="182" t="s">
        <v>209</v>
      </c>
      <c r="T1" s="182" t="s">
        <v>210</v>
      </c>
      <c r="U1" s="182" t="s">
        <v>211</v>
      </c>
      <c r="V1" s="182" t="s">
        <v>212</v>
      </c>
      <c r="W1" s="182" t="s">
        <v>213</v>
      </c>
      <c r="X1" s="182" t="s">
        <v>214</v>
      </c>
      <c r="Y1" s="182" t="s">
        <v>215</v>
      </c>
      <c r="Z1" s="182" t="s">
        <v>216</v>
      </c>
      <c r="AA1" s="182" t="s">
        <v>217</v>
      </c>
      <c r="AB1" s="182" t="s">
        <v>218</v>
      </c>
      <c r="AC1"/>
      <c r="AD1"/>
    </row>
    <row r="2" spans="1:30" customFormat="1" x14ac:dyDescent="0.15">
      <c r="A2" s="181" t="s">
        <v>193</v>
      </c>
      <c r="B2" s="106">
        <v>0</v>
      </c>
      <c r="C2" s="106">
        <v>0.8</v>
      </c>
      <c r="D2" s="106">
        <v>0.8</v>
      </c>
      <c r="E2" s="106">
        <v>0.8</v>
      </c>
      <c r="F2" s="106">
        <v>0.8</v>
      </c>
      <c r="G2" s="106">
        <v>0</v>
      </c>
      <c r="H2" s="106">
        <v>0</v>
      </c>
      <c r="I2" s="106">
        <v>0.8</v>
      </c>
      <c r="J2" s="106">
        <v>0.8</v>
      </c>
      <c r="K2" s="106">
        <v>0</v>
      </c>
      <c r="L2" s="106">
        <v>0</v>
      </c>
      <c r="M2" s="106">
        <v>0</v>
      </c>
      <c r="N2" s="106">
        <v>0.8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</row>
    <row r="3" spans="1:30" customFormat="1" x14ac:dyDescent="0.15">
      <c r="A3" s="181" t="s">
        <v>194</v>
      </c>
      <c r="B3" s="106">
        <v>0</v>
      </c>
      <c r="C3" s="106">
        <v>0.8</v>
      </c>
      <c r="D3" s="106">
        <v>0.8</v>
      </c>
      <c r="E3" s="106">
        <v>0</v>
      </c>
      <c r="F3" s="106">
        <v>0</v>
      </c>
      <c r="G3" s="106">
        <v>0</v>
      </c>
      <c r="H3" s="106">
        <v>0</v>
      </c>
      <c r="I3" s="106">
        <v>0.8</v>
      </c>
      <c r="J3" s="106">
        <v>0.8</v>
      </c>
      <c r="K3" s="106">
        <v>0</v>
      </c>
      <c r="L3" s="106">
        <v>0</v>
      </c>
      <c r="M3" s="106">
        <v>0</v>
      </c>
      <c r="N3" s="106">
        <v>0.8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</row>
    <row r="4" spans="1:30" customFormat="1" x14ac:dyDescent="0.15">
      <c r="A4" s="181" t="s">
        <v>195</v>
      </c>
      <c r="B4" s="106">
        <v>0</v>
      </c>
      <c r="C4" s="106">
        <v>0</v>
      </c>
      <c r="D4" s="106">
        <v>0</v>
      </c>
      <c r="E4" s="106">
        <v>0.8</v>
      </c>
      <c r="F4" s="106">
        <v>0.8</v>
      </c>
      <c r="G4" s="106">
        <v>0</v>
      </c>
      <c r="H4" s="106">
        <v>0</v>
      </c>
      <c r="I4" s="106">
        <v>0.8</v>
      </c>
      <c r="J4" s="106">
        <v>0.8</v>
      </c>
      <c r="K4" s="106">
        <v>0.8</v>
      </c>
      <c r="L4" s="106">
        <v>0.8</v>
      </c>
      <c r="M4" s="106">
        <v>0.8</v>
      </c>
      <c r="N4" s="106">
        <v>0.8</v>
      </c>
      <c r="O4" s="106">
        <v>0.8</v>
      </c>
      <c r="P4" s="106">
        <v>0.8</v>
      </c>
      <c r="Q4" s="106">
        <v>0</v>
      </c>
      <c r="R4" s="106">
        <v>0.8</v>
      </c>
      <c r="S4" s="106">
        <v>0</v>
      </c>
      <c r="T4" s="106">
        <v>0</v>
      </c>
      <c r="U4" s="106">
        <v>0</v>
      </c>
      <c r="V4" s="106">
        <v>0.8</v>
      </c>
      <c r="W4" s="106">
        <v>0</v>
      </c>
      <c r="X4" s="106">
        <v>0.8</v>
      </c>
      <c r="Y4" s="106">
        <v>0</v>
      </c>
      <c r="Z4" s="106">
        <v>0.8</v>
      </c>
      <c r="AA4" s="106">
        <v>0</v>
      </c>
      <c r="AB4" s="106">
        <v>0</v>
      </c>
    </row>
    <row r="5" spans="1:30" customFormat="1" x14ac:dyDescent="0.15">
      <c r="A5" s="181" t="s">
        <v>196</v>
      </c>
      <c r="B5" s="106">
        <v>0</v>
      </c>
      <c r="C5" s="106">
        <v>0</v>
      </c>
      <c r="D5" s="106">
        <v>0</v>
      </c>
      <c r="E5" s="106">
        <v>0</v>
      </c>
      <c r="F5" s="106">
        <v>0.8</v>
      </c>
      <c r="G5" s="106">
        <v>0</v>
      </c>
      <c r="H5" s="106">
        <v>0</v>
      </c>
      <c r="I5" s="106">
        <v>0.8</v>
      </c>
      <c r="J5" s="106">
        <v>0.8</v>
      </c>
      <c r="K5" s="106">
        <v>0.8</v>
      </c>
      <c r="L5" s="106">
        <v>0.8</v>
      </c>
      <c r="M5" s="106">
        <v>0.8</v>
      </c>
      <c r="N5" s="106">
        <v>0.8</v>
      </c>
      <c r="O5" s="106">
        <v>0.8</v>
      </c>
      <c r="P5" s="106">
        <v>0.8</v>
      </c>
      <c r="Q5" s="106">
        <v>0.8</v>
      </c>
      <c r="R5" s="106">
        <v>0.8</v>
      </c>
      <c r="S5" s="106">
        <v>0.8</v>
      </c>
      <c r="T5" s="106">
        <v>0.8</v>
      </c>
      <c r="U5" s="106">
        <v>0.8</v>
      </c>
      <c r="V5" s="106">
        <v>0.8</v>
      </c>
      <c r="W5" s="106">
        <v>0</v>
      </c>
      <c r="X5" s="106">
        <v>0.8</v>
      </c>
      <c r="Y5" s="106">
        <v>0</v>
      </c>
      <c r="Z5" s="106">
        <v>0.8</v>
      </c>
      <c r="AA5" s="106">
        <v>0</v>
      </c>
      <c r="AB5" s="106">
        <v>0</v>
      </c>
    </row>
    <row r="6" spans="1:30" customFormat="1" x14ac:dyDescent="0.15">
      <c r="A6" s="181" t="s">
        <v>197</v>
      </c>
      <c r="B6" s="106">
        <v>0</v>
      </c>
      <c r="C6" s="106">
        <v>0</v>
      </c>
      <c r="D6" s="106">
        <v>0</v>
      </c>
      <c r="E6" s="106">
        <v>0</v>
      </c>
      <c r="F6" s="106">
        <v>0.8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0.8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</row>
    <row r="7" spans="1:30" customFormat="1" x14ac:dyDescent="0.15">
      <c r="A7" s="181" t="s">
        <v>198</v>
      </c>
      <c r="B7" s="106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06">
        <v>0.8</v>
      </c>
      <c r="I7" s="106">
        <v>0</v>
      </c>
      <c r="J7" s="106">
        <v>0</v>
      </c>
      <c r="K7" s="106">
        <v>0.8</v>
      </c>
      <c r="L7" s="106">
        <v>0</v>
      </c>
      <c r="M7" s="106">
        <v>0</v>
      </c>
      <c r="N7" s="106">
        <v>0</v>
      </c>
      <c r="O7" s="106">
        <v>0.8</v>
      </c>
      <c r="P7" s="106">
        <v>0.8</v>
      </c>
      <c r="Q7" s="106">
        <v>0</v>
      </c>
      <c r="R7" s="106">
        <v>0</v>
      </c>
      <c r="S7" s="106">
        <v>0</v>
      </c>
      <c r="T7" s="106">
        <v>0.8</v>
      </c>
      <c r="U7" s="106">
        <v>0.8</v>
      </c>
      <c r="V7" s="106">
        <v>0</v>
      </c>
      <c r="W7" s="106">
        <v>0.8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</row>
    <row r="8" spans="1:30" customFormat="1" x14ac:dyDescent="0.15">
      <c r="A8" s="181" t="s">
        <v>199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0.8</v>
      </c>
      <c r="I8" s="106">
        <v>0</v>
      </c>
      <c r="J8" s="106">
        <v>0</v>
      </c>
      <c r="K8" s="106">
        <v>0.8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0.8</v>
      </c>
      <c r="U8" s="106">
        <v>0.8</v>
      </c>
      <c r="V8" s="106">
        <v>0</v>
      </c>
      <c r="W8" s="106">
        <v>0.8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</row>
    <row r="9" spans="1:30" customFormat="1" x14ac:dyDescent="0.15">
      <c r="A9" s="181" t="s">
        <v>200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0.8</v>
      </c>
      <c r="N9" s="106">
        <v>0</v>
      </c>
      <c r="O9" s="106">
        <v>0</v>
      </c>
      <c r="P9" s="106">
        <v>0</v>
      </c>
      <c r="Q9" s="106">
        <v>0.8</v>
      </c>
      <c r="R9" s="106">
        <v>0</v>
      </c>
      <c r="S9" s="106">
        <v>0.8</v>
      </c>
      <c r="T9" s="106">
        <v>0</v>
      </c>
      <c r="U9" s="106">
        <v>0</v>
      </c>
      <c r="V9" s="106">
        <v>0.8</v>
      </c>
      <c r="W9" s="106">
        <v>0.8</v>
      </c>
      <c r="X9" s="106">
        <v>0.8</v>
      </c>
      <c r="Y9" s="106">
        <v>0.8</v>
      </c>
      <c r="Z9" s="106">
        <v>0.8</v>
      </c>
      <c r="AA9" s="106">
        <v>0</v>
      </c>
      <c r="AB9" s="106">
        <v>0</v>
      </c>
    </row>
    <row r="10" spans="1:30" customFormat="1" x14ac:dyDescent="0.15">
      <c r="A10" s="181" t="s">
        <v>201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0.8</v>
      </c>
      <c r="N10" s="106">
        <v>0</v>
      </c>
      <c r="O10" s="106">
        <v>0</v>
      </c>
      <c r="P10" s="106">
        <v>0</v>
      </c>
      <c r="Q10" s="106">
        <v>0.8</v>
      </c>
      <c r="R10" s="106">
        <v>0</v>
      </c>
      <c r="S10" s="106">
        <v>0.8</v>
      </c>
      <c r="T10" s="106">
        <v>0</v>
      </c>
      <c r="U10" s="106">
        <v>0</v>
      </c>
      <c r="V10" s="106">
        <v>0.8</v>
      </c>
      <c r="W10" s="106">
        <v>0.8</v>
      </c>
      <c r="X10" s="106">
        <v>0.8</v>
      </c>
      <c r="Y10" s="106">
        <v>0.8</v>
      </c>
      <c r="Z10" s="106">
        <v>0.8</v>
      </c>
      <c r="AA10" s="106">
        <v>0</v>
      </c>
      <c r="AB10" s="106">
        <v>0</v>
      </c>
    </row>
    <row r="11" spans="1:30" customFormat="1" x14ac:dyDescent="0.15">
      <c r="A11" s="181" t="s">
        <v>202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0.8</v>
      </c>
      <c r="L11" s="106">
        <v>0</v>
      </c>
      <c r="M11" s="106">
        <v>0.8</v>
      </c>
      <c r="N11" s="106">
        <v>0</v>
      </c>
      <c r="O11" s="106">
        <v>0</v>
      </c>
      <c r="P11" s="106">
        <v>0.8</v>
      </c>
      <c r="Q11" s="106">
        <v>0.8</v>
      </c>
      <c r="R11" s="106">
        <v>0.8</v>
      </c>
      <c r="S11" s="106">
        <v>0.8</v>
      </c>
      <c r="T11" s="106">
        <v>0.8</v>
      </c>
      <c r="U11" s="106">
        <v>0</v>
      </c>
      <c r="V11" s="106">
        <v>0.8</v>
      </c>
      <c r="W11" s="106">
        <v>0.8</v>
      </c>
      <c r="X11" s="106">
        <v>0.8</v>
      </c>
      <c r="Y11" s="106">
        <v>0.8</v>
      </c>
      <c r="Z11" s="106">
        <v>0.8</v>
      </c>
      <c r="AA11" s="106">
        <v>0</v>
      </c>
      <c r="AB11" s="106">
        <v>0</v>
      </c>
    </row>
    <row r="12" spans="1:30" customFormat="1" x14ac:dyDescent="0.15">
      <c r="A12" s="181" t="s">
        <v>203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0.8</v>
      </c>
      <c r="L12" s="106">
        <v>0</v>
      </c>
      <c r="M12" s="106">
        <v>0.8</v>
      </c>
      <c r="N12" s="106">
        <v>0</v>
      </c>
      <c r="O12" s="106">
        <v>0</v>
      </c>
      <c r="P12" s="106">
        <v>0.8</v>
      </c>
      <c r="Q12" s="106">
        <v>0.8</v>
      </c>
      <c r="R12" s="106">
        <v>0.8</v>
      </c>
      <c r="S12" s="106">
        <v>0.8</v>
      </c>
      <c r="T12" s="106">
        <v>0.8</v>
      </c>
      <c r="U12" s="106">
        <v>0.8</v>
      </c>
      <c r="V12" s="106">
        <v>0.8</v>
      </c>
      <c r="W12" s="106">
        <v>0.8</v>
      </c>
      <c r="X12" s="106">
        <v>0.8</v>
      </c>
      <c r="Y12" s="106">
        <v>0.8</v>
      </c>
      <c r="Z12" s="106">
        <v>0</v>
      </c>
      <c r="AA12" s="106">
        <v>0</v>
      </c>
      <c r="AB12" s="106">
        <v>0</v>
      </c>
    </row>
    <row r="13" spans="1:30" customFormat="1" x14ac:dyDescent="0.15">
      <c r="A13" s="181" t="s">
        <v>166</v>
      </c>
      <c r="B13" s="106">
        <v>0</v>
      </c>
      <c r="C13" s="106">
        <v>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0.8</v>
      </c>
      <c r="N13" s="106">
        <v>0</v>
      </c>
      <c r="O13" s="106">
        <v>0</v>
      </c>
      <c r="P13" s="106">
        <v>0</v>
      </c>
      <c r="Q13" s="106">
        <v>0.8</v>
      </c>
      <c r="R13" s="106">
        <v>0.8</v>
      </c>
      <c r="S13" s="106">
        <v>0.8</v>
      </c>
      <c r="T13" s="106">
        <v>0.8</v>
      </c>
      <c r="U13" s="106">
        <v>0.8</v>
      </c>
      <c r="V13" s="106">
        <v>0.8</v>
      </c>
      <c r="W13" s="106">
        <v>0.8</v>
      </c>
      <c r="X13" s="106">
        <v>0.8</v>
      </c>
      <c r="Y13" s="106">
        <v>0.8</v>
      </c>
      <c r="Z13" s="106">
        <v>0.8</v>
      </c>
      <c r="AA13" s="106">
        <v>0</v>
      </c>
      <c r="AB13" s="106">
        <v>0</v>
      </c>
    </row>
    <row r="14" spans="1:30" customFormat="1" x14ac:dyDescent="0.15">
      <c r="A14" s="181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0.8</v>
      </c>
      <c r="L14" s="106">
        <v>0</v>
      </c>
      <c r="M14" s="106">
        <v>0.8</v>
      </c>
      <c r="N14" s="106">
        <v>0</v>
      </c>
      <c r="O14" s="106">
        <v>0</v>
      </c>
      <c r="P14" s="106">
        <v>0</v>
      </c>
      <c r="Q14" s="106">
        <v>0.8</v>
      </c>
      <c r="R14" s="106">
        <v>0.8</v>
      </c>
      <c r="S14" s="106">
        <v>0.8</v>
      </c>
      <c r="T14" s="106">
        <v>0.8</v>
      </c>
      <c r="U14" s="106">
        <v>0.8</v>
      </c>
      <c r="V14" s="106">
        <v>0.8</v>
      </c>
      <c r="W14" s="106">
        <v>0.8</v>
      </c>
      <c r="X14" s="106">
        <v>0.8</v>
      </c>
      <c r="Y14" s="106">
        <v>0.8</v>
      </c>
      <c r="Z14" s="106">
        <v>0.8</v>
      </c>
      <c r="AA14" s="106">
        <v>0</v>
      </c>
      <c r="AB14" s="106">
        <v>0</v>
      </c>
    </row>
    <row r="15" spans="1:30" customFormat="1" x14ac:dyDescent="0.15">
      <c r="A15" s="181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0.8</v>
      </c>
      <c r="N15" s="106">
        <v>0</v>
      </c>
      <c r="O15" s="106">
        <v>0</v>
      </c>
      <c r="P15" s="106">
        <v>0</v>
      </c>
      <c r="Q15" s="106">
        <v>0.8</v>
      </c>
      <c r="R15" s="106">
        <v>0</v>
      </c>
      <c r="S15" s="106">
        <v>0.8</v>
      </c>
      <c r="T15" s="106">
        <v>0</v>
      </c>
      <c r="U15" s="106">
        <v>0</v>
      </c>
      <c r="V15" s="106">
        <v>0</v>
      </c>
      <c r="W15" s="106">
        <v>0.8</v>
      </c>
      <c r="X15" s="106">
        <v>0.8</v>
      </c>
      <c r="Y15" s="106">
        <v>0.8</v>
      </c>
      <c r="Z15" s="106">
        <v>0.8</v>
      </c>
      <c r="AA15" s="106">
        <v>0</v>
      </c>
      <c r="AB15" s="106">
        <v>0</v>
      </c>
    </row>
    <row r="16" spans="1:30" customFormat="1" x14ac:dyDescent="0.15">
      <c r="A16" s="181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0.8</v>
      </c>
      <c r="T16" s="106">
        <v>0</v>
      </c>
      <c r="U16" s="106">
        <v>0.8</v>
      </c>
      <c r="V16" s="106">
        <v>0.8</v>
      </c>
      <c r="W16" s="106">
        <v>0.8</v>
      </c>
      <c r="X16" s="106">
        <v>0</v>
      </c>
      <c r="Y16" s="106">
        <v>0.8</v>
      </c>
      <c r="Z16" s="106">
        <v>0.8</v>
      </c>
      <c r="AA16" s="106">
        <v>0</v>
      </c>
      <c r="AB16" s="106">
        <v>0</v>
      </c>
    </row>
    <row r="17" spans="1:28" customFormat="1" x14ac:dyDescent="0.15">
      <c r="A17" s="181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0.8</v>
      </c>
      <c r="X17" s="106">
        <v>0.8</v>
      </c>
      <c r="Y17" s="106">
        <v>0</v>
      </c>
      <c r="Z17" s="106">
        <v>0.8</v>
      </c>
      <c r="AA17" s="106">
        <v>0</v>
      </c>
      <c r="AB17" s="106">
        <v>0</v>
      </c>
    </row>
    <row r="18" spans="1:28" customFormat="1" x14ac:dyDescent="0.15">
      <c r="A18" s="181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0.8</v>
      </c>
      <c r="R18" s="106">
        <v>0</v>
      </c>
      <c r="S18" s="106">
        <v>0.8</v>
      </c>
      <c r="T18" s="106">
        <v>0.8</v>
      </c>
      <c r="U18" s="106">
        <v>0</v>
      </c>
      <c r="V18" s="106">
        <v>0</v>
      </c>
      <c r="W18" s="106">
        <v>0</v>
      </c>
      <c r="X18" s="106">
        <v>0.8</v>
      </c>
      <c r="Y18" s="106">
        <v>0.8</v>
      </c>
      <c r="Z18" s="106">
        <v>0</v>
      </c>
      <c r="AA18" s="106">
        <v>0</v>
      </c>
      <c r="AB18" s="106">
        <v>0</v>
      </c>
    </row>
    <row r="19" spans="1:28" customFormat="1" x14ac:dyDescent="0.15">
      <c r="A19" s="181" t="s">
        <v>209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0.8</v>
      </c>
      <c r="N19" s="106">
        <v>0</v>
      </c>
      <c r="O19" s="106">
        <v>0</v>
      </c>
      <c r="P19" s="106">
        <v>0</v>
      </c>
      <c r="Q19" s="106">
        <v>0.8</v>
      </c>
      <c r="R19" s="106">
        <v>0</v>
      </c>
      <c r="S19" s="106">
        <v>0.8</v>
      </c>
      <c r="T19" s="106">
        <v>0.8</v>
      </c>
      <c r="U19" s="106">
        <v>0.8</v>
      </c>
      <c r="V19" s="106">
        <v>0</v>
      </c>
      <c r="W19" s="106">
        <v>0.8</v>
      </c>
      <c r="X19" s="106">
        <v>0.8</v>
      </c>
      <c r="Y19" s="106">
        <v>0.8</v>
      </c>
      <c r="Z19" s="106">
        <v>0.8</v>
      </c>
      <c r="AA19" s="106">
        <v>0</v>
      </c>
      <c r="AB19" s="106">
        <v>0</v>
      </c>
    </row>
    <row r="20" spans="1:28" customFormat="1" x14ac:dyDescent="0.15">
      <c r="A20" s="181" t="s">
        <v>210</v>
      </c>
      <c r="B20" s="106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0.8</v>
      </c>
      <c r="R20" s="106">
        <v>0</v>
      </c>
      <c r="S20" s="106">
        <v>0.8</v>
      </c>
      <c r="T20" s="106">
        <v>0</v>
      </c>
      <c r="U20" s="106">
        <v>0.8</v>
      </c>
      <c r="V20" s="106">
        <v>0.8</v>
      </c>
      <c r="W20" s="106">
        <v>0.8</v>
      </c>
      <c r="X20" s="106">
        <v>0.8</v>
      </c>
      <c r="Y20" s="106">
        <v>0</v>
      </c>
      <c r="Z20" s="106">
        <v>0.8</v>
      </c>
      <c r="AA20" s="106">
        <v>0</v>
      </c>
      <c r="AB20" s="106">
        <v>0</v>
      </c>
    </row>
    <row r="21" spans="1:28" customFormat="1" x14ac:dyDescent="0.15">
      <c r="A21" s="181" t="s">
        <v>211</v>
      </c>
      <c r="B21" s="106">
        <v>0</v>
      </c>
      <c r="C21" s="106">
        <v>0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0.8</v>
      </c>
      <c r="T21" s="106">
        <v>0.8</v>
      </c>
      <c r="U21" s="106">
        <v>0.8</v>
      </c>
      <c r="V21" s="106">
        <v>0</v>
      </c>
      <c r="W21" s="106">
        <v>0.8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</row>
    <row r="22" spans="1:28" customFormat="1" x14ac:dyDescent="0.15">
      <c r="A22" s="181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0.8</v>
      </c>
      <c r="R22" s="106">
        <v>0</v>
      </c>
      <c r="S22" s="106">
        <v>0.8</v>
      </c>
      <c r="T22" s="106">
        <v>0.8</v>
      </c>
      <c r="U22" s="106">
        <v>0.8</v>
      </c>
      <c r="V22" s="106">
        <v>0.8</v>
      </c>
      <c r="W22" s="106">
        <v>0.8</v>
      </c>
      <c r="X22" s="106">
        <v>0.8</v>
      </c>
      <c r="Y22" s="106">
        <v>0.8</v>
      </c>
      <c r="Z22" s="106">
        <v>0</v>
      </c>
      <c r="AA22" s="106">
        <v>0</v>
      </c>
      <c r="AB22" s="106">
        <v>0</v>
      </c>
    </row>
    <row r="23" spans="1:28" customFormat="1" x14ac:dyDescent="0.15">
      <c r="A23" s="181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0.8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</row>
    <row r="24" spans="1:28" customFormat="1" x14ac:dyDescent="0.15">
      <c r="A24" s="181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0.8</v>
      </c>
      <c r="AA24" s="106">
        <v>0</v>
      </c>
      <c r="AB24" s="106">
        <v>0</v>
      </c>
    </row>
    <row r="25" spans="1:28" customFormat="1" x14ac:dyDescent="0.15">
      <c r="A25" s="181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0.8</v>
      </c>
      <c r="X25" s="106">
        <v>0.8</v>
      </c>
      <c r="Y25" s="106">
        <v>0</v>
      </c>
      <c r="Z25" s="106">
        <v>0.8</v>
      </c>
      <c r="AA25" s="106">
        <v>0</v>
      </c>
      <c r="AB25" s="106">
        <v>0</v>
      </c>
    </row>
    <row r="26" spans="1:28" customFormat="1" x14ac:dyDescent="0.15">
      <c r="A26" s="181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</row>
    <row r="27" spans="1:28" customFormat="1" x14ac:dyDescent="0.15">
      <c r="A27" s="181" t="s">
        <v>217</v>
      </c>
      <c r="B27" s="106">
        <v>0</v>
      </c>
      <c r="C27" s="106">
        <v>0.8</v>
      </c>
      <c r="D27" s="106">
        <v>0</v>
      </c>
      <c r="E27" s="106">
        <v>0</v>
      </c>
      <c r="F27" s="106">
        <v>0.8</v>
      </c>
      <c r="G27" s="106">
        <v>0.8</v>
      </c>
      <c r="H27" s="106">
        <v>0.8</v>
      </c>
      <c r="I27" s="106">
        <v>0</v>
      </c>
      <c r="J27" s="106">
        <v>0</v>
      </c>
      <c r="K27" s="106">
        <v>0.8</v>
      </c>
      <c r="L27" s="106">
        <v>0</v>
      </c>
      <c r="M27" s="106">
        <v>0</v>
      </c>
      <c r="N27" s="106">
        <v>0.8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0.8</v>
      </c>
      <c r="U27" s="106">
        <v>0.8</v>
      </c>
      <c r="V27" s="106">
        <v>0</v>
      </c>
      <c r="W27" s="106">
        <v>0.8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</row>
    <row r="28" spans="1:28" customFormat="1" x14ac:dyDescent="0.15">
      <c r="A28" s="181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</row>
    <row r="29" spans="1:28" customFormat="1" x14ac:dyDescent="0.15">
      <c r="A29" s="181" t="s">
        <v>227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</row>
    <row r="30" spans="1:28" customFormat="1" x14ac:dyDescent="0.15"/>
    <row r="31" spans="1:28" customFormat="1" x14ac:dyDescent="0.15"/>
    <row r="32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28" width="2.33203125" style="106" customWidth="1"/>
    <col min="29" max="16384" width="10.83203125" style="106"/>
  </cols>
  <sheetData>
    <row r="1" spans="1:31" x14ac:dyDescent="0.15">
      <c r="A1" s="63" t="s">
        <v>139</v>
      </c>
      <c r="B1" s="184" t="s">
        <v>193</v>
      </c>
      <c r="C1" s="184" t="s">
        <v>194</v>
      </c>
      <c r="D1" s="184" t="s">
        <v>195</v>
      </c>
      <c r="E1" s="184" t="s">
        <v>196</v>
      </c>
      <c r="F1" s="184" t="s">
        <v>197</v>
      </c>
      <c r="G1" s="184" t="s">
        <v>198</v>
      </c>
      <c r="H1" s="184" t="s">
        <v>199</v>
      </c>
      <c r="I1" s="184" t="s">
        <v>200</v>
      </c>
      <c r="J1" s="184" t="s">
        <v>201</v>
      </c>
      <c r="K1" s="184" t="s">
        <v>202</v>
      </c>
      <c r="L1" s="184" t="s">
        <v>203</v>
      </c>
      <c r="M1" s="184" t="s">
        <v>166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/>
      <c r="AD1"/>
      <c r="AE1"/>
    </row>
    <row r="2" spans="1:31" customFormat="1" x14ac:dyDescent="0.15">
      <c r="A2" s="183" t="s">
        <v>193</v>
      </c>
      <c r="B2" s="106">
        <v>0</v>
      </c>
      <c r="C2" s="106">
        <v>1</v>
      </c>
      <c r="D2" s="106">
        <v>1</v>
      </c>
      <c r="E2" s="106">
        <v>1</v>
      </c>
      <c r="F2" s="106">
        <v>1</v>
      </c>
      <c r="G2" s="106">
        <v>0</v>
      </c>
      <c r="H2" s="106">
        <v>0</v>
      </c>
      <c r="I2" s="106">
        <v>1</v>
      </c>
      <c r="J2" s="106">
        <v>1</v>
      </c>
      <c r="K2" s="106">
        <v>0</v>
      </c>
      <c r="L2" s="106">
        <v>0</v>
      </c>
      <c r="M2" s="106">
        <v>0</v>
      </c>
      <c r="N2" s="106">
        <v>1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</row>
    <row r="3" spans="1:31" customFormat="1" x14ac:dyDescent="0.15">
      <c r="A3" s="183" t="s">
        <v>194</v>
      </c>
      <c r="B3" s="106">
        <v>0</v>
      </c>
      <c r="C3" s="106">
        <v>1</v>
      </c>
      <c r="D3" s="106">
        <v>1</v>
      </c>
      <c r="E3" s="106">
        <v>0</v>
      </c>
      <c r="F3" s="106">
        <v>0</v>
      </c>
      <c r="G3" s="106">
        <v>0</v>
      </c>
      <c r="H3" s="106">
        <v>0</v>
      </c>
      <c r="I3" s="106">
        <v>1</v>
      </c>
      <c r="J3" s="106">
        <v>1</v>
      </c>
      <c r="K3" s="106">
        <v>0</v>
      </c>
      <c r="L3" s="106">
        <v>0</v>
      </c>
      <c r="M3" s="106">
        <v>0</v>
      </c>
      <c r="N3" s="106">
        <v>1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</row>
    <row r="4" spans="1:31" customFormat="1" x14ac:dyDescent="0.15">
      <c r="A4" s="183" t="s">
        <v>195</v>
      </c>
      <c r="B4" s="106">
        <v>0</v>
      </c>
      <c r="C4" s="106">
        <v>0</v>
      </c>
      <c r="D4" s="106">
        <v>0</v>
      </c>
      <c r="E4" s="106">
        <v>1</v>
      </c>
      <c r="F4" s="106">
        <v>1</v>
      </c>
      <c r="G4" s="106">
        <v>0</v>
      </c>
      <c r="H4" s="106">
        <v>0</v>
      </c>
      <c r="I4" s="106">
        <v>1</v>
      </c>
      <c r="J4" s="106">
        <v>1</v>
      </c>
      <c r="K4" s="106">
        <v>1</v>
      </c>
      <c r="L4" s="106">
        <v>1</v>
      </c>
      <c r="M4" s="106">
        <v>1</v>
      </c>
      <c r="N4" s="106">
        <v>1</v>
      </c>
      <c r="O4" s="106">
        <v>1</v>
      </c>
      <c r="P4" s="106">
        <v>1</v>
      </c>
      <c r="Q4" s="106">
        <v>0</v>
      </c>
      <c r="R4" s="106">
        <v>1</v>
      </c>
      <c r="S4" s="106">
        <v>0</v>
      </c>
      <c r="T4" s="106">
        <v>0</v>
      </c>
      <c r="U4" s="106">
        <v>0</v>
      </c>
      <c r="V4" s="106">
        <v>1</v>
      </c>
      <c r="W4" s="106">
        <v>0</v>
      </c>
      <c r="X4" s="106">
        <v>1</v>
      </c>
      <c r="Y4" s="106">
        <v>0</v>
      </c>
      <c r="Z4" s="106">
        <v>1</v>
      </c>
      <c r="AA4" s="106">
        <v>0</v>
      </c>
      <c r="AB4" s="106">
        <v>0</v>
      </c>
    </row>
    <row r="5" spans="1:31" customFormat="1" x14ac:dyDescent="0.15">
      <c r="A5" s="183" t="s">
        <v>196</v>
      </c>
      <c r="B5" s="106">
        <v>0</v>
      </c>
      <c r="C5" s="106">
        <v>0</v>
      </c>
      <c r="D5" s="106">
        <v>0</v>
      </c>
      <c r="E5" s="106">
        <v>0</v>
      </c>
      <c r="F5" s="106">
        <v>1</v>
      </c>
      <c r="G5" s="106">
        <v>0</v>
      </c>
      <c r="H5" s="106">
        <v>0</v>
      </c>
      <c r="I5" s="106">
        <v>1</v>
      </c>
      <c r="J5" s="106">
        <v>1</v>
      </c>
      <c r="K5" s="106">
        <v>1</v>
      </c>
      <c r="L5" s="106">
        <v>1</v>
      </c>
      <c r="M5" s="106">
        <v>1</v>
      </c>
      <c r="N5" s="106">
        <v>1</v>
      </c>
      <c r="O5" s="106">
        <v>1</v>
      </c>
      <c r="P5" s="106">
        <v>1</v>
      </c>
      <c r="Q5" s="106">
        <v>1</v>
      </c>
      <c r="R5" s="106">
        <v>1</v>
      </c>
      <c r="S5" s="106">
        <v>1</v>
      </c>
      <c r="T5" s="106">
        <v>1</v>
      </c>
      <c r="U5" s="106">
        <v>1</v>
      </c>
      <c r="V5" s="106">
        <v>1</v>
      </c>
      <c r="W5" s="106">
        <v>0</v>
      </c>
      <c r="X5" s="106">
        <v>1</v>
      </c>
      <c r="Y5" s="106">
        <v>0</v>
      </c>
      <c r="Z5" s="106">
        <v>1</v>
      </c>
      <c r="AA5" s="106">
        <v>0</v>
      </c>
      <c r="AB5" s="106">
        <v>0</v>
      </c>
    </row>
    <row r="6" spans="1:31" customFormat="1" x14ac:dyDescent="0.15">
      <c r="A6" s="183" t="s">
        <v>197</v>
      </c>
      <c r="B6" s="106">
        <v>0</v>
      </c>
      <c r="C6" s="106">
        <v>0</v>
      </c>
      <c r="D6" s="106">
        <v>0</v>
      </c>
      <c r="E6" s="106">
        <v>0</v>
      </c>
      <c r="F6" s="106">
        <v>1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1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</row>
    <row r="7" spans="1:31" customFormat="1" x14ac:dyDescent="0.15">
      <c r="A7" s="183" t="s">
        <v>198</v>
      </c>
      <c r="B7" s="106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06">
        <v>1</v>
      </c>
      <c r="I7" s="106">
        <v>0</v>
      </c>
      <c r="J7" s="106">
        <v>0</v>
      </c>
      <c r="K7" s="106">
        <v>1</v>
      </c>
      <c r="L7" s="106">
        <v>0</v>
      </c>
      <c r="M7" s="106">
        <v>0</v>
      </c>
      <c r="N7" s="106">
        <v>0</v>
      </c>
      <c r="O7" s="106">
        <v>1</v>
      </c>
      <c r="P7" s="106">
        <v>1</v>
      </c>
      <c r="Q7" s="106">
        <v>0</v>
      </c>
      <c r="R7" s="106">
        <v>0</v>
      </c>
      <c r="S7" s="106">
        <v>0</v>
      </c>
      <c r="T7" s="106">
        <v>1</v>
      </c>
      <c r="U7" s="106">
        <v>1</v>
      </c>
      <c r="V7" s="106">
        <v>0</v>
      </c>
      <c r="W7" s="106">
        <v>1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</row>
    <row r="8" spans="1:31" customFormat="1" x14ac:dyDescent="0.15">
      <c r="A8" s="183" t="s">
        <v>199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1</v>
      </c>
      <c r="I8" s="106">
        <v>0</v>
      </c>
      <c r="J8" s="106">
        <v>0</v>
      </c>
      <c r="K8" s="106">
        <v>1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1</v>
      </c>
      <c r="U8" s="106">
        <v>1</v>
      </c>
      <c r="V8" s="106">
        <v>0</v>
      </c>
      <c r="W8" s="106">
        <v>1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</row>
    <row r="9" spans="1:31" customFormat="1" x14ac:dyDescent="0.15">
      <c r="A9" s="183" t="s">
        <v>200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1</v>
      </c>
      <c r="N9" s="106">
        <v>0</v>
      </c>
      <c r="O9" s="106">
        <v>0</v>
      </c>
      <c r="P9" s="106">
        <v>0</v>
      </c>
      <c r="Q9" s="106">
        <v>1</v>
      </c>
      <c r="R9" s="106">
        <v>0</v>
      </c>
      <c r="S9" s="106">
        <v>1</v>
      </c>
      <c r="T9" s="106">
        <v>0</v>
      </c>
      <c r="U9" s="106">
        <v>0</v>
      </c>
      <c r="V9" s="106">
        <v>1</v>
      </c>
      <c r="W9" s="106">
        <v>1</v>
      </c>
      <c r="X9" s="106">
        <v>1</v>
      </c>
      <c r="Y9" s="106">
        <v>1</v>
      </c>
      <c r="Z9" s="106">
        <v>1</v>
      </c>
      <c r="AA9" s="106">
        <v>0</v>
      </c>
      <c r="AB9" s="106">
        <v>0</v>
      </c>
    </row>
    <row r="10" spans="1:31" customFormat="1" x14ac:dyDescent="0.15">
      <c r="A10" s="183" t="s">
        <v>201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1</v>
      </c>
      <c r="N10" s="106">
        <v>0</v>
      </c>
      <c r="O10" s="106">
        <v>0</v>
      </c>
      <c r="P10" s="106">
        <v>0</v>
      </c>
      <c r="Q10" s="106">
        <v>1</v>
      </c>
      <c r="R10" s="106">
        <v>0</v>
      </c>
      <c r="S10" s="106">
        <v>1</v>
      </c>
      <c r="T10" s="106">
        <v>0</v>
      </c>
      <c r="U10" s="106">
        <v>0</v>
      </c>
      <c r="V10" s="106">
        <v>1</v>
      </c>
      <c r="W10" s="106">
        <v>1</v>
      </c>
      <c r="X10" s="106">
        <v>1</v>
      </c>
      <c r="Y10" s="106">
        <v>1</v>
      </c>
      <c r="Z10" s="106">
        <v>1</v>
      </c>
      <c r="AA10" s="106">
        <v>0</v>
      </c>
      <c r="AB10" s="106">
        <v>0</v>
      </c>
    </row>
    <row r="11" spans="1:31" customFormat="1" x14ac:dyDescent="0.15">
      <c r="A11" s="183" t="s">
        <v>202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1</v>
      </c>
      <c r="L11" s="106">
        <v>0</v>
      </c>
      <c r="M11" s="106">
        <v>1</v>
      </c>
      <c r="N11" s="106">
        <v>0</v>
      </c>
      <c r="O11" s="106">
        <v>0</v>
      </c>
      <c r="P11" s="106">
        <v>1</v>
      </c>
      <c r="Q11" s="106">
        <v>1</v>
      </c>
      <c r="R11" s="106">
        <v>1</v>
      </c>
      <c r="S11" s="106">
        <v>1</v>
      </c>
      <c r="T11" s="106">
        <v>1</v>
      </c>
      <c r="U11" s="106">
        <v>0</v>
      </c>
      <c r="V11" s="106">
        <v>1</v>
      </c>
      <c r="W11" s="106">
        <v>1</v>
      </c>
      <c r="X11" s="106">
        <v>1</v>
      </c>
      <c r="Y11" s="106">
        <v>1</v>
      </c>
      <c r="Z11" s="106">
        <v>1</v>
      </c>
      <c r="AA11" s="106">
        <v>0</v>
      </c>
      <c r="AB11" s="106">
        <v>0</v>
      </c>
    </row>
    <row r="12" spans="1:31" customFormat="1" x14ac:dyDescent="0.15">
      <c r="A12" s="183" t="s">
        <v>203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1</v>
      </c>
      <c r="L12" s="106">
        <v>0</v>
      </c>
      <c r="M12" s="106">
        <v>1</v>
      </c>
      <c r="N12" s="106">
        <v>0</v>
      </c>
      <c r="O12" s="106">
        <v>0</v>
      </c>
      <c r="P12" s="106">
        <v>1</v>
      </c>
      <c r="Q12" s="106">
        <v>1</v>
      </c>
      <c r="R12" s="106">
        <v>1</v>
      </c>
      <c r="S12" s="106">
        <v>1</v>
      </c>
      <c r="T12" s="106">
        <v>1</v>
      </c>
      <c r="U12" s="106">
        <v>1</v>
      </c>
      <c r="V12" s="106">
        <v>1</v>
      </c>
      <c r="W12" s="106">
        <v>1</v>
      </c>
      <c r="X12" s="106">
        <v>1</v>
      </c>
      <c r="Y12" s="106">
        <v>1</v>
      </c>
      <c r="Z12" s="106">
        <v>0</v>
      </c>
      <c r="AA12" s="106">
        <v>0</v>
      </c>
      <c r="AB12" s="106">
        <v>0</v>
      </c>
    </row>
    <row r="13" spans="1:31" customFormat="1" x14ac:dyDescent="0.15">
      <c r="A13" s="183" t="s">
        <v>166</v>
      </c>
      <c r="B13" s="106">
        <v>0</v>
      </c>
      <c r="C13" s="106">
        <v>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1</v>
      </c>
      <c r="N13" s="106">
        <v>0</v>
      </c>
      <c r="O13" s="106">
        <v>0</v>
      </c>
      <c r="P13" s="106">
        <v>0</v>
      </c>
      <c r="Q13" s="106">
        <v>1</v>
      </c>
      <c r="R13" s="106">
        <v>1</v>
      </c>
      <c r="S13" s="106">
        <v>1</v>
      </c>
      <c r="T13" s="106">
        <v>1</v>
      </c>
      <c r="U13" s="106">
        <v>1</v>
      </c>
      <c r="V13" s="106">
        <v>1</v>
      </c>
      <c r="W13" s="106">
        <v>1</v>
      </c>
      <c r="X13" s="106">
        <v>1</v>
      </c>
      <c r="Y13" s="106">
        <v>1</v>
      </c>
      <c r="Z13" s="106">
        <v>1</v>
      </c>
      <c r="AA13" s="106">
        <v>0</v>
      </c>
      <c r="AB13" s="106">
        <v>0</v>
      </c>
    </row>
    <row r="14" spans="1:31" customFormat="1" x14ac:dyDescent="0.15">
      <c r="A14" s="183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1</v>
      </c>
      <c r="L14" s="106">
        <v>0</v>
      </c>
      <c r="M14" s="106">
        <v>1</v>
      </c>
      <c r="N14" s="106">
        <v>0</v>
      </c>
      <c r="O14" s="106">
        <v>0</v>
      </c>
      <c r="P14" s="106">
        <v>0</v>
      </c>
      <c r="Q14" s="106">
        <v>1</v>
      </c>
      <c r="R14" s="106">
        <v>1</v>
      </c>
      <c r="S14" s="106">
        <v>1</v>
      </c>
      <c r="T14" s="106">
        <v>1</v>
      </c>
      <c r="U14" s="106">
        <v>1</v>
      </c>
      <c r="V14" s="106">
        <v>1</v>
      </c>
      <c r="W14" s="106">
        <v>1</v>
      </c>
      <c r="X14" s="106">
        <v>1</v>
      </c>
      <c r="Y14" s="106">
        <v>1</v>
      </c>
      <c r="Z14" s="106">
        <v>1</v>
      </c>
      <c r="AA14" s="106">
        <v>0</v>
      </c>
      <c r="AB14" s="106">
        <v>0</v>
      </c>
    </row>
    <row r="15" spans="1:31" customFormat="1" x14ac:dyDescent="0.15">
      <c r="A15" s="183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1</v>
      </c>
      <c r="N15" s="106">
        <v>0</v>
      </c>
      <c r="O15" s="106">
        <v>0</v>
      </c>
      <c r="P15" s="106">
        <v>0</v>
      </c>
      <c r="Q15" s="106">
        <v>1</v>
      </c>
      <c r="R15" s="106">
        <v>0</v>
      </c>
      <c r="S15" s="106">
        <v>1</v>
      </c>
      <c r="T15" s="106">
        <v>0</v>
      </c>
      <c r="U15" s="106">
        <v>0</v>
      </c>
      <c r="V15" s="106">
        <v>0</v>
      </c>
      <c r="W15" s="106">
        <v>1</v>
      </c>
      <c r="X15" s="106">
        <v>1</v>
      </c>
      <c r="Y15" s="106">
        <v>1</v>
      </c>
      <c r="Z15" s="106">
        <v>1</v>
      </c>
      <c r="AA15" s="106">
        <v>0</v>
      </c>
      <c r="AB15" s="106">
        <v>0</v>
      </c>
    </row>
    <row r="16" spans="1:31" customFormat="1" x14ac:dyDescent="0.15">
      <c r="A16" s="183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1</v>
      </c>
      <c r="T16" s="106">
        <v>0</v>
      </c>
      <c r="U16" s="106">
        <v>1</v>
      </c>
      <c r="V16" s="106">
        <v>1</v>
      </c>
      <c r="W16" s="106">
        <v>1</v>
      </c>
      <c r="X16" s="106">
        <v>0</v>
      </c>
      <c r="Y16" s="106">
        <v>1</v>
      </c>
      <c r="Z16" s="106">
        <v>1</v>
      </c>
      <c r="AA16" s="106">
        <v>0</v>
      </c>
      <c r="AB16" s="106">
        <v>0</v>
      </c>
    </row>
    <row r="17" spans="1:28" customFormat="1" x14ac:dyDescent="0.15">
      <c r="A17" s="183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1</v>
      </c>
      <c r="X17" s="106">
        <v>1</v>
      </c>
      <c r="Y17" s="106">
        <v>0</v>
      </c>
      <c r="Z17" s="106">
        <v>1</v>
      </c>
      <c r="AA17" s="106">
        <v>0</v>
      </c>
      <c r="AB17" s="106">
        <v>0</v>
      </c>
    </row>
    <row r="18" spans="1:28" customFormat="1" x14ac:dyDescent="0.15">
      <c r="A18" s="183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1</v>
      </c>
      <c r="R18" s="106">
        <v>0</v>
      </c>
      <c r="S18" s="106">
        <v>1</v>
      </c>
      <c r="T18" s="106">
        <v>1</v>
      </c>
      <c r="U18" s="106">
        <v>0</v>
      </c>
      <c r="V18" s="106">
        <v>0</v>
      </c>
      <c r="W18" s="106">
        <v>0</v>
      </c>
      <c r="X18" s="106">
        <v>1</v>
      </c>
      <c r="Y18" s="106">
        <v>1</v>
      </c>
      <c r="Z18" s="106">
        <v>0</v>
      </c>
      <c r="AA18" s="106">
        <v>0</v>
      </c>
      <c r="AB18" s="106">
        <v>0</v>
      </c>
    </row>
    <row r="19" spans="1:28" customFormat="1" x14ac:dyDescent="0.15">
      <c r="A19" s="183" t="s">
        <v>209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1</v>
      </c>
      <c r="N19" s="106">
        <v>0</v>
      </c>
      <c r="O19" s="106">
        <v>0</v>
      </c>
      <c r="P19" s="106">
        <v>0</v>
      </c>
      <c r="Q19" s="106">
        <v>1</v>
      </c>
      <c r="R19" s="106">
        <v>0</v>
      </c>
      <c r="S19" s="106">
        <v>1</v>
      </c>
      <c r="T19" s="106">
        <v>1</v>
      </c>
      <c r="U19" s="106">
        <v>1</v>
      </c>
      <c r="V19" s="106">
        <v>0</v>
      </c>
      <c r="W19" s="106">
        <v>1</v>
      </c>
      <c r="X19" s="106">
        <v>1</v>
      </c>
      <c r="Y19" s="106">
        <v>1</v>
      </c>
      <c r="Z19" s="106">
        <v>1</v>
      </c>
      <c r="AA19" s="106">
        <v>0</v>
      </c>
      <c r="AB19" s="106">
        <v>0</v>
      </c>
    </row>
    <row r="20" spans="1:28" customFormat="1" x14ac:dyDescent="0.15">
      <c r="A20" s="183" t="s">
        <v>210</v>
      </c>
      <c r="B20" s="106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1</v>
      </c>
      <c r="R20" s="106">
        <v>0</v>
      </c>
      <c r="S20" s="106">
        <v>1</v>
      </c>
      <c r="T20" s="106">
        <v>0</v>
      </c>
      <c r="U20" s="106">
        <v>1</v>
      </c>
      <c r="V20" s="106">
        <v>1</v>
      </c>
      <c r="W20" s="106">
        <v>1</v>
      </c>
      <c r="X20" s="106">
        <v>1</v>
      </c>
      <c r="Y20" s="106">
        <v>0</v>
      </c>
      <c r="Z20" s="106">
        <v>1</v>
      </c>
      <c r="AA20" s="106">
        <v>0</v>
      </c>
      <c r="AB20" s="106">
        <v>0</v>
      </c>
    </row>
    <row r="21" spans="1:28" customFormat="1" x14ac:dyDescent="0.15">
      <c r="A21" s="183" t="s">
        <v>211</v>
      </c>
      <c r="B21" s="106">
        <v>0</v>
      </c>
      <c r="C21" s="106">
        <v>0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1</v>
      </c>
      <c r="T21" s="106">
        <v>1</v>
      </c>
      <c r="U21" s="106">
        <v>1</v>
      </c>
      <c r="V21" s="106">
        <v>0</v>
      </c>
      <c r="W21" s="106">
        <v>1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</row>
    <row r="22" spans="1:28" customFormat="1" x14ac:dyDescent="0.15">
      <c r="A22" s="183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1</v>
      </c>
      <c r="R22" s="106">
        <v>0</v>
      </c>
      <c r="S22" s="106">
        <v>1</v>
      </c>
      <c r="T22" s="106">
        <v>1</v>
      </c>
      <c r="U22" s="106">
        <v>1</v>
      </c>
      <c r="V22" s="106">
        <v>1</v>
      </c>
      <c r="W22" s="106">
        <v>1</v>
      </c>
      <c r="X22" s="106">
        <v>1</v>
      </c>
      <c r="Y22" s="106">
        <v>1</v>
      </c>
      <c r="Z22" s="106">
        <v>0</v>
      </c>
      <c r="AA22" s="106">
        <v>0</v>
      </c>
      <c r="AB22" s="106">
        <v>0</v>
      </c>
    </row>
    <row r="23" spans="1:28" customFormat="1" x14ac:dyDescent="0.15">
      <c r="A23" s="183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1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</row>
    <row r="24" spans="1:28" customFormat="1" x14ac:dyDescent="0.15">
      <c r="A24" s="183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1</v>
      </c>
      <c r="AA24" s="106">
        <v>0</v>
      </c>
      <c r="AB24" s="106">
        <v>0</v>
      </c>
    </row>
    <row r="25" spans="1:28" customFormat="1" x14ac:dyDescent="0.15">
      <c r="A25" s="183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1</v>
      </c>
      <c r="X25" s="106">
        <v>1</v>
      </c>
      <c r="Y25" s="106">
        <v>0</v>
      </c>
      <c r="Z25" s="106">
        <v>1</v>
      </c>
      <c r="AA25" s="106">
        <v>0</v>
      </c>
      <c r="AB25" s="106">
        <v>0</v>
      </c>
    </row>
    <row r="26" spans="1:28" customFormat="1" x14ac:dyDescent="0.15">
      <c r="A26" s="183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</row>
    <row r="27" spans="1:28" customFormat="1" x14ac:dyDescent="0.15">
      <c r="A27" s="183" t="s">
        <v>217</v>
      </c>
      <c r="B27" s="106">
        <v>0</v>
      </c>
      <c r="C27" s="106">
        <v>1</v>
      </c>
      <c r="D27" s="106">
        <v>0</v>
      </c>
      <c r="E27" s="106">
        <v>0</v>
      </c>
      <c r="F27" s="106">
        <v>1</v>
      </c>
      <c r="G27" s="106">
        <v>1</v>
      </c>
      <c r="H27" s="106">
        <v>1</v>
      </c>
      <c r="I27" s="106">
        <v>0</v>
      </c>
      <c r="J27" s="106">
        <v>0</v>
      </c>
      <c r="K27" s="106">
        <v>1</v>
      </c>
      <c r="L27" s="106">
        <v>0</v>
      </c>
      <c r="M27" s="106">
        <v>0</v>
      </c>
      <c r="N27" s="106">
        <v>1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1</v>
      </c>
      <c r="U27" s="106">
        <v>1</v>
      </c>
      <c r="V27" s="106">
        <v>0</v>
      </c>
      <c r="W27" s="106">
        <v>1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</row>
    <row r="28" spans="1:28" customFormat="1" x14ac:dyDescent="0.15">
      <c r="A28" s="183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</row>
    <row r="29" spans="1:28" customFormat="1" x14ac:dyDescent="0.15">
      <c r="A29" s="183" t="s">
        <v>227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</row>
    <row r="30" spans="1:28" customFormat="1" x14ac:dyDescent="0.15"/>
    <row r="31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J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83</v>
      </c>
      <c r="B1" s="3" t="s">
        <v>0</v>
      </c>
      <c r="C1" s="186" t="s">
        <v>219</v>
      </c>
      <c r="D1" s="186" t="s">
        <v>220</v>
      </c>
      <c r="E1" s="186" t="s">
        <v>221</v>
      </c>
      <c r="F1" s="186" t="s">
        <v>222</v>
      </c>
      <c r="G1" s="186" t="s">
        <v>223</v>
      </c>
      <c r="H1" s="186" t="s">
        <v>224</v>
      </c>
      <c r="I1" s="186" t="s">
        <v>225</v>
      </c>
      <c r="J1" s="186" t="s">
        <v>226</v>
      </c>
    </row>
    <row r="2" spans="1:10" x14ac:dyDescent="0.15">
      <c r="A2">
        <v>1</v>
      </c>
      <c r="B2" s="18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8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85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8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85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6</v>
      </c>
      <c r="B7" s="185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85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0.8</v>
      </c>
    </row>
    <row r="9" spans="1:10" x14ac:dyDescent="0.15">
      <c r="A9">
        <v>8</v>
      </c>
      <c r="B9" s="185" t="s">
        <v>200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85" t="s">
        <v>201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85" t="s">
        <v>202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85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85" t="s">
        <v>166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0.8</v>
      </c>
      <c r="J13">
        <v>0</v>
      </c>
    </row>
    <row r="14" spans="1:10" x14ac:dyDescent="0.15">
      <c r="A14">
        <v>13</v>
      </c>
      <c r="B14" s="185" t="s">
        <v>204</v>
      </c>
      <c r="C14">
        <v>0.8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85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85" t="s">
        <v>206</v>
      </c>
      <c r="C16">
        <v>0</v>
      </c>
      <c r="D16">
        <v>0.8</v>
      </c>
      <c r="E16">
        <v>0.8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85" t="s">
        <v>207</v>
      </c>
      <c r="C17">
        <v>0</v>
      </c>
      <c r="D17">
        <v>0.8</v>
      </c>
      <c r="E17">
        <v>0</v>
      </c>
      <c r="F17">
        <v>0.8</v>
      </c>
      <c r="G17">
        <v>0.8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8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85" t="s">
        <v>209</v>
      </c>
      <c r="C19">
        <v>0</v>
      </c>
      <c r="D19">
        <v>0</v>
      </c>
      <c r="E19">
        <v>0.8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85" t="s">
        <v>210</v>
      </c>
      <c r="C20">
        <v>0</v>
      </c>
      <c r="D20">
        <v>0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85" t="s">
        <v>211</v>
      </c>
      <c r="C21">
        <v>0</v>
      </c>
      <c r="D21">
        <v>0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85" t="s">
        <v>212</v>
      </c>
      <c r="C22">
        <v>0</v>
      </c>
      <c r="D22">
        <v>0.8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15">
      <c r="A23">
        <v>22</v>
      </c>
      <c r="B23" s="18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85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85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0.8</v>
      </c>
      <c r="I25">
        <v>0</v>
      </c>
      <c r="J25">
        <v>0</v>
      </c>
    </row>
    <row r="26" spans="1:10" x14ac:dyDescent="0.15">
      <c r="A26">
        <v>25</v>
      </c>
      <c r="B26" s="185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8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15">
      <c r="A28">
        <v>27</v>
      </c>
      <c r="B28" s="185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J2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82</v>
      </c>
      <c r="B1" s="3" t="s">
        <v>0</v>
      </c>
      <c r="C1" s="188" t="s">
        <v>219</v>
      </c>
      <c r="D1" s="188" t="s">
        <v>220</v>
      </c>
      <c r="E1" s="188" t="s">
        <v>221</v>
      </c>
      <c r="F1" s="188" t="s">
        <v>222</v>
      </c>
      <c r="G1" s="188" t="s">
        <v>223</v>
      </c>
      <c r="H1" s="188" t="s">
        <v>224</v>
      </c>
      <c r="I1" s="188" t="s">
        <v>225</v>
      </c>
      <c r="J1" s="188" t="s">
        <v>226</v>
      </c>
    </row>
    <row r="2" spans="1:10" x14ac:dyDescent="0.15">
      <c r="A2">
        <v>1</v>
      </c>
      <c r="B2" s="187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87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87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87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87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6</v>
      </c>
      <c r="B7" s="187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87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0.8</v>
      </c>
    </row>
    <row r="9" spans="1:10" x14ac:dyDescent="0.15">
      <c r="A9">
        <v>8</v>
      </c>
      <c r="B9" s="187" t="s">
        <v>200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87" t="s">
        <v>201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87" t="s">
        <v>202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87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87" t="s">
        <v>166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0.8</v>
      </c>
      <c r="J13">
        <v>0</v>
      </c>
    </row>
    <row r="14" spans="1:10" x14ac:dyDescent="0.15">
      <c r="A14">
        <v>13</v>
      </c>
      <c r="B14" s="187" t="s">
        <v>204</v>
      </c>
      <c r="C14">
        <v>0.8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87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87" t="s">
        <v>206</v>
      </c>
      <c r="C16">
        <v>0</v>
      </c>
      <c r="D16">
        <v>0.8</v>
      </c>
      <c r="E16">
        <v>0.8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87" t="s">
        <v>207</v>
      </c>
      <c r="C17">
        <v>0</v>
      </c>
      <c r="D17">
        <v>0.8</v>
      </c>
      <c r="E17">
        <v>0</v>
      </c>
      <c r="F17">
        <v>0.8</v>
      </c>
      <c r="G17">
        <v>0.8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8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87" t="s">
        <v>209</v>
      </c>
      <c r="C19">
        <v>0</v>
      </c>
      <c r="D19">
        <v>0</v>
      </c>
      <c r="E19">
        <v>0.8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87" t="s">
        <v>210</v>
      </c>
      <c r="C20">
        <v>0</v>
      </c>
      <c r="D20">
        <v>0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87" t="s">
        <v>211</v>
      </c>
      <c r="C21">
        <v>0</v>
      </c>
      <c r="D21">
        <v>0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87" t="s">
        <v>212</v>
      </c>
      <c r="C22">
        <v>0</v>
      </c>
      <c r="D22">
        <v>0.8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15">
      <c r="A23">
        <v>22</v>
      </c>
      <c r="B23" s="187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87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87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0.8</v>
      </c>
      <c r="I25">
        <v>0</v>
      </c>
      <c r="J25">
        <v>0</v>
      </c>
    </row>
    <row r="26" spans="1:10" x14ac:dyDescent="0.15">
      <c r="A26">
        <v>25</v>
      </c>
      <c r="B26" s="187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8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15">
      <c r="A28">
        <v>27</v>
      </c>
      <c r="B28" s="187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0">
        <v>1</v>
      </c>
      <c r="B2" s="140" t="s">
        <v>193</v>
      </c>
      <c r="C2" s="8">
        <v>1</v>
      </c>
      <c r="D2" s="9">
        <v>203.66400146484375</v>
      </c>
      <c r="E2" s="9">
        <v>35.700000762939453</v>
      </c>
      <c r="F2" s="10"/>
      <c r="G2" s="9">
        <v>0.6669309139251709</v>
      </c>
      <c r="H2" s="10"/>
      <c r="I2">
        <v>0</v>
      </c>
      <c r="J2"/>
    </row>
    <row r="3" spans="1:10" ht="15" customHeight="1" x14ac:dyDescent="0.15">
      <c r="A3" s="141">
        <v>2</v>
      </c>
      <c r="B3" s="141" t="s">
        <v>194</v>
      </c>
      <c r="C3" s="8">
        <v>2.0638298988342285</v>
      </c>
      <c r="D3" s="9">
        <v>3.6453289985656738</v>
      </c>
      <c r="E3" s="9">
        <v>482</v>
      </c>
      <c r="F3" s="9">
        <v>1928</v>
      </c>
      <c r="G3" s="9">
        <v>0.89999997615814209</v>
      </c>
      <c r="H3" s="9">
        <v>0.25</v>
      </c>
      <c r="I3">
        <v>0</v>
      </c>
      <c r="J3"/>
    </row>
    <row r="4" spans="1:10" ht="15" customHeight="1" x14ac:dyDescent="0.15">
      <c r="A4" s="142">
        <v>3</v>
      </c>
      <c r="B4" s="142" t="s">
        <v>195</v>
      </c>
      <c r="C4" s="8">
        <v>2.5319149494171143</v>
      </c>
      <c r="D4" s="9">
        <v>17.379570007324219</v>
      </c>
      <c r="E4" s="9">
        <v>40</v>
      </c>
      <c r="F4" s="9">
        <v>133.33299255371094</v>
      </c>
      <c r="G4" s="9">
        <v>0.90000021457672119</v>
      </c>
      <c r="H4" s="9">
        <v>0.30000075697898865</v>
      </c>
      <c r="I4">
        <v>0</v>
      </c>
      <c r="J4"/>
    </row>
    <row r="5" spans="1:10" ht="15" customHeight="1" x14ac:dyDescent="0.15">
      <c r="A5" s="143">
        <v>4</v>
      </c>
      <c r="B5" s="143" t="s">
        <v>196</v>
      </c>
      <c r="C5" s="8">
        <v>2.6127660274505615</v>
      </c>
      <c r="D5" s="9">
        <v>19.721263885498047</v>
      </c>
      <c r="E5" s="9">
        <v>13</v>
      </c>
      <c r="F5" s="9">
        <v>31.707000732421875</v>
      </c>
      <c r="G5" s="9">
        <v>0.90000158548355103</v>
      </c>
      <c r="H5" s="9">
        <v>0.41000407934188843</v>
      </c>
      <c r="I5">
        <v>0</v>
      </c>
      <c r="J5"/>
    </row>
    <row r="6" spans="1:10" ht="15" customHeight="1" x14ac:dyDescent="0.15">
      <c r="A6" s="144">
        <v>5</v>
      </c>
      <c r="B6" s="144" t="s">
        <v>197</v>
      </c>
      <c r="C6" s="8">
        <v>3.2326242923736572</v>
      </c>
      <c r="D6" s="9">
        <v>245.66000366210938</v>
      </c>
      <c r="E6" s="9">
        <v>0.43999999761581421</v>
      </c>
      <c r="F6" s="9">
        <v>1.4670000076293945</v>
      </c>
      <c r="G6" s="9">
        <v>0.14987561106681824</v>
      </c>
      <c r="H6" s="9">
        <v>0.29993182420730591</v>
      </c>
      <c r="I6">
        <v>0</v>
      </c>
      <c r="J6"/>
    </row>
    <row r="7" spans="1:10" ht="15" customHeight="1" x14ac:dyDescent="0.15">
      <c r="A7" s="145">
        <v>6</v>
      </c>
      <c r="B7" s="145" t="s">
        <v>198</v>
      </c>
      <c r="C7" s="8">
        <v>2</v>
      </c>
      <c r="D7" s="9">
        <v>46.429470062255859</v>
      </c>
      <c r="E7" s="9">
        <v>8</v>
      </c>
      <c r="F7" s="9">
        <v>33</v>
      </c>
      <c r="G7" s="9">
        <v>0.99900001287460327</v>
      </c>
      <c r="H7" s="9">
        <v>0.24242424964904785</v>
      </c>
      <c r="I7">
        <v>0</v>
      </c>
      <c r="J7"/>
    </row>
    <row r="8" spans="1:10" ht="15" customHeight="1" x14ac:dyDescent="0.15">
      <c r="A8" s="146">
        <v>7</v>
      </c>
      <c r="B8" s="146" t="s">
        <v>199</v>
      </c>
      <c r="C8" s="8">
        <v>3.0217390060424805</v>
      </c>
      <c r="D8" s="9">
        <v>22.419002532958984</v>
      </c>
      <c r="E8" s="9">
        <v>1.2000000476837158</v>
      </c>
      <c r="F8" s="9">
        <v>10</v>
      </c>
      <c r="G8" s="9">
        <v>0.99900001287460327</v>
      </c>
      <c r="H8" s="9">
        <v>0.12000000476837158</v>
      </c>
      <c r="I8">
        <v>9.9999997764825821E-3</v>
      </c>
      <c r="J8"/>
    </row>
    <row r="9" spans="1:10" ht="15" customHeight="1" x14ac:dyDescent="0.15">
      <c r="A9" s="147">
        <v>8</v>
      </c>
      <c r="B9" s="147" t="s">
        <v>200</v>
      </c>
      <c r="C9" s="8">
        <v>2.6511490345001221</v>
      </c>
      <c r="D9" s="9">
        <v>0.43829303979873657</v>
      </c>
      <c r="E9" s="9">
        <v>1.3500000238418579</v>
      </c>
      <c r="F9" s="9">
        <v>14</v>
      </c>
      <c r="G9" s="9">
        <v>0.99902880191802979</v>
      </c>
      <c r="H9" s="9">
        <v>9.6428573131561279E-2</v>
      </c>
      <c r="I9">
        <v>0.18899999558925629</v>
      </c>
      <c r="J9"/>
    </row>
    <row r="10" spans="1:10" ht="15" customHeight="1" x14ac:dyDescent="0.15">
      <c r="A10" s="148">
        <v>9</v>
      </c>
      <c r="B10" s="148" t="s">
        <v>201</v>
      </c>
      <c r="C10" s="8">
        <v>3.0335319042205811</v>
      </c>
      <c r="D10" s="9">
        <v>0.15000000596046448</v>
      </c>
      <c r="E10" s="9">
        <v>1.7999999523162842</v>
      </c>
      <c r="F10" s="9">
        <v>18</v>
      </c>
      <c r="G10" s="9">
        <v>0.95428431034088135</v>
      </c>
      <c r="H10" s="9">
        <v>9.9999994039535522E-2</v>
      </c>
      <c r="I10">
        <v>9.9999997764825821E-3</v>
      </c>
      <c r="J10"/>
    </row>
    <row r="11" spans="1:10" ht="15" customHeight="1" x14ac:dyDescent="0.15">
      <c r="A11" s="149">
        <v>10</v>
      </c>
      <c r="B11" s="149" t="s">
        <v>202</v>
      </c>
      <c r="C11" s="8">
        <v>3.0983469486236572</v>
      </c>
      <c r="D11" s="9">
        <v>19.999195098876953</v>
      </c>
      <c r="E11" s="9">
        <v>1.7999999523162842</v>
      </c>
      <c r="F11" s="9">
        <v>12</v>
      </c>
      <c r="G11" s="9">
        <v>0.99904274940490723</v>
      </c>
      <c r="H11" s="9">
        <v>0.14999999105930328</v>
      </c>
      <c r="I11">
        <v>4.6000000089406967E-2</v>
      </c>
      <c r="J11"/>
    </row>
    <row r="12" spans="1:10" ht="15" customHeight="1" x14ac:dyDescent="0.15">
      <c r="A12" s="150">
        <v>11</v>
      </c>
      <c r="B12" s="150" t="s">
        <v>203</v>
      </c>
      <c r="C12" s="8">
        <v>3.5804257392883301</v>
      </c>
      <c r="D12" s="9">
        <v>10.54729175567627</v>
      </c>
      <c r="E12" s="9">
        <v>1.2300000190734863</v>
      </c>
      <c r="F12" s="9">
        <v>12.300000190734863</v>
      </c>
      <c r="G12" s="9">
        <v>0.99902510643005371</v>
      </c>
      <c r="H12" s="9">
        <v>0.10000000149011612</v>
      </c>
      <c r="I12">
        <v>0</v>
      </c>
      <c r="J12"/>
    </row>
    <row r="13" spans="1:10" ht="15" customHeight="1" x14ac:dyDescent="0.15">
      <c r="A13" s="151">
        <v>12</v>
      </c>
      <c r="B13" s="151" t="s">
        <v>166</v>
      </c>
      <c r="C13" s="8">
        <v>3.9618284702301025</v>
      </c>
      <c r="D13" s="9">
        <v>1.8643778562545776</v>
      </c>
      <c r="E13" s="9">
        <v>5</v>
      </c>
      <c r="F13" s="9">
        <v>15</v>
      </c>
      <c r="G13" s="9">
        <v>0.99902248382568359</v>
      </c>
      <c r="H13" s="9">
        <v>0.3333333432674408</v>
      </c>
      <c r="I13">
        <v>1.0000000474974513E-3</v>
      </c>
      <c r="J13"/>
    </row>
    <row r="14" spans="1:10" ht="15" customHeight="1" x14ac:dyDescent="0.15">
      <c r="A14" s="152">
        <v>13</v>
      </c>
      <c r="B14" s="152" t="s">
        <v>204</v>
      </c>
      <c r="C14" s="8">
        <v>3.52323317527771</v>
      </c>
      <c r="D14" s="9">
        <v>7.4803814888000488</v>
      </c>
      <c r="E14" s="9">
        <v>0.95822399854660034</v>
      </c>
      <c r="F14" s="9">
        <v>9.3493404388427734</v>
      </c>
      <c r="G14" s="9">
        <v>0.99903285503387451</v>
      </c>
      <c r="H14" s="9">
        <v>0.10249108076095581</v>
      </c>
      <c r="I14">
        <v>2.9999999329447746E-2</v>
      </c>
      <c r="J14"/>
    </row>
    <row r="15" spans="1:10" ht="15" customHeight="1" x14ac:dyDescent="0.15">
      <c r="A15" s="153">
        <v>14</v>
      </c>
      <c r="B15" s="153" t="s">
        <v>205</v>
      </c>
      <c r="C15" s="8">
        <v>3.3885107040405273</v>
      </c>
      <c r="D15" s="9">
        <v>4.4099569320678711</v>
      </c>
      <c r="E15" s="9">
        <v>1.2000000476837158</v>
      </c>
      <c r="F15" s="9">
        <v>10</v>
      </c>
      <c r="G15" s="9">
        <v>0.99905812740325928</v>
      </c>
      <c r="H15" s="9">
        <v>0.12000000476837158</v>
      </c>
      <c r="I15">
        <v>0.3449999988079071</v>
      </c>
      <c r="J15"/>
    </row>
    <row r="16" spans="1:10" ht="15" customHeight="1" x14ac:dyDescent="0.15">
      <c r="A16" s="154">
        <v>15</v>
      </c>
      <c r="B16" s="154" t="s">
        <v>206</v>
      </c>
      <c r="C16" s="8">
        <v>3.5975613594055176</v>
      </c>
      <c r="D16" s="9">
        <v>5.3619999885559082</v>
      </c>
      <c r="E16" s="9">
        <v>0.80000001192092896</v>
      </c>
      <c r="F16" s="9">
        <v>5.3330001831054688</v>
      </c>
      <c r="G16" s="9">
        <v>0.64861482381820679</v>
      </c>
      <c r="H16" s="9">
        <v>0.15000937879085541</v>
      </c>
      <c r="I16">
        <v>1.3270000219345093</v>
      </c>
      <c r="J16"/>
    </row>
    <row r="17" spans="1:10" ht="15" customHeight="1" x14ac:dyDescent="0.15">
      <c r="A17" s="155">
        <v>16</v>
      </c>
      <c r="B17" s="155" t="s">
        <v>207</v>
      </c>
      <c r="C17" s="8">
        <v>4.5404901504516602</v>
      </c>
      <c r="D17" s="9">
        <v>0.18799999356269836</v>
      </c>
      <c r="E17" s="9">
        <v>0.5</v>
      </c>
      <c r="F17" s="9">
        <v>5</v>
      </c>
      <c r="G17" s="9">
        <v>0.27555137872695923</v>
      </c>
      <c r="H17" s="9">
        <v>0.10000000149011612</v>
      </c>
      <c r="I17">
        <v>1.7000000923871994E-2</v>
      </c>
      <c r="J17"/>
    </row>
    <row r="18" spans="1:10" ht="15" customHeight="1" x14ac:dyDescent="0.15">
      <c r="A18" s="156">
        <v>17</v>
      </c>
      <c r="B18" s="156" t="s">
        <v>208</v>
      </c>
      <c r="C18" s="8">
        <v>3.9722771644592285</v>
      </c>
      <c r="D18" s="9">
        <v>2.0691521167755127</v>
      </c>
      <c r="E18" s="9">
        <v>2</v>
      </c>
      <c r="F18" s="9">
        <v>13.33329963684082</v>
      </c>
      <c r="G18" s="9">
        <v>0.9991268515586853</v>
      </c>
      <c r="H18" s="9">
        <v>0.15000037848949432</v>
      </c>
      <c r="I18">
        <v>0</v>
      </c>
      <c r="J18"/>
    </row>
    <row r="19" spans="1:10" ht="15" customHeight="1" x14ac:dyDescent="0.15">
      <c r="A19" s="157">
        <v>18</v>
      </c>
      <c r="B19" s="157" t="s">
        <v>209</v>
      </c>
      <c r="C19" s="8">
        <v>4.4468569755554199</v>
      </c>
      <c r="D19" s="9">
        <v>3.3280000686645508</v>
      </c>
      <c r="E19" s="9">
        <v>1.2282500267028809</v>
      </c>
      <c r="F19" s="9">
        <v>7.8243999481201172</v>
      </c>
      <c r="G19" s="9">
        <v>0.92769551277160645</v>
      </c>
      <c r="H19" s="9">
        <v>0.15697689354419708</v>
      </c>
      <c r="I19">
        <v>0.2669999897480011</v>
      </c>
      <c r="J19"/>
    </row>
    <row r="20" spans="1:10" ht="15" customHeight="1" x14ac:dyDescent="0.15">
      <c r="A20" s="158">
        <v>19</v>
      </c>
      <c r="B20" s="158" t="s">
        <v>210</v>
      </c>
      <c r="C20" s="8">
        <v>4.112943172454834</v>
      </c>
      <c r="D20" s="9">
        <v>1.8940000534057617</v>
      </c>
      <c r="E20" s="9">
        <v>1.1400209665298462</v>
      </c>
      <c r="F20" s="9">
        <v>7.2775001525878906</v>
      </c>
      <c r="G20" s="9">
        <v>0.65622329711914062</v>
      </c>
      <c r="H20" s="9">
        <v>0.15665008127689362</v>
      </c>
      <c r="I20">
        <v>0.45500001311302185</v>
      </c>
      <c r="J20"/>
    </row>
    <row r="21" spans="1:10" ht="15" customHeight="1" x14ac:dyDescent="0.15">
      <c r="A21" s="159">
        <v>20</v>
      </c>
      <c r="B21" s="159" t="s">
        <v>211</v>
      </c>
      <c r="C21" s="8">
        <v>3.9849710464477539</v>
      </c>
      <c r="D21" s="9">
        <v>2.5472049713134766</v>
      </c>
      <c r="E21" s="9">
        <v>1</v>
      </c>
      <c r="F21" s="9">
        <v>5</v>
      </c>
      <c r="G21" s="9">
        <v>0.99905532598495483</v>
      </c>
      <c r="H21" s="9">
        <v>0.20000000298023224</v>
      </c>
      <c r="I21">
        <v>8.2999996840953827E-2</v>
      </c>
      <c r="J21"/>
    </row>
    <row r="22" spans="1:10" ht="15" customHeight="1" x14ac:dyDescent="0.15">
      <c r="A22" s="160">
        <v>21</v>
      </c>
      <c r="B22" s="160" t="s">
        <v>212</v>
      </c>
      <c r="C22" s="8">
        <v>3.9544658660888672</v>
      </c>
      <c r="D22" s="9">
        <v>1.3001978397369385</v>
      </c>
      <c r="E22" s="9">
        <v>1</v>
      </c>
      <c r="F22" s="9">
        <v>5</v>
      </c>
      <c r="G22" s="9">
        <v>0.99904263019561768</v>
      </c>
      <c r="H22" s="9">
        <v>0.20000000298023224</v>
      </c>
      <c r="I22">
        <v>4.1000001132488251E-2</v>
      </c>
      <c r="J22"/>
    </row>
    <row r="23" spans="1:10" ht="15" customHeight="1" x14ac:dyDescent="0.15">
      <c r="A23" s="161">
        <v>22</v>
      </c>
      <c r="B23" s="161" t="s">
        <v>213</v>
      </c>
      <c r="C23" s="8">
        <v>3.7672500610351562</v>
      </c>
      <c r="D23" s="9">
        <v>0.36000001430511475</v>
      </c>
      <c r="E23" s="9">
        <v>0.5</v>
      </c>
      <c r="F23" s="9">
        <v>3.3333001136779785</v>
      </c>
      <c r="G23" s="9">
        <v>0.66666007041931152</v>
      </c>
      <c r="H23" s="9">
        <v>0.15000149607658386</v>
      </c>
      <c r="I23">
        <v>0</v>
      </c>
      <c r="J23"/>
    </row>
    <row r="24" spans="1:10" ht="15" customHeight="1" x14ac:dyDescent="0.15">
      <c r="A24" s="162">
        <v>23</v>
      </c>
      <c r="B24" s="162" t="s">
        <v>214</v>
      </c>
      <c r="C24" s="8">
        <v>4.2859883308410645</v>
      </c>
      <c r="D24" s="9">
        <v>4.0000001899898052E-3</v>
      </c>
      <c r="E24" s="9">
        <v>0.15600000321865082</v>
      </c>
      <c r="F24" s="9">
        <v>120.30000305175781</v>
      </c>
      <c r="G24" s="9">
        <v>0.60761100053787231</v>
      </c>
      <c r="H24" s="9">
        <v>1.2967580696567893E-3</v>
      </c>
      <c r="I24">
        <v>0</v>
      </c>
      <c r="J24"/>
    </row>
    <row r="25" spans="1:10" ht="15" customHeight="1" x14ac:dyDescent="0.15">
      <c r="A25" s="163">
        <v>24</v>
      </c>
      <c r="B25" s="163" t="s">
        <v>215</v>
      </c>
      <c r="C25" s="8">
        <v>4.5822625160217285</v>
      </c>
      <c r="D25" s="9">
        <v>0.25299999117851257</v>
      </c>
      <c r="E25" s="9">
        <v>0.28999999165534973</v>
      </c>
      <c r="F25" s="9">
        <v>18.25</v>
      </c>
      <c r="G25" s="9">
        <v>0.17056190967559814</v>
      </c>
      <c r="H25" s="9">
        <v>1.5890410169959068E-2</v>
      </c>
      <c r="I25">
        <v>4.999999888241291E-3</v>
      </c>
      <c r="J25"/>
    </row>
    <row r="26" spans="1:10" ht="15" customHeight="1" x14ac:dyDescent="0.15">
      <c r="A26" s="164">
        <v>25</v>
      </c>
      <c r="B26" s="164" t="s">
        <v>216</v>
      </c>
      <c r="C26" s="8">
        <v>4.2566733360290527</v>
      </c>
      <c r="D26" s="9">
        <v>1.8999999389052391E-2</v>
      </c>
      <c r="E26" s="9">
        <v>0.15000000596046448</v>
      </c>
      <c r="F26" s="9">
        <v>7.4183001518249512</v>
      </c>
      <c r="G26" s="7">
        <v>0</v>
      </c>
      <c r="H26" s="9">
        <v>2.0220266655087471E-2</v>
      </c>
      <c r="I26">
        <v>0</v>
      </c>
      <c r="J26"/>
    </row>
    <row r="27" spans="1:10" ht="15" customHeight="1" x14ac:dyDescent="0.15">
      <c r="A27" s="165">
        <v>26</v>
      </c>
      <c r="B27" s="165" t="s">
        <v>217</v>
      </c>
      <c r="C27" s="8">
        <v>1</v>
      </c>
      <c r="D27" s="10"/>
      <c r="E27" s="10"/>
      <c r="F27" s="10"/>
      <c r="G27" s="9">
        <v>0.85813724994659424</v>
      </c>
      <c r="H27" s="10"/>
      <c r="I27">
        <v>0</v>
      </c>
      <c r="J27"/>
    </row>
    <row r="28" spans="1:10" ht="15" customHeight="1" x14ac:dyDescent="0.15">
      <c r="A28" s="166">
        <v>27</v>
      </c>
      <c r="B28" s="166" t="s">
        <v>218</v>
      </c>
      <c r="C28" s="8">
        <v>1</v>
      </c>
      <c r="D28" s="9">
        <v>5</v>
      </c>
      <c r="E28" s="10"/>
      <c r="F28" s="10"/>
      <c r="G28" s="7">
        <v>0</v>
      </c>
      <c r="H28" s="10"/>
      <c r="I28">
        <v>0</v>
      </c>
      <c r="J28"/>
    </row>
    <row r="29" spans="1:10" ht="15" customHeight="1" x14ac:dyDescent="0.15">
      <c r="A29" s="167">
        <v>28</v>
      </c>
      <c r="B29" s="167" t="s">
        <v>219</v>
      </c>
      <c r="C29" s="8">
        <v>4.1429991722106934</v>
      </c>
      <c r="D29" s="10"/>
      <c r="E29" s="10"/>
      <c r="F29" s="10"/>
      <c r="G29" s="10"/>
      <c r="H29" s="10"/>
      <c r="I29">
        <v>0.62000000476837158</v>
      </c>
      <c r="J29"/>
    </row>
    <row r="30" spans="1:10" ht="15" customHeight="1" x14ac:dyDescent="0.15">
      <c r="A30" s="168">
        <v>29</v>
      </c>
      <c r="B30" s="168" t="s">
        <v>220</v>
      </c>
      <c r="C30" s="8">
        <v>4.6111750602722168</v>
      </c>
      <c r="D30" s="10"/>
      <c r="E30" s="10"/>
      <c r="F30" s="10"/>
      <c r="G30" s="10"/>
      <c r="H30" s="10"/>
      <c r="I30">
        <v>1.3519999980926514</v>
      </c>
      <c r="J30"/>
    </row>
    <row r="31" spans="1:10" ht="15" customHeight="1" x14ac:dyDescent="0.15">
      <c r="A31" s="169">
        <v>30</v>
      </c>
      <c r="B31" s="169" t="s">
        <v>221</v>
      </c>
      <c r="C31" s="8">
        <v>5.1956405639648438</v>
      </c>
      <c r="D31" s="10"/>
      <c r="E31" s="10"/>
      <c r="F31" s="10"/>
      <c r="G31" s="10"/>
      <c r="H31" s="10"/>
      <c r="I31">
        <v>0.82499998807907104</v>
      </c>
      <c r="J31"/>
    </row>
    <row r="32" spans="1:10" ht="15" customHeight="1" x14ac:dyDescent="0.15">
      <c r="A32" s="197">
        <v>31</v>
      </c>
      <c r="B32" s="197" t="s">
        <v>222</v>
      </c>
      <c r="C32" s="8">
        <v>5.5404901504516602</v>
      </c>
      <c r="D32" s="10"/>
      <c r="E32" s="10"/>
      <c r="F32" s="10"/>
      <c r="G32" s="10"/>
      <c r="H32" s="10"/>
      <c r="I32">
        <v>8.999999612569809E-3</v>
      </c>
      <c r="J32"/>
    </row>
    <row r="33" spans="1:10" ht="15" customHeight="1" x14ac:dyDescent="0.15">
      <c r="A33" s="198">
        <v>32</v>
      </c>
      <c r="B33" s="198" t="s">
        <v>223</v>
      </c>
      <c r="C33" s="8">
        <v>5.5404901504516602</v>
      </c>
      <c r="D33" s="10"/>
      <c r="E33" s="10"/>
      <c r="F33" s="10"/>
      <c r="G33" s="10"/>
      <c r="H33" s="10"/>
      <c r="I33">
        <v>4.0000001899898052E-3</v>
      </c>
      <c r="J33"/>
    </row>
    <row r="34" spans="1:10" ht="15" customHeight="1" x14ac:dyDescent="0.15">
      <c r="A34" s="199">
        <v>33</v>
      </c>
      <c r="B34" s="199" t="s">
        <v>224</v>
      </c>
      <c r="C34" s="8">
        <v>5.5822620391845703</v>
      </c>
      <c r="D34" s="10"/>
      <c r="E34" s="10"/>
      <c r="F34" s="10"/>
      <c r="G34" s="10"/>
      <c r="H34" s="10"/>
      <c r="I34">
        <v>4.999999888241291E-3</v>
      </c>
      <c r="J34"/>
    </row>
    <row r="35" spans="1:10" ht="15" customHeight="1" x14ac:dyDescent="0.15">
      <c r="A35" s="200">
        <v>34</v>
      </c>
      <c r="B35" s="200" t="s">
        <v>225</v>
      </c>
      <c r="C35" s="8">
        <v>4.9618282318115234</v>
      </c>
      <c r="D35" s="10"/>
      <c r="E35" s="10"/>
      <c r="F35" s="10"/>
      <c r="G35" s="10"/>
      <c r="H35" s="10"/>
      <c r="I35">
        <v>1.0000000474974513E-3</v>
      </c>
      <c r="J35"/>
    </row>
    <row r="36" spans="1:10" ht="15" customHeight="1" x14ac:dyDescent="0.15">
      <c r="A36" s="201">
        <v>35</v>
      </c>
      <c r="B36" s="201" t="s">
        <v>226</v>
      </c>
      <c r="C36" s="8">
        <v>4.0217390060424805</v>
      </c>
      <c r="D36" s="10"/>
      <c r="E36" s="10"/>
      <c r="F36" s="10"/>
      <c r="G36" s="10"/>
      <c r="H36" s="10"/>
      <c r="I36">
        <v>9.9999997764825821E-3</v>
      </c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231</v>
      </c>
      <c r="E1" t="s">
        <v>232</v>
      </c>
      <c r="F1" t="s">
        <v>233</v>
      </c>
      <c r="G1" t="s">
        <v>234</v>
      </c>
      <c r="H1" t="s">
        <v>235</v>
      </c>
      <c r="I1" t="s">
        <v>236</v>
      </c>
      <c r="J1" t="s">
        <v>237</v>
      </c>
      <c r="K1" t="s">
        <v>238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199</v>
      </c>
      <c r="S1" t="s">
        <v>200</v>
      </c>
      <c r="T1" t="s">
        <v>201</v>
      </c>
      <c r="U1" t="s">
        <v>202</v>
      </c>
      <c r="V1" t="s">
        <v>203</v>
      </c>
      <c r="W1" t="s">
        <v>166</v>
      </c>
      <c r="X1" t="s">
        <v>204</v>
      </c>
      <c r="Y1" t="s">
        <v>205</v>
      </c>
      <c r="Z1" t="s">
        <v>206</v>
      </c>
      <c r="AA1" t="s">
        <v>207</v>
      </c>
      <c r="AB1" t="s">
        <v>208</v>
      </c>
      <c r="AC1" t="s">
        <v>209</v>
      </c>
      <c r="AD1" t="s">
        <v>210</v>
      </c>
      <c r="AE1" t="s">
        <v>211</v>
      </c>
      <c r="AF1" t="s">
        <v>212</v>
      </c>
      <c r="AG1" t="s">
        <v>213</v>
      </c>
      <c r="AH1" t="s">
        <v>214</v>
      </c>
      <c r="AI1" t="s">
        <v>215</v>
      </c>
      <c r="AJ1" t="s">
        <v>216</v>
      </c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35.700000762939453</v>
      </c>
      <c r="C2">
        <v>11.890566825866699</v>
      </c>
      <c r="D2"/>
      <c r="E2"/>
      <c r="F2"/>
      <c r="G2"/>
      <c r="H2"/>
      <c r="I2"/>
      <c r="J2"/>
      <c r="K2"/>
      <c r="L2"/>
      <c r="M2" s="254">
        <v>16.219121932983398</v>
      </c>
      <c r="N2" s="252">
        <v>5.6889533996582031</v>
      </c>
      <c r="O2" s="68">
        <v>1.8421581983566284</v>
      </c>
      <c r="P2" s="14">
        <v>3.53899747133255E-2</v>
      </c>
      <c r="Q2"/>
      <c r="R2"/>
      <c r="S2" s="11">
        <v>1.6871992498636246E-2</v>
      </c>
      <c r="T2" s="11">
        <v>4.3748533353209496E-3</v>
      </c>
      <c r="U2"/>
      <c r="V2"/>
      <c r="W2"/>
      <c r="X2" s="11">
        <v>2.5651475880295038E-3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482</v>
      </c>
      <c r="C3">
        <v>48.20001220703125</v>
      </c>
      <c r="D3"/>
      <c r="E3"/>
      <c r="F3"/>
      <c r="G3"/>
      <c r="H3"/>
      <c r="I3"/>
      <c r="J3"/>
      <c r="K3"/>
      <c r="L3"/>
      <c r="M3" s="251">
        <v>115.68000030517578</v>
      </c>
      <c r="N3" s="253">
        <v>317.84100341796875</v>
      </c>
      <c r="O3"/>
      <c r="P3"/>
      <c r="Q3"/>
      <c r="R3"/>
      <c r="S3" s="11">
        <v>0.13466225564479828</v>
      </c>
      <c r="T3" s="11">
        <v>2.9626956209540367E-2</v>
      </c>
      <c r="U3"/>
      <c r="V3"/>
      <c r="W3"/>
      <c r="X3" s="11">
        <v>0.1146899089217186</v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40</v>
      </c>
      <c r="C4">
        <v>3.9999914169311523</v>
      </c>
      <c r="D4"/>
      <c r="E4"/>
      <c r="F4"/>
      <c r="G4"/>
      <c r="H4"/>
      <c r="I4"/>
      <c r="J4"/>
      <c r="K4"/>
      <c r="L4"/>
      <c r="M4"/>
      <c r="N4"/>
      <c r="O4" s="250">
        <v>14.391658782958984</v>
      </c>
      <c r="P4" s="249">
        <v>12.856337547302246</v>
      </c>
      <c r="Q4"/>
      <c r="R4"/>
      <c r="S4" s="14">
        <v>6.3551545143127441E-2</v>
      </c>
      <c r="T4" s="14">
        <v>4.8159994184970856E-2</v>
      </c>
      <c r="U4" s="64">
        <v>0.82852578163146973</v>
      </c>
      <c r="V4" s="246">
        <v>2.9858436584472656</v>
      </c>
      <c r="W4" s="11">
        <v>3.2182235270738602E-2</v>
      </c>
      <c r="X4" s="73">
        <v>3.1151597499847412</v>
      </c>
      <c r="Y4" s="25">
        <v>1.2687187194824219</v>
      </c>
      <c r="Z4" s="23">
        <v>0.24680313467979431</v>
      </c>
      <c r="AA4"/>
      <c r="AB4" s="14">
        <v>9.5245018601417542E-2</v>
      </c>
      <c r="AC4"/>
      <c r="AD4"/>
      <c r="AE4"/>
      <c r="AF4" s="14">
        <v>6.733066588640213E-2</v>
      </c>
      <c r="AG4"/>
      <c r="AH4" s="11">
        <v>8.3063052443321794E-5</v>
      </c>
      <c r="AI4"/>
      <c r="AJ4" s="11">
        <v>4.0687693399377167E-4</v>
      </c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13</v>
      </c>
      <c r="C5">
        <v>1.2999794483184814</v>
      </c>
      <c r="D5"/>
      <c r="E5"/>
      <c r="F5"/>
      <c r="G5"/>
      <c r="H5"/>
      <c r="I5"/>
      <c r="J5"/>
      <c r="K5"/>
      <c r="L5"/>
      <c r="M5"/>
      <c r="N5"/>
      <c r="O5"/>
      <c r="P5" s="76">
        <v>2.1928606033325195</v>
      </c>
      <c r="Q5"/>
      <c r="R5"/>
      <c r="S5" s="12">
        <v>5.6005463004112244E-2</v>
      </c>
      <c r="T5" s="12">
        <v>4.3810579925775528E-2</v>
      </c>
      <c r="U5" s="245">
        <v>1.7036763429641724</v>
      </c>
      <c r="V5" s="203">
        <v>3.9469590187072754</v>
      </c>
      <c r="W5" s="65">
        <v>0.76574522256851196</v>
      </c>
      <c r="X5" s="29">
        <v>0.60247504711151123</v>
      </c>
      <c r="Y5" s="28">
        <v>0.44722864031791687</v>
      </c>
      <c r="Z5" s="217">
        <v>0.94249051809310913</v>
      </c>
      <c r="AA5" s="11">
        <v>9.5328576862812042E-3</v>
      </c>
      <c r="AB5" s="212">
        <v>0.50361406803131104</v>
      </c>
      <c r="AC5" s="15">
        <v>0.12533152103424072</v>
      </c>
      <c r="AD5" s="15">
        <v>0.13978400826454163</v>
      </c>
      <c r="AE5" s="12">
        <v>5.1664136350154877E-2</v>
      </c>
      <c r="AF5" s="18">
        <v>0.1648218184709549</v>
      </c>
      <c r="AG5"/>
      <c r="AH5" s="11">
        <v>1.0492027504369617E-3</v>
      </c>
      <c r="AI5"/>
      <c r="AJ5" s="11">
        <v>2.9729336965829134E-3</v>
      </c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0.43999999761581421</v>
      </c>
      <c r="C6">
        <v>0.37405472993850708</v>
      </c>
      <c r="D6"/>
      <c r="E6"/>
      <c r="F6"/>
      <c r="G6"/>
      <c r="H6"/>
      <c r="I6"/>
      <c r="J6"/>
      <c r="K6"/>
      <c r="L6"/>
      <c r="M6"/>
      <c r="N6"/>
      <c r="O6"/>
      <c r="P6" s="243">
        <v>5.8679990470409393E-2</v>
      </c>
      <c r="Q6"/>
      <c r="R6"/>
      <c r="S6"/>
      <c r="T6"/>
      <c r="U6"/>
      <c r="V6"/>
      <c r="W6"/>
      <c r="X6" s="16">
        <v>7.2652781382203102E-3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8</v>
      </c>
      <c r="C7">
        <v>7.9998970031738281E-3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 s="248">
        <v>4.1526088714599609</v>
      </c>
      <c r="S7"/>
      <c r="T7"/>
      <c r="U7" s="247">
        <v>3.359799861907959</v>
      </c>
      <c r="V7"/>
      <c r="W7"/>
      <c r="X7"/>
      <c r="Y7" s="28">
        <v>0.28494557738304138</v>
      </c>
      <c r="Z7" s="22">
        <v>6.1589214950799942E-2</v>
      </c>
      <c r="AA7"/>
      <c r="AB7"/>
      <c r="AC7"/>
      <c r="AD7" s="23">
        <v>5.3436867892742157E-2</v>
      </c>
      <c r="AE7" s="15">
        <v>7.4063457548618317E-2</v>
      </c>
      <c r="AF7"/>
      <c r="AG7" s="11">
        <v>5.5567608214914799E-3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1.2000000476837158</v>
      </c>
      <c r="C8">
        <v>1.1999845737591386E-3</v>
      </c>
      <c r="D8"/>
      <c r="E8"/>
      <c r="F8"/>
      <c r="G8"/>
      <c r="H8"/>
      <c r="I8"/>
      <c r="J8"/>
      <c r="K8" s="11">
        <v>4.4605016591958702E-4</v>
      </c>
      <c r="L8"/>
      <c r="M8"/>
      <c r="N8"/>
      <c r="O8"/>
      <c r="P8"/>
      <c r="Q8"/>
      <c r="R8" s="219">
        <v>0.80000001192092896</v>
      </c>
      <c r="S8"/>
      <c r="T8"/>
      <c r="U8" s="244">
        <v>0.26761937141418457</v>
      </c>
      <c r="V8"/>
      <c r="W8"/>
      <c r="X8"/>
      <c r="Y8"/>
      <c r="Z8"/>
      <c r="AA8"/>
      <c r="AB8"/>
      <c r="AC8"/>
      <c r="AD8" s="26">
        <v>3.0740855261683464E-2</v>
      </c>
      <c r="AE8" s="27">
        <v>9.0894505381584167E-2</v>
      </c>
      <c r="AF8"/>
      <c r="AG8" s="22">
        <v>9.0993344783782959E-3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1.3500000238418579</v>
      </c>
      <c r="C9">
        <v>1.3111174339428544E-3</v>
      </c>
      <c r="D9" s="202">
        <v>0.43121832609176636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 s="221">
        <v>0.31902936100959778</v>
      </c>
      <c r="X9"/>
      <c r="Y9"/>
      <c r="Z9"/>
      <c r="AA9" s="24">
        <v>3.6459628492593765E-2</v>
      </c>
      <c r="AB9"/>
      <c r="AC9" s="218">
        <v>0.2374470978975296</v>
      </c>
      <c r="AD9"/>
      <c r="AE9"/>
      <c r="AF9" s="105">
        <v>8.8995121419429779E-2</v>
      </c>
      <c r="AG9" s="209">
        <v>3.2854408025741577E-2</v>
      </c>
      <c r="AH9" s="25">
        <v>4.1720032691955566E-2</v>
      </c>
      <c r="AI9" s="214">
        <v>0.15801927447319031</v>
      </c>
      <c r="AJ9" s="14">
        <v>2.9457025229930878E-3</v>
      </c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1.7999999523162842</v>
      </c>
      <c r="C10">
        <v>8.2288242876529694E-2</v>
      </c>
      <c r="D10" s="13">
        <v>6.6666662693023682E-2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 s="211">
        <v>0.18643781542778015</v>
      </c>
      <c r="X10"/>
      <c r="Y10"/>
      <c r="Z10"/>
      <c r="AA10" s="15">
        <v>1.8799999728798866E-2</v>
      </c>
      <c r="AB10"/>
      <c r="AC10" s="213">
        <v>0.3469046950340271</v>
      </c>
      <c r="AD10"/>
      <c r="AE10"/>
      <c r="AF10" s="209">
        <v>4.3339930474758148E-2</v>
      </c>
      <c r="AG10" s="210">
        <v>7.9999208450317383E-2</v>
      </c>
      <c r="AH10" s="215">
        <v>0.47799202799797058</v>
      </c>
      <c r="AI10" s="216">
        <v>0.4925067126750946</v>
      </c>
      <c r="AJ10" s="14">
        <v>5.0647207535803318E-3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1.7999999523162842</v>
      </c>
      <c r="C11">
        <v>1.7230510711669922E-3</v>
      </c>
      <c r="D11" s="14">
        <v>2.3000924848020077E-3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243">
        <v>0.24000000953674316</v>
      </c>
      <c r="V11"/>
      <c r="W11" s="206">
        <v>0.17199578881263733</v>
      </c>
      <c r="X11"/>
      <c r="Y11"/>
      <c r="Z11" s="66">
        <v>0.11438678950071335</v>
      </c>
      <c r="AA11" s="14">
        <v>2.3500947281718254E-3</v>
      </c>
      <c r="AB11" s="236">
        <v>0.63732290267944336</v>
      </c>
      <c r="AC11" s="224">
        <v>0.46880853176116943</v>
      </c>
      <c r="AD11" s="24">
        <v>4.8244491219520569E-2</v>
      </c>
      <c r="AE11"/>
      <c r="AF11" s="22">
        <v>1.2677439488470554E-2</v>
      </c>
      <c r="AG11" s="11">
        <v>1.5000456478446722E-3</v>
      </c>
      <c r="AH11" s="23">
        <v>1.118835061788559E-2</v>
      </c>
      <c r="AI11" s="234">
        <v>8.7038643658161163E-2</v>
      </c>
      <c r="AJ11" s="11">
        <v>4.6366610331460834E-4</v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1.2300000190734863</v>
      </c>
      <c r="C12">
        <v>1.1991191422566772E-3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 s="67">
        <v>0.11376871168613434</v>
      </c>
      <c r="V12"/>
      <c r="W12" s="215">
        <v>0.32612895965576172</v>
      </c>
      <c r="X12"/>
      <c r="Y12"/>
      <c r="Z12" s="20">
        <v>5.4223485291004181E-2</v>
      </c>
      <c r="AA12" s="15">
        <v>1.185328047722578E-2</v>
      </c>
      <c r="AB12" s="70">
        <v>8.6318336427211761E-2</v>
      </c>
      <c r="AC12" s="238">
        <v>0.18766279518604279</v>
      </c>
      <c r="AD12" s="242">
        <v>0.33977746963500977</v>
      </c>
      <c r="AE12" s="138">
        <v>3.6225486546754837E-2</v>
      </c>
      <c r="AF12" s="19">
        <v>2.2189164534211159E-2</v>
      </c>
      <c r="AG12" s="14">
        <v>2.8443040791898966E-3</v>
      </c>
      <c r="AH12" s="14">
        <v>2.2811545059084892E-3</v>
      </c>
      <c r="AI12" s="13">
        <v>4.5527707785367966E-2</v>
      </c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166</v>
      </c>
      <c r="B13">
        <v>5</v>
      </c>
      <c r="C13">
        <v>4.8875808715820312E-3</v>
      </c>
      <c r="D13"/>
      <c r="E13"/>
      <c r="F13"/>
      <c r="G13"/>
      <c r="H13"/>
      <c r="I13"/>
      <c r="J13" s="11">
        <v>5.3637195378541946E-4</v>
      </c>
      <c r="K13"/>
      <c r="L13"/>
      <c r="M13"/>
      <c r="N13"/>
      <c r="O13"/>
      <c r="P13"/>
      <c r="Q13"/>
      <c r="R13"/>
      <c r="S13"/>
      <c r="T13"/>
      <c r="U13"/>
      <c r="V13"/>
      <c r="W13" s="138">
        <v>0.15000002086162567</v>
      </c>
      <c r="X13"/>
      <c r="Y13"/>
      <c r="Z13"/>
      <c r="AA13" s="138">
        <v>0.14873594045639038</v>
      </c>
      <c r="AB13" s="237">
        <v>1.0358434915542603</v>
      </c>
      <c r="AC13" s="233">
        <v>0.6844908595085144</v>
      </c>
      <c r="AD13" s="206">
        <v>0.48055335879325867</v>
      </c>
      <c r="AE13" s="236">
        <v>1.7761242389678955</v>
      </c>
      <c r="AF13" s="231">
        <v>0.53698998689651489</v>
      </c>
      <c r="AG13" s="17">
        <v>6.4364001154899597E-2</v>
      </c>
      <c r="AH13" s="14">
        <v>1.16146020591259E-2</v>
      </c>
      <c r="AI13" s="19">
        <v>8.6679726839065552E-2</v>
      </c>
      <c r="AJ13" s="12">
        <v>1.9179817289113998E-2</v>
      </c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0.95822399854660034</v>
      </c>
      <c r="C14">
        <v>9.267415152862668E-4</v>
      </c>
      <c r="D14" s="12">
        <v>4.010490607470274E-3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239">
        <v>0.32082635164260864</v>
      </c>
      <c r="V14"/>
      <c r="W14" s="215">
        <v>0.25422042608261108</v>
      </c>
      <c r="X14"/>
      <c r="Y14"/>
      <c r="Z14"/>
      <c r="AA14" s="15">
        <v>1.0052964091300964E-2</v>
      </c>
      <c r="AB14" s="222">
        <v>5.5321957916021347E-2</v>
      </c>
      <c r="AC14" s="227">
        <v>0.19148927927017212</v>
      </c>
      <c r="AD14" s="21">
        <v>1.8426313996315002E-2</v>
      </c>
      <c r="AE14" s="210">
        <v>4.2564764618873596E-2</v>
      </c>
      <c r="AF14" s="25">
        <v>2.9548441991209984E-2</v>
      </c>
      <c r="AG14" s="18">
        <v>1.1229262687265873E-2</v>
      </c>
      <c r="AH14" s="23">
        <v>5.3392467088997364E-3</v>
      </c>
      <c r="AI14" s="16">
        <v>1.4196703210473061E-2</v>
      </c>
      <c r="AJ14" s="11">
        <v>7.1035530709195882E-5</v>
      </c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1.1302471393719316E-3</v>
      </c>
      <c r="D15" s="75">
        <v>7.8232057392597198E-2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240">
        <v>0.63414829969406128</v>
      </c>
      <c r="X15"/>
      <c r="Y15"/>
      <c r="Z15"/>
      <c r="AA15" s="23">
        <v>5.9683127328753471E-3</v>
      </c>
      <c r="AB15"/>
      <c r="AC15" s="236">
        <v>0.42521020770072937</v>
      </c>
      <c r="AD15"/>
      <c r="AE15"/>
      <c r="AF15"/>
      <c r="AG15" s="11">
        <v>8.1632647197693586E-4</v>
      </c>
      <c r="AH15" s="11">
        <v>5.4558360716328025E-4</v>
      </c>
      <c r="AI15" s="20">
        <v>5.2350275218486786E-2</v>
      </c>
      <c r="AJ15" s="14">
        <v>1.5987013466656208E-3</v>
      </c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0.80000001192092896</v>
      </c>
      <c r="C16">
        <v>0.28110814094543457</v>
      </c>
      <c r="D16"/>
      <c r="E16" s="203">
        <v>0.24375234544277191</v>
      </c>
      <c r="F16" s="12">
        <v>3.7299513351172209E-3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227">
        <v>0.16028492152690887</v>
      </c>
      <c r="AD16"/>
      <c r="AE16" s="210">
        <v>3.5628572106361389E-2</v>
      </c>
      <c r="AF16" s="138">
        <v>2.4248374626040459E-2</v>
      </c>
      <c r="AG16" s="23">
        <v>4.4758976437151432E-3</v>
      </c>
      <c r="AH16"/>
      <c r="AI16" s="222">
        <v>4.5638605952262878E-2</v>
      </c>
      <c r="AJ16" s="14">
        <v>1.1332068825140595E-3</v>
      </c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</v>
      </c>
      <c r="C17">
        <v>0.36222431063652039</v>
      </c>
      <c r="D17"/>
      <c r="E17" s="20">
        <v>2.1276596933603287E-2</v>
      </c>
      <c r="F17"/>
      <c r="G17" s="206">
        <v>4.7872338443994522E-2</v>
      </c>
      <c r="H17" s="20">
        <v>2.1276596933603287E-2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 s="68">
        <v>2.5531666353344917E-2</v>
      </c>
      <c r="AH17" s="16">
        <v>7.6787243597209454E-3</v>
      </c>
      <c r="AI17"/>
      <c r="AJ17" s="24">
        <v>1.4139753766357899E-2</v>
      </c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</v>
      </c>
      <c r="C18">
        <v>1.7462968826293945E-3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 s="23">
        <v>1.0448724962770939E-2</v>
      </c>
      <c r="AB18"/>
      <c r="AC18" s="241">
        <v>1.548168420791626</v>
      </c>
      <c r="AD18" s="20">
        <v>8.6599051952362061E-2</v>
      </c>
      <c r="AE18"/>
      <c r="AF18"/>
      <c r="AG18"/>
      <c r="AH18" s="11">
        <v>4.6511803520843387E-4</v>
      </c>
      <c r="AI18" s="218">
        <v>0.3525722324848175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1.2282500267028809</v>
      </c>
      <c r="C19">
        <v>8.8807985186576843E-2</v>
      </c>
      <c r="D19"/>
      <c r="E19"/>
      <c r="F19" s="75">
        <v>8.0228358507156372E-2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 s="207">
        <v>8.4031462669372559E-2</v>
      </c>
      <c r="X19"/>
      <c r="Y19"/>
      <c r="Z19"/>
      <c r="AA19" s="23">
        <v>7.0612984709441662E-3</v>
      </c>
      <c r="AB19"/>
      <c r="AC19" s="235">
        <v>0.5321463942527771</v>
      </c>
      <c r="AD19" s="225">
        <v>0.11182596534490585</v>
      </c>
      <c r="AE19" s="73">
        <v>9.5673277974128723E-2</v>
      </c>
      <c r="AF19"/>
      <c r="AG19" s="11">
        <v>7.2114681825041771E-4</v>
      </c>
      <c r="AH19" s="23">
        <v>7.51875014975667E-3</v>
      </c>
      <c r="AI19" s="229">
        <v>0.21920840442180634</v>
      </c>
      <c r="AJ19" s="11">
        <v>1.0270377388224006E-3</v>
      </c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1.1400209665298462</v>
      </c>
      <c r="C20">
        <v>0.39191263914108276</v>
      </c>
      <c r="D20"/>
      <c r="E20"/>
      <c r="F20" s="204">
        <v>0.24023231863975525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 s="21">
        <v>2.2829990833997726E-2</v>
      </c>
      <c r="AB20"/>
      <c r="AC20" s="226">
        <v>0.23352882266044617</v>
      </c>
      <c r="AD20"/>
      <c r="AE20" s="223">
        <v>0.16811017692089081</v>
      </c>
      <c r="AF20" s="139">
        <v>6.8648248910903931E-2</v>
      </c>
      <c r="AG20" s="14">
        <v>1.2671470176428556E-3</v>
      </c>
      <c r="AH20" s="15">
        <v>1.1687012389302254E-2</v>
      </c>
      <c r="AI20"/>
      <c r="AJ20" s="14">
        <v>1.8046365585178137E-3</v>
      </c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</v>
      </c>
      <c r="C21">
        <v>9.4467401504516602E-4</v>
      </c>
      <c r="D21"/>
      <c r="E21"/>
      <c r="F21" s="205">
        <v>3.2584734261035919E-2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230">
        <v>0.33707106113433838</v>
      </c>
      <c r="AD21" s="232">
        <v>0.40584444999694824</v>
      </c>
      <c r="AE21" s="227">
        <v>0.20000000298023224</v>
      </c>
      <c r="AF21"/>
      <c r="AG21" s="209">
        <v>2.3554999381303787E-2</v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</v>
      </c>
      <c r="C22">
        <v>9.5736980438232422E-4</v>
      </c>
      <c r="D22"/>
      <c r="E22" s="25">
        <v>3.1533662229776382E-2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 s="217">
        <v>7.2296693921089172E-2</v>
      </c>
      <c r="AB22"/>
      <c r="AC22" s="224">
        <v>0.2601388692855835</v>
      </c>
      <c r="AD22" s="228">
        <v>0.42404580116271973</v>
      </c>
      <c r="AE22" s="220">
        <v>9.7954519093036652E-2</v>
      </c>
      <c r="AF22" s="68">
        <v>5.000000074505806E-2</v>
      </c>
      <c r="AG22" s="19">
        <v>1.8458547070622444E-2</v>
      </c>
      <c r="AH22" s="23">
        <v>5.5514629930257797E-3</v>
      </c>
      <c r="AI22" s="212">
        <v>3.9063096046447754E-2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0.5</v>
      </c>
      <c r="C23">
        <v>0.16666996479034424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 s="219">
        <v>0.33333003520965576</v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0.15600000321865082</v>
      </c>
      <c r="C24">
        <v>6.1212684959173203E-2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 s="208">
        <v>9.4787321984767914E-2</v>
      </c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0.28999999165534973</v>
      </c>
      <c r="C25">
        <v>0.24053703248500824</v>
      </c>
      <c r="D25"/>
      <c r="E25"/>
      <c r="F25"/>
      <c r="G25"/>
      <c r="H25"/>
      <c r="I25" s="207">
        <v>1.976284570991993E-2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 s="205">
        <v>9.4860736280679703E-3</v>
      </c>
      <c r="AH25" s="23">
        <v>1.9019762985408306E-3</v>
      </c>
      <c r="AI25"/>
      <c r="AJ25" s="66">
        <v>1.8312059342861176E-2</v>
      </c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0.15000000596046448</v>
      </c>
      <c r="C26">
        <v>0.15000000596046448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/>
      <c r="C27">
        <v>0.85813724994659424</v>
      </c>
      <c r="D27"/>
      <c r="E27"/>
      <c r="F27"/>
      <c r="G27"/>
      <c r="H27"/>
      <c r="I27"/>
      <c r="J27"/>
      <c r="K27"/>
      <c r="L27"/>
      <c r="M27" s="9">
        <v>3303.251220703125</v>
      </c>
      <c r="N27"/>
      <c r="O27"/>
      <c r="P27" s="9">
        <v>72.076637268066406</v>
      </c>
      <c r="Q27" s="9">
        <v>1532.1724853515625</v>
      </c>
      <c r="R27" s="9">
        <v>13.451400756835938</v>
      </c>
      <c r="S27"/>
      <c r="T27"/>
      <c r="U27" s="9">
        <v>21.599132537841797</v>
      </c>
      <c r="V27"/>
      <c r="W27"/>
      <c r="X27" s="9">
        <v>1.1896257400512695</v>
      </c>
      <c r="Y27"/>
      <c r="Z27"/>
      <c r="AA27"/>
      <c r="AB27"/>
      <c r="AC27"/>
      <c r="AD27" s="9">
        <v>0.13783586025238037</v>
      </c>
      <c r="AE27" s="9">
        <v>0.76416158676147461</v>
      </c>
      <c r="AF27"/>
      <c r="AG27" s="9">
        <v>0.20399799942970276</v>
      </c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/>
      <c r="C28">
        <v>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8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167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168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89" t="s">
        <v>193</v>
      </c>
      <c r="E5">
        <v>4</v>
      </c>
      <c r="F5">
        <v>2</v>
      </c>
      <c r="G5">
        <v>4</v>
      </c>
      <c r="H5" s="190" t="s">
        <v>193</v>
      </c>
      <c r="J5" s="57"/>
      <c r="K5" s="58"/>
    </row>
    <row r="6" spans="1:12" ht="14" thickBot="1" x14ac:dyDescent="0.2">
      <c r="A6" s="41" t="s">
        <v>121</v>
      </c>
      <c r="D6" s="189" t="s">
        <v>194</v>
      </c>
      <c r="E6">
        <v>5</v>
      </c>
      <c r="F6">
        <v>3.14</v>
      </c>
      <c r="G6">
        <v>5</v>
      </c>
      <c r="H6" s="190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89" t="s">
        <v>195</v>
      </c>
      <c r="E7">
        <v>6</v>
      </c>
      <c r="F7">
        <v>3.11</v>
      </c>
      <c r="G7">
        <v>6</v>
      </c>
      <c r="H7" s="190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89" t="s">
        <v>196</v>
      </c>
      <c r="E8">
        <v>7</v>
      </c>
      <c r="F8">
        <v>3.11</v>
      </c>
      <c r="G8">
        <v>7</v>
      </c>
      <c r="H8" s="190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89" t="s">
        <v>197</v>
      </c>
      <c r="E9">
        <v>8</v>
      </c>
      <c r="F9">
        <v>3.11</v>
      </c>
      <c r="G9">
        <v>8</v>
      </c>
      <c r="H9" s="190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89" t="s">
        <v>198</v>
      </c>
      <c r="E10">
        <v>9</v>
      </c>
      <c r="F10">
        <v>3.21</v>
      </c>
      <c r="G10">
        <v>9</v>
      </c>
      <c r="H10" s="190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89" t="s">
        <v>199</v>
      </c>
      <c r="E11">
        <v>10</v>
      </c>
      <c r="F11">
        <v>3.21</v>
      </c>
      <c r="G11">
        <v>10</v>
      </c>
      <c r="H11" s="190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89" t="s">
        <v>200</v>
      </c>
      <c r="E12">
        <v>11</v>
      </c>
      <c r="F12">
        <v>3.12</v>
      </c>
      <c r="G12">
        <v>11</v>
      </c>
      <c r="H12" s="190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89" t="s">
        <v>201</v>
      </c>
      <c r="E13">
        <v>12</v>
      </c>
      <c r="F13">
        <v>3.12</v>
      </c>
      <c r="G13">
        <v>12</v>
      </c>
      <c r="H13" s="190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89" t="s">
        <v>202</v>
      </c>
      <c r="E14">
        <v>13</v>
      </c>
      <c r="F14">
        <v>3.22</v>
      </c>
      <c r="G14">
        <v>13</v>
      </c>
      <c r="H14" s="190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89" t="s">
        <v>203</v>
      </c>
      <c r="E15">
        <v>14</v>
      </c>
      <c r="F15">
        <v>3.12</v>
      </c>
      <c r="G15">
        <v>14</v>
      </c>
      <c r="H15" s="190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89" t="s">
        <v>166</v>
      </c>
      <c r="E16">
        <v>15</v>
      </c>
      <c r="F16">
        <v>3.12</v>
      </c>
      <c r="G16">
        <v>15</v>
      </c>
      <c r="H16" s="190" t="s">
        <v>166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89" t="s">
        <v>204</v>
      </c>
      <c r="E17">
        <v>16</v>
      </c>
      <c r="F17">
        <v>3.1</v>
      </c>
      <c r="G17">
        <v>16</v>
      </c>
      <c r="H17" s="190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89" t="s">
        <v>205</v>
      </c>
      <c r="E18">
        <v>17</v>
      </c>
      <c r="F18">
        <v>3.12</v>
      </c>
      <c r="G18">
        <v>17</v>
      </c>
      <c r="H18" s="190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89" t="s">
        <v>206</v>
      </c>
      <c r="E19">
        <v>18</v>
      </c>
      <c r="F19">
        <v>3.12</v>
      </c>
      <c r="G19">
        <v>18</v>
      </c>
      <c r="H19" s="190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89" t="s">
        <v>207</v>
      </c>
      <c r="E20">
        <v>19</v>
      </c>
      <c r="F20">
        <v>3.1</v>
      </c>
      <c r="G20">
        <v>19</v>
      </c>
      <c r="H20" s="190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89" t="s">
        <v>208</v>
      </c>
      <c r="E21">
        <v>20</v>
      </c>
      <c r="F21">
        <v>3.12</v>
      </c>
      <c r="G21">
        <v>20</v>
      </c>
      <c r="H21" s="190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89" t="s">
        <v>209</v>
      </c>
      <c r="E22">
        <v>21</v>
      </c>
      <c r="F22">
        <v>3.12</v>
      </c>
      <c r="G22">
        <v>21</v>
      </c>
      <c r="H22" s="190" t="s">
        <v>209</v>
      </c>
    </row>
    <row r="23" spans="1:12" x14ac:dyDescent="0.15">
      <c r="A23" s="36" t="s">
        <v>129</v>
      </c>
      <c r="B23" s="44">
        <v>4</v>
      </c>
      <c r="C23" s="38"/>
      <c r="D23" s="189" t="s">
        <v>210</v>
      </c>
      <c r="E23">
        <v>22</v>
      </c>
      <c r="F23">
        <v>3.12</v>
      </c>
      <c r="G23">
        <v>22</v>
      </c>
      <c r="H23" s="190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89" t="s">
        <v>211</v>
      </c>
      <c r="E24">
        <v>23</v>
      </c>
      <c r="F24">
        <v>3.2</v>
      </c>
      <c r="G24">
        <v>23</v>
      </c>
      <c r="H24" s="190" t="s">
        <v>211</v>
      </c>
    </row>
    <row r="25" spans="1:12" x14ac:dyDescent="0.15">
      <c r="A25" s="36" t="s">
        <v>70</v>
      </c>
      <c r="B25" s="44">
        <v>4.2</v>
      </c>
      <c r="C25" s="38"/>
      <c r="D25" s="189" t="s">
        <v>212</v>
      </c>
      <c r="E25">
        <v>24</v>
      </c>
      <c r="F25">
        <v>3.1</v>
      </c>
      <c r="G25">
        <v>24</v>
      </c>
      <c r="H25" s="190" t="s">
        <v>212</v>
      </c>
    </row>
    <row r="26" spans="1:12" x14ac:dyDescent="0.15">
      <c r="A26" s="36" t="s">
        <v>123</v>
      </c>
      <c r="B26" s="44">
        <v>4.3</v>
      </c>
      <c r="C26" s="38"/>
      <c r="D26" s="189" t="s">
        <v>213</v>
      </c>
      <c r="E26">
        <v>25</v>
      </c>
      <c r="F26">
        <v>3.12</v>
      </c>
      <c r="G26">
        <v>25</v>
      </c>
      <c r="H26" s="190" t="s">
        <v>213</v>
      </c>
    </row>
    <row r="27" spans="1:12" x14ac:dyDescent="0.15">
      <c r="A27" s="36" t="s">
        <v>125</v>
      </c>
      <c r="B27" s="44">
        <v>6.1</v>
      </c>
      <c r="D27" s="189" t="s">
        <v>214</v>
      </c>
      <c r="E27">
        <v>26</v>
      </c>
      <c r="F27">
        <v>3.13</v>
      </c>
      <c r="G27">
        <v>26</v>
      </c>
      <c r="H27" s="190" t="s">
        <v>214</v>
      </c>
    </row>
    <row r="28" spans="1:12" x14ac:dyDescent="0.15">
      <c r="A28" s="36" t="s">
        <v>124</v>
      </c>
      <c r="B28" s="44">
        <v>6.2</v>
      </c>
      <c r="D28" s="189" t="s">
        <v>215</v>
      </c>
      <c r="E28">
        <v>27</v>
      </c>
      <c r="F28">
        <v>3.13</v>
      </c>
      <c r="G28">
        <v>27</v>
      </c>
      <c r="H28" s="190" t="s">
        <v>215</v>
      </c>
    </row>
    <row r="29" spans="1:12" x14ac:dyDescent="0.15">
      <c r="A29" s="36" t="s">
        <v>44</v>
      </c>
      <c r="B29" s="44">
        <v>5</v>
      </c>
      <c r="D29" s="189" t="s">
        <v>216</v>
      </c>
      <c r="E29">
        <v>28</v>
      </c>
      <c r="F29">
        <v>3.13</v>
      </c>
      <c r="G29">
        <v>28</v>
      </c>
      <c r="H29" s="190" t="s">
        <v>216</v>
      </c>
    </row>
    <row r="30" spans="1:12" x14ac:dyDescent="0.15">
      <c r="A30" s="36" t="s">
        <v>73</v>
      </c>
      <c r="B30" s="44">
        <v>7</v>
      </c>
      <c r="D30" s="189" t="s">
        <v>217</v>
      </c>
      <c r="E30">
        <v>29</v>
      </c>
      <c r="F30">
        <v>4.0999999999999996</v>
      </c>
      <c r="G30">
        <v>29</v>
      </c>
      <c r="H30" s="190" t="s">
        <v>217</v>
      </c>
    </row>
    <row r="31" spans="1:12" x14ac:dyDescent="0.15">
      <c r="A31" s="36" t="s">
        <v>170</v>
      </c>
      <c r="B31" s="44">
        <v>3.14</v>
      </c>
      <c r="D31" s="189" t="s">
        <v>218</v>
      </c>
      <c r="E31">
        <v>30</v>
      </c>
      <c r="F31">
        <v>4.3</v>
      </c>
      <c r="G31">
        <v>30</v>
      </c>
      <c r="H31" s="190" t="s">
        <v>218</v>
      </c>
    </row>
    <row r="32" spans="1:12" ht="12" customHeight="1" thickBot="1" x14ac:dyDescent="0.2">
      <c r="A32" s="42" t="s">
        <v>171</v>
      </c>
      <c r="B32" s="45">
        <v>9</v>
      </c>
      <c r="D32" s="189" t="s">
        <v>219</v>
      </c>
      <c r="E32">
        <v>31</v>
      </c>
      <c r="F32">
        <v>5</v>
      </c>
      <c r="G32">
        <v>31</v>
      </c>
      <c r="H32" s="190" t="s">
        <v>219</v>
      </c>
    </row>
    <row r="33" spans="4:8" customFormat="1" ht="12" customHeight="1" x14ac:dyDescent="0.15">
      <c r="D33" s="189" t="s">
        <v>220</v>
      </c>
      <c r="E33">
        <v>32</v>
      </c>
      <c r="F33">
        <v>5</v>
      </c>
      <c r="G33">
        <v>32</v>
      </c>
      <c r="H33" s="190" t="s">
        <v>220</v>
      </c>
    </row>
    <row r="34" spans="4:8" customFormat="1" ht="12" customHeight="1" x14ac:dyDescent="0.15">
      <c r="D34" s="189" t="s">
        <v>221</v>
      </c>
      <c r="E34">
        <v>33</v>
      </c>
      <c r="F34">
        <v>5</v>
      </c>
      <c r="G34">
        <v>33</v>
      </c>
      <c r="H34" s="190" t="s">
        <v>221</v>
      </c>
    </row>
    <row r="35" spans="4:8" customFormat="1" x14ac:dyDescent="0.15">
      <c r="D35" s="189" t="s">
        <v>222</v>
      </c>
      <c r="E35">
        <v>34</v>
      </c>
      <c r="F35">
        <v>5</v>
      </c>
      <c r="G35">
        <v>34</v>
      </c>
      <c r="H35" s="190" t="s">
        <v>222</v>
      </c>
    </row>
    <row r="36" spans="4:8" customFormat="1" x14ac:dyDescent="0.15">
      <c r="D36" s="189" t="s">
        <v>223</v>
      </c>
      <c r="E36">
        <v>35</v>
      </c>
      <c r="F36">
        <v>5</v>
      </c>
      <c r="G36">
        <v>35</v>
      </c>
      <c r="H36" s="190" t="s">
        <v>223</v>
      </c>
    </row>
    <row r="37" spans="4:8" customFormat="1" ht="12" customHeight="1" x14ac:dyDescent="0.15">
      <c r="D37" s="189" t="s">
        <v>224</v>
      </c>
      <c r="E37">
        <v>36</v>
      </c>
      <c r="F37">
        <v>5</v>
      </c>
      <c r="G37">
        <v>36</v>
      </c>
      <c r="H37" s="190" t="s">
        <v>224</v>
      </c>
    </row>
    <row r="38" spans="4:8" customFormat="1" x14ac:dyDescent="0.15">
      <c r="D38" s="189" t="s">
        <v>225</v>
      </c>
      <c r="E38">
        <v>37</v>
      </c>
      <c r="F38">
        <v>5</v>
      </c>
      <c r="G38">
        <v>37</v>
      </c>
      <c r="H38" s="190" t="s">
        <v>225</v>
      </c>
    </row>
    <row r="39" spans="4:8" customFormat="1" x14ac:dyDescent="0.15">
      <c r="D39" s="189" t="s">
        <v>226</v>
      </c>
      <c r="E39">
        <v>38</v>
      </c>
      <c r="F39">
        <v>5</v>
      </c>
      <c r="G39">
        <v>38</v>
      </c>
      <c r="H39" s="190" t="s">
        <v>226</v>
      </c>
    </row>
    <row r="40" spans="4:8" customFormat="1" x14ac:dyDescent="0.15">
      <c r="D40" s="189" t="s">
        <v>138</v>
      </c>
      <c r="E40">
        <v>39</v>
      </c>
      <c r="F40">
        <v>6.1</v>
      </c>
      <c r="G40">
        <v>39</v>
      </c>
      <c r="H40" s="190" t="s">
        <v>138</v>
      </c>
    </row>
    <row r="41" spans="4:8" customFormat="1" x14ac:dyDescent="0.15">
      <c r="D41" s="189" t="s">
        <v>45</v>
      </c>
      <c r="E41">
        <v>40</v>
      </c>
      <c r="F41">
        <v>6.2</v>
      </c>
      <c r="G41">
        <v>40</v>
      </c>
      <c r="H41" s="190" t="s">
        <v>45</v>
      </c>
    </row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2" bestFit="1" customWidth="1"/>
    <col min="2" max="2" width="7.83203125" style="81" customWidth="1"/>
    <col min="3" max="3" width="13.1640625" style="81" customWidth="1"/>
    <col min="4" max="4" width="39.6640625" style="81" customWidth="1"/>
    <col min="5" max="5" width="8.1640625" style="81" customWidth="1"/>
    <col min="6" max="6" width="21.6640625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1" customWidth="1"/>
    <col min="17" max="17" width="2.33203125" style="81" customWidth="1"/>
    <col min="18" max="18" width="2.33203125" style="72" customWidth="1"/>
    <col min="19" max="16384" width="11.5" style="81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3" t="s">
        <v>48</v>
      </c>
      <c r="L1" s="72"/>
      <c r="M1" s="83" t="s">
        <v>119</v>
      </c>
      <c r="N1" s="72"/>
      <c r="O1" s="83" t="s">
        <v>49</v>
      </c>
      <c r="P1" s="74"/>
      <c r="Q1" s="83" t="s">
        <v>50</v>
      </c>
      <c r="R1" s="69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5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5">
        <v>0</v>
      </c>
      <c r="R4" s="107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5">
        <v>0</v>
      </c>
      <c r="R5" s="107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1" t="s">
        <v>193</v>
      </c>
      <c r="G6" s="81">
        <v>0</v>
      </c>
      <c r="H6" s="81">
        <v>0</v>
      </c>
      <c r="I6" s="81">
        <v>0</v>
      </c>
      <c r="J6" s="81">
        <v>0</v>
      </c>
      <c r="K6" s="81">
        <v>0</v>
      </c>
      <c r="L6" s="81">
        <v>0</v>
      </c>
      <c r="M6" s="81">
        <v>1</v>
      </c>
      <c r="N6" s="81">
        <v>0</v>
      </c>
      <c r="O6" s="81">
        <v>0</v>
      </c>
      <c r="P6" s="71">
        <v>0</v>
      </c>
      <c r="Q6" s="81">
        <v>0</v>
      </c>
      <c r="R6" s="72">
        <v>1</v>
      </c>
      <c r="S6"/>
      <c r="T6"/>
    </row>
    <row r="7" spans="1:23" ht="15" customHeight="1" thickBot="1" x14ac:dyDescent="0.2">
      <c r="F7" s="191" t="s">
        <v>194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1">
        <v>0</v>
      </c>
      <c r="Q7" s="81">
        <v>0</v>
      </c>
      <c r="R7" s="72">
        <v>1</v>
      </c>
      <c r="S7"/>
      <c r="T7"/>
    </row>
    <row r="8" spans="1:23" ht="15" customHeight="1" x14ac:dyDescent="0.15">
      <c r="A8" s="83" t="s">
        <v>56</v>
      </c>
      <c r="B8" s="90">
        <v>1</v>
      </c>
      <c r="C8" s="192" t="s">
        <v>193</v>
      </c>
      <c r="D8" s="85" t="s">
        <v>160</v>
      </c>
      <c r="F8" s="191" t="s">
        <v>195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1">
        <v>0</v>
      </c>
      <c r="Q8" s="81">
        <v>0</v>
      </c>
      <c r="R8" s="72">
        <v>1</v>
      </c>
      <c r="S8"/>
      <c r="T8"/>
      <c r="W8"/>
    </row>
    <row r="9" spans="1:23" ht="15" customHeight="1" x14ac:dyDescent="0.15">
      <c r="A9" s="121" t="s">
        <v>169</v>
      </c>
      <c r="B9" s="92"/>
      <c r="C9" s="80"/>
      <c r="D9" s="85" t="s">
        <v>160</v>
      </c>
      <c r="F9" s="191" t="s">
        <v>196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1">
        <v>0</v>
      </c>
      <c r="Q9" s="81">
        <v>0</v>
      </c>
      <c r="R9" s="72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1" t="s">
        <v>197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1">
        <v>0</v>
      </c>
      <c r="Q10" s="81">
        <v>0</v>
      </c>
      <c r="R10" s="72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1" t="s">
        <v>198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1">
        <v>0</v>
      </c>
      <c r="Q11" s="81">
        <v>0</v>
      </c>
      <c r="R11" s="72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1" t="s">
        <v>199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1">
        <v>0</v>
      </c>
      <c r="Q12" s="81">
        <v>0</v>
      </c>
      <c r="R12" s="72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1" t="s">
        <v>200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1">
        <v>0</v>
      </c>
      <c r="Q13" s="81">
        <v>0</v>
      </c>
      <c r="R13" s="72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1" t="s">
        <v>201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1">
        <v>0</v>
      </c>
      <c r="Q14" s="81">
        <v>0</v>
      </c>
      <c r="R14" s="72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1" t="s">
        <v>202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1">
        <v>0</v>
      </c>
      <c r="Q15" s="81">
        <v>0</v>
      </c>
      <c r="R15" s="72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1" t="s">
        <v>203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1">
        <v>0</v>
      </c>
      <c r="Q16" s="81">
        <v>0</v>
      </c>
      <c r="R16" s="72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1" t="s">
        <v>166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1">
        <v>0</v>
      </c>
      <c r="Q17" s="81">
        <v>0</v>
      </c>
      <c r="R17" s="72">
        <v>1</v>
      </c>
      <c r="S17"/>
      <c r="T17"/>
    </row>
    <row r="18" spans="1:20" ht="15" customHeight="1" thickBot="1" x14ac:dyDescent="0.2">
      <c r="B18" s="93"/>
      <c r="F18" s="191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1">
        <v>0</v>
      </c>
      <c r="Q18" s="81">
        <v>0</v>
      </c>
      <c r="R18" s="72">
        <v>1</v>
      </c>
      <c r="S18"/>
      <c r="T18"/>
    </row>
    <row r="19" spans="1:20" ht="15" customHeight="1" x14ac:dyDescent="0.15">
      <c r="A19" s="83" t="s">
        <v>57</v>
      </c>
      <c r="B19" s="90">
        <v>1</v>
      </c>
      <c r="C19" s="193" t="s">
        <v>193</v>
      </c>
      <c r="D19" s="85" t="s">
        <v>160</v>
      </c>
      <c r="F19" s="191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1">
        <v>0</v>
      </c>
      <c r="Q19" s="81">
        <v>0</v>
      </c>
      <c r="R19" s="72">
        <v>1</v>
      </c>
      <c r="S19"/>
      <c r="T19"/>
    </row>
    <row r="20" spans="1:20" ht="15" customHeight="1" x14ac:dyDescent="0.15">
      <c r="A20" s="121" t="s">
        <v>169</v>
      </c>
      <c r="B20" s="92"/>
      <c r="C20" s="80"/>
      <c r="D20" s="85" t="s">
        <v>160</v>
      </c>
      <c r="F20" s="191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1">
        <v>0</v>
      </c>
      <c r="Q20" s="81">
        <v>0</v>
      </c>
      <c r="R20" s="72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1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1">
        <v>0</v>
      </c>
      <c r="Q21" s="81">
        <v>0</v>
      </c>
      <c r="R21" s="72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1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1">
        <v>0</v>
      </c>
      <c r="Q22" s="81">
        <v>0</v>
      </c>
      <c r="R22" s="72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1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1">
        <v>0</v>
      </c>
      <c r="Q23" s="81">
        <v>0</v>
      </c>
      <c r="R23" s="72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1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1</v>
      </c>
      <c r="L24" s="81">
        <v>0</v>
      </c>
      <c r="M24" s="81">
        <v>1</v>
      </c>
      <c r="N24" s="81">
        <v>0</v>
      </c>
      <c r="O24" s="81">
        <v>1</v>
      </c>
      <c r="P24" s="71">
        <v>0</v>
      </c>
      <c r="Q24" s="81">
        <v>0</v>
      </c>
      <c r="R24" s="72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1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1</v>
      </c>
      <c r="L25" s="81">
        <v>0</v>
      </c>
      <c r="M25" s="81">
        <v>1</v>
      </c>
      <c r="N25" s="81">
        <v>0</v>
      </c>
      <c r="O25" s="81">
        <v>1</v>
      </c>
      <c r="P25" s="71">
        <v>0</v>
      </c>
      <c r="Q25" s="81">
        <v>0</v>
      </c>
      <c r="R25" s="72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1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1">
        <v>0</v>
      </c>
      <c r="Q26" s="81">
        <v>0</v>
      </c>
      <c r="R26" s="72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1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1">
        <v>0</v>
      </c>
      <c r="Q27" s="81">
        <v>0</v>
      </c>
      <c r="R27" s="72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1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1">
        <v>0</v>
      </c>
      <c r="Q28" s="81">
        <v>0</v>
      </c>
      <c r="R28" s="72">
        <v>1</v>
      </c>
      <c r="S28"/>
      <c r="T28"/>
    </row>
    <row r="29" spans="1:20" ht="15" customHeight="1" x14ac:dyDescent="0.15">
      <c r="F29" s="191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1">
        <v>0</v>
      </c>
      <c r="Q29" s="81">
        <v>0</v>
      </c>
      <c r="R29" s="72">
        <v>1</v>
      </c>
      <c r="S29"/>
      <c r="T29"/>
    </row>
    <row r="30" spans="1:20" ht="15" customHeight="1" x14ac:dyDescent="0.15">
      <c r="F30" s="191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1">
        <v>0</v>
      </c>
      <c r="Q30" s="81">
        <v>0</v>
      </c>
      <c r="R30" s="72">
        <v>1</v>
      </c>
      <c r="S30"/>
      <c r="T30"/>
    </row>
    <row r="31" spans="1:20" ht="15" customHeight="1" x14ac:dyDescent="0.15">
      <c r="A31" s="122"/>
      <c r="B31" s="133" t="s">
        <v>17</v>
      </c>
      <c r="C31" s="133" t="s">
        <v>1</v>
      </c>
      <c r="D31" s="133" t="s">
        <v>161</v>
      </c>
      <c r="E31" s="134" t="s">
        <v>163</v>
      </c>
      <c r="F31" s="191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0</v>
      </c>
      <c r="L31" s="81">
        <v>1</v>
      </c>
      <c r="M31" s="81">
        <v>0</v>
      </c>
      <c r="N31" s="81">
        <v>1</v>
      </c>
      <c r="O31" s="81">
        <v>0</v>
      </c>
      <c r="P31" s="71">
        <v>1</v>
      </c>
      <c r="Q31" s="81">
        <v>0</v>
      </c>
      <c r="R31" s="72">
        <v>1</v>
      </c>
      <c r="S31"/>
      <c r="T31"/>
    </row>
    <row r="32" spans="1:20" ht="15" customHeight="1" x14ac:dyDescent="0.15">
      <c r="A32" s="194" t="s">
        <v>193</v>
      </c>
      <c r="B32" s="93">
        <v>203.66399999999999</v>
      </c>
      <c r="C32" s="93">
        <v>35.700000000000003</v>
      </c>
      <c r="D32" s="93">
        <v>7270.8047999999999</v>
      </c>
      <c r="E32" s="124">
        <v>1</v>
      </c>
      <c r="F32" s="191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0</v>
      </c>
      <c r="L32" s="81">
        <v>1</v>
      </c>
      <c r="M32" s="81">
        <v>0</v>
      </c>
      <c r="N32" s="81">
        <v>1</v>
      </c>
      <c r="O32" s="81">
        <v>0</v>
      </c>
      <c r="P32" s="71">
        <v>1</v>
      </c>
      <c r="Q32" s="81">
        <v>0</v>
      </c>
      <c r="R32" s="72">
        <v>1</v>
      </c>
      <c r="S32"/>
      <c r="T32"/>
    </row>
    <row r="33" spans="1:20" ht="15" customHeight="1" x14ac:dyDescent="0.15">
      <c r="A33" s="123"/>
      <c r="B33" s="93"/>
      <c r="C33" s="93"/>
      <c r="D33" s="93"/>
      <c r="E33" s="124"/>
      <c r="F33" s="191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0</v>
      </c>
      <c r="L33" s="81">
        <v>1</v>
      </c>
      <c r="M33" s="81">
        <v>0</v>
      </c>
      <c r="N33" s="81">
        <v>0</v>
      </c>
      <c r="O33" s="81">
        <v>0</v>
      </c>
      <c r="P33" s="71">
        <v>0</v>
      </c>
      <c r="Q33" s="81">
        <v>0</v>
      </c>
      <c r="R33" s="72">
        <v>1</v>
      </c>
      <c r="S33"/>
      <c r="T33"/>
    </row>
    <row r="34" spans="1:20" ht="15" customHeight="1" x14ac:dyDescent="0.15">
      <c r="A34" s="125"/>
      <c r="B34" s="93"/>
      <c r="C34" s="93"/>
      <c r="D34" s="93"/>
      <c r="E34" s="124"/>
      <c r="F34" s="191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0</v>
      </c>
      <c r="L34" s="81">
        <v>1</v>
      </c>
      <c r="M34" s="81">
        <v>0</v>
      </c>
      <c r="N34" s="81">
        <v>0</v>
      </c>
      <c r="O34" s="81">
        <v>0</v>
      </c>
      <c r="P34" s="71">
        <v>0</v>
      </c>
      <c r="Q34" s="81">
        <v>0</v>
      </c>
      <c r="R34" s="72">
        <v>1</v>
      </c>
      <c r="S34"/>
      <c r="T34"/>
    </row>
    <row r="35" spans="1:20" ht="15" customHeight="1" x14ac:dyDescent="0.15">
      <c r="A35" s="126"/>
      <c r="B35" s="93"/>
      <c r="C35" s="93"/>
      <c r="D35" s="93"/>
      <c r="E35" s="124"/>
      <c r="F35" s="191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1</v>
      </c>
      <c r="M35" s="81">
        <v>0</v>
      </c>
      <c r="N35" s="81">
        <v>0</v>
      </c>
      <c r="O35" s="81">
        <v>0</v>
      </c>
      <c r="P35" s="71">
        <v>0</v>
      </c>
      <c r="Q35" s="81">
        <v>0</v>
      </c>
      <c r="R35" s="72">
        <v>1</v>
      </c>
      <c r="S35"/>
      <c r="T35"/>
    </row>
    <row r="36" spans="1:20" ht="15" customHeight="1" x14ac:dyDescent="0.15">
      <c r="A36" s="127"/>
      <c r="B36" s="93"/>
      <c r="C36" s="93"/>
      <c r="D36" s="93"/>
      <c r="E36" s="124"/>
      <c r="F36" s="191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1</v>
      </c>
      <c r="M36" s="81">
        <v>0</v>
      </c>
      <c r="N36" s="81">
        <v>0</v>
      </c>
      <c r="O36" s="81">
        <v>0</v>
      </c>
      <c r="P36" s="71">
        <v>0</v>
      </c>
      <c r="Q36" s="81">
        <v>0</v>
      </c>
      <c r="R36" s="72">
        <v>1</v>
      </c>
      <c r="S36"/>
      <c r="T36"/>
    </row>
    <row r="37" spans="1:20" ht="15" customHeight="1" x14ac:dyDescent="0.15">
      <c r="A37" s="127"/>
      <c r="B37" s="93"/>
      <c r="C37" s="93"/>
      <c r="D37" s="93"/>
      <c r="E37" s="124"/>
      <c r="F37" s="191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1</v>
      </c>
      <c r="M37" s="81">
        <v>0</v>
      </c>
      <c r="N37" s="81">
        <v>0</v>
      </c>
      <c r="O37" s="81">
        <v>0</v>
      </c>
      <c r="P37" s="71">
        <v>0</v>
      </c>
      <c r="Q37" s="81">
        <v>0</v>
      </c>
      <c r="R37" s="72">
        <v>1</v>
      </c>
      <c r="S37"/>
      <c r="T37"/>
    </row>
    <row r="38" spans="1:20" ht="15" customHeight="1" x14ac:dyDescent="0.15">
      <c r="A38" s="128"/>
      <c r="B38" s="93"/>
      <c r="C38" s="93"/>
      <c r="D38" s="93"/>
      <c r="E38" s="124"/>
      <c r="F38" s="191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1</v>
      </c>
      <c r="M38" s="81">
        <v>0</v>
      </c>
      <c r="N38" s="81">
        <v>0</v>
      </c>
      <c r="O38" s="81">
        <v>0</v>
      </c>
      <c r="P38" s="71">
        <v>0</v>
      </c>
      <c r="Q38" s="81">
        <v>0</v>
      </c>
      <c r="R38" s="72">
        <v>1</v>
      </c>
      <c r="S38"/>
      <c r="T38"/>
    </row>
    <row r="39" spans="1:20" ht="15" customHeight="1" x14ac:dyDescent="0.15">
      <c r="A39" s="128"/>
      <c r="B39" s="93"/>
      <c r="C39" s="93"/>
      <c r="D39" s="93"/>
      <c r="E39" s="124"/>
      <c r="F39" s="191" t="s">
        <v>225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1</v>
      </c>
      <c r="M39" s="81">
        <v>0</v>
      </c>
      <c r="N39" s="81">
        <v>0</v>
      </c>
      <c r="O39" s="81">
        <v>0</v>
      </c>
      <c r="P39" s="71">
        <v>0</v>
      </c>
      <c r="Q39" s="81">
        <v>0</v>
      </c>
      <c r="R39" s="72">
        <v>1</v>
      </c>
      <c r="S39"/>
      <c r="T39"/>
    </row>
    <row r="40" spans="1:20" ht="15" customHeight="1" x14ac:dyDescent="0.15">
      <c r="A40" s="128"/>
      <c r="B40" s="93"/>
      <c r="C40" s="93"/>
      <c r="D40" s="93"/>
      <c r="E40" s="124"/>
      <c r="F40" s="191" t="s">
        <v>226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1</v>
      </c>
      <c r="M40" s="81">
        <v>0</v>
      </c>
      <c r="N40" s="81">
        <v>0</v>
      </c>
      <c r="O40" s="81">
        <v>0</v>
      </c>
      <c r="P40" s="71">
        <v>0</v>
      </c>
      <c r="Q40" s="81">
        <v>0</v>
      </c>
      <c r="R40" s="72">
        <v>1</v>
      </c>
      <c r="S40"/>
      <c r="T40"/>
    </row>
    <row r="41" spans="1:20" ht="15" customHeight="1" thickBot="1" x14ac:dyDescent="0.2">
      <c r="A41" s="128"/>
      <c r="B41" s="93"/>
      <c r="C41" s="93"/>
      <c r="D41" s="94"/>
      <c r="E41" s="12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0"/>
      <c r="B42" s="131"/>
      <c r="C42" s="131" t="s">
        <v>162</v>
      </c>
      <c r="D42" s="131">
        <f>SUM(D32:D41)</f>
        <v>7270.8047999999999</v>
      </c>
      <c r="E42" s="13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Q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7" customWidth="1"/>
    <col min="3" max="5" width="7.83203125" style="107" customWidth="1"/>
    <col min="6" max="8" width="8.83203125" style="6"/>
    <col min="9" max="9" width="13.1640625" style="6" customWidth="1"/>
    <col min="10" max="10" width="14.83203125" style="6" customWidth="1"/>
    <col min="11" max="11" width="15.83203125" style="6" customWidth="1"/>
    <col min="12" max="12" width="15.5" style="6" customWidth="1"/>
    <col min="13" max="13" width="14.6640625" style="6" customWidth="1"/>
    <col min="14" max="14" width="11.83203125" style="6" customWidth="1"/>
    <col min="15" max="15" width="13" style="6" customWidth="1"/>
    <col min="16" max="16" width="7.5" style="6" customWidth="1"/>
    <col min="17" max="17" width="8.33203125" style="6" customWidth="1"/>
    <col min="18" max="18" width="12.5" style="6" customWidth="1"/>
    <col min="19" max="19" width="12.6640625" style="6" customWidth="1"/>
    <col min="20" max="20" width="11.6640625" style="6" customWidth="1"/>
    <col min="21" max="21" width="13.83203125" style="6" customWidth="1"/>
    <col min="22" max="22" width="12.83203125" style="6" customWidth="1"/>
    <col min="23" max="23" width="14.83203125" style="6" customWidth="1"/>
    <col min="24" max="24" width="13.33203125" style="6" customWidth="1"/>
    <col min="25" max="25" width="15.33203125" style="6" customWidth="1"/>
    <col min="26" max="26" width="15.1640625" style="6" customWidth="1"/>
    <col min="27" max="27" width="14.6640625" style="6" customWidth="1"/>
    <col min="28" max="28" width="14" style="6" customWidth="1"/>
    <col min="29" max="29" width="13.83203125" style="6" customWidth="1"/>
    <col min="30" max="30" width="15.1640625" style="6" customWidth="1"/>
    <col min="31" max="31" width="8.5" style="6" customWidth="1"/>
    <col min="32" max="32" width="6" style="6" customWidth="1"/>
    <col min="33" max="33" width="10.1640625" style="6" customWidth="1"/>
    <col min="34" max="34" width="7.6640625" style="6" customWidth="1"/>
    <col min="35" max="35" width="21.6640625" style="6" customWidth="1"/>
    <col min="36" max="36" width="7.5" style="6" customWidth="1"/>
    <col min="37" max="37" width="8.6640625" style="6" customWidth="1"/>
    <col min="38" max="38" width="9.1640625" style="6" customWidth="1"/>
    <col min="39" max="39" width="5.33203125" customWidth="1"/>
    <col min="40" max="41" width="7.5" customWidth="1"/>
    <col min="42" max="42" width="6" customWidth="1"/>
    <col min="43" max="43" width="5.83203125" customWidth="1"/>
    <col min="81" max="81" width="22.1640625" bestFit="1" customWidth="1"/>
  </cols>
  <sheetData>
    <row r="1" spans="1:43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96" t="s">
        <v>193</v>
      </c>
      <c r="J1" s="196" t="s">
        <v>194</v>
      </c>
      <c r="K1" s="196" t="s">
        <v>195</v>
      </c>
      <c r="L1" s="196" t="s">
        <v>196</v>
      </c>
      <c r="M1" s="196" t="s">
        <v>197</v>
      </c>
      <c r="N1" s="196" t="s">
        <v>198</v>
      </c>
      <c r="O1" s="196" t="s">
        <v>199</v>
      </c>
      <c r="P1" s="196" t="s">
        <v>200</v>
      </c>
      <c r="Q1" s="196" t="s">
        <v>201</v>
      </c>
      <c r="R1" s="196" t="s">
        <v>202</v>
      </c>
      <c r="S1" s="196" t="s">
        <v>203</v>
      </c>
      <c r="T1" s="196" t="s">
        <v>166</v>
      </c>
      <c r="U1" s="196" t="s">
        <v>204</v>
      </c>
      <c r="V1" s="196" t="s">
        <v>205</v>
      </c>
      <c r="W1" s="196" t="s">
        <v>206</v>
      </c>
      <c r="X1" s="196" t="s">
        <v>207</v>
      </c>
      <c r="Y1" s="196" t="s">
        <v>208</v>
      </c>
      <c r="Z1" s="196" t="s">
        <v>209</v>
      </c>
      <c r="AA1" s="196" t="s">
        <v>210</v>
      </c>
      <c r="AB1" s="196" t="s">
        <v>211</v>
      </c>
      <c r="AC1" s="196" t="s">
        <v>212</v>
      </c>
      <c r="AD1" s="196" t="s">
        <v>213</v>
      </c>
      <c r="AE1" s="196" t="s">
        <v>214</v>
      </c>
      <c r="AF1" s="196" t="s">
        <v>215</v>
      </c>
      <c r="AG1" s="196" t="s">
        <v>216</v>
      </c>
      <c r="AH1" s="196" t="s">
        <v>217</v>
      </c>
      <c r="AI1" s="196" t="s">
        <v>218</v>
      </c>
      <c r="AJ1" s="196" t="s">
        <v>219</v>
      </c>
      <c r="AK1" s="196" t="s">
        <v>220</v>
      </c>
      <c r="AL1" s="196" t="s">
        <v>221</v>
      </c>
      <c r="AM1" s="196" t="s">
        <v>222</v>
      </c>
      <c r="AN1" s="196" t="s">
        <v>223</v>
      </c>
      <c r="AO1" s="196" t="s">
        <v>224</v>
      </c>
      <c r="AP1" s="196" t="s">
        <v>225</v>
      </c>
      <c r="AQ1" s="196" t="s">
        <v>226</v>
      </c>
    </row>
    <row r="2" spans="1:43" x14ac:dyDescent="0.15">
      <c r="A2" t="s">
        <v>38</v>
      </c>
      <c r="B2" s="10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3" x14ac:dyDescent="0.15">
      <c r="A3" t="s">
        <v>40</v>
      </c>
      <c r="B3" s="10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3" x14ac:dyDescent="0.15">
      <c r="A4" t="s">
        <v>41</v>
      </c>
      <c r="B4" s="10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3" x14ac:dyDescent="0.15">
      <c r="A5" s="195" t="s">
        <v>193</v>
      </c>
      <c r="B5" s="10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3" x14ac:dyDescent="0.15">
      <c r="A6" s="195" t="s">
        <v>194</v>
      </c>
      <c r="B6" s="10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3" x14ac:dyDescent="0.15">
      <c r="A7" s="195" t="s">
        <v>195</v>
      </c>
      <c r="B7" s="10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3" x14ac:dyDescent="0.15">
      <c r="A8" s="195" t="s">
        <v>196</v>
      </c>
      <c r="B8" s="10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3" x14ac:dyDescent="0.15">
      <c r="A9" s="195" t="s">
        <v>197</v>
      </c>
      <c r="B9" s="10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3" x14ac:dyDescent="0.15">
      <c r="A10" s="195" t="s">
        <v>198</v>
      </c>
      <c r="B10" s="10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3" x14ac:dyDescent="0.15">
      <c r="A11" s="195" t="s">
        <v>199</v>
      </c>
      <c r="B11" s="10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3" x14ac:dyDescent="0.15">
      <c r="A12" s="195" t="s">
        <v>200</v>
      </c>
      <c r="B12" s="10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3" x14ac:dyDescent="0.15">
      <c r="A13" s="195" t="s">
        <v>201</v>
      </c>
      <c r="B13" s="10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3" x14ac:dyDescent="0.15">
      <c r="A14" s="195" t="s">
        <v>202</v>
      </c>
      <c r="B14" s="10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3" x14ac:dyDescent="0.15">
      <c r="A15" s="195" t="s">
        <v>203</v>
      </c>
      <c r="B15" s="10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3" x14ac:dyDescent="0.15">
      <c r="A16" s="195" t="s">
        <v>166</v>
      </c>
      <c r="B16" s="10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5" t="s">
        <v>204</v>
      </c>
      <c r="B17" s="10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5" t="s">
        <v>205</v>
      </c>
      <c r="B18" s="10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5" t="s">
        <v>206</v>
      </c>
      <c r="B19" s="10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5" t="s">
        <v>207</v>
      </c>
      <c r="B20" s="10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5" t="s">
        <v>208</v>
      </c>
      <c r="B21" s="10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5" t="s">
        <v>209</v>
      </c>
      <c r="B22" s="10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5" t="s">
        <v>210</v>
      </c>
      <c r="B23" s="10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5" t="s">
        <v>211</v>
      </c>
      <c r="B24" s="10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5" t="s">
        <v>212</v>
      </c>
      <c r="B25" s="10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5" t="s">
        <v>213</v>
      </c>
      <c r="B26" s="10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5" t="s">
        <v>214</v>
      </c>
      <c r="B27" s="10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5" t="s">
        <v>215</v>
      </c>
      <c r="B28" s="10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5" t="s">
        <v>216</v>
      </c>
      <c r="B29" s="10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5" t="s">
        <v>217</v>
      </c>
      <c r="B30" s="10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5" t="s">
        <v>218</v>
      </c>
      <c r="B31" s="10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5" t="s">
        <v>219</v>
      </c>
      <c r="B32" s="10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5" t="s">
        <v>220</v>
      </c>
      <c r="B33" s="10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5" t="s">
        <v>221</v>
      </c>
      <c r="B34" s="10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5" t="s">
        <v>222</v>
      </c>
      <c r="B35" s="10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5" t="s">
        <v>223</v>
      </c>
      <c r="B36" s="107">
        <v>0</v>
      </c>
      <c r="C36"/>
      <c r="D36"/>
    </row>
    <row r="37" spans="1:38" ht="15" customHeight="1" x14ac:dyDescent="0.15">
      <c r="A37" s="195" t="s">
        <v>224</v>
      </c>
      <c r="B37" s="107">
        <v>0</v>
      </c>
      <c r="C37"/>
      <c r="D37"/>
    </row>
    <row r="38" spans="1:38" ht="15" customHeight="1" x14ac:dyDescent="0.15">
      <c r="A38" s="195" t="s">
        <v>225</v>
      </c>
      <c r="B38" s="10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5" t="s">
        <v>226</v>
      </c>
      <c r="B39" s="107">
        <v>0</v>
      </c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2022-10-24T04:37:23Z</dcterms:modified>
</cp:coreProperties>
</file>