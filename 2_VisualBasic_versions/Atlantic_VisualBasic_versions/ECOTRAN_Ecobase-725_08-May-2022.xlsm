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0CF6C0E5-7CC6-474F-A954-DAE02DF70911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Main!$C$2:$N$39</definedName>
    <definedName name="matDetritus">Detritus!$C$2:$E$39</definedName>
    <definedName name="matDiet">Diets!$B$2:$AI$38</definedName>
    <definedName name="matDiscards">Discards!$C$2:$D$37</definedName>
    <definedName name="matFishery">Fishing!$C$2:$D$37</definedName>
    <definedName name="matFishing">Fishing!#REF!</definedName>
    <definedName name="matMort">Mortalities!$A$1:$AO$37</definedName>
    <definedName name="matOut">MainOutputs!$A$2:$I$39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<sst xmlns="http://schemas.openxmlformats.org/spreadsheetml/2006/main" count="1071" uniqueCount="236">
  <si>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</si>
  <si>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</si>
  <si>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</si>
  <si>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</si>
  <si>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</si>
  <si>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</si>
  <si>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</si>
  <si>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</si>
  <si>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</si>
  <si>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</si>
  <si>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</si>
  <si>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</si>
  <si>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</si>
  <si>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</si>
  <si>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</si>
  <si>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</si>
  <si>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</si>
  <si>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</si>
  <si>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</si>
  <si>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</si>
  <si>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</si>
  <si>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</si>
  <si>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</si>
  <si>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</si>
  <si>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</si>
  <si>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</si>
  <si>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</si>
  <si>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</si>
  <si>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</si>
  <si>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</si>
  <si>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</si>
  <si>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</si>
  <si>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</si>
  <si>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</si>
  <si>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</si>
  <si>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</si>
  <si>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</si>
  <si>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</si>
  <si>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</si>
  <si>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</si>
  <si>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</si>
  <si>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</si>
  <si>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</si>
  <si>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</si>
  <si>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</si>
  <si>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</si>
  <si>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</si>
  <si>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</si>
  <si>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</si>
  <si>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</si>
  <si>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</si>
  <si>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</si>
  <si>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</si>
  <si>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</si>
  <si>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</si>
  <si>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</si>
  <si>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</si>
  <si>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</si>
  <si>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</si>
  <si>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</si>
  <si>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</si>
  <si>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</si>
  <si>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</si>
  <si>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</si>
  <si>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</si>
  <si>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</si>
  <si>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</si>
  <si>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</si>
  <si>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</si>
  <si>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</si>
  <si>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</si>
  <si>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</si>
  <si>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</si>
  <si>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</si>
  <si>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</si>
  <si>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</si>
  <si>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</si>
  <si>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</si>
  <si>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</si>
  <si>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</si>
  <si>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</si>
  <si>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</si>
  <si>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</si>
  <si>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</si>
  <si>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</si>
  <si>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</si>
  <si>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</si>
  <si>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</si>
  <si>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</si>
  <si>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</si>
  <si>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</si>
  <si>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</si>
  <si>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</si>
  <si>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</si>
  <si>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</si>
  <si>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</si>
  <si>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</si>
  <si>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</si>
  <si>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</si>
  <si>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</si>
  <si>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</si>
  <si>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</si>
  <si>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</si>
  <si>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</si>
  <si>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</si>
  <si>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</si>
  <si>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</si>
  <si>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</si>
  <si>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</si>
  <si>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</si>
  <si>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</si>
  <si>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</si>
  <si>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</si>
  <si>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</si>
  <si>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</si>
  <si>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</si>
  <si>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</si>
  <si>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</si>
  <si>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</si>
  <si>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</si>
  <si>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</si>
  <si>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</si>
  <si>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</si>
  <si>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</si>
  <si>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</si>
  <si>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</si>
  <si>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</si>
  <si>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</si>
  <si>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</si>
  <si>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</si>
  <si>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</si>
  <si>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</si>
  <si>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</si>
  <si>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</si>
  <si>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</si>
  <si>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</si>
  <si>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</si>
  <si>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</si>
  <si>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</si>
  <si>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</si>
  <si>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</si>
  <si>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</si>
  <si>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</si>
  <si>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</si>
  <si>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</si>
  <si>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</si>
  <si>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</si>
  <si>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</si>
  <si>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</si>
  <si>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</si>
  <si>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</si>
  <si>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</si>
  <si>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</si>
  <si>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</si>
  <si>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</si>
  <si>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</si>
  <si>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</si>
  <si>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</si>
  <si>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</si>
  <si>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</si>
  <si>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</si>
  <si>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</si>
  <si>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</si>
  <si>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</si>
  <si>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</si>
  <si>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</si>
  <si>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</si>
  <si>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</si>
  <si>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</si>
  <si>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</si>
  <si>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</si>
  <si>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</si>
  <si>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</si>
  <si>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</si>
  <si>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</si>
  <si>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</si>
  <si>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</si>
  <si>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</si>
  <si>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</si>
  <si>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</si>
  <si>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</si>
  <si>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</si>
  <si>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</si>
  <si>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</si>
  <si>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</si>
  <si>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 xml:space="preserve">Guinea </t>
  </si>
  <si>
    <t>Guinea</t>
  </si>
  <si>
    <t>BOX(-18.0855361298472 9.03370224084284,-12.9001713376524 11.3293069617789)</t>
  </si>
  <si>
    <t>continental shelf</t>
  </si>
  <si>
    <t>WetWeight</t>
  </si>
  <si>
    <t>; 27/05/2009 13:09:52</t>
  </si>
  <si>
    <t>Gascuel D.,Guénette S.,Diallo I.,Sidibé A.(2009). Impact de la pêche sur l'écosystème marin de Guinée - Modélisation EwE 1985/2005 - Fisheries Centre Research Reports</t>
  </si>
  <si>
    <t>Whales</t>
  </si>
  <si>
    <t>Dolphins</t>
  </si>
  <si>
    <t>Turtles</t>
  </si>
  <si>
    <t>Sea birds</t>
  </si>
  <si>
    <t>Rays+</t>
  </si>
  <si>
    <t>Sharks+</t>
  </si>
  <si>
    <t>Large pelagics</t>
  </si>
  <si>
    <t>Barracudas+</t>
  </si>
  <si>
    <t>Carangids</t>
  </si>
  <si>
    <t>Horse mackerels+</t>
  </si>
  <si>
    <t>Ethmalosa</t>
  </si>
  <si>
    <t>Sardinella+</t>
  </si>
  <si>
    <t>Bobo croaker</t>
  </si>
  <si>
    <t>Other croakers</t>
  </si>
  <si>
    <t>Lesser Afr. threadfin</t>
  </si>
  <si>
    <t>Giant Afr. threadfin</t>
  </si>
  <si>
    <t>Royal threadfin</t>
  </si>
  <si>
    <t>Seabream+</t>
  </si>
  <si>
    <t>Sea catfish</t>
  </si>
  <si>
    <t>Mullets+</t>
  </si>
  <si>
    <t>Grunts+</t>
  </si>
  <si>
    <t>Soles+</t>
  </si>
  <si>
    <t>L. demersal pred.eaters</t>
  </si>
  <si>
    <t>SM demersal pred.eaters</t>
  </si>
  <si>
    <t>ML demersal invert.eaters</t>
  </si>
  <si>
    <t>S. demersal invert.eaters</t>
  </si>
  <si>
    <t>Bathy-dem pred.eaters</t>
  </si>
  <si>
    <t>Bathy-dem invert.eaters</t>
  </si>
  <si>
    <t>Crustacea</t>
  </si>
  <si>
    <t>Cephalopods</t>
  </si>
  <si>
    <t>Benthos</t>
  </si>
  <si>
    <t>Large zooplankton</t>
  </si>
  <si>
    <t>Small zooplankton</t>
  </si>
  <si>
    <t>Primary producers</t>
  </si>
  <si>
    <t>Detritus</t>
  </si>
  <si>
    <t>detritus_TerminalBenthic</t>
  </si>
  <si>
    <t>Small scale fisherie</t>
  </si>
  <si>
    <t>Industrial fisherie</t>
  </si>
  <si>
    <t>Import</t>
  </si>
  <si>
    <t>export</t>
  </si>
  <si>
    <t>sum</t>
  </si>
  <si>
    <t>TOTAL</t>
  </si>
  <si>
    <t>F Small scale fisherie</t>
  </si>
  <si>
    <t>F Industrial fisherie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</si>
</sst>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C6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0" fillId="41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5" borderId="0" xfId="0" applyFill="1"/>
    <xf numFmtId="0" fontId="0" fillId="4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2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43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7" t="s">
        <v>171</v>
      </c>
      <c r="C53" s="109">
        <v>725</v>
      </c>
      <c r="D53" s="109"/>
    </row>
    <row r="54" spans="2:4" x14ac:dyDescent="0.15">
      <c r="B54" s="177" t="s">
        <v>172</v>
      </c>
      <c r="C54" s="177" t="s">
        <v>185</v>
      </c>
      <c r="D54" s="109"/>
    </row>
    <row r="55" spans="2:4" x14ac:dyDescent="0.15">
      <c r="B55" s="177" t="s">
        <v>173</v>
      </c>
      <c r="C55" s="177" t="s">
        <v>186</v>
      </c>
      <c r="D55" s="109"/>
    </row>
    <row r="56" spans="2:4" x14ac:dyDescent="0.15">
      <c r="B56" s="177" t="s">
        <v>174</v>
      </c>
      <c r="C56" s="109">
        <v>42969</v>
      </c>
      <c r="D56" s="109"/>
    </row>
    <row r="57" spans="2:4" x14ac:dyDescent="0.15">
      <c r="B57" s="177" t="s">
        <v>175</v>
      </c>
      <c r="C57" s="177" t="s">
        <v>187</v>
      </c>
      <c r="D57" s="109"/>
    </row>
    <row r="58" spans="2:4" x14ac:dyDescent="0.15">
      <c r="B58" s="177" t="s">
        <v>176</v>
      </c>
      <c r="C58" s="177" t="s">
        <v>188</v>
      </c>
      <c r="D58" s="109"/>
    </row>
    <row r="59" spans="2:4" x14ac:dyDescent="0.15">
      <c r="B59" s="177" t="s">
        <v>177</v>
      </c>
      <c r="C59" s="177" t="s">
        <v>189</v>
      </c>
      <c r="D59" s="109"/>
    </row>
    <row r="60" spans="2:4" x14ac:dyDescent="0.15">
      <c r="B60" s="177" t="s">
        <v>178</v>
      </c>
      <c r="C60" s="177" t="s">
        <v>190</v>
      </c>
      <c r="D60" s="109"/>
    </row>
    <row r="61" spans="2:4" x14ac:dyDescent="0.15">
      <c r="B61" s="177" t="s">
        <v>179</v>
      </c>
      <c r="C61" s="109">
        <v>35</v>
      </c>
      <c r="D61" s="109"/>
    </row>
    <row r="62" spans="2:4" x14ac:dyDescent="0.15">
      <c r="B62" s="177" t="s">
        <v>180</v>
      </c>
      <c r="C62" s="109">
        <v>2</v>
      </c>
      <c r="D62" s="109"/>
    </row>
    <row r="63" spans="2:4" x14ac:dyDescent="0.15">
      <c r="B63" s="177" t="s">
        <v>181</v>
      </c>
      <c r="C63" s="109">
        <v>2004</v>
      </c>
      <c r="D63" s="109"/>
    </row>
    <row r="64" spans="2:4" x14ac:dyDescent="0.15">
      <c r="B64" s="177" t="s">
        <v>182</v>
      </c>
      <c r="C64" s="109">
        <v>0</v>
      </c>
      <c r="D64" s="109"/>
    </row>
    <row r="65" spans="2:4" x14ac:dyDescent="0.15">
      <c r="B65" s="177" t="s">
        <v>183</v>
      </c>
      <c r="C65" s="177" t="s">
        <v>191</v>
      </c>
      <c r="D65" s="109"/>
    </row>
    <row r="66" spans="2:4" x14ac:dyDescent="0.15">
      <c r="B66" s="177" t="s">
        <v>184</v>
      </c>
      <c r="D66" s="109"/>
    </row>
    <row r="67" spans="2:4" x14ac:dyDescent="0.15">
      <c r="B67" s="109"/>
      <c r="C67" s="109"/>
      <c r="D67" s="109"/>
    </row>
    <row r="68" spans="2:4" x14ac:dyDescent="0.15">
      <c r="B68" s="109"/>
      <c r="C68" s="109"/>
      <c r="D68" s="10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2" customWidth="1"/>
    <col min="2" max="3" width="3.33203125" style="82" customWidth="1"/>
    <col min="4" max="4" width="14.33203125" style="82" customWidth="1"/>
    <col min="5" max="5" width="22.5" style="82" bestFit="1" customWidth="1"/>
    <col min="6" max="6" width="2.33203125" style="82" bestFit="1" customWidth="1"/>
    <col min="7" max="7" width="12.83203125" style="82" bestFit="1" customWidth="1"/>
    <col min="8" max="8" width="5.83203125" style="82" customWidth="1"/>
    <col min="9" max="9" width="10.83203125" style="82" customWidth="1"/>
    <col min="10" max="11" width="11.83203125" style="82" customWidth="1"/>
    <col min="12" max="12" width="2.33203125" style="82" customWidth="1"/>
    <col min="13" max="13" width="3.83203125" style="82" customWidth="1"/>
    <col min="14" max="14" width="2.33203125" style="82" customWidth="1"/>
    <col min="16" max="25" width="8.83203125" style="8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2"/>
  </cols>
  <sheetData>
    <row r="1" spans="1:46" s="99" customFormat="1" ht="15" customHeight="1" x14ac:dyDescent="0.15">
      <c r="A1" s="78" t="s">
        <v>18</v>
      </c>
      <c r="C1" s="79" t="s">
        <v>8</v>
      </c>
      <c r="D1" s="78" t="s">
        <v>23</v>
      </c>
      <c r="E1" s="78" t="s">
        <v>0</v>
      </c>
      <c r="F1" s="78" t="s">
        <v>7</v>
      </c>
      <c r="G1" s="80" t="s">
        <v>13</v>
      </c>
      <c r="H1" s="78" t="s">
        <v>1</v>
      </c>
      <c r="I1" s="78" t="s">
        <v>2</v>
      </c>
      <c r="J1" s="78" t="s">
        <v>14</v>
      </c>
      <c r="K1" s="78" t="s">
        <v>3</v>
      </c>
      <c r="L1" s="78" t="s">
        <v>4</v>
      </c>
      <c r="M1" s="78" t="s">
        <v>5</v>
      </c>
      <c r="N1" s="7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9">
        <v>1</v>
      </c>
      <c r="D2"/>
      <c r="E2" s="178" t="s">
        <v>192</v>
      </c>
      <c r="F2" s="82">
        <v>0</v>
      </c>
      <c r="G2" s="82">
        <v>3.09E-2</v>
      </c>
      <c r="H2" s="82">
        <v>0.02</v>
      </c>
      <c r="I2" s="6">
        <v>4.6500000000000004</v>
      </c>
      <c r="J2" s="6">
        <v>0</v>
      </c>
      <c r="K2" s="6">
        <v>4.3010749999999997E-3</v>
      </c>
      <c r="L2" s="6">
        <v>0</v>
      </c>
      <c r="M2" s="82">
        <v>0.2</v>
      </c>
      <c r="N2" s="82">
        <v>0</v>
      </c>
    </row>
    <row r="3" spans="1:46" ht="15" customHeight="1" x14ac:dyDescent="0.15">
      <c r="A3" s="1" t="s">
        <v>9</v>
      </c>
      <c r="B3" s="4">
        <v>34</v>
      </c>
      <c r="C3" s="82">
        <v>2</v>
      </c>
      <c r="D3"/>
      <c r="E3" s="178" t="s">
        <v>193</v>
      </c>
      <c r="F3" s="82">
        <v>0</v>
      </c>
      <c r="G3" s="82">
        <v>4.3339280000000001E-2</v>
      </c>
      <c r="H3" s="82">
        <v>7.0000000000000007E-2</v>
      </c>
      <c r="I3" s="82">
        <v>12.12</v>
      </c>
      <c r="J3" s="82">
        <v>0.15</v>
      </c>
      <c r="K3" s="82">
        <v>5.775578E-3</v>
      </c>
      <c r="L3" s="82">
        <v>0</v>
      </c>
      <c r="M3" s="82">
        <v>0.2</v>
      </c>
      <c r="N3" s="82">
        <v>0</v>
      </c>
    </row>
    <row r="4" spans="1:46" ht="15" customHeight="1" x14ac:dyDescent="0.15">
      <c r="A4" s="1" t="s">
        <v>10</v>
      </c>
      <c r="B4" s="4">
        <v>2</v>
      </c>
      <c r="C4" s="82">
        <v>3</v>
      </c>
      <c r="D4"/>
      <c r="E4" s="178" t="s">
        <v>194</v>
      </c>
      <c r="F4" s="82">
        <v>0</v>
      </c>
      <c r="G4" s="82">
        <v>2.9570430000000002E-2</v>
      </c>
      <c r="H4" s="82">
        <v>0.15</v>
      </c>
      <c r="I4" s="82">
        <v>3.5</v>
      </c>
      <c r="J4" s="82">
        <v>0.2</v>
      </c>
      <c r="K4" s="82">
        <v>4.2857144E-2</v>
      </c>
      <c r="L4" s="82">
        <v>0</v>
      </c>
      <c r="M4" s="82">
        <v>0.2</v>
      </c>
      <c r="N4" s="82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82">
        <v>4</v>
      </c>
      <c r="D5"/>
      <c r="E5" s="178" t="s">
        <v>195</v>
      </c>
      <c r="F5" s="82">
        <v>0</v>
      </c>
      <c r="G5" s="82">
        <v>1.2800000000000001E-3</v>
      </c>
      <c r="H5" s="82">
        <v>0.3</v>
      </c>
      <c r="I5" s="82">
        <v>85.66</v>
      </c>
      <c r="J5" s="82">
        <v>0</v>
      </c>
      <c r="K5" s="82">
        <v>3.5022180000000001E-3</v>
      </c>
      <c r="L5" s="82">
        <v>0</v>
      </c>
      <c r="M5" s="82">
        <v>0.2</v>
      </c>
      <c r="N5" s="82">
        <v>0</v>
      </c>
      <c r="P5" s="72"/>
      <c r="Q5" s="72"/>
      <c r="R5" s="72"/>
    </row>
    <row r="6" spans="1:46" ht="15" customHeight="1" thickBot="1" x14ac:dyDescent="0.2">
      <c r="B6" s="1"/>
      <c r="C6" s="82">
        <v>5</v>
      </c>
      <c r="D6"/>
      <c r="E6" s="178" t="s">
        <v>196</v>
      </c>
      <c r="F6" s="82">
        <v>0</v>
      </c>
      <c r="G6" s="82">
        <v>0.38600000000000001</v>
      </c>
      <c r="H6" s="82">
        <v>0.36299999999999999</v>
      </c>
      <c r="I6" s="82">
        <v>3.63</v>
      </c>
      <c r="J6" s="82">
        <v>0.38147900000000001</v>
      </c>
      <c r="K6" s="82">
        <v>0.1</v>
      </c>
      <c r="L6" s="82">
        <v>0</v>
      </c>
      <c r="M6" s="82">
        <v>0.2</v>
      </c>
      <c r="N6" s="82">
        <v>0</v>
      </c>
      <c r="P6" s="72"/>
      <c r="Q6" s="72"/>
      <c r="R6" s="72"/>
      <c r="W6" s="36" t="s">
        <v>31</v>
      </c>
      <c r="X6" s="52">
        <f>MAX(MainOutputs!G:G)</f>
        <v>0.99444925785064697</v>
      </c>
    </row>
    <row r="7" spans="1:46" ht="15" customHeight="1" x14ac:dyDescent="0.15">
      <c r="A7" s="2" t="s">
        <v>27</v>
      </c>
      <c r="B7" s="82">
        <f ca="1">COUNTIF(OFFSET(cornerDiets,1,1,NumLiving+NumDead+1,NumLiving+NumDead),"&gt;0")+NumLiving+NumDead+1</f>
        <v>447</v>
      </c>
      <c r="C7" s="82">
        <v>6</v>
      </c>
      <c r="D7"/>
      <c r="E7" s="178" t="s">
        <v>197</v>
      </c>
      <c r="F7" s="82">
        <v>0</v>
      </c>
      <c r="G7" s="82">
        <v>0.104637064</v>
      </c>
      <c r="H7" s="82">
        <v>0.41</v>
      </c>
      <c r="I7" s="82">
        <v>4.0999999999999996</v>
      </c>
      <c r="J7" s="82">
        <v>0.4</v>
      </c>
      <c r="K7" s="82">
        <v>0.1</v>
      </c>
      <c r="L7" s="82">
        <v>0</v>
      </c>
      <c r="M7" s="82">
        <v>0.2</v>
      </c>
      <c r="N7" s="82">
        <v>0</v>
      </c>
      <c r="P7" s="72"/>
      <c r="Q7" s="72"/>
      <c r="R7" s="72"/>
    </row>
    <row r="8" spans="1:46" ht="15" customHeight="1" x14ac:dyDescent="0.15">
      <c r="A8" s="2" t="s">
        <v>28</v>
      </c>
      <c r="B8" s="82">
        <f ca="1">COUNTIF(OFFSET(cornerFishing,1,2,NumLiving+NumDead,NumGears),"&gt;0")+NumDead*COUNTIF(OFFSET(cornerDiscards,1,2,NumLiving+NumDead,NumGears),"&gt;0")+NumLiving+NumDead+1</f>
        <v>85</v>
      </c>
      <c r="C8" s="82">
        <v>7</v>
      </c>
      <c r="D8"/>
      <c r="E8" s="178" t="s">
        <v>198</v>
      </c>
      <c r="F8" s="82">
        <v>0</v>
      </c>
      <c r="G8" s="82">
        <v>0.38446784000000001</v>
      </c>
      <c r="H8" s="82">
        <v>0.85</v>
      </c>
      <c r="I8" s="82">
        <v>6.6</v>
      </c>
      <c r="J8" s="82">
        <v>0.9</v>
      </c>
      <c r="K8" s="82">
        <v>0.12878788999999999</v>
      </c>
      <c r="L8" s="82">
        <v>0</v>
      </c>
      <c r="M8" s="82">
        <v>0.2</v>
      </c>
      <c r="N8" s="82">
        <v>0</v>
      </c>
      <c r="P8" s="72"/>
      <c r="Q8" s="72"/>
      <c r="R8" s="72"/>
    </row>
    <row r="9" spans="1:46" ht="15" customHeight="1" x14ac:dyDescent="0.15">
      <c r="B9" s="1"/>
      <c r="C9" s="82">
        <v>8</v>
      </c>
      <c r="D9"/>
      <c r="E9" s="178" t="s">
        <v>199</v>
      </c>
      <c r="F9" s="82">
        <v>0</v>
      </c>
      <c r="G9" s="82">
        <v>5.8254953499999998E-2</v>
      </c>
      <c r="H9" s="82">
        <v>0.92</v>
      </c>
      <c r="I9" s="82">
        <v>9.1999999999999993</v>
      </c>
      <c r="J9" s="82">
        <v>0.9</v>
      </c>
      <c r="K9" s="82">
        <v>0.1</v>
      </c>
      <c r="L9" s="82">
        <v>0</v>
      </c>
      <c r="M9" s="82">
        <v>0.2</v>
      </c>
      <c r="N9" s="82">
        <v>0</v>
      </c>
      <c r="P9" s="72"/>
      <c r="Q9" s="72"/>
      <c r="R9" s="72"/>
    </row>
    <row r="10" spans="1:46" ht="15" customHeight="1" x14ac:dyDescent="0.15">
      <c r="B10" s="1"/>
      <c r="C10" s="82">
        <v>9</v>
      </c>
      <c r="D10"/>
      <c r="E10" s="178" t="s">
        <v>200</v>
      </c>
      <c r="F10" s="82">
        <v>0</v>
      </c>
      <c r="G10" s="82">
        <v>6.2711439999999993E-2</v>
      </c>
      <c r="H10" s="82">
        <v>1</v>
      </c>
      <c r="I10" s="82">
        <v>9.4600000000000009</v>
      </c>
      <c r="J10" s="82">
        <v>0.9</v>
      </c>
      <c r="K10" s="82">
        <v>0.10570824099999999</v>
      </c>
      <c r="L10" s="82">
        <v>0</v>
      </c>
      <c r="M10" s="82">
        <v>0.2</v>
      </c>
      <c r="N10" s="82">
        <v>0</v>
      </c>
    </row>
    <row r="11" spans="1:46" ht="15" customHeight="1" x14ac:dyDescent="0.15">
      <c r="C11" s="82">
        <v>10</v>
      </c>
      <c r="D11"/>
      <c r="E11" s="178" t="s">
        <v>201</v>
      </c>
      <c r="F11" s="82">
        <v>0</v>
      </c>
      <c r="G11" s="82">
        <v>2.33330846</v>
      </c>
      <c r="H11" s="82">
        <v>0.7</v>
      </c>
      <c r="I11" s="82">
        <v>7</v>
      </c>
      <c r="J11" s="82">
        <v>0.9</v>
      </c>
      <c r="K11" s="82">
        <v>0.1</v>
      </c>
      <c r="L11" s="82">
        <v>0</v>
      </c>
      <c r="M11" s="82">
        <v>0.2</v>
      </c>
      <c r="N11" s="82">
        <v>0</v>
      </c>
    </row>
    <row r="12" spans="1:46" ht="15" customHeight="1" x14ac:dyDescent="0.15">
      <c r="C12" s="82">
        <v>11</v>
      </c>
      <c r="D12"/>
      <c r="E12" s="178" t="s">
        <v>202</v>
      </c>
      <c r="F12" s="82">
        <v>0</v>
      </c>
      <c r="G12" s="82">
        <v>1.5219576399999999</v>
      </c>
      <c r="H12" s="82">
        <v>1.42</v>
      </c>
      <c r="I12" s="82">
        <v>14.2</v>
      </c>
      <c r="J12" s="82">
        <v>0.95</v>
      </c>
      <c r="K12" s="82">
        <v>0.1</v>
      </c>
      <c r="L12" s="82">
        <v>0</v>
      </c>
      <c r="M12" s="82">
        <v>0.2</v>
      </c>
      <c r="N12" s="82">
        <v>0</v>
      </c>
    </row>
    <row r="13" spans="1:46" ht="15" customHeight="1" x14ac:dyDescent="0.15">
      <c r="C13" s="82">
        <v>12</v>
      </c>
      <c r="D13"/>
      <c r="E13" s="178" t="s">
        <v>203</v>
      </c>
      <c r="F13" s="82">
        <v>0</v>
      </c>
      <c r="G13" s="82">
        <v>0.99935589999999996</v>
      </c>
      <c r="H13" s="82">
        <v>2.11</v>
      </c>
      <c r="I13" s="82">
        <v>21.099998500000002</v>
      </c>
      <c r="J13" s="82">
        <v>0.95</v>
      </c>
      <c r="K13" s="82">
        <v>0.1</v>
      </c>
      <c r="L13" s="82">
        <v>0</v>
      </c>
      <c r="M13" s="82">
        <v>0.2</v>
      </c>
      <c r="N13" s="82">
        <v>0</v>
      </c>
    </row>
    <row r="14" spans="1:46" ht="15" customHeight="1" x14ac:dyDescent="0.15">
      <c r="C14" s="82">
        <v>13</v>
      </c>
      <c r="D14"/>
      <c r="E14" s="178" t="s">
        <v>204</v>
      </c>
      <c r="F14" s="82">
        <v>0</v>
      </c>
      <c r="G14" s="82">
        <v>0.50900000000000001</v>
      </c>
      <c r="H14" s="82">
        <v>0.83</v>
      </c>
      <c r="I14" s="82">
        <v>3.32</v>
      </c>
      <c r="J14" s="82">
        <v>0.911090434</v>
      </c>
      <c r="K14" s="82">
        <v>0.25</v>
      </c>
      <c r="L14" s="82">
        <v>0</v>
      </c>
      <c r="M14" s="82">
        <v>0.2</v>
      </c>
      <c r="N14" s="82">
        <v>0</v>
      </c>
    </row>
    <row r="15" spans="1:46" ht="15" customHeight="1" x14ac:dyDescent="0.15">
      <c r="C15" s="82">
        <v>14</v>
      </c>
      <c r="D15"/>
      <c r="E15" s="178" t="s">
        <v>205</v>
      </c>
      <c r="F15" s="82">
        <v>0</v>
      </c>
      <c r="G15" s="82">
        <v>0.25900000000000001</v>
      </c>
      <c r="H15" s="82">
        <v>0.84799999999999998</v>
      </c>
      <c r="I15" s="82">
        <v>3.3919999999999999</v>
      </c>
      <c r="J15" s="82">
        <v>0.97056679999999995</v>
      </c>
      <c r="K15" s="82">
        <v>0.25</v>
      </c>
      <c r="L15" s="82">
        <v>0</v>
      </c>
      <c r="M15" s="82">
        <v>0.2</v>
      </c>
      <c r="N15" s="82">
        <v>0</v>
      </c>
    </row>
    <row r="16" spans="1:46" ht="15" customHeight="1" x14ac:dyDescent="0.15">
      <c r="C16" s="82">
        <v>15</v>
      </c>
      <c r="D16"/>
      <c r="E16" s="178" t="s">
        <v>206</v>
      </c>
      <c r="F16" s="82">
        <v>0</v>
      </c>
      <c r="G16" s="82">
        <v>0.19700000000000001</v>
      </c>
      <c r="H16" s="82">
        <v>0.78400000000000003</v>
      </c>
      <c r="I16" s="82">
        <v>3.1360000000000001</v>
      </c>
      <c r="J16" s="82">
        <v>0.96648699999999999</v>
      </c>
      <c r="K16" s="82">
        <v>0.25</v>
      </c>
      <c r="L16" s="82">
        <v>0</v>
      </c>
      <c r="M16" s="82">
        <v>0.2</v>
      </c>
      <c r="N16" s="82">
        <v>0</v>
      </c>
    </row>
    <row r="17" spans="1:22" ht="15" customHeight="1" x14ac:dyDescent="0.15">
      <c r="C17" s="82">
        <v>16</v>
      </c>
      <c r="D17"/>
      <c r="E17" s="178" t="s">
        <v>207</v>
      </c>
      <c r="F17" s="82">
        <v>0</v>
      </c>
      <c r="G17" s="82">
        <v>5.3999999999999999E-2</v>
      </c>
      <c r="H17" s="82">
        <v>0.91100000000000003</v>
      </c>
      <c r="I17" s="82">
        <v>4.5549999999999997</v>
      </c>
      <c r="J17" s="82">
        <v>0.92249393499999999</v>
      </c>
      <c r="K17" s="82">
        <v>0.2</v>
      </c>
      <c r="L17" s="82">
        <v>0</v>
      </c>
      <c r="M17" s="82">
        <v>0.2</v>
      </c>
      <c r="N17" s="82">
        <v>0</v>
      </c>
      <c r="V17" s="1" t="s">
        <v>30</v>
      </c>
    </row>
    <row r="18" spans="1:22" ht="15" customHeight="1" x14ac:dyDescent="0.15">
      <c r="C18" s="82">
        <v>17</v>
      </c>
      <c r="D18"/>
      <c r="E18" s="178" t="s">
        <v>208</v>
      </c>
      <c r="F18" s="82">
        <v>0</v>
      </c>
      <c r="G18" s="82">
        <v>6.8000000000000005E-2</v>
      </c>
      <c r="H18" s="82">
        <v>0.56000000000000005</v>
      </c>
      <c r="I18" s="82">
        <v>2.2400000000000002</v>
      </c>
      <c r="J18" s="82">
        <v>0.9404614</v>
      </c>
      <c r="K18" s="82">
        <v>0.25</v>
      </c>
      <c r="L18" s="82">
        <v>0</v>
      </c>
      <c r="M18" s="82">
        <v>0.2</v>
      </c>
      <c r="N18" s="82">
        <v>0</v>
      </c>
      <c r="V18" s="1"/>
    </row>
    <row r="19" spans="1:22" ht="15" customHeight="1" x14ac:dyDescent="0.15">
      <c r="C19" s="82">
        <v>18</v>
      </c>
      <c r="D19"/>
      <c r="E19" s="178" t="s">
        <v>209</v>
      </c>
      <c r="F19" s="82">
        <v>0</v>
      </c>
      <c r="G19" s="82">
        <v>0.47899999999999998</v>
      </c>
      <c r="H19" s="82">
        <v>0.72499999999999998</v>
      </c>
      <c r="I19" s="82">
        <v>2.9</v>
      </c>
      <c r="J19" s="82">
        <v>0.96063109999999996</v>
      </c>
      <c r="K19" s="82">
        <v>0.25</v>
      </c>
      <c r="L19" s="82">
        <v>0</v>
      </c>
      <c r="M19" s="82">
        <v>0.2</v>
      </c>
      <c r="N19" s="82">
        <v>0</v>
      </c>
    </row>
    <row r="20" spans="1:22" ht="15" customHeight="1" thickBot="1" x14ac:dyDescent="0.2">
      <c r="C20" s="82">
        <v>19</v>
      </c>
      <c r="D20"/>
      <c r="E20" s="178" t="s">
        <v>210</v>
      </c>
      <c r="F20" s="82">
        <v>0</v>
      </c>
      <c r="G20" s="82">
        <v>0.46200000000000002</v>
      </c>
      <c r="H20" s="82">
        <v>0.68200000000000005</v>
      </c>
      <c r="I20" s="82">
        <v>2.7280000000000002</v>
      </c>
      <c r="J20" s="82">
        <v>0.97230416500000005</v>
      </c>
      <c r="K20" s="82">
        <v>0.25</v>
      </c>
      <c r="L20" s="82">
        <v>0</v>
      </c>
      <c r="M20" s="82">
        <v>0.2</v>
      </c>
      <c r="N20" s="82">
        <v>0</v>
      </c>
    </row>
    <row r="21" spans="1:22" ht="15" customHeight="1" thickBot="1" x14ac:dyDescent="0.2">
      <c r="A21" s="47" t="s">
        <v>137</v>
      </c>
      <c r="B21" s="100"/>
      <c r="C21" s="82">
        <v>20</v>
      </c>
      <c r="D21"/>
      <c r="E21" s="178" t="s">
        <v>211</v>
      </c>
      <c r="F21" s="82">
        <v>0</v>
      </c>
      <c r="G21" s="82">
        <v>0.41499999999999998</v>
      </c>
      <c r="H21" s="82">
        <v>0.68100000000000005</v>
      </c>
      <c r="I21" s="82">
        <v>2.7240000000000002</v>
      </c>
      <c r="J21" s="82">
        <v>0.86401790000000001</v>
      </c>
      <c r="K21" s="82">
        <v>0.25</v>
      </c>
      <c r="L21" s="82">
        <v>0</v>
      </c>
      <c r="M21" s="82">
        <v>0.2</v>
      </c>
      <c r="N21" s="82">
        <v>0</v>
      </c>
    </row>
    <row r="22" spans="1:22" ht="15" customHeight="1" x14ac:dyDescent="0.15">
      <c r="A22" s="101" t="s">
        <v>58</v>
      </c>
      <c r="B22" s="102">
        <v>0</v>
      </c>
      <c r="C22" s="82">
        <v>21</v>
      </c>
      <c r="D22"/>
      <c r="E22" s="178" t="s">
        <v>212</v>
      </c>
      <c r="F22" s="82">
        <v>0</v>
      </c>
      <c r="G22" s="82">
        <v>9.4E-2</v>
      </c>
      <c r="H22" s="82">
        <v>0.65</v>
      </c>
      <c r="I22" s="82">
        <v>2.6</v>
      </c>
      <c r="J22" s="82">
        <v>0.98820339999999995</v>
      </c>
      <c r="K22" s="82">
        <v>0.25</v>
      </c>
      <c r="L22" s="82">
        <v>0</v>
      </c>
      <c r="M22" s="82">
        <v>0.2</v>
      </c>
      <c r="N22" s="82">
        <v>0</v>
      </c>
    </row>
    <row r="23" spans="1:22" ht="15" customHeight="1" x14ac:dyDescent="0.15">
      <c r="A23" s="101" t="s">
        <v>59</v>
      </c>
      <c r="B23" s="102">
        <v>1</v>
      </c>
      <c r="C23" s="82">
        <v>22</v>
      </c>
      <c r="D23"/>
      <c r="E23" s="178" t="s">
        <v>213</v>
      </c>
      <c r="F23" s="82">
        <v>0</v>
      </c>
      <c r="G23" s="82">
        <v>0.28399999999999997</v>
      </c>
      <c r="H23" s="82">
        <v>1.002</v>
      </c>
      <c r="I23" s="82">
        <v>4.008</v>
      </c>
      <c r="J23" s="82">
        <v>0.71479060000000005</v>
      </c>
      <c r="K23" s="82">
        <v>0.25</v>
      </c>
      <c r="L23" s="82">
        <v>0</v>
      </c>
      <c r="M23" s="82">
        <v>0.2</v>
      </c>
      <c r="N23" s="82">
        <v>0</v>
      </c>
    </row>
    <row r="24" spans="1:22" ht="15" customHeight="1" x14ac:dyDescent="0.15">
      <c r="A24" s="101" t="s">
        <v>60</v>
      </c>
      <c r="B24" s="102">
        <v>2</v>
      </c>
      <c r="C24" s="82">
        <v>23</v>
      </c>
      <c r="D24"/>
      <c r="E24" s="178" t="s">
        <v>214</v>
      </c>
      <c r="F24" s="82">
        <v>0</v>
      </c>
      <c r="G24" s="82">
        <v>0.4</v>
      </c>
      <c r="H24" s="82">
        <v>0.44400000000000001</v>
      </c>
      <c r="I24" s="82">
        <v>2.2200000000000002</v>
      </c>
      <c r="J24" s="82">
        <v>0.92913959999999995</v>
      </c>
      <c r="K24" s="82">
        <v>0.2</v>
      </c>
      <c r="L24" s="82">
        <v>0</v>
      </c>
      <c r="M24" s="82">
        <v>0.2</v>
      </c>
      <c r="N24" s="82">
        <v>0</v>
      </c>
    </row>
    <row r="25" spans="1:22" ht="15" customHeight="1" thickBot="1" x14ac:dyDescent="0.2">
      <c r="A25" s="103" t="s">
        <v>44</v>
      </c>
      <c r="B25" s="104">
        <v>3</v>
      </c>
      <c r="C25" s="82">
        <v>24</v>
      </c>
      <c r="D25"/>
      <c r="E25" s="178" t="s">
        <v>215</v>
      </c>
      <c r="F25" s="82">
        <v>0</v>
      </c>
      <c r="G25" s="82">
        <v>0.77200000000000002</v>
      </c>
      <c r="H25" s="82">
        <v>0.85599999999999998</v>
      </c>
      <c r="I25" s="82">
        <v>3.4239999999999999</v>
      </c>
      <c r="J25" s="82">
        <v>0.9943919</v>
      </c>
      <c r="K25" s="82">
        <v>0.25</v>
      </c>
      <c r="L25" s="82">
        <v>0</v>
      </c>
      <c r="M25" s="82">
        <v>0.2</v>
      </c>
      <c r="N25" s="82">
        <v>0</v>
      </c>
    </row>
    <row r="26" spans="1:22" ht="15" customHeight="1" x14ac:dyDescent="0.15">
      <c r="A26" s="105" t="s">
        <v>140</v>
      </c>
      <c r="C26" s="82">
        <v>25</v>
      </c>
      <c r="D26"/>
      <c r="E26" s="178" t="s">
        <v>216</v>
      </c>
      <c r="F26" s="82">
        <v>0</v>
      </c>
      <c r="G26" s="82">
        <v>0.85299999999999998</v>
      </c>
      <c r="H26" s="82">
        <v>0.77500000000000002</v>
      </c>
      <c r="I26" s="82">
        <v>3.1</v>
      </c>
      <c r="J26" s="82">
        <v>0.73399764300000003</v>
      </c>
      <c r="K26" s="82">
        <v>0.25</v>
      </c>
      <c r="L26" s="82">
        <v>0</v>
      </c>
      <c r="M26" s="82">
        <v>0.2</v>
      </c>
      <c r="N26" s="82">
        <v>0</v>
      </c>
    </row>
    <row r="27" spans="1:22" ht="15" customHeight="1" x14ac:dyDescent="0.15">
      <c r="C27" s="82">
        <v>26</v>
      </c>
      <c r="D27"/>
      <c r="E27" s="178" t="s">
        <v>217</v>
      </c>
      <c r="F27" s="82">
        <v>0</v>
      </c>
      <c r="G27" s="82">
        <v>0.84899999999999998</v>
      </c>
      <c r="H27" s="82">
        <v>1.0900000000000001</v>
      </c>
      <c r="I27" s="82">
        <v>4.3600000000000003</v>
      </c>
      <c r="J27" s="82">
        <v>0.76195716899999999</v>
      </c>
      <c r="K27" s="82">
        <v>0.25</v>
      </c>
      <c r="L27" s="82">
        <v>0</v>
      </c>
      <c r="M27" s="82">
        <v>0.2</v>
      </c>
      <c r="N27" s="82">
        <v>0</v>
      </c>
    </row>
    <row r="28" spans="1:22" ht="15" customHeight="1" x14ac:dyDescent="0.15">
      <c r="C28" s="82">
        <v>27</v>
      </c>
      <c r="D28"/>
      <c r="E28" s="178" t="s">
        <v>218</v>
      </c>
      <c r="F28" s="82">
        <v>0</v>
      </c>
      <c r="G28" s="82">
        <v>0.34067872199999999</v>
      </c>
      <c r="H28" s="82">
        <v>0.755</v>
      </c>
      <c r="I28" s="82">
        <v>3.02</v>
      </c>
      <c r="J28" s="82">
        <v>0.8</v>
      </c>
      <c r="K28" s="82">
        <v>0.25</v>
      </c>
      <c r="L28" s="82">
        <v>0</v>
      </c>
      <c r="M28" s="82">
        <v>0.2</v>
      </c>
      <c r="N28" s="82">
        <v>0</v>
      </c>
    </row>
    <row r="29" spans="1:22" customFormat="1" ht="15" customHeight="1" x14ac:dyDescent="0.15">
      <c r="C29" s="82">
        <v>28</v>
      </c>
      <c r="E29" s="178" t="s">
        <v>219</v>
      </c>
      <c r="F29" s="82">
        <v>0</v>
      </c>
      <c r="G29" s="82">
        <v>0.55038750000000003</v>
      </c>
      <c r="H29" s="82">
        <v>0.37</v>
      </c>
      <c r="I29" s="82">
        <v>1.48</v>
      </c>
      <c r="J29" s="82">
        <v>0.9</v>
      </c>
      <c r="K29" s="82">
        <v>0.25</v>
      </c>
      <c r="L29" s="82">
        <v>0</v>
      </c>
      <c r="M29" s="82">
        <v>0.2</v>
      </c>
      <c r="N29" s="82">
        <v>0</v>
      </c>
    </row>
    <row r="30" spans="1:22" customFormat="1" ht="15" customHeight="1" x14ac:dyDescent="0.15">
      <c r="C30" s="82">
        <v>29</v>
      </c>
      <c r="E30" s="178" t="s">
        <v>220</v>
      </c>
      <c r="F30" s="82">
        <v>0</v>
      </c>
      <c r="G30" s="82">
        <v>3.44155049</v>
      </c>
      <c r="H30" s="82">
        <v>2.6</v>
      </c>
      <c r="I30" s="82">
        <v>20</v>
      </c>
      <c r="J30" s="82">
        <v>0.8</v>
      </c>
      <c r="K30" s="82">
        <v>0.13</v>
      </c>
      <c r="L30" s="82">
        <v>0</v>
      </c>
      <c r="M30" s="82">
        <v>0.2</v>
      </c>
      <c r="N30" s="82">
        <v>0</v>
      </c>
    </row>
    <row r="31" spans="1:22" customFormat="1" ht="15" customHeight="1" x14ac:dyDescent="0.15">
      <c r="C31" s="82">
        <v>30</v>
      </c>
      <c r="E31" s="178" t="s">
        <v>221</v>
      </c>
      <c r="F31" s="82">
        <v>0</v>
      </c>
      <c r="G31" s="82">
        <v>0.70087724900000004</v>
      </c>
      <c r="H31" s="82">
        <v>2.7</v>
      </c>
      <c r="I31" s="82">
        <v>10</v>
      </c>
      <c r="J31" s="82">
        <v>0.9</v>
      </c>
      <c r="K31" s="82">
        <v>0.27</v>
      </c>
      <c r="L31" s="82">
        <v>0</v>
      </c>
      <c r="M31" s="82">
        <v>0.2</v>
      </c>
      <c r="N31" s="82">
        <v>0</v>
      </c>
    </row>
    <row r="32" spans="1:22" customFormat="1" ht="15" customHeight="1" x14ac:dyDescent="0.15">
      <c r="C32" s="82">
        <v>31</v>
      </c>
      <c r="E32" s="178" t="s">
        <v>222</v>
      </c>
      <c r="F32" s="82">
        <v>0</v>
      </c>
      <c r="G32" s="82">
        <v>100</v>
      </c>
      <c r="H32" s="82">
        <v>1.8</v>
      </c>
      <c r="I32" s="82">
        <v>25</v>
      </c>
      <c r="J32" s="82">
        <v>0.79400634800000003</v>
      </c>
      <c r="K32" s="82">
        <v>7.1999999999999995E-2</v>
      </c>
      <c r="L32" s="82">
        <v>0</v>
      </c>
      <c r="M32" s="82">
        <v>0.2</v>
      </c>
      <c r="N32" s="82">
        <v>0</v>
      </c>
    </row>
    <row r="33" spans="3:14" customFormat="1" ht="15" customHeight="1" x14ac:dyDescent="0.15">
      <c r="C33" s="82">
        <v>32</v>
      </c>
      <c r="E33" s="178" t="s">
        <v>223</v>
      </c>
      <c r="F33" s="82">
        <v>0</v>
      </c>
      <c r="G33" s="82">
        <v>4.31457567</v>
      </c>
      <c r="H33" s="82">
        <v>10</v>
      </c>
      <c r="I33" s="82">
        <v>50</v>
      </c>
      <c r="J33" s="82">
        <v>0.8</v>
      </c>
      <c r="K33" s="82">
        <v>0.2</v>
      </c>
      <c r="L33" s="82">
        <v>0</v>
      </c>
      <c r="M33" s="82">
        <v>0.2</v>
      </c>
      <c r="N33" s="82">
        <v>0</v>
      </c>
    </row>
    <row r="34" spans="3:14" customFormat="1" ht="15" customHeight="1" x14ac:dyDescent="0.15">
      <c r="C34" s="82">
        <v>33</v>
      </c>
      <c r="E34" s="178" t="s">
        <v>224</v>
      </c>
      <c r="F34" s="82">
        <v>0</v>
      </c>
      <c r="G34" s="82">
        <v>25.786796599999999</v>
      </c>
      <c r="H34" s="82">
        <v>40</v>
      </c>
      <c r="I34" s="82">
        <v>200</v>
      </c>
      <c r="J34" s="82">
        <v>0.6</v>
      </c>
      <c r="K34" s="82">
        <v>0.2</v>
      </c>
      <c r="L34" s="82">
        <v>0</v>
      </c>
      <c r="M34" s="82">
        <v>0.4</v>
      </c>
      <c r="N34" s="82">
        <v>0</v>
      </c>
    </row>
    <row r="35" spans="3:14" customFormat="1" ht="15" customHeight="1" x14ac:dyDescent="0.15">
      <c r="C35" s="82">
        <v>34</v>
      </c>
      <c r="E35" s="178" t="s">
        <v>225</v>
      </c>
      <c r="F35" s="82">
        <v>1</v>
      </c>
      <c r="G35" s="82">
        <v>69</v>
      </c>
      <c r="H35" s="82">
        <v>84</v>
      </c>
      <c r="I35" s="82">
        <v>0</v>
      </c>
      <c r="J35" s="82">
        <v>0.81441339999999995</v>
      </c>
      <c r="K35" s="82">
        <v>0</v>
      </c>
      <c r="L35" s="82">
        <v>0</v>
      </c>
      <c r="M35" s="82">
        <v>0</v>
      </c>
      <c r="N35" s="82">
        <v>0</v>
      </c>
    </row>
    <row r="36" spans="3:14" customFormat="1" ht="15" customHeight="1" x14ac:dyDescent="0.15">
      <c r="C36" s="82">
        <v>35</v>
      </c>
      <c r="E36" s="178" t="s">
        <v>226</v>
      </c>
      <c r="F36" s="82">
        <v>2</v>
      </c>
      <c r="G36" s="82">
        <v>290</v>
      </c>
      <c r="H36" s="82">
        <v>0</v>
      </c>
      <c r="I36" s="82">
        <v>0</v>
      </c>
      <c r="J36" s="82">
        <v>0</v>
      </c>
      <c r="K36" s="82">
        <v>0</v>
      </c>
      <c r="L36" s="82">
        <v>0</v>
      </c>
      <c r="M36" s="82">
        <v>0</v>
      </c>
      <c r="N36" s="82">
        <v>0</v>
      </c>
    </row>
    <row r="37" spans="3:14" customFormat="1" ht="15" customHeight="1" x14ac:dyDescent="0.15">
      <c r="C37" s="82">
        <v>36</v>
      </c>
      <c r="E37" s="178" t="s">
        <v>227</v>
      </c>
      <c r="F37" s="82">
        <v>2</v>
      </c>
      <c r="G37" s="82">
        <v>5</v>
      </c>
      <c r="H37" s="82">
        <v>0</v>
      </c>
      <c r="I37" s="82">
        <v>0</v>
      </c>
      <c r="J37" s="82">
        <v>0</v>
      </c>
      <c r="K37" s="82">
        <v>0</v>
      </c>
      <c r="L37" s="82">
        <v>0</v>
      </c>
      <c r="M37" s="82">
        <v>0</v>
      </c>
      <c r="N37" s="82">
        <v>0</v>
      </c>
    </row>
    <row r="38" spans="3:14" customFormat="1" ht="15" customHeight="1" x14ac:dyDescent="0.15">
      <c r="C38" s="82">
        <v>37</v>
      </c>
      <c r="E38" s="178" t="s">
        <v>228</v>
      </c>
      <c r="F38" s="82">
        <v>3</v>
      </c>
      <c r="G38" s="82">
        <v>0</v>
      </c>
      <c r="H38" s="82">
        <v>0</v>
      </c>
      <c r="I38" s="82">
        <v>0</v>
      </c>
      <c r="J38" s="82">
        <v>0</v>
      </c>
      <c r="K38" s="82">
        <v>0</v>
      </c>
      <c r="L38" s="82">
        <v>0</v>
      </c>
      <c r="M38" s="82">
        <v>0</v>
      </c>
      <c r="N38" s="82">
        <v>0</v>
      </c>
    </row>
    <row r="39" spans="3:14" customFormat="1" ht="15" customHeight="1" x14ac:dyDescent="0.15">
      <c r="C39" s="82">
        <v>38</v>
      </c>
      <c r="E39" s="178" t="s">
        <v>229</v>
      </c>
      <c r="F39" s="82">
        <v>3</v>
      </c>
      <c r="G39" s="82">
        <v>0</v>
      </c>
      <c r="H39" s="82">
        <v>0</v>
      </c>
      <c r="I39" s="82">
        <v>0</v>
      </c>
      <c r="J39" s="82">
        <v>0</v>
      </c>
      <c r="K39" s="82">
        <v>0</v>
      </c>
      <c r="L39" s="82">
        <v>0</v>
      </c>
      <c r="M39" s="82">
        <v>0</v>
      </c>
      <c r="N39" s="82">
        <v>0</v>
      </c>
    </row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K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2.5" style="142" bestFit="1" customWidth="1"/>
    <col min="2" max="2" width="13.83203125" style="142" bestFit="1" customWidth="1"/>
    <col min="3" max="3" width="15.83203125" style="142" bestFit="1" customWidth="1"/>
    <col min="4" max="4" width="3.83203125" style="142" bestFit="1" customWidth="1"/>
    <col min="5" max="5" width="5.83203125" style="142" bestFit="1" customWidth="1"/>
    <col min="6" max="6" width="15.83203125" style="142" bestFit="1" customWidth="1"/>
    <col min="7" max="9" width="14.83203125" style="142" bestFit="1" customWidth="1"/>
    <col min="10" max="10" width="15.83203125" style="142" bestFit="1" customWidth="1"/>
    <col min="11" max="11" width="5.83203125" style="142" bestFit="1" customWidth="1"/>
    <col min="12" max="12" width="4.83203125" style="142" bestFit="1" customWidth="1"/>
    <col min="13" max="13" width="13.83203125" style="142" bestFit="1" customWidth="1"/>
    <col min="14" max="14" width="15.83203125" style="142" bestFit="1" customWidth="1"/>
    <col min="15" max="15" width="5.83203125" style="142" bestFit="1" customWidth="1"/>
    <col min="16" max="16" width="13.83203125" style="142" bestFit="1" customWidth="1"/>
    <col min="17" max="17" width="14.83203125" style="142" bestFit="1" customWidth="1"/>
    <col min="18" max="18" width="5.83203125" style="142" bestFit="1" customWidth="1"/>
    <col min="19" max="19" width="14.83203125" style="142" bestFit="1" customWidth="1"/>
    <col min="20" max="20" width="5.83203125" style="142" bestFit="1" customWidth="1"/>
    <col min="21" max="21" width="15.83203125" style="142" bestFit="1" customWidth="1"/>
    <col min="22" max="23" width="13.83203125" style="142" bestFit="1" customWidth="1"/>
    <col min="24" max="24" width="15.83203125" style="142" bestFit="1" customWidth="1"/>
    <col min="25" max="25" width="14.83203125" style="142" bestFit="1" customWidth="1"/>
    <col min="26" max="26" width="13.83203125" style="142" bestFit="1" customWidth="1"/>
    <col min="27" max="28" width="14.83203125" style="142" bestFit="1" customWidth="1"/>
    <col min="29" max="29" width="15.83203125" style="142" bestFit="1" customWidth="1"/>
    <col min="30" max="30" width="4.83203125" style="142" customWidth="1"/>
    <col min="31" max="31" width="5.83203125" style="142" customWidth="1"/>
    <col min="32" max="33" width="4.83203125" style="142" customWidth="1"/>
    <col min="34" max="34" width="3.83203125" style="142" customWidth="1"/>
    <col min="35" max="37" width="2.33203125" style="142" customWidth="1"/>
    <col min="38" max="16384" width="8.83203125" style="142"/>
  </cols>
  <sheetData>
    <row r="1" spans="1:37" x14ac:dyDescent="0.15">
      <c r="A1" s="141" t="s">
        <v>19</v>
      </c>
      <c r="B1" s="180" t="s">
        <v>192</v>
      </c>
      <c r="C1" s="180" t="s">
        <v>193</v>
      </c>
      <c r="D1" s="180" t="s">
        <v>194</v>
      </c>
      <c r="E1" s="180" t="s">
        <v>195</v>
      </c>
      <c r="F1" s="180" t="s">
        <v>196</v>
      </c>
      <c r="G1" s="180" t="s">
        <v>197</v>
      </c>
      <c r="H1" s="180" t="s">
        <v>198</v>
      </c>
      <c r="I1" s="180" t="s">
        <v>199</v>
      </c>
      <c r="J1" s="180" t="s">
        <v>200</v>
      </c>
      <c r="K1" s="180" t="s">
        <v>201</v>
      </c>
      <c r="L1" s="180" t="s">
        <v>202</v>
      </c>
      <c r="M1" s="180" t="s">
        <v>203</v>
      </c>
      <c r="N1" s="180" t="s">
        <v>204</v>
      </c>
      <c r="O1" s="180" t="s">
        <v>205</v>
      </c>
      <c r="P1" s="180" t="s">
        <v>206</v>
      </c>
      <c r="Q1" s="180" t="s">
        <v>207</v>
      </c>
      <c r="R1" s="180" t="s">
        <v>208</v>
      </c>
      <c r="S1" s="180" t="s">
        <v>209</v>
      </c>
      <c r="T1" s="180" t="s">
        <v>210</v>
      </c>
      <c r="U1" s="180" t="s">
        <v>211</v>
      </c>
      <c r="V1" s="180" t="s">
        <v>212</v>
      </c>
      <c r="W1" s="180" t="s">
        <v>213</v>
      </c>
      <c r="X1" s="180" t="s">
        <v>214</v>
      </c>
      <c r="Y1" s="180" t="s">
        <v>215</v>
      </c>
      <c r="Z1" s="180" t="s">
        <v>216</v>
      </c>
      <c r="AA1" s="180" t="s">
        <v>217</v>
      </c>
      <c r="AB1" s="180" t="s">
        <v>218</v>
      </c>
      <c r="AC1" s="180" t="s">
        <v>219</v>
      </c>
      <c r="AD1" s="180" t="s">
        <v>220</v>
      </c>
      <c r="AE1" s="180" t="s">
        <v>221</v>
      </c>
      <c r="AF1" s="180" t="s">
        <v>222</v>
      </c>
      <c r="AG1" s="180" t="s">
        <v>223</v>
      </c>
      <c r="AH1" s="180" t="s">
        <v>224</v>
      </c>
      <c r="AI1" s="180" t="s">
        <v>225</v>
      </c>
      <c r="AJ1" s="180" t="s">
        <v>226</v>
      </c>
      <c r="AK1" s="180" t="s">
        <v>227</v>
      </c>
    </row>
    <row r="2" spans="1:37" customFormat="1" x14ac:dyDescent="0.15">
      <c r="A2" s="179" t="s">
        <v>192</v>
      </c>
      <c r="B2" s="142">
        <v>0</v>
      </c>
      <c r="C2" s="142">
        <v>0</v>
      </c>
      <c r="D2" s="142">
        <v>0</v>
      </c>
      <c r="E2" s="142">
        <v>0</v>
      </c>
      <c r="F2" s="142">
        <v>0</v>
      </c>
      <c r="G2" s="142">
        <v>0</v>
      </c>
      <c r="H2" s="142">
        <v>0</v>
      </c>
      <c r="I2" s="142">
        <v>0</v>
      </c>
      <c r="J2" s="142">
        <v>0</v>
      </c>
      <c r="K2" s="142">
        <v>0</v>
      </c>
      <c r="L2" s="142">
        <v>0</v>
      </c>
      <c r="M2" s="142">
        <v>0</v>
      </c>
      <c r="N2" s="142">
        <v>0</v>
      </c>
      <c r="O2" s="142">
        <v>0</v>
      </c>
      <c r="P2" s="142">
        <v>0</v>
      </c>
      <c r="Q2" s="142">
        <v>0</v>
      </c>
      <c r="R2" s="142">
        <v>0</v>
      </c>
      <c r="S2" s="142">
        <v>0</v>
      </c>
      <c r="T2" s="142">
        <v>0</v>
      </c>
      <c r="U2" s="142">
        <v>0</v>
      </c>
      <c r="V2" s="142">
        <v>0</v>
      </c>
      <c r="W2" s="142">
        <v>0</v>
      </c>
      <c r="X2" s="142">
        <v>0</v>
      </c>
      <c r="Y2" s="142">
        <v>0</v>
      </c>
      <c r="Z2" s="142">
        <v>0</v>
      </c>
      <c r="AA2" s="142">
        <v>0</v>
      </c>
      <c r="AB2" s="142">
        <v>0</v>
      </c>
      <c r="AC2" s="142">
        <v>0</v>
      </c>
      <c r="AD2" s="142">
        <v>0</v>
      </c>
      <c r="AE2" s="142">
        <v>0</v>
      </c>
      <c r="AF2" s="142">
        <v>0</v>
      </c>
      <c r="AG2" s="142">
        <v>0</v>
      </c>
      <c r="AH2" s="142">
        <v>0</v>
      </c>
      <c r="AI2" s="142">
        <v>0</v>
      </c>
      <c r="AJ2" s="142">
        <v>0</v>
      </c>
      <c r="AK2" s="142">
        <v>0</v>
      </c>
    </row>
    <row r="3" spans="1:37" customFormat="1" x14ac:dyDescent="0.15">
      <c r="A3" s="179" t="s">
        <v>193</v>
      </c>
      <c r="B3" s="142">
        <v>0</v>
      </c>
      <c r="C3" s="142">
        <v>0</v>
      </c>
      <c r="D3" s="142">
        <v>0</v>
      </c>
      <c r="E3" s="142">
        <v>0</v>
      </c>
      <c r="F3" s="142">
        <v>0</v>
      </c>
      <c r="G3" s="142">
        <v>1.0616571302560927E-3</v>
      </c>
      <c r="H3" s="142">
        <v>0</v>
      </c>
      <c r="I3" s="142">
        <v>0</v>
      </c>
      <c r="J3" s="142">
        <v>0</v>
      </c>
      <c r="K3" s="142">
        <v>0</v>
      </c>
      <c r="L3" s="142">
        <v>0</v>
      </c>
      <c r="M3" s="142">
        <v>0</v>
      </c>
      <c r="N3" s="142">
        <v>0</v>
      </c>
      <c r="O3" s="142">
        <v>0</v>
      </c>
      <c r="P3" s="142">
        <v>0</v>
      </c>
      <c r="Q3" s="142">
        <v>0</v>
      </c>
      <c r="R3" s="142">
        <v>0</v>
      </c>
      <c r="S3" s="142">
        <v>0</v>
      </c>
      <c r="T3" s="142">
        <v>0</v>
      </c>
      <c r="U3" s="142">
        <v>0</v>
      </c>
      <c r="V3" s="142">
        <v>0</v>
      </c>
      <c r="W3" s="142">
        <v>0</v>
      </c>
      <c r="X3" s="142">
        <v>0</v>
      </c>
      <c r="Y3" s="142">
        <v>0</v>
      </c>
      <c r="Z3" s="142">
        <v>0</v>
      </c>
      <c r="AA3" s="142">
        <v>0</v>
      </c>
      <c r="AB3" s="142">
        <v>0</v>
      </c>
      <c r="AC3" s="142">
        <v>0</v>
      </c>
      <c r="AD3" s="142">
        <v>0</v>
      </c>
      <c r="AE3" s="142">
        <v>0</v>
      </c>
      <c r="AF3" s="142">
        <v>0</v>
      </c>
      <c r="AG3" s="142">
        <v>0</v>
      </c>
      <c r="AH3" s="142">
        <v>0</v>
      </c>
      <c r="AI3" s="142">
        <v>0</v>
      </c>
      <c r="AJ3" s="142">
        <v>0</v>
      </c>
      <c r="AK3" s="142">
        <v>0</v>
      </c>
    </row>
    <row r="4" spans="1:37" customFormat="1" x14ac:dyDescent="0.15">
      <c r="A4" s="179" t="s">
        <v>194</v>
      </c>
      <c r="B4" s="142">
        <v>0</v>
      </c>
      <c r="C4" s="142">
        <v>0</v>
      </c>
      <c r="D4" s="142">
        <v>0</v>
      </c>
      <c r="E4" s="142">
        <v>0</v>
      </c>
      <c r="F4" s="142">
        <v>0</v>
      </c>
      <c r="G4" s="142">
        <v>0</v>
      </c>
      <c r="H4" s="142">
        <v>0</v>
      </c>
      <c r="I4" s="142">
        <v>0</v>
      </c>
      <c r="J4" s="142">
        <v>0</v>
      </c>
      <c r="K4" s="142">
        <v>0</v>
      </c>
      <c r="L4" s="142">
        <v>0</v>
      </c>
      <c r="M4" s="142">
        <v>0</v>
      </c>
      <c r="N4" s="142">
        <v>0</v>
      </c>
      <c r="O4" s="142">
        <v>0</v>
      </c>
      <c r="P4" s="142">
        <v>0</v>
      </c>
      <c r="Q4" s="142">
        <v>0</v>
      </c>
      <c r="R4" s="142">
        <v>0</v>
      </c>
      <c r="S4" s="142">
        <v>0</v>
      </c>
      <c r="T4" s="142">
        <v>0</v>
      </c>
      <c r="U4" s="142">
        <v>0</v>
      </c>
      <c r="V4" s="142">
        <v>0</v>
      </c>
      <c r="W4" s="142">
        <v>0</v>
      </c>
      <c r="X4" s="142">
        <v>9.9901507186514991E-4</v>
      </c>
      <c r="Y4" s="142">
        <v>0</v>
      </c>
      <c r="Z4" s="142">
        <v>0</v>
      </c>
      <c r="AA4" s="142">
        <v>0</v>
      </c>
      <c r="AB4" s="142">
        <v>0</v>
      </c>
      <c r="AC4" s="142">
        <v>0</v>
      </c>
      <c r="AD4" s="142">
        <v>0</v>
      </c>
      <c r="AE4" s="142">
        <v>0</v>
      </c>
      <c r="AF4" s="142">
        <v>0</v>
      </c>
      <c r="AG4" s="142">
        <v>0</v>
      </c>
      <c r="AH4" s="142">
        <v>0</v>
      </c>
      <c r="AI4" s="142">
        <v>0</v>
      </c>
      <c r="AJ4" s="142">
        <v>0</v>
      </c>
      <c r="AK4" s="142">
        <v>0</v>
      </c>
    </row>
    <row r="5" spans="1:37" customFormat="1" x14ac:dyDescent="0.15">
      <c r="A5" s="179" t="s">
        <v>195</v>
      </c>
      <c r="B5" s="142">
        <v>0</v>
      </c>
      <c r="C5" s="142">
        <v>0</v>
      </c>
      <c r="D5" s="142">
        <v>0</v>
      </c>
      <c r="E5" s="142">
        <v>0</v>
      </c>
      <c r="F5" s="142">
        <v>0</v>
      </c>
      <c r="G5" s="142">
        <v>0</v>
      </c>
      <c r="H5" s="142">
        <v>0</v>
      </c>
      <c r="I5" s="142">
        <v>0</v>
      </c>
      <c r="J5" s="142">
        <v>0</v>
      </c>
      <c r="K5" s="142">
        <v>0</v>
      </c>
      <c r="L5" s="142">
        <v>0</v>
      </c>
      <c r="M5" s="142">
        <v>0</v>
      </c>
      <c r="N5" s="142">
        <v>0</v>
      </c>
      <c r="O5" s="142">
        <v>0</v>
      </c>
      <c r="P5" s="142">
        <v>0</v>
      </c>
      <c r="Q5" s="142">
        <v>0</v>
      </c>
      <c r="R5" s="142">
        <v>0</v>
      </c>
      <c r="S5" s="142">
        <v>0</v>
      </c>
      <c r="T5" s="142">
        <v>0</v>
      </c>
      <c r="U5" s="142">
        <v>0</v>
      </c>
      <c r="V5" s="142">
        <v>0</v>
      </c>
      <c r="W5" s="142">
        <v>0</v>
      </c>
      <c r="X5" s="142">
        <v>0</v>
      </c>
      <c r="Y5" s="142">
        <v>0</v>
      </c>
      <c r="Z5" s="142">
        <v>0</v>
      </c>
      <c r="AA5" s="142">
        <v>0</v>
      </c>
      <c r="AB5" s="142">
        <v>0</v>
      </c>
      <c r="AC5" s="142">
        <v>0</v>
      </c>
      <c r="AD5" s="142">
        <v>0</v>
      </c>
      <c r="AE5" s="142">
        <v>0</v>
      </c>
      <c r="AF5" s="142">
        <v>0</v>
      </c>
      <c r="AG5" s="142">
        <v>0</v>
      </c>
      <c r="AH5" s="142">
        <v>0</v>
      </c>
      <c r="AI5" s="142">
        <v>0</v>
      </c>
      <c r="AJ5" s="142">
        <v>0</v>
      </c>
      <c r="AK5" s="142">
        <v>0</v>
      </c>
    </row>
    <row r="6" spans="1:37" customFormat="1" x14ac:dyDescent="0.15">
      <c r="A6" s="179" t="s">
        <v>196</v>
      </c>
      <c r="B6" s="142">
        <v>0</v>
      </c>
      <c r="C6" s="142">
        <v>0</v>
      </c>
      <c r="D6" s="142">
        <v>0</v>
      </c>
      <c r="E6" s="142">
        <v>0</v>
      </c>
      <c r="F6" s="142">
        <v>0</v>
      </c>
      <c r="G6" s="142">
        <v>2.8664743918148737E-2</v>
      </c>
      <c r="H6" s="142">
        <v>0</v>
      </c>
      <c r="I6" s="142">
        <v>3.0022936477118083E-3</v>
      </c>
      <c r="J6" s="142">
        <v>5.9915044089164501E-3</v>
      </c>
      <c r="K6" s="142">
        <v>0</v>
      </c>
      <c r="L6" s="142">
        <v>0</v>
      </c>
      <c r="M6" s="142">
        <v>0</v>
      </c>
      <c r="N6" s="142">
        <v>0</v>
      </c>
      <c r="O6" s="142">
        <v>0</v>
      </c>
      <c r="P6" s="142">
        <v>0</v>
      </c>
      <c r="Q6" s="142">
        <v>0</v>
      </c>
      <c r="R6" s="142">
        <v>0</v>
      </c>
      <c r="S6" s="142">
        <v>0</v>
      </c>
      <c r="T6" s="142">
        <v>0</v>
      </c>
      <c r="U6" s="142">
        <v>0</v>
      </c>
      <c r="V6" s="142">
        <v>0</v>
      </c>
      <c r="W6" s="142">
        <v>0</v>
      </c>
      <c r="X6" s="142">
        <v>0</v>
      </c>
      <c r="Y6" s="142">
        <v>0</v>
      </c>
      <c r="Z6" s="142">
        <v>0</v>
      </c>
      <c r="AA6" s="142">
        <v>0</v>
      </c>
      <c r="AB6" s="142">
        <v>0</v>
      </c>
      <c r="AC6" s="142">
        <v>0</v>
      </c>
      <c r="AD6" s="142">
        <v>0</v>
      </c>
      <c r="AE6" s="142">
        <v>0</v>
      </c>
      <c r="AF6" s="142">
        <v>0</v>
      </c>
      <c r="AG6" s="142">
        <v>0</v>
      </c>
      <c r="AH6" s="142">
        <v>0</v>
      </c>
      <c r="AI6" s="142">
        <v>0</v>
      </c>
      <c r="AJ6" s="142">
        <v>0</v>
      </c>
      <c r="AK6" s="142">
        <v>0</v>
      </c>
    </row>
    <row r="7" spans="1:37" customFormat="1" x14ac:dyDescent="0.15">
      <c r="A7" s="179" t="s">
        <v>197</v>
      </c>
      <c r="B7" s="142">
        <v>0</v>
      </c>
      <c r="C7" s="142">
        <v>0</v>
      </c>
      <c r="D7" s="142">
        <v>0</v>
      </c>
      <c r="E7" s="142">
        <v>0</v>
      </c>
      <c r="F7" s="142">
        <v>0</v>
      </c>
      <c r="G7" s="142">
        <v>6.3572032202591205E-3</v>
      </c>
      <c r="H7" s="142">
        <v>0</v>
      </c>
      <c r="I7" s="142">
        <v>0</v>
      </c>
      <c r="J7" s="142">
        <v>0</v>
      </c>
      <c r="K7" s="142">
        <v>0</v>
      </c>
      <c r="L7" s="142">
        <v>0</v>
      </c>
      <c r="M7" s="142">
        <v>0</v>
      </c>
      <c r="N7" s="142">
        <v>0</v>
      </c>
      <c r="O7" s="142">
        <v>0</v>
      </c>
      <c r="P7" s="142">
        <v>0</v>
      </c>
      <c r="Q7" s="142">
        <v>0</v>
      </c>
      <c r="R7" s="142">
        <v>0</v>
      </c>
      <c r="S7" s="142">
        <v>0</v>
      </c>
      <c r="T7" s="142">
        <v>0</v>
      </c>
      <c r="U7" s="142">
        <v>0</v>
      </c>
      <c r="V7" s="142">
        <v>0</v>
      </c>
      <c r="W7" s="142">
        <v>0</v>
      </c>
      <c r="X7" s="142">
        <v>4.9950748593187563E-3</v>
      </c>
      <c r="Y7" s="142">
        <v>0</v>
      </c>
      <c r="Z7" s="142">
        <v>0</v>
      </c>
      <c r="AA7" s="142">
        <v>0</v>
      </c>
      <c r="AB7" s="142">
        <v>0</v>
      </c>
      <c r="AC7" s="142">
        <v>0</v>
      </c>
      <c r="AD7" s="142">
        <v>0</v>
      </c>
      <c r="AE7" s="142">
        <v>0</v>
      </c>
      <c r="AF7" s="142">
        <v>0</v>
      </c>
      <c r="AG7" s="142">
        <v>0</v>
      </c>
      <c r="AH7" s="142">
        <v>0</v>
      </c>
      <c r="AI7" s="142">
        <v>0</v>
      </c>
      <c r="AJ7" s="142">
        <v>0</v>
      </c>
      <c r="AK7" s="142">
        <v>0</v>
      </c>
    </row>
    <row r="8" spans="1:37" customFormat="1" x14ac:dyDescent="0.15">
      <c r="A8" s="179" t="s">
        <v>198</v>
      </c>
      <c r="B8" s="142">
        <v>0</v>
      </c>
      <c r="C8" s="142">
        <v>8.9931481452530347E-3</v>
      </c>
      <c r="D8" s="142">
        <v>0</v>
      </c>
      <c r="E8" s="142">
        <v>9.9999999999999985E-3</v>
      </c>
      <c r="F8" s="142">
        <v>1.8999997959419954E-2</v>
      </c>
      <c r="G8" s="142">
        <v>8.7055890686289189E-2</v>
      </c>
      <c r="H8" s="142">
        <v>4.6006434020040531E-2</v>
      </c>
      <c r="I8" s="142">
        <v>2.101605565395432E-2</v>
      </c>
      <c r="J8" s="142">
        <v>3.9943362692790255E-3</v>
      </c>
      <c r="K8" s="142">
        <v>0</v>
      </c>
      <c r="L8" s="142">
        <v>0</v>
      </c>
      <c r="M8" s="142">
        <v>0</v>
      </c>
      <c r="N8" s="142">
        <v>0</v>
      </c>
      <c r="O8" s="142">
        <v>0</v>
      </c>
      <c r="P8" s="142">
        <v>0</v>
      </c>
      <c r="Q8" s="142">
        <v>0</v>
      </c>
      <c r="R8" s="142">
        <v>0</v>
      </c>
      <c r="S8" s="142">
        <v>0</v>
      </c>
      <c r="T8" s="142">
        <v>0</v>
      </c>
      <c r="U8" s="142">
        <v>0</v>
      </c>
      <c r="V8" s="142">
        <v>0</v>
      </c>
      <c r="W8" s="142">
        <v>0</v>
      </c>
      <c r="X8" s="142">
        <v>0</v>
      </c>
      <c r="Y8" s="142">
        <v>0</v>
      </c>
      <c r="Z8" s="142">
        <v>0</v>
      </c>
      <c r="AA8" s="142">
        <v>0</v>
      </c>
      <c r="AB8" s="142">
        <v>0</v>
      </c>
      <c r="AC8" s="142">
        <v>0</v>
      </c>
      <c r="AD8" s="142">
        <v>0</v>
      </c>
      <c r="AE8" s="142">
        <v>0</v>
      </c>
      <c r="AF8" s="142">
        <v>0</v>
      </c>
      <c r="AG8" s="142">
        <v>0</v>
      </c>
      <c r="AH8" s="142">
        <v>0</v>
      </c>
      <c r="AI8" s="142">
        <v>0</v>
      </c>
      <c r="AJ8" s="142">
        <v>0</v>
      </c>
      <c r="AK8" s="142">
        <v>0</v>
      </c>
    </row>
    <row r="9" spans="1:37" customFormat="1" x14ac:dyDescent="0.15">
      <c r="A9" s="179" t="s">
        <v>199</v>
      </c>
      <c r="B9" s="142">
        <v>0</v>
      </c>
      <c r="C9" s="142">
        <v>3.9969546367566661E-3</v>
      </c>
      <c r="D9" s="142">
        <v>0</v>
      </c>
      <c r="E9" s="142">
        <v>3.9999999999999992E-3</v>
      </c>
      <c r="F9" s="142">
        <v>0</v>
      </c>
      <c r="G9" s="142">
        <v>3.1786015600854804E-2</v>
      </c>
      <c r="H9" s="142">
        <v>0</v>
      </c>
      <c r="I9" s="142">
        <v>2.001529205116015E-3</v>
      </c>
      <c r="J9" s="142">
        <v>0</v>
      </c>
      <c r="K9" s="142">
        <v>0</v>
      </c>
      <c r="L9" s="142">
        <v>0</v>
      </c>
      <c r="M9" s="142">
        <v>0</v>
      </c>
      <c r="N9" s="142">
        <v>0</v>
      </c>
      <c r="O9" s="142">
        <v>0</v>
      </c>
      <c r="P9" s="142">
        <v>0</v>
      </c>
      <c r="Q9" s="142">
        <v>0</v>
      </c>
      <c r="R9" s="142">
        <v>0</v>
      </c>
      <c r="S9" s="142">
        <v>0</v>
      </c>
      <c r="T9" s="142">
        <v>0</v>
      </c>
      <c r="U9" s="142">
        <v>0</v>
      </c>
      <c r="V9" s="142">
        <v>0</v>
      </c>
      <c r="W9" s="142">
        <v>0</v>
      </c>
      <c r="X9" s="142">
        <v>0</v>
      </c>
      <c r="Y9" s="142">
        <v>0</v>
      </c>
      <c r="Z9" s="142">
        <v>0</v>
      </c>
      <c r="AA9" s="142">
        <v>0</v>
      </c>
      <c r="AB9" s="142">
        <v>0</v>
      </c>
      <c r="AC9" s="142">
        <v>0</v>
      </c>
      <c r="AD9" s="142">
        <v>0</v>
      </c>
      <c r="AE9" s="142">
        <v>0</v>
      </c>
      <c r="AF9" s="142">
        <v>0</v>
      </c>
      <c r="AG9" s="142">
        <v>0</v>
      </c>
      <c r="AH9" s="142">
        <v>0</v>
      </c>
      <c r="AI9" s="142">
        <v>0</v>
      </c>
      <c r="AJ9" s="142">
        <v>0</v>
      </c>
      <c r="AK9" s="142">
        <v>0</v>
      </c>
    </row>
    <row r="10" spans="1:37" customFormat="1" x14ac:dyDescent="0.15">
      <c r="A10" s="179" t="s">
        <v>200</v>
      </c>
      <c r="B10" s="142">
        <v>0</v>
      </c>
      <c r="C10" s="142">
        <v>3.9969546367566661E-3</v>
      </c>
      <c r="D10" s="142">
        <v>0</v>
      </c>
      <c r="E10" s="142">
        <v>4.9999999999999992E-3</v>
      </c>
      <c r="F10" s="142">
        <v>0</v>
      </c>
      <c r="G10" s="142">
        <v>3.8143217359826787E-2</v>
      </c>
      <c r="H10" s="142">
        <v>0</v>
      </c>
      <c r="I10" s="142">
        <v>2.001529205116015E-3</v>
      </c>
      <c r="J10" s="142">
        <v>3.9943362692790255E-3</v>
      </c>
      <c r="K10" s="142">
        <v>0</v>
      </c>
      <c r="L10" s="142">
        <v>0</v>
      </c>
      <c r="M10" s="142">
        <v>0</v>
      </c>
      <c r="N10" s="142">
        <v>0</v>
      </c>
      <c r="O10" s="142">
        <v>0</v>
      </c>
      <c r="P10" s="142">
        <v>0</v>
      </c>
      <c r="Q10" s="142">
        <v>0</v>
      </c>
      <c r="R10" s="142">
        <v>0</v>
      </c>
      <c r="S10" s="142">
        <v>0</v>
      </c>
      <c r="T10" s="142">
        <v>0</v>
      </c>
      <c r="U10" s="142">
        <v>0</v>
      </c>
      <c r="V10" s="142">
        <v>0</v>
      </c>
      <c r="W10" s="142">
        <v>0</v>
      </c>
      <c r="X10" s="142">
        <v>0</v>
      </c>
      <c r="Y10" s="142">
        <v>0</v>
      </c>
      <c r="Z10" s="142">
        <v>0</v>
      </c>
      <c r="AA10" s="142">
        <v>0</v>
      </c>
      <c r="AB10" s="142">
        <v>0</v>
      </c>
      <c r="AC10" s="142">
        <v>0</v>
      </c>
      <c r="AD10" s="142">
        <v>0</v>
      </c>
      <c r="AE10" s="142">
        <v>0</v>
      </c>
      <c r="AF10" s="142">
        <v>0</v>
      </c>
      <c r="AG10" s="142">
        <v>0</v>
      </c>
      <c r="AH10" s="142">
        <v>0</v>
      </c>
      <c r="AI10" s="142">
        <v>0</v>
      </c>
      <c r="AJ10" s="142">
        <v>0</v>
      </c>
      <c r="AK10" s="142">
        <v>0</v>
      </c>
    </row>
    <row r="11" spans="1:37" customFormat="1" x14ac:dyDescent="0.15">
      <c r="A11" s="179" t="s">
        <v>201</v>
      </c>
      <c r="B11" s="142">
        <v>3.4161493237577639E-2</v>
      </c>
      <c r="C11" s="142">
        <v>1.2990102331902686E-2</v>
      </c>
      <c r="D11" s="142">
        <v>0</v>
      </c>
      <c r="E11" s="142">
        <v>9.9999999999999978E-2</v>
      </c>
      <c r="F11" s="142">
        <v>8.4999992055299817E-2</v>
      </c>
      <c r="G11" s="142">
        <v>4.8836225990017058E-2</v>
      </c>
      <c r="H11" s="142">
        <v>0.23603300932020793</v>
      </c>
      <c r="I11" s="142">
        <v>2.0015289451774169E-2</v>
      </c>
      <c r="J11" s="142">
        <v>0.41241520467187825</v>
      </c>
      <c r="K11" s="142">
        <v>7.000000000000001E-3</v>
      </c>
      <c r="L11" s="142">
        <v>0</v>
      </c>
      <c r="M11" s="142">
        <v>0</v>
      </c>
      <c r="N11" s="142">
        <v>0</v>
      </c>
      <c r="O11" s="142">
        <v>0</v>
      </c>
      <c r="P11" s="142">
        <v>0</v>
      </c>
      <c r="Q11" s="142">
        <v>0</v>
      </c>
      <c r="R11" s="142">
        <v>0</v>
      </c>
      <c r="S11" s="142">
        <v>2.2032761046362141E-2</v>
      </c>
      <c r="T11" s="142">
        <v>0</v>
      </c>
      <c r="U11" s="142">
        <v>0</v>
      </c>
      <c r="V11" s="142">
        <v>0</v>
      </c>
      <c r="W11" s="142">
        <v>0</v>
      </c>
      <c r="X11" s="142">
        <v>0</v>
      </c>
      <c r="Y11" s="142">
        <v>1.9980419208775791E-2</v>
      </c>
      <c r="Z11" s="142">
        <v>0</v>
      </c>
      <c r="AA11" s="142">
        <v>0</v>
      </c>
      <c r="AB11" s="142">
        <v>0</v>
      </c>
      <c r="AC11" s="142">
        <v>0</v>
      </c>
      <c r="AD11" s="142">
        <v>0</v>
      </c>
      <c r="AE11" s="142">
        <v>2.0000000000000004E-2</v>
      </c>
      <c r="AF11" s="142">
        <v>0</v>
      </c>
      <c r="AG11" s="142">
        <v>0</v>
      </c>
      <c r="AH11" s="142">
        <v>0</v>
      </c>
      <c r="AI11" s="142">
        <v>0</v>
      </c>
      <c r="AJ11" s="142">
        <v>0</v>
      </c>
      <c r="AK11" s="142">
        <v>0</v>
      </c>
    </row>
    <row r="12" spans="1:37" customFormat="1" x14ac:dyDescent="0.15">
      <c r="A12" s="179" t="s">
        <v>202</v>
      </c>
      <c r="B12" s="142">
        <v>0</v>
      </c>
      <c r="C12" s="142">
        <v>5.9954319601361883E-3</v>
      </c>
      <c r="D12" s="142">
        <v>0</v>
      </c>
      <c r="E12" s="142">
        <v>6.8999999999999992E-2</v>
      </c>
      <c r="F12" s="142">
        <v>6.2000001499160046E-2</v>
      </c>
      <c r="G12" s="142">
        <v>6.3699427815365559E-3</v>
      </c>
      <c r="H12" s="142">
        <v>6.0008392200052864E-2</v>
      </c>
      <c r="I12" s="142">
        <v>0.11897189683567037</v>
      </c>
      <c r="J12" s="142">
        <v>4.0982885076298783E-2</v>
      </c>
      <c r="K12" s="142">
        <v>0</v>
      </c>
      <c r="L12" s="142">
        <v>0</v>
      </c>
      <c r="M12" s="142">
        <v>0</v>
      </c>
      <c r="N12" s="142">
        <v>4.3999339349919661E-2</v>
      </c>
      <c r="O12" s="142">
        <v>6.3E-2</v>
      </c>
      <c r="P12" s="142">
        <v>0.133097700945606</v>
      </c>
      <c r="Q12" s="142">
        <v>4.4042104113970616E-2</v>
      </c>
      <c r="R12" s="142">
        <v>0.19700000000000004</v>
      </c>
      <c r="S12" s="142">
        <v>3.0044675281952738E-3</v>
      </c>
      <c r="T12" s="142">
        <v>0.13600000000000001</v>
      </c>
      <c r="U12" s="142">
        <v>0</v>
      </c>
      <c r="V12" s="142">
        <v>2.6010752501742288E-2</v>
      </c>
      <c r="W12" s="142">
        <v>0</v>
      </c>
      <c r="X12" s="142">
        <v>3.4000475518410435E-2</v>
      </c>
      <c r="Y12" s="142">
        <v>6.9001378647545381E-2</v>
      </c>
      <c r="Z12" s="142">
        <v>0</v>
      </c>
      <c r="AA12" s="142">
        <v>0</v>
      </c>
      <c r="AB12" s="142">
        <v>0</v>
      </c>
      <c r="AC12" s="142">
        <v>0</v>
      </c>
      <c r="AD12" s="142">
        <v>0</v>
      </c>
      <c r="AE12" s="142">
        <v>1.7000000000000005E-2</v>
      </c>
      <c r="AF12" s="142">
        <v>0</v>
      </c>
      <c r="AG12" s="142">
        <v>0</v>
      </c>
      <c r="AH12" s="142">
        <v>0</v>
      </c>
      <c r="AI12" s="142">
        <v>0</v>
      </c>
      <c r="AJ12" s="142">
        <v>0</v>
      </c>
      <c r="AK12" s="142">
        <v>0</v>
      </c>
    </row>
    <row r="13" spans="1:37" customFormat="1" x14ac:dyDescent="0.15">
      <c r="A13" s="179" t="s">
        <v>203</v>
      </c>
      <c r="B13" s="142">
        <v>3.4161493237577639E-2</v>
      </c>
      <c r="C13" s="142">
        <v>1.2990102331902686E-2</v>
      </c>
      <c r="D13" s="142">
        <v>0</v>
      </c>
      <c r="E13" s="142">
        <v>9.8999999999999977E-2</v>
      </c>
      <c r="F13" s="142">
        <v>0.10700000258726007</v>
      </c>
      <c r="G13" s="142">
        <v>9.1119920370361304E-2</v>
      </c>
      <c r="H13" s="142">
        <v>0.13001818310011456</v>
      </c>
      <c r="I13" s="142">
        <v>0.42290010387805521</v>
      </c>
      <c r="J13" s="142">
        <v>0.20091609513014771</v>
      </c>
      <c r="K13" s="142">
        <v>6.000000000000001E-3</v>
      </c>
      <c r="L13" s="142">
        <v>0</v>
      </c>
      <c r="M13" s="142">
        <v>0</v>
      </c>
      <c r="N13" s="142">
        <v>0.10199846849299557</v>
      </c>
      <c r="O13" s="142">
        <v>0.13600000000000001</v>
      </c>
      <c r="P13" s="142">
        <v>0.133097700945606</v>
      </c>
      <c r="Q13" s="142">
        <v>0</v>
      </c>
      <c r="R13" s="142">
        <v>0.13700000000000004</v>
      </c>
      <c r="S13" s="142">
        <v>3.5052120828782278E-2</v>
      </c>
      <c r="T13" s="142">
        <v>0</v>
      </c>
      <c r="U13" s="142">
        <v>0</v>
      </c>
      <c r="V13" s="142">
        <v>2.0008271155186375E-2</v>
      </c>
      <c r="W13" s="142">
        <v>0</v>
      </c>
      <c r="X13" s="142">
        <v>0.12800179018695693</v>
      </c>
      <c r="Y13" s="142">
        <v>2.0000399607984165E-2</v>
      </c>
      <c r="Z13" s="142">
        <v>0</v>
      </c>
      <c r="AA13" s="142">
        <v>0</v>
      </c>
      <c r="AB13" s="142">
        <v>5.6926851369563679E-2</v>
      </c>
      <c r="AC13" s="142">
        <v>0</v>
      </c>
      <c r="AD13" s="142">
        <v>0</v>
      </c>
      <c r="AE13" s="142">
        <v>2.1000000000000005E-2</v>
      </c>
      <c r="AF13" s="142">
        <v>0</v>
      </c>
      <c r="AG13" s="142">
        <v>0</v>
      </c>
      <c r="AH13" s="142">
        <v>0</v>
      </c>
      <c r="AI13" s="142">
        <v>0</v>
      </c>
      <c r="AJ13" s="142">
        <v>0</v>
      </c>
      <c r="AK13" s="142">
        <v>0</v>
      </c>
    </row>
    <row r="14" spans="1:37" customFormat="1" x14ac:dyDescent="0.15">
      <c r="A14" s="179" t="s">
        <v>204</v>
      </c>
      <c r="B14" s="142">
        <v>0</v>
      </c>
      <c r="C14" s="142">
        <v>2.0004756184795774E-2</v>
      </c>
      <c r="D14" s="142">
        <v>0</v>
      </c>
      <c r="E14" s="142">
        <v>0</v>
      </c>
      <c r="F14" s="142">
        <v>8.0000001934400055E-3</v>
      </c>
      <c r="G14" s="142">
        <v>0</v>
      </c>
      <c r="H14" s="142">
        <v>1.0001398700008811E-2</v>
      </c>
      <c r="I14" s="142">
        <v>1.9995276779104267E-2</v>
      </c>
      <c r="J14" s="142">
        <v>3.9983302513462229E-3</v>
      </c>
      <c r="K14" s="142">
        <v>0</v>
      </c>
      <c r="L14" s="142">
        <v>0</v>
      </c>
      <c r="M14" s="142">
        <v>0</v>
      </c>
      <c r="N14" s="142">
        <v>6.9998948965781281E-3</v>
      </c>
      <c r="O14" s="142">
        <v>1.0999999999999999E-2</v>
      </c>
      <c r="P14" s="142">
        <v>0</v>
      </c>
      <c r="Q14" s="142">
        <v>1.9999119160795595E-2</v>
      </c>
      <c r="R14" s="142">
        <v>2.0000000000000004E-2</v>
      </c>
      <c r="S14" s="142">
        <v>0</v>
      </c>
      <c r="T14" s="142">
        <v>0.02</v>
      </c>
      <c r="U14" s="142">
        <v>0</v>
      </c>
      <c r="V14" s="142">
        <v>2.3009511828464332E-2</v>
      </c>
      <c r="W14" s="142">
        <v>0</v>
      </c>
      <c r="X14" s="142">
        <v>5.0000699291780047E-3</v>
      </c>
      <c r="Y14" s="142">
        <v>0</v>
      </c>
      <c r="Z14" s="142">
        <v>0</v>
      </c>
      <c r="AA14" s="142">
        <v>0</v>
      </c>
      <c r="AB14" s="142">
        <v>0</v>
      </c>
      <c r="AC14" s="142">
        <v>0</v>
      </c>
      <c r="AD14" s="142">
        <v>0</v>
      </c>
      <c r="AE14" s="142">
        <v>0</v>
      </c>
      <c r="AF14" s="142">
        <v>0</v>
      </c>
      <c r="AG14" s="142">
        <v>0</v>
      </c>
      <c r="AH14" s="142">
        <v>0</v>
      </c>
      <c r="AI14" s="142">
        <v>0</v>
      </c>
      <c r="AJ14" s="142">
        <v>0</v>
      </c>
      <c r="AK14" s="142">
        <v>0</v>
      </c>
    </row>
    <row r="15" spans="1:37" customFormat="1" x14ac:dyDescent="0.15">
      <c r="A15" s="179" t="s">
        <v>205</v>
      </c>
      <c r="B15" s="142">
        <v>0</v>
      </c>
      <c r="C15" s="142">
        <v>2.0004756184795774E-2</v>
      </c>
      <c r="D15" s="142">
        <v>0</v>
      </c>
      <c r="E15" s="142">
        <v>0</v>
      </c>
      <c r="F15" s="142">
        <v>4.0000000967200027E-3</v>
      </c>
      <c r="G15" s="142">
        <v>3.1786015600854804E-2</v>
      </c>
      <c r="H15" s="142">
        <v>3.0004196100026433E-3</v>
      </c>
      <c r="I15" s="142">
        <v>9.9976383895521333E-3</v>
      </c>
      <c r="J15" s="142">
        <v>9.9958256283655574E-3</v>
      </c>
      <c r="K15" s="142">
        <v>0</v>
      </c>
      <c r="L15" s="142">
        <v>0</v>
      </c>
      <c r="M15" s="142">
        <v>0</v>
      </c>
      <c r="N15" s="142">
        <v>3.9999399409017871E-3</v>
      </c>
      <c r="O15" s="142">
        <v>7.0000000000000001E-3</v>
      </c>
      <c r="P15" s="142">
        <v>0</v>
      </c>
      <c r="Q15" s="142">
        <v>9.9995595803977974E-3</v>
      </c>
      <c r="R15" s="142">
        <v>0</v>
      </c>
      <c r="S15" s="142">
        <v>0</v>
      </c>
      <c r="T15" s="142">
        <v>2E-3</v>
      </c>
      <c r="U15" s="142">
        <v>0</v>
      </c>
      <c r="V15" s="142">
        <v>1.2004962693111826E-2</v>
      </c>
      <c r="W15" s="142">
        <v>0</v>
      </c>
      <c r="X15" s="142">
        <v>2.000027971671202E-3</v>
      </c>
      <c r="Y15" s="142">
        <v>3.0000599411976248E-3</v>
      </c>
      <c r="Z15" s="142">
        <v>0</v>
      </c>
      <c r="AA15" s="142">
        <v>0</v>
      </c>
      <c r="AB15" s="142">
        <v>0</v>
      </c>
      <c r="AC15" s="142">
        <v>0</v>
      </c>
      <c r="AD15" s="142">
        <v>0</v>
      </c>
      <c r="AE15" s="142">
        <v>0</v>
      </c>
      <c r="AF15" s="142">
        <v>0</v>
      </c>
      <c r="AG15" s="142">
        <v>0</v>
      </c>
      <c r="AH15" s="142">
        <v>0</v>
      </c>
      <c r="AI15" s="142">
        <v>0</v>
      </c>
      <c r="AJ15" s="142">
        <v>0</v>
      </c>
      <c r="AK15" s="142">
        <v>0</v>
      </c>
    </row>
    <row r="16" spans="1:37" customFormat="1" x14ac:dyDescent="0.15">
      <c r="A16" s="179" t="s">
        <v>206</v>
      </c>
      <c r="B16" s="142">
        <v>0</v>
      </c>
      <c r="C16" s="142">
        <v>2.997715975066905E-3</v>
      </c>
      <c r="D16" s="142">
        <v>0</v>
      </c>
      <c r="E16" s="142">
        <v>0</v>
      </c>
      <c r="F16" s="142">
        <v>9.9999992417999835E-3</v>
      </c>
      <c r="G16" s="142">
        <v>0</v>
      </c>
      <c r="H16" s="142">
        <v>1.0001398700008811E-2</v>
      </c>
      <c r="I16" s="142">
        <v>2.001529205116015E-3</v>
      </c>
      <c r="J16" s="142">
        <v>0</v>
      </c>
      <c r="K16" s="142">
        <v>0</v>
      </c>
      <c r="L16" s="142">
        <v>0</v>
      </c>
      <c r="M16" s="142">
        <v>0</v>
      </c>
      <c r="N16" s="142">
        <v>6.0059158211739454E-3</v>
      </c>
      <c r="O16" s="142">
        <v>8.9999999999999993E-3</v>
      </c>
      <c r="P16" s="142">
        <v>0</v>
      </c>
      <c r="Q16" s="142">
        <v>9.9995595803977974E-3</v>
      </c>
      <c r="R16" s="142">
        <v>0</v>
      </c>
      <c r="S16" s="142">
        <v>0</v>
      </c>
      <c r="T16" s="142">
        <v>0</v>
      </c>
      <c r="U16" s="142">
        <v>0</v>
      </c>
      <c r="V16" s="142">
        <v>0</v>
      </c>
      <c r="W16" s="142">
        <v>0</v>
      </c>
      <c r="X16" s="142">
        <v>4.9950748593187563E-3</v>
      </c>
      <c r="Y16" s="142">
        <v>2.0000399607984164E-3</v>
      </c>
      <c r="Z16" s="142">
        <v>0</v>
      </c>
      <c r="AA16" s="142">
        <v>0</v>
      </c>
      <c r="AB16" s="142">
        <v>0</v>
      </c>
      <c r="AC16" s="142">
        <v>0</v>
      </c>
      <c r="AD16" s="142">
        <v>0</v>
      </c>
      <c r="AE16" s="142">
        <v>0</v>
      </c>
      <c r="AF16" s="142">
        <v>0</v>
      </c>
      <c r="AG16" s="142">
        <v>0</v>
      </c>
      <c r="AH16" s="142">
        <v>0</v>
      </c>
      <c r="AI16" s="142">
        <v>0</v>
      </c>
      <c r="AJ16" s="142">
        <v>0</v>
      </c>
      <c r="AK16" s="142">
        <v>0</v>
      </c>
    </row>
    <row r="17" spans="1:37" customFormat="1" x14ac:dyDescent="0.15">
      <c r="A17" s="179" t="s">
        <v>207</v>
      </c>
      <c r="B17" s="142">
        <v>0</v>
      </c>
      <c r="C17" s="142">
        <v>0</v>
      </c>
      <c r="D17" s="142">
        <v>0</v>
      </c>
      <c r="E17" s="142">
        <v>0</v>
      </c>
      <c r="F17" s="142">
        <v>9.9999992417999827E-4</v>
      </c>
      <c r="G17" s="142">
        <v>2.1190676500070296E-2</v>
      </c>
      <c r="H17" s="142">
        <v>1.0001398700008812E-3</v>
      </c>
      <c r="I17" s="142">
        <v>9.9976383895521333E-3</v>
      </c>
      <c r="J17" s="142">
        <v>0</v>
      </c>
      <c r="K17" s="142">
        <v>0</v>
      </c>
      <c r="L17" s="142">
        <v>0</v>
      </c>
      <c r="M17" s="142">
        <v>0</v>
      </c>
      <c r="N17" s="142">
        <v>0</v>
      </c>
      <c r="O17" s="142">
        <v>0</v>
      </c>
      <c r="P17" s="142">
        <v>0</v>
      </c>
      <c r="Q17" s="142">
        <v>0</v>
      </c>
      <c r="R17" s="142">
        <v>0</v>
      </c>
      <c r="S17" s="142">
        <v>0</v>
      </c>
      <c r="T17" s="142">
        <v>0</v>
      </c>
      <c r="U17" s="142">
        <v>0</v>
      </c>
      <c r="V17" s="142">
        <v>0</v>
      </c>
      <c r="W17" s="142">
        <v>0</v>
      </c>
      <c r="X17" s="142">
        <v>0</v>
      </c>
      <c r="Y17" s="142">
        <v>0</v>
      </c>
      <c r="Z17" s="142">
        <v>0</v>
      </c>
      <c r="AA17" s="142">
        <v>0</v>
      </c>
      <c r="AB17" s="142">
        <v>0</v>
      </c>
      <c r="AC17" s="142">
        <v>0</v>
      </c>
      <c r="AD17" s="142">
        <v>0</v>
      </c>
      <c r="AE17" s="142">
        <v>0</v>
      </c>
      <c r="AF17" s="142">
        <v>0</v>
      </c>
      <c r="AG17" s="142">
        <v>0</v>
      </c>
      <c r="AH17" s="142">
        <v>0</v>
      </c>
      <c r="AI17" s="142">
        <v>0</v>
      </c>
      <c r="AJ17" s="142">
        <v>0</v>
      </c>
      <c r="AK17" s="142">
        <v>0</v>
      </c>
    </row>
    <row r="18" spans="1:37" customFormat="1" x14ac:dyDescent="0.15">
      <c r="A18" s="179" t="s">
        <v>208</v>
      </c>
      <c r="B18" s="142">
        <v>0</v>
      </c>
      <c r="C18" s="142">
        <v>3.9969546367566661E-3</v>
      </c>
      <c r="D18" s="142">
        <v>0</v>
      </c>
      <c r="E18" s="142">
        <v>0</v>
      </c>
      <c r="F18" s="142">
        <v>2.0000000483600014E-3</v>
      </c>
      <c r="G18" s="142">
        <v>0</v>
      </c>
      <c r="H18" s="142">
        <v>0</v>
      </c>
      <c r="I18" s="142">
        <v>3.0022936477118083E-3</v>
      </c>
      <c r="J18" s="142">
        <v>4.9979128141827787E-3</v>
      </c>
      <c r="K18" s="142">
        <v>0</v>
      </c>
      <c r="L18" s="142">
        <v>0</v>
      </c>
      <c r="M18" s="142">
        <v>0</v>
      </c>
      <c r="N18" s="142">
        <v>3.0029579105869727E-3</v>
      </c>
      <c r="O18" s="142">
        <v>5.0000000000000001E-3</v>
      </c>
      <c r="P18" s="142">
        <v>0</v>
      </c>
      <c r="Q18" s="142">
        <v>9.9995595803977974E-3</v>
      </c>
      <c r="R18" s="142">
        <v>0</v>
      </c>
      <c r="S18" s="142">
        <v>0</v>
      </c>
      <c r="T18" s="142">
        <v>2E-3</v>
      </c>
      <c r="U18" s="142">
        <v>0</v>
      </c>
      <c r="V18" s="142">
        <v>0</v>
      </c>
      <c r="W18" s="142">
        <v>0</v>
      </c>
      <c r="X18" s="142">
        <v>1.000013985835601E-3</v>
      </c>
      <c r="Y18" s="142">
        <v>0</v>
      </c>
      <c r="Z18" s="142">
        <v>0</v>
      </c>
      <c r="AA18" s="142">
        <v>0</v>
      </c>
      <c r="AB18" s="142">
        <v>0</v>
      </c>
      <c r="AC18" s="142">
        <v>0</v>
      </c>
      <c r="AD18" s="142">
        <v>0</v>
      </c>
      <c r="AE18" s="142">
        <v>0</v>
      </c>
      <c r="AF18" s="142">
        <v>0</v>
      </c>
      <c r="AG18" s="142">
        <v>0</v>
      </c>
      <c r="AH18" s="142">
        <v>0</v>
      </c>
      <c r="AI18" s="142">
        <v>0</v>
      </c>
      <c r="AJ18" s="142">
        <v>0</v>
      </c>
      <c r="AK18" s="142">
        <v>0</v>
      </c>
    </row>
    <row r="19" spans="1:37" customFormat="1" x14ac:dyDescent="0.15">
      <c r="A19" s="179" t="s">
        <v>209</v>
      </c>
      <c r="B19" s="142">
        <v>0</v>
      </c>
      <c r="C19" s="142">
        <v>0</v>
      </c>
      <c r="D19" s="142">
        <v>0</v>
      </c>
      <c r="E19" s="142">
        <v>0</v>
      </c>
      <c r="F19" s="142">
        <v>3.000000072540002E-2</v>
      </c>
      <c r="G19" s="142">
        <v>3.6096344430470342E-2</v>
      </c>
      <c r="H19" s="142">
        <v>1.0001398700008811E-2</v>
      </c>
      <c r="I19" s="142">
        <v>4.0030578903548338E-2</v>
      </c>
      <c r="J19" s="142">
        <v>4.1940530352628048E-2</v>
      </c>
      <c r="K19" s="142">
        <v>0</v>
      </c>
      <c r="L19" s="142">
        <v>0</v>
      </c>
      <c r="M19" s="142">
        <v>0</v>
      </c>
      <c r="N19" s="142">
        <v>0</v>
      </c>
      <c r="O19" s="142">
        <v>0</v>
      </c>
      <c r="P19" s="142">
        <v>0</v>
      </c>
      <c r="Q19" s="142">
        <v>0</v>
      </c>
      <c r="R19" s="142">
        <v>0</v>
      </c>
      <c r="S19" s="142">
        <v>3.0014632235865021E-2</v>
      </c>
      <c r="T19" s="142">
        <v>0</v>
      </c>
      <c r="U19" s="142">
        <v>0</v>
      </c>
      <c r="V19" s="142">
        <v>0</v>
      </c>
      <c r="W19" s="142">
        <v>0</v>
      </c>
      <c r="X19" s="142">
        <v>1.0000139858356009E-2</v>
      </c>
      <c r="Y19" s="142">
        <v>1.5000299705988124E-2</v>
      </c>
      <c r="Z19" s="142">
        <v>0</v>
      </c>
      <c r="AA19" s="142">
        <v>0</v>
      </c>
      <c r="AB19" s="142">
        <v>5.9923000741845273E-3</v>
      </c>
      <c r="AC19" s="142">
        <v>0</v>
      </c>
      <c r="AD19" s="142">
        <v>0</v>
      </c>
      <c r="AE19" s="142">
        <v>0</v>
      </c>
      <c r="AF19" s="142">
        <v>0</v>
      </c>
      <c r="AG19" s="142">
        <v>0</v>
      </c>
      <c r="AH19" s="142">
        <v>0</v>
      </c>
      <c r="AI19" s="142">
        <v>0</v>
      </c>
      <c r="AJ19" s="142">
        <v>0</v>
      </c>
      <c r="AK19" s="142">
        <v>0</v>
      </c>
    </row>
    <row r="20" spans="1:37" customFormat="1" x14ac:dyDescent="0.15">
      <c r="A20" s="179" t="s">
        <v>210</v>
      </c>
      <c r="B20" s="142">
        <v>0</v>
      </c>
      <c r="C20" s="142">
        <v>0</v>
      </c>
      <c r="D20" s="142">
        <v>0</v>
      </c>
      <c r="E20" s="142">
        <v>0</v>
      </c>
      <c r="F20" s="142">
        <v>4.9999995408999895E-3</v>
      </c>
      <c r="G20" s="142">
        <v>6.3699427815365559E-3</v>
      </c>
      <c r="H20" s="142">
        <v>0</v>
      </c>
      <c r="I20" s="142">
        <v>8.0061168204640602E-3</v>
      </c>
      <c r="J20" s="142">
        <v>0</v>
      </c>
      <c r="K20" s="142">
        <v>0</v>
      </c>
      <c r="L20" s="142">
        <v>0</v>
      </c>
      <c r="M20" s="142">
        <v>0</v>
      </c>
      <c r="N20" s="142">
        <v>1.6999744748832597E-2</v>
      </c>
      <c r="O20" s="142">
        <v>2.5000000000000001E-2</v>
      </c>
      <c r="P20" s="142">
        <v>0</v>
      </c>
      <c r="Q20" s="142">
        <v>5.9997357482386778E-2</v>
      </c>
      <c r="R20" s="142">
        <v>0</v>
      </c>
      <c r="S20" s="142">
        <v>0</v>
      </c>
      <c r="T20" s="142">
        <v>0</v>
      </c>
      <c r="U20" s="142">
        <v>0</v>
      </c>
      <c r="V20" s="142">
        <v>0</v>
      </c>
      <c r="W20" s="142">
        <v>0</v>
      </c>
      <c r="X20" s="142">
        <v>1.0000139858356009E-2</v>
      </c>
      <c r="Y20" s="142">
        <v>0</v>
      </c>
      <c r="Z20" s="142">
        <v>0</v>
      </c>
      <c r="AA20" s="142">
        <v>0</v>
      </c>
      <c r="AB20" s="142">
        <v>0</v>
      </c>
      <c r="AC20" s="142">
        <v>0</v>
      </c>
      <c r="AD20" s="142">
        <v>0</v>
      </c>
      <c r="AE20" s="142">
        <v>0</v>
      </c>
      <c r="AF20" s="142">
        <v>0</v>
      </c>
      <c r="AG20" s="142">
        <v>0</v>
      </c>
      <c r="AH20" s="142">
        <v>0</v>
      </c>
      <c r="AI20" s="142">
        <v>0</v>
      </c>
      <c r="AJ20" s="142">
        <v>0</v>
      </c>
      <c r="AK20" s="142">
        <v>0</v>
      </c>
    </row>
    <row r="21" spans="1:37" customFormat="1" x14ac:dyDescent="0.15">
      <c r="A21" s="179" t="s">
        <v>211</v>
      </c>
      <c r="B21" s="142">
        <v>0</v>
      </c>
      <c r="C21" s="142">
        <v>1.0002378092397889E-3</v>
      </c>
      <c r="D21" s="142">
        <v>0</v>
      </c>
      <c r="E21" s="142">
        <v>1.9999999999999997E-2</v>
      </c>
      <c r="F21" s="142">
        <v>2.2000000531960013E-2</v>
      </c>
      <c r="G21" s="142">
        <v>0</v>
      </c>
      <c r="H21" s="142">
        <v>1.5002098050013216E-2</v>
      </c>
      <c r="I21" s="142">
        <v>1.199716606746256E-2</v>
      </c>
      <c r="J21" s="142">
        <v>0</v>
      </c>
      <c r="K21" s="142">
        <v>0</v>
      </c>
      <c r="L21" s="142">
        <v>0</v>
      </c>
      <c r="M21" s="142">
        <v>0</v>
      </c>
      <c r="N21" s="142">
        <v>1.2999804807930808E-2</v>
      </c>
      <c r="O21" s="142">
        <v>3.6999999999999998E-2</v>
      </c>
      <c r="P21" s="142">
        <v>0</v>
      </c>
      <c r="Q21" s="142">
        <v>1.9999119160795595E-3</v>
      </c>
      <c r="R21" s="142">
        <v>0</v>
      </c>
      <c r="S21" s="142">
        <v>1.0004877411955008E-3</v>
      </c>
      <c r="T21" s="142">
        <v>1.6E-2</v>
      </c>
      <c r="U21" s="142">
        <v>0</v>
      </c>
      <c r="V21" s="142">
        <v>1.5006203366389781E-2</v>
      </c>
      <c r="W21" s="142">
        <v>0</v>
      </c>
      <c r="X21" s="142">
        <v>1.2000167830027211E-2</v>
      </c>
      <c r="Y21" s="142">
        <v>2.0000399607984164E-3</v>
      </c>
      <c r="Z21" s="142">
        <v>0</v>
      </c>
      <c r="AA21" s="142">
        <v>0</v>
      </c>
      <c r="AB21" s="142">
        <v>0</v>
      </c>
      <c r="AC21" s="142">
        <v>0</v>
      </c>
      <c r="AD21" s="142">
        <v>0</v>
      </c>
      <c r="AE21" s="142">
        <v>2.0000000000000005E-3</v>
      </c>
      <c r="AF21" s="142">
        <v>0</v>
      </c>
      <c r="AG21" s="142">
        <v>0</v>
      </c>
      <c r="AH21" s="142">
        <v>0</v>
      </c>
      <c r="AI21" s="142">
        <v>0</v>
      </c>
      <c r="AJ21" s="142">
        <v>0</v>
      </c>
      <c r="AK21" s="142">
        <v>0</v>
      </c>
    </row>
    <row r="22" spans="1:37" customFormat="1" x14ac:dyDescent="0.15">
      <c r="A22" s="179" t="s">
        <v>212</v>
      </c>
      <c r="B22" s="142">
        <v>0</v>
      </c>
      <c r="C22" s="142">
        <v>9.9923867169213914E-4</v>
      </c>
      <c r="D22" s="142">
        <v>0</v>
      </c>
      <c r="E22" s="142">
        <v>9.999999999999998E-4</v>
      </c>
      <c r="F22" s="142">
        <v>0</v>
      </c>
      <c r="G22" s="142">
        <v>1.0595338199991068E-2</v>
      </c>
      <c r="H22" s="142">
        <v>1.0001398700008812E-3</v>
      </c>
      <c r="I22" s="142">
        <v>1.9995276779104267E-3</v>
      </c>
      <c r="J22" s="142">
        <v>1.9991651256731115E-3</v>
      </c>
      <c r="K22" s="142">
        <v>0</v>
      </c>
      <c r="L22" s="142">
        <v>0</v>
      </c>
      <c r="M22" s="142">
        <v>0</v>
      </c>
      <c r="N22" s="142">
        <v>9.9998498522544678E-4</v>
      </c>
      <c r="O22" s="142">
        <v>4.0000000000000001E-3</v>
      </c>
      <c r="P22" s="142">
        <v>0</v>
      </c>
      <c r="Q22" s="142">
        <v>0</v>
      </c>
      <c r="R22" s="142">
        <v>0</v>
      </c>
      <c r="S22" s="142">
        <v>1.0004877411955008E-3</v>
      </c>
      <c r="T22" s="142">
        <v>1E-3</v>
      </c>
      <c r="U22" s="142">
        <v>0</v>
      </c>
      <c r="V22" s="142">
        <v>1.5006203366389781E-2</v>
      </c>
      <c r="W22" s="142">
        <v>0</v>
      </c>
      <c r="X22" s="142">
        <v>1.000013985835601E-3</v>
      </c>
      <c r="Y22" s="142">
        <v>0</v>
      </c>
      <c r="Z22" s="142">
        <v>0</v>
      </c>
      <c r="AA22" s="142">
        <v>0</v>
      </c>
      <c r="AB22" s="142">
        <v>0</v>
      </c>
      <c r="AC22" s="142">
        <v>0</v>
      </c>
      <c r="AD22" s="142">
        <v>0</v>
      </c>
      <c r="AE22" s="142">
        <v>0</v>
      </c>
      <c r="AF22" s="142">
        <v>0</v>
      </c>
      <c r="AG22" s="142">
        <v>0</v>
      </c>
      <c r="AH22" s="142">
        <v>0</v>
      </c>
      <c r="AI22" s="142">
        <v>0</v>
      </c>
      <c r="AJ22" s="142">
        <v>0</v>
      </c>
      <c r="AK22" s="142">
        <v>0</v>
      </c>
    </row>
    <row r="23" spans="1:37" customFormat="1" x14ac:dyDescent="0.15">
      <c r="A23" s="179" t="s">
        <v>213</v>
      </c>
      <c r="B23" s="142">
        <v>0</v>
      </c>
      <c r="C23" s="142">
        <v>2.997715975066905E-3</v>
      </c>
      <c r="D23" s="142">
        <v>0</v>
      </c>
      <c r="E23" s="142">
        <v>8.9999999999999976E-3</v>
      </c>
      <c r="F23" s="142">
        <v>5.0000001209000037E-3</v>
      </c>
      <c r="G23" s="142">
        <v>1.5893007800427402E-2</v>
      </c>
      <c r="H23" s="142">
        <v>0</v>
      </c>
      <c r="I23" s="142">
        <v>1.801376144637476E-2</v>
      </c>
      <c r="J23" s="142">
        <v>0</v>
      </c>
      <c r="K23" s="142">
        <v>0</v>
      </c>
      <c r="L23" s="142">
        <v>0</v>
      </c>
      <c r="M23" s="142">
        <v>0</v>
      </c>
      <c r="N23" s="142">
        <v>6.0059158211739454E-3</v>
      </c>
      <c r="O23" s="142">
        <v>1.4999999999999999E-2</v>
      </c>
      <c r="P23" s="142">
        <v>0</v>
      </c>
      <c r="Q23" s="142">
        <v>0</v>
      </c>
      <c r="R23" s="142">
        <v>0</v>
      </c>
      <c r="S23" s="142">
        <v>5.0074454968051553E-3</v>
      </c>
      <c r="T23" s="142">
        <v>0.02</v>
      </c>
      <c r="U23" s="142">
        <v>0</v>
      </c>
      <c r="V23" s="142">
        <v>2.6036790565534158E-2</v>
      </c>
      <c r="W23" s="142">
        <v>0</v>
      </c>
      <c r="X23" s="142">
        <v>1.0000139858356009E-2</v>
      </c>
      <c r="Y23" s="142">
        <v>1.0000199803992082E-3</v>
      </c>
      <c r="Z23" s="142">
        <v>0</v>
      </c>
      <c r="AA23" s="142">
        <v>0</v>
      </c>
      <c r="AB23" s="142">
        <v>0</v>
      </c>
      <c r="AC23" s="142">
        <v>0</v>
      </c>
      <c r="AD23" s="142">
        <v>0</v>
      </c>
      <c r="AE23" s="142">
        <v>0</v>
      </c>
      <c r="AF23" s="142">
        <v>0</v>
      </c>
      <c r="AG23" s="142">
        <v>0</v>
      </c>
      <c r="AH23" s="142">
        <v>0</v>
      </c>
      <c r="AI23" s="142">
        <v>0</v>
      </c>
      <c r="AJ23" s="142">
        <v>0</v>
      </c>
      <c r="AK23" s="142">
        <v>0</v>
      </c>
    </row>
    <row r="24" spans="1:37" customFormat="1" x14ac:dyDescent="0.15">
      <c r="A24" s="179" t="s">
        <v>214</v>
      </c>
      <c r="B24" s="142">
        <v>0</v>
      </c>
      <c r="C24" s="142">
        <v>0</v>
      </c>
      <c r="D24" s="142">
        <v>0</v>
      </c>
      <c r="E24" s="142">
        <v>0</v>
      </c>
      <c r="F24" s="142">
        <v>1.7000000411060014E-2</v>
      </c>
      <c r="G24" s="142">
        <v>1.5893007800427402E-2</v>
      </c>
      <c r="H24" s="142">
        <v>8.0011189600070493E-3</v>
      </c>
      <c r="I24" s="142">
        <v>3.9990553558208533E-2</v>
      </c>
      <c r="J24" s="142">
        <v>0</v>
      </c>
      <c r="K24" s="142">
        <v>0</v>
      </c>
      <c r="L24" s="142">
        <v>0</v>
      </c>
      <c r="M24" s="142">
        <v>0</v>
      </c>
      <c r="N24" s="142">
        <v>9.9998498522544683E-3</v>
      </c>
      <c r="O24" s="142">
        <v>1.2E-2</v>
      </c>
      <c r="P24" s="142">
        <v>0</v>
      </c>
      <c r="Q24" s="142">
        <v>0</v>
      </c>
      <c r="R24" s="142">
        <v>0</v>
      </c>
      <c r="S24" s="142">
        <v>0</v>
      </c>
      <c r="T24" s="142">
        <v>0</v>
      </c>
      <c r="U24" s="142">
        <v>0</v>
      </c>
      <c r="V24" s="142">
        <v>1.0004135577593188E-2</v>
      </c>
      <c r="W24" s="142">
        <v>0</v>
      </c>
      <c r="X24" s="142">
        <v>2.0000279716712019E-2</v>
      </c>
      <c r="Y24" s="142">
        <v>0</v>
      </c>
      <c r="Z24" s="142">
        <v>0</v>
      </c>
      <c r="AA24" s="142">
        <v>0</v>
      </c>
      <c r="AB24" s="142">
        <v>0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  <c r="AH24" s="142">
        <v>0</v>
      </c>
      <c r="AI24" s="142">
        <v>0</v>
      </c>
      <c r="AJ24" s="142">
        <v>0</v>
      </c>
      <c r="AK24" s="142">
        <v>0</v>
      </c>
    </row>
    <row r="25" spans="1:37" customFormat="1" x14ac:dyDescent="0.15">
      <c r="A25" s="179" t="s">
        <v>215</v>
      </c>
      <c r="B25" s="142">
        <v>0</v>
      </c>
      <c r="C25" s="142">
        <v>2.1983249076822784E-2</v>
      </c>
      <c r="D25" s="142">
        <v>0</v>
      </c>
      <c r="E25" s="142">
        <v>3.1999999999999994E-2</v>
      </c>
      <c r="F25" s="142">
        <v>2.0000000483600015E-2</v>
      </c>
      <c r="G25" s="142">
        <v>4.2381352900052432E-2</v>
      </c>
      <c r="H25" s="142">
        <v>3.0004196100026432E-2</v>
      </c>
      <c r="I25" s="142">
        <v>4.998819194776067E-2</v>
      </c>
      <c r="J25" s="142">
        <v>4.0982885076298783E-2</v>
      </c>
      <c r="K25" s="142">
        <v>0</v>
      </c>
      <c r="L25" s="142">
        <v>0</v>
      </c>
      <c r="M25" s="142">
        <v>0</v>
      </c>
      <c r="N25" s="142">
        <v>1.9999699704508937E-2</v>
      </c>
      <c r="O25" s="142">
        <v>0.02</v>
      </c>
      <c r="P25" s="142">
        <v>2.9992013546680709E-2</v>
      </c>
      <c r="Q25" s="142">
        <v>7.699660876906303E-2</v>
      </c>
      <c r="R25" s="142">
        <v>3.0000000000000002E-2</v>
      </c>
      <c r="S25" s="142">
        <v>4.0019509647820035E-2</v>
      </c>
      <c r="T25" s="142">
        <v>0.06</v>
      </c>
      <c r="U25" s="142">
        <v>0</v>
      </c>
      <c r="V25" s="142">
        <v>2.6036790565534158E-2</v>
      </c>
      <c r="W25" s="142">
        <v>0</v>
      </c>
      <c r="X25" s="142">
        <v>3.0000419575068028E-2</v>
      </c>
      <c r="Y25" s="142">
        <v>2.0000399607984165E-2</v>
      </c>
      <c r="Z25" s="142">
        <v>0</v>
      </c>
      <c r="AA25" s="142">
        <v>0</v>
      </c>
      <c r="AB25" s="142">
        <v>0</v>
      </c>
      <c r="AC25" s="142">
        <v>0</v>
      </c>
      <c r="AD25" s="142">
        <v>0</v>
      </c>
      <c r="AE25" s="142">
        <v>2.0000000000000004E-2</v>
      </c>
      <c r="AF25" s="142">
        <v>0</v>
      </c>
      <c r="AG25" s="142">
        <v>0</v>
      </c>
      <c r="AH25" s="142">
        <v>0</v>
      </c>
      <c r="AI25" s="142">
        <v>0</v>
      </c>
      <c r="AJ25" s="142">
        <v>0</v>
      </c>
      <c r="AK25" s="142">
        <v>0</v>
      </c>
    </row>
    <row r="26" spans="1:37" customFormat="1" x14ac:dyDescent="0.15">
      <c r="A26" s="179" t="s">
        <v>216</v>
      </c>
      <c r="B26" s="142">
        <v>0</v>
      </c>
      <c r="C26" s="142">
        <v>1.0002378092397887E-2</v>
      </c>
      <c r="D26" s="142">
        <v>0</v>
      </c>
      <c r="E26" s="142">
        <v>2.9999999999999992E-2</v>
      </c>
      <c r="F26" s="142">
        <v>2.5000000604500017E-2</v>
      </c>
      <c r="G26" s="142">
        <v>2.1190676500070296E-2</v>
      </c>
      <c r="H26" s="142">
        <v>4.7006573890041412E-2</v>
      </c>
      <c r="I26" s="142">
        <v>4.598913659193981E-2</v>
      </c>
      <c r="J26" s="142">
        <v>2.9987476885096672E-2</v>
      </c>
      <c r="K26" s="142">
        <v>0</v>
      </c>
      <c r="L26" s="142">
        <v>0</v>
      </c>
      <c r="M26" s="142">
        <v>0</v>
      </c>
      <c r="N26" s="142">
        <v>0</v>
      </c>
      <c r="O26" s="142">
        <v>0.01</v>
      </c>
      <c r="P26" s="142">
        <v>4.998668924446785E-2</v>
      </c>
      <c r="Q26" s="142">
        <v>9.9995595803977974E-3</v>
      </c>
      <c r="R26" s="142">
        <v>4.0000000000000008E-2</v>
      </c>
      <c r="S26" s="142">
        <v>2.0009754823910018E-2</v>
      </c>
      <c r="T26" s="142">
        <v>0.04</v>
      </c>
      <c r="U26" s="142">
        <v>0</v>
      </c>
      <c r="V26" s="142">
        <v>0</v>
      </c>
      <c r="W26" s="142">
        <v>0</v>
      </c>
      <c r="X26" s="142">
        <v>4.5000629362602039E-2</v>
      </c>
      <c r="Y26" s="142">
        <v>1.0000199803992083E-2</v>
      </c>
      <c r="Z26" s="142">
        <v>0</v>
      </c>
      <c r="AA26" s="142">
        <v>0</v>
      </c>
      <c r="AB26" s="142">
        <v>0</v>
      </c>
      <c r="AC26" s="142">
        <v>0</v>
      </c>
      <c r="AD26" s="142">
        <v>0</v>
      </c>
      <c r="AE26" s="142">
        <v>5.000000000000001E-3</v>
      </c>
      <c r="AF26" s="142">
        <v>0</v>
      </c>
      <c r="AG26" s="142">
        <v>0</v>
      </c>
      <c r="AH26" s="142">
        <v>0</v>
      </c>
      <c r="AI26" s="142">
        <v>0</v>
      </c>
      <c r="AJ26" s="142">
        <v>0</v>
      </c>
      <c r="AK26" s="142">
        <v>0</v>
      </c>
    </row>
    <row r="27" spans="1:37" customFormat="1" x14ac:dyDescent="0.15">
      <c r="A27" s="179" t="s">
        <v>217</v>
      </c>
      <c r="B27" s="142">
        <v>2.2774327525051763E-2</v>
      </c>
      <c r="C27" s="142">
        <v>2.2005231803275353E-2</v>
      </c>
      <c r="D27" s="142">
        <v>0</v>
      </c>
      <c r="E27" s="142">
        <v>5.9999999999999984E-2</v>
      </c>
      <c r="F27" s="142">
        <v>3.5000000846300026E-2</v>
      </c>
      <c r="G27" s="142">
        <v>2.1190676500070296E-2</v>
      </c>
      <c r="H27" s="142">
        <v>2.5003496750022031E-2</v>
      </c>
      <c r="I27" s="142">
        <v>3.1992442846566826E-2</v>
      </c>
      <c r="J27" s="142">
        <v>3.9983302513462229E-2</v>
      </c>
      <c r="K27" s="142">
        <v>0</v>
      </c>
      <c r="L27" s="142">
        <v>0</v>
      </c>
      <c r="M27" s="142">
        <v>0</v>
      </c>
      <c r="N27" s="142">
        <v>1.8999714719283488E-2</v>
      </c>
      <c r="O27" s="142">
        <v>1.0999999999999999E-2</v>
      </c>
      <c r="P27" s="142">
        <v>5.2985890599135915E-2</v>
      </c>
      <c r="Q27" s="142">
        <v>2.9998678741193389E-2</v>
      </c>
      <c r="R27" s="142">
        <v>4.0000000000000008E-2</v>
      </c>
      <c r="S27" s="142">
        <v>2.0009754823910018E-2</v>
      </c>
      <c r="T27" s="142">
        <v>0.04</v>
      </c>
      <c r="U27" s="142">
        <v>0</v>
      </c>
      <c r="V27" s="142">
        <v>4.0016542310372751E-2</v>
      </c>
      <c r="W27" s="142">
        <v>0</v>
      </c>
      <c r="X27" s="142">
        <v>6.200086712180726E-2</v>
      </c>
      <c r="Y27" s="142">
        <v>7.0001398627944592E-2</v>
      </c>
      <c r="Z27" s="142">
        <v>0</v>
      </c>
      <c r="AA27" s="142">
        <v>9.9999999750000016E-3</v>
      </c>
      <c r="AB27" s="142">
        <v>5.9923000741845273E-3</v>
      </c>
      <c r="AC27" s="142">
        <v>0</v>
      </c>
      <c r="AD27" s="142">
        <v>0</v>
      </c>
      <c r="AE27" s="142">
        <v>5.000000000000001E-3</v>
      </c>
      <c r="AF27" s="142">
        <v>0</v>
      </c>
      <c r="AG27" s="142">
        <v>0</v>
      </c>
      <c r="AH27" s="142">
        <v>0</v>
      </c>
      <c r="AI27" s="142">
        <v>0</v>
      </c>
      <c r="AJ27" s="142">
        <v>0</v>
      </c>
      <c r="AK27" s="142">
        <v>0</v>
      </c>
    </row>
    <row r="28" spans="1:37" customFormat="1" x14ac:dyDescent="0.15">
      <c r="A28" s="179" t="s">
        <v>218</v>
      </c>
      <c r="B28" s="142">
        <v>2.2774327525051763E-2</v>
      </c>
      <c r="C28" s="142">
        <v>0</v>
      </c>
      <c r="D28" s="142">
        <v>0</v>
      </c>
      <c r="E28" s="142">
        <v>0</v>
      </c>
      <c r="F28" s="142">
        <v>1.0000000241800007E-2</v>
      </c>
      <c r="G28" s="142">
        <v>1.5924856953841389E-2</v>
      </c>
      <c r="H28" s="142">
        <v>3.2971645799172541E-2</v>
      </c>
      <c r="I28" s="142">
        <v>0</v>
      </c>
      <c r="J28" s="142">
        <v>0</v>
      </c>
      <c r="K28" s="142">
        <v>0</v>
      </c>
      <c r="L28" s="142">
        <v>0</v>
      </c>
      <c r="M28" s="142">
        <v>0</v>
      </c>
      <c r="N28" s="142">
        <v>0</v>
      </c>
      <c r="O28" s="142">
        <v>0</v>
      </c>
      <c r="P28" s="142">
        <v>0</v>
      </c>
      <c r="Q28" s="142">
        <v>0</v>
      </c>
      <c r="R28" s="142">
        <v>0</v>
      </c>
      <c r="S28" s="142">
        <v>3.0044675281952738E-3</v>
      </c>
      <c r="T28" s="142">
        <v>0</v>
      </c>
      <c r="U28" s="142">
        <v>0</v>
      </c>
      <c r="V28" s="142">
        <v>0</v>
      </c>
      <c r="W28" s="142">
        <v>0</v>
      </c>
      <c r="X28" s="142">
        <v>0</v>
      </c>
      <c r="Y28" s="142">
        <v>5.0000999019960413E-3</v>
      </c>
      <c r="Z28" s="142">
        <v>0</v>
      </c>
      <c r="AA28" s="142">
        <v>0</v>
      </c>
      <c r="AB28" s="142">
        <v>1.8994590819957951E-2</v>
      </c>
      <c r="AC28" s="142">
        <v>0</v>
      </c>
      <c r="AD28" s="142">
        <v>0</v>
      </c>
      <c r="AE28" s="142">
        <v>8.0000000000000019E-3</v>
      </c>
      <c r="AF28" s="142">
        <v>0</v>
      </c>
      <c r="AG28" s="142">
        <v>0</v>
      </c>
      <c r="AH28" s="142">
        <v>0</v>
      </c>
      <c r="AI28" s="142">
        <v>0</v>
      </c>
      <c r="AJ28" s="142">
        <v>0</v>
      </c>
      <c r="AK28" s="142">
        <v>0</v>
      </c>
    </row>
    <row r="29" spans="1:37" customFormat="1" x14ac:dyDescent="0.15">
      <c r="A29" s="179" t="s">
        <v>219</v>
      </c>
      <c r="B29" s="142">
        <v>2.2774327525051763E-2</v>
      </c>
      <c r="C29" s="142">
        <v>2.5980204663805372E-2</v>
      </c>
      <c r="D29" s="142">
        <v>0</v>
      </c>
      <c r="E29" s="142">
        <v>0</v>
      </c>
      <c r="F29" s="142">
        <v>4.0000000967200027E-3</v>
      </c>
      <c r="G29" s="142">
        <v>3.1849713907682778E-2</v>
      </c>
      <c r="H29" s="142">
        <v>2.9974224508486171E-3</v>
      </c>
      <c r="I29" s="142">
        <v>0</v>
      </c>
      <c r="J29" s="142">
        <v>9.9958256283655574E-4</v>
      </c>
      <c r="K29" s="142">
        <v>0</v>
      </c>
      <c r="L29" s="142">
        <v>0</v>
      </c>
      <c r="M29" s="142">
        <v>0</v>
      </c>
      <c r="N29" s="142">
        <v>0</v>
      </c>
      <c r="O29" s="142">
        <v>0</v>
      </c>
      <c r="P29" s="142">
        <v>0</v>
      </c>
      <c r="Q29" s="142">
        <v>0</v>
      </c>
      <c r="R29" s="142">
        <v>0</v>
      </c>
      <c r="S29" s="142">
        <v>5.0074454968051553E-3</v>
      </c>
      <c r="T29" s="142">
        <v>0</v>
      </c>
      <c r="U29" s="142">
        <v>0</v>
      </c>
      <c r="V29" s="142">
        <v>0</v>
      </c>
      <c r="W29" s="142">
        <v>0</v>
      </c>
      <c r="X29" s="142">
        <v>0</v>
      </c>
      <c r="Y29" s="142">
        <v>1.8000359647185746E-2</v>
      </c>
      <c r="Z29" s="142">
        <v>0</v>
      </c>
      <c r="AA29" s="142">
        <v>0</v>
      </c>
      <c r="AB29" s="142">
        <v>9.9971530631357639E-3</v>
      </c>
      <c r="AC29" s="142">
        <v>0</v>
      </c>
      <c r="AD29" s="142">
        <v>0</v>
      </c>
      <c r="AE29" s="142">
        <v>1.0000000000000002E-2</v>
      </c>
      <c r="AF29" s="142">
        <v>0</v>
      </c>
      <c r="AG29" s="142">
        <v>0</v>
      </c>
      <c r="AH29" s="142">
        <v>0</v>
      </c>
      <c r="AI29" s="142">
        <v>0</v>
      </c>
      <c r="AJ29" s="142">
        <v>0</v>
      </c>
      <c r="AK29" s="142">
        <v>0</v>
      </c>
    </row>
    <row r="30" spans="1:37" customFormat="1" x14ac:dyDescent="0.15">
      <c r="A30" s="179" t="s">
        <v>220</v>
      </c>
      <c r="B30" s="142">
        <v>0</v>
      </c>
      <c r="C30" s="142">
        <v>0</v>
      </c>
      <c r="D30" s="142">
        <v>0</v>
      </c>
      <c r="E30" s="142">
        <v>7.8999999999999987E-2</v>
      </c>
      <c r="F30" s="142">
        <v>8.2000001982760057E-2</v>
      </c>
      <c r="G30" s="142">
        <v>6.781016864361028E-2</v>
      </c>
      <c r="H30" s="142">
        <v>3.500489545003084E-2</v>
      </c>
      <c r="I30" s="142">
        <v>2.101605565395432E-2</v>
      </c>
      <c r="J30" s="142">
        <v>4.2982050201971891E-2</v>
      </c>
      <c r="K30" s="142">
        <v>0</v>
      </c>
      <c r="L30" s="142">
        <v>0</v>
      </c>
      <c r="M30" s="142">
        <v>3.1005255579952866E-2</v>
      </c>
      <c r="N30" s="142">
        <v>0.46399303314460738</v>
      </c>
      <c r="O30" s="142">
        <v>0.38500000000000001</v>
      </c>
      <c r="P30" s="142">
        <v>0.40089324774063217</v>
      </c>
      <c r="Q30" s="142">
        <v>0.60097353078190752</v>
      </c>
      <c r="R30" s="142">
        <v>0.46000000000000008</v>
      </c>
      <c r="S30" s="142">
        <v>0.23011218047496521</v>
      </c>
      <c r="T30" s="142">
        <v>0.24</v>
      </c>
      <c r="U30" s="142">
        <v>9.9900101918081971E-4</v>
      </c>
      <c r="V30" s="142">
        <v>0.1870773353009926</v>
      </c>
      <c r="W30" s="142">
        <v>0.16400810004844601</v>
      </c>
      <c r="X30" s="142">
        <v>0.28700401393481745</v>
      </c>
      <c r="Y30" s="142">
        <v>0.13400267737349392</v>
      </c>
      <c r="Z30" s="142">
        <v>0.13596917366721054</v>
      </c>
      <c r="AA30" s="142">
        <v>0.18799998637000098</v>
      </c>
      <c r="AB30" s="142">
        <v>0.17777156314577036</v>
      </c>
      <c r="AC30" s="142">
        <v>0.10904252425851083</v>
      </c>
      <c r="AD30" s="142">
        <v>0.01</v>
      </c>
      <c r="AE30" s="142">
        <v>0.16000000000000003</v>
      </c>
      <c r="AF30" s="142">
        <v>0</v>
      </c>
      <c r="AG30" s="142">
        <v>0</v>
      </c>
      <c r="AH30" s="142">
        <v>0</v>
      </c>
      <c r="AI30" s="142">
        <v>0</v>
      </c>
      <c r="AJ30" s="142">
        <v>0</v>
      </c>
      <c r="AK30" s="142">
        <v>0</v>
      </c>
    </row>
    <row r="31" spans="1:37" customFormat="1" x14ac:dyDescent="0.15">
      <c r="A31" s="179" t="s">
        <v>221</v>
      </c>
      <c r="B31" s="142">
        <v>3.9337474943271229E-2</v>
      </c>
      <c r="C31" s="142">
        <v>0.62114767953790884</v>
      </c>
      <c r="D31" s="142">
        <v>0</v>
      </c>
      <c r="E31" s="142">
        <v>4.3999999999999991E-2</v>
      </c>
      <c r="F31" s="142">
        <v>8.8000002127840052E-2</v>
      </c>
      <c r="G31" s="142">
        <v>0.1483347444083383</v>
      </c>
      <c r="H31" s="142">
        <v>0.19302699491017006</v>
      </c>
      <c r="I31" s="142">
        <v>8.7066513424199771E-2</v>
      </c>
      <c r="J31" s="142">
        <v>0.1018555679445059</v>
      </c>
      <c r="K31" s="142">
        <v>0</v>
      </c>
      <c r="L31" s="142">
        <v>0</v>
      </c>
      <c r="M31" s="142">
        <v>0</v>
      </c>
      <c r="N31" s="142">
        <v>0</v>
      </c>
      <c r="O31" s="142">
        <v>0.01</v>
      </c>
      <c r="P31" s="142">
        <v>0</v>
      </c>
      <c r="Q31" s="142">
        <v>0</v>
      </c>
      <c r="R31" s="142">
        <v>0</v>
      </c>
      <c r="S31" s="142">
        <v>5.1075946398549024E-2</v>
      </c>
      <c r="T31" s="142">
        <v>0</v>
      </c>
      <c r="U31" s="142">
        <v>0</v>
      </c>
      <c r="V31" s="142">
        <v>1.0014150317554494E-2</v>
      </c>
      <c r="W31" s="142">
        <v>0</v>
      </c>
      <c r="X31" s="142">
        <v>9.5001328654382086E-2</v>
      </c>
      <c r="Y31" s="142">
        <v>2.0000399607984165E-2</v>
      </c>
      <c r="Z31" s="142">
        <v>0</v>
      </c>
      <c r="AA31" s="142">
        <v>1.9999999950000003E-2</v>
      </c>
      <c r="AB31" s="142">
        <v>6.192043262366051E-2</v>
      </c>
      <c r="AC31" s="142">
        <v>6.1023799585038156E-4</v>
      </c>
      <c r="AD31" s="142">
        <v>0</v>
      </c>
      <c r="AE31" s="142">
        <v>1.0000000000000002E-2</v>
      </c>
      <c r="AF31" s="142">
        <v>0</v>
      </c>
      <c r="AG31" s="142">
        <v>0</v>
      </c>
      <c r="AH31" s="142">
        <v>0</v>
      </c>
      <c r="AI31" s="142">
        <v>0</v>
      </c>
      <c r="AJ31" s="142">
        <v>0</v>
      </c>
      <c r="AK31" s="142">
        <v>0</v>
      </c>
    </row>
    <row r="32" spans="1:37" customFormat="1" x14ac:dyDescent="0.15">
      <c r="A32" s="179" t="s">
        <v>222</v>
      </c>
      <c r="B32" s="142">
        <v>0</v>
      </c>
      <c r="C32" s="142">
        <v>6.8016171028305636E-2</v>
      </c>
      <c r="D32" s="142">
        <v>0</v>
      </c>
      <c r="E32" s="142">
        <v>0.27599999999999997</v>
      </c>
      <c r="F32" s="142">
        <v>0.19400000469092013</v>
      </c>
      <c r="G32" s="142">
        <v>9.641758106295141E-2</v>
      </c>
      <c r="H32" s="142">
        <v>2.198109656602644E-2</v>
      </c>
      <c r="I32" s="142">
        <v>5.0038223629435422E-3</v>
      </c>
      <c r="J32" s="142">
        <v>3.9943362692790255E-3</v>
      </c>
      <c r="K32" s="142">
        <v>2.8000000000000004E-2</v>
      </c>
      <c r="L32" s="142">
        <v>0.15</v>
      </c>
      <c r="M32" s="142">
        <v>8.6273407768884633E-2</v>
      </c>
      <c r="N32" s="142">
        <v>0.11999819822705361</v>
      </c>
      <c r="O32" s="142">
        <v>0.12</v>
      </c>
      <c r="P32" s="142">
        <v>0.11996805418672284</v>
      </c>
      <c r="Q32" s="142">
        <v>3.5998414489432064E-2</v>
      </c>
      <c r="R32" s="142">
        <v>0</v>
      </c>
      <c r="S32" s="142">
        <v>0.30044676882733129</v>
      </c>
      <c r="T32" s="142">
        <v>0.37</v>
      </c>
      <c r="U32" s="142">
        <v>1.3986014068531472E-2</v>
      </c>
      <c r="V32" s="142">
        <v>0.47967779246765929</v>
      </c>
      <c r="W32" s="142">
        <v>0.65690108009623382</v>
      </c>
      <c r="X32" s="142">
        <v>0.21200296499714741</v>
      </c>
      <c r="Y32" s="142">
        <v>0.21300425582503135</v>
      </c>
      <c r="Z32" s="142">
        <v>0.65319850970795246</v>
      </c>
      <c r="AA32" s="142">
        <v>0.52400001100999916</v>
      </c>
      <c r="AB32" s="142">
        <v>0.11884728429313879</v>
      </c>
      <c r="AC32" s="142">
        <v>0.39715489729934661</v>
      </c>
      <c r="AD32" s="142">
        <v>0.4</v>
      </c>
      <c r="AE32" s="142">
        <v>0.34400000000000003</v>
      </c>
      <c r="AF32" s="142">
        <v>0.04</v>
      </c>
      <c r="AG32" s="142">
        <v>0</v>
      </c>
      <c r="AH32" s="142">
        <v>0</v>
      </c>
      <c r="AI32" s="142">
        <v>0</v>
      </c>
      <c r="AJ32" s="142">
        <v>0</v>
      </c>
      <c r="AK32" s="142">
        <v>0</v>
      </c>
    </row>
    <row r="33" spans="1:37" customFormat="1" x14ac:dyDescent="0.15">
      <c r="A33" s="179" t="s">
        <v>223</v>
      </c>
      <c r="B33" s="142">
        <v>0.77846790085631479</v>
      </c>
      <c r="C33" s="142">
        <v>0</v>
      </c>
      <c r="D33" s="142">
        <v>0.1</v>
      </c>
      <c r="E33" s="142">
        <v>3.3999999999999996E-2</v>
      </c>
      <c r="F33" s="142">
        <v>8.8000002127840052E-2</v>
      </c>
      <c r="G33" s="142">
        <v>1.5924856953841389E-2</v>
      </c>
      <c r="H33" s="142">
        <v>3.1972506169055649E-2</v>
      </c>
      <c r="I33" s="142">
        <v>1.0007646025580075E-3</v>
      </c>
      <c r="J33" s="142">
        <v>1.9971681396374254E-3</v>
      </c>
      <c r="K33" s="142">
        <v>0.23600000000000002</v>
      </c>
      <c r="L33" s="142">
        <v>0</v>
      </c>
      <c r="M33" s="142">
        <v>0.20603492417646099</v>
      </c>
      <c r="N33" s="142">
        <v>0.1639975375769733</v>
      </c>
      <c r="O33" s="142">
        <v>0.12</v>
      </c>
      <c r="P33" s="142">
        <v>7.9978702791148562E-2</v>
      </c>
      <c r="Q33" s="142">
        <v>8.999603622358017E-2</v>
      </c>
      <c r="R33" s="142">
        <v>7.6000000000000012E-2</v>
      </c>
      <c r="S33" s="142">
        <v>4.8023411577384038E-2</v>
      </c>
      <c r="T33" s="142">
        <v>0.04</v>
      </c>
      <c r="U33" s="142">
        <v>0.10689310205234757</v>
      </c>
      <c r="V33" s="142">
        <v>6.5026881254355726E-2</v>
      </c>
      <c r="W33" s="142">
        <v>8.9004395757998137E-2</v>
      </c>
      <c r="X33" s="142">
        <v>2.2000307688383219E-2</v>
      </c>
      <c r="Y33" s="142">
        <v>0.16900337668746621</v>
      </c>
      <c r="Z33" s="142">
        <v>9.0979373556736465E-2</v>
      </c>
      <c r="AA33" s="142">
        <v>7.9999994200000424E-2</v>
      </c>
      <c r="AB33" s="142">
        <v>0.1977459029579442</v>
      </c>
      <c r="AC33" s="142">
        <v>0.31912445782995363</v>
      </c>
      <c r="AD33" s="142">
        <v>0.2</v>
      </c>
      <c r="AE33" s="142">
        <v>0.18500000000000003</v>
      </c>
      <c r="AF33" s="142">
        <v>0</v>
      </c>
      <c r="AG33" s="142">
        <v>0.04</v>
      </c>
      <c r="AH33" s="142">
        <v>0</v>
      </c>
      <c r="AI33" s="142">
        <v>0</v>
      </c>
      <c r="AJ33" s="142">
        <v>0</v>
      </c>
      <c r="AK33" s="142">
        <v>0</v>
      </c>
    </row>
    <row r="34" spans="1:37" customFormat="1" x14ac:dyDescent="0.15">
      <c r="A34" s="179" t="s">
        <v>224</v>
      </c>
      <c r="B34" s="142">
        <v>0</v>
      </c>
      <c r="C34" s="142">
        <v>0</v>
      </c>
      <c r="D34" s="142">
        <v>0</v>
      </c>
      <c r="E34" s="142">
        <v>0</v>
      </c>
      <c r="F34" s="142">
        <v>0</v>
      </c>
      <c r="G34" s="142">
        <v>0</v>
      </c>
      <c r="H34" s="142">
        <v>2.2980238096409086E-2</v>
      </c>
      <c r="I34" s="142">
        <v>1.0007646025580075E-3</v>
      </c>
      <c r="J34" s="142">
        <v>1.9971681396374254E-3</v>
      </c>
      <c r="K34" s="142">
        <v>0.50200000000000011</v>
      </c>
      <c r="L34" s="142">
        <v>0.35</v>
      </c>
      <c r="M34" s="142">
        <v>0.28204780882408736</v>
      </c>
      <c r="N34" s="142">
        <v>0</v>
      </c>
      <c r="O34" s="142">
        <v>0</v>
      </c>
      <c r="P34" s="142">
        <v>0</v>
      </c>
      <c r="Q34" s="142">
        <v>0</v>
      </c>
      <c r="R34" s="142">
        <v>0</v>
      </c>
      <c r="S34" s="142">
        <v>9.7047310895963579E-2</v>
      </c>
      <c r="T34" s="142">
        <v>0</v>
      </c>
      <c r="U34" s="142">
        <v>0.10789210207152837</v>
      </c>
      <c r="V34" s="142">
        <v>0</v>
      </c>
      <c r="W34" s="142">
        <v>0</v>
      </c>
      <c r="X34" s="142">
        <v>2.99704517559489E-3</v>
      </c>
      <c r="Y34" s="142">
        <v>0.12000239764790499</v>
      </c>
      <c r="Z34" s="142">
        <v>5.8927695272209743E-2</v>
      </c>
      <c r="AA34" s="142">
        <v>7.9000004272499688E-2</v>
      </c>
      <c r="AB34" s="142">
        <v>8.9884503162184284E-2</v>
      </c>
      <c r="AC34" s="142">
        <v>7.6029649482998382E-2</v>
      </c>
      <c r="AD34" s="142">
        <v>0.14000000000000001</v>
      </c>
      <c r="AE34" s="142">
        <v>0.11000000000000001</v>
      </c>
      <c r="AF34" s="142">
        <v>0.16</v>
      </c>
      <c r="AG34" s="142">
        <v>0.86</v>
      </c>
      <c r="AH34" s="142">
        <v>0</v>
      </c>
      <c r="AI34" s="142">
        <v>0</v>
      </c>
      <c r="AJ34" s="142">
        <v>0</v>
      </c>
      <c r="AK34" s="142">
        <v>0</v>
      </c>
    </row>
    <row r="35" spans="1:37" customFormat="1" x14ac:dyDescent="0.15">
      <c r="A35" s="179" t="s">
        <v>225</v>
      </c>
      <c r="B35" s="142">
        <v>0</v>
      </c>
      <c r="C35" s="142">
        <v>0</v>
      </c>
      <c r="D35" s="142">
        <v>0.9</v>
      </c>
      <c r="E35" s="142">
        <v>0</v>
      </c>
      <c r="F35" s="142">
        <v>0</v>
      </c>
      <c r="G35" s="142">
        <v>0</v>
      </c>
      <c r="H35" s="142">
        <v>0</v>
      </c>
      <c r="I35" s="142">
        <v>0</v>
      </c>
      <c r="J35" s="142">
        <v>0</v>
      </c>
      <c r="K35" s="142">
        <v>0.10100000000000002</v>
      </c>
      <c r="L35" s="142">
        <v>0.5</v>
      </c>
      <c r="M35" s="142">
        <v>0.2040345851067866</v>
      </c>
      <c r="N35" s="142">
        <v>0</v>
      </c>
      <c r="O35" s="142">
        <v>0</v>
      </c>
      <c r="P35" s="142">
        <v>0</v>
      </c>
      <c r="Q35" s="142">
        <v>0</v>
      </c>
      <c r="R35" s="142">
        <v>0</v>
      </c>
      <c r="S35" s="142">
        <v>4.00595691769775E-3</v>
      </c>
      <c r="T35" s="142">
        <v>0</v>
      </c>
      <c r="U35" s="142">
        <v>0.48651347534105877</v>
      </c>
      <c r="V35" s="142">
        <v>4.5063676729119283E-2</v>
      </c>
      <c r="W35" s="142">
        <v>9.0086424097321954E-2</v>
      </c>
      <c r="X35" s="142">
        <v>0</v>
      </c>
      <c r="Y35" s="142">
        <v>0</v>
      </c>
      <c r="Z35" s="142">
        <v>4.4944855300163712E-2</v>
      </c>
      <c r="AA35" s="142">
        <v>7.9000004272499688E-2</v>
      </c>
      <c r="AB35" s="142">
        <v>0</v>
      </c>
      <c r="AC35" s="142">
        <v>0</v>
      </c>
      <c r="AD35" s="142">
        <v>0</v>
      </c>
      <c r="AE35" s="142">
        <v>0</v>
      </c>
      <c r="AF35" s="142">
        <v>0.02</v>
      </c>
      <c r="AG35" s="142">
        <v>0.05</v>
      </c>
      <c r="AH35" s="142">
        <v>0.9</v>
      </c>
      <c r="AI35" s="142">
        <v>0</v>
      </c>
      <c r="AJ35" s="142">
        <v>0</v>
      </c>
      <c r="AK35" s="142">
        <v>0</v>
      </c>
    </row>
    <row r="36" spans="1:37" customFormat="1" x14ac:dyDescent="0.15">
      <c r="A36" s="179" t="s">
        <v>226</v>
      </c>
      <c r="B36" s="142">
        <v>0</v>
      </c>
      <c r="C36" s="142">
        <v>0</v>
      </c>
      <c r="D36" s="142">
        <v>0</v>
      </c>
      <c r="E36" s="142">
        <v>0</v>
      </c>
      <c r="F36" s="142">
        <v>0</v>
      </c>
      <c r="G36" s="142">
        <v>4.6712912530210156E-2</v>
      </c>
      <c r="H36" s="142">
        <v>0</v>
      </c>
      <c r="I36" s="142">
        <v>2.001529205116015E-3</v>
      </c>
      <c r="J36" s="142">
        <v>3.9943362692790255E-3</v>
      </c>
      <c r="K36" s="142">
        <v>2.0000000000000004E-2</v>
      </c>
      <c r="L36" s="142">
        <v>0</v>
      </c>
      <c r="M36" s="142">
        <v>0.19060401854382775</v>
      </c>
      <c r="N36" s="142">
        <v>0</v>
      </c>
      <c r="O36" s="142">
        <v>0</v>
      </c>
      <c r="P36" s="142">
        <v>0</v>
      </c>
      <c r="Q36" s="142">
        <v>0</v>
      </c>
      <c r="R36" s="142">
        <v>0</v>
      </c>
      <c r="S36" s="142">
        <v>5.8086370604324991E-2</v>
      </c>
      <c r="T36" s="142">
        <v>1.2999999999999999E-2</v>
      </c>
      <c r="U36" s="142">
        <v>0.28371630544735305</v>
      </c>
      <c r="V36" s="142">
        <v>0</v>
      </c>
      <c r="W36" s="142">
        <v>0</v>
      </c>
      <c r="X36" s="142">
        <v>0</v>
      </c>
      <c r="Y36" s="142">
        <v>8.9001778255529532E-2</v>
      </c>
      <c r="Z36" s="142">
        <v>1.5980392495727098E-2</v>
      </c>
      <c r="AA36" s="142">
        <v>1.9999999950000003E-2</v>
      </c>
      <c r="AB36" s="142">
        <v>0</v>
      </c>
      <c r="AC36" s="142">
        <v>0</v>
      </c>
      <c r="AD36" s="142">
        <v>0.25</v>
      </c>
      <c r="AE36" s="142">
        <v>0</v>
      </c>
      <c r="AF36" s="142">
        <v>0.78</v>
      </c>
      <c r="AG36" s="142">
        <v>0.05</v>
      </c>
      <c r="AH36" s="142">
        <v>0.1</v>
      </c>
      <c r="AI36" s="142">
        <v>0</v>
      </c>
      <c r="AJ36" s="142">
        <v>0</v>
      </c>
      <c r="AK36" s="142">
        <v>0</v>
      </c>
    </row>
    <row r="37" spans="1:37" customFormat="1" x14ac:dyDescent="0.15">
      <c r="A37" s="179" t="s">
        <v>227</v>
      </c>
      <c r="B37" s="142">
        <v>0</v>
      </c>
      <c r="C37" s="142">
        <v>0</v>
      </c>
      <c r="D37" s="142">
        <v>0</v>
      </c>
      <c r="E37" s="142">
        <v>0</v>
      </c>
      <c r="F37" s="142">
        <v>0</v>
      </c>
      <c r="G37" s="142">
        <v>0</v>
      </c>
      <c r="H37" s="142">
        <v>0</v>
      </c>
      <c r="I37" s="142">
        <v>0</v>
      </c>
      <c r="J37" s="142">
        <v>0</v>
      </c>
      <c r="K37" s="142">
        <v>0</v>
      </c>
      <c r="L37" s="142">
        <v>0</v>
      </c>
      <c r="M37" s="142">
        <v>0</v>
      </c>
      <c r="N37" s="142">
        <v>0</v>
      </c>
      <c r="O37" s="142">
        <v>0</v>
      </c>
      <c r="P37" s="142">
        <v>0</v>
      </c>
      <c r="Q37" s="142">
        <v>0</v>
      </c>
      <c r="R37" s="142">
        <v>0</v>
      </c>
      <c r="S37" s="142">
        <v>0</v>
      </c>
      <c r="T37" s="142">
        <v>0</v>
      </c>
      <c r="U37" s="142">
        <v>0</v>
      </c>
      <c r="V37" s="142">
        <v>0</v>
      </c>
      <c r="W37" s="142">
        <v>0</v>
      </c>
      <c r="X37" s="142">
        <v>0</v>
      </c>
      <c r="Y37" s="142">
        <v>0</v>
      </c>
      <c r="Z37" s="142">
        <v>0</v>
      </c>
      <c r="AA37" s="142">
        <v>0</v>
      </c>
      <c r="AB37" s="142">
        <v>0</v>
      </c>
      <c r="AC37" s="142">
        <v>0</v>
      </c>
      <c r="AD37" s="142">
        <v>0</v>
      </c>
      <c r="AE37" s="142">
        <v>0</v>
      </c>
      <c r="AF37" s="142">
        <v>0</v>
      </c>
      <c r="AG37" s="142">
        <v>0</v>
      </c>
      <c r="AH37" s="142">
        <v>0</v>
      </c>
      <c r="AI37" s="142">
        <v>0</v>
      </c>
      <c r="AJ37" s="142">
        <v>0</v>
      </c>
      <c r="AK37" s="142">
        <v>0</v>
      </c>
    </row>
    <row r="38" spans="1:37" customFormat="1" x14ac:dyDescent="0.15">
      <c r="A38" s="179" t="s">
        <v>230</v>
      </c>
      <c r="B38" s="142">
        <v>4.5548655150103527E-2</v>
      </c>
      <c r="C38" s="142">
        <v>0.1299010163173622</v>
      </c>
      <c r="D38" s="142">
        <v>0</v>
      </c>
      <c r="E38" s="142">
        <v>0.12799999999999997</v>
      </c>
      <c r="F38" s="142">
        <v>7.6999991861859809E-2</v>
      </c>
      <c r="G38" s="142">
        <v>1.5043309468003641E-2</v>
      </c>
      <c r="H38" s="142">
        <v>2.6976802717729866E-2</v>
      </c>
      <c r="I38" s="142">
        <v>0</v>
      </c>
      <c r="J38" s="142">
        <v>0</v>
      </c>
      <c r="K38" s="142">
        <v>0.10000000000000002</v>
      </c>
      <c r="L38" s="142">
        <v>0</v>
      </c>
      <c r="M38" s="142">
        <v>0</v>
      </c>
      <c r="N38" s="142">
        <v>0</v>
      </c>
      <c r="O38" s="142">
        <v>0</v>
      </c>
      <c r="P38" s="142">
        <v>0</v>
      </c>
      <c r="Q38" s="142">
        <v>0</v>
      </c>
      <c r="R38" s="142">
        <v>0</v>
      </c>
      <c r="S38" s="142">
        <v>2.6038719364742731E-2</v>
      </c>
      <c r="T38" s="142">
        <v>0</v>
      </c>
      <c r="U38" s="142">
        <v>0</v>
      </c>
      <c r="V38" s="142">
        <v>0</v>
      </c>
      <c r="W38" s="142">
        <v>0</v>
      </c>
      <c r="X38" s="142">
        <v>0</v>
      </c>
      <c r="Y38" s="142">
        <v>0</v>
      </c>
      <c r="Z38" s="142">
        <v>0</v>
      </c>
      <c r="AA38" s="142">
        <v>0</v>
      </c>
      <c r="AB38" s="142">
        <v>0.25592711841627552</v>
      </c>
      <c r="AC38" s="142">
        <v>9.8038233133340008E-2</v>
      </c>
      <c r="AD38" s="142">
        <v>0</v>
      </c>
      <c r="AE38" s="142">
        <v>8.3000000000000018E-2</v>
      </c>
      <c r="AF38" s="142">
        <v>0</v>
      </c>
      <c r="AG38" s="142">
        <v>0</v>
      </c>
      <c r="AH38" s="142">
        <v>0</v>
      </c>
      <c r="AI38" s="142">
        <v>0</v>
      </c>
      <c r="AJ38" s="142">
        <v>0</v>
      </c>
      <c r="AK38" s="142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0" activePane="bottomRight" state="frozen"/>
      <selection pane="topRight" activeCell="C1" sqref="C1"/>
      <selection pane="bottomLeft" activeCell="A2" sqref="A2"/>
      <selection pane="bottomRight" activeCell="G43" sqref="G43"/>
    </sheetView>
  </sheetViews>
  <sheetFormatPr baseColWidth="10" defaultColWidth="8.83203125" defaultRowHeight="13" x14ac:dyDescent="0.15"/>
  <cols>
    <col min="1" max="1" width="3.33203125" customWidth="1"/>
    <col min="2" max="2" width="22.5" customWidth="1"/>
    <col min="3" max="4" width="19.33203125" style="111" customWidth="1"/>
    <col min="5" max="6" width="19.33203125" style="110" customWidth="1"/>
    <col min="7" max="8" width="8.83203125" style="111"/>
  </cols>
  <sheetData>
    <row r="1" spans="1:8" ht="70" x14ac:dyDescent="0.15">
      <c r="A1" s="5" t="s">
        <v>20</v>
      </c>
      <c r="B1" s="1" t="s">
        <v>0</v>
      </c>
      <c r="C1" s="182" t="s">
        <v>226</v>
      </c>
      <c r="D1" s="182" t="s">
        <v>227</v>
      </c>
      <c r="E1" s="182" t="s">
        <v>231</v>
      </c>
      <c r="F1" s="182" t="s">
        <v>232</v>
      </c>
      <c r="G1"/>
      <c r="H1"/>
    </row>
    <row r="2" spans="1:8" x14ac:dyDescent="0.15">
      <c r="A2">
        <v>1</v>
      </c>
      <c r="B2" s="181" t="s">
        <v>192</v>
      </c>
      <c r="C2" s="111">
        <v>1</v>
      </c>
      <c r="D2" s="111">
        <v>0</v>
      </c>
      <c r="E2" s="110">
        <v>0</v>
      </c>
      <c r="F2" s="110">
        <v>1</v>
      </c>
      <c r="G2"/>
      <c r="H2"/>
    </row>
    <row r="3" spans="1:8" x14ac:dyDescent="0.15">
      <c r="A3">
        <v>2</v>
      </c>
      <c r="B3" s="181" t="s">
        <v>193</v>
      </c>
      <c r="C3" s="111">
        <v>1</v>
      </c>
      <c r="D3" s="111">
        <v>0</v>
      </c>
      <c r="E3" s="110">
        <v>0</v>
      </c>
      <c r="F3" s="110">
        <v>1</v>
      </c>
      <c r="G3"/>
      <c r="H3"/>
    </row>
    <row r="4" spans="1:8" x14ac:dyDescent="0.15">
      <c r="A4">
        <v>3</v>
      </c>
      <c r="B4" s="181" t="s">
        <v>194</v>
      </c>
      <c r="C4" s="111">
        <v>1</v>
      </c>
      <c r="D4" s="111">
        <v>0</v>
      </c>
      <c r="E4" s="110">
        <v>0</v>
      </c>
      <c r="F4" s="110">
        <v>1</v>
      </c>
      <c r="G4"/>
      <c r="H4"/>
    </row>
    <row r="5" spans="1:8" x14ac:dyDescent="0.15">
      <c r="A5">
        <v>4</v>
      </c>
      <c r="B5" s="181" t="s">
        <v>195</v>
      </c>
      <c r="C5" s="111">
        <v>1</v>
      </c>
      <c r="D5" s="111">
        <v>0</v>
      </c>
      <c r="E5" s="110">
        <v>0</v>
      </c>
      <c r="F5" s="110">
        <v>1</v>
      </c>
      <c r="G5"/>
      <c r="H5"/>
    </row>
    <row r="6" spans="1:8" x14ac:dyDescent="0.15">
      <c r="A6">
        <v>5</v>
      </c>
      <c r="B6" s="181" t="s">
        <v>196</v>
      </c>
      <c r="C6" s="111">
        <v>1</v>
      </c>
      <c r="D6" s="111">
        <v>0</v>
      </c>
      <c r="E6" s="110">
        <v>0</v>
      </c>
      <c r="F6" s="110">
        <v>1</v>
      </c>
      <c r="G6"/>
      <c r="H6"/>
    </row>
    <row r="7" spans="1:8" x14ac:dyDescent="0.15">
      <c r="A7">
        <v>6</v>
      </c>
      <c r="B7" s="181" t="s">
        <v>197</v>
      </c>
      <c r="C7" s="111">
        <v>1</v>
      </c>
      <c r="D7" s="111">
        <v>0</v>
      </c>
      <c r="E7" s="110">
        <v>0</v>
      </c>
      <c r="F7" s="110">
        <v>1</v>
      </c>
      <c r="G7"/>
      <c r="H7"/>
    </row>
    <row r="8" spans="1:8" x14ac:dyDescent="0.15">
      <c r="A8">
        <v>7</v>
      </c>
      <c r="B8" s="181" t="s">
        <v>198</v>
      </c>
      <c r="C8" s="111">
        <v>1</v>
      </c>
      <c r="D8" s="111">
        <v>0</v>
      </c>
      <c r="E8" s="110">
        <v>0</v>
      </c>
      <c r="F8" s="110">
        <v>1</v>
      </c>
      <c r="G8"/>
      <c r="H8"/>
    </row>
    <row r="9" spans="1:8" x14ac:dyDescent="0.15">
      <c r="A9">
        <v>8</v>
      </c>
      <c r="B9" s="181" t="s">
        <v>199</v>
      </c>
      <c r="C9" s="111">
        <v>1</v>
      </c>
      <c r="D9" s="111">
        <v>0</v>
      </c>
      <c r="E9" s="110">
        <v>0</v>
      </c>
      <c r="F9" s="110">
        <v>1</v>
      </c>
      <c r="G9"/>
      <c r="H9"/>
    </row>
    <row r="10" spans="1:8" x14ac:dyDescent="0.15">
      <c r="A10">
        <v>9</v>
      </c>
      <c r="B10" s="181" t="s">
        <v>200</v>
      </c>
      <c r="C10" s="111">
        <v>1</v>
      </c>
      <c r="D10" s="111">
        <v>0</v>
      </c>
      <c r="E10" s="110">
        <v>0</v>
      </c>
      <c r="F10" s="110">
        <v>1</v>
      </c>
      <c r="G10"/>
      <c r="H10"/>
    </row>
    <row r="11" spans="1:8" x14ac:dyDescent="0.15">
      <c r="A11">
        <v>10</v>
      </c>
      <c r="B11" s="181" t="s">
        <v>201</v>
      </c>
      <c r="C11" s="111">
        <v>1</v>
      </c>
      <c r="D11" s="111">
        <v>0</v>
      </c>
      <c r="E11" s="110">
        <v>0</v>
      </c>
      <c r="F11" s="110">
        <v>1</v>
      </c>
      <c r="G11"/>
      <c r="H11"/>
    </row>
    <row r="12" spans="1:8" x14ac:dyDescent="0.15">
      <c r="A12">
        <v>11</v>
      </c>
      <c r="B12" s="181" t="s">
        <v>202</v>
      </c>
      <c r="C12" s="111">
        <v>1</v>
      </c>
      <c r="D12" s="111">
        <v>0</v>
      </c>
      <c r="E12" s="110">
        <v>0</v>
      </c>
      <c r="F12" s="110">
        <v>1</v>
      </c>
      <c r="G12"/>
      <c r="H12"/>
    </row>
    <row r="13" spans="1:8" x14ac:dyDescent="0.15">
      <c r="A13">
        <v>12</v>
      </c>
      <c r="B13" s="181" t="s">
        <v>203</v>
      </c>
      <c r="C13" s="111">
        <v>1</v>
      </c>
      <c r="D13" s="111">
        <v>0</v>
      </c>
      <c r="E13" s="110">
        <v>0</v>
      </c>
      <c r="F13" s="110">
        <v>1</v>
      </c>
      <c r="G13"/>
      <c r="H13"/>
    </row>
    <row r="14" spans="1:8" x14ac:dyDescent="0.15">
      <c r="A14">
        <v>13</v>
      </c>
      <c r="B14" s="181" t="s">
        <v>204</v>
      </c>
      <c r="C14" s="111">
        <v>1</v>
      </c>
      <c r="D14" s="111">
        <v>0</v>
      </c>
      <c r="E14" s="110">
        <v>0</v>
      </c>
      <c r="F14" s="110">
        <v>1</v>
      </c>
      <c r="G14"/>
      <c r="H14"/>
    </row>
    <row r="15" spans="1:8" x14ac:dyDescent="0.15">
      <c r="A15">
        <v>14</v>
      </c>
      <c r="B15" s="181" t="s">
        <v>205</v>
      </c>
      <c r="C15" s="111">
        <v>1</v>
      </c>
      <c r="D15" s="111">
        <v>0</v>
      </c>
      <c r="E15" s="110">
        <v>0</v>
      </c>
      <c r="F15" s="110">
        <v>1</v>
      </c>
      <c r="G15"/>
      <c r="H15"/>
    </row>
    <row r="16" spans="1:8" x14ac:dyDescent="0.15">
      <c r="A16">
        <v>15</v>
      </c>
      <c r="B16" s="181" t="s">
        <v>206</v>
      </c>
      <c r="C16" s="111">
        <v>1</v>
      </c>
      <c r="D16" s="111">
        <v>0</v>
      </c>
      <c r="E16" s="110">
        <v>0</v>
      </c>
      <c r="F16" s="110">
        <v>1</v>
      </c>
      <c r="G16"/>
      <c r="H16"/>
    </row>
    <row r="17" spans="1:8" ht="15" customHeight="1" x14ac:dyDescent="0.15">
      <c r="A17">
        <v>16</v>
      </c>
      <c r="B17" s="181" t="s">
        <v>207</v>
      </c>
      <c r="C17" s="111">
        <v>1</v>
      </c>
      <c r="D17" s="111">
        <v>0</v>
      </c>
      <c r="E17" s="110">
        <v>0</v>
      </c>
      <c r="F17" s="110">
        <v>1</v>
      </c>
      <c r="G17"/>
      <c r="H17"/>
    </row>
    <row r="18" spans="1:8" ht="15" customHeight="1" x14ac:dyDescent="0.15">
      <c r="A18">
        <v>17</v>
      </c>
      <c r="B18" s="181" t="s">
        <v>208</v>
      </c>
      <c r="C18" s="111">
        <v>1</v>
      </c>
      <c r="D18" s="111">
        <v>0</v>
      </c>
      <c r="E18" s="110">
        <v>0</v>
      </c>
      <c r="F18" s="110">
        <v>1</v>
      </c>
      <c r="G18"/>
      <c r="H18"/>
    </row>
    <row r="19" spans="1:8" ht="15" customHeight="1" x14ac:dyDescent="0.15">
      <c r="A19">
        <v>18</v>
      </c>
      <c r="B19" s="181" t="s">
        <v>209</v>
      </c>
      <c r="C19" s="111">
        <v>1</v>
      </c>
      <c r="D19" s="111">
        <v>0</v>
      </c>
      <c r="E19" s="110">
        <v>0</v>
      </c>
      <c r="F19" s="110">
        <v>1</v>
      </c>
      <c r="G19"/>
      <c r="H19"/>
    </row>
    <row r="20" spans="1:8" ht="15" customHeight="1" x14ac:dyDescent="0.15">
      <c r="A20">
        <v>19</v>
      </c>
      <c r="B20" s="181" t="s">
        <v>210</v>
      </c>
      <c r="C20" s="111">
        <v>1</v>
      </c>
      <c r="D20" s="111">
        <v>0</v>
      </c>
      <c r="E20" s="110">
        <v>0</v>
      </c>
      <c r="F20" s="110">
        <v>1</v>
      </c>
      <c r="G20"/>
      <c r="H20"/>
    </row>
    <row r="21" spans="1:8" ht="15" customHeight="1" x14ac:dyDescent="0.15">
      <c r="A21">
        <v>20</v>
      </c>
      <c r="B21" s="181" t="s">
        <v>211</v>
      </c>
      <c r="C21" s="111">
        <v>1</v>
      </c>
      <c r="D21" s="111">
        <v>0</v>
      </c>
      <c r="E21" s="110">
        <v>0</v>
      </c>
      <c r="F21" s="110">
        <v>1</v>
      </c>
      <c r="G21"/>
      <c r="H21"/>
    </row>
    <row r="22" spans="1:8" ht="15" customHeight="1" x14ac:dyDescent="0.15">
      <c r="A22">
        <v>21</v>
      </c>
      <c r="B22" s="181" t="s">
        <v>212</v>
      </c>
      <c r="C22" s="111">
        <v>1</v>
      </c>
      <c r="D22" s="111">
        <v>0</v>
      </c>
      <c r="E22" s="110">
        <v>0</v>
      </c>
      <c r="F22" s="110">
        <v>1</v>
      </c>
      <c r="G22"/>
      <c r="H22"/>
    </row>
    <row r="23" spans="1:8" ht="15" customHeight="1" x14ac:dyDescent="0.15">
      <c r="A23">
        <v>22</v>
      </c>
      <c r="B23" s="181" t="s">
        <v>213</v>
      </c>
      <c r="C23" s="111">
        <v>1</v>
      </c>
      <c r="D23" s="111">
        <v>0</v>
      </c>
      <c r="E23" s="110">
        <v>0</v>
      </c>
      <c r="F23" s="110">
        <v>1</v>
      </c>
      <c r="G23"/>
      <c r="H23"/>
    </row>
    <row r="24" spans="1:8" ht="15" customHeight="1" x14ac:dyDescent="0.15">
      <c r="A24">
        <v>23</v>
      </c>
      <c r="B24" s="181" t="s">
        <v>214</v>
      </c>
      <c r="C24" s="111">
        <v>1</v>
      </c>
      <c r="D24" s="111">
        <v>0</v>
      </c>
      <c r="E24" s="110">
        <v>0</v>
      </c>
      <c r="F24" s="110">
        <v>1</v>
      </c>
      <c r="G24"/>
      <c r="H24"/>
    </row>
    <row r="25" spans="1:8" ht="15" customHeight="1" x14ac:dyDescent="0.15">
      <c r="A25">
        <v>24</v>
      </c>
      <c r="B25" s="181" t="s">
        <v>215</v>
      </c>
      <c r="C25" s="111">
        <v>1</v>
      </c>
      <c r="D25" s="111">
        <v>0</v>
      </c>
      <c r="E25" s="110">
        <v>0</v>
      </c>
      <c r="F25" s="110">
        <v>1</v>
      </c>
      <c r="G25"/>
      <c r="H25"/>
    </row>
    <row r="26" spans="1:8" ht="15" customHeight="1" x14ac:dyDescent="0.15">
      <c r="A26">
        <v>25</v>
      </c>
      <c r="B26" s="181" t="s">
        <v>216</v>
      </c>
      <c r="C26" s="111">
        <v>1</v>
      </c>
      <c r="D26" s="111">
        <v>0</v>
      </c>
      <c r="E26" s="110">
        <v>0</v>
      </c>
      <c r="F26" s="110">
        <v>1</v>
      </c>
      <c r="G26"/>
      <c r="H26"/>
    </row>
    <row r="27" spans="1:8" ht="15" customHeight="1" x14ac:dyDescent="0.15">
      <c r="A27">
        <v>26</v>
      </c>
      <c r="B27" s="181" t="s">
        <v>217</v>
      </c>
      <c r="C27" s="111">
        <v>1</v>
      </c>
      <c r="D27" s="111">
        <v>0</v>
      </c>
      <c r="E27" s="110">
        <v>0</v>
      </c>
      <c r="F27" s="110">
        <v>1</v>
      </c>
      <c r="G27"/>
      <c r="H27"/>
    </row>
    <row r="28" spans="1:8" ht="15" customHeight="1" x14ac:dyDescent="0.15">
      <c r="A28">
        <v>27</v>
      </c>
      <c r="B28" s="181" t="s">
        <v>218</v>
      </c>
      <c r="C28" s="111">
        <v>1</v>
      </c>
      <c r="D28" s="111">
        <v>0</v>
      </c>
      <c r="E28" s="110">
        <v>0</v>
      </c>
      <c r="F28" s="110">
        <v>1</v>
      </c>
      <c r="G28"/>
      <c r="H28"/>
    </row>
    <row r="29" spans="1:8" ht="15" customHeight="1" x14ac:dyDescent="0.15">
      <c r="A29">
        <v>28</v>
      </c>
      <c r="B29" s="181" t="s">
        <v>219</v>
      </c>
      <c r="C29" s="111">
        <v>1</v>
      </c>
      <c r="D29" s="111">
        <v>0</v>
      </c>
      <c r="E29" s="110">
        <v>0</v>
      </c>
      <c r="F29" s="110">
        <v>1</v>
      </c>
      <c r="G29"/>
      <c r="H29"/>
    </row>
    <row r="30" spans="1:8" ht="15" customHeight="1" x14ac:dyDescent="0.15">
      <c r="A30">
        <v>29</v>
      </c>
      <c r="B30" s="181" t="s">
        <v>220</v>
      </c>
      <c r="C30" s="111">
        <v>1</v>
      </c>
      <c r="D30" s="111">
        <v>0</v>
      </c>
      <c r="E30" s="110">
        <v>0</v>
      </c>
      <c r="F30" s="110">
        <v>1</v>
      </c>
      <c r="G30"/>
      <c r="H30"/>
    </row>
    <row r="31" spans="1:8" ht="15" customHeight="1" x14ac:dyDescent="0.15">
      <c r="A31">
        <v>30</v>
      </c>
      <c r="B31" s="181" t="s">
        <v>221</v>
      </c>
      <c r="C31" s="111">
        <v>1</v>
      </c>
      <c r="D31" s="111">
        <v>0</v>
      </c>
      <c r="E31" s="110">
        <v>0</v>
      </c>
      <c r="F31" s="110">
        <v>1</v>
      </c>
      <c r="G31"/>
      <c r="H31"/>
    </row>
    <row r="32" spans="1:8" ht="15" customHeight="1" x14ac:dyDescent="0.15">
      <c r="A32">
        <v>31</v>
      </c>
      <c r="B32" s="181" t="s">
        <v>222</v>
      </c>
      <c r="C32" s="111">
        <v>1</v>
      </c>
      <c r="D32" s="111">
        <v>0</v>
      </c>
      <c r="E32" s="110">
        <v>0</v>
      </c>
      <c r="F32" s="110">
        <v>1</v>
      </c>
    </row>
    <row r="33" spans="1:8" ht="15" customHeight="1" x14ac:dyDescent="0.15">
      <c r="A33">
        <v>32</v>
      </c>
      <c r="B33" s="181" t="s">
        <v>223</v>
      </c>
      <c r="C33" s="111">
        <v>1</v>
      </c>
      <c r="D33" s="111">
        <v>0</v>
      </c>
      <c r="E33" s="110">
        <v>0</v>
      </c>
      <c r="F33" s="110">
        <v>1</v>
      </c>
    </row>
    <row r="34" spans="1:8" ht="15" customHeight="1" x14ac:dyDescent="0.15">
      <c r="A34">
        <v>33</v>
      </c>
      <c r="B34" s="181" t="s">
        <v>224</v>
      </c>
      <c r="C34" s="111">
        <v>1</v>
      </c>
      <c r="D34" s="111">
        <v>0</v>
      </c>
      <c r="E34" s="110">
        <v>0</v>
      </c>
      <c r="F34" s="110">
        <v>1</v>
      </c>
    </row>
    <row r="35" spans="1:8" ht="15" customHeight="1" x14ac:dyDescent="0.15">
      <c r="A35">
        <v>34</v>
      </c>
      <c r="B35" s="181" t="s">
        <v>225</v>
      </c>
      <c r="C35" s="111">
        <v>1</v>
      </c>
      <c r="D35" s="111">
        <v>0</v>
      </c>
      <c r="E35" s="110">
        <v>0</v>
      </c>
      <c r="F35" s="110">
        <v>1</v>
      </c>
    </row>
    <row r="36" spans="1:8" ht="15" customHeight="1" x14ac:dyDescent="0.15">
      <c r="A36">
        <v>35</v>
      </c>
      <c r="B36" s="181" t="s">
        <v>226</v>
      </c>
      <c r="C36" s="111">
        <v>0</v>
      </c>
      <c r="D36" s="111">
        <v>1</v>
      </c>
      <c r="E36" s="111">
        <v>0</v>
      </c>
      <c r="F36" s="111">
        <v>1</v>
      </c>
      <c r="G36"/>
      <c r="H36"/>
    </row>
    <row r="37" spans="1:8" ht="15" customHeight="1" x14ac:dyDescent="0.15">
      <c r="A37">
        <v>36</v>
      </c>
      <c r="B37" s="181" t="s">
        <v>227</v>
      </c>
      <c r="C37" s="111">
        <v>0</v>
      </c>
      <c r="D37" s="111">
        <v>0</v>
      </c>
      <c r="E37" s="111">
        <v>1</v>
      </c>
      <c r="F37" s="111">
        <v>1</v>
      </c>
      <c r="G37"/>
      <c r="H37"/>
    </row>
    <row r="38" spans="1:8" ht="15" customHeight="1" x14ac:dyDescent="0.15">
      <c r="A38">
        <v>37</v>
      </c>
      <c r="B38" s="181" t="s">
        <v>228</v>
      </c>
      <c r="C38" s="111">
        <v>0</v>
      </c>
      <c r="D38" s="111">
        <v>1</v>
      </c>
      <c r="E38" s="111">
        <v>0</v>
      </c>
      <c r="F38" s="111">
        <v>1</v>
      </c>
      <c r="G38"/>
      <c r="H38"/>
    </row>
    <row r="39" spans="1:8" ht="15" customHeight="1" x14ac:dyDescent="0.15">
      <c r="A39">
        <v>38</v>
      </c>
      <c r="B39" s="181" t="s">
        <v>229</v>
      </c>
      <c r="C39" s="111">
        <v>0</v>
      </c>
      <c r="D39" s="111">
        <v>1</v>
      </c>
      <c r="E39" s="111">
        <v>0</v>
      </c>
      <c r="F39" s="111">
        <v>1</v>
      </c>
      <c r="G39"/>
      <c r="H39"/>
    </row>
    <row r="40" spans="1:8" ht="15" customHeight="1" x14ac:dyDescent="0.15">
      <c r="C40"/>
      <c r="D40"/>
      <c r="E40" s="111"/>
      <c r="F40" s="111"/>
      <c r="G40"/>
      <c r="H40"/>
    </row>
    <row r="41" spans="1:8" ht="15" customHeight="1" x14ac:dyDescent="0.15">
      <c r="C41"/>
      <c r="D41"/>
      <c r="E41" s="111"/>
      <c r="F41" s="111"/>
      <c r="G41"/>
      <c r="H41"/>
    </row>
    <row r="42" spans="1:8" ht="15" customHeight="1" x14ac:dyDescent="0.15">
      <c r="C42"/>
      <c r="D42"/>
      <c r="E42" s="111"/>
      <c r="F42" s="111"/>
      <c r="G42"/>
      <c r="H42"/>
    </row>
    <row r="43" spans="1:8" ht="15" customHeight="1" x14ac:dyDescent="0.15">
      <c r="C43"/>
      <c r="D43"/>
      <c r="E43" s="111"/>
      <c r="F43" s="111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1"/>
      <c r="F46" s="111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.5" bestFit="1" customWidth="1"/>
    <col min="3" max="5" width="5.83203125" bestFit="1" customWidth="1"/>
  </cols>
  <sheetData>
    <row r="1" spans="1:5" s="112" customFormat="1" ht="112" x14ac:dyDescent="0.15">
      <c r="A1" s="5" t="s">
        <v>21</v>
      </c>
      <c r="B1" s="3" t="s">
        <v>0</v>
      </c>
      <c r="C1" s="184" t="s">
        <v>228</v>
      </c>
      <c r="D1" s="184" t="s">
        <v>229</v>
      </c>
      <c r="E1" s="184" t="s">
        <v>233</v>
      </c>
    </row>
    <row r="2" spans="1:5" ht="15" customHeight="1" x14ac:dyDescent="0.15">
      <c r="A2">
        <v>1</v>
      </c>
      <c r="B2" s="183" t="s">
        <v>192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83" t="s">
        <v>193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83" t="s">
        <v>194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83" t="s">
        <v>195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83" t="s">
        <v>196</v>
      </c>
      <c r="C6">
        <v>1.2E-2</v>
      </c>
      <c r="D6">
        <v>2.4E-2</v>
      </c>
      <c r="E6">
        <v>3.6000000000000004E-2</v>
      </c>
    </row>
    <row r="7" spans="1:5" ht="15" customHeight="1" x14ac:dyDescent="0.15">
      <c r="A7">
        <v>6</v>
      </c>
      <c r="B7" s="183" t="s">
        <v>197</v>
      </c>
      <c r="C7">
        <v>7.0000000000000001E-3</v>
      </c>
      <c r="D7">
        <v>3.0000000000000001E-3</v>
      </c>
      <c r="E7">
        <v>0.01</v>
      </c>
    </row>
    <row r="8" spans="1:5" ht="15" customHeight="1" x14ac:dyDescent="0.15">
      <c r="A8">
        <v>7</v>
      </c>
      <c r="B8" s="183" t="s">
        <v>198</v>
      </c>
      <c r="C8">
        <v>2.5000000000000001E-2</v>
      </c>
      <c r="D8">
        <v>6.9000000000000006E-2</v>
      </c>
      <c r="E8">
        <v>9.4E-2</v>
      </c>
    </row>
    <row r="9" spans="1:5" ht="15" customHeight="1" x14ac:dyDescent="0.15">
      <c r="A9">
        <v>8</v>
      </c>
      <c r="B9" s="183" t="s">
        <v>199</v>
      </c>
      <c r="C9">
        <v>8.9999999999999993E-3</v>
      </c>
      <c r="D9">
        <v>2.1999999999999999E-2</v>
      </c>
      <c r="E9">
        <v>3.1E-2</v>
      </c>
    </row>
    <row r="10" spans="1:5" ht="15" customHeight="1" x14ac:dyDescent="0.15">
      <c r="A10">
        <v>9</v>
      </c>
      <c r="B10" s="183" t="s">
        <v>200</v>
      </c>
      <c r="C10">
        <v>0.01</v>
      </c>
      <c r="D10">
        <v>2.4E-2</v>
      </c>
      <c r="E10">
        <v>3.4000000000000002E-2</v>
      </c>
    </row>
    <row r="11" spans="1:5" ht="15" customHeight="1" x14ac:dyDescent="0.15">
      <c r="A11">
        <v>10</v>
      </c>
      <c r="B11" s="183" t="s">
        <v>201</v>
      </c>
      <c r="C11">
        <v>0</v>
      </c>
      <c r="D11">
        <v>0.115</v>
      </c>
      <c r="E11">
        <v>0.115</v>
      </c>
    </row>
    <row r="12" spans="1:5" ht="15" customHeight="1" x14ac:dyDescent="0.15">
      <c r="A12">
        <v>11</v>
      </c>
      <c r="B12" s="183" t="s">
        <v>202</v>
      </c>
      <c r="C12">
        <v>0.94599999999999995</v>
      </c>
      <c r="D12">
        <v>0</v>
      </c>
      <c r="E12">
        <v>0.94599999999999995</v>
      </c>
    </row>
    <row r="13" spans="1:5" ht="15" customHeight="1" x14ac:dyDescent="0.15">
      <c r="A13">
        <v>12</v>
      </c>
      <c r="B13" s="183" t="s">
        <v>203</v>
      </c>
      <c r="C13">
        <v>5.8000000000000003E-2</v>
      </c>
      <c r="D13">
        <v>0.13900000000000001</v>
      </c>
      <c r="E13">
        <v>0.19700000000000001</v>
      </c>
    </row>
    <row r="14" spans="1:5" ht="15" customHeight="1" x14ac:dyDescent="0.15">
      <c r="A14">
        <v>13</v>
      </c>
      <c r="B14" s="183" t="s">
        <v>204</v>
      </c>
      <c r="C14">
        <v>0.191</v>
      </c>
      <c r="D14">
        <v>6.9000000000000006E-2</v>
      </c>
      <c r="E14">
        <v>0.26</v>
      </c>
    </row>
    <row r="15" spans="1:5" ht="15" customHeight="1" x14ac:dyDescent="0.15">
      <c r="A15">
        <v>14</v>
      </c>
      <c r="B15" s="183" t="s">
        <v>205</v>
      </c>
      <c r="C15">
        <v>7.3999999999999996E-2</v>
      </c>
      <c r="D15">
        <v>0.06</v>
      </c>
      <c r="E15">
        <v>0.13400000000000001</v>
      </c>
    </row>
    <row r="16" spans="1:5" ht="15" customHeight="1" x14ac:dyDescent="0.15">
      <c r="A16">
        <v>15</v>
      </c>
      <c r="B16" s="183" t="s">
        <v>206</v>
      </c>
      <c r="C16">
        <v>2E-3</v>
      </c>
      <c r="D16">
        <v>7.4999999999999997E-2</v>
      </c>
      <c r="E16">
        <v>7.6999999999999999E-2</v>
      </c>
    </row>
    <row r="17" spans="1:5" ht="15" customHeight="1" x14ac:dyDescent="0.15">
      <c r="A17">
        <v>16</v>
      </c>
      <c r="B17" s="183" t="s">
        <v>207</v>
      </c>
      <c r="C17">
        <v>2.3E-2</v>
      </c>
      <c r="D17">
        <v>4.0000000000000001E-3</v>
      </c>
      <c r="E17">
        <v>2.7E-2</v>
      </c>
    </row>
    <row r="18" spans="1:5" ht="15" customHeight="1" x14ac:dyDescent="0.15">
      <c r="A18">
        <v>17</v>
      </c>
      <c r="B18" s="183" t="s">
        <v>208</v>
      </c>
      <c r="C18">
        <v>7.0000000000000001E-3</v>
      </c>
      <c r="D18">
        <v>4.0000000000000001E-3</v>
      </c>
      <c r="E18">
        <v>1.0999999999999999E-2</v>
      </c>
    </row>
    <row r="19" spans="1:5" ht="15" customHeight="1" x14ac:dyDescent="0.15">
      <c r="A19">
        <v>18</v>
      </c>
      <c r="B19" s="183" t="s">
        <v>209</v>
      </c>
      <c r="C19">
        <v>3.7999999999999999E-2</v>
      </c>
      <c r="D19">
        <v>7.0000000000000007E-2</v>
      </c>
      <c r="E19">
        <v>0.10800000000000001</v>
      </c>
    </row>
    <row r="20" spans="1:5" ht="15" customHeight="1" x14ac:dyDescent="0.15">
      <c r="A20">
        <v>19</v>
      </c>
      <c r="B20" s="183" t="s">
        <v>210</v>
      </c>
      <c r="C20">
        <v>0.183</v>
      </c>
      <c r="D20">
        <v>3.5000000000000003E-2</v>
      </c>
      <c r="E20">
        <v>0.218</v>
      </c>
    </row>
    <row r="21" spans="1:5" ht="15" customHeight="1" x14ac:dyDescent="0.15">
      <c r="A21">
        <v>20</v>
      </c>
      <c r="B21" s="183" t="s">
        <v>211</v>
      </c>
      <c r="C21">
        <v>5.3999999999999999E-2</v>
      </c>
      <c r="D21">
        <v>2E-3</v>
      </c>
      <c r="E21">
        <v>5.6000000000000001E-2</v>
      </c>
    </row>
    <row r="22" spans="1:5" ht="15" customHeight="1" x14ac:dyDescent="0.15">
      <c r="A22">
        <v>21</v>
      </c>
      <c r="B22" s="183" t="s">
        <v>212</v>
      </c>
      <c r="C22">
        <v>2E-3</v>
      </c>
      <c r="D22">
        <v>3.5999999999999997E-2</v>
      </c>
      <c r="E22">
        <v>3.7999999999999999E-2</v>
      </c>
    </row>
    <row r="23" spans="1:5" ht="15" customHeight="1" x14ac:dyDescent="0.15">
      <c r="A23">
        <v>22</v>
      </c>
      <c r="B23" s="183" t="s">
        <v>213</v>
      </c>
      <c r="C23">
        <v>8.9999999999999993E-3</v>
      </c>
      <c r="D23">
        <v>9.5000000000000001E-2</v>
      </c>
      <c r="E23">
        <v>0.104</v>
      </c>
    </row>
    <row r="24" spans="1:5" ht="15" customHeight="1" x14ac:dyDescent="0.15">
      <c r="A24">
        <v>23</v>
      </c>
      <c r="B24" s="183" t="s">
        <v>214</v>
      </c>
      <c r="C24">
        <v>7.0000000000000001E-3</v>
      </c>
      <c r="D24">
        <v>3.7999999999999999E-2</v>
      </c>
      <c r="E24">
        <v>4.4999999999999998E-2</v>
      </c>
    </row>
    <row r="25" spans="1:5" ht="15" customHeight="1" x14ac:dyDescent="0.15">
      <c r="A25">
        <v>24</v>
      </c>
      <c r="B25" s="183" t="s">
        <v>215</v>
      </c>
      <c r="C25">
        <v>2E-3</v>
      </c>
      <c r="D25">
        <v>1.6E-2</v>
      </c>
      <c r="E25">
        <v>1.8000000000000002E-2</v>
      </c>
    </row>
    <row r="26" spans="1:5" ht="15" customHeight="1" x14ac:dyDescent="0.15">
      <c r="A26">
        <v>25</v>
      </c>
      <c r="B26" s="183" t="s">
        <v>216</v>
      </c>
      <c r="C26">
        <v>1E-3</v>
      </c>
      <c r="D26">
        <v>4.2000000000000003E-2</v>
      </c>
      <c r="E26">
        <v>4.3000000000000003E-2</v>
      </c>
    </row>
    <row r="27" spans="1:5" ht="15" customHeight="1" x14ac:dyDescent="0.15">
      <c r="A27">
        <v>26</v>
      </c>
      <c r="B27" s="183" t="s">
        <v>217</v>
      </c>
      <c r="C27">
        <v>3.0000000000000001E-3</v>
      </c>
      <c r="D27">
        <v>2.4E-2</v>
      </c>
      <c r="E27">
        <v>2.7E-2</v>
      </c>
    </row>
    <row r="28" spans="1:5" ht="15" customHeight="1" x14ac:dyDescent="0.15">
      <c r="A28">
        <v>27</v>
      </c>
      <c r="B28" s="183" t="s">
        <v>218</v>
      </c>
      <c r="C28">
        <v>1E-3</v>
      </c>
      <c r="D28">
        <v>4.0000000000000001E-3</v>
      </c>
      <c r="E28">
        <v>5.0000000000000001E-3</v>
      </c>
    </row>
    <row r="29" spans="1:5" ht="15" customHeight="1" x14ac:dyDescent="0.15">
      <c r="A29">
        <v>28</v>
      </c>
      <c r="B29" s="183" t="s">
        <v>219</v>
      </c>
      <c r="C29">
        <v>1E-3</v>
      </c>
      <c r="D29">
        <v>3.0000000000000001E-3</v>
      </c>
      <c r="E29">
        <v>4.0000000000000001E-3</v>
      </c>
    </row>
    <row r="30" spans="1:5" ht="15" customHeight="1" x14ac:dyDescent="0.15">
      <c r="A30">
        <v>29</v>
      </c>
      <c r="B30" s="183" t="s">
        <v>220</v>
      </c>
      <c r="C30">
        <v>0</v>
      </c>
      <c r="D30">
        <v>3.6999999999999998E-2</v>
      </c>
      <c r="E30">
        <v>3.6999999999999998E-2</v>
      </c>
    </row>
    <row r="31" spans="1:5" ht="15" customHeight="1" x14ac:dyDescent="0.15">
      <c r="A31">
        <v>30</v>
      </c>
      <c r="B31" s="183" t="s">
        <v>221</v>
      </c>
      <c r="C31">
        <v>0</v>
      </c>
      <c r="D31">
        <v>0.155</v>
      </c>
      <c r="E31">
        <v>0.155</v>
      </c>
    </row>
    <row r="32" spans="1:5" ht="15" customHeight="1" x14ac:dyDescent="0.15">
      <c r="A32">
        <v>31</v>
      </c>
      <c r="B32" s="183" t="s">
        <v>222</v>
      </c>
      <c r="C32">
        <v>0</v>
      </c>
      <c r="D32">
        <v>0</v>
      </c>
      <c r="E32">
        <v>0</v>
      </c>
    </row>
    <row r="33" spans="1:5" ht="15" customHeight="1" x14ac:dyDescent="0.15">
      <c r="A33">
        <v>32</v>
      </c>
      <c r="B33" s="183" t="s">
        <v>223</v>
      </c>
      <c r="C33">
        <v>0</v>
      </c>
      <c r="D33">
        <v>0</v>
      </c>
      <c r="E33">
        <v>0</v>
      </c>
    </row>
    <row r="34" spans="1:5" ht="15" customHeight="1" x14ac:dyDescent="0.15">
      <c r="A34">
        <v>33</v>
      </c>
      <c r="B34" s="183" t="s">
        <v>224</v>
      </c>
      <c r="C34">
        <v>0</v>
      </c>
      <c r="D34">
        <v>0</v>
      </c>
      <c r="E34">
        <v>0</v>
      </c>
    </row>
    <row r="35" spans="1:5" ht="15" customHeight="1" x14ac:dyDescent="0.15">
      <c r="A35">
        <v>34</v>
      </c>
      <c r="B35" s="183" t="s">
        <v>225</v>
      </c>
      <c r="C35">
        <v>0</v>
      </c>
      <c r="D35">
        <v>0</v>
      </c>
      <c r="E35">
        <v>0</v>
      </c>
    </row>
    <row r="36" spans="1:5" ht="15" customHeight="1" x14ac:dyDescent="0.15">
      <c r="A36">
        <v>35</v>
      </c>
      <c r="B36" s="183" t="s">
        <v>226</v>
      </c>
      <c r="C36">
        <v>0</v>
      </c>
      <c r="D36">
        <v>0</v>
      </c>
      <c r="E36">
        <v>0</v>
      </c>
    </row>
    <row r="37" spans="1:5" ht="15" customHeight="1" x14ac:dyDescent="0.15">
      <c r="A37">
        <v>36</v>
      </c>
      <c r="B37" s="183" t="s">
        <v>227</v>
      </c>
      <c r="C37">
        <v>0</v>
      </c>
      <c r="D37">
        <v>0</v>
      </c>
      <c r="E37">
        <v>0</v>
      </c>
    </row>
    <row r="38" spans="1:5" ht="15" customHeight="1" x14ac:dyDescent="0.15"/>
    <row r="39" spans="1:5" ht="15" customHeight="1" x14ac:dyDescent="0.15"/>
    <row r="40" spans="1:5" ht="15" customHeight="1" x14ac:dyDescent="0.15"/>
    <row r="41" spans="1:5" ht="15" customHeight="1" x14ac:dyDescent="0.15"/>
    <row r="42" spans="1:5" ht="15" customHeight="1" x14ac:dyDescent="0.15"/>
    <row r="43" spans="1:5" ht="15" customHeight="1" x14ac:dyDescent="0.15"/>
    <row r="44" spans="1:5" ht="15" customHeight="1" x14ac:dyDescent="0.15"/>
    <row r="45" spans="1:5" ht="15" customHeight="1" x14ac:dyDescent="0.15"/>
    <row r="46" spans="1:5" ht="15" customHeight="1" x14ac:dyDescent="0.15"/>
    <row r="47" spans="1:5" ht="15" customHeight="1" x14ac:dyDescent="0.15"/>
    <row r="48" spans="1:5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3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.5" bestFit="1" customWidth="1"/>
    <col min="3" max="5" width="2.33203125" bestFit="1" customWidth="1"/>
  </cols>
  <sheetData>
    <row r="1" spans="1:5" s="112" customFormat="1" ht="112" x14ac:dyDescent="0.15">
      <c r="A1" s="5" t="s">
        <v>22</v>
      </c>
      <c r="B1" s="3" t="s">
        <v>0</v>
      </c>
      <c r="C1" s="186" t="s">
        <v>228</v>
      </c>
      <c r="D1" s="186" t="s">
        <v>229</v>
      </c>
      <c r="E1" s="186" t="s">
        <v>233</v>
      </c>
    </row>
    <row r="2" spans="1:5" x14ac:dyDescent="0.15">
      <c r="A2">
        <v>1</v>
      </c>
      <c r="B2" s="185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85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85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185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85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85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85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85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85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85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85" t="s">
        <v>202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85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85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85" t="s">
        <v>205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85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85" t="s">
        <v>207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85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85" t="s">
        <v>209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85" t="s">
        <v>210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85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85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85" t="s">
        <v>213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85" t="s">
        <v>214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85" t="s">
        <v>215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85" t="s">
        <v>216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85" t="s">
        <v>217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85" t="s">
        <v>218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85" t="s">
        <v>219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85" t="s">
        <v>220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85" t="s">
        <v>221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85" t="s">
        <v>222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85" t="s">
        <v>223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85" t="s">
        <v>224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185" t="s">
        <v>225</v>
      </c>
      <c r="C35">
        <v>0</v>
      </c>
      <c r="D35">
        <v>0</v>
      </c>
      <c r="E35">
        <v>0</v>
      </c>
    </row>
    <row r="36" spans="1:5" x14ac:dyDescent="0.15">
      <c r="A36">
        <v>35</v>
      </c>
      <c r="B36" s="185" t="s">
        <v>226</v>
      </c>
      <c r="C36">
        <v>0</v>
      </c>
      <c r="D36">
        <v>0</v>
      </c>
      <c r="E36">
        <v>0</v>
      </c>
    </row>
    <row r="37" spans="1:5" x14ac:dyDescent="0.15">
      <c r="A37">
        <v>36</v>
      </c>
      <c r="B37" s="185" t="s">
        <v>227</v>
      </c>
      <c r="C37">
        <v>0</v>
      </c>
      <c r="D37">
        <v>0</v>
      </c>
      <c r="E3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2.5" bestFit="1" customWidth="1"/>
    <col min="6" max="6" width="4.83203125" bestFit="1" customWidth="1"/>
    <col min="7" max="9" width="3.83203125" bestFit="1" customWidth="1"/>
    <col min="10" max="11" width="4.83203125" style="11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3" customFormat="1" ht="14" thickBot="1" x14ac:dyDescent="0.2">
      <c r="D1" s="114" t="s">
        <v>8</v>
      </c>
      <c r="E1" s="114" t="s">
        <v>0</v>
      </c>
      <c r="F1" s="115" t="s">
        <v>99</v>
      </c>
      <c r="G1" s="116" t="s">
        <v>84</v>
      </c>
      <c r="H1" s="116" t="s">
        <v>85</v>
      </c>
      <c r="I1" s="116" t="s">
        <v>86</v>
      </c>
      <c r="J1" s="116" t="s">
        <v>87</v>
      </c>
      <c r="K1" s="116" t="s">
        <v>88</v>
      </c>
      <c r="L1" s="117" t="s">
        <v>89</v>
      </c>
      <c r="M1" s="117" t="s">
        <v>93</v>
      </c>
      <c r="N1" s="117" t="s">
        <v>92</v>
      </c>
      <c r="O1" s="117" t="s">
        <v>90</v>
      </c>
      <c r="P1" s="117" t="s">
        <v>91</v>
      </c>
      <c r="Q1" s="118" t="s">
        <v>94</v>
      </c>
      <c r="R1" s="118" t="s">
        <v>95</v>
      </c>
      <c r="S1" s="118" t="s">
        <v>96</v>
      </c>
      <c r="T1" s="118" t="s">
        <v>97</v>
      </c>
      <c r="U1" s="118" t="s">
        <v>98</v>
      </c>
      <c r="V1" s="116" t="s">
        <v>100</v>
      </c>
      <c r="W1" s="116" t="s">
        <v>101</v>
      </c>
      <c r="X1" s="116" t="s">
        <v>102</v>
      </c>
      <c r="Y1" s="116" t="s">
        <v>134</v>
      </c>
      <c r="Z1" s="117" t="s">
        <v>103</v>
      </c>
      <c r="AA1" s="117" t="s">
        <v>104</v>
      </c>
      <c r="AB1" s="117" t="s">
        <v>105</v>
      </c>
      <c r="AC1" s="119" t="s">
        <v>135</v>
      </c>
      <c r="AD1" s="118" t="s">
        <v>106</v>
      </c>
      <c r="AE1" s="118" t="s">
        <v>107</v>
      </c>
      <c r="AF1" s="118" t="s">
        <v>108</v>
      </c>
      <c r="AG1" s="118" t="s">
        <v>136</v>
      </c>
      <c r="AH1" s="116" t="s">
        <v>109</v>
      </c>
      <c r="AI1" s="116" t="s">
        <v>111</v>
      </c>
      <c r="AJ1" s="116" t="s">
        <v>110</v>
      </c>
      <c r="AK1" s="117" t="s">
        <v>115</v>
      </c>
      <c r="AL1" s="117" t="s">
        <v>116</v>
      </c>
      <c r="AM1" s="117" t="s">
        <v>117</v>
      </c>
      <c r="AN1" s="118" t="s">
        <v>112</v>
      </c>
      <c r="AO1" s="118" t="s">
        <v>113</v>
      </c>
      <c r="AP1" s="118" t="s">
        <v>114</v>
      </c>
    </row>
    <row r="2" spans="1:42" x14ac:dyDescent="0.15">
      <c r="A2" s="120" t="s">
        <v>74</v>
      </c>
      <c r="B2" s="121">
        <v>1</v>
      </c>
      <c r="D2">
        <v>1</v>
      </c>
      <c r="E2" s="187" t="s">
        <v>192</v>
      </c>
      <c r="F2">
        <v>0.98</v>
      </c>
      <c r="G2">
        <v>0.8</v>
      </c>
      <c r="H2">
        <v>0.8</v>
      </c>
      <c r="I2">
        <v>0.8</v>
      </c>
      <c r="J2" s="111">
        <v>0.25</v>
      </c>
      <c r="K2" s="111">
        <v>0.05</v>
      </c>
    </row>
    <row r="3" spans="1:42" x14ac:dyDescent="0.15">
      <c r="A3" s="120" t="s">
        <v>75</v>
      </c>
      <c r="B3" s="122">
        <v>1</v>
      </c>
      <c r="D3">
        <v>2</v>
      </c>
      <c r="E3" s="187" t="s">
        <v>193</v>
      </c>
      <c r="F3">
        <v>0.98</v>
      </c>
      <c r="G3">
        <v>0.8</v>
      </c>
      <c r="H3">
        <v>0.8</v>
      </c>
      <c r="I3">
        <v>0.8</v>
      </c>
      <c r="J3" s="111">
        <v>0.25</v>
      </c>
      <c r="K3" s="111">
        <v>0.05</v>
      </c>
    </row>
    <row r="4" spans="1:42" x14ac:dyDescent="0.15">
      <c r="A4" s="120" t="s">
        <v>76</v>
      </c>
      <c r="B4" s="122">
        <v>1</v>
      </c>
      <c r="D4">
        <v>3</v>
      </c>
      <c r="E4" s="187" t="s">
        <v>194</v>
      </c>
      <c r="F4">
        <v>0.98</v>
      </c>
      <c r="G4">
        <v>0.8</v>
      </c>
      <c r="H4">
        <v>0.8</v>
      </c>
      <c r="I4">
        <v>0.8</v>
      </c>
      <c r="J4" s="111">
        <v>0.25</v>
      </c>
      <c r="K4" s="111">
        <v>0.05</v>
      </c>
    </row>
    <row r="5" spans="1:42" x14ac:dyDescent="0.15">
      <c r="A5" s="120" t="s">
        <v>77</v>
      </c>
      <c r="B5" s="122">
        <v>1</v>
      </c>
      <c r="D5">
        <v>4</v>
      </c>
      <c r="E5" s="187" t="s">
        <v>195</v>
      </c>
      <c r="F5">
        <v>0.98</v>
      </c>
      <c r="G5">
        <v>0.8</v>
      </c>
      <c r="H5">
        <v>0.8</v>
      </c>
      <c r="I5">
        <v>0.8</v>
      </c>
      <c r="J5" s="111">
        <v>0.25</v>
      </c>
      <c r="K5" s="111">
        <v>0.05</v>
      </c>
    </row>
    <row r="6" spans="1:42" x14ac:dyDescent="0.15">
      <c r="A6" s="120" t="s">
        <v>78</v>
      </c>
      <c r="B6" s="122">
        <v>1</v>
      </c>
      <c r="D6">
        <v>5</v>
      </c>
      <c r="E6" s="187" t="s">
        <v>196</v>
      </c>
      <c r="F6">
        <v>0.98</v>
      </c>
      <c r="G6">
        <v>0.8</v>
      </c>
      <c r="H6">
        <v>0.8</v>
      </c>
      <c r="I6">
        <v>0.8</v>
      </c>
      <c r="J6" s="111">
        <v>0.25</v>
      </c>
      <c r="K6" s="111">
        <v>0.05</v>
      </c>
    </row>
    <row r="7" spans="1:42" x14ac:dyDescent="0.15">
      <c r="A7" s="120" t="s">
        <v>79</v>
      </c>
      <c r="B7" s="122">
        <v>1</v>
      </c>
      <c r="D7">
        <v>6</v>
      </c>
      <c r="E7" s="187" t="s">
        <v>197</v>
      </c>
      <c r="F7">
        <v>0.98</v>
      </c>
      <c r="G7">
        <v>0.8</v>
      </c>
      <c r="H7">
        <v>0.8</v>
      </c>
      <c r="I7">
        <v>0.8</v>
      </c>
      <c r="J7" s="111">
        <v>0.25</v>
      </c>
      <c r="K7" s="111">
        <v>0.05</v>
      </c>
    </row>
    <row r="8" spans="1:42" x14ac:dyDescent="0.15">
      <c r="A8" s="120" t="s">
        <v>80</v>
      </c>
      <c r="B8" s="122">
        <v>1</v>
      </c>
      <c r="D8">
        <v>7</v>
      </c>
      <c r="E8" s="187" t="s">
        <v>198</v>
      </c>
      <c r="F8">
        <v>0.98</v>
      </c>
      <c r="G8">
        <v>0.8</v>
      </c>
      <c r="H8">
        <v>0.8</v>
      </c>
      <c r="I8">
        <v>0.8</v>
      </c>
      <c r="J8" s="111">
        <v>0.25</v>
      </c>
      <c r="K8" s="111">
        <v>0.05</v>
      </c>
    </row>
    <row r="9" spans="1:42" x14ac:dyDescent="0.15">
      <c r="A9" s="120" t="s">
        <v>81</v>
      </c>
      <c r="B9" s="122">
        <v>0.1</v>
      </c>
      <c r="C9" s="61" t="s">
        <v>150</v>
      </c>
      <c r="D9">
        <v>8</v>
      </c>
      <c r="E9" s="187" t="s">
        <v>199</v>
      </c>
      <c r="F9">
        <v>0.98</v>
      </c>
      <c r="G9">
        <v>0.8</v>
      </c>
      <c r="H9">
        <v>0.8</v>
      </c>
      <c r="I9">
        <v>0.8</v>
      </c>
      <c r="J9" s="111">
        <v>0.25</v>
      </c>
      <c r="K9" s="111">
        <v>0.05</v>
      </c>
    </row>
    <row r="10" spans="1:42" ht="14" thickBot="1" x14ac:dyDescent="0.2">
      <c r="A10" s="120" t="s">
        <v>149</v>
      </c>
      <c r="B10" s="123">
        <f>1/3</f>
        <v>0.33333333333333331</v>
      </c>
      <c r="C10" s="61" t="s">
        <v>150</v>
      </c>
      <c r="D10">
        <v>9</v>
      </c>
      <c r="E10" s="187" t="s">
        <v>200</v>
      </c>
      <c r="F10">
        <v>0.98</v>
      </c>
      <c r="G10">
        <v>0.8</v>
      </c>
      <c r="H10">
        <v>0.8</v>
      </c>
      <c r="I10">
        <v>0.8</v>
      </c>
      <c r="J10" s="111">
        <v>0.25</v>
      </c>
      <c r="K10" s="111">
        <v>0.05</v>
      </c>
    </row>
    <row r="11" spans="1:42" x14ac:dyDescent="0.15">
      <c r="D11">
        <v>10</v>
      </c>
      <c r="E11" s="187" t="s">
        <v>201</v>
      </c>
      <c r="F11">
        <v>0.98</v>
      </c>
      <c r="G11">
        <v>0.8</v>
      </c>
      <c r="H11">
        <v>0.8</v>
      </c>
      <c r="I11">
        <v>0.8</v>
      </c>
      <c r="J11" s="111">
        <v>0.25</v>
      </c>
      <c r="K11" s="111">
        <v>0.05</v>
      </c>
    </row>
    <row r="12" spans="1:42" x14ac:dyDescent="0.15">
      <c r="D12">
        <v>11</v>
      </c>
      <c r="E12" s="187" t="s">
        <v>202</v>
      </c>
      <c r="F12">
        <v>0.98</v>
      </c>
      <c r="G12">
        <v>0.8</v>
      </c>
      <c r="H12">
        <v>0.8</v>
      </c>
      <c r="I12">
        <v>0.8</v>
      </c>
      <c r="J12" s="111">
        <v>0.25</v>
      </c>
      <c r="K12" s="111">
        <v>0.05</v>
      </c>
    </row>
    <row r="13" spans="1:42" x14ac:dyDescent="0.15">
      <c r="D13">
        <v>12</v>
      </c>
      <c r="E13" s="187" t="s">
        <v>203</v>
      </c>
      <c r="F13">
        <v>0.98</v>
      </c>
      <c r="G13">
        <v>0.8</v>
      </c>
      <c r="H13">
        <v>0.8</v>
      </c>
      <c r="I13">
        <v>0.8</v>
      </c>
      <c r="J13" s="111">
        <v>0.25</v>
      </c>
      <c r="K13" s="111">
        <v>0.05</v>
      </c>
    </row>
    <row r="14" spans="1:42" x14ac:dyDescent="0.15">
      <c r="D14">
        <v>13</v>
      </c>
      <c r="E14" s="187" t="s">
        <v>204</v>
      </c>
      <c r="F14">
        <v>0.98</v>
      </c>
      <c r="G14">
        <v>0.8</v>
      </c>
      <c r="H14">
        <v>0.8</v>
      </c>
      <c r="I14">
        <v>0.8</v>
      </c>
      <c r="J14" s="111">
        <v>0.25</v>
      </c>
      <c r="K14" s="111">
        <v>0.05</v>
      </c>
    </row>
    <row r="15" spans="1:42" x14ac:dyDescent="0.15">
      <c r="D15">
        <v>14</v>
      </c>
      <c r="E15" s="187" t="s">
        <v>205</v>
      </c>
      <c r="F15">
        <v>0.98</v>
      </c>
      <c r="G15">
        <v>0.8</v>
      </c>
      <c r="H15">
        <v>0.8</v>
      </c>
      <c r="I15">
        <v>0.8</v>
      </c>
      <c r="J15" s="111">
        <v>0.25</v>
      </c>
      <c r="K15" s="111">
        <v>0.05</v>
      </c>
    </row>
    <row r="16" spans="1:42" x14ac:dyDescent="0.15">
      <c r="D16">
        <v>15</v>
      </c>
      <c r="E16" s="187" t="s">
        <v>206</v>
      </c>
      <c r="F16">
        <v>0.98</v>
      </c>
      <c r="G16">
        <v>0.8</v>
      </c>
      <c r="H16">
        <v>0.8</v>
      </c>
      <c r="I16">
        <v>0.8</v>
      </c>
      <c r="J16" s="111">
        <v>0.25</v>
      </c>
      <c r="K16" s="111">
        <v>0.05</v>
      </c>
    </row>
    <row r="17" spans="4:33" ht="15" customHeight="1" x14ac:dyDescent="0.15">
      <c r="D17">
        <v>16</v>
      </c>
      <c r="E17" s="187" t="s">
        <v>207</v>
      </c>
      <c r="F17">
        <v>0.98</v>
      </c>
      <c r="G17">
        <v>0.8</v>
      </c>
      <c r="H17">
        <v>0.8</v>
      </c>
      <c r="I17">
        <v>0.8</v>
      </c>
      <c r="J17" s="111">
        <v>0.25</v>
      </c>
      <c r="K17" s="111">
        <v>0.05</v>
      </c>
    </row>
    <row r="18" spans="4:33" ht="15" customHeight="1" x14ac:dyDescent="0.15">
      <c r="D18">
        <v>17</v>
      </c>
      <c r="E18" s="187" t="s">
        <v>208</v>
      </c>
      <c r="F18">
        <v>0.98</v>
      </c>
      <c r="G18">
        <v>0.8</v>
      </c>
      <c r="H18">
        <v>0.8</v>
      </c>
      <c r="I18">
        <v>0.8</v>
      </c>
      <c r="J18" s="111">
        <v>0.25</v>
      </c>
      <c r="K18" s="111">
        <v>0.05</v>
      </c>
    </row>
    <row r="19" spans="4:33" ht="15" customHeight="1" x14ac:dyDescent="0.15">
      <c r="D19">
        <v>18</v>
      </c>
      <c r="E19" s="187" t="s">
        <v>209</v>
      </c>
      <c r="F19">
        <v>0.98</v>
      </c>
      <c r="G19">
        <v>0.8</v>
      </c>
      <c r="H19">
        <v>0.8</v>
      </c>
      <c r="I19">
        <v>0.8</v>
      </c>
      <c r="J19" s="111">
        <v>0.25</v>
      </c>
      <c r="K19" s="111">
        <v>0.05</v>
      </c>
    </row>
    <row r="20" spans="4:33" ht="15" customHeight="1" x14ac:dyDescent="0.15">
      <c r="D20">
        <v>19</v>
      </c>
      <c r="E20" s="187" t="s">
        <v>210</v>
      </c>
      <c r="F20">
        <v>0.98</v>
      </c>
      <c r="G20">
        <v>0.8</v>
      </c>
      <c r="H20">
        <v>0.8</v>
      </c>
      <c r="I20">
        <v>0.8</v>
      </c>
      <c r="J20" s="111">
        <v>0.25</v>
      </c>
      <c r="K20" s="111">
        <v>0.05</v>
      </c>
    </row>
    <row r="21" spans="4:33" ht="15" customHeight="1" x14ac:dyDescent="0.15">
      <c r="D21">
        <v>20</v>
      </c>
      <c r="E21" s="187" t="s">
        <v>211</v>
      </c>
      <c r="F21">
        <v>0.98</v>
      </c>
      <c r="G21">
        <v>0.8</v>
      </c>
      <c r="H21">
        <v>0.8</v>
      </c>
      <c r="I21">
        <v>0.8</v>
      </c>
      <c r="J21" s="111">
        <v>0.25</v>
      </c>
      <c r="K21" s="111">
        <v>0.05</v>
      </c>
    </row>
    <row r="22" spans="4:33" ht="15" customHeight="1" x14ac:dyDescent="0.15">
      <c r="D22">
        <v>21</v>
      </c>
      <c r="E22" s="187" t="s">
        <v>212</v>
      </c>
      <c r="F22">
        <v>0.98</v>
      </c>
      <c r="G22">
        <v>0.8</v>
      </c>
      <c r="H22">
        <v>0.8</v>
      </c>
      <c r="I22">
        <v>0.8</v>
      </c>
      <c r="J22" s="111">
        <v>0.25</v>
      </c>
      <c r="K22" s="111">
        <v>0.05</v>
      </c>
    </row>
    <row r="23" spans="4:33" ht="15" customHeight="1" x14ac:dyDescent="0.15">
      <c r="D23">
        <v>22</v>
      </c>
      <c r="E23" s="187" t="s">
        <v>213</v>
      </c>
      <c r="F23">
        <v>0.98</v>
      </c>
      <c r="G23">
        <v>0.8</v>
      </c>
      <c r="H23">
        <v>0.8</v>
      </c>
      <c r="I23">
        <v>0.8</v>
      </c>
      <c r="J23" s="111">
        <v>0.25</v>
      </c>
      <c r="K23" s="111">
        <v>0.05</v>
      </c>
    </row>
    <row r="24" spans="4:33" ht="15" customHeight="1" x14ac:dyDescent="0.15">
      <c r="D24">
        <v>23</v>
      </c>
      <c r="E24" s="187" t="s">
        <v>214</v>
      </c>
      <c r="F24">
        <v>0.98</v>
      </c>
      <c r="G24">
        <v>0.8</v>
      </c>
      <c r="H24">
        <v>0.8</v>
      </c>
      <c r="I24">
        <v>0.8</v>
      </c>
      <c r="J24" s="111">
        <v>0.25</v>
      </c>
      <c r="K24" s="111">
        <v>0.05</v>
      </c>
    </row>
    <row r="25" spans="4:33" ht="15" customHeight="1" x14ac:dyDescent="0.15">
      <c r="D25">
        <v>24</v>
      </c>
      <c r="E25" s="187" t="s">
        <v>215</v>
      </c>
      <c r="F25">
        <v>0.98</v>
      </c>
      <c r="G25">
        <v>0.8</v>
      </c>
      <c r="H25">
        <v>0.8</v>
      </c>
      <c r="I25">
        <v>0.8</v>
      </c>
      <c r="J25" s="111">
        <v>0.25</v>
      </c>
      <c r="K25" s="111">
        <v>0.05</v>
      </c>
    </row>
    <row r="26" spans="4:33" ht="15" customHeight="1" x14ac:dyDescent="0.15">
      <c r="D26">
        <v>25</v>
      </c>
      <c r="E26" s="187" t="s">
        <v>216</v>
      </c>
      <c r="F26">
        <v>0.98</v>
      </c>
      <c r="G26">
        <v>0.8</v>
      </c>
      <c r="H26">
        <v>0.8</v>
      </c>
      <c r="I26">
        <v>0.8</v>
      </c>
      <c r="J26" s="111">
        <v>0.25</v>
      </c>
      <c r="K26" s="111">
        <v>0.05</v>
      </c>
    </row>
    <row r="27" spans="4:33" ht="15" customHeight="1" x14ac:dyDescent="0.15">
      <c r="D27">
        <v>26</v>
      </c>
      <c r="E27" s="187" t="s">
        <v>217</v>
      </c>
      <c r="F27">
        <v>0.98</v>
      </c>
      <c r="G27">
        <v>0.8</v>
      </c>
      <c r="H27">
        <v>0.8</v>
      </c>
      <c r="I27">
        <v>0.8</v>
      </c>
      <c r="J27" s="111">
        <v>0.25</v>
      </c>
      <c r="K27" s="111">
        <v>0.05</v>
      </c>
    </row>
    <row r="28" spans="4:33" ht="15" customHeight="1" x14ac:dyDescent="0.15">
      <c r="D28">
        <v>27</v>
      </c>
      <c r="E28" s="187" t="s">
        <v>218</v>
      </c>
      <c r="F28">
        <v>0.98</v>
      </c>
      <c r="G28">
        <v>0.8</v>
      </c>
      <c r="H28">
        <v>0.8</v>
      </c>
      <c r="I28">
        <v>0.8</v>
      </c>
      <c r="J28" s="111">
        <v>0.25</v>
      </c>
      <c r="K28" s="111">
        <v>0.05</v>
      </c>
    </row>
    <row r="29" spans="4:33" ht="15" customHeight="1" x14ac:dyDescent="0.15">
      <c r="D29">
        <v>28</v>
      </c>
      <c r="E29" s="187" t="s">
        <v>219</v>
      </c>
      <c r="F29">
        <v>0.98</v>
      </c>
      <c r="G29">
        <v>0.8</v>
      </c>
      <c r="H29">
        <v>0.8</v>
      </c>
      <c r="I29">
        <v>0.8</v>
      </c>
      <c r="J29" s="111">
        <v>0.25</v>
      </c>
      <c r="K29" s="111">
        <v>0.05</v>
      </c>
      <c r="Y29"/>
      <c r="AC29"/>
      <c r="AG29"/>
    </row>
    <row r="30" spans="4:33" ht="15" customHeight="1" x14ac:dyDescent="0.15">
      <c r="D30">
        <v>29</v>
      </c>
      <c r="E30" s="187" t="s">
        <v>220</v>
      </c>
      <c r="F30">
        <v>0.98</v>
      </c>
      <c r="G30">
        <v>0.8</v>
      </c>
      <c r="H30">
        <v>0.8</v>
      </c>
      <c r="I30">
        <v>0.8</v>
      </c>
      <c r="J30" s="111">
        <v>0.25</v>
      </c>
      <c r="K30" s="111">
        <v>0.05</v>
      </c>
      <c r="Y30"/>
      <c r="AC30"/>
      <c r="AG30"/>
    </row>
    <row r="31" spans="4:33" ht="15" customHeight="1" x14ac:dyDescent="0.15">
      <c r="D31">
        <v>30</v>
      </c>
      <c r="E31" s="187" t="s">
        <v>221</v>
      </c>
      <c r="F31">
        <v>0.98</v>
      </c>
      <c r="G31">
        <v>0.8</v>
      </c>
      <c r="H31">
        <v>0.8</v>
      </c>
      <c r="I31">
        <v>0.8</v>
      </c>
      <c r="J31" s="111">
        <v>0.25</v>
      </c>
      <c r="K31" s="111">
        <v>0.05</v>
      </c>
      <c r="Y31"/>
      <c r="AC31"/>
      <c r="AG31"/>
    </row>
    <row r="32" spans="4:33" ht="15" customHeight="1" x14ac:dyDescent="0.15">
      <c r="D32">
        <v>31</v>
      </c>
      <c r="E32" s="187" t="s">
        <v>222</v>
      </c>
      <c r="F32">
        <v>0.98</v>
      </c>
      <c r="G32">
        <v>0.8</v>
      </c>
      <c r="H32">
        <v>0.8</v>
      </c>
      <c r="I32">
        <v>0.8</v>
      </c>
      <c r="J32" s="111">
        <v>0.25</v>
      </c>
      <c r="K32" s="111">
        <v>0.05</v>
      </c>
      <c r="Y32"/>
      <c r="AC32"/>
      <c r="AG32"/>
    </row>
    <row r="33" spans="4:33" ht="15" customHeight="1" x14ac:dyDescent="0.15">
      <c r="D33">
        <v>32</v>
      </c>
      <c r="E33" s="187" t="s">
        <v>223</v>
      </c>
      <c r="F33">
        <v>0.98</v>
      </c>
      <c r="G33">
        <v>0.8</v>
      </c>
      <c r="H33">
        <v>0.8</v>
      </c>
      <c r="I33">
        <v>0.8</v>
      </c>
      <c r="J33" s="111">
        <v>0.25</v>
      </c>
      <c r="K33" s="111">
        <v>0.05</v>
      </c>
      <c r="Y33"/>
      <c r="AC33"/>
      <c r="AG33"/>
    </row>
    <row r="34" spans="4:33" ht="15" customHeight="1" x14ac:dyDescent="0.15">
      <c r="D34">
        <v>33</v>
      </c>
      <c r="E34" s="187" t="s">
        <v>224</v>
      </c>
      <c r="F34">
        <v>0.98</v>
      </c>
      <c r="G34">
        <v>0.8</v>
      </c>
      <c r="H34">
        <v>0.8</v>
      </c>
      <c r="I34">
        <v>0.8</v>
      </c>
      <c r="J34" s="111">
        <v>0.25</v>
      </c>
      <c r="K34" s="111">
        <v>0.05</v>
      </c>
      <c r="Y34"/>
      <c r="AC34"/>
      <c r="AG34"/>
    </row>
    <row r="35" spans="4:33" ht="15" customHeight="1" x14ac:dyDescent="0.15">
      <c r="D35">
        <v>34</v>
      </c>
      <c r="E35" s="187" t="s">
        <v>225</v>
      </c>
      <c r="F35">
        <v>0.98</v>
      </c>
      <c r="G35">
        <v>0.8</v>
      </c>
      <c r="H35">
        <v>0.8</v>
      </c>
      <c r="I35">
        <v>0</v>
      </c>
      <c r="J35" s="111">
        <v>0</v>
      </c>
      <c r="K35" s="111">
        <v>0</v>
      </c>
      <c r="Y35"/>
      <c r="AC35"/>
      <c r="AG35"/>
    </row>
    <row r="36" spans="4:33" ht="15" customHeight="1" x14ac:dyDescent="0.15">
      <c r="D36">
        <v>35</v>
      </c>
      <c r="E36" s="187" t="s">
        <v>226</v>
      </c>
      <c r="F36">
        <v>0.98</v>
      </c>
      <c r="G36">
        <v>0.8</v>
      </c>
      <c r="H36">
        <v>0</v>
      </c>
      <c r="I36">
        <v>0</v>
      </c>
      <c r="J36" s="111">
        <v>0</v>
      </c>
      <c r="K36" s="111">
        <v>0</v>
      </c>
      <c r="Y36"/>
      <c r="AC36"/>
      <c r="AG36"/>
    </row>
    <row r="37" spans="4:33" ht="15" customHeight="1" x14ac:dyDescent="0.15">
      <c r="D37">
        <v>36</v>
      </c>
      <c r="E37" s="187" t="s">
        <v>227</v>
      </c>
      <c r="F37">
        <v>0.98</v>
      </c>
      <c r="G37">
        <v>0.8</v>
      </c>
      <c r="H37">
        <v>0</v>
      </c>
      <c r="I37">
        <v>0</v>
      </c>
      <c r="J37" s="111">
        <v>0</v>
      </c>
      <c r="K37" s="111">
        <v>0</v>
      </c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K38"/>
  <sheetViews>
    <sheetView workbookViewId="0">
      <selection activeCell="A3" sqref="A3"/>
    </sheetView>
  </sheetViews>
  <sheetFormatPr baseColWidth="10" defaultRowHeight="13" x14ac:dyDescent="0.15"/>
  <cols>
    <col min="1" max="1" width="22.5" style="109" bestFit="1" customWidth="1"/>
    <col min="2" max="34" width="3.83203125" style="109" customWidth="1"/>
    <col min="35" max="37" width="2.33203125" style="109" customWidth="1"/>
    <col min="38" max="16384" width="10.83203125" style="109"/>
  </cols>
  <sheetData>
    <row r="1" spans="1:37" x14ac:dyDescent="0.15">
      <c r="A1" s="63" t="s">
        <v>118</v>
      </c>
      <c r="B1" s="189" t="s">
        <v>192</v>
      </c>
      <c r="C1" s="189" t="s">
        <v>193</v>
      </c>
      <c r="D1" s="189" t="s">
        <v>194</v>
      </c>
      <c r="E1" s="189" t="s">
        <v>195</v>
      </c>
      <c r="F1" s="189" t="s">
        <v>196</v>
      </c>
      <c r="G1" s="189" t="s">
        <v>197</v>
      </c>
      <c r="H1" s="189" t="s">
        <v>198</v>
      </c>
      <c r="I1" s="189" t="s">
        <v>199</v>
      </c>
      <c r="J1" s="189" t="s">
        <v>200</v>
      </c>
      <c r="K1" s="189" t="s">
        <v>201</v>
      </c>
      <c r="L1" s="189" t="s">
        <v>202</v>
      </c>
      <c r="M1" s="189" t="s">
        <v>203</v>
      </c>
      <c r="N1" s="189" t="s">
        <v>204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  <c r="AF1" s="189" t="s">
        <v>222</v>
      </c>
      <c r="AG1" s="189" t="s">
        <v>223</v>
      </c>
      <c r="AH1" s="189" t="s">
        <v>224</v>
      </c>
      <c r="AI1" s="189" t="s">
        <v>225</v>
      </c>
      <c r="AJ1" s="189" t="s">
        <v>226</v>
      </c>
      <c r="AK1" s="189" t="s">
        <v>227</v>
      </c>
    </row>
    <row r="2" spans="1:37" customFormat="1" x14ac:dyDescent="0.15">
      <c r="A2" s="188" t="s">
        <v>192</v>
      </c>
      <c r="B2" s="109">
        <v>0</v>
      </c>
      <c r="C2" s="109">
        <v>0</v>
      </c>
      <c r="D2" s="109">
        <v>0</v>
      </c>
      <c r="E2" s="109">
        <v>0</v>
      </c>
      <c r="F2" s="109">
        <v>0</v>
      </c>
      <c r="G2" s="109">
        <v>0</v>
      </c>
      <c r="H2" s="109">
        <v>0</v>
      </c>
      <c r="I2" s="109">
        <v>0</v>
      </c>
      <c r="J2" s="109">
        <v>0</v>
      </c>
      <c r="K2" s="109">
        <v>0</v>
      </c>
      <c r="L2" s="109">
        <v>0</v>
      </c>
      <c r="M2" s="109">
        <v>0</v>
      </c>
      <c r="N2" s="109">
        <v>0</v>
      </c>
      <c r="O2" s="109">
        <v>0</v>
      </c>
      <c r="P2" s="109">
        <v>0</v>
      </c>
      <c r="Q2" s="109">
        <v>0</v>
      </c>
      <c r="R2" s="109">
        <v>0</v>
      </c>
      <c r="S2" s="109">
        <v>0</v>
      </c>
      <c r="T2" s="109">
        <v>0</v>
      </c>
      <c r="U2" s="109">
        <v>0</v>
      </c>
      <c r="V2" s="109">
        <v>0</v>
      </c>
      <c r="W2" s="109">
        <v>0</v>
      </c>
      <c r="X2" s="109">
        <v>0</v>
      </c>
      <c r="Y2" s="109">
        <v>0</v>
      </c>
      <c r="Z2" s="109">
        <v>0</v>
      </c>
      <c r="AA2" s="109">
        <v>0</v>
      </c>
      <c r="AB2" s="109">
        <v>0</v>
      </c>
      <c r="AC2" s="109">
        <v>0</v>
      </c>
      <c r="AD2" s="109">
        <v>0</v>
      </c>
      <c r="AE2" s="109">
        <v>0</v>
      </c>
      <c r="AF2" s="109">
        <v>0</v>
      </c>
      <c r="AG2" s="109">
        <v>0</v>
      </c>
      <c r="AH2" s="109">
        <v>0</v>
      </c>
      <c r="AI2" s="109">
        <v>0</v>
      </c>
      <c r="AJ2" s="109">
        <v>0</v>
      </c>
      <c r="AK2" s="109">
        <v>0</v>
      </c>
    </row>
    <row r="3" spans="1:37" customFormat="1" x14ac:dyDescent="0.15">
      <c r="A3" s="188" t="s">
        <v>193</v>
      </c>
      <c r="B3" s="109">
        <v>0</v>
      </c>
      <c r="C3" s="109">
        <v>0</v>
      </c>
      <c r="D3" s="109">
        <v>0</v>
      </c>
      <c r="E3" s="109">
        <v>0</v>
      </c>
      <c r="F3" s="109">
        <v>0</v>
      </c>
      <c r="G3" s="109">
        <v>0.8</v>
      </c>
      <c r="H3" s="109">
        <v>0</v>
      </c>
      <c r="I3" s="109">
        <v>0</v>
      </c>
      <c r="J3" s="109">
        <v>0</v>
      </c>
      <c r="K3" s="109">
        <v>0</v>
      </c>
      <c r="L3" s="109">
        <v>0</v>
      </c>
      <c r="M3" s="109">
        <v>0</v>
      </c>
      <c r="N3" s="109">
        <v>0</v>
      </c>
      <c r="O3" s="109">
        <v>0</v>
      </c>
      <c r="P3" s="109">
        <v>0</v>
      </c>
      <c r="Q3" s="109">
        <v>0</v>
      </c>
      <c r="R3" s="109">
        <v>0</v>
      </c>
      <c r="S3" s="109">
        <v>0</v>
      </c>
      <c r="T3" s="109">
        <v>0</v>
      </c>
      <c r="U3" s="109">
        <v>0</v>
      </c>
      <c r="V3" s="109">
        <v>0</v>
      </c>
      <c r="W3" s="109">
        <v>0</v>
      </c>
      <c r="X3" s="109">
        <v>0</v>
      </c>
      <c r="Y3" s="109">
        <v>0</v>
      </c>
      <c r="Z3" s="109">
        <v>0</v>
      </c>
      <c r="AA3" s="109">
        <v>0</v>
      </c>
      <c r="AB3" s="109">
        <v>0</v>
      </c>
      <c r="AC3" s="109">
        <v>0</v>
      </c>
      <c r="AD3" s="109">
        <v>0</v>
      </c>
      <c r="AE3" s="109">
        <v>0</v>
      </c>
      <c r="AF3" s="109">
        <v>0</v>
      </c>
      <c r="AG3" s="109">
        <v>0</v>
      </c>
      <c r="AH3" s="109">
        <v>0</v>
      </c>
      <c r="AI3" s="109">
        <v>0</v>
      </c>
      <c r="AJ3" s="109">
        <v>0</v>
      </c>
      <c r="AK3" s="109">
        <v>0</v>
      </c>
    </row>
    <row r="4" spans="1:37" customFormat="1" x14ac:dyDescent="0.15">
      <c r="A4" s="188" t="s">
        <v>194</v>
      </c>
      <c r="B4" s="109">
        <v>0</v>
      </c>
      <c r="C4" s="109">
        <v>0</v>
      </c>
      <c r="D4" s="109">
        <v>0</v>
      </c>
      <c r="E4" s="109">
        <v>0</v>
      </c>
      <c r="F4" s="109">
        <v>0</v>
      </c>
      <c r="G4" s="109">
        <v>0</v>
      </c>
      <c r="H4" s="109">
        <v>0</v>
      </c>
      <c r="I4" s="109">
        <v>0</v>
      </c>
      <c r="J4" s="109">
        <v>0</v>
      </c>
      <c r="K4" s="109">
        <v>0</v>
      </c>
      <c r="L4" s="109">
        <v>0</v>
      </c>
      <c r="M4" s="109">
        <v>0</v>
      </c>
      <c r="N4" s="109">
        <v>0</v>
      </c>
      <c r="O4" s="109">
        <v>0</v>
      </c>
      <c r="P4" s="109">
        <v>0</v>
      </c>
      <c r="Q4" s="109">
        <v>0</v>
      </c>
      <c r="R4" s="109">
        <v>0</v>
      </c>
      <c r="S4" s="109">
        <v>0</v>
      </c>
      <c r="T4" s="109">
        <v>0</v>
      </c>
      <c r="U4" s="109">
        <v>0</v>
      </c>
      <c r="V4" s="109">
        <v>0</v>
      </c>
      <c r="W4" s="109">
        <v>0</v>
      </c>
      <c r="X4" s="109">
        <v>0.8</v>
      </c>
      <c r="Y4" s="109">
        <v>0</v>
      </c>
      <c r="Z4" s="109">
        <v>0</v>
      </c>
      <c r="AA4" s="109">
        <v>0</v>
      </c>
      <c r="AB4" s="109">
        <v>0</v>
      </c>
      <c r="AC4" s="109">
        <v>0</v>
      </c>
      <c r="AD4" s="109">
        <v>0</v>
      </c>
      <c r="AE4" s="109">
        <v>0</v>
      </c>
      <c r="AF4" s="109">
        <v>0</v>
      </c>
      <c r="AG4" s="109">
        <v>0</v>
      </c>
      <c r="AH4" s="109">
        <v>0</v>
      </c>
      <c r="AI4" s="109">
        <v>0</v>
      </c>
      <c r="AJ4" s="109">
        <v>0</v>
      </c>
      <c r="AK4" s="109">
        <v>0</v>
      </c>
    </row>
    <row r="5" spans="1:37" customFormat="1" x14ac:dyDescent="0.15">
      <c r="A5" s="188" t="s">
        <v>195</v>
      </c>
      <c r="B5" s="109">
        <v>0</v>
      </c>
      <c r="C5" s="109">
        <v>0</v>
      </c>
      <c r="D5" s="109">
        <v>0</v>
      </c>
      <c r="E5" s="109">
        <v>0</v>
      </c>
      <c r="F5" s="109">
        <v>0</v>
      </c>
      <c r="G5" s="109">
        <v>0</v>
      </c>
      <c r="H5" s="109">
        <v>0</v>
      </c>
      <c r="I5" s="109">
        <v>0</v>
      </c>
      <c r="J5" s="109">
        <v>0</v>
      </c>
      <c r="K5" s="109">
        <v>0</v>
      </c>
      <c r="L5" s="109">
        <v>0</v>
      </c>
      <c r="M5" s="109">
        <v>0</v>
      </c>
      <c r="N5" s="109">
        <v>0</v>
      </c>
      <c r="O5" s="109">
        <v>0</v>
      </c>
      <c r="P5" s="109">
        <v>0</v>
      </c>
      <c r="Q5" s="109">
        <v>0</v>
      </c>
      <c r="R5" s="109">
        <v>0</v>
      </c>
      <c r="S5" s="109">
        <v>0</v>
      </c>
      <c r="T5" s="109">
        <v>0</v>
      </c>
      <c r="U5" s="109">
        <v>0</v>
      </c>
      <c r="V5" s="109">
        <v>0</v>
      </c>
      <c r="W5" s="109">
        <v>0</v>
      </c>
      <c r="X5" s="109">
        <v>0</v>
      </c>
      <c r="Y5" s="109">
        <v>0</v>
      </c>
      <c r="Z5" s="109">
        <v>0</v>
      </c>
      <c r="AA5" s="109">
        <v>0</v>
      </c>
      <c r="AB5" s="109">
        <v>0</v>
      </c>
      <c r="AC5" s="109">
        <v>0</v>
      </c>
      <c r="AD5" s="109">
        <v>0</v>
      </c>
      <c r="AE5" s="109">
        <v>0</v>
      </c>
      <c r="AF5" s="109">
        <v>0</v>
      </c>
      <c r="AG5" s="109">
        <v>0</v>
      </c>
      <c r="AH5" s="109">
        <v>0</v>
      </c>
      <c r="AI5" s="109">
        <v>0</v>
      </c>
      <c r="AJ5" s="109">
        <v>0</v>
      </c>
      <c r="AK5" s="109">
        <v>0</v>
      </c>
    </row>
    <row r="6" spans="1:37" customFormat="1" x14ac:dyDescent="0.15">
      <c r="A6" s="188" t="s">
        <v>196</v>
      </c>
      <c r="B6" s="109">
        <v>0</v>
      </c>
      <c r="C6" s="109">
        <v>0</v>
      </c>
      <c r="D6" s="109">
        <v>0</v>
      </c>
      <c r="E6" s="109">
        <v>0</v>
      </c>
      <c r="F6" s="109">
        <v>0</v>
      </c>
      <c r="G6" s="109">
        <v>0.8</v>
      </c>
      <c r="H6" s="109">
        <v>0</v>
      </c>
      <c r="I6" s="109">
        <v>0.8</v>
      </c>
      <c r="J6" s="109">
        <v>0.8</v>
      </c>
      <c r="K6" s="109">
        <v>0</v>
      </c>
      <c r="L6" s="109">
        <v>0</v>
      </c>
      <c r="M6" s="109">
        <v>0</v>
      </c>
      <c r="N6" s="109">
        <v>0</v>
      </c>
      <c r="O6" s="109">
        <v>0</v>
      </c>
      <c r="P6" s="109">
        <v>0</v>
      </c>
      <c r="Q6" s="109">
        <v>0</v>
      </c>
      <c r="R6" s="109">
        <v>0</v>
      </c>
      <c r="S6" s="109">
        <v>0</v>
      </c>
      <c r="T6" s="109">
        <v>0</v>
      </c>
      <c r="U6" s="109">
        <v>0</v>
      </c>
      <c r="V6" s="109">
        <v>0</v>
      </c>
      <c r="W6" s="109">
        <v>0</v>
      </c>
      <c r="X6" s="109">
        <v>0</v>
      </c>
      <c r="Y6" s="109">
        <v>0</v>
      </c>
      <c r="Z6" s="109">
        <v>0</v>
      </c>
      <c r="AA6" s="109">
        <v>0</v>
      </c>
      <c r="AB6" s="109">
        <v>0</v>
      </c>
      <c r="AC6" s="109">
        <v>0</v>
      </c>
      <c r="AD6" s="109">
        <v>0</v>
      </c>
      <c r="AE6" s="109">
        <v>0</v>
      </c>
      <c r="AF6" s="109">
        <v>0</v>
      </c>
      <c r="AG6" s="109">
        <v>0</v>
      </c>
      <c r="AH6" s="109">
        <v>0</v>
      </c>
      <c r="AI6" s="109">
        <v>0</v>
      </c>
      <c r="AJ6" s="109">
        <v>0</v>
      </c>
      <c r="AK6" s="109">
        <v>0</v>
      </c>
    </row>
    <row r="7" spans="1:37" customFormat="1" x14ac:dyDescent="0.15">
      <c r="A7" s="188" t="s">
        <v>197</v>
      </c>
      <c r="B7" s="109">
        <v>0</v>
      </c>
      <c r="C7" s="109">
        <v>0</v>
      </c>
      <c r="D7" s="109">
        <v>0</v>
      </c>
      <c r="E7" s="109">
        <v>0</v>
      </c>
      <c r="F7" s="109">
        <v>0</v>
      </c>
      <c r="G7" s="109">
        <v>0.8</v>
      </c>
      <c r="H7" s="109">
        <v>0</v>
      </c>
      <c r="I7" s="109">
        <v>0</v>
      </c>
      <c r="J7" s="109">
        <v>0</v>
      </c>
      <c r="K7" s="109">
        <v>0</v>
      </c>
      <c r="L7" s="109">
        <v>0</v>
      </c>
      <c r="M7" s="109">
        <v>0</v>
      </c>
      <c r="N7" s="109">
        <v>0</v>
      </c>
      <c r="O7" s="109">
        <v>0</v>
      </c>
      <c r="P7" s="109">
        <v>0</v>
      </c>
      <c r="Q7" s="109">
        <v>0</v>
      </c>
      <c r="R7" s="109">
        <v>0</v>
      </c>
      <c r="S7" s="109">
        <v>0</v>
      </c>
      <c r="T7" s="109">
        <v>0</v>
      </c>
      <c r="U7" s="109">
        <v>0</v>
      </c>
      <c r="V7" s="109">
        <v>0</v>
      </c>
      <c r="W7" s="109">
        <v>0</v>
      </c>
      <c r="X7" s="109">
        <v>0.8</v>
      </c>
      <c r="Y7" s="109">
        <v>0</v>
      </c>
      <c r="Z7" s="109">
        <v>0</v>
      </c>
      <c r="AA7" s="109">
        <v>0</v>
      </c>
      <c r="AB7" s="109">
        <v>0</v>
      </c>
      <c r="AC7" s="109">
        <v>0</v>
      </c>
      <c r="AD7" s="109">
        <v>0</v>
      </c>
      <c r="AE7" s="109">
        <v>0</v>
      </c>
      <c r="AF7" s="109">
        <v>0</v>
      </c>
      <c r="AG7" s="109">
        <v>0</v>
      </c>
      <c r="AH7" s="109">
        <v>0</v>
      </c>
      <c r="AI7" s="109">
        <v>0</v>
      </c>
      <c r="AJ7" s="109">
        <v>0</v>
      </c>
      <c r="AK7" s="109">
        <v>0</v>
      </c>
    </row>
    <row r="8" spans="1:37" customFormat="1" x14ac:dyDescent="0.15">
      <c r="A8" s="188" t="s">
        <v>198</v>
      </c>
      <c r="B8" s="109">
        <v>0</v>
      </c>
      <c r="C8" s="109">
        <v>0.8</v>
      </c>
      <c r="D8" s="109">
        <v>0</v>
      </c>
      <c r="E8" s="109">
        <v>0.8</v>
      </c>
      <c r="F8" s="109">
        <v>0.8</v>
      </c>
      <c r="G8" s="109">
        <v>0.8</v>
      </c>
      <c r="H8" s="109">
        <v>0.8</v>
      </c>
      <c r="I8" s="109">
        <v>0.8</v>
      </c>
      <c r="J8" s="109">
        <v>0.8</v>
      </c>
      <c r="K8" s="109">
        <v>0</v>
      </c>
      <c r="L8" s="109">
        <v>0</v>
      </c>
      <c r="M8" s="109">
        <v>0</v>
      </c>
      <c r="N8" s="109">
        <v>0</v>
      </c>
      <c r="O8" s="109">
        <v>0</v>
      </c>
      <c r="P8" s="109">
        <v>0</v>
      </c>
      <c r="Q8" s="109">
        <v>0</v>
      </c>
      <c r="R8" s="109">
        <v>0</v>
      </c>
      <c r="S8" s="109">
        <v>0</v>
      </c>
      <c r="T8" s="109">
        <v>0</v>
      </c>
      <c r="U8" s="109">
        <v>0</v>
      </c>
      <c r="V8" s="109">
        <v>0</v>
      </c>
      <c r="W8" s="109">
        <v>0</v>
      </c>
      <c r="X8" s="109">
        <v>0</v>
      </c>
      <c r="Y8" s="109">
        <v>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>
        <v>0</v>
      </c>
      <c r="AF8" s="109">
        <v>0</v>
      </c>
      <c r="AG8" s="109">
        <v>0</v>
      </c>
      <c r="AH8" s="109">
        <v>0</v>
      </c>
      <c r="AI8" s="109">
        <v>0</v>
      </c>
      <c r="AJ8" s="109">
        <v>0</v>
      </c>
      <c r="AK8" s="109">
        <v>0</v>
      </c>
    </row>
    <row r="9" spans="1:37" customFormat="1" x14ac:dyDescent="0.15">
      <c r="A9" s="188" t="s">
        <v>199</v>
      </c>
      <c r="B9" s="109">
        <v>0</v>
      </c>
      <c r="C9" s="109">
        <v>0.8</v>
      </c>
      <c r="D9" s="109">
        <v>0</v>
      </c>
      <c r="E9" s="109">
        <v>0.8</v>
      </c>
      <c r="F9" s="109">
        <v>0</v>
      </c>
      <c r="G9" s="109">
        <v>0.8</v>
      </c>
      <c r="H9" s="109">
        <v>0</v>
      </c>
      <c r="I9" s="109">
        <v>0.8</v>
      </c>
      <c r="J9" s="109">
        <v>0</v>
      </c>
      <c r="K9" s="109">
        <v>0</v>
      </c>
      <c r="L9" s="109">
        <v>0</v>
      </c>
      <c r="M9" s="109">
        <v>0</v>
      </c>
      <c r="N9" s="109">
        <v>0</v>
      </c>
      <c r="O9" s="109">
        <v>0</v>
      </c>
      <c r="P9" s="109">
        <v>0</v>
      </c>
      <c r="Q9" s="109">
        <v>0</v>
      </c>
      <c r="R9" s="109">
        <v>0</v>
      </c>
      <c r="S9" s="109">
        <v>0</v>
      </c>
      <c r="T9" s="109">
        <v>0</v>
      </c>
      <c r="U9" s="109">
        <v>0</v>
      </c>
      <c r="V9" s="109">
        <v>0</v>
      </c>
      <c r="W9" s="109">
        <v>0</v>
      </c>
      <c r="X9" s="109">
        <v>0</v>
      </c>
      <c r="Y9" s="109">
        <v>0</v>
      </c>
      <c r="Z9" s="109">
        <v>0</v>
      </c>
      <c r="AA9" s="109">
        <v>0</v>
      </c>
      <c r="AB9" s="109">
        <v>0</v>
      </c>
      <c r="AC9" s="109">
        <v>0</v>
      </c>
      <c r="AD9" s="109">
        <v>0</v>
      </c>
      <c r="AE9" s="109">
        <v>0</v>
      </c>
      <c r="AF9" s="109">
        <v>0</v>
      </c>
      <c r="AG9" s="109">
        <v>0</v>
      </c>
      <c r="AH9" s="109">
        <v>0</v>
      </c>
      <c r="AI9" s="109">
        <v>0</v>
      </c>
      <c r="AJ9" s="109">
        <v>0</v>
      </c>
      <c r="AK9" s="109">
        <v>0</v>
      </c>
    </row>
    <row r="10" spans="1:37" customFormat="1" x14ac:dyDescent="0.15">
      <c r="A10" s="188" t="s">
        <v>200</v>
      </c>
      <c r="B10" s="109">
        <v>0</v>
      </c>
      <c r="C10" s="109">
        <v>0.8</v>
      </c>
      <c r="D10" s="109">
        <v>0</v>
      </c>
      <c r="E10" s="109">
        <v>0.8</v>
      </c>
      <c r="F10" s="109">
        <v>0</v>
      </c>
      <c r="G10" s="109">
        <v>0.8</v>
      </c>
      <c r="H10" s="109">
        <v>0</v>
      </c>
      <c r="I10" s="109">
        <v>0.8</v>
      </c>
      <c r="J10" s="109">
        <v>0.8</v>
      </c>
      <c r="K10" s="109">
        <v>0</v>
      </c>
      <c r="L10" s="109">
        <v>0</v>
      </c>
      <c r="M10" s="109">
        <v>0</v>
      </c>
      <c r="N10" s="109">
        <v>0</v>
      </c>
      <c r="O10" s="109">
        <v>0</v>
      </c>
      <c r="P10" s="109">
        <v>0</v>
      </c>
      <c r="Q10" s="109">
        <v>0</v>
      </c>
      <c r="R10" s="109">
        <v>0</v>
      </c>
      <c r="S10" s="109">
        <v>0</v>
      </c>
      <c r="T10" s="109">
        <v>0</v>
      </c>
      <c r="U10" s="109">
        <v>0</v>
      </c>
      <c r="V10" s="109">
        <v>0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0</v>
      </c>
      <c r="AC10" s="109">
        <v>0</v>
      </c>
      <c r="AD10" s="109">
        <v>0</v>
      </c>
      <c r="AE10" s="109">
        <v>0</v>
      </c>
      <c r="AF10" s="109">
        <v>0</v>
      </c>
      <c r="AG10" s="109">
        <v>0</v>
      </c>
      <c r="AH10" s="109">
        <v>0</v>
      </c>
      <c r="AI10" s="109">
        <v>0</v>
      </c>
      <c r="AJ10" s="109">
        <v>0</v>
      </c>
      <c r="AK10" s="109">
        <v>0</v>
      </c>
    </row>
    <row r="11" spans="1:37" customFormat="1" x14ac:dyDescent="0.15">
      <c r="A11" s="188" t="s">
        <v>201</v>
      </c>
      <c r="B11" s="109">
        <v>0.8</v>
      </c>
      <c r="C11" s="109">
        <v>0.8</v>
      </c>
      <c r="D11" s="109">
        <v>0</v>
      </c>
      <c r="E11" s="109">
        <v>0.8</v>
      </c>
      <c r="F11" s="109">
        <v>0.8</v>
      </c>
      <c r="G11" s="109">
        <v>0.8</v>
      </c>
      <c r="H11" s="109">
        <v>0.8</v>
      </c>
      <c r="I11" s="109">
        <v>0.8</v>
      </c>
      <c r="J11" s="109">
        <v>0.8</v>
      </c>
      <c r="K11" s="109">
        <v>0.8</v>
      </c>
      <c r="L11" s="109">
        <v>0</v>
      </c>
      <c r="M11" s="109">
        <v>0</v>
      </c>
      <c r="N11" s="109">
        <v>0</v>
      </c>
      <c r="O11" s="109">
        <v>0</v>
      </c>
      <c r="P11" s="109">
        <v>0</v>
      </c>
      <c r="Q11" s="109">
        <v>0</v>
      </c>
      <c r="R11" s="109">
        <v>0</v>
      </c>
      <c r="S11" s="109">
        <v>0.8</v>
      </c>
      <c r="T11" s="109">
        <v>0</v>
      </c>
      <c r="U11" s="109">
        <v>0</v>
      </c>
      <c r="V11" s="109">
        <v>0</v>
      </c>
      <c r="W11" s="109">
        <v>0</v>
      </c>
      <c r="X11" s="109">
        <v>0</v>
      </c>
      <c r="Y11" s="109">
        <v>0.8</v>
      </c>
      <c r="Z11" s="109">
        <v>0</v>
      </c>
      <c r="AA11" s="109">
        <v>0</v>
      </c>
      <c r="AB11" s="109">
        <v>0</v>
      </c>
      <c r="AC11" s="109">
        <v>0</v>
      </c>
      <c r="AD11" s="109">
        <v>0</v>
      </c>
      <c r="AE11" s="109">
        <v>0.8</v>
      </c>
      <c r="AF11" s="109">
        <v>0</v>
      </c>
      <c r="AG11" s="109">
        <v>0</v>
      </c>
      <c r="AH11" s="109">
        <v>0</v>
      </c>
      <c r="AI11" s="109">
        <v>0</v>
      </c>
      <c r="AJ11" s="109">
        <v>0</v>
      </c>
      <c r="AK11" s="109">
        <v>0</v>
      </c>
    </row>
    <row r="12" spans="1:37" customFormat="1" x14ac:dyDescent="0.15">
      <c r="A12" s="188" t="s">
        <v>202</v>
      </c>
      <c r="B12" s="109">
        <v>0</v>
      </c>
      <c r="C12" s="109">
        <v>0.8</v>
      </c>
      <c r="D12" s="109">
        <v>0</v>
      </c>
      <c r="E12" s="109">
        <v>0.8</v>
      </c>
      <c r="F12" s="109">
        <v>0.8</v>
      </c>
      <c r="G12" s="109">
        <v>0.8</v>
      </c>
      <c r="H12" s="109">
        <v>0.8</v>
      </c>
      <c r="I12" s="109">
        <v>0.8</v>
      </c>
      <c r="J12" s="109">
        <v>0.8</v>
      </c>
      <c r="K12" s="109">
        <v>0</v>
      </c>
      <c r="L12" s="109">
        <v>0</v>
      </c>
      <c r="M12" s="109">
        <v>0</v>
      </c>
      <c r="N12" s="109">
        <v>0.8</v>
      </c>
      <c r="O12" s="109">
        <v>0.8</v>
      </c>
      <c r="P12" s="109">
        <v>0.8</v>
      </c>
      <c r="Q12" s="109">
        <v>0.8</v>
      </c>
      <c r="R12" s="109">
        <v>0.8</v>
      </c>
      <c r="S12" s="109">
        <v>0.8</v>
      </c>
      <c r="T12" s="109">
        <v>0.8</v>
      </c>
      <c r="U12" s="109">
        <v>0</v>
      </c>
      <c r="V12" s="109">
        <v>0.8</v>
      </c>
      <c r="W12" s="109">
        <v>0</v>
      </c>
      <c r="X12" s="109">
        <v>0.8</v>
      </c>
      <c r="Y12" s="109">
        <v>0.8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0.8</v>
      </c>
      <c r="AF12" s="109">
        <v>0</v>
      </c>
      <c r="AG12" s="109">
        <v>0</v>
      </c>
      <c r="AH12" s="109">
        <v>0</v>
      </c>
      <c r="AI12" s="109">
        <v>0</v>
      </c>
      <c r="AJ12" s="109">
        <v>0</v>
      </c>
      <c r="AK12" s="109">
        <v>0</v>
      </c>
    </row>
    <row r="13" spans="1:37" customFormat="1" x14ac:dyDescent="0.15">
      <c r="A13" s="188" t="s">
        <v>203</v>
      </c>
      <c r="B13" s="109">
        <v>0.8</v>
      </c>
      <c r="C13" s="109">
        <v>0.8</v>
      </c>
      <c r="D13" s="109">
        <v>0</v>
      </c>
      <c r="E13" s="109">
        <v>0.8</v>
      </c>
      <c r="F13" s="109">
        <v>0.8</v>
      </c>
      <c r="G13" s="109">
        <v>0.8</v>
      </c>
      <c r="H13" s="109">
        <v>0.8</v>
      </c>
      <c r="I13" s="109">
        <v>0.8</v>
      </c>
      <c r="J13" s="109">
        <v>0.8</v>
      </c>
      <c r="K13" s="109">
        <v>0.8</v>
      </c>
      <c r="L13" s="109">
        <v>0</v>
      </c>
      <c r="M13" s="109">
        <v>0</v>
      </c>
      <c r="N13" s="109">
        <v>0.8</v>
      </c>
      <c r="O13" s="109">
        <v>0.8</v>
      </c>
      <c r="P13" s="109">
        <v>0.8</v>
      </c>
      <c r="Q13" s="109">
        <v>0</v>
      </c>
      <c r="R13" s="109">
        <v>0.8</v>
      </c>
      <c r="S13" s="109">
        <v>0.8</v>
      </c>
      <c r="T13" s="109">
        <v>0</v>
      </c>
      <c r="U13" s="109">
        <v>0</v>
      </c>
      <c r="V13" s="109">
        <v>0.8</v>
      </c>
      <c r="W13" s="109">
        <v>0</v>
      </c>
      <c r="X13" s="109">
        <v>0.8</v>
      </c>
      <c r="Y13" s="109">
        <v>0.8</v>
      </c>
      <c r="Z13" s="109">
        <v>0</v>
      </c>
      <c r="AA13" s="109">
        <v>0</v>
      </c>
      <c r="AB13" s="109">
        <v>0.8</v>
      </c>
      <c r="AC13" s="109">
        <v>0</v>
      </c>
      <c r="AD13" s="109">
        <v>0</v>
      </c>
      <c r="AE13" s="109">
        <v>0.8</v>
      </c>
      <c r="AF13" s="109">
        <v>0</v>
      </c>
      <c r="AG13" s="109">
        <v>0</v>
      </c>
      <c r="AH13" s="109">
        <v>0</v>
      </c>
      <c r="AI13" s="109">
        <v>0</v>
      </c>
      <c r="AJ13" s="109">
        <v>0</v>
      </c>
      <c r="AK13" s="109">
        <v>0</v>
      </c>
    </row>
    <row r="14" spans="1:37" customFormat="1" x14ac:dyDescent="0.15">
      <c r="A14" s="188" t="s">
        <v>204</v>
      </c>
      <c r="B14" s="109">
        <v>0</v>
      </c>
      <c r="C14" s="109">
        <v>0.8</v>
      </c>
      <c r="D14" s="109">
        <v>0</v>
      </c>
      <c r="E14" s="109">
        <v>0</v>
      </c>
      <c r="F14" s="109">
        <v>0.8</v>
      </c>
      <c r="G14" s="109">
        <v>0</v>
      </c>
      <c r="H14" s="109">
        <v>0.8</v>
      </c>
      <c r="I14" s="109">
        <v>0.8</v>
      </c>
      <c r="J14" s="109">
        <v>0.8</v>
      </c>
      <c r="K14" s="109">
        <v>0</v>
      </c>
      <c r="L14" s="109">
        <v>0</v>
      </c>
      <c r="M14" s="109">
        <v>0</v>
      </c>
      <c r="N14" s="109">
        <v>0.8</v>
      </c>
      <c r="O14" s="109">
        <v>0.8</v>
      </c>
      <c r="P14" s="109">
        <v>0</v>
      </c>
      <c r="Q14" s="109">
        <v>0.8</v>
      </c>
      <c r="R14" s="109">
        <v>0.8</v>
      </c>
      <c r="S14" s="109">
        <v>0</v>
      </c>
      <c r="T14" s="109">
        <v>0.8</v>
      </c>
      <c r="U14" s="109">
        <v>0</v>
      </c>
      <c r="V14" s="109">
        <v>0.8</v>
      </c>
      <c r="W14" s="109">
        <v>0</v>
      </c>
      <c r="X14" s="109">
        <v>0.8</v>
      </c>
      <c r="Y14" s="109">
        <v>0</v>
      </c>
      <c r="Z14" s="109">
        <v>0</v>
      </c>
      <c r="AA14" s="109">
        <v>0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  <c r="AG14" s="109">
        <v>0</v>
      </c>
      <c r="AH14" s="109">
        <v>0</v>
      </c>
      <c r="AI14" s="109">
        <v>0</v>
      </c>
      <c r="AJ14" s="109">
        <v>0</v>
      </c>
      <c r="AK14" s="109">
        <v>0</v>
      </c>
    </row>
    <row r="15" spans="1:37" customFormat="1" x14ac:dyDescent="0.15">
      <c r="A15" s="188" t="s">
        <v>205</v>
      </c>
      <c r="B15" s="109">
        <v>0</v>
      </c>
      <c r="C15" s="109">
        <v>0.8</v>
      </c>
      <c r="D15" s="109">
        <v>0</v>
      </c>
      <c r="E15" s="109">
        <v>0</v>
      </c>
      <c r="F15" s="109">
        <v>0.8</v>
      </c>
      <c r="G15" s="109">
        <v>0.8</v>
      </c>
      <c r="H15" s="109">
        <v>0.8</v>
      </c>
      <c r="I15" s="109">
        <v>0.8</v>
      </c>
      <c r="J15" s="109">
        <v>0.8</v>
      </c>
      <c r="K15" s="109">
        <v>0</v>
      </c>
      <c r="L15" s="109">
        <v>0</v>
      </c>
      <c r="M15" s="109">
        <v>0</v>
      </c>
      <c r="N15" s="109">
        <v>0.8</v>
      </c>
      <c r="O15" s="109">
        <v>0.8</v>
      </c>
      <c r="P15" s="109">
        <v>0</v>
      </c>
      <c r="Q15" s="109">
        <v>0.8</v>
      </c>
      <c r="R15" s="109">
        <v>0</v>
      </c>
      <c r="S15" s="109">
        <v>0</v>
      </c>
      <c r="T15" s="109">
        <v>0.8</v>
      </c>
      <c r="U15" s="109">
        <v>0</v>
      </c>
      <c r="V15" s="109">
        <v>0.8</v>
      </c>
      <c r="W15" s="109">
        <v>0</v>
      </c>
      <c r="X15" s="109">
        <v>0.8</v>
      </c>
      <c r="Y15" s="109">
        <v>0.8</v>
      </c>
      <c r="Z15" s="109">
        <v>0</v>
      </c>
      <c r="AA15" s="109">
        <v>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  <c r="AG15" s="109">
        <v>0</v>
      </c>
      <c r="AH15" s="109">
        <v>0</v>
      </c>
      <c r="AI15" s="109">
        <v>0</v>
      </c>
      <c r="AJ15" s="109">
        <v>0</v>
      </c>
      <c r="AK15" s="109">
        <v>0</v>
      </c>
    </row>
    <row r="16" spans="1:37" customFormat="1" x14ac:dyDescent="0.15">
      <c r="A16" s="188" t="s">
        <v>206</v>
      </c>
      <c r="B16" s="109">
        <v>0</v>
      </c>
      <c r="C16" s="109">
        <v>0.8</v>
      </c>
      <c r="D16" s="109">
        <v>0</v>
      </c>
      <c r="E16" s="109">
        <v>0</v>
      </c>
      <c r="F16" s="109">
        <v>0.8</v>
      </c>
      <c r="G16" s="109">
        <v>0</v>
      </c>
      <c r="H16" s="109">
        <v>0.8</v>
      </c>
      <c r="I16" s="109">
        <v>0.8</v>
      </c>
      <c r="J16" s="109">
        <v>0</v>
      </c>
      <c r="K16" s="109">
        <v>0</v>
      </c>
      <c r="L16" s="109">
        <v>0</v>
      </c>
      <c r="M16" s="109">
        <v>0</v>
      </c>
      <c r="N16" s="109">
        <v>0.8</v>
      </c>
      <c r="O16" s="109">
        <v>0.8</v>
      </c>
      <c r="P16" s="109">
        <v>0</v>
      </c>
      <c r="Q16" s="109">
        <v>0.8</v>
      </c>
      <c r="R16" s="109">
        <v>0</v>
      </c>
      <c r="S16" s="109">
        <v>0</v>
      </c>
      <c r="T16" s="109">
        <v>0</v>
      </c>
      <c r="U16" s="109">
        <v>0</v>
      </c>
      <c r="V16" s="109">
        <v>0</v>
      </c>
      <c r="W16" s="109">
        <v>0</v>
      </c>
      <c r="X16" s="109">
        <v>0.8</v>
      </c>
      <c r="Y16" s="109">
        <v>0.8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>
        <v>0</v>
      </c>
      <c r="AI16" s="109">
        <v>0</v>
      </c>
      <c r="AJ16" s="109">
        <v>0</v>
      </c>
      <c r="AK16" s="109">
        <v>0</v>
      </c>
    </row>
    <row r="17" spans="1:37" customFormat="1" x14ac:dyDescent="0.15">
      <c r="A17" s="188" t="s">
        <v>207</v>
      </c>
      <c r="B17" s="109">
        <v>0</v>
      </c>
      <c r="C17" s="109">
        <v>0</v>
      </c>
      <c r="D17" s="109">
        <v>0</v>
      </c>
      <c r="E17" s="109">
        <v>0</v>
      </c>
      <c r="F17" s="109">
        <v>0.8</v>
      </c>
      <c r="G17" s="109">
        <v>0.8</v>
      </c>
      <c r="H17" s="109">
        <v>0.8</v>
      </c>
      <c r="I17" s="109">
        <v>0.8</v>
      </c>
      <c r="J17" s="109">
        <v>0</v>
      </c>
      <c r="K17" s="109">
        <v>0</v>
      </c>
      <c r="L17" s="109">
        <v>0</v>
      </c>
      <c r="M17" s="109">
        <v>0</v>
      </c>
      <c r="N17" s="109">
        <v>0</v>
      </c>
      <c r="O17" s="109">
        <v>0</v>
      </c>
      <c r="P17" s="109">
        <v>0</v>
      </c>
      <c r="Q17" s="109">
        <v>0</v>
      </c>
      <c r="R17" s="109">
        <v>0</v>
      </c>
      <c r="S17" s="109">
        <v>0</v>
      </c>
      <c r="T17" s="109">
        <v>0</v>
      </c>
      <c r="U17" s="109">
        <v>0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  <c r="AG17" s="109">
        <v>0</v>
      </c>
      <c r="AH17" s="109">
        <v>0</v>
      </c>
      <c r="AI17" s="109">
        <v>0</v>
      </c>
      <c r="AJ17" s="109">
        <v>0</v>
      </c>
      <c r="AK17" s="109">
        <v>0</v>
      </c>
    </row>
    <row r="18" spans="1:37" customFormat="1" x14ac:dyDescent="0.15">
      <c r="A18" s="188" t="s">
        <v>208</v>
      </c>
      <c r="B18" s="109">
        <v>0</v>
      </c>
      <c r="C18" s="109">
        <v>0.8</v>
      </c>
      <c r="D18" s="109">
        <v>0</v>
      </c>
      <c r="E18" s="109">
        <v>0</v>
      </c>
      <c r="F18" s="109">
        <v>0.8</v>
      </c>
      <c r="G18" s="109">
        <v>0</v>
      </c>
      <c r="H18" s="109">
        <v>0</v>
      </c>
      <c r="I18" s="109">
        <v>0.8</v>
      </c>
      <c r="J18" s="109">
        <v>0.8</v>
      </c>
      <c r="K18" s="109">
        <v>0</v>
      </c>
      <c r="L18" s="109">
        <v>0</v>
      </c>
      <c r="M18" s="109">
        <v>0</v>
      </c>
      <c r="N18" s="109">
        <v>0.8</v>
      </c>
      <c r="O18" s="109">
        <v>0.8</v>
      </c>
      <c r="P18" s="109">
        <v>0</v>
      </c>
      <c r="Q18" s="109">
        <v>0.8</v>
      </c>
      <c r="R18" s="109">
        <v>0</v>
      </c>
      <c r="S18" s="109">
        <v>0</v>
      </c>
      <c r="T18" s="109">
        <v>0.8</v>
      </c>
      <c r="U18" s="109">
        <v>0</v>
      </c>
      <c r="V18" s="109">
        <v>0</v>
      </c>
      <c r="W18" s="109">
        <v>0</v>
      </c>
      <c r="X18" s="109">
        <v>0.8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09">
        <v>0</v>
      </c>
      <c r="AI18" s="109">
        <v>0</v>
      </c>
      <c r="AJ18" s="109">
        <v>0</v>
      </c>
      <c r="AK18" s="109">
        <v>0</v>
      </c>
    </row>
    <row r="19" spans="1:37" customFormat="1" x14ac:dyDescent="0.15">
      <c r="A19" s="188" t="s">
        <v>209</v>
      </c>
      <c r="B19" s="109">
        <v>0</v>
      </c>
      <c r="C19" s="109">
        <v>0</v>
      </c>
      <c r="D19" s="109">
        <v>0</v>
      </c>
      <c r="E19" s="109">
        <v>0</v>
      </c>
      <c r="F19" s="109">
        <v>0.8</v>
      </c>
      <c r="G19" s="109">
        <v>0.8</v>
      </c>
      <c r="H19" s="109">
        <v>0.8</v>
      </c>
      <c r="I19" s="109">
        <v>0.8</v>
      </c>
      <c r="J19" s="109">
        <v>0.8</v>
      </c>
      <c r="K19" s="109">
        <v>0</v>
      </c>
      <c r="L19" s="109">
        <v>0</v>
      </c>
      <c r="M19" s="109">
        <v>0</v>
      </c>
      <c r="N19" s="109">
        <v>0</v>
      </c>
      <c r="O19" s="109">
        <v>0</v>
      </c>
      <c r="P19" s="109">
        <v>0</v>
      </c>
      <c r="Q19" s="109">
        <v>0</v>
      </c>
      <c r="R19" s="109">
        <v>0</v>
      </c>
      <c r="S19" s="109">
        <v>0.8</v>
      </c>
      <c r="T19" s="109">
        <v>0</v>
      </c>
      <c r="U19" s="109">
        <v>0</v>
      </c>
      <c r="V19" s="109">
        <v>0</v>
      </c>
      <c r="W19" s="109">
        <v>0</v>
      </c>
      <c r="X19" s="109">
        <v>0.8</v>
      </c>
      <c r="Y19" s="109">
        <v>0.8</v>
      </c>
      <c r="Z19" s="109">
        <v>0</v>
      </c>
      <c r="AA19" s="109">
        <v>0</v>
      </c>
      <c r="AB19" s="109">
        <v>0.8</v>
      </c>
      <c r="AC19" s="109">
        <v>0</v>
      </c>
      <c r="AD19" s="109">
        <v>0</v>
      </c>
      <c r="AE19" s="109">
        <v>0</v>
      </c>
      <c r="AF19" s="109">
        <v>0</v>
      </c>
      <c r="AG19" s="109">
        <v>0</v>
      </c>
      <c r="AH19" s="109">
        <v>0</v>
      </c>
      <c r="AI19" s="109">
        <v>0</v>
      </c>
      <c r="AJ19" s="109">
        <v>0</v>
      </c>
      <c r="AK19" s="109">
        <v>0</v>
      </c>
    </row>
    <row r="20" spans="1:37" customFormat="1" x14ac:dyDescent="0.15">
      <c r="A20" s="188" t="s">
        <v>210</v>
      </c>
      <c r="B20" s="109">
        <v>0</v>
      </c>
      <c r="C20" s="109">
        <v>0</v>
      </c>
      <c r="D20" s="109">
        <v>0</v>
      </c>
      <c r="E20" s="109">
        <v>0</v>
      </c>
      <c r="F20" s="109">
        <v>0.8</v>
      </c>
      <c r="G20" s="109">
        <v>0.8</v>
      </c>
      <c r="H20" s="109">
        <v>0</v>
      </c>
      <c r="I20" s="109">
        <v>0.8</v>
      </c>
      <c r="J20" s="109">
        <v>0</v>
      </c>
      <c r="K20" s="109">
        <v>0</v>
      </c>
      <c r="L20" s="109">
        <v>0</v>
      </c>
      <c r="M20" s="109">
        <v>0</v>
      </c>
      <c r="N20" s="109">
        <v>0.8</v>
      </c>
      <c r="O20" s="109">
        <v>0.8</v>
      </c>
      <c r="P20" s="109">
        <v>0</v>
      </c>
      <c r="Q20" s="109">
        <v>0.8</v>
      </c>
      <c r="R20" s="109">
        <v>0</v>
      </c>
      <c r="S20" s="109">
        <v>0</v>
      </c>
      <c r="T20" s="109">
        <v>0</v>
      </c>
      <c r="U20" s="109">
        <v>0</v>
      </c>
      <c r="V20" s="109">
        <v>0</v>
      </c>
      <c r="W20" s="109">
        <v>0</v>
      </c>
      <c r="X20" s="109">
        <v>0.8</v>
      </c>
      <c r="Y20" s="109">
        <v>0</v>
      </c>
      <c r="Z20" s="109">
        <v>0</v>
      </c>
      <c r="AA20" s="109">
        <v>0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  <c r="AI20" s="109">
        <v>0</v>
      </c>
      <c r="AJ20" s="109">
        <v>0</v>
      </c>
      <c r="AK20" s="109">
        <v>0</v>
      </c>
    </row>
    <row r="21" spans="1:37" customFormat="1" x14ac:dyDescent="0.15">
      <c r="A21" s="188" t="s">
        <v>211</v>
      </c>
      <c r="B21" s="109">
        <v>0</v>
      </c>
      <c r="C21" s="109">
        <v>0.8</v>
      </c>
      <c r="D21" s="109">
        <v>0</v>
      </c>
      <c r="E21" s="109">
        <v>0.8</v>
      </c>
      <c r="F21" s="109">
        <v>0.8</v>
      </c>
      <c r="G21" s="109">
        <v>0</v>
      </c>
      <c r="H21" s="109">
        <v>0.8</v>
      </c>
      <c r="I21" s="109">
        <v>0.8</v>
      </c>
      <c r="J21" s="109">
        <v>0</v>
      </c>
      <c r="K21" s="109">
        <v>0</v>
      </c>
      <c r="L21" s="109">
        <v>0</v>
      </c>
      <c r="M21" s="109">
        <v>0</v>
      </c>
      <c r="N21" s="109">
        <v>0.8</v>
      </c>
      <c r="O21" s="109">
        <v>0.8</v>
      </c>
      <c r="P21" s="109">
        <v>0</v>
      </c>
      <c r="Q21" s="109">
        <v>0.8</v>
      </c>
      <c r="R21" s="109">
        <v>0</v>
      </c>
      <c r="S21" s="109">
        <v>0.8</v>
      </c>
      <c r="T21" s="109">
        <v>0.8</v>
      </c>
      <c r="U21" s="109">
        <v>0</v>
      </c>
      <c r="V21" s="109">
        <v>0.8</v>
      </c>
      <c r="W21" s="109">
        <v>0</v>
      </c>
      <c r="X21" s="109">
        <v>0.8</v>
      </c>
      <c r="Y21" s="109">
        <v>0.8</v>
      </c>
      <c r="Z21" s="109">
        <v>0</v>
      </c>
      <c r="AA21" s="109">
        <v>0</v>
      </c>
      <c r="AB21" s="109">
        <v>0</v>
      </c>
      <c r="AC21" s="109">
        <v>0</v>
      </c>
      <c r="AD21" s="109">
        <v>0</v>
      </c>
      <c r="AE21" s="109">
        <v>0.8</v>
      </c>
      <c r="AF21" s="109">
        <v>0</v>
      </c>
      <c r="AG21" s="109">
        <v>0</v>
      </c>
      <c r="AH21" s="109">
        <v>0</v>
      </c>
      <c r="AI21" s="109">
        <v>0</v>
      </c>
      <c r="AJ21" s="109">
        <v>0</v>
      </c>
      <c r="AK21" s="109">
        <v>0</v>
      </c>
    </row>
    <row r="22" spans="1:37" customFormat="1" x14ac:dyDescent="0.15">
      <c r="A22" s="188" t="s">
        <v>212</v>
      </c>
      <c r="B22" s="109">
        <v>0</v>
      </c>
      <c r="C22" s="109">
        <v>0.8</v>
      </c>
      <c r="D22" s="109">
        <v>0</v>
      </c>
      <c r="E22" s="109">
        <v>0.8</v>
      </c>
      <c r="F22" s="109">
        <v>0</v>
      </c>
      <c r="G22" s="109">
        <v>0.8</v>
      </c>
      <c r="H22" s="109">
        <v>0.8</v>
      </c>
      <c r="I22" s="109">
        <v>0.8</v>
      </c>
      <c r="J22" s="109">
        <v>0.8</v>
      </c>
      <c r="K22" s="109">
        <v>0</v>
      </c>
      <c r="L22" s="109">
        <v>0</v>
      </c>
      <c r="M22" s="109">
        <v>0</v>
      </c>
      <c r="N22" s="109">
        <v>0.8</v>
      </c>
      <c r="O22" s="109">
        <v>0.8</v>
      </c>
      <c r="P22" s="109">
        <v>0</v>
      </c>
      <c r="Q22" s="109">
        <v>0</v>
      </c>
      <c r="R22" s="109">
        <v>0</v>
      </c>
      <c r="S22" s="109">
        <v>0.8</v>
      </c>
      <c r="T22" s="109">
        <v>0.8</v>
      </c>
      <c r="U22" s="109">
        <v>0</v>
      </c>
      <c r="V22" s="109">
        <v>0.8</v>
      </c>
      <c r="W22" s="109">
        <v>0</v>
      </c>
      <c r="X22" s="109">
        <v>0.8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  <c r="AI22" s="109">
        <v>0</v>
      </c>
      <c r="AJ22" s="109">
        <v>0</v>
      </c>
      <c r="AK22" s="109">
        <v>0</v>
      </c>
    </row>
    <row r="23" spans="1:37" customFormat="1" x14ac:dyDescent="0.15">
      <c r="A23" s="188" t="s">
        <v>213</v>
      </c>
      <c r="B23" s="109">
        <v>0</v>
      </c>
      <c r="C23" s="109">
        <v>0.8</v>
      </c>
      <c r="D23" s="109">
        <v>0</v>
      </c>
      <c r="E23" s="109">
        <v>0.8</v>
      </c>
      <c r="F23" s="109">
        <v>0.8</v>
      </c>
      <c r="G23" s="109">
        <v>0.8</v>
      </c>
      <c r="H23" s="109">
        <v>0</v>
      </c>
      <c r="I23" s="109">
        <v>0.8</v>
      </c>
      <c r="J23" s="109">
        <v>0</v>
      </c>
      <c r="K23" s="109">
        <v>0</v>
      </c>
      <c r="L23" s="109">
        <v>0</v>
      </c>
      <c r="M23" s="109">
        <v>0</v>
      </c>
      <c r="N23" s="109">
        <v>0.8</v>
      </c>
      <c r="O23" s="109">
        <v>0.8</v>
      </c>
      <c r="P23" s="109">
        <v>0</v>
      </c>
      <c r="Q23" s="109">
        <v>0</v>
      </c>
      <c r="R23" s="109">
        <v>0</v>
      </c>
      <c r="S23" s="109">
        <v>0.8</v>
      </c>
      <c r="T23" s="109">
        <v>0.8</v>
      </c>
      <c r="U23" s="109">
        <v>0</v>
      </c>
      <c r="V23" s="109">
        <v>0.8</v>
      </c>
      <c r="W23" s="109">
        <v>0</v>
      </c>
      <c r="X23" s="109">
        <v>0.8</v>
      </c>
      <c r="Y23" s="109">
        <v>0.8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  <c r="AI23" s="109">
        <v>0</v>
      </c>
      <c r="AJ23" s="109">
        <v>0</v>
      </c>
      <c r="AK23" s="109">
        <v>0</v>
      </c>
    </row>
    <row r="24" spans="1:37" customFormat="1" x14ac:dyDescent="0.15">
      <c r="A24" s="188" t="s">
        <v>214</v>
      </c>
      <c r="B24" s="109">
        <v>0</v>
      </c>
      <c r="C24" s="109">
        <v>0</v>
      </c>
      <c r="D24" s="109">
        <v>0</v>
      </c>
      <c r="E24" s="109">
        <v>0</v>
      </c>
      <c r="F24" s="109">
        <v>0.8</v>
      </c>
      <c r="G24" s="109">
        <v>0.8</v>
      </c>
      <c r="H24" s="109">
        <v>0.8</v>
      </c>
      <c r="I24" s="109">
        <v>0.8</v>
      </c>
      <c r="J24" s="109">
        <v>0</v>
      </c>
      <c r="K24" s="109">
        <v>0</v>
      </c>
      <c r="L24" s="109">
        <v>0</v>
      </c>
      <c r="M24" s="109">
        <v>0</v>
      </c>
      <c r="N24" s="109">
        <v>0.8</v>
      </c>
      <c r="O24" s="109">
        <v>0.8</v>
      </c>
      <c r="P24" s="109">
        <v>0</v>
      </c>
      <c r="Q24" s="109">
        <v>0</v>
      </c>
      <c r="R24" s="109">
        <v>0</v>
      </c>
      <c r="S24" s="109">
        <v>0</v>
      </c>
      <c r="T24" s="109">
        <v>0</v>
      </c>
      <c r="U24" s="109">
        <v>0</v>
      </c>
      <c r="V24" s="109">
        <v>0.8</v>
      </c>
      <c r="W24" s="109">
        <v>0</v>
      </c>
      <c r="X24" s="109">
        <v>0.8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09">
        <v>0</v>
      </c>
      <c r="AI24" s="109">
        <v>0</v>
      </c>
      <c r="AJ24" s="109">
        <v>0</v>
      </c>
      <c r="AK24" s="109">
        <v>0</v>
      </c>
    </row>
    <row r="25" spans="1:37" customFormat="1" x14ac:dyDescent="0.15">
      <c r="A25" s="188" t="s">
        <v>215</v>
      </c>
      <c r="B25" s="109">
        <v>0</v>
      </c>
      <c r="C25" s="109">
        <v>0.8</v>
      </c>
      <c r="D25" s="109">
        <v>0</v>
      </c>
      <c r="E25" s="109">
        <v>0.8</v>
      </c>
      <c r="F25" s="109">
        <v>0.8</v>
      </c>
      <c r="G25" s="109">
        <v>0.8</v>
      </c>
      <c r="H25" s="109">
        <v>0.8</v>
      </c>
      <c r="I25" s="109">
        <v>0.8</v>
      </c>
      <c r="J25" s="109">
        <v>0.8</v>
      </c>
      <c r="K25" s="109">
        <v>0</v>
      </c>
      <c r="L25" s="109">
        <v>0</v>
      </c>
      <c r="M25" s="109">
        <v>0</v>
      </c>
      <c r="N25" s="109">
        <v>0.8</v>
      </c>
      <c r="O25" s="109">
        <v>0.8</v>
      </c>
      <c r="P25" s="109">
        <v>0.8</v>
      </c>
      <c r="Q25" s="109">
        <v>0.8</v>
      </c>
      <c r="R25" s="109">
        <v>0.8</v>
      </c>
      <c r="S25" s="109">
        <v>0.8</v>
      </c>
      <c r="T25" s="109">
        <v>0.8</v>
      </c>
      <c r="U25" s="109">
        <v>0</v>
      </c>
      <c r="V25" s="109">
        <v>0.8</v>
      </c>
      <c r="W25" s="109">
        <v>0</v>
      </c>
      <c r="X25" s="109">
        <v>0.8</v>
      </c>
      <c r="Y25" s="109">
        <v>0.8</v>
      </c>
      <c r="Z25" s="109">
        <v>0</v>
      </c>
      <c r="AA25" s="109">
        <v>0</v>
      </c>
      <c r="AB25" s="109">
        <v>0</v>
      </c>
      <c r="AC25" s="109">
        <v>0</v>
      </c>
      <c r="AD25" s="109">
        <v>0</v>
      </c>
      <c r="AE25" s="109">
        <v>0.8</v>
      </c>
      <c r="AF25" s="109">
        <v>0</v>
      </c>
      <c r="AG25" s="109">
        <v>0</v>
      </c>
      <c r="AH25" s="109">
        <v>0</v>
      </c>
      <c r="AI25" s="109">
        <v>0</v>
      </c>
      <c r="AJ25" s="109">
        <v>0</v>
      </c>
      <c r="AK25" s="109">
        <v>0</v>
      </c>
    </row>
    <row r="26" spans="1:37" customFormat="1" x14ac:dyDescent="0.15">
      <c r="A26" s="188" t="s">
        <v>216</v>
      </c>
      <c r="B26" s="109">
        <v>0</v>
      </c>
      <c r="C26" s="109">
        <v>0.8</v>
      </c>
      <c r="D26" s="109">
        <v>0</v>
      </c>
      <c r="E26" s="109">
        <v>0.8</v>
      </c>
      <c r="F26" s="109">
        <v>0.8</v>
      </c>
      <c r="G26" s="109">
        <v>0.8</v>
      </c>
      <c r="H26" s="109">
        <v>0.8</v>
      </c>
      <c r="I26" s="109">
        <v>0.8</v>
      </c>
      <c r="J26" s="109">
        <v>0.8</v>
      </c>
      <c r="K26" s="109">
        <v>0</v>
      </c>
      <c r="L26" s="109">
        <v>0</v>
      </c>
      <c r="M26" s="109">
        <v>0</v>
      </c>
      <c r="N26" s="109">
        <v>0</v>
      </c>
      <c r="O26" s="109">
        <v>0.8</v>
      </c>
      <c r="P26" s="109">
        <v>0.8</v>
      </c>
      <c r="Q26" s="109">
        <v>0.8</v>
      </c>
      <c r="R26" s="109">
        <v>0.8</v>
      </c>
      <c r="S26" s="109">
        <v>0.8</v>
      </c>
      <c r="T26" s="109">
        <v>0.8</v>
      </c>
      <c r="U26" s="109">
        <v>0</v>
      </c>
      <c r="V26" s="109">
        <v>0</v>
      </c>
      <c r="W26" s="109">
        <v>0</v>
      </c>
      <c r="X26" s="109">
        <v>0.8</v>
      </c>
      <c r="Y26" s="109">
        <v>0.8</v>
      </c>
      <c r="Z26" s="109">
        <v>0</v>
      </c>
      <c r="AA26" s="109">
        <v>0</v>
      </c>
      <c r="AB26" s="109">
        <v>0</v>
      </c>
      <c r="AC26" s="109">
        <v>0</v>
      </c>
      <c r="AD26" s="109">
        <v>0</v>
      </c>
      <c r="AE26" s="109">
        <v>0.8</v>
      </c>
      <c r="AF26" s="109">
        <v>0</v>
      </c>
      <c r="AG26" s="109">
        <v>0</v>
      </c>
      <c r="AH26" s="109">
        <v>0</v>
      </c>
      <c r="AI26" s="109">
        <v>0</v>
      </c>
      <c r="AJ26" s="109">
        <v>0</v>
      </c>
      <c r="AK26" s="109">
        <v>0</v>
      </c>
    </row>
    <row r="27" spans="1:37" customFormat="1" x14ac:dyDescent="0.15">
      <c r="A27" s="188" t="s">
        <v>217</v>
      </c>
      <c r="B27" s="109">
        <v>0.8</v>
      </c>
      <c r="C27" s="109">
        <v>0.8</v>
      </c>
      <c r="D27" s="109">
        <v>0</v>
      </c>
      <c r="E27" s="109">
        <v>0.8</v>
      </c>
      <c r="F27" s="109">
        <v>0.8</v>
      </c>
      <c r="G27" s="109">
        <v>0.8</v>
      </c>
      <c r="H27" s="109">
        <v>0.8</v>
      </c>
      <c r="I27" s="109">
        <v>0.8</v>
      </c>
      <c r="J27" s="109">
        <v>0.8</v>
      </c>
      <c r="K27" s="109">
        <v>0</v>
      </c>
      <c r="L27" s="109">
        <v>0</v>
      </c>
      <c r="M27" s="109">
        <v>0</v>
      </c>
      <c r="N27" s="109">
        <v>0.8</v>
      </c>
      <c r="O27" s="109">
        <v>0.8</v>
      </c>
      <c r="P27" s="109">
        <v>0.8</v>
      </c>
      <c r="Q27" s="109">
        <v>0.8</v>
      </c>
      <c r="R27" s="109">
        <v>0.8</v>
      </c>
      <c r="S27" s="109">
        <v>0.8</v>
      </c>
      <c r="T27" s="109">
        <v>0.8</v>
      </c>
      <c r="U27" s="109">
        <v>0</v>
      </c>
      <c r="V27" s="109">
        <v>0.8</v>
      </c>
      <c r="W27" s="109">
        <v>0</v>
      </c>
      <c r="X27" s="109">
        <v>0.8</v>
      </c>
      <c r="Y27" s="109">
        <v>0.8</v>
      </c>
      <c r="Z27" s="109">
        <v>0</v>
      </c>
      <c r="AA27" s="109">
        <v>0.8</v>
      </c>
      <c r="AB27" s="109">
        <v>0.8</v>
      </c>
      <c r="AC27" s="109">
        <v>0</v>
      </c>
      <c r="AD27" s="109">
        <v>0</v>
      </c>
      <c r="AE27" s="109">
        <v>0.8</v>
      </c>
      <c r="AF27" s="109">
        <v>0</v>
      </c>
      <c r="AG27" s="109">
        <v>0</v>
      </c>
      <c r="AH27" s="109">
        <v>0</v>
      </c>
      <c r="AI27" s="109">
        <v>0</v>
      </c>
      <c r="AJ27" s="109">
        <v>0</v>
      </c>
      <c r="AK27" s="109">
        <v>0</v>
      </c>
    </row>
    <row r="28" spans="1:37" customFormat="1" x14ac:dyDescent="0.15">
      <c r="A28" s="188" t="s">
        <v>218</v>
      </c>
      <c r="B28" s="109">
        <v>0.8</v>
      </c>
      <c r="C28" s="109">
        <v>0</v>
      </c>
      <c r="D28" s="109">
        <v>0</v>
      </c>
      <c r="E28" s="109">
        <v>0</v>
      </c>
      <c r="F28" s="109">
        <v>0.8</v>
      </c>
      <c r="G28" s="109">
        <v>0.8</v>
      </c>
      <c r="H28" s="109">
        <v>0.8</v>
      </c>
      <c r="I28" s="109">
        <v>0</v>
      </c>
      <c r="J28" s="109">
        <v>0</v>
      </c>
      <c r="K28" s="109">
        <v>0</v>
      </c>
      <c r="L28" s="109">
        <v>0</v>
      </c>
      <c r="M28" s="109">
        <v>0</v>
      </c>
      <c r="N28" s="109">
        <v>0</v>
      </c>
      <c r="O28" s="109">
        <v>0</v>
      </c>
      <c r="P28" s="109">
        <v>0</v>
      </c>
      <c r="Q28" s="109">
        <v>0</v>
      </c>
      <c r="R28" s="109">
        <v>0</v>
      </c>
      <c r="S28" s="109">
        <v>0.8</v>
      </c>
      <c r="T28" s="109">
        <v>0</v>
      </c>
      <c r="U28" s="109">
        <v>0</v>
      </c>
      <c r="V28" s="109">
        <v>0</v>
      </c>
      <c r="W28" s="109">
        <v>0</v>
      </c>
      <c r="X28" s="109">
        <v>0</v>
      </c>
      <c r="Y28" s="109">
        <v>0.8</v>
      </c>
      <c r="Z28" s="109">
        <v>0</v>
      </c>
      <c r="AA28" s="109">
        <v>0</v>
      </c>
      <c r="AB28" s="109">
        <v>0.8</v>
      </c>
      <c r="AC28" s="109">
        <v>0</v>
      </c>
      <c r="AD28" s="109">
        <v>0</v>
      </c>
      <c r="AE28" s="109">
        <v>0.8</v>
      </c>
      <c r="AF28" s="109">
        <v>0</v>
      </c>
      <c r="AG28" s="109">
        <v>0</v>
      </c>
      <c r="AH28" s="109">
        <v>0</v>
      </c>
      <c r="AI28" s="109">
        <v>0</v>
      </c>
      <c r="AJ28" s="109">
        <v>0</v>
      </c>
      <c r="AK28" s="109">
        <v>0</v>
      </c>
    </row>
    <row r="29" spans="1:37" customFormat="1" x14ac:dyDescent="0.15">
      <c r="A29" s="188" t="s">
        <v>219</v>
      </c>
      <c r="B29" s="109">
        <v>0.8</v>
      </c>
      <c r="C29" s="109">
        <v>0.8</v>
      </c>
      <c r="D29" s="109">
        <v>0</v>
      </c>
      <c r="E29" s="109">
        <v>0</v>
      </c>
      <c r="F29" s="109">
        <v>0.8</v>
      </c>
      <c r="G29" s="109">
        <v>0.8</v>
      </c>
      <c r="H29" s="109">
        <v>0.8</v>
      </c>
      <c r="I29" s="109">
        <v>0</v>
      </c>
      <c r="J29" s="109">
        <v>0.8</v>
      </c>
      <c r="K29" s="109">
        <v>0</v>
      </c>
      <c r="L29" s="109">
        <v>0</v>
      </c>
      <c r="M29" s="109">
        <v>0</v>
      </c>
      <c r="N29" s="109">
        <v>0</v>
      </c>
      <c r="O29" s="109">
        <v>0</v>
      </c>
      <c r="P29" s="109">
        <v>0</v>
      </c>
      <c r="Q29" s="109">
        <v>0</v>
      </c>
      <c r="R29" s="109">
        <v>0</v>
      </c>
      <c r="S29" s="109">
        <v>0.8</v>
      </c>
      <c r="T29" s="109">
        <v>0</v>
      </c>
      <c r="U29" s="109">
        <v>0</v>
      </c>
      <c r="V29" s="109">
        <v>0</v>
      </c>
      <c r="W29" s="109">
        <v>0</v>
      </c>
      <c r="X29" s="109">
        <v>0</v>
      </c>
      <c r="Y29" s="109">
        <v>0.8</v>
      </c>
      <c r="Z29" s="109">
        <v>0</v>
      </c>
      <c r="AA29" s="109">
        <v>0</v>
      </c>
      <c r="AB29" s="109">
        <v>0.8</v>
      </c>
      <c r="AC29" s="109">
        <v>0</v>
      </c>
      <c r="AD29" s="109">
        <v>0</v>
      </c>
      <c r="AE29" s="109">
        <v>0.8</v>
      </c>
      <c r="AF29" s="109">
        <v>0</v>
      </c>
      <c r="AG29" s="109">
        <v>0</v>
      </c>
      <c r="AH29" s="109">
        <v>0</v>
      </c>
      <c r="AI29" s="109">
        <v>0</v>
      </c>
      <c r="AJ29" s="109">
        <v>0</v>
      </c>
      <c r="AK29" s="109">
        <v>0</v>
      </c>
    </row>
    <row r="30" spans="1:37" customFormat="1" x14ac:dyDescent="0.15">
      <c r="A30" s="188" t="s">
        <v>220</v>
      </c>
      <c r="B30" s="109">
        <v>0</v>
      </c>
      <c r="C30" s="109">
        <v>0</v>
      </c>
      <c r="D30" s="109">
        <v>0</v>
      </c>
      <c r="E30" s="109">
        <v>0.8</v>
      </c>
      <c r="F30" s="109">
        <v>0.8</v>
      </c>
      <c r="G30" s="109">
        <v>0.8</v>
      </c>
      <c r="H30" s="109">
        <v>0.8</v>
      </c>
      <c r="I30" s="109">
        <v>0.8</v>
      </c>
      <c r="J30" s="109">
        <v>0.8</v>
      </c>
      <c r="K30" s="109">
        <v>0</v>
      </c>
      <c r="L30" s="109">
        <v>0</v>
      </c>
      <c r="M30" s="109">
        <v>0.8</v>
      </c>
      <c r="N30" s="109">
        <v>0.8</v>
      </c>
      <c r="O30" s="109">
        <v>0.8</v>
      </c>
      <c r="P30" s="109">
        <v>0.8</v>
      </c>
      <c r="Q30" s="109">
        <v>0.8</v>
      </c>
      <c r="R30" s="109">
        <v>0.8</v>
      </c>
      <c r="S30" s="109">
        <v>0.8</v>
      </c>
      <c r="T30" s="109">
        <v>0.8</v>
      </c>
      <c r="U30" s="109">
        <v>0.8</v>
      </c>
      <c r="V30" s="109">
        <v>0.8</v>
      </c>
      <c r="W30" s="109">
        <v>0.8</v>
      </c>
      <c r="X30" s="109">
        <v>0.8</v>
      </c>
      <c r="Y30" s="109">
        <v>0.8</v>
      </c>
      <c r="Z30" s="109">
        <v>0.8</v>
      </c>
      <c r="AA30" s="109">
        <v>0.8</v>
      </c>
      <c r="AB30" s="109">
        <v>0.8</v>
      </c>
      <c r="AC30" s="109">
        <v>0.8</v>
      </c>
      <c r="AD30" s="109">
        <v>0.8</v>
      </c>
      <c r="AE30" s="109">
        <v>0.8</v>
      </c>
      <c r="AF30" s="109">
        <v>0</v>
      </c>
      <c r="AG30" s="109">
        <v>0</v>
      </c>
      <c r="AH30" s="109">
        <v>0</v>
      </c>
      <c r="AI30" s="109">
        <v>0</v>
      </c>
      <c r="AJ30" s="109">
        <v>0</v>
      </c>
      <c r="AK30" s="109">
        <v>0</v>
      </c>
    </row>
    <row r="31" spans="1:37" customFormat="1" x14ac:dyDescent="0.15">
      <c r="A31" s="188" t="s">
        <v>221</v>
      </c>
      <c r="B31" s="109">
        <v>0.8</v>
      </c>
      <c r="C31" s="109">
        <v>0.8</v>
      </c>
      <c r="D31" s="109">
        <v>0</v>
      </c>
      <c r="E31" s="109">
        <v>0.8</v>
      </c>
      <c r="F31" s="109">
        <v>0.8</v>
      </c>
      <c r="G31" s="109">
        <v>0.8</v>
      </c>
      <c r="H31" s="109">
        <v>0.8</v>
      </c>
      <c r="I31" s="109">
        <v>0.8</v>
      </c>
      <c r="J31" s="109">
        <v>0.8</v>
      </c>
      <c r="K31" s="109">
        <v>0</v>
      </c>
      <c r="L31" s="109">
        <v>0</v>
      </c>
      <c r="M31" s="109">
        <v>0</v>
      </c>
      <c r="N31" s="109">
        <v>0</v>
      </c>
      <c r="O31" s="109">
        <v>0.8</v>
      </c>
      <c r="P31" s="109">
        <v>0</v>
      </c>
      <c r="Q31" s="109">
        <v>0</v>
      </c>
      <c r="R31" s="109">
        <v>0</v>
      </c>
      <c r="S31" s="109">
        <v>0.8</v>
      </c>
      <c r="T31" s="109">
        <v>0</v>
      </c>
      <c r="U31" s="109">
        <v>0</v>
      </c>
      <c r="V31" s="109">
        <v>0.8</v>
      </c>
      <c r="W31" s="109">
        <v>0</v>
      </c>
      <c r="X31" s="109">
        <v>0.8</v>
      </c>
      <c r="Y31" s="109">
        <v>0.8</v>
      </c>
      <c r="Z31" s="109">
        <v>0</v>
      </c>
      <c r="AA31" s="109">
        <v>0.8</v>
      </c>
      <c r="AB31" s="109">
        <v>0.8</v>
      </c>
      <c r="AC31" s="109">
        <v>0.8</v>
      </c>
      <c r="AD31" s="109">
        <v>0</v>
      </c>
      <c r="AE31" s="109">
        <v>0.8</v>
      </c>
      <c r="AF31" s="109">
        <v>0</v>
      </c>
      <c r="AG31" s="109">
        <v>0</v>
      </c>
      <c r="AH31" s="109">
        <v>0</v>
      </c>
      <c r="AI31" s="109">
        <v>0</v>
      </c>
      <c r="AJ31" s="109">
        <v>0</v>
      </c>
      <c r="AK31" s="109">
        <v>0</v>
      </c>
    </row>
    <row r="32" spans="1:37" customFormat="1" x14ac:dyDescent="0.15">
      <c r="A32" s="188" t="s">
        <v>222</v>
      </c>
      <c r="B32" s="109">
        <v>0</v>
      </c>
      <c r="C32" s="109">
        <v>0.8</v>
      </c>
      <c r="D32" s="109">
        <v>0</v>
      </c>
      <c r="E32" s="109">
        <v>0.8</v>
      </c>
      <c r="F32" s="109">
        <v>0.8</v>
      </c>
      <c r="G32" s="109">
        <v>0.8</v>
      </c>
      <c r="H32" s="109">
        <v>0.8</v>
      </c>
      <c r="I32" s="109">
        <v>0.8</v>
      </c>
      <c r="J32" s="109">
        <v>0.8</v>
      </c>
      <c r="K32" s="109">
        <v>0.8</v>
      </c>
      <c r="L32" s="109">
        <v>0.8</v>
      </c>
      <c r="M32" s="109">
        <v>0.8</v>
      </c>
      <c r="N32" s="109">
        <v>0.8</v>
      </c>
      <c r="O32" s="109">
        <v>0.8</v>
      </c>
      <c r="P32" s="109">
        <v>0.8</v>
      </c>
      <c r="Q32" s="109">
        <v>0.8</v>
      </c>
      <c r="R32" s="109">
        <v>0</v>
      </c>
      <c r="S32" s="109">
        <v>0.8</v>
      </c>
      <c r="T32" s="109">
        <v>0.8</v>
      </c>
      <c r="U32" s="109">
        <v>0.8</v>
      </c>
      <c r="V32" s="109">
        <v>0.8</v>
      </c>
      <c r="W32" s="109">
        <v>0.8</v>
      </c>
      <c r="X32" s="109">
        <v>0.8</v>
      </c>
      <c r="Y32" s="109">
        <v>0.8</v>
      </c>
      <c r="Z32" s="109">
        <v>0.8</v>
      </c>
      <c r="AA32" s="109">
        <v>0.8</v>
      </c>
      <c r="AB32" s="109">
        <v>0.8</v>
      </c>
      <c r="AC32" s="109">
        <v>0.8</v>
      </c>
      <c r="AD32" s="109">
        <v>0.8</v>
      </c>
      <c r="AE32" s="109">
        <v>0.8</v>
      </c>
      <c r="AF32" s="109">
        <v>0.8</v>
      </c>
      <c r="AG32" s="109">
        <v>0</v>
      </c>
      <c r="AH32" s="109">
        <v>0</v>
      </c>
      <c r="AI32" s="109">
        <v>0</v>
      </c>
      <c r="AJ32" s="109">
        <v>0</v>
      </c>
      <c r="AK32" s="109">
        <v>0</v>
      </c>
    </row>
    <row r="33" spans="1:37" x14ac:dyDescent="0.15">
      <c r="A33" s="188" t="s">
        <v>223</v>
      </c>
      <c r="B33" s="109">
        <v>0.8</v>
      </c>
      <c r="C33" s="109">
        <v>0</v>
      </c>
      <c r="D33" s="109">
        <v>0.8</v>
      </c>
      <c r="E33" s="109">
        <v>0.8</v>
      </c>
      <c r="F33" s="109">
        <v>0.8</v>
      </c>
      <c r="G33" s="109">
        <v>0.8</v>
      </c>
      <c r="H33" s="109">
        <v>0.8</v>
      </c>
      <c r="I33" s="109">
        <v>0.8</v>
      </c>
      <c r="J33" s="109">
        <v>0.8</v>
      </c>
      <c r="K33" s="109">
        <v>0.8</v>
      </c>
      <c r="L33" s="109">
        <v>0</v>
      </c>
      <c r="M33" s="109">
        <v>0.8</v>
      </c>
      <c r="N33" s="109">
        <v>0.8</v>
      </c>
      <c r="O33" s="109">
        <v>0.8</v>
      </c>
      <c r="P33" s="109">
        <v>0.8</v>
      </c>
      <c r="Q33" s="109">
        <v>0.8</v>
      </c>
      <c r="R33" s="109">
        <v>0.8</v>
      </c>
      <c r="S33" s="109">
        <v>0.8</v>
      </c>
      <c r="T33" s="109">
        <v>0.8</v>
      </c>
      <c r="U33" s="109">
        <v>0.8</v>
      </c>
      <c r="V33" s="109">
        <v>0.8</v>
      </c>
      <c r="W33" s="109">
        <v>0.8</v>
      </c>
      <c r="X33" s="109">
        <v>0.8</v>
      </c>
      <c r="Y33" s="109">
        <v>0.8</v>
      </c>
      <c r="Z33" s="109">
        <v>0.8</v>
      </c>
      <c r="AA33" s="109">
        <v>0.8</v>
      </c>
      <c r="AB33" s="109">
        <v>0.8</v>
      </c>
      <c r="AC33" s="109">
        <v>0.8</v>
      </c>
      <c r="AD33" s="109">
        <v>0.8</v>
      </c>
      <c r="AE33" s="109">
        <v>0.8</v>
      </c>
      <c r="AF33" s="109">
        <v>0</v>
      </c>
      <c r="AG33" s="109">
        <v>0.8</v>
      </c>
      <c r="AH33" s="109">
        <v>0</v>
      </c>
      <c r="AI33" s="109">
        <v>0</v>
      </c>
      <c r="AJ33" s="109">
        <v>0</v>
      </c>
      <c r="AK33" s="109">
        <v>0</v>
      </c>
    </row>
    <row r="34" spans="1:37" x14ac:dyDescent="0.15">
      <c r="A34" s="188" t="s">
        <v>224</v>
      </c>
      <c r="B34" s="109">
        <v>0</v>
      </c>
      <c r="C34" s="109">
        <v>0</v>
      </c>
      <c r="D34" s="109">
        <v>0</v>
      </c>
      <c r="E34" s="109">
        <v>0</v>
      </c>
      <c r="F34" s="109">
        <v>0</v>
      </c>
      <c r="G34" s="109">
        <v>0</v>
      </c>
      <c r="H34" s="109">
        <v>0.8</v>
      </c>
      <c r="I34" s="109">
        <v>0.8</v>
      </c>
      <c r="J34" s="109">
        <v>0.8</v>
      </c>
      <c r="K34" s="109">
        <v>0.8</v>
      </c>
      <c r="L34" s="109">
        <v>0.8</v>
      </c>
      <c r="M34" s="109">
        <v>0.8</v>
      </c>
      <c r="N34" s="109">
        <v>0</v>
      </c>
      <c r="O34" s="109">
        <v>0</v>
      </c>
      <c r="P34" s="109">
        <v>0</v>
      </c>
      <c r="Q34" s="109">
        <v>0</v>
      </c>
      <c r="R34" s="109">
        <v>0</v>
      </c>
      <c r="S34" s="109">
        <v>0.8</v>
      </c>
      <c r="T34" s="109">
        <v>0</v>
      </c>
      <c r="U34" s="109">
        <v>0.8</v>
      </c>
      <c r="V34" s="109">
        <v>0</v>
      </c>
      <c r="W34" s="109">
        <v>0</v>
      </c>
      <c r="X34" s="109">
        <v>0.8</v>
      </c>
      <c r="Y34" s="109">
        <v>0.8</v>
      </c>
      <c r="Z34" s="109">
        <v>0.8</v>
      </c>
      <c r="AA34" s="109">
        <v>0.8</v>
      </c>
      <c r="AB34" s="109">
        <v>0.8</v>
      </c>
      <c r="AC34" s="109">
        <v>0.8</v>
      </c>
      <c r="AD34" s="109">
        <v>0.8</v>
      </c>
      <c r="AE34" s="109">
        <v>0.8</v>
      </c>
      <c r="AF34" s="109">
        <v>0.8</v>
      </c>
      <c r="AG34" s="109">
        <v>0.8</v>
      </c>
      <c r="AH34" s="109">
        <v>0</v>
      </c>
      <c r="AI34" s="109">
        <v>0</v>
      </c>
      <c r="AJ34" s="109">
        <v>0</v>
      </c>
      <c r="AK34" s="109">
        <v>0</v>
      </c>
    </row>
    <row r="35" spans="1:37" x14ac:dyDescent="0.15">
      <c r="A35" s="188" t="s">
        <v>225</v>
      </c>
      <c r="B35" s="109">
        <v>0</v>
      </c>
      <c r="C35" s="109">
        <v>0</v>
      </c>
      <c r="D35" s="109">
        <v>0.8</v>
      </c>
      <c r="E35" s="109">
        <v>0</v>
      </c>
      <c r="F35" s="109">
        <v>0</v>
      </c>
      <c r="G35" s="109">
        <v>0</v>
      </c>
      <c r="H35" s="109">
        <v>0</v>
      </c>
      <c r="I35" s="109">
        <v>0</v>
      </c>
      <c r="J35" s="109">
        <v>0</v>
      </c>
      <c r="K35" s="109">
        <v>0.8</v>
      </c>
      <c r="L35" s="109">
        <v>0.8</v>
      </c>
      <c r="M35" s="109">
        <v>0.8</v>
      </c>
      <c r="N35" s="109">
        <v>0</v>
      </c>
      <c r="O35" s="109">
        <v>0</v>
      </c>
      <c r="P35" s="109">
        <v>0</v>
      </c>
      <c r="Q35" s="109">
        <v>0</v>
      </c>
      <c r="R35" s="109">
        <v>0</v>
      </c>
      <c r="S35" s="109">
        <v>0.8</v>
      </c>
      <c r="T35" s="109">
        <v>0</v>
      </c>
      <c r="U35" s="109">
        <v>0.8</v>
      </c>
      <c r="V35" s="109">
        <v>0.8</v>
      </c>
      <c r="W35" s="109">
        <v>0.8</v>
      </c>
      <c r="X35" s="109">
        <v>0</v>
      </c>
      <c r="Y35" s="109">
        <v>0</v>
      </c>
      <c r="Z35" s="109">
        <v>0.8</v>
      </c>
      <c r="AA35" s="109">
        <v>0.8</v>
      </c>
      <c r="AB35" s="109">
        <v>0</v>
      </c>
      <c r="AC35" s="109">
        <v>0</v>
      </c>
      <c r="AD35" s="109">
        <v>0</v>
      </c>
      <c r="AE35" s="109">
        <v>0</v>
      </c>
      <c r="AF35" s="109">
        <v>0.8</v>
      </c>
      <c r="AG35" s="109">
        <v>0.8</v>
      </c>
      <c r="AH35" s="109">
        <v>0.8</v>
      </c>
      <c r="AI35" s="109">
        <v>0</v>
      </c>
      <c r="AJ35" s="109">
        <v>0</v>
      </c>
      <c r="AK35" s="109">
        <v>0</v>
      </c>
    </row>
    <row r="36" spans="1:37" x14ac:dyDescent="0.15">
      <c r="A36" s="188" t="s">
        <v>226</v>
      </c>
      <c r="B36" s="109">
        <v>0</v>
      </c>
      <c r="C36" s="109">
        <v>0</v>
      </c>
      <c r="D36" s="109">
        <v>0</v>
      </c>
      <c r="E36" s="109">
        <v>0</v>
      </c>
      <c r="F36" s="109">
        <v>0</v>
      </c>
      <c r="G36" s="109">
        <v>0.8</v>
      </c>
      <c r="H36" s="109">
        <v>0</v>
      </c>
      <c r="I36" s="109">
        <v>0.8</v>
      </c>
      <c r="J36" s="109">
        <v>0.8</v>
      </c>
      <c r="K36" s="109">
        <v>0.8</v>
      </c>
      <c r="L36" s="109">
        <v>0</v>
      </c>
      <c r="M36" s="109">
        <v>0.8</v>
      </c>
      <c r="N36" s="109">
        <v>0</v>
      </c>
      <c r="O36" s="109">
        <v>0</v>
      </c>
      <c r="P36" s="109">
        <v>0</v>
      </c>
      <c r="Q36" s="109">
        <v>0</v>
      </c>
      <c r="R36" s="109">
        <v>0</v>
      </c>
      <c r="S36" s="109">
        <v>0.8</v>
      </c>
      <c r="T36" s="109">
        <v>0.8</v>
      </c>
      <c r="U36" s="109">
        <v>0.8</v>
      </c>
      <c r="V36" s="109">
        <v>0</v>
      </c>
      <c r="W36" s="109">
        <v>0</v>
      </c>
      <c r="X36" s="109">
        <v>0</v>
      </c>
      <c r="Y36" s="109">
        <v>0.8</v>
      </c>
      <c r="Z36" s="109">
        <v>0.8</v>
      </c>
      <c r="AA36" s="109">
        <v>0.8</v>
      </c>
      <c r="AB36" s="109">
        <v>0</v>
      </c>
      <c r="AC36" s="109">
        <v>0</v>
      </c>
      <c r="AD36" s="109">
        <v>0.8</v>
      </c>
      <c r="AE36" s="109">
        <v>0</v>
      </c>
      <c r="AF36" s="109">
        <v>0.8</v>
      </c>
      <c r="AG36" s="109">
        <v>0.8</v>
      </c>
      <c r="AH36" s="109">
        <v>0.8</v>
      </c>
      <c r="AI36" s="109">
        <v>0</v>
      </c>
      <c r="AJ36" s="109">
        <v>0</v>
      </c>
      <c r="AK36" s="109">
        <v>0</v>
      </c>
    </row>
    <row r="37" spans="1:37" x14ac:dyDescent="0.15">
      <c r="A37" s="188" t="s">
        <v>227</v>
      </c>
      <c r="B37" s="109">
        <v>0</v>
      </c>
      <c r="C37" s="109">
        <v>0</v>
      </c>
      <c r="D37" s="109">
        <v>0</v>
      </c>
      <c r="E37" s="109">
        <v>0</v>
      </c>
      <c r="F37" s="109">
        <v>0</v>
      </c>
      <c r="G37" s="109">
        <v>0</v>
      </c>
      <c r="H37" s="109">
        <v>0</v>
      </c>
      <c r="I37" s="109">
        <v>0</v>
      </c>
      <c r="J37" s="109">
        <v>0</v>
      </c>
      <c r="K37" s="109">
        <v>0</v>
      </c>
      <c r="L37" s="109">
        <v>0</v>
      </c>
      <c r="M37" s="109">
        <v>0</v>
      </c>
      <c r="N37" s="109">
        <v>0</v>
      </c>
      <c r="O37" s="109">
        <v>0</v>
      </c>
      <c r="P37" s="109">
        <v>0</v>
      </c>
      <c r="Q37" s="109">
        <v>0</v>
      </c>
      <c r="R37" s="109">
        <v>0</v>
      </c>
      <c r="S37" s="109">
        <v>0</v>
      </c>
      <c r="T37" s="109">
        <v>0</v>
      </c>
      <c r="U37" s="109">
        <v>0</v>
      </c>
      <c r="V37" s="109">
        <v>0</v>
      </c>
      <c r="W37" s="109">
        <v>0</v>
      </c>
      <c r="X37" s="109">
        <v>0</v>
      </c>
      <c r="Y37" s="109">
        <v>0</v>
      </c>
      <c r="Z37" s="109">
        <v>0</v>
      </c>
      <c r="AA37" s="109">
        <v>0</v>
      </c>
      <c r="AB37" s="109">
        <v>0</v>
      </c>
      <c r="AC37" s="109">
        <v>0</v>
      </c>
      <c r="AD37" s="109">
        <v>0</v>
      </c>
      <c r="AE37" s="109">
        <v>0</v>
      </c>
      <c r="AF37" s="109">
        <v>0</v>
      </c>
      <c r="AG37" s="109">
        <v>0</v>
      </c>
      <c r="AH37" s="109">
        <v>0</v>
      </c>
      <c r="AI37" s="109">
        <v>0</v>
      </c>
      <c r="AJ37" s="109">
        <v>0</v>
      </c>
      <c r="AK37" s="109">
        <v>0</v>
      </c>
    </row>
    <row r="38" spans="1:37" x14ac:dyDescent="0.15">
      <c r="A38" s="188" t="s">
        <v>230</v>
      </c>
      <c r="B38" s="109">
        <v>0.8</v>
      </c>
      <c r="C38" s="109">
        <v>0.8</v>
      </c>
      <c r="D38" s="109">
        <v>0</v>
      </c>
      <c r="E38" s="109">
        <v>0.8</v>
      </c>
      <c r="F38" s="109">
        <v>0.8</v>
      </c>
      <c r="G38" s="109">
        <v>0.8</v>
      </c>
      <c r="H38" s="109">
        <v>0.8</v>
      </c>
      <c r="I38" s="109">
        <v>0</v>
      </c>
      <c r="J38" s="109">
        <v>0</v>
      </c>
      <c r="K38" s="109">
        <v>0.8</v>
      </c>
      <c r="L38" s="109">
        <v>0</v>
      </c>
      <c r="M38" s="109">
        <v>0</v>
      </c>
      <c r="N38" s="109">
        <v>0</v>
      </c>
      <c r="O38" s="109">
        <v>0</v>
      </c>
      <c r="P38" s="109">
        <v>0</v>
      </c>
      <c r="Q38" s="109">
        <v>0</v>
      </c>
      <c r="R38" s="109">
        <v>0</v>
      </c>
      <c r="S38" s="109">
        <v>0.8</v>
      </c>
      <c r="T38" s="109">
        <v>0</v>
      </c>
      <c r="U38" s="109">
        <v>0</v>
      </c>
      <c r="V38" s="109">
        <v>0</v>
      </c>
      <c r="W38" s="109">
        <v>0</v>
      </c>
      <c r="X38" s="109">
        <v>0</v>
      </c>
      <c r="Y38" s="109">
        <v>0</v>
      </c>
      <c r="Z38" s="109">
        <v>0</v>
      </c>
      <c r="AA38" s="109">
        <v>0</v>
      </c>
      <c r="AB38" s="109">
        <v>0.8</v>
      </c>
      <c r="AC38" s="109">
        <v>0.8</v>
      </c>
      <c r="AD38" s="109">
        <v>0</v>
      </c>
      <c r="AE38" s="109">
        <v>0.8</v>
      </c>
      <c r="AF38" s="109">
        <v>0</v>
      </c>
      <c r="AG38" s="109">
        <v>0</v>
      </c>
      <c r="AH38" s="109">
        <v>0</v>
      </c>
      <c r="AI38" s="109">
        <v>0</v>
      </c>
      <c r="AJ38" s="109">
        <v>0</v>
      </c>
      <c r="AK38" s="10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K38"/>
  <sheetViews>
    <sheetView workbookViewId="0">
      <selection activeCell="A3" sqref="A3"/>
    </sheetView>
  </sheetViews>
  <sheetFormatPr baseColWidth="10" defaultRowHeight="13" x14ac:dyDescent="0.15"/>
  <cols>
    <col min="1" max="1" width="22.5" style="109" bestFit="1" customWidth="1"/>
    <col min="2" max="37" width="2.33203125" style="109" customWidth="1"/>
    <col min="38" max="16384" width="10.83203125" style="109"/>
  </cols>
  <sheetData>
    <row r="1" spans="1:37" x14ac:dyDescent="0.15">
      <c r="A1" s="63" t="s">
        <v>139</v>
      </c>
      <c r="B1" s="191" t="s">
        <v>192</v>
      </c>
      <c r="C1" s="191" t="s">
        <v>193</v>
      </c>
      <c r="D1" s="191" t="s">
        <v>194</v>
      </c>
      <c r="E1" s="191" t="s">
        <v>195</v>
      </c>
      <c r="F1" s="191" t="s">
        <v>196</v>
      </c>
      <c r="G1" s="191" t="s">
        <v>197</v>
      </c>
      <c r="H1" s="191" t="s">
        <v>198</v>
      </c>
      <c r="I1" s="191" t="s">
        <v>199</v>
      </c>
      <c r="J1" s="191" t="s">
        <v>200</v>
      </c>
      <c r="K1" s="191" t="s">
        <v>201</v>
      </c>
      <c r="L1" s="191" t="s">
        <v>202</v>
      </c>
      <c r="M1" s="191" t="s">
        <v>203</v>
      </c>
      <c r="N1" s="191" t="s">
        <v>204</v>
      </c>
      <c r="O1" s="191" t="s">
        <v>205</v>
      </c>
      <c r="P1" s="191" t="s">
        <v>206</v>
      </c>
      <c r="Q1" s="191" t="s">
        <v>207</v>
      </c>
      <c r="R1" s="191" t="s">
        <v>208</v>
      </c>
      <c r="S1" s="191" t="s">
        <v>209</v>
      </c>
      <c r="T1" s="191" t="s">
        <v>210</v>
      </c>
      <c r="U1" s="191" t="s">
        <v>211</v>
      </c>
      <c r="V1" s="191" t="s">
        <v>212</v>
      </c>
      <c r="W1" s="191" t="s">
        <v>213</v>
      </c>
      <c r="X1" s="191" t="s">
        <v>214</v>
      </c>
      <c r="Y1" s="191" t="s">
        <v>215</v>
      </c>
      <c r="Z1" s="191" t="s">
        <v>216</v>
      </c>
      <c r="AA1" s="191" t="s">
        <v>217</v>
      </c>
      <c r="AB1" s="191" t="s">
        <v>218</v>
      </c>
      <c r="AC1" s="191" t="s">
        <v>219</v>
      </c>
      <c r="AD1" s="191" t="s">
        <v>220</v>
      </c>
      <c r="AE1" s="191" t="s">
        <v>221</v>
      </c>
      <c r="AF1" s="191" t="s">
        <v>222</v>
      </c>
      <c r="AG1" s="191" t="s">
        <v>223</v>
      </c>
      <c r="AH1" s="191" t="s">
        <v>224</v>
      </c>
      <c r="AI1" s="191" t="s">
        <v>225</v>
      </c>
      <c r="AJ1" s="191" t="s">
        <v>226</v>
      </c>
      <c r="AK1" s="191" t="s">
        <v>227</v>
      </c>
    </row>
    <row r="2" spans="1:37" customFormat="1" x14ac:dyDescent="0.15">
      <c r="A2" s="190" t="s">
        <v>192</v>
      </c>
      <c r="B2" s="109">
        <v>0</v>
      </c>
      <c r="C2" s="109">
        <v>0</v>
      </c>
      <c r="D2" s="109">
        <v>0</v>
      </c>
      <c r="E2" s="109">
        <v>0</v>
      </c>
      <c r="F2" s="109">
        <v>0</v>
      </c>
      <c r="G2" s="109">
        <v>0</v>
      </c>
      <c r="H2" s="109">
        <v>0</v>
      </c>
      <c r="I2" s="109">
        <v>0</v>
      </c>
      <c r="J2" s="109">
        <v>0</v>
      </c>
      <c r="K2" s="109">
        <v>0</v>
      </c>
      <c r="L2" s="109">
        <v>0</v>
      </c>
      <c r="M2" s="109">
        <v>0</v>
      </c>
      <c r="N2" s="109">
        <v>0</v>
      </c>
      <c r="O2" s="109">
        <v>0</v>
      </c>
      <c r="P2" s="109">
        <v>0</v>
      </c>
      <c r="Q2" s="109">
        <v>0</v>
      </c>
      <c r="R2" s="109">
        <v>0</v>
      </c>
      <c r="S2" s="109">
        <v>0</v>
      </c>
      <c r="T2" s="109">
        <v>0</v>
      </c>
      <c r="U2" s="109">
        <v>0</v>
      </c>
      <c r="V2" s="109">
        <v>0</v>
      </c>
      <c r="W2" s="109">
        <v>0</v>
      </c>
      <c r="X2" s="109">
        <v>0</v>
      </c>
      <c r="Y2" s="109">
        <v>0</v>
      </c>
      <c r="Z2" s="109">
        <v>0</v>
      </c>
      <c r="AA2" s="109">
        <v>0</v>
      </c>
      <c r="AB2" s="109">
        <v>0</v>
      </c>
      <c r="AC2" s="109">
        <v>0</v>
      </c>
      <c r="AD2" s="109">
        <v>0</v>
      </c>
      <c r="AE2" s="109">
        <v>0</v>
      </c>
      <c r="AF2" s="109">
        <v>0</v>
      </c>
      <c r="AG2" s="109">
        <v>0</v>
      </c>
      <c r="AH2" s="109">
        <v>0</v>
      </c>
      <c r="AI2" s="109">
        <v>0</v>
      </c>
      <c r="AJ2" s="109">
        <v>0</v>
      </c>
      <c r="AK2" s="109">
        <v>0</v>
      </c>
    </row>
    <row r="3" spans="1:37" customFormat="1" x14ac:dyDescent="0.15">
      <c r="A3" s="190" t="s">
        <v>193</v>
      </c>
      <c r="B3" s="109">
        <v>0</v>
      </c>
      <c r="C3" s="109">
        <v>0</v>
      </c>
      <c r="D3" s="109">
        <v>0</v>
      </c>
      <c r="E3" s="109">
        <v>0</v>
      </c>
      <c r="F3" s="109">
        <v>0</v>
      </c>
      <c r="G3" s="109">
        <v>1</v>
      </c>
      <c r="H3" s="109">
        <v>0</v>
      </c>
      <c r="I3" s="109">
        <v>0</v>
      </c>
      <c r="J3" s="109">
        <v>0</v>
      </c>
      <c r="K3" s="109">
        <v>0</v>
      </c>
      <c r="L3" s="109">
        <v>0</v>
      </c>
      <c r="M3" s="109">
        <v>0</v>
      </c>
      <c r="N3" s="109">
        <v>0</v>
      </c>
      <c r="O3" s="109">
        <v>0</v>
      </c>
      <c r="P3" s="109">
        <v>0</v>
      </c>
      <c r="Q3" s="109">
        <v>0</v>
      </c>
      <c r="R3" s="109">
        <v>0</v>
      </c>
      <c r="S3" s="109">
        <v>0</v>
      </c>
      <c r="T3" s="109">
        <v>0</v>
      </c>
      <c r="U3" s="109">
        <v>0</v>
      </c>
      <c r="V3" s="109">
        <v>0</v>
      </c>
      <c r="W3" s="109">
        <v>0</v>
      </c>
      <c r="X3" s="109">
        <v>0</v>
      </c>
      <c r="Y3" s="109">
        <v>0</v>
      </c>
      <c r="Z3" s="109">
        <v>0</v>
      </c>
      <c r="AA3" s="109">
        <v>0</v>
      </c>
      <c r="AB3" s="109">
        <v>0</v>
      </c>
      <c r="AC3" s="109">
        <v>0</v>
      </c>
      <c r="AD3" s="109">
        <v>0</v>
      </c>
      <c r="AE3" s="109">
        <v>0</v>
      </c>
      <c r="AF3" s="109">
        <v>0</v>
      </c>
      <c r="AG3" s="109">
        <v>0</v>
      </c>
      <c r="AH3" s="109">
        <v>0</v>
      </c>
      <c r="AI3" s="109">
        <v>0</v>
      </c>
      <c r="AJ3" s="109">
        <v>0</v>
      </c>
      <c r="AK3" s="109">
        <v>0</v>
      </c>
    </row>
    <row r="4" spans="1:37" customFormat="1" x14ac:dyDescent="0.15">
      <c r="A4" s="190" t="s">
        <v>194</v>
      </c>
      <c r="B4" s="109">
        <v>0</v>
      </c>
      <c r="C4" s="109">
        <v>0</v>
      </c>
      <c r="D4" s="109">
        <v>0</v>
      </c>
      <c r="E4" s="109">
        <v>0</v>
      </c>
      <c r="F4" s="109">
        <v>0</v>
      </c>
      <c r="G4" s="109">
        <v>0</v>
      </c>
      <c r="H4" s="109">
        <v>0</v>
      </c>
      <c r="I4" s="109">
        <v>0</v>
      </c>
      <c r="J4" s="109">
        <v>0</v>
      </c>
      <c r="K4" s="109">
        <v>0</v>
      </c>
      <c r="L4" s="109">
        <v>0</v>
      </c>
      <c r="M4" s="109">
        <v>0</v>
      </c>
      <c r="N4" s="109">
        <v>0</v>
      </c>
      <c r="O4" s="109">
        <v>0</v>
      </c>
      <c r="P4" s="109">
        <v>0</v>
      </c>
      <c r="Q4" s="109">
        <v>0</v>
      </c>
      <c r="R4" s="109">
        <v>0</v>
      </c>
      <c r="S4" s="109">
        <v>0</v>
      </c>
      <c r="T4" s="109">
        <v>0</v>
      </c>
      <c r="U4" s="109">
        <v>0</v>
      </c>
      <c r="V4" s="109">
        <v>0</v>
      </c>
      <c r="W4" s="109">
        <v>0</v>
      </c>
      <c r="X4" s="109">
        <v>1</v>
      </c>
      <c r="Y4" s="109">
        <v>0</v>
      </c>
      <c r="Z4" s="109">
        <v>0</v>
      </c>
      <c r="AA4" s="109">
        <v>0</v>
      </c>
      <c r="AB4" s="109">
        <v>0</v>
      </c>
      <c r="AC4" s="109">
        <v>0</v>
      </c>
      <c r="AD4" s="109">
        <v>0</v>
      </c>
      <c r="AE4" s="109">
        <v>0</v>
      </c>
      <c r="AF4" s="109">
        <v>0</v>
      </c>
      <c r="AG4" s="109">
        <v>0</v>
      </c>
      <c r="AH4" s="109">
        <v>0</v>
      </c>
      <c r="AI4" s="109">
        <v>0</v>
      </c>
      <c r="AJ4" s="109">
        <v>0</v>
      </c>
      <c r="AK4" s="109">
        <v>0</v>
      </c>
    </row>
    <row r="5" spans="1:37" customFormat="1" x14ac:dyDescent="0.15">
      <c r="A5" s="190" t="s">
        <v>195</v>
      </c>
      <c r="B5" s="109">
        <v>0</v>
      </c>
      <c r="C5" s="109">
        <v>0</v>
      </c>
      <c r="D5" s="109">
        <v>0</v>
      </c>
      <c r="E5" s="109">
        <v>0</v>
      </c>
      <c r="F5" s="109">
        <v>0</v>
      </c>
      <c r="G5" s="109">
        <v>0</v>
      </c>
      <c r="H5" s="109">
        <v>0</v>
      </c>
      <c r="I5" s="109">
        <v>0</v>
      </c>
      <c r="J5" s="109">
        <v>0</v>
      </c>
      <c r="K5" s="109">
        <v>0</v>
      </c>
      <c r="L5" s="109">
        <v>0</v>
      </c>
      <c r="M5" s="109">
        <v>0</v>
      </c>
      <c r="N5" s="109">
        <v>0</v>
      </c>
      <c r="O5" s="109">
        <v>0</v>
      </c>
      <c r="P5" s="109">
        <v>0</v>
      </c>
      <c r="Q5" s="109">
        <v>0</v>
      </c>
      <c r="R5" s="109">
        <v>0</v>
      </c>
      <c r="S5" s="109">
        <v>0</v>
      </c>
      <c r="T5" s="109">
        <v>0</v>
      </c>
      <c r="U5" s="109">
        <v>0</v>
      </c>
      <c r="V5" s="109">
        <v>0</v>
      </c>
      <c r="W5" s="109">
        <v>0</v>
      </c>
      <c r="X5" s="109">
        <v>0</v>
      </c>
      <c r="Y5" s="109">
        <v>0</v>
      </c>
      <c r="Z5" s="109">
        <v>0</v>
      </c>
      <c r="AA5" s="109">
        <v>0</v>
      </c>
      <c r="AB5" s="109">
        <v>0</v>
      </c>
      <c r="AC5" s="109">
        <v>0</v>
      </c>
      <c r="AD5" s="109">
        <v>0</v>
      </c>
      <c r="AE5" s="109">
        <v>0</v>
      </c>
      <c r="AF5" s="109">
        <v>0</v>
      </c>
      <c r="AG5" s="109">
        <v>0</v>
      </c>
      <c r="AH5" s="109">
        <v>0</v>
      </c>
      <c r="AI5" s="109">
        <v>0</v>
      </c>
      <c r="AJ5" s="109">
        <v>0</v>
      </c>
      <c r="AK5" s="109">
        <v>0</v>
      </c>
    </row>
    <row r="6" spans="1:37" customFormat="1" x14ac:dyDescent="0.15">
      <c r="A6" s="190" t="s">
        <v>196</v>
      </c>
      <c r="B6" s="109">
        <v>0</v>
      </c>
      <c r="C6" s="109">
        <v>0</v>
      </c>
      <c r="D6" s="109">
        <v>0</v>
      </c>
      <c r="E6" s="109">
        <v>0</v>
      </c>
      <c r="F6" s="109">
        <v>0</v>
      </c>
      <c r="G6" s="109">
        <v>1</v>
      </c>
      <c r="H6" s="109">
        <v>0</v>
      </c>
      <c r="I6" s="109">
        <v>1</v>
      </c>
      <c r="J6" s="109">
        <v>1</v>
      </c>
      <c r="K6" s="109">
        <v>0</v>
      </c>
      <c r="L6" s="109">
        <v>0</v>
      </c>
      <c r="M6" s="109">
        <v>0</v>
      </c>
      <c r="N6" s="109">
        <v>0</v>
      </c>
      <c r="O6" s="109">
        <v>0</v>
      </c>
      <c r="P6" s="109">
        <v>0</v>
      </c>
      <c r="Q6" s="109">
        <v>0</v>
      </c>
      <c r="R6" s="109">
        <v>0</v>
      </c>
      <c r="S6" s="109">
        <v>0</v>
      </c>
      <c r="T6" s="109">
        <v>0</v>
      </c>
      <c r="U6" s="109">
        <v>0</v>
      </c>
      <c r="V6" s="109">
        <v>0</v>
      </c>
      <c r="W6" s="109">
        <v>0</v>
      </c>
      <c r="X6" s="109">
        <v>0</v>
      </c>
      <c r="Y6" s="109">
        <v>0</v>
      </c>
      <c r="Z6" s="109">
        <v>0</v>
      </c>
      <c r="AA6" s="109">
        <v>0</v>
      </c>
      <c r="AB6" s="109">
        <v>0</v>
      </c>
      <c r="AC6" s="109">
        <v>0</v>
      </c>
      <c r="AD6" s="109">
        <v>0</v>
      </c>
      <c r="AE6" s="109">
        <v>0</v>
      </c>
      <c r="AF6" s="109">
        <v>0</v>
      </c>
      <c r="AG6" s="109">
        <v>0</v>
      </c>
      <c r="AH6" s="109">
        <v>0</v>
      </c>
      <c r="AI6" s="109">
        <v>0</v>
      </c>
      <c r="AJ6" s="109">
        <v>0</v>
      </c>
      <c r="AK6" s="109">
        <v>0</v>
      </c>
    </row>
    <row r="7" spans="1:37" customFormat="1" x14ac:dyDescent="0.15">
      <c r="A7" s="190" t="s">
        <v>197</v>
      </c>
      <c r="B7" s="109">
        <v>0</v>
      </c>
      <c r="C7" s="109">
        <v>0</v>
      </c>
      <c r="D7" s="109">
        <v>0</v>
      </c>
      <c r="E7" s="109">
        <v>0</v>
      </c>
      <c r="F7" s="109">
        <v>0</v>
      </c>
      <c r="G7" s="109">
        <v>1</v>
      </c>
      <c r="H7" s="109">
        <v>0</v>
      </c>
      <c r="I7" s="109">
        <v>0</v>
      </c>
      <c r="J7" s="109">
        <v>0</v>
      </c>
      <c r="K7" s="109">
        <v>0</v>
      </c>
      <c r="L7" s="109">
        <v>0</v>
      </c>
      <c r="M7" s="109">
        <v>0</v>
      </c>
      <c r="N7" s="109">
        <v>0</v>
      </c>
      <c r="O7" s="109">
        <v>0</v>
      </c>
      <c r="P7" s="109">
        <v>0</v>
      </c>
      <c r="Q7" s="109">
        <v>0</v>
      </c>
      <c r="R7" s="109">
        <v>0</v>
      </c>
      <c r="S7" s="109">
        <v>0</v>
      </c>
      <c r="T7" s="109">
        <v>0</v>
      </c>
      <c r="U7" s="109">
        <v>0</v>
      </c>
      <c r="V7" s="109">
        <v>0</v>
      </c>
      <c r="W7" s="109">
        <v>0</v>
      </c>
      <c r="X7" s="109">
        <v>1</v>
      </c>
      <c r="Y7" s="109">
        <v>0</v>
      </c>
      <c r="Z7" s="109">
        <v>0</v>
      </c>
      <c r="AA7" s="109">
        <v>0</v>
      </c>
      <c r="AB7" s="109">
        <v>0</v>
      </c>
      <c r="AC7" s="109">
        <v>0</v>
      </c>
      <c r="AD7" s="109">
        <v>0</v>
      </c>
      <c r="AE7" s="109">
        <v>0</v>
      </c>
      <c r="AF7" s="109">
        <v>0</v>
      </c>
      <c r="AG7" s="109">
        <v>0</v>
      </c>
      <c r="AH7" s="109">
        <v>0</v>
      </c>
      <c r="AI7" s="109">
        <v>0</v>
      </c>
      <c r="AJ7" s="109">
        <v>0</v>
      </c>
      <c r="AK7" s="109">
        <v>0</v>
      </c>
    </row>
    <row r="8" spans="1:37" customFormat="1" x14ac:dyDescent="0.15">
      <c r="A8" s="190" t="s">
        <v>198</v>
      </c>
      <c r="B8" s="109">
        <v>0</v>
      </c>
      <c r="C8" s="109">
        <v>1</v>
      </c>
      <c r="D8" s="109">
        <v>0</v>
      </c>
      <c r="E8" s="109">
        <v>1</v>
      </c>
      <c r="F8" s="109">
        <v>1</v>
      </c>
      <c r="G8" s="109">
        <v>1</v>
      </c>
      <c r="H8" s="109">
        <v>1</v>
      </c>
      <c r="I8" s="109">
        <v>1</v>
      </c>
      <c r="J8" s="109">
        <v>1</v>
      </c>
      <c r="K8" s="109">
        <v>0</v>
      </c>
      <c r="L8" s="109">
        <v>0</v>
      </c>
      <c r="M8" s="109">
        <v>0</v>
      </c>
      <c r="N8" s="109">
        <v>0</v>
      </c>
      <c r="O8" s="109">
        <v>0</v>
      </c>
      <c r="P8" s="109">
        <v>0</v>
      </c>
      <c r="Q8" s="109">
        <v>0</v>
      </c>
      <c r="R8" s="109">
        <v>0</v>
      </c>
      <c r="S8" s="109">
        <v>0</v>
      </c>
      <c r="T8" s="109">
        <v>0</v>
      </c>
      <c r="U8" s="109">
        <v>0</v>
      </c>
      <c r="V8" s="109">
        <v>0</v>
      </c>
      <c r="W8" s="109">
        <v>0</v>
      </c>
      <c r="X8" s="109">
        <v>0</v>
      </c>
      <c r="Y8" s="109">
        <v>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>
        <v>0</v>
      </c>
      <c r="AF8" s="109">
        <v>0</v>
      </c>
      <c r="AG8" s="109">
        <v>0</v>
      </c>
      <c r="AH8" s="109">
        <v>0</v>
      </c>
      <c r="AI8" s="109">
        <v>0</v>
      </c>
      <c r="AJ8" s="109">
        <v>0</v>
      </c>
      <c r="AK8" s="109">
        <v>0</v>
      </c>
    </row>
    <row r="9" spans="1:37" customFormat="1" x14ac:dyDescent="0.15">
      <c r="A9" s="190" t="s">
        <v>199</v>
      </c>
      <c r="B9" s="109">
        <v>0</v>
      </c>
      <c r="C9" s="109">
        <v>1</v>
      </c>
      <c r="D9" s="109">
        <v>0</v>
      </c>
      <c r="E9" s="109">
        <v>1</v>
      </c>
      <c r="F9" s="109">
        <v>0</v>
      </c>
      <c r="G9" s="109">
        <v>1</v>
      </c>
      <c r="H9" s="109">
        <v>0</v>
      </c>
      <c r="I9" s="109">
        <v>1</v>
      </c>
      <c r="J9" s="109">
        <v>0</v>
      </c>
      <c r="K9" s="109">
        <v>0</v>
      </c>
      <c r="L9" s="109">
        <v>0</v>
      </c>
      <c r="M9" s="109">
        <v>0</v>
      </c>
      <c r="N9" s="109">
        <v>0</v>
      </c>
      <c r="O9" s="109">
        <v>0</v>
      </c>
      <c r="P9" s="109">
        <v>0</v>
      </c>
      <c r="Q9" s="109">
        <v>0</v>
      </c>
      <c r="R9" s="109">
        <v>0</v>
      </c>
      <c r="S9" s="109">
        <v>0</v>
      </c>
      <c r="T9" s="109">
        <v>0</v>
      </c>
      <c r="U9" s="109">
        <v>0</v>
      </c>
      <c r="V9" s="109">
        <v>0</v>
      </c>
      <c r="W9" s="109">
        <v>0</v>
      </c>
      <c r="X9" s="109">
        <v>0</v>
      </c>
      <c r="Y9" s="109">
        <v>0</v>
      </c>
      <c r="Z9" s="109">
        <v>0</v>
      </c>
      <c r="AA9" s="109">
        <v>0</v>
      </c>
      <c r="AB9" s="109">
        <v>0</v>
      </c>
      <c r="AC9" s="109">
        <v>0</v>
      </c>
      <c r="AD9" s="109">
        <v>0</v>
      </c>
      <c r="AE9" s="109">
        <v>0</v>
      </c>
      <c r="AF9" s="109">
        <v>0</v>
      </c>
      <c r="AG9" s="109">
        <v>0</v>
      </c>
      <c r="AH9" s="109">
        <v>0</v>
      </c>
      <c r="AI9" s="109">
        <v>0</v>
      </c>
      <c r="AJ9" s="109">
        <v>0</v>
      </c>
      <c r="AK9" s="109">
        <v>0</v>
      </c>
    </row>
    <row r="10" spans="1:37" customFormat="1" x14ac:dyDescent="0.15">
      <c r="A10" s="190" t="s">
        <v>200</v>
      </c>
      <c r="B10" s="109">
        <v>0</v>
      </c>
      <c r="C10" s="109">
        <v>1</v>
      </c>
      <c r="D10" s="109">
        <v>0</v>
      </c>
      <c r="E10" s="109">
        <v>1</v>
      </c>
      <c r="F10" s="109">
        <v>0</v>
      </c>
      <c r="G10" s="109">
        <v>1</v>
      </c>
      <c r="H10" s="109">
        <v>0</v>
      </c>
      <c r="I10" s="109">
        <v>1</v>
      </c>
      <c r="J10" s="109">
        <v>1</v>
      </c>
      <c r="K10" s="109">
        <v>0</v>
      </c>
      <c r="L10" s="109">
        <v>0</v>
      </c>
      <c r="M10" s="109">
        <v>0</v>
      </c>
      <c r="N10" s="109">
        <v>0</v>
      </c>
      <c r="O10" s="109">
        <v>0</v>
      </c>
      <c r="P10" s="109">
        <v>0</v>
      </c>
      <c r="Q10" s="109">
        <v>0</v>
      </c>
      <c r="R10" s="109">
        <v>0</v>
      </c>
      <c r="S10" s="109">
        <v>0</v>
      </c>
      <c r="T10" s="109">
        <v>0</v>
      </c>
      <c r="U10" s="109">
        <v>0</v>
      </c>
      <c r="V10" s="109">
        <v>0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0</v>
      </c>
      <c r="AC10" s="109">
        <v>0</v>
      </c>
      <c r="AD10" s="109">
        <v>0</v>
      </c>
      <c r="AE10" s="109">
        <v>0</v>
      </c>
      <c r="AF10" s="109">
        <v>0</v>
      </c>
      <c r="AG10" s="109">
        <v>0</v>
      </c>
      <c r="AH10" s="109">
        <v>0</v>
      </c>
      <c r="AI10" s="109">
        <v>0</v>
      </c>
      <c r="AJ10" s="109">
        <v>0</v>
      </c>
      <c r="AK10" s="109">
        <v>0</v>
      </c>
    </row>
    <row r="11" spans="1:37" customFormat="1" x14ac:dyDescent="0.15">
      <c r="A11" s="190" t="s">
        <v>201</v>
      </c>
      <c r="B11" s="109">
        <v>1</v>
      </c>
      <c r="C11" s="109">
        <v>1</v>
      </c>
      <c r="D11" s="109">
        <v>0</v>
      </c>
      <c r="E11" s="109">
        <v>1</v>
      </c>
      <c r="F11" s="109">
        <v>1</v>
      </c>
      <c r="G11" s="109">
        <v>1</v>
      </c>
      <c r="H11" s="109">
        <v>1</v>
      </c>
      <c r="I11" s="109">
        <v>1</v>
      </c>
      <c r="J11" s="109">
        <v>1</v>
      </c>
      <c r="K11" s="109">
        <v>1</v>
      </c>
      <c r="L11" s="109">
        <v>0</v>
      </c>
      <c r="M11" s="109">
        <v>0</v>
      </c>
      <c r="N11" s="109">
        <v>0</v>
      </c>
      <c r="O11" s="109">
        <v>0</v>
      </c>
      <c r="P11" s="109">
        <v>0</v>
      </c>
      <c r="Q11" s="109">
        <v>0</v>
      </c>
      <c r="R11" s="109">
        <v>0</v>
      </c>
      <c r="S11" s="109">
        <v>1</v>
      </c>
      <c r="T11" s="109">
        <v>0</v>
      </c>
      <c r="U11" s="109">
        <v>0</v>
      </c>
      <c r="V11" s="109">
        <v>0</v>
      </c>
      <c r="W11" s="109">
        <v>0</v>
      </c>
      <c r="X11" s="109">
        <v>0</v>
      </c>
      <c r="Y11" s="109">
        <v>1</v>
      </c>
      <c r="Z11" s="109">
        <v>0</v>
      </c>
      <c r="AA11" s="109">
        <v>0</v>
      </c>
      <c r="AB11" s="109">
        <v>0</v>
      </c>
      <c r="AC11" s="109">
        <v>0</v>
      </c>
      <c r="AD11" s="109">
        <v>0</v>
      </c>
      <c r="AE11" s="109">
        <v>1</v>
      </c>
      <c r="AF11" s="109">
        <v>0</v>
      </c>
      <c r="AG11" s="109">
        <v>0</v>
      </c>
      <c r="AH11" s="109">
        <v>0</v>
      </c>
      <c r="AI11" s="109">
        <v>0</v>
      </c>
      <c r="AJ11" s="109">
        <v>0</v>
      </c>
      <c r="AK11" s="109">
        <v>0</v>
      </c>
    </row>
    <row r="12" spans="1:37" customFormat="1" x14ac:dyDescent="0.15">
      <c r="A12" s="190" t="s">
        <v>202</v>
      </c>
      <c r="B12" s="109">
        <v>0</v>
      </c>
      <c r="C12" s="109">
        <v>1</v>
      </c>
      <c r="D12" s="109">
        <v>0</v>
      </c>
      <c r="E12" s="109">
        <v>1</v>
      </c>
      <c r="F12" s="109">
        <v>1</v>
      </c>
      <c r="G12" s="109">
        <v>1</v>
      </c>
      <c r="H12" s="109">
        <v>1</v>
      </c>
      <c r="I12" s="109">
        <v>1</v>
      </c>
      <c r="J12" s="109">
        <v>1</v>
      </c>
      <c r="K12" s="109">
        <v>0</v>
      </c>
      <c r="L12" s="109">
        <v>0</v>
      </c>
      <c r="M12" s="109">
        <v>0</v>
      </c>
      <c r="N12" s="109">
        <v>1</v>
      </c>
      <c r="O12" s="109">
        <v>1</v>
      </c>
      <c r="P12" s="109">
        <v>1</v>
      </c>
      <c r="Q12" s="109">
        <v>1</v>
      </c>
      <c r="R12" s="109">
        <v>1</v>
      </c>
      <c r="S12" s="109">
        <v>1</v>
      </c>
      <c r="T12" s="109">
        <v>1</v>
      </c>
      <c r="U12" s="109">
        <v>0</v>
      </c>
      <c r="V12" s="109">
        <v>1</v>
      </c>
      <c r="W12" s="109">
        <v>0</v>
      </c>
      <c r="X12" s="109">
        <v>1</v>
      </c>
      <c r="Y12" s="109">
        <v>1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1</v>
      </c>
      <c r="AF12" s="109">
        <v>0</v>
      </c>
      <c r="AG12" s="109">
        <v>0</v>
      </c>
      <c r="AH12" s="109">
        <v>0</v>
      </c>
      <c r="AI12" s="109">
        <v>0</v>
      </c>
      <c r="AJ12" s="109">
        <v>0</v>
      </c>
      <c r="AK12" s="109">
        <v>0</v>
      </c>
    </row>
    <row r="13" spans="1:37" customFormat="1" x14ac:dyDescent="0.15">
      <c r="A13" s="190" t="s">
        <v>203</v>
      </c>
      <c r="B13" s="109">
        <v>1</v>
      </c>
      <c r="C13" s="109">
        <v>1</v>
      </c>
      <c r="D13" s="109">
        <v>0</v>
      </c>
      <c r="E13" s="109">
        <v>1</v>
      </c>
      <c r="F13" s="109">
        <v>1</v>
      </c>
      <c r="G13" s="109">
        <v>1</v>
      </c>
      <c r="H13" s="109">
        <v>1</v>
      </c>
      <c r="I13" s="109">
        <v>1</v>
      </c>
      <c r="J13" s="109">
        <v>1</v>
      </c>
      <c r="K13" s="109">
        <v>1</v>
      </c>
      <c r="L13" s="109">
        <v>0</v>
      </c>
      <c r="M13" s="109">
        <v>0</v>
      </c>
      <c r="N13" s="109">
        <v>1</v>
      </c>
      <c r="O13" s="109">
        <v>1</v>
      </c>
      <c r="P13" s="109">
        <v>1</v>
      </c>
      <c r="Q13" s="109">
        <v>0</v>
      </c>
      <c r="R13" s="109">
        <v>1</v>
      </c>
      <c r="S13" s="109">
        <v>1</v>
      </c>
      <c r="T13" s="109">
        <v>0</v>
      </c>
      <c r="U13" s="109">
        <v>0</v>
      </c>
      <c r="V13" s="109">
        <v>1</v>
      </c>
      <c r="W13" s="109">
        <v>0</v>
      </c>
      <c r="X13" s="109">
        <v>1</v>
      </c>
      <c r="Y13" s="109">
        <v>1</v>
      </c>
      <c r="Z13" s="109">
        <v>0</v>
      </c>
      <c r="AA13" s="109">
        <v>0</v>
      </c>
      <c r="AB13" s="109">
        <v>1</v>
      </c>
      <c r="AC13" s="109">
        <v>0</v>
      </c>
      <c r="AD13" s="109">
        <v>0</v>
      </c>
      <c r="AE13" s="109">
        <v>1</v>
      </c>
      <c r="AF13" s="109">
        <v>0</v>
      </c>
      <c r="AG13" s="109">
        <v>0</v>
      </c>
      <c r="AH13" s="109">
        <v>0</v>
      </c>
      <c r="AI13" s="109">
        <v>0</v>
      </c>
      <c r="AJ13" s="109">
        <v>0</v>
      </c>
      <c r="AK13" s="109">
        <v>0</v>
      </c>
    </row>
    <row r="14" spans="1:37" customFormat="1" x14ac:dyDescent="0.15">
      <c r="A14" s="190" t="s">
        <v>204</v>
      </c>
      <c r="B14" s="109">
        <v>0</v>
      </c>
      <c r="C14" s="109">
        <v>1</v>
      </c>
      <c r="D14" s="109">
        <v>0</v>
      </c>
      <c r="E14" s="109">
        <v>0</v>
      </c>
      <c r="F14" s="109">
        <v>1</v>
      </c>
      <c r="G14" s="109">
        <v>0</v>
      </c>
      <c r="H14" s="109">
        <v>1</v>
      </c>
      <c r="I14" s="109">
        <v>1</v>
      </c>
      <c r="J14" s="109">
        <v>1</v>
      </c>
      <c r="K14" s="109">
        <v>0</v>
      </c>
      <c r="L14" s="109">
        <v>0</v>
      </c>
      <c r="M14" s="109">
        <v>0</v>
      </c>
      <c r="N14" s="109">
        <v>1</v>
      </c>
      <c r="O14" s="109">
        <v>1</v>
      </c>
      <c r="P14" s="109">
        <v>0</v>
      </c>
      <c r="Q14" s="109">
        <v>1</v>
      </c>
      <c r="R14" s="109">
        <v>1</v>
      </c>
      <c r="S14" s="109">
        <v>0</v>
      </c>
      <c r="T14" s="109">
        <v>1</v>
      </c>
      <c r="U14" s="109">
        <v>0</v>
      </c>
      <c r="V14" s="109">
        <v>1</v>
      </c>
      <c r="W14" s="109">
        <v>0</v>
      </c>
      <c r="X14" s="109">
        <v>1</v>
      </c>
      <c r="Y14" s="109">
        <v>0</v>
      </c>
      <c r="Z14" s="109">
        <v>0</v>
      </c>
      <c r="AA14" s="109">
        <v>0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  <c r="AG14" s="109">
        <v>0</v>
      </c>
      <c r="AH14" s="109">
        <v>0</v>
      </c>
      <c r="AI14" s="109">
        <v>0</v>
      </c>
      <c r="AJ14" s="109">
        <v>0</v>
      </c>
      <c r="AK14" s="109">
        <v>0</v>
      </c>
    </row>
    <row r="15" spans="1:37" customFormat="1" x14ac:dyDescent="0.15">
      <c r="A15" s="190" t="s">
        <v>205</v>
      </c>
      <c r="B15" s="109">
        <v>0</v>
      </c>
      <c r="C15" s="109">
        <v>1</v>
      </c>
      <c r="D15" s="109">
        <v>0</v>
      </c>
      <c r="E15" s="109">
        <v>0</v>
      </c>
      <c r="F15" s="109">
        <v>1</v>
      </c>
      <c r="G15" s="109">
        <v>1</v>
      </c>
      <c r="H15" s="109">
        <v>1</v>
      </c>
      <c r="I15" s="109">
        <v>1</v>
      </c>
      <c r="J15" s="109">
        <v>1</v>
      </c>
      <c r="K15" s="109">
        <v>0</v>
      </c>
      <c r="L15" s="109">
        <v>0</v>
      </c>
      <c r="M15" s="109">
        <v>0</v>
      </c>
      <c r="N15" s="109">
        <v>1</v>
      </c>
      <c r="O15" s="109">
        <v>1</v>
      </c>
      <c r="P15" s="109">
        <v>0</v>
      </c>
      <c r="Q15" s="109">
        <v>1</v>
      </c>
      <c r="R15" s="109">
        <v>0</v>
      </c>
      <c r="S15" s="109">
        <v>0</v>
      </c>
      <c r="T15" s="109">
        <v>1</v>
      </c>
      <c r="U15" s="109">
        <v>0</v>
      </c>
      <c r="V15" s="109">
        <v>1</v>
      </c>
      <c r="W15" s="109">
        <v>0</v>
      </c>
      <c r="X15" s="109">
        <v>1</v>
      </c>
      <c r="Y15" s="109">
        <v>1</v>
      </c>
      <c r="Z15" s="109">
        <v>0</v>
      </c>
      <c r="AA15" s="109">
        <v>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  <c r="AG15" s="109">
        <v>0</v>
      </c>
      <c r="AH15" s="109">
        <v>0</v>
      </c>
      <c r="AI15" s="109">
        <v>0</v>
      </c>
      <c r="AJ15" s="109">
        <v>0</v>
      </c>
      <c r="AK15" s="109">
        <v>0</v>
      </c>
    </row>
    <row r="16" spans="1:37" customFormat="1" x14ac:dyDescent="0.15">
      <c r="A16" s="190" t="s">
        <v>206</v>
      </c>
      <c r="B16" s="109">
        <v>0</v>
      </c>
      <c r="C16" s="109">
        <v>1</v>
      </c>
      <c r="D16" s="109">
        <v>0</v>
      </c>
      <c r="E16" s="109">
        <v>0</v>
      </c>
      <c r="F16" s="109">
        <v>1</v>
      </c>
      <c r="G16" s="109">
        <v>0</v>
      </c>
      <c r="H16" s="109">
        <v>1</v>
      </c>
      <c r="I16" s="109">
        <v>1</v>
      </c>
      <c r="J16" s="109">
        <v>0</v>
      </c>
      <c r="K16" s="109">
        <v>0</v>
      </c>
      <c r="L16" s="109">
        <v>0</v>
      </c>
      <c r="M16" s="109">
        <v>0</v>
      </c>
      <c r="N16" s="109">
        <v>1</v>
      </c>
      <c r="O16" s="109">
        <v>1</v>
      </c>
      <c r="P16" s="109">
        <v>0</v>
      </c>
      <c r="Q16" s="109">
        <v>1</v>
      </c>
      <c r="R16" s="109">
        <v>0</v>
      </c>
      <c r="S16" s="109">
        <v>0</v>
      </c>
      <c r="T16" s="109">
        <v>0</v>
      </c>
      <c r="U16" s="109">
        <v>0</v>
      </c>
      <c r="V16" s="109">
        <v>0</v>
      </c>
      <c r="W16" s="109">
        <v>0</v>
      </c>
      <c r="X16" s="109">
        <v>1</v>
      </c>
      <c r="Y16" s="109">
        <v>1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>
        <v>0</v>
      </c>
      <c r="AI16" s="109">
        <v>0</v>
      </c>
      <c r="AJ16" s="109">
        <v>0</v>
      </c>
      <c r="AK16" s="109">
        <v>0</v>
      </c>
    </row>
    <row r="17" spans="1:37" customFormat="1" x14ac:dyDescent="0.15">
      <c r="A17" s="190" t="s">
        <v>207</v>
      </c>
      <c r="B17" s="109">
        <v>0</v>
      </c>
      <c r="C17" s="109">
        <v>0</v>
      </c>
      <c r="D17" s="109">
        <v>0</v>
      </c>
      <c r="E17" s="109">
        <v>0</v>
      </c>
      <c r="F17" s="109">
        <v>1</v>
      </c>
      <c r="G17" s="109">
        <v>1</v>
      </c>
      <c r="H17" s="109">
        <v>1</v>
      </c>
      <c r="I17" s="109">
        <v>1</v>
      </c>
      <c r="J17" s="109">
        <v>0</v>
      </c>
      <c r="K17" s="109">
        <v>0</v>
      </c>
      <c r="L17" s="109">
        <v>0</v>
      </c>
      <c r="M17" s="109">
        <v>0</v>
      </c>
      <c r="N17" s="109">
        <v>0</v>
      </c>
      <c r="O17" s="109">
        <v>0</v>
      </c>
      <c r="P17" s="109">
        <v>0</v>
      </c>
      <c r="Q17" s="109">
        <v>0</v>
      </c>
      <c r="R17" s="109">
        <v>0</v>
      </c>
      <c r="S17" s="109">
        <v>0</v>
      </c>
      <c r="T17" s="109">
        <v>0</v>
      </c>
      <c r="U17" s="109">
        <v>0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  <c r="AG17" s="109">
        <v>0</v>
      </c>
      <c r="AH17" s="109">
        <v>0</v>
      </c>
      <c r="AI17" s="109">
        <v>0</v>
      </c>
      <c r="AJ17" s="109">
        <v>0</v>
      </c>
      <c r="AK17" s="109">
        <v>0</v>
      </c>
    </row>
    <row r="18" spans="1:37" customFormat="1" x14ac:dyDescent="0.15">
      <c r="A18" s="190" t="s">
        <v>208</v>
      </c>
      <c r="B18" s="109">
        <v>0</v>
      </c>
      <c r="C18" s="109">
        <v>1</v>
      </c>
      <c r="D18" s="109">
        <v>0</v>
      </c>
      <c r="E18" s="109">
        <v>0</v>
      </c>
      <c r="F18" s="109">
        <v>1</v>
      </c>
      <c r="G18" s="109">
        <v>0</v>
      </c>
      <c r="H18" s="109">
        <v>0</v>
      </c>
      <c r="I18" s="109">
        <v>1</v>
      </c>
      <c r="J18" s="109">
        <v>1</v>
      </c>
      <c r="K18" s="109">
        <v>0</v>
      </c>
      <c r="L18" s="109">
        <v>0</v>
      </c>
      <c r="M18" s="109">
        <v>0</v>
      </c>
      <c r="N18" s="109">
        <v>1</v>
      </c>
      <c r="O18" s="109">
        <v>1</v>
      </c>
      <c r="P18" s="109">
        <v>0</v>
      </c>
      <c r="Q18" s="109">
        <v>1</v>
      </c>
      <c r="R18" s="109">
        <v>0</v>
      </c>
      <c r="S18" s="109">
        <v>0</v>
      </c>
      <c r="T18" s="109">
        <v>1</v>
      </c>
      <c r="U18" s="109">
        <v>0</v>
      </c>
      <c r="V18" s="109">
        <v>0</v>
      </c>
      <c r="W18" s="109">
        <v>0</v>
      </c>
      <c r="X18" s="109">
        <v>1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09">
        <v>0</v>
      </c>
      <c r="AI18" s="109">
        <v>0</v>
      </c>
      <c r="AJ18" s="109">
        <v>0</v>
      </c>
      <c r="AK18" s="109">
        <v>0</v>
      </c>
    </row>
    <row r="19" spans="1:37" customFormat="1" x14ac:dyDescent="0.15">
      <c r="A19" s="190" t="s">
        <v>209</v>
      </c>
      <c r="B19" s="109">
        <v>0</v>
      </c>
      <c r="C19" s="109">
        <v>0</v>
      </c>
      <c r="D19" s="109">
        <v>0</v>
      </c>
      <c r="E19" s="109">
        <v>0</v>
      </c>
      <c r="F19" s="109">
        <v>1</v>
      </c>
      <c r="G19" s="109">
        <v>1</v>
      </c>
      <c r="H19" s="109">
        <v>1</v>
      </c>
      <c r="I19" s="109">
        <v>1</v>
      </c>
      <c r="J19" s="109">
        <v>1</v>
      </c>
      <c r="K19" s="109">
        <v>0</v>
      </c>
      <c r="L19" s="109">
        <v>0</v>
      </c>
      <c r="M19" s="109">
        <v>0</v>
      </c>
      <c r="N19" s="109">
        <v>0</v>
      </c>
      <c r="O19" s="109">
        <v>0</v>
      </c>
      <c r="P19" s="109">
        <v>0</v>
      </c>
      <c r="Q19" s="109">
        <v>0</v>
      </c>
      <c r="R19" s="109">
        <v>0</v>
      </c>
      <c r="S19" s="109">
        <v>1</v>
      </c>
      <c r="T19" s="109">
        <v>0</v>
      </c>
      <c r="U19" s="109">
        <v>0</v>
      </c>
      <c r="V19" s="109">
        <v>0</v>
      </c>
      <c r="W19" s="109">
        <v>0</v>
      </c>
      <c r="X19" s="109">
        <v>1</v>
      </c>
      <c r="Y19" s="109">
        <v>1</v>
      </c>
      <c r="Z19" s="109">
        <v>0</v>
      </c>
      <c r="AA19" s="109">
        <v>0</v>
      </c>
      <c r="AB19" s="109">
        <v>1</v>
      </c>
      <c r="AC19" s="109">
        <v>0</v>
      </c>
      <c r="AD19" s="109">
        <v>0</v>
      </c>
      <c r="AE19" s="109">
        <v>0</v>
      </c>
      <c r="AF19" s="109">
        <v>0</v>
      </c>
      <c r="AG19" s="109">
        <v>0</v>
      </c>
      <c r="AH19" s="109">
        <v>0</v>
      </c>
      <c r="AI19" s="109">
        <v>0</v>
      </c>
      <c r="AJ19" s="109">
        <v>0</v>
      </c>
      <c r="AK19" s="109">
        <v>0</v>
      </c>
    </row>
    <row r="20" spans="1:37" customFormat="1" x14ac:dyDescent="0.15">
      <c r="A20" s="190" t="s">
        <v>210</v>
      </c>
      <c r="B20" s="109">
        <v>0</v>
      </c>
      <c r="C20" s="109">
        <v>0</v>
      </c>
      <c r="D20" s="109">
        <v>0</v>
      </c>
      <c r="E20" s="109">
        <v>0</v>
      </c>
      <c r="F20" s="109">
        <v>1</v>
      </c>
      <c r="G20" s="109">
        <v>1</v>
      </c>
      <c r="H20" s="109">
        <v>0</v>
      </c>
      <c r="I20" s="109">
        <v>1</v>
      </c>
      <c r="J20" s="109">
        <v>0</v>
      </c>
      <c r="K20" s="109">
        <v>0</v>
      </c>
      <c r="L20" s="109">
        <v>0</v>
      </c>
      <c r="M20" s="109">
        <v>0</v>
      </c>
      <c r="N20" s="109">
        <v>1</v>
      </c>
      <c r="O20" s="109">
        <v>1</v>
      </c>
      <c r="P20" s="109">
        <v>0</v>
      </c>
      <c r="Q20" s="109">
        <v>1</v>
      </c>
      <c r="R20" s="109">
        <v>0</v>
      </c>
      <c r="S20" s="109">
        <v>0</v>
      </c>
      <c r="T20" s="109">
        <v>0</v>
      </c>
      <c r="U20" s="109">
        <v>0</v>
      </c>
      <c r="V20" s="109">
        <v>0</v>
      </c>
      <c r="W20" s="109">
        <v>0</v>
      </c>
      <c r="X20" s="109">
        <v>1</v>
      </c>
      <c r="Y20" s="109">
        <v>0</v>
      </c>
      <c r="Z20" s="109">
        <v>0</v>
      </c>
      <c r="AA20" s="109">
        <v>0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  <c r="AI20" s="109">
        <v>0</v>
      </c>
      <c r="AJ20" s="109">
        <v>0</v>
      </c>
      <c r="AK20" s="109">
        <v>0</v>
      </c>
    </row>
    <row r="21" spans="1:37" customFormat="1" x14ac:dyDescent="0.15">
      <c r="A21" s="190" t="s">
        <v>211</v>
      </c>
      <c r="B21" s="109">
        <v>0</v>
      </c>
      <c r="C21" s="109">
        <v>1</v>
      </c>
      <c r="D21" s="109">
        <v>0</v>
      </c>
      <c r="E21" s="109">
        <v>1</v>
      </c>
      <c r="F21" s="109">
        <v>1</v>
      </c>
      <c r="G21" s="109">
        <v>0</v>
      </c>
      <c r="H21" s="109">
        <v>1</v>
      </c>
      <c r="I21" s="109">
        <v>1</v>
      </c>
      <c r="J21" s="109">
        <v>0</v>
      </c>
      <c r="K21" s="109">
        <v>0</v>
      </c>
      <c r="L21" s="109">
        <v>0</v>
      </c>
      <c r="M21" s="109">
        <v>0</v>
      </c>
      <c r="N21" s="109">
        <v>1</v>
      </c>
      <c r="O21" s="109">
        <v>1</v>
      </c>
      <c r="P21" s="109">
        <v>0</v>
      </c>
      <c r="Q21" s="109">
        <v>1</v>
      </c>
      <c r="R21" s="109">
        <v>0</v>
      </c>
      <c r="S21" s="109">
        <v>1</v>
      </c>
      <c r="T21" s="109">
        <v>1</v>
      </c>
      <c r="U21" s="109">
        <v>0</v>
      </c>
      <c r="V21" s="109">
        <v>1</v>
      </c>
      <c r="W21" s="109">
        <v>0</v>
      </c>
      <c r="X21" s="109">
        <v>1</v>
      </c>
      <c r="Y21" s="109">
        <v>1</v>
      </c>
      <c r="Z21" s="109">
        <v>0</v>
      </c>
      <c r="AA21" s="109">
        <v>0</v>
      </c>
      <c r="AB21" s="109">
        <v>0</v>
      </c>
      <c r="AC21" s="109">
        <v>0</v>
      </c>
      <c r="AD21" s="109">
        <v>0</v>
      </c>
      <c r="AE21" s="109">
        <v>1</v>
      </c>
      <c r="AF21" s="109">
        <v>0</v>
      </c>
      <c r="AG21" s="109">
        <v>0</v>
      </c>
      <c r="AH21" s="109">
        <v>0</v>
      </c>
      <c r="AI21" s="109">
        <v>0</v>
      </c>
      <c r="AJ21" s="109">
        <v>0</v>
      </c>
      <c r="AK21" s="109">
        <v>0</v>
      </c>
    </row>
    <row r="22" spans="1:37" customFormat="1" x14ac:dyDescent="0.15">
      <c r="A22" s="190" t="s">
        <v>212</v>
      </c>
      <c r="B22" s="109">
        <v>0</v>
      </c>
      <c r="C22" s="109">
        <v>1</v>
      </c>
      <c r="D22" s="109">
        <v>0</v>
      </c>
      <c r="E22" s="109">
        <v>1</v>
      </c>
      <c r="F22" s="109">
        <v>0</v>
      </c>
      <c r="G22" s="109">
        <v>1</v>
      </c>
      <c r="H22" s="109">
        <v>1</v>
      </c>
      <c r="I22" s="109">
        <v>1</v>
      </c>
      <c r="J22" s="109">
        <v>1</v>
      </c>
      <c r="K22" s="109">
        <v>0</v>
      </c>
      <c r="L22" s="109">
        <v>0</v>
      </c>
      <c r="M22" s="109">
        <v>0</v>
      </c>
      <c r="N22" s="109">
        <v>1</v>
      </c>
      <c r="O22" s="109">
        <v>1</v>
      </c>
      <c r="P22" s="109">
        <v>0</v>
      </c>
      <c r="Q22" s="109">
        <v>0</v>
      </c>
      <c r="R22" s="109">
        <v>0</v>
      </c>
      <c r="S22" s="109">
        <v>1</v>
      </c>
      <c r="T22" s="109">
        <v>1</v>
      </c>
      <c r="U22" s="109">
        <v>0</v>
      </c>
      <c r="V22" s="109">
        <v>1</v>
      </c>
      <c r="W22" s="109">
        <v>0</v>
      </c>
      <c r="X22" s="109">
        <v>1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  <c r="AI22" s="109">
        <v>0</v>
      </c>
      <c r="AJ22" s="109">
        <v>0</v>
      </c>
      <c r="AK22" s="109">
        <v>0</v>
      </c>
    </row>
    <row r="23" spans="1:37" customFormat="1" x14ac:dyDescent="0.15">
      <c r="A23" s="190" t="s">
        <v>213</v>
      </c>
      <c r="B23" s="109">
        <v>0</v>
      </c>
      <c r="C23" s="109">
        <v>1</v>
      </c>
      <c r="D23" s="109">
        <v>0</v>
      </c>
      <c r="E23" s="109">
        <v>1</v>
      </c>
      <c r="F23" s="109">
        <v>1</v>
      </c>
      <c r="G23" s="109">
        <v>1</v>
      </c>
      <c r="H23" s="109">
        <v>0</v>
      </c>
      <c r="I23" s="109">
        <v>1</v>
      </c>
      <c r="J23" s="109">
        <v>0</v>
      </c>
      <c r="K23" s="109">
        <v>0</v>
      </c>
      <c r="L23" s="109">
        <v>0</v>
      </c>
      <c r="M23" s="109">
        <v>0</v>
      </c>
      <c r="N23" s="109">
        <v>1</v>
      </c>
      <c r="O23" s="109">
        <v>1</v>
      </c>
      <c r="P23" s="109">
        <v>0</v>
      </c>
      <c r="Q23" s="109">
        <v>0</v>
      </c>
      <c r="R23" s="109">
        <v>0</v>
      </c>
      <c r="S23" s="109">
        <v>1</v>
      </c>
      <c r="T23" s="109">
        <v>1</v>
      </c>
      <c r="U23" s="109">
        <v>0</v>
      </c>
      <c r="V23" s="109">
        <v>1</v>
      </c>
      <c r="W23" s="109">
        <v>0</v>
      </c>
      <c r="X23" s="109">
        <v>1</v>
      </c>
      <c r="Y23" s="109">
        <v>1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  <c r="AI23" s="109">
        <v>0</v>
      </c>
      <c r="AJ23" s="109">
        <v>0</v>
      </c>
      <c r="AK23" s="109">
        <v>0</v>
      </c>
    </row>
    <row r="24" spans="1:37" customFormat="1" x14ac:dyDescent="0.15">
      <c r="A24" s="190" t="s">
        <v>214</v>
      </c>
      <c r="B24" s="109">
        <v>0</v>
      </c>
      <c r="C24" s="109">
        <v>0</v>
      </c>
      <c r="D24" s="109">
        <v>0</v>
      </c>
      <c r="E24" s="109">
        <v>0</v>
      </c>
      <c r="F24" s="109">
        <v>1</v>
      </c>
      <c r="G24" s="109">
        <v>1</v>
      </c>
      <c r="H24" s="109">
        <v>1</v>
      </c>
      <c r="I24" s="109">
        <v>1</v>
      </c>
      <c r="J24" s="109">
        <v>0</v>
      </c>
      <c r="K24" s="109">
        <v>0</v>
      </c>
      <c r="L24" s="109">
        <v>0</v>
      </c>
      <c r="M24" s="109">
        <v>0</v>
      </c>
      <c r="N24" s="109">
        <v>1</v>
      </c>
      <c r="O24" s="109">
        <v>1</v>
      </c>
      <c r="P24" s="109">
        <v>0</v>
      </c>
      <c r="Q24" s="109">
        <v>0</v>
      </c>
      <c r="R24" s="109">
        <v>0</v>
      </c>
      <c r="S24" s="109">
        <v>0</v>
      </c>
      <c r="T24" s="109">
        <v>0</v>
      </c>
      <c r="U24" s="109">
        <v>0</v>
      </c>
      <c r="V24" s="109">
        <v>1</v>
      </c>
      <c r="W24" s="109">
        <v>0</v>
      </c>
      <c r="X24" s="109">
        <v>1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09">
        <v>0</v>
      </c>
      <c r="AI24" s="109">
        <v>0</v>
      </c>
      <c r="AJ24" s="109">
        <v>0</v>
      </c>
      <c r="AK24" s="109">
        <v>0</v>
      </c>
    </row>
    <row r="25" spans="1:37" customFormat="1" x14ac:dyDescent="0.15">
      <c r="A25" s="190" t="s">
        <v>215</v>
      </c>
      <c r="B25" s="109">
        <v>0</v>
      </c>
      <c r="C25" s="109">
        <v>1</v>
      </c>
      <c r="D25" s="109">
        <v>0</v>
      </c>
      <c r="E25" s="109">
        <v>1</v>
      </c>
      <c r="F25" s="109">
        <v>1</v>
      </c>
      <c r="G25" s="109">
        <v>1</v>
      </c>
      <c r="H25" s="109">
        <v>1</v>
      </c>
      <c r="I25" s="109">
        <v>1</v>
      </c>
      <c r="J25" s="109">
        <v>1</v>
      </c>
      <c r="K25" s="109">
        <v>0</v>
      </c>
      <c r="L25" s="109">
        <v>0</v>
      </c>
      <c r="M25" s="109">
        <v>0</v>
      </c>
      <c r="N25" s="109">
        <v>1</v>
      </c>
      <c r="O25" s="109">
        <v>1</v>
      </c>
      <c r="P25" s="109">
        <v>1</v>
      </c>
      <c r="Q25" s="109">
        <v>1</v>
      </c>
      <c r="R25" s="109">
        <v>1</v>
      </c>
      <c r="S25" s="109">
        <v>1</v>
      </c>
      <c r="T25" s="109">
        <v>1</v>
      </c>
      <c r="U25" s="109">
        <v>0</v>
      </c>
      <c r="V25" s="109">
        <v>1</v>
      </c>
      <c r="W25" s="109">
        <v>0</v>
      </c>
      <c r="X25" s="109">
        <v>1</v>
      </c>
      <c r="Y25" s="109">
        <v>1</v>
      </c>
      <c r="Z25" s="109">
        <v>0</v>
      </c>
      <c r="AA25" s="109">
        <v>0</v>
      </c>
      <c r="AB25" s="109">
        <v>0</v>
      </c>
      <c r="AC25" s="109">
        <v>0</v>
      </c>
      <c r="AD25" s="109">
        <v>0</v>
      </c>
      <c r="AE25" s="109">
        <v>1</v>
      </c>
      <c r="AF25" s="109">
        <v>0</v>
      </c>
      <c r="AG25" s="109">
        <v>0</v>
      </c>
      <c r="AH25" s="109">
        <v>0</v>
      </c>
      <c r="AI25" s="109">
        <v>0</v>
      </c>
      <c r="AJ25" s="109">
        <v>0</v>
      </c>
      <c r="AK25" s="109">
        <v>0</v>
      </c>
    </row>
    <row r="26" spans="1:37" customFormat="1" x14ac:dyDescent="0.15">
      <c r="A26" s="190" t="s">
        <v>216</v>
      </c>
      <c r="B26" s="109">
        <v>0</v>
      </c>
      <c r="C26" s="109">
        <v>1</v>
      </c>
      <c r="D26" s="109">
        <v>0</v>
      </c>
      <c r="E26" s="109">
        <v>1</v>
      </c>
      <c r="F26" s="109">
        <v>1</v>
      </c>
      <c r="G26" s="109">
        <v>1</v>
      </c>
      <c r="H26" s="109">
        <v>1</v>
      </c>
      <c r="I26" s="109">
        <v>1</v>
      </c>
      <c r="J26" s="109">
        <v>1</v>
      </c>
      <c r="K26" s="109">
        <v>0</v>
      </c>
      <c r="L26" s="109">
        <v>0</v>
      </c>
      <c r="M26" s="109">
        <v>0</v>
      </c>
      <c r="N26" s="109">
        <v>0</v>
      </c>
      <c r="O26" s="109">
        <v>1</v>
      </c>
      <c r="P26" s="109">
        <v>1</v>
      </c>
      <c r="Q26" s="109">
        <v>1</v>
      </c>
      <c r="R26" s="109">
        <v>1</v>
      </c>
      <c r="S26" s="109">
        <v>1</v>
      </c>
      <c r="T26" s="109">
        <v>1</v>
      </c>
      <c r="U26" s="109">
        <v>0</v>
      </c>
      <c r="V26" s="109">
        <v>0</v>
      </c>
      <c r="W26" s="109">
        <v>0</v>
      </c>
      <c r="X26" s="109">
        <v>1</v>
      </c>
      <c r="Y26" s="109">
        <v>1</v>
      </c>
      <c r="Z26" s="109">
        <v>0</v>
      </c>
      <c r="AA26" s="109">
        <v>0</v>
      </c>
      <c r="AB26" s="109">
        <v>0</v>
      </c>
      <c r="AC26" s="109">
        <v>0</v>
      </c>
      <c r="AD26" s="109">
        <v>0</v>
      </c>
      <c r="AE26" s="109">
        <v>1</v>
      </c>
      <c r="AF26" s="109">
        <v>0</v>
      </c>
      <c r="AG26" s="109">
        <v>0</v>
      </c>
      <c r="AH26" s="109">
        <v>0</v>
      </c>
      <c r="AI26" s="109">
        <v>0</v>
      </c>
      <c r="AJ26" s="109">
        <v>0</v>
      </c>
      <c r="AK26" s="109">
        <v>0</v>
      </c>
    </row>
    <row r="27" spans="1:37" customFormat="1" x14ac:dyDescent="0.15">
      <c r="A27" s="190" t="s">
        <v>217</v>
      </c>
      <c r="B27" s="109">
        <v>1</v>
      </c>
      <c r="C27" s="109">
        <v>1</v>
      </c>
      <c r="D27" s="109">
        <v>0</v>
      </c>
      <c r="E27" s="109">
        <v>1</v>
      </c>
      <c r="F27" s="109">
        <v>1</v>
      </c>
      <c r="G27" s="109">
        <v>1</v>
      </c>
      <c r="H27" s="109">
        <v>1</v>
      </c>
      <c r="I27" s="109">
        <v>1</v>
      </c>
      <c r="J27" s="109">
        <v>1</v>
      </c>
      <c r="K27" s="109">
        <v>0</v>
      </c>
      <c r="L27" s="109">
        <v>0</v>
      </c>
      <c r="M27" s="109">
        <v>0</v>
      </c>
      <c r="N27" s="109">
        <v>1</v>
      </c>
      <c r="O27" s="109">
        <v>1</v>
      </c>
      <c r="P27" s="109">
        <v>1</v>
      </c>
      <c r="Q27" s="109">
        <v>1</v>
      </c>
      <c r="R27" s="109">
        <v>1</v>
      </c>
      <c r="S27" s="109">
        <v>1</v>
      </c>
      <c r="T27" s="109">
        <v>1</v>
      </c>
      <c r="U27" s="109">
        <v>0</v>
      </c>
      <c r="V27" s="109">
        <v>1</v>
      </c>
      <c r="W27" s="109">
        <v>0</v>
      </c>
      <c r="X27" s="109">
        <v>1</v>
      </c>
      <c r="Y27" s="109">
        <v>1</v>
      </c>
      <c r="Z27" s="109">
        <v>0</v>
      </c>
      <c r="AA27" s="109">
        <v>1</v>
      </c>
      <c r="AB27" s="109">
        <v>1</v>
      </c>
      <c r="AC27" s="109">
        <v>0</v>
      </c>
      <c r="AD27" s="109">
        <v>0</v>
      </c>
      <c r="AE27" s="109">
        <v>1</v>
      </c>
      <c r="AF27" s="109">
        <v>0</v>
      </c>
      <c r="AG27" s="109">
        <v>0</v>
      </c>
      <c r="AH27" s="109">
        <v>0</v>
      </c>
      <c r="AI27" s="109">
        <v>0</v>
      </c>
      <c r="AJ27" s="109">
        <v>0</v>
      </c>
      <c r="AK27" s="109">
        <v>0</v>
      </c>
    </row>
    <row r="28" spans="1:37" customFormat="1" x14ac:dyDescent="0.15">
      <c r="A28" s="190" t="s">
        <v>218</v>
      </c>
      <c r="B28" s="109">
        <v>1</v>
      </c>
      <c r="C28" s="109">
        <v>0</v>
      </c>
      <c r="D28" s="109">
        <v>0</v>
      </c>
      <c r="E28" s="109">
        <v>0</v>
      </c>
      <c r="F28" s="109">
        <v>1</v>
      </c>
      <c r="G28" s="109">
        <v>1</v>
      </c>
      <c r="H28" s="109">
        <v>1</v>
      </c>
      <c r="I28" s="109">
        <v>0</v>
      </c>
      <c r="J28" s="109">
        <v>0</v>
      </c>
      <c r="K28" s="109">
        <v>0</v>
      </c>
      <c r="L28" s="109">
        <v>0</v>
      </c>
      <c r="M28" s="109">
        <v>0</v>
      </c>
      <c r="N28" s="109">
        <v>0</v>
      </c>
      <c r="O28" s="109">
        <v>0</v>
      </c>
      <c r="P28" s="109">
        <v>0</v>
      </c>
      <c r="Q28" s="109">
        <v>0</v>
      </c>
      <c r="R28" s="109">
        <v>0</v>
      </c>
      <c r="S28" s="109">
        <v>1</v>
      </c>
      <c r="T28" s="109">
        <v>0</v>
      </c>
      <c r="U28" s="109">
        <v>0</v>
      </c>
      <c r="V28" s="109">
        <v>0</v>
      </c>
      <c r="W28" s="109">
        <v>0</v>
      </c>
      <c r="X28" s="109">
        <v>0</v>
      </c>
      <c r="Y28" s="109">
        <v>1</v>
      </c>
      <c r="Z28" s="109">
        <v>0</v>
      </c>
      <c r="AA28" s="109">
        <v>0</v>
      </c>
      <c r="AB28" s="109">
        <v>1</v>
      </c>
      <c r="AC28" s="109">
        <v>0</v>
      </c>
      <c r="AD28" s="109">
        <v>0</v>
      </c>
      <c r="AE28" s="109">
        <v>1</v>
      </c>
      <c r="AF28" s="109">
        <v>0</v>
      </c>
      <c r="AG28" s="109">
        <v>0</v>
      </c>
      <c r="AH28" s="109">
        <v>0</v>
      </c>
      <c r="AI28" s="109">
        <v>0</v>
      </c>
      <c r="AJ28" s="109">
        <v>0</v>
      </c>
      <c r="AK28" s="109">
        <v>0</v>
      </c>
    </row>
    <row r="29" spans="1:37" customFormat="1" x14ac:dyDescent="0.15">
      <c r="A29" s="190" t="s">
        <v>219</v>
      </c>
      <c r="B29" s="109">
        <v>1</v>
      </c>
      <c r="C29" s="109">
        <v>1</v>
      </c>
      <c r="D29" s="109">
        <v>0</v>
      </c>
      <c r="E29" s="109">
        <v>0</v>
      </c>
      <c r="F29" s="109">
        <v>1</v>
      </c>
      <c r="G29" s="109">
        <v>1</v>
      </c>
      <c r="H29" s="109">
        <v>1</v>
      </c>
      <c r="I29" s="109">
        <v>0</v>
      </c>
      <c r="J29" s="109">
        <v>1</v>
      </c>
      <c r="K29" s="109">
        <v>0</v>
      </c>
      <c r="L29" s="109">
        <v>0</v>
      </c>
      <c r="M29" s="109">
        <v>0</v>
      </c>
      <c r="N29" s="109">
        <v>0</v>
      </c>
      <c r="O29" s="109">
        <v>0</v>
      </c>
      <c r="P29" s="109">
        <v>0</v>
      </c>
      <c r="Q29" s="109">
        <v>0</v>
      </c>
      <c r="R29" s="109">
        <v>0</v>
      </c>
      <c r="S29" s="109">
        <v>1</v>
      </c>
      <c r="T29" s="109">
        <v>0</v>
      </c>
      <c r="U29" s="109">
        <v>0</v>
      </c>
      <c r="V29" s="109">
        <v>0</v>
      </c>
      <c r="W29" s="109">
        <v>0</v>
      </c>
      <c r="X29" s="109">
        <v>0</v>
      </c>
      <c r="Y29" s="109">
        <v>1</v>
      </c>
      <c r="Z29" s="109">
        <v>0</v>
      </c>
      <c r="AA29" s="109">
        <v>0</v>
      </c>
      <c r="AB29" s="109">
        <v>1</v>
      </c>
      <c r="AC29" s="109">
        <v>0</v>
      </c>
      <c r="AD29" s="109">
        <v>0</v>
      </c>
      <c r="AE29" s="109">
        <v>1</v>
      </c>
      <c r="AF29" s="109">
        <v>0</v>
      </c>
      <c r="AG29" s="109">
        <v>0</v>
      </c>
      <c r="AH29" s="109">
        <v>0</v>
      </c>
      <c r="AI29" s="109">
        <v>0</v>
      </c>
      <c r="AJ29" s="109">
        <v>0</v>
      </c>
      <c r="AK29" s="109">
        <v>0</v>
      </c>
    </row>
    <row r="30" spans="1:37" customFormat="1" x14ac:dyDescent="0.15">
      <c r="A30" s="190" t="s">
        <v>220</v>
      </c>
      <c r="B30" s="109">
        <v>0</v>
      </c>
      <c r="C30" s="109">
        <v>0</v>
      </c>
      <c r="D30" s="109">
        <v>0</v>
      </c>
      <c r="E30" s="109">
        <v>1</v>
      </c>
      <c r="F30" s="109">
        <v>1</v>
      </c>
      <c r="G30" s="109">
        <v>1</v>
      </c>
      <c r="H30" s="109">
        <v>1</v>
      </c>
      <c r="I30" s="109">
        <v>1</v>
      </c>
      <c r="J30" s="109">
        <v>1</v>
      </c>
      <c r="K30" s="109">
        <v>0</v>
      </c>
      <c r="L30" s="109">
        <v>0</v>
      </c>
      <c r="M30" s="109">
        <v>1</v>
      </c>
      <c r="N30" s="109">
        <v>1</v>
      </c>
      <c r="O30" s="109">
        <v>1</v>
      </c>
      <c r="P30" s="109">
        <v>1</v>
      </c>
      <c r="Q30" s="109">
        <v>1</v>
      </c>
      <c r="R30" s="109">
        <v>1</v>
      </c>
      <c r="S30" s="109">
        <v>1</v>
      </c>
      <c r="T30" s="109">
        <v>1</v>
      </c>
      <c r="U30" s="109">
        <v>1</v>
      </c>
      <c r="V30" s="109">
        <v>1</v>
      </c>
      <c r="W30" s="109">
        <v>1</v>
      </c>
      <c r="X30" s="109">
        <v>1</v>
      </c>
      <c r="Y30" s="109">
        <v>1</v>
      </c>
      <c r="Z30" s="109">
        <v>1</v>
      </c>
      <c r="AA30" s="109">
        <v>1</v>
      </c>
      <c r="AB30" s="109">
        <v>1</v>
      </c>
      <c r="AC30" s="109">
        <v>1</v>
      </c>
      <c r="AD30" s="109">
        <v>1</v>
      </c>
      <c r="AE30" s="109">
        <v>1</v>
      </c>
      <c r="AF30" s="109">
        <v>0</v>
      </c>
      <c r="AG30" s="109">
        <v>0</v>
      </c>
      <c r="AH30" s="109">
        <v>0</v>
      </c>
      <c r="AI30" s="109">
        <v>0</v>
      </c>
      <c r="AJ30" s="109">
        <v>0</v>
      </c>
      <c r="AK30" s="109">
        <v>0</v>
      </c>
    </row>
    <row r="31" spans="1:37" customFormat="1" x14ac:dyDescent="0.15">
      <c r="A31" s="190" t="s">
        <v>221</v>
      </c>
      <c r="B31" s="109">
        <v>1</v>
      </c>
      <c r="C31" s="109">
        <v>1</v>
      </c>
      <c r="D31" s="109">
        <v>0</v>
      </c>
      <c r="E31" s="109">
        <v>1</v>
      </c>
      <c r="F31" s="109">
        <v>1</v>
      </c>
      <c r="G31" s="109">
        <v>1</v>
      </c>
      <c r="H31" s="109">
        <v>1</v>
      </c>
      <c r="I31" s="109">
        <v>1</v>
      </c>
      <c r="J31" s="109">
        <v>1</v>
      </c>
      <c r="K31" s="109">
        <v>0</v>
      </c>
      <c r="L31" s="109">
        <v>0</v>
      </c>
      <c r="M31" s="109">
        <v>0</v>
      </c>
      <c r="N31" s="109">
        <v>0</v>
      </c>
      <c r="O31" s="109">
        <v>1</v>
      </c>
      <c r="P31" s="109">
        <v>0</v>
      </c>
      <c r="Q31" s="109">
        <v>0</v>
      </c>
      <c r="R31" s="109">
        <v>0</v>
      </c>
      <c r="S31" s="109">
        <v>1</v>
      </c>
      <c r="T31" s="109">
        <v>0</v>
      </c>
      <c r="U31" s="109">
        <v>0</v>
      </c>
      <c r="V31" s="109">
        <v>1</v>
      </c>
      <c r="W31" s="109">
        <v>0</v>
      </c>
      <c r="X31" s="109">
        <v>1</v>
      </c>
      <c r="Y31" s="109">
        <v>1</v>
      </c>
      <c r="Z31" s="109">
        <v>0</v>
      </c>
      <c r="AA31" s="109">
        <v>1</v>
      </c>
      <c r="AB31" s="109">
        <v>1</v>
      </c>
      <c r="AC31" s="109">
        <v>1</v>
      </c>
      <c r="AD31" s="109">
        <v>0</v>
      </c>
      <c r="AE31" s="109">
        <v>1</v>
      </c>
      <c r="AF31" s="109">
        <v>0</v>
      </c>
      <c r="AG31" s="109">
        <v>0</v>
      </c>
      <c r="AH31" s="109">
        <v>0</v>
      </c>
      <c r="AI31" s="109">
        <v>0</v>
      </c>
      <c r="AJ31" s="109">
        <v>0</v>
      </c>
      <c r="AK31" s="109">
        <v>0</v>
      </c>
    </row>
    <row r="32" spans="1:37" x14ac:dyDescent="0.15">
      <c r="A32" s="190" t="s">
        <v>222</v>
      </c>
      <c r="B32" s="109">
        <v>0</v>
      </c>
      <c r="C32" s="109">
        <v>1</v>
      </c>
      <c r="D32" s="109">
        <v>0</v>
      </c>
      <c r="E32" s="109">
        <v>1</v>
      </c>
      <c r="F32" s="109">
        <v>1</v>
      </c>
      <c r="G32" s="109">
        <v>1</v>
      </c>
      <c r="H32" s="109">
        <v>1</v>
      </c>
      <c r="I32" s="109">
        <v>1</v>
      </c>
      <c r="J32" s="109">
        <v>1</v>
      </c>
      <c r="K32" s="109">
        <v>1</v>
      </c>
      <c r="L32" s="109">
        <v>1</v>
      </c>
      <c r="M32" s="109">
        <v>1</v>
      </c>
      <c r="N32" s="109">
        <v>1</v>
      </c>
      <c r="O32" s="109">
        <v>1</v>
      </c>
      <c r="P32" s="109">
        <v>1</v>
      </c>
      <c r="Q32" s="109">
        <v>1</v>
      </c>
      <c r="R32" s="109">
        <v>0</v>
      </c>
      <c r="S32" s="109">
        <v>1</v>
      </c>
      <c r="T32" s="109">
        <v>1</v>
      </c>
      <c r="U32" s="109">
        <v>1</v>
      </c>
      <c r="V32" s="109">
        <v>1</v>
      </c>
      <c r="W32" s="109">
        <v>1</v>
      </c>
      <c r="X32" s="109">
        <v>1</v>
      </c>
      <c r="Y32" s="109">
        <v>1</v>
      </c>
      <c r="Z32" s="109">
        <v>1</v>
      </c>
      <c r="AA32" s="109">
        <v>1</v>
      </c>
      <c r="AB32" s="109">
        <v>1</v>
      </c>
      <c r="AC32" s="109">
        <v>1</v>
      </c>
      <c r="AD32" s="109">
        <v>1</v>
      </c>
      <c r="AE32" s="109">
        <v>1</v>
      </c>
      <c r="AF32" s="109">
        <v>1</v>
      </c>
      <c r="AG32" s="109">
        <v>0</v>
      </c>
      <c r="AH32" s="109">
        <v>0</v>
      </c>
      <c r="AI32" s="109">
        <v>0</v>
      </c>
      <c r="AJ32" s="109">
        <v>0</v>
      </c>
      <c r="AK32" s="109">
        <v>0</v>
      </c>
    </row>
    <row r="33" spans="1:37" x14ac:dyDescent="0.15">
      <c r="A33" s="190" t="s">
        <v>223</v>
      </c>
      <c r="B33" s="109">
        <v>1</v>
      </c>
      <c r="C33" s="109">
        <v>0</v>
      </c>
      <c r="D33" s="109">
        <v>1</v>
      </c>
      <c r="E33" s="109">
        <v>1</v>
      </c>
      <c r="F33" s="109">
        <v>1</v>
      </c>
      <c r="G33" s="109">
        <v>1</v>
      </c>
      <c r="H33" s="109">
        <v>1</v>
      </c>
      <c r="I33" s="109">
        <v>1</v>
      </c>
      <c r="J33" s="109">
        <v>1</v>
      </c>
      <c r="K33" s="109">
        <v>1</v>
      </c>
      <c r="L33" s="109">
        <v>0</v>
      </c>
      <c r="M33" s="109">
        <v>1</v>
      </c>
      <c r="N33" s="109">
        <v>1</v>
      </c>
      <c r="O33" s="109">
        <v>1</v>
      </c>
      <c r="P33" s="109">
        <v>1</v>
      </c>
      <c r="Q33" s="109">
        <v>1</v>
      </c>
      <c r="R33" s="109">
        <v>1</v>
      </c>
      <c r="S33" s="109">
        <v>1</v>
      </c>
      <c r="T33" s="109">
        <v>1</v>
      </c>
      <c r="U33" s="109">
        <v>1</v>
      </c>
      <c r="V33" s="109">
        <v>1</v>
      </c>
      <c r="W33" s="109">
        <v>1</v>
      </c>
      <c r="X33" s="109">
        <v>1</v>
      </c>
      <c r="Y33" s="109">
        <v>1</v>
      </c>
      <c r="Z33" s="109">
        <v>1</v>
      </c>
      <c r="AA33" s="109">
        <v>1</v>
      </c>
      <c r="AB33" s="109">
        <v>1</v>
      </c>
      <c r="AC33" s="109">
        <v>1</v>
      </c>
      <c r="AD33" s="109">
        <v>1</v>
      </c>
      <c r="AE33" s="109">
        <v>1</v>
      </c>
      <c r="AF33" s="109">
        <v>0</v>
      </c>
      <c r="AG33" s="109">
        <v>1</v>
      </c>
      <c r="AH33" s="109">
        <v>0</v>
      </c>
      <c r="AI33" s="109">
        <v>0</v>
      </c>
      <c r="AJ33" s="109">
        <v>0</v>
      </c>
      <c r="AK33" s="109">
        <v>0</v>
      </c>
    </row>
    <row r="34" spans="1:37" x14ac:dyDescent="0.15">
      <c r="A34" s="190" t="s">
        <v>224</v>
      </c>
      <c r="B34" s="109">
        <v>0</v>
      </c>
      <c r="C34" s="109">
        <v>0</v>
      </c>
      <c r="D34" s="109">
        <v>0</v>
      </c>
      <c r="E34" s="109">
        <v>0</v>
      </c>
      <c r="F34" s="109">
        <v>0</v>
      </c>
      <c r="G34" s="109">
        <v>0</v>
      </c>
      <c r="H34" s="109">
        <v>1</v>
      </c>
      <c r="I34" s="109">
        <v>1</v>
      </c>
      <c r="J34" s="109">
        <v>1</v>
      </c>
      <c r="K34" s="109">
        <v>1</v>
      </c>
      <c r="L34" s="109">
        <v>1</v>
      </c>
      <c r="M34" s="109">
        <v>1</v>
      </c>
      <c r="N34" s="109">
        <v>0</v>
      </c>
      <c r="O34" s="109">
        <v>0</v>
      </c>
      <c r="P34" s="109">
        <v>0</v>
      </c>
      <c r="Q34" s="109">
        <v>0</v>
      </c>
      <c r="R34" s="109">
        <v>0</v>
      </c>
      <c r="S34" s="109">
        <v>1</v>
      </c>
      <c r="T34" s="109">
        <v>0</v>
      </c>
      <c r="U34" s="109">
        <v>1</v>
      </c>
      <c r="V34" s="109">
        <v>0</v>
      </c>
      <c r="W34" s="109">
        <v>0</v>
      </c>
      <c r="X34" s="109">
        <v>1</v>
      </c>
      <c r="Y34" s="109">
        <v>1</v>
      </c>
      <c r="Z34" s="109">
        <v>1</v>
      </c>
      <c r="AA34" s="109">
        <v>1</v>
      </c>
      <c r="AB34" s="109">
        <v>1</v>
      </c>
      <c r="AC34" s="109">
        <v>1</v>
      </c>
      <c r="AD34" s="109">
        <v>1</v>
      </c>
      <c r="AE34" s="109">
        <v>1</v>
      </c>
      <c r="AF34" s="109">
        <v>1</v>
      </c>
      <c r="AG34" s="109">
        <v>1</v>
      </c>
      <c r="AH34" s="109">
        <v>0</v>
      </c>
      <c r="AI34" s="109">
        <v>0</v>
      </c>
      <c r="AJ34" s="109">
        <v>0</v>
      </c>
      <c r="AK34" s="109">
        <v>0</v>
      </c>
    </row>
    <row r="35" spans="1:37" x14ac:dyDescent="0.15">
      <c r="A35" s="190" t="s">
        <v>225</v>
      </c>
      <c r="B35" s="109">
        <v>0</v>
      </c>
      <c r="C35" s="109">
        <v>0</v>
      </c>
      <c r="D35" s="109">
        <v>1</v>
      </c>
      <c r="E35" s="109">
        <v>0</v>
      </c>
      <c r="F35" s="109">
        <v>0</v>
      </c>
      <c r="G35" s="109">
        <v>0</v>
      </c>
      <c r="H35" s="109">
        <v>0</v>
      </c>
      <c r="I35" s="109">
        <v>0</v>
      </c>
      <c r="J35" s="109">
        <v>0</v>
      </c>
      <c r="K35" s="109">
        <v>1</v>
      </c>
      <c r="L35" s="109">
        <v>1</v>
      </c>
      <c r="M35" s="109">
        <v>1</v>
      </c>
      <c r="N35" s="109">
        <v>0</v>
      </c>
      <c r="O35" s="109">
        <v>0</v>
      </c>
      <c r="P35" s="109">
        <v>0</v>
      </c>
      <c r="Q35" s="109">
        <v>0</v>
      </c>
      <c r="R35" s="109">
        <v>0</v>
      </c>
      <c r="S35" s="109">
        <v>1</v>
      </c>
      <c r="T35" s="109">
        <v>0</v>
      </c>
      <c r="U35" s="109">
        <v>1</v>
      </c>
      <c r="V35" s="109">
        <v>1</v>
      </c>
      <c r="W35" s="109">
        <v>1</v>
      </c>
      <c r="X35" s="109">
        <v>0</v>
      </c>
      <c r="Y35" s="109">
        <v>0</v>
      </c>
      <c r="Z35" s="109">
        <v>1</v>
      </c>
      <c r="AA35" s="109">
        <v>1</v>
      </c>
      <c r="AB35" s="109">
        <v>0</v>
      </c>
      <c r="AC35" s="109">
        <v>0</v>
      </c>
      <c r="AD35" s="109">
        <v>0</v>
      </c>
      <c r="AE35" s="109">
        <v>0</v>
      </c>
      <c r="AF35" s="109">
        <v>1</v>
      </c>
      <c r="AG35" s="109">
        <v>1</v>
      </c>
      <c r="AH35" s="109">
        <v>1</v>
      </c>
      <c r="AI35" s="109">
        <v>0</v>
      </c>
      <c r="AJ35" s="109">
        <v>0</v>
      </c>
      <c r="AK35" s="109">
        <v>0</v>
      </c>
    </row>
    <row r="36" spans="1:37" x14ac:dyDescent="0.15">
      <c r="A36" s="190" t="s">
        <v>226</v>
      </c>
      <c r="B36" s="109">
        <v>0</v>
      </c>
      <c r="C36" s="109">
        <v>0</v>
      </c>
      <c r="D36" s="109">
        <v>0</v>
      </c>
      <c r="E36" s="109">
        <v>0</v>
      </c>
      <c r="F36" s="109">
        <v>0</v>
      </c>
      <c r="G36" s="109">
        <v>1</v>
      </c>
      <c r="H36" s="109">
        <v>0</v>
      </c>
      <c r="I36" s="109">
        <v>1</v>
      </c>
      <c r="J36" s="109">
        <v>1</v>
      </c>
      <c r="K36" s="109">
        <v>1</v>
      </c>
      <c r="L36" s="109">
        <v>0</v>
      </c>
      <c r="M36" s="109">
        <v>1</v>
      </c>
      <c r="N36" s="109">
        <v>0</v>
      </c>
      <c r="O36" s="109">
        <v>0</v>
      </c>
      <c r="P36" s="109">
        <v>0</v>
      </c>
      <c r="Q36" s="109">
        <v>0</v>
      </c>
      <c r="R36" s="109">
        <v>0</v>
      </c>
      <c r="S36" s="109">
        <v>1</v>
      </c>
      <c r="T36" s="109">
        <v>1</v>
      </c>
      <c r="U36" s="109">
        <v>1</v>
      </c>
      <c r="V36" s="109">
        <v>0</v>
      </c>
      <c r="W36" s="109">
        <v>0</v>
      </c>
      <c r="X36" s="109">
        <v>0</v>
      </c>
      <c r="Y36" s="109">
        <v>1</v>
      </c>
      <c r="Z36" s="109">
        <v>1</v>
      </c>
      <c r="AA36" s="109">
        <v>1</v>
      </c>
      <c r="AB36" s="109">
        <v>0</v>
      </c>
      <c r="AC36" s="109">
        <v>0</v>
      </c>
      <c r="AD36" s="109">
        <v>1</v>
      </c>
      <c r="AE36" s="109">
        <v>0</v>
      </c>
      <c r="AF36" s="109">
        <v>1</v>
      </c>
      <c r="AG36" s="109">
        <v>1</v>
      </c>
      <c r="AH36" s="109">
        <v>1</v>
      </c>
      <c r="AI36" s="109">
        <v>0</v>
      </c>
      <c r="AJ36" s="109">
        <v>0</v>
      </c>
      <c r="AK36" s="109">
        <v>0</v>
      </c>
    </row>
    <row r="37" spans="1:37" x14ac:dyDescent="0.15">
      <c r="A37" s="190" t="s">
        <v>227</v>
      </c>
      <c r="B37" s="109">
        <v>0</v>
      </c>
      <c r="C37" s="109">
        <v>0</v>
      </c>
      <c r="D37" s="109">
        <v>0</v>
      </c>
      <c r="E37" s="109">
        <v>0</v>
      </c>
      <c r="F37" s="109">
        <v>0</v>
      </c>
      <c r="G37" s="109">
        <v>0</v>
      </c>
      <c r="H37" s="109">
        <v>0</v>
      </c>
      <c r="I37" s="109">
        <v>0</v>
      </c>
      <c r="J37" s="109">
        <v>0</v>
      </c>
      <c r="K37" s="109">
        <v>0</v>
      </c>
      <c r="L37" s="109">
        <v>0</v>
      </c>
      <c r="M37" s="109">
        <v>0</v>
      </c>
      <c r="N37" s="109">
        <v>0</v>
      </c>
      <c r="O37" s="109">
        <v>0</v>
      </c>
      <c r="P37" s="109">
        <v>0</v>
      </c>
      <c r="Q37" s="109">
        <v>0</v>
      </c>
      <c r="R37" s="109">
        <v>0</v>
      </c>
      <c r="S37" s="109">
        <v>0</v>
      </c>
      <c r="T37" s="109">
        <v>0</v>
      </c>
      <c r="U37" s="109">
        <v>0</v>
      </c>
      <c r="V37" s="109">
        <v>0</v>
      </c>
      <c r="W37" s="109">
        <v>0</v>
      </c>
      <c r="X37" s="109">
        <v>0</v>
      </c>
      <c r="Y37" s="109">
        <v>0</v>
      </c>
      <c r="Z37" s="109">
        <v>0</v>
      </c>
      <c r="AA37" s="109">
        <v>0</v>
      </c>
      <c r="AB37" s="109">
        <v>0</v>
      </c>
      <c r="AC37" s="109">
        <v>0</v>
      </c>
      <c r="AD37" s="109">
        <v>0</v>
      </c>
      <c r="AE37" s="109">
        <v>0</v>
      </c>
      <c r="AF37" s="109">
        <v>0</v>
      </c>
      <c r="AG37" s="109">
        <v>0</v>
      </c>
      <c r="AH37" s="109">
        <v>0</v>
      </c>
      <c r="AI37" s="109">
        <v>0</v>
      </c>
      <c r="AJ37" s="109">
        <v>0</v>
      </c>
      <c r="AK37" s="109">
        <v>0</v>
      </c>
    </row>
    <row r="38" spans="1:37" x14ac:dyDescent="0.15">
      <c r="A38" s="190" t="s">
        <v>230</v>
      </c>
      <c r="B38" s="109">
        <v>1</v>
      </c>
      <c r="C38" s="109">
        <v>1</v>
      </c>
      <c r="D38" s="109">
        <v>0</v>
      </c>
      <c r="E38" s="109">
        <v>1</v>
      </c>
      <c r="F38" s="109">
        <v>1</v>
      </c>
      <c r="G38" s="109">
        <v>1</v>
      </c>
      <c r="H38" s="109">
        <v>1</v>
      </c>
      <c r="I38" s="109">
        <v>0</v>
      </c>
      <c r="J38" s="109">
        <v>0</v>
      </c>
      <c r="K38" s="109">
        <v>1</v>
      </c>
      <c r="L38" s="109">
        <v>0</v>
      </c>
      <c r="M38" s="109">
        <v>0</v>
      </c>
      <c r="N38" s="109">
        <v>0</v>
      </c>
      <c r="O38" s="109">
        <v>0</v>
      </c>
      <c r="P38" s="109">
        <v>0</v>
      </c>
      <c r="Q38" s="109">
        <v>0</v>
      </c>
      <c r="R38" s="109">
        <v>0</v>
      </c>
      <c r="S38" s="109">
        <v>1</v>
      </c>
      <c r="T38" s="109">
        <v>0</v>
      </c>
      <c r="U38" s="109">
        <v>0</v>
      </c>
      <c r="V38" s="109">
        <v>0</v>
      </c>
      <c r="W38" s="109">
        <v>0</v>
      </c>
      <c r="X38" s="109">
        <v>0</v>
      </c>
      <c r="Y38" s="109">
        <v>0</v>
      </c>
      <c r="Z38" s="109">
        <v>0</v>
      </c>
      <c r="AA38" s="109">
        <v>0</v>
      </c>
      <c r="AB38" s="109">
        <v>1</v>
      </c>
      <c r="AC38" s="109">
        <v>1</v>
      </c>
      <c r="AD38" s="109">
        <v>0</v>
      </c>
      <c r="AE38" s="109">
        <v>1</v>
      </c>
      <c r="AF38" s="109">
        <v>0</v>
      </c>
      <c r="AG38" s="109">
        <v>0</v>
      </c>
      <c r="AH38" s="109">
        <v>0</v>
      </c>
      <c r="AI38" s="109">
        <v>0</v>
      </c>
      <c r="AJ38" s="109">
        <v>0</v>
      </c>
      <c r="AK38" s="10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.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93" t="s">
        <v>228</v>
      </c>
      <c r="D1" s="193" t="s">
        <v>229</v>
      </c>
    </row>
    <row r="2" spans="1:4" x14ac:dyDescent="0.15">
      <c r="A2">
        <v>1</v>
      </c>
      <c r="B2" s="192" t="s">
        <v>192</v>
      </c>
      <c r="C2">
        <v>0</v>
      </c>
      <c r="D2">
        <v>0</v>
      </c>
    </row>
    <row r="3" spans="1:4" x14ac:dyDescent="0.15">
      <c r="A3">
        <v>2</v>
      </c>
      <c r="B3" s="192" t="s">
        <v>193</v>
      </c>
      <c r="C3">
        <v>0</v>
      </c>
      <c r="D3">
        <v>0</v>
      </c>
    </row>
    <row r="4" spans="1:4" x14ac:dyDescent="0.15">
      <c r="A4">
        <v>3</v>
      </c>
      <c r="B4" s="192" t="s">
        <v>194</v>
      </c>
      <c r="C4">
        <v>0</v>
      </c>
      <c r="D4">
        <v>0</v>
      </c>
    </row>
    <row r="5" spans="1:4" x14ac:dyDescent="0.15">
      <c r="A5">
        <v>4</v>
      </c>
      <c r="B5" s="192" t="s">
        <v>195</v>
      </c>
      <c r="C5">
        <v>0</v>
      </c>
      <c r="D5">
        <v>0</v>
      </c>
    </row>
    <row r="6" spans="1:4" x14ac:dyDescent="0.15">
      <c r="A6">
        <v>5</v>
      </c>
      <c r="B6" s="192" t="s">
        <v>196</v>
      </c>
      <c r="C6">
        <v>0.8</v>
      </c>
      <c r="D6">
        <v>0.8</v>
      </c>
    </row>
    <row r="7" spans="1:4" x14ac:dyDescent="0.15">
      <c r="A7">
        <v>6</v>
      </c>
      <c r="B7" s="192" t="s">
        <v>197</v>
      </c>
      <c r="C7">
        <v>0.8</v>
      </c>
      <c r="D7">
        <v>0.8</v>
      </c>
    </row>
    <row r="8" spans="1:4" x14ac:dyDescent="0.15">
      <c r="A8">
        <v>7</v>
      </c>
      <c r="B8" s="192" t="s">
        <v>198</v>
      </c>
      <c r="C8">
        <v>0.8</v>
      </c>
      <c r="D8">
        <v>0.8</v>
      </c>
    </row>
    <row r="9" spans="1:4" x14ac:dyDescent="0.15">
      <c r="A9">
        <v>8</v>
      </c>
      <c r="B9" s="192" t="s">
        <v>199</v>
      </c>
      <c r="C9">
        <v>0.8</v>
      </c>
      <c r="D9">
        <v>0.8</v>
      </c>
    </row>
    <row r="10" spans="1:4" x14ac:dyDescent="0.15">
      <c r="A10">
        <v>9</v>
      </c>
      <c r="B10" s="192" t="s">
        <v>200</v>
      </c>
      <c r="C10">
        <v>0.8</v>
      </c>
      <c r="D10">
        <v>0.8</v>
      </c>
    </row>
    <row r="11" spans="1:4" x14ac:dyDescent="0.15">
      <c r="A11">
        <v>10</v>
      </c>
      <c r="B11" s="192" t="s">
        <v>201</v>
      </c>
      <c r="C11">
        <v>0</v>
      </c>
      <c r="D11">
        <v>0.8</v>
      </c>
    </row>
    <row r="12" spans="1:4" x14ac:dyDescent="0.15">
      <c r="A12">
        <v>11</v>
      </c>
      <c r="B12" s="192" t="s">
        <v>202</v>
      </c>
      <c r="C12">
        <v>0.8</v>
      </c>
      <c r="D12">
        <v>0</v>
      </c>
    </row>
    <row r="13" spans="1:4" x14ac:dyDescent="0.15">
      <c r="A13">
        <v>12</v>
      </c>
      <c r="B13" s="192" t="s">
        <v>203</v>
      </c>
      <c r="C13">
        <v>0.8</v>
      </c>
      <c r="D13">
        <v>0.8</v>
      </c>
    </row>
    <row r="14" spans="1:4" x14ac:dyDescent="0.15">
      <c r="A14">
        <v>13</v>
      </c>
      <c r="B14" s="192" t="s">
        <v>204</v>
      </c>
      <c r="C14">
        <v>0.8</v>
      </c>
      <c r="D14">
        <v>0.8</v>
      </c>
    </row>
    <row r="15" spans="1:4" x14ac:dyDescent="0.15">
      <c r="A15">
        <v>14</v>
      </c>
      <c r="B15" s="192" t="s">
        <v>205</v>
      </c>
      <c r="C15">
        <v>0.8</v>
      </c>
      <c r="D15">
        <v>0.8</v>
      </c>
    </row>
    <row r="16" spans="1:4" x14ac:dyDescent="0.15">
      <c r="A16">
        <v>15</v>
      </c>
      <c r="B16" s="192" t="s">
        <v>206</v>
      </c>
      <c r="C16">
        <v>0.8</v>
      </c>
      <c r="D16">
        <v>0.8</v>
      </c>
    </row>
    <row r="17" spans="1:4" x14ac:dyDescent="0.15">
      <c r="A17">
        <v>16</v>
      </c>
      <c r="B17" s="192" t="s">
        <v>207</v>
      </c>
      <c r="C17">
        <v>0.8</v>
      </c>
      <c r="D17">
        <v>0.8</v>
      </c>
    </row>
    <row r="18" spans="1:4" x14ac:dyDescent="0.15">
      <c r="A18">
        <v>17</v>
      </c>
      <c r="B18" s="192" t="s">
        <v>208</v>
      </c>
      <c r="C18">
        <v>0.8</v>
      </c>
      <c r="D18">
        <v>0.8</v>
      </c>
    </row>
    <row r="19" spans="1:4" x14ac:dyDescent="0.15">
      <c r="A19">
        <v>18</v>
      </c>
      <c r="B19" s="192" t="s">
        <v>209</v>
      </c>
      <c r="C19">
        <v>0.8</v>
      </c>
      <c r="D19">
        <v>0.8</v>
      </c>
    </row>
    <row r="20" spans="1:4" x14ac:dyDescent="0.15">
      <c r="A20">
        <v>19</v>
      </c>
      <c r="B20" s="192" t="s">
        <v>210</v>
      </c>
      <c r="C20">
        <v>0.8</v>
      </c>
      <c r="D20">
        <v>0.8</v>
      </c>
    </row>
    <row r="21" spans="1:4" x14ac:dyDescent="0.15">
      <c r="A21">
        <v>20</v>
      </c>
      <c r="B21" s="192" t="s">
        <v>211</v>
      </c>
      <c r="C21">
        <v>0.8</v>
      </c>
      <c r="D21">
        <v>0.8</v>
      </c>
    </row>
    <row r="22" spans="1:4" x14ac:dyDescent="0.15">
      <c r="A22">
        <v>21</v>
      </c>
      <c r="B22" s="192" t="s">
        <v>212</v>
      </c>
      <c r="C22">
        <v>0.8</v>
      </c>
      <c r="D22">
        <v>0.8</v>
      </c>
    </row>
    <row r="23" spans="1:4" x14ac:dyDescent="0.15">
      <c r="A23">
        <v>22</v>
      </c>
      <c r="B23" s="192" t="s">
        <v>213</v>
      </c>
      <c r="C23">
        <v>0.8</v>
      </c>
      <c r="D23">
        <v>0.8</v>
      </c>
    </row>
    <row r="24" spans="1:4" x14ac:dyDescent="0.15">
      <c r="A24">
        <v>23</v>
      </c>
      <c r="B24" s="192" t="s">
        <v>214</v>
      </c>
      <c r="C24">
        <v>0.8</v>
      </c>
      <c r="D24">
        <v>0.8</v>
      </c>
    </row>
    <row r="25" spans="1:4" x14ac:dyDescent="0.15">
      <c r="A25">
        <v>24</v>
      </c>
      <c r="B25" s="192" t="s">
        <v>215</v>
      </c>
      <c r="C25">
        <v>0.8</v>
      </c>
      <c r="D25">
        <v>0.8</v>
      </c>
    </row>
    <row r="26" spans="1:4" x14ac:dyDescent="0.15">
      <c r="A26">
        <v>25</v>
      </c>
      <c r="B26" s="192" t="s">
        <v>216</v>
      </c>
      <c r="C26">
        <v>0.8</v>
      </c>
      <c r="D26">
        <v>0.8</v>
      </c>
    </row>
    <row r="27" spans="1:4" x14ac:dyDescent="0.15">
      <c r="A27">
        <v>26</v>
      </c>
      <c r="B27" s="192" t="s">
        <v>217</v>
      </c>
      <c r="C27">
        <v>0.8</v>
      </c>
      <c r="D27">
        <v>0.8</v>
      </c>
    </row>
    <row r="28" spans="1:4" x14ac:dyDescent="0.15">
      <c r="A28">
        <v>27</v>
      </c>
      <c r="B28" s="192" t="s">
        <v>218</v>
      </c>
      <c r="C28">
        <v>0.8</v>
      </c>
      <c r="D28">
        <v>0.8</v>
      </c>
    </row>
    <row r="29" spans="1:4" x14ac:dyDescent="0.15">
      <c r="A29">
        <v>28</v>
      </c>
      <c r="B29" s="192" t="s">
        <v>219</v>
      </c>
      <c r="C29">
        <v>0.8</v>
      </c>
      <c r="D29">
        <v>0.8</v>
      </c>
    </row>
    <row r="30" spans="1:4" x14ac:dyDescent="0.15">
      <c r="A30">
        <v>29</v>
      </c>
      <c r="B30" s="192" t="s">
        <v>220</v>
      </c>
      <c r="C30">
        <v>0</v>
      </c>
      <c r="D30">
        <v>0.8</v>
      </c>
    </row>
    <row r="31" spans="1:4" x14ac:dyDescent="0.15">
      <c r="A31">
        <v>30</v>
      </c>
      <c r="B31" s="192" t="s">
        <v>221</v>
      </c>
      <c r="C31">
        <v>0</v>
      </c>
      <c r="D31">
        <v>0.8</v>
      </c>
    </row>
    <row r="32" spans="1:4" x14ac:dyDescent="0.15">
      <c r="A32">
        <v>31</v>
      </c>
      <c r="B32" s="192" t="s">
        <v>222</v>
      </c>
      <c r="C32">
        <v>0</v>
      </c>
      <c r="D32">
        <v>0</v>
      </c>
    </row>
    <row r="33" spans="1:4" x14ac:dyDescent="0.15">
      <c r="A33">
        <v>32</v>
      </c>
      <c r="B33" s="192" t="s">
        <v>223</v>
      </c>
      <c r="C33">
        <v>0</v>
      </c>
      <c r="D33">
        <v>0</v>
      </c>
    </row>
    <row r="34" spans="1:4" x14ac:dyDescent="0.15">
      <c r="A34">
        <v>33</v>
      </c>
      <c r="B34" s="192" t="s">
        <v>224</v>
      </c>
      <c r="C34">
        <v>0</v>
      </c>
      <c r="D34">
        <v>0</v>
      </c>
    </row>
    <row r="35" spans="1:4" x14ac:dyDescent="0.15">
      <c r="A35">
        <v>34</v>
      </c>
      <c r="B35" s="192" t="s">
        <v>225</v>
      </c>
      <c r="C35">
        <v>0</v>
      </c>
      <c r="D35">
        <v>0</v>
      </c>
    </row>
    <row r="36" spans="1:4" x14ac:dyDescent="0.15">
      <c r="A36">
        <v>35</v>
      </c>
      <c r="B36" s="192" t="s">
        <v>226</v>
      </c>
      <c r="C36">
        <v>0</v>
      </c>
      <c r="D36">
        <v>0</v>
      </c>
    </row>
    <row r="37" spans="1:4" x14ac:dyDescent="0.15">
      <c r="A37">
        <v>36</v>
      </c>
      <c r="B37" s="192" t="s">
        <v>227</v>
      </c>
      <c r="C37">
        <v>0</v>
      </c>
      <c r="D3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3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.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95" t="s">
        <v>228</v>
      </c>
      <c r="D1" s="195" t="s">
        <v>229</v>
      </c>
    </row>
    <row r="2" spans="1:4" x14ac:dyDescent="0.15">
      <c r="A2">
        <v>1</v>
      </c>
      <c r="B2" s="194" t="s">
        <v>192</v>
      </c>
      <c r="C2">
        <v>0</v>
      </c>
      <c r="D2">
        <v>0</v>
      </c>
    </row>
    <row r="3" spans="1:4" x14ac:dyDescent="0.15">
      <c r="A3">
        <v>2</v>
      </c>
      <c r="B3" s="194" t="s">
        <v>193</v>
      </c>
      <c r="C3">
        <v>0</v>
      </c>
      <c r="D3">
        <v>0</v>
      </c>
    </row>
    <row r="4" spans="1:4" x14ac:dyDescent="0.15">
      <c r="A4">
        <v>3</v>
      </c>
      <c r="B4" s="194" t="s">
        <v>194</v>
      </c>
      <c r="C4">
        <v>0</v>
      </c>
      <c r="D4">
        <v>0</v>
      </c>
    </row>
    <row r="5" spans="1:4" x14ac:dyDescent="0.15">
      <c r="A5">
        <v>4</v>
      </c>
      <c r="B5" s="194" t="s">
        <v>195</v>
      </c>
      <c r="C5">
        <v>0</v>
      </c>
      <c r="D5">
        <v>0</v>
      </c>
    </row>
    <row r="6" spans="1:4" x14ac:dyDescent="0.15">
      <c r="A6">
        <v>5</v>
      </c>
      <c r="B6" s="194" t="s">
        <v>196</v>
      </c>
      <c r="C6">
        <v>0.8</v>
      </c>
      <c r="D6">
        <v>0.8</v>
      </c>
    </row>
    <row r="7" spans="1:4" x14ac:dyDescent="0.15">
      <c r="A7">
        <v>6</v>
      </c>
      <c r="B7" s="194" t="s">
        <v>197</v>
      </c>
      <c r="C7">
        <v>0.8</v>
      </c>
      <c r="D7">
        <v>0.8</v>
      </c>
    </row>
    <row r="8" spans="1:4" x14ac:dyDescent="0.15">
      <c r="A8">
        <v>7</v>
      </c>
      <c r="B8" s="194" t="s">
        <v>198</v>
      </c>
      <c r="C8">
        <v>0.8</v>
      </c>
      <c r="D8">
        <v>0.8</v>
      </c>
    </row>
    <row r="9" spans="1:4" x14ac:dyDescent="0.15">
      <c r="A9">
        <v>8</v>
      </c>
      <c r="B9" s="194" t="s">
        <v>199</v>
      </c>
      <c r="C9">
        <v>0.8</v>
      </c>
      <c r="D9">
        <v>0.8</v>
      </c>
    </row>
    <row r="10" spans="1:4" x14ac:dyDescent="0.15">
      <c r="A10">
        <v>9</v>
      </c>
      <c r="B10" s="194" t="s">
        <v>200</v>
      </c>
      <c r="C10">
        <v>0.8</v>
      </c>
      <c r="D10">
        <v>0.8</v>
      </c>
    </row>
    <row r="11" spans="1:4" x14ac:dyDescent="0.15">
      <c r="A11">
        <v>10</v>
      </c>
      <c r="B11" s="194" t="s">
        <v>201</v>
      </c>
      <c r="C11">
        <v>0</v>
      </c>
      <c r="D11">
        <v>0.8</v>
      </c>
    </row>
    <row r="12" spans="1:4" x14ac:dyDescent="0.15">
      <c r="A12">
        <v>11</v>
      </c>
      <c r="B12" s="194" t="s">
        <v>202</v>
      </c>
      <c r="C12">
        <v>0.8</v>
      </c>
      <c r="D12">
        <v>0</v>
      </c>
    </row>
    <row r="13" spans="1:4" x14ac:dyDescent="0.15">
      <c r="A13">
        <v>12</v>
      </c>
      <c r="B13" s="194" t="s">
        <v>203</v>
      </c>
      <c r="C13">
        <v>0.8</v>
      </c>
      <c r="D13">
        <v>0.8</v>
      </c>
    </row>
    <row r="14" spans="1:4" x14ac:dyDescent="0.15">
      <c r="A14">
        <v>13</v>
      </c>
      <c r="B14" s="194" t="s">
        <v>204</v>
      </c>
      <c r="C14">
        <v>0.8</v>
      </c>
      <c r="D14">
        <v>0.8</v>
      </c>
    </row>
    <row r="15" spans="1:4" x14ac:dyDescent="0.15">
      <c r="A15">
        <v>14</v>
      </c>
      <c r="B15" s="194" t="s">
        <v>205</v>
      </c>
      <c r="C15">
        <v>0.8</v>
      </c>
      <c r="D15">
        <v>0.8</v>
      </c>
    </row>
    <row r="16" spans="1:4" x14ac:dyDescent="0.15">
      <c r="A16">
        <v>15</v>
      </c>
      <c r="B16" s="194" t="s">
        <v>206</v>
      </c>
      <c r="C16">
        <v>0.8</v>
      </c>
      <c r="D16">
        <v>0.8</v>
      </c>
    </row>
    <row r="17" spans="1:4" x14ac:dyDescent="0.15">
      <c r="A17">
        <v>16</v>
      </c>
      <c r="B17" s="194" t="s">
        <v>207</v>
      </c>
      <c r="C17">
        <v>0.8</v>
      </c>
      <c r="D17">
        <v>0.8</v>
      </c>
    </row>
    <row r="18" spans="1:4" x14ac:dyDescent="0.15">
      <c r="A18">
        <v>17</v>
      </c>
      <c r="B18" s="194" t="s">
        <v>208</v>
      </c>
      <c r="C18">
        <v>0.8</v>
      </c>
      <c r="D18">
        <v>0.8</v>
      </c>
    </row>
    <row r="19" spans="1:4" x14ac:dyDescent="0.15">
      <c r="A19">
        <v>18</v>
      </c>
      <c r="B19" s="194" t="s">
        <v>209</v>
      </c>
      <c r="C19">
        <v>0.8</v>
      </c>
      <c r="D19">
        <v>0.8</v>
      </c>
    </row>
    <row r="20" spans="1:4" x14ac:dyDescent="0.15">
      <c r="A20">
        <v>19</v>
      </c>
      <c r="B20" s="194" t="s">
        <v>210</v>
      </c>
      <c r="C20">
        <v>0.8</v>
      </c>
      <c r="D20">
        <v>0.8</v>
      </c>
    </row>
    <row r="21" spans="1:4" x14ac:dyDescent="0.15">
      <c r="A21">
        <v>20</v>
      </c>
      <c r="B21" s="194" t="s">
        <v>211</v>
      </c>
      <c r="C21">
        <v>0.8</v>
      </c>
      <c r="D21">
        <v>0.8</v>
      </c>
    </row>
    <row r="22" spans="1:4" x14ac:dyDescent="0.15">
      <c r="A22">
        <v>21</v>
      </c>
      <c r="B22" s="194" t="s">
        <v>212</v>
      </c>
      <c r="C22">
        <v>0.8</v>
      </c>
      <c r="D22">
        <v>0.8</v>
      </c>
    </row>
    <row r="23" spans="1:4" x14ac:dyDescent="0.15">
      <c r="A23">
        <v>22</v>
      </c>
      <c r="B23" s="194" t="s">
        <v>213</v>
      </c>
      <c r="C23">
        <v>0.8</v>
      </c>
      <c r="D23">
        <v>0.8</v>
      </c>
    </row>
    <row r="24" spans="1:4" x14ac:dyDescent="0.15">
      <c r="A24">
        <v>23</v>
      </c>
      <c r="B24" s="194" t="s">
        <v>214</v>
      </c>
      <c r="C24">
        <v>0.8</v>
      </c>
      <c r="D24">
        <v>0.8</v>
      </c>
    </row>
    <row r="25" spans="1:4" x14ac:dyDescent="0.15">
      <c r="A25">
        <v>24</v>
      </c>
      <c r="B25" s="194" t="s">
        <v>215</v>
      </c>
      <c r="C25">
        <v>0.8</v>
      </c>
      <c r="D25">
        <v>0.8</v>
      </c>
    </row>
    <row r="26" spans="1:4" x14ac:dyDescent="0.15">
      <c r="A26">
        <v>25</v>
      </c>
      <c r="B26" s="194" t="s">
        <v>216</v>
      </c>
      <c r="C26">
        <v>0.8</v>
      </c>
      <c r="D26">
        <v>0.8</v>
      </c>
    </row>
    <row r="27" spans="1:4" x14ac:dyDescent="0.15">
      <c r="A27">
        <v>26</v>
      </c>
      <c r="B27" s="194" t="s">
        <v>217</v>
      </c>
      <c r="C27">
        <v>0.8</v>
      </c>
      <c r="D27">
        <v>0.8</v>
      </c>
    </row>
    <row r="28" spans="1:4" x14ac:dyDescent="0.15">
      <c r="A28">
        <v>27</v>
      </c>
      <c r="B28" s="194" t="s">
        <v>218</v>
      </c>
      <c r="C28">
        <v>0.8</v>
      </c>
      <c r="D28">
        <v>0.8</v>
      </c>
    </row>
    <row r="29" spans="1:4" x14ac:dyDescent="0.15">
      <c r="A29">
        <v>28</v>
      </c>
      <c r="B29" s="194" t="s">
        <v>219</v>
      </c>
      <c r="C29">
        <v>0.8</v>
      </c>
      <c r="D29">
        <v>0.8</v>
      </c>
    </row>
    <row r="30" spans="1:4" x14ac:dyDescent="0.15">
      <c r="A30">
        <v>29</v>
      </c>
      <c r="B30" s="194" t="s">
        <v>220</v>
      </c>
      <c r="C30">
        <v>0</v>
      </c>
      <c r="D30">
        <v>0.8</v>
      </c>
    </row>
    <row r="31" spans="1:4" x14ac:dyDescent="0.15">
      <c r="A31">
        <v>30</v>
      </c>
      <c r="B31" s="194" t="s">
        <v>221</v>
      </c>
      <c r="C31">
        <v>0</v>
      </c>
      <c r="D31">
        <v>0.8</v>
      </c>
    </row>
    <row r="32" spans="1:4" x14ac:dyDescent="0.15">
      <c r="A32">
        <v>31</v>
      </c>
      <c r="B32" s="194" t="s">
        <v>222</v>
      </c>
      <c r="C32">
        <v>0</v>
      </c>
      <c r="D32">
        <v>0</v>
      </c>
    </row>
    <row r="33" spans="1:4" x14ac:dyDescent="0.15">
      <c r="A33">
        <v>32</v>
      </c>
      <c r="B33" s="194" t="s">
        <v>223</v>
      </c>
      <c r="C33">
        <v>0</v>
      </c>
      <c r="D33">
        <v>0</v>
      </c>
    </row>
    <row r="34" spans="1:4" x14ac:dyDescent="0.15">
      <c r="A34">
        <v>33</v>
      </c>
      <c r="B34" s="194" t="s">
        <v>224</v>
      </c>
      <c r="C34">
        <v>0</v>
      </c>
      <c r="D34">
        <v>0</v>
      </c>
    </row>
    <row r="35" spans="1:4" x14ac:dyDescent="0.15">
      <c r="A35">
        <v>34</v>
      </c>
      <c r="B35" s="194" t="s">
        <v>225</v>
      </c>
      <c r="C35">
        <v>0</v>
      </c>
      <c r="D35">
        <v>0</v>
      </c>
    </row>
    <row r="36" spans="1:4" x14ac:dyDescent="0.15">
      <c r="A36">
        <v>35</v>
      </c>
      <c r="B36" s="194" t="s">
        <v>226</v>
      </c>
      <c r="C36">
        <v>0</v>
      </c>
      <c r="D36">
        <v>0</v>
      </c>
    </row>
    <row r="37" spans="1:4" x14ac:dyDescent="0.15">
      <c r="A37">
        <v>36</v>
      </c>
      <c r="B37" s="194" t="s">
        <v>227</v>
      </c>
      <c r="C37">
        <v>0</v>
      </c>
      <c r="D3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2"/>
    <col min="2" max="2" width="41.83203125" style="82" bestFit="1" customWidth="1"/>
    <col min="3" max="3" width="9.33203125" style="82" bestFit="1" customWidth="1"/>
    <col min="4" max="4" width="13" style="82" bestFit="1" customWidth="1"/>
    <col min="5" max="6" width="9.33203125" style="82" bestFit="1" customWidth="1"/>
    <col min="7" max="7" width="9.33203125" style="98" bestFit="1" customWidth="1"/>
    <col min="8" max="8" width="9.33203125" style="82" bestFit="1" customWidth="1"/>
    <col min="9" max="9" width="11" style="82" customWidth="1"/>
    <col min="10" max="10" width="8.83203125" style="82"/>
    <col min="15" max="16384" width="8.83203125" style="8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7">
        <v>1</v>
      </c>
      <c r="B2" s="147" t="s">
        <v>192</v>
      </c>
      <c r="C2" s="8">
        <v>4.0125980377197266</v>
      </c>
      <c r="D2" s="9">
        <v>3.0899999663233757E-2</v>
      </c>
      <c r="E2" s="9">
        <v>1.9999999552965164E-2</v>
      </c>
      <c r="F2" s="9">
        <v>4.6500000953674316</v>
      </c>
      <c r="G2" s="7">
        <v>0</v>
      </c>
      <c r="H2" s="9">
        <v>4.301074892282486E-3</v>
      </c>
      <c r="I2">
        <v>0</v>
      </c>
      <c r="J2"/>
    </row>
    <row r="3" spans="1:10" ht="15" customHeight="1" x14ac:dyDescent="0.15">
      <c r="A3" s="148">
        <v>2</v>
      </c>
      <c r="B3" s="148" t="s">
        <v>193</v>
      </c>
      <c r="C3" s="8">
        <v>4.4770808219909668</v>
      </c>
      <c r="D3" s="9">
        <v>4.3339278548955917E-2</v>
      </c>
      <c r="E3" s="9">
        <v>7.0000000298023224E-2</v>
      </c>
      <c r="F3" s="9">
        <v>12.119999885559082</v>
      </c>
      <c r="G3" s="9">
        <v>0.15013220906257629</v>
      </c>
      <c r="H3" s="9">
        <v>5.7755778543651104E-3</v>
      </c>
      <c r="I3">
        <v>0</v>
      </c>
      <c r="J3"/>
    </row>
    <row r="4" spans="1:10" ht="15" customHeight="1" x14ac:dyDescent="0.15">
      <c r="A4" s="149">
        <v>3</v>
      </c>
      <c r="B4" s="149" t="s">
        <v>194</v>
      </c>
      <c r="C4" s="8">
        <v>2.1937499046325684</v>
      </c>
      <c r="D4" s="9">
        <v>2.9570430517196655E-2</v>
      </c>
      <c r="E4" s="9">
        <v>0.15000000596046448</v>
      </c>
      <c r="F4" s="9">
        <v>3.5</v>
      </c>
      <c r="G4" s="9">
        <v>0.20000280439853668</v>
      </c>
      <c r="H4" s="9">
        <v>4.285714402794838E-2</v>
      </c>
      <c r="I4">
        <v>0</v>
      </c>
      <c r="J4"/>
    </row>
    <row r="5" spans="1:10" ht="15" customHeight="1" x14ac:dyDescent="0.15">
      <c r="A5" s="150">
        <v>4</v>
      </c>
      <c r="B5" s="150" t="s">
        <v>195</v>
      </c>
      <c r="C5" s="8">
        <v>3.8082270622253418</v>
      </c>
      <c r="D5" s="9">
        <v>1.2799999676644802E-3</v>
      </c>
      <c r="E5" s="9">
        <v>0.30000001192092896</v>
      </c>
      <c r="F5" s="9">
        <v>85.660003662109375</v>
      </c>
      <c r="G5" s="7">
        <v>0</v>
      </c>
      <c r="H5" s="9">
        <v>3.5022180527448654E-3</v>
      </c>
      <c r="I5">
        <v>0</v>
      </c>
      <c r="J5"/>
    </row>
    <row r="6" spans="1:10" ht="15" customHeight="1" x14ac:dyDescent="0.15">
      <c r="A6" s="151">
        <v>5</v>
      </c>
      <c r="B6" s="151" t="s">
        <v>196</v>
      </c>
      <c r="C6" s="8">
        <v>3.9708797931671143</v>
      </c>
      <c r="D6" s="9">
        <v>0.38600000739097595</v>
      </c>
      <c r="E6" s="9">
        <v>0.36300000548362732</v>
      </c>
      <c r="F6" s="9">
        <v>3.630000114440918</v>
      </c>
      <c r="G6" s="9">
        <v>0.38154298067092896</v>
      </c>
      <c r="H6" s="9">
        <v>0.10000000149011612</v>
      </c>
      <c r="I6">
        <v>3.5999998450279236E-2</v>
      </c>
      <c r="J6"/>
    </row>
    <row r="7" spans="1:10" ht="15" customHeight="1" x14ac:dyDescent="0.15">
      <c r="A7" s="152">
        <v>6</v>
      </c>
      <c r="B7" s="152" t="s">
        <v>197</v>
      </c>
      <c r="C7" s="8">
        <v>4.3097405433654785</v>
      </c>
      <c r="D7" s="9">
        <v>0.10463706403970718</v>
      </c>
      <c r="E7" s="9">
        <v>0.40999999642372131</v>
      </c>
      <c r="F7" s="9">
        <v>4.0999999046325684</v>
      </c>
      <c r="G7" s="9">
        <v>0.40005743503570557</v>
      </c>
      <c r="H7" s="9">
        <v>0.10000000149011612</v>
      </c>
      <c r="I7">
        <v>9.9999997764825821E-3</v>
      </c>
      <c r="J7"/>
    </row>
    <row r="8" spans="1:10" ht="15" customHeight="1" x14ac:dyDescent="0.15">
      <c r="A8" s="153">
        <v>7</v>
      </c>
      <c r="B8" s="153" t="s">
        <v>198</v>
      </c>
      <c r="C8" s="8">
        <v>4.2060704231262207</v>
      </c>
      <c r="D8" s="9">
        <v>0.38446784019470215</v>
      </c>
      <c r="E8" s="9">
        <v>0.85000002384185791</v>
      </c>
      <c r="F8" s="9">
        <v>6.5999999046325684</v>
      </c>
      <c r="G8" s="9">
        <v>0.9001428484916687</v>
      </c>
      <c r="H8" s="9">
        <v>0.12878789007663727</v>
      </c>
      <c r="I8">
        <v>9.3999996781349182E-2</v>
      </c>
      <c r="J8"/>
    </row>
    <row r="9" spans="1:10" ht="15" customHeight="1" x14ac:dyDescent="0.15">
      <c r="A9" s="154">
        <v>8</v>
      </c>
      <c r="B9" s="154" t="s">
        <v>199</v>
      </c>
      <c r="C9" s="8">
        <v>4.1224517822265625</v>
      </c>
      <c r="D9" s="9">
        <v>5.8254953473806381E-2</v>
      </c>
      <c r="E9" s="9">
        <v>0.92000001668930054</v>
      </c>
      <c r="F9" s="9">
        <v>9.1999998092651367</v>
      </c>
      <c r="G9" s="9">
        <v>0.90022867918014526</v>
      </c>
      <c r="H9" s="9">
        <v>0.10000000149011612</v>
      </c>
      <c r="I9">
        <v>3.0999999493360519E-2</v>
      </c>
      <c r="J9"/>
    </row>
    <row r="10" spans="1:10" ht="15" customHeight="1" x14ac:dyDescent="0.15">
      <c r="A10" s="155">
        <v>9</v>
      </c>
      <c r="B10" s="155" t="s">
        <v>200</v>
      </c>
      <c r="C10" s="8">
        <v>4.1588268280029297</v>
      </c>
      <c r="D10" s="9">
        <v>6.2711440026760101E-2</v>
      </c>
      <c r="E10" s="9">
        <v>1</v>
      </c>
      <c r="F10" s="9">
        <v>9.4600000381469727</v>
      </c>
      <c r="G10" s="9">
        <v>0.90021789073944092</v>
      </c>
      <c r="H10" s="9">
        <v>0.10570824146270752</v>
      </c>
      <c r="I10">
        <v>3.4000001847743988E-2</v>
      </c>
      <c r="J10"/>
    </row>
    <row r="11" spans="1:10" ht="15" customHeight="1" x14ac:dyDescent="0.15">
      <c r="A11" s="156">
        <v>10</v>
      </c>
      <c r="B11" s="156" t="s">
        <v>201</v>
      </c>
      <c r="C11" s="8">
        <v>3.1298806667327881</v>
      </c>
      <c r="D11" s="9">
        <v>2.3333084583282471</v>
      </c>
      <c r="E11" s="9">
        <v>0.69999998807907104</v>
      </c>
      <c r="F11" s="9">
        <v>7</v>
      </c>
      <c r="G11" s="9">
        <v>0.90000927448272705</v>
      </c>
      <c r="H11" s="9">
        <v>0.10000000149011612</v>
      </c>
      <c r="I11">
        <v>0.11500000208616257</v>
      </c>
      <c r="J11"/>
    </row>
    <row r="12" spans="1:10" ht="15" customHeight="1" x14ac:dyDescent="0.15">
      <c r="A12" s="157">
        <v>11</v>
      </c>
      <c r="B12" s="157" t="s">
        <v>202</v>
      </c>
      <c r="C12" s="8">
        <v>2.53125</v>
      </c>
      <c r="D12" s="9">
        <v>1.5219576358795166</v>
      </c>
      <c r="E12" s="9">
        <v>1.4199999570846558</v>
      </c>
      <c r="F12" s="9">
        <v>14.199999809265137</v>
      </c>
      <c r="G12" s="9">
        <v>0.94999289512634277</v>
      </c>
      <c r="H12" s="9">
        <v>0.10000000149011612</v>
      </c>
      <c r="I12">
        <v>0.94599997997283936</v>
      </c>
      <c r="J12"/>
    </row>
    <row r="13" spans="1:10" ht="15" customHeight="1" x14ac:dyDescent="0.15">
      <c r="A13" s="158">
        <v>12</v>
      </c>
      <c r="B13" s="158" t="s">
        <v>203</v>
      </c>
      <c r="C13" s="8">
        <v>2.8484635353088379</v>
      </c>
      <c r="D13" s="9">
        <v>0.99935591220855713</v>
      </c>
      <c r="E13" s="9">
        <v>2.1099998950958252</v>
      </c>
      <c r="F13" s="9">
        <v>21.099998474121094</v>
      </c>
      <c r="G13" s="9">
        <v>0.94998395442962646</v>
      </c>
      <c r="H13" s="9">
        <v>0.10000000149011612</v>
      </c>
      <c r="I13">
        <v>0.19699999690055847</v>
      </c>
      <c r="J13"/>
    </row>
    <row r="14" spans="1:10" ht="15" customHeight="1" x14ac:dyDescent="0.15">
      <c r="A14" s="159">
        <v>13</v>
      </c>
      <c r="B14" s="159" t="s">
        <v>204</v>
      </c>
      <c r="C14" s="8">
        <v>3.9241724014282227</v>
      </c>
      <c r="D14" s="9">
        <v>0.50900000333786011</v>
      </c>
      <c r="E14" s="9">
        <v>0.82999998331069946</v>
      </c>
      <c r="F14" s="9">
        <v>3.3199999332427979</v>
      </c>
      <c r="G14" s="9">
        <v>0.91110110282897949</v>
      </c>
      <c r="H14" s="9">
        <v>0.25</v>
      </c>
      <c r="I14">
        <v>0.25999999046325684</v>
      </c>
      <c r="J14"/>
    </row>
    <row r="15" spans="1:10" ht="15" customHeight="1" x14ac:dyDescent="0.15">
      <c r="A15" s="160">
        <v>14</v>
      </c>
      <c r="B15" s="160" t="s">
        <v>205</v>
      </c>
      <c r="C15" s="8">
        <v>3.9238076210021973</v>
      </c>
      <c r="D15" s="9">
        <v>0.25900000333786011</v>
      </c>
      <c r="E15" s="9">
        <v>0.84799998998641968</v>
      </c>
      <c r="F15" s="9">
        <v>3.3919999599456787</v>
      </c>
      <c r="G15" s="9">
        <v>0.97062605619430542</v>
      </c>
      <c r="H15" s="9">
        <v>0.25</v>
      </c>
      <c r="I15">
        <v>0.13400000333786011</v>
      </c>
      <c r="J15"/>
    </row>
    <row r="16" spans="1:10" ht="15" customHeight="1" x14ac:dyDescent="0.15">
      <c r="A16" s="161">
        <v>15</v>
      </c>
      <c r="B16" s="161" t="s">
        <v>206</v>
      </c>
      <c r="C16" s="8">
        <v>3.8792524337768555</v>
      </c>
      <c r="D16" s="9">
        <v>0.19699999690055847</v>
      </c>
      <c r="E16" s="9">
        <v>0.7839999794960022</v>
      </c>
      <c r="F16" s="9">
        <v>3.1359999179840088</v>
      </c>
      <c r="G16" s="9">
        <v>0.96651023626327515</v>
      </c>
      <c r="H16" s="9">
        <v>0.25</v>
      </c>
      <c r="I16">
        <v>7.6999999582767487E-2</v>
      </c>
      <c r="J16"/>
    </row>
    <row r="17" spans="1:10" ht="15" customHeight="1" x14ac:dyDescent="0.15">
      <c r="A17" s="162">
        <v>16</v>
      </c>
      <c r="B17" s="162" t="s">
        <v>207</v>
      </c>
      <c r="C17" s="8">
        <v>4.1072878837585449</v>
      </c>
      <c r="D17" s="9">
        <v>5.4000001400709152E-2</v>
      </c>
      <c r="E17" s="9">
        <v>0.91100001335144043</v>
      </c>
      <c r="F17" s="9">
        <v>4.554999828338623</v>
      </c>
      <c r="G17" s="9">
        <v>0.9226381778717041</v>
      </c>
      <c r="H17" s="9">
        <v>0.20000001788139343</v>
      </c>
      <c r="I17">
        <v>2.7000000700354576E-2</v>
      </c>
      <c r="J17"/>
    </row>
    <row r="18" spans="1:10" ht="15" customHeight="1" x14ac:dyDescent="0.15">
      <c r="A18" s="163">
        <v>17</v>
      </c>
      <c r="B18" s="163" t="s">
        <v>208</v>
      </c>
      <c r="C18" s="8">
        <v>3.9570462703704834</v>
      </c>
      <c r="D18" s="9">
        <v>6.8000003695487976E-2</v>
      </c>
      <c r="E18" s="9">
        <v>0.56000000238418579</v>
      </c>
      <c r="F18" s="9">
        <v>2.2400000095367432</v>
      </c>
      <c r="G18" s="9">
        <v>0.94042754173278809</v>
      </c>
      <c r="H18" s="9">
        <v>0.25</v>
      </c>
      <c r="I18">
        <v>1.0999999940395355E-2</v>
      </c>
      <c r="J18"/>
    </row>
    <row r="19" spans="1:10" ht="15" customHeight="1" x14ac:dyDescent="0.15">
      <c r="A19" s="164">
        <v>18</v>
      </c>
      <c r="B19" s="164" t="s">
        <v>209</v>
      </c>
      <c r="C19" s="8">
        <v>3.6194438934326172</v>
      </c>
      <c r="D19" s="9">
        <v>0.47900000214576721</v>
      </c>
      <c r="E19" s="9">
        <v>0.72500002384185791</v>
      </c>
      <c r="F19" s="9">
        <v>2.9000000953674316</v>
      </c>
      <c r="G19" s="9">
        <v>0.96069204807281494</v>
      </c>
      <c r="H19" s="9">
        <v>0.25</v>
      </c>
      <c r="I19">
        <v>0.10799999535083771</v>
      </c>
      <c r="J19"/>
    </row>
    <row r="20" spans="1:10" ht="15" customHeight="1" x14ac:dyDescent="0.15">
      <c r="A20" s="165">
        <v>19</v>
      </c>
      <c r="B20" s="165" t="s">
        <v>210</v>
      </c>
      <c r="C20" s="8">
        <v>3.6996686458587646</v>
      </c>
      <c r="D20" s="9">
        <v>0.46200001239776611</v>
      </c>
      <c r="E20" s="9">
        <v>0.68199998140335083</v>
      </c>
      <c r="F20" s="9">
        <v>2.7279999256134033</v>
      </c>
      <c r="G20" s="9">
        <v>0.9723055362701416</v>
      </c>
      <c r="H20" s="9">
        <v>0.25</v>
      </c>
      <c r="I20">
        <v>0.21799999475479126</v>
      </c>
      <c r="J20"/>
    </row>
    <row r="21" spans="1:10" ht="15" customHeight="1" x14ac:dyDescent="0.15">
      <c r="A21" s="166">
        <v>20</v>
      </c>
      <c r="B21" s="166" t="s">
        <v>211</v>
      </c>
      <c r="C21" s="8">
        <v>2.3339264392852783</v>
      </c>
      <c r="D21" s="9">
        <v>0.41499999165534973</v>
      </c>
      <c r="E21" s="9">
        <v>0.6809999942779541</v>
      </c>
      <c r="F21" s="9">
        <v>2.7239999771118164</v>
      </c>
      <c r="G21" s="9">
        <v>0.86403918266296387</v>
      </c>
      <c r="H21" s="9">
        <v>0.25</v>
      </c>
      <c r="I21">
        <v>5.6000001728534698E-2</v>
      </c>
      <c r="J21"/>
    </row>
    <row r="22" spans="1:10" ht="15" customHeight="1" x14ac:dyDescent="0.15">
      <c r="A22" s="167">
        <v>21</v>
      </c>
      <c r="B22" s="167" t="s">
        <v>212</v>
      </c>
      <c r="C22" s="8">
        <v>3.5991470813751221</v>
      </c>
      <c r="D22" s="9">
        <v>9.3999996781349182E-2</v>
      </c>
      <c r="E22" s="9">
        <v>0.64999997615814209</v>
      </c>
      <c r="F22" s="9">
        <v>2.5999999046325684</v>
      </c>
      <c r="G22" s="9">
        <v>0.9883001446723938</v>
      </c>
      <c r="H22" s="9">
        <v>0.25</v>
      </c>
      <c r="I22">
        <v>3.7999998778104782E-2</v>
      </c>
      <c r="J22"/>
    </row>
    <row r="23" spans="1:10" ht="15" customHeight="1" x14ac:dyDescent="0.15">
      <c r="A23" s="168">
        <v>22</v>
      </c>
      <c r="B23" s="168" t="s">
        <v>213</v>
      </c>
      <c r="C23" s="8">
        <v>3.2993259429931641</v>
      </c>
      <c r="D23" s="9">
        <v>0.28400000929832458</v>
      </c>
      <c r="E23" s="9">
        <v>1.0019999742507935</v>
      </c>
      <c r="F23" s="9">
        <v>4.0079998970031738</v>
      </c>
      <c r="G23" s="9">
        <v>0.71482622623443604</v>
      </c>
      <c r="H23" s="9">
        <v>0.25</v>
      </c>
      <c r="I23">
        <v>0.10400000214576721</v>
      </c>
      <c r="J23"/>
    </row>
    <row r="24" spans="1:10" ht="15" customHeight="1" x14ac:dyDescent="0.15">
      <c r="A24" s="169">
        <v>23</v>
      </c>
      <c r="B24" s="169" t="s">
        <v>214</v>
      </c>
      <c r="C24" s="8">
        <v>3.9542787075042725</v>
      </c>
      <c r="D24" s="9">
        <v>0.40000000596046448</v>
      </c>
      <c r="E24" s="9">
        <v>0.4440000057220459</v>
      </c>
      <c r="F24" s="9">
        <v>2.2200000286102295</v>
      </c>
      <c r="G24" s="9">
        <v>0.92916655540466309</v>
      </c>
      <c r="H24" s="9">
        <v>0.20000000298023224</v>
      </c>
      <c r="I24">
        <v>4.4999998062849045E-2</v>
      </c>
      <c r="J24"/>
    </row>
    <row r="25" spans="1:10" ht="15" customHeight="1" x14ac:dyDescent="0.15">
      <c r="A25" s="170">
        <v>24</v>
      </c>
      <c r="B25" s="170" t="s">
        <v>215</v>
      </c>
      <c r="C25" s="8">
        <v>3.5698723793029785</v>
      </c>
      <c r="D25" s="9">
        <v>0.7720000147819519</v>
      </c>
      <c r="E25" s="9">
        <v>0.85600000619888306</v>
      </c>
      <c r="F25" s="9">
        <v>3.4240000247955322</v>
      </c>
      <c r="G25" s="9">
        <v>0.99444925785064697</v>
      </c>
      <c r="H25" s="9">
        <v>0.25</v>
      </c>
      <c r="I25">
        <v>1.8000001087784767E-2</v>
      </c>
      <c r="J25"/>
    </row>
    <row r="26" spans="1:10" ht="15" customHeight="1" x14ac:dyDescent="0.15">
      <c r="A26" s="171">
        <v>25</v>
      </c>
      <c r="B26" s="171" t="s">
        <v>216</v>
      </c>
      <c r="C26" s="8">
        <v>3.3006548881530762</v>
      </c>
      <c r="D26" s="9">
        <v>0.8529999852180481</v>
      </c>
      <c r="E26" s="9">
        <v>0.77499997615814209</v>
      </c>
      <c r="F26" s="9">
        <v>3.0999999046325684</v>
      </c>
      <c r="G26" s="9">
        <v>0.73402637243270874</v>
      </c>
      <c r="H26" s="9">
        <v>0.25</v>
      </c>
      <c r="I26">
        <v>4.2999997735023499E-2</v>
      </c>
      <c r="J26"/>
    </row>
    <row r="27" spans="1:10" ht="15" customHeight="1" x14ac:dyDescent="0.15">
      <c r="A27" s="172">
        <v>26</v>
      </c>
      <c r="B27" s="172" t="s">
        <v>217</v>
      </c>
      <c r="C27" s="8">
        <v>3.3242058753967285</v>
      </c>
      <c r="D27" s="9">
        <v>0.84899997711181641</v>
      </c>
      <c r="E27" s="9">
        <v>1.0900000333786011</v>
      </c>
      <c r="F27" s="9">
        <v>4.3600001335144043</v>
      </c>
      <c r="G27" s="9">
        <v>0.76197493076324463</v>
      </c>
      <c r="H27" s="9">
        <v>0.25</v>
      </c>
      <c r="I27">
        <v>2.7000000700354576E-2</v>
      </c>
      <c r="J27"/>
    </row>
    <row r="28" spans="1:10" ht="15" customHeight="1" x14ac:dyDescent="0.15">
      <c r="A28" s="173">
        <v>27</v>
      </c>
      <c r="B28" s="173" t="s">
        <v>218</v>
      </c>
      <c r="C28" s="8">
        <v>3.7921004295349121</v>
      </c>
      <c r="D28" s="9">
        <v>0.34067872166633606</v>
      </c>
      <c r="E28" s="9">
        <v>0.75499999523162842</v>
      </c>
      <c r="F28" s="9">
        <v>3.0199999809265137</v>
      </c>
      <c r="G28" s="9">
        <v>0.80005621910095215</v>
      </c>
      <c r="H28" s="9">
        <v>0.25</v>
      </c>
      <c r="I28">
        <v>5.0000003539025784E-3</v>
      </c>
      <c r="J28"/>
    </row>
    <row r="29" spans="1:10" ht="15" customHeight="1" x14ac:dyDescent="0.15">
      <c r="A29" s="174">
        <v>28</v>
      </c>
      <c r="B29" s="174" t="s">
        <v>219</v>
      </c>
      <c r="C29" s="8">
        <v>3.5491728782653809</v>
      </c>
      <c r="D29" s="9">
        <v>0.55038750171661377</v>
      </c>
      <c r="E29" s="9">
        <v>0.37000000476837158</v>
      </c>
      <c r="F29" s="9">
        <v>1.4800000190734863</v>
      </c>
      <c r="G29" s="9">
        <v>0.90008598566055298</v>
      </c>
      <c r="H29" s="9">
        <v>0.25</v>
      </c>
      <c r="I29">
        <v>4.0000001899898052E-3</v>
      </c>
      <c r="J29"/>
    </row>
    <row r="30" spans="1:10" ht="15" customHeight="1" x14ac:dyDescent="0.15">
      <c r="A30" s="175">
        <v>29</v>
      </c>
      <c r="B30" s="175" t="s">
        <v>220</v>
      </c>
      <c r="C30" s="8">
        <v>3.0311446189880371</v>
      </c>
      <c r="D30" s="9">
        <v>3.4415504932403564</v>
      </c>
      <c r="E30" s="9">
        <v>2.5999999046325684</v>
      </c>
      <c r="F30" s="9">
        <v>20</v>
      </c>
      <c r="G30" s="9">
        <v>0.80001264810562134</v>
      </c>
      <c r="H30" s="9">
        <v>0.12999999523162842</v>
      </c>
      <c r="I30">
        <v>3.7000000476837158E-2</v>
      </c>
      <c r="J30"/>
    </row>
    <row r="31" spans="1:10" ht="15" customHeight="1" x14ac:dyDescent="0.15">
      <c r="A31" s="176">
        <v>30</v>
      </c>
      <c r="B31" s="176" t="s">
        <v>221</v>
      </c>
      <c r="C31" s="8">
        <v>3.5970962047576904</v>
      </c>
      <c r="D31" s="9">
        <v>0.70087724924087524</v>
      </c>
      <c r="E31" s="9">
        <v>2.7000000476837158</v>
      </c>
      <c r="F31" s="9">
        <v>10</v>
      </c>
      <c r="G31" s="9">
        <v>0.90009808540344238</v>
      </c>
      <c r="H31" s="9">
        <v>0.27000001072883606</v>
      </c>
      <c r="I31">
        <v>0.1550000011920929</v>
      </c>
      <c r="J31"/>
    </row>
    <row r="32" spans="1:10" ht="15" customHeight="1" x14ac:dyDescent="0.15">
      <c r="A32" s="204">
        <v>31</v>
      </c>
      <c r="B32" s="204" t="s">
        <v>222</v>
      </c>
      <c r="C32" s="8">
        <v>2.2083332538604736</v>
      </c>
      <c r="D32" s="9">
        <v>100</v>
      </c>
      <c r="E32" s="9">
        <v>1.7999999523162842</v>
      </c>
      <c r="F32" s="9">
        <v>25</v>
      </c>
      <c r="G32" s="9">
        <v>0.79400753974914551</v>
      </c>
      <c r="H32" s="9">
        <v>7.1999996900558472E-2</v>
      </c>
      <c r="I32">
        <v>0</v>
      </c>
      <c r="J32"/>
    </row>
    <row r="33" spans="1:10" ht="15" customHeight="1" x14ac:dyDescent="0.15">
      <c r="A33" s="205">
        <v>32</v>
      </c>
      <c r="B33" s="205" t="s">
        <v>223</v>
      </c>
      <c r="C33" s="8">
        <v>2.9375</v>
      </c>
      <c r="D33" s="9">
        <v>4.3145756721496582</v>
      </c>
      <c r="E33" s="9">
        <v>10</v>
      </c>
      <c r="F33" s="9">
        <v>50</v>
      </c>
      <c r="G33" s="9">
        <v>0.80001574754714966</v>
      </c>
      <c r="H33" s="9">
        <v>0.20000000298023224</v>
      </c>
      <c r="I33">
        <v>0</v>
      </c>
      <c r="J33"/>
    </row>
    <row r="34" spans="1:10" ht="15" customHeight="1" x14ac:dyDescent="0.15">
      <c r="A34" s="206">
        <v>33</v>
      </c>
      <c r="B34" s="206" t="s">
        <v>224</v>
      </c>
      <c r="C34" s="8">
        <v>2</v>
      </c>
      <c r="D34" s="9">
        <v>25.786796569824219</v>
      </c>
      <c r="E34" s="9">
        <v>40</v>
      </c>
      <c r="F34" s="9">
        <v>200</v>
      </c>
      <c r="G34" s="9">
        <v>0.60000097751617432</v>
      </c>
      <c r="H34" s="9">
        <v>0.20000000298023224</v>
      </c>
      <c r="I34">
        <v>0</v>
      </c>
      <c r="J34"/>
    </row>
    <row r="35" spans="1:10" ht="15" customHeight="1" x14ac:dyDescent="0.15">
      <c r="A35" s="207">
        <v>34</v>
      </c>
      <c r="B35" s="207" t="s">
        <v>225</v>
      </c>
      <c r="C35" s="8">
        <v>1</v>
      </c>
      <c r="D35" s="9">
        <v>69</v>
      </c>
      <c r="E35" s="9">
        <v>84</v>
      </c>
      <c r="F35" s="10"/>
      <c r="G35" s="9">
        <v>0.81441360712051392</v>
      </c>
      <c r="H35" s="10"/>
      <c r="I35">
        <v>0</v>
      </c>
      <c r="J35"/>
    </row>
    <row r="36" spans="1:10" ht="15" customHeight="1" x14ac:dyDescent="0.15">
      <c r="A36" s="208">
        <v>35</v>
      </c>
      <c r="B36" s="208" t="s">
        <v>226</v>
      </c>
      <c r="C36" s="8">
        <v>1</v>
      </c>
      <c r="D36" s="9">
        <v>290</v>
      </c>
      <c r="E36" s="10"/>
      <c r="F36" s="10"/>
      <c r="G36" s="7">
        <v>0.59844726324081421</v>
      </c>
      <c r="H36" s="10"/>
      <c r="I36">
        <v>0</v>
      </c>
      <c r="J36"/>
    </row>
    <row r="37" spans="1:10" ht="15" customHeight="1" x14ac:dyDescent="0.15">
      <c r="A37" s="209">
        <v>36</v>
      </c>
      <c r="B37" s="209" t="s">
        <v>227</v>
      </c>
      <c r="C37" s="8">
        <v>1</v>
      </c>
      <c r="D37" s="9">
        <v>5</v>
      </c>
      <c r="E37" s="10"/>
      <c r="F37" s="10"/>
      <c r="G37" s="7">
        <v>0</v>
      </c>
      <c r="H37" s="10"/>
      <c r="I37">
        <v>0</v>
      </c>
      <c r="J37"/>
    </row>
    <row r="38" spans="1:10" ht="15" customHeight="1" x14ac:dyDescent="0.15">
      <c r="A38" s="210">
        <v>37</v>
      </c>
      <c r="B38" s="210" t="s">
        <v>228</v>
      </c>
      <c r="C38" s="8">
        <v>4.0175228118896484</v>
      </c>
      <c r="D38" s="10"/>
      <c r="E38" s="10"/>
      <c r="F38" s="10"/>
      <c r="G38" s="10"/>
      <c r="H38" s="10"/>
      <c r="I38">
        <v>1.6649998426437378</v>
      </c>
      <c r="J38"/>
    </row>
    <row r="39" spans="1:10" ht="15" customHeight="1" x14ac:dyDescent="0.15">
      <c r="A39" s="211">
        <v>38</v>
      </c>
      <c r="B39" s="211" t="s">
        <v>229</v>
      </c>
      <c r="C39" s="8">
        <v>4.5416784286499023</v>
      </c>
      <c r="D39" s="10"/>
      <c r="E39" s="10"/>
      <c r="F39" s="10"/>
      <c r="G39" s="10"/>
      <c r="H39" s="10"/>
      <c r="I39">
        <v>1.1649999618530273</v>
      </c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2" bestFit="1" customWidth="1"/>
    <col min="2" max="4" width="9.5" style="82" bestFit="1" customWidth="1"/>
    <col min="5" max="7" width="9" style="82" bestFit="1" customWidth="1"/>
    <col min="8" max="16" width="12.6640625" style="82" bestFit="1" customWidth="1"/>
    <col min="17" max="17" width="12.33203125" style="82" bestFit="1" customWidth="1"/>
    <col min="18" max="18" width="8.83203125" style="82"/>
    <col min="19" max="21" width="9.33203125" style="82" bestFit="1" customWidth="1"/>
    <col min="22" max="23" width="8.83203125" style="82"/>
    <col min="24" max="24" width="9.33203125" style="82" bestFit="1" customWidth="1"/>
    <col min="25" max="27" width="8.83203125" style="82"/>
    <col min="28" max="58" width="9" style="82" bestFit="1" customWidth="1"/>
    <col min="59" max="59" width="12.33203125" style="82" bestFit="1" customWidth="1"/>
    <col min="60" max="60" width="9" style="82" bestFit="1" customWidth="1"/>
    <col min="61" max="61" width="11.33203125" style="82" bestFit="1" customWidth="1"/>
    <col min="62" max="77" width="9" style="82" bestFit="1" customWidth="1"/>
    <col min="78" max="78" width="12.33203125" style="82" bestFit="1" customWidth="1"/>
    <col min="79" max="79" width="9" style="82" bestFit="1" customWidth="1"/>
    <col min="80" max="80" width="12.33203125" style="82" bestFit="1" customWidth="1"/>
    <col min="81" max="107" width="9" style="82" bestFit="1" customWidth="1"/>
    <col min="108" max="108" width="11.33203125" style="82" bestFit="1" customWidth="1"/>
    <col min="109" max="124" width="9" style="82" bestFit="1" customWidth="1"/>
    <col min="125" max="125" width="10.33203125" style="82" bestFit="1" customWidth="1"/>
    <col min="126" max="129" width="9.33203125" style="82" bestFit="1" customWidth="1"/>
    <col min="130" max="130" width="9" style="82" bestFit="1" customWidth="1"/>
    <col min="131" max="134" width="9.33203125" style="82" bestFit="1" customWidth="1"/>
    <col min="135" max="165" width="9" style="82" bestFit="1" customWidth="1"/>
    <col min="166" max="166" width="12.33203125" style="82" bestFit="1" customWidth="1"/>
    <col min="167" max="170" width="9" style="82" bestFit="1" customWidth="1"/>
    <col min="171" max="176" width="8.83203125" style="82"/>
    <col min="177" max="177" width="13.83203125" style="82" bestFit="1" customWidth="1"/>
    <col min="178" max="16384" width="8.83203125" style="8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234</v>
      </c>
      <c r="E1" t="s">
        <v>235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  <c r="AF1" t="s">
        <v>218</v>
      </c>
      <c r="AG1" t="s">
        <v>219</v>
      </c>
      <c r="AH1" t="s">
        <v>220</v>
      </c>
      <c r="AI1" t="s">
        <v>221</v>
      </c>
      <c r="AJ1" t="s">
        <v>222</v>
      </c>
      <c r="AK1" t="s">
        <v>223</v>
      </c>
      <c r="AL1" t="s">
        <v>224</v>
      </c>
      <c r="AM1" t="s">
        <v>225</v>
      </c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1.9999999552965164E-2</v>
      </c>
      <c r="C2">
        <v>1.9999999552965164E-2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7.0000000298023224E-2</v>
      </c>
      <c r="C3">
        <v>5.9490744024515152E-2</v>
      </c>
      <c r="D3"/>
      <c r="E3"/>
      <c r="F3"/>
      <c r="G3"/>
      <c r="H3"/>
      <c r="I3"/>
      <c r="J3"/>
      <c r="K3" s="240">
        <v>1.0509255342185497E-2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0.15000000596046448</v>
      </c>
      <c r="C4">
        <v>0.11999958753585815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 s="241">
        <v>3.0000422149896622E-2</v>
      </c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0.30000001192092896</v>
      </c>
      <c r="C5">
        <v>0.30000001192092896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0.36300000548362732</v>
      </c>
      <c r="C6">
        <v>0.2244998961687088</v>
      </c>
      <c r="D6" s="212">
        <v>3.1088082119822502E-2</v>
      </c>
      <c r="E6" s="225">
        <v>6.2176164239645004E-2</v>
      </c>
      <c r="F6"/>
      <c r="G6"/>
      <c r="H6"/>
      <c r="I6"/>
      <c r="J6"/>
      <c r="K6" s="247">
        <v>3.185885027050972E-2</v>
      </c>
      <c r="L6"/>
      <c r="M6" s="18">
        <v>4.1685639880597591E-3</v>
      </c>
      <c r="N6" s="26">
        <v>9.20844916254282E-3</v>
      </c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0.40999999642372131</v>
      </c>
      <c r="C7">
        <v>0.24597644805908203</v>
      </c>
      <c r="D7" s="213">
        <v>6.6897906363010406E-2</v>
      </c>
      <c r="E7" s="71">
        <v>2.8670528903603554E-2</v>
      </c>
      <c r="F7"/>
      <c r="G7"/>
      <c r="H7"/>
      <c r="I7"/>
      <c r="J7"/>
      <c r="K7" s="68">
        <v>2.6064528152346611E-2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 s="245">
        <v>4.2390588670969009E-2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0.85000002384185791</v>
      </c>
      <c r="C8">
        <v>8.4878578782081604E-2</v>
      </c>
      <c r="D8" s="27">
        <v>6.502494215965271E-2</v>
      </c>
      <c r="E8" s="226">
        <v>0.17946884036064148</v>
      </c>
      <c r="F8"/>
      <c r="G8" s="17">
        <v>1.2286721728742123E-2</v>
      </c>
      <c r="H8"/>
      <c r="I8" s="12">
        <v>2.8518589679151773E-3</v>
      </c>
      <c r="J8" s="239">
        <v>6.9244854152202606E-2</v>
      </c>
      <c r="K8" s="253">
        <v>9.714210033416748E-2</v>
      </c>
      <c r="L8" s="145">
        <v>0.30364248156547546</v>
      </c>
      <c r="M8" s="28">
        <v>2.9296236112713814E-2</v>
      </c>
      <c r="N8" s="22">
        <v>6.1634304001927376E-3</v>
      </c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0.92000001668930054</v>
      </c>
      <c r="C9">
        <v>9.1789618134498596E-2</v>
      </c>
      <c r="D9" s="77">
        <v>0.15449328720569611</v>
      </c>
      <c r="E9" s="227">
        <v>0.37765029072761536</v>
      </c>
      <c r="F9"/>
      <c r="G9" s="224">
        <v>3.6039657890796661E-2</v>
      </c>
      <c r="H9"/>
      <c r="I9" s="22">
        <v>7.5286170467734337E-3</v>
      </c>
      <c r="J9"/>
      <c r="K9" s="146">
        <v>0.23408447206020355</v>
      </c>
      <c r="L9"/>
      <c r="M9" s="21">
        <v>1.841406524181366E-2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</v>
      </c>
      <c r="C10">
        <v>9.9782109260559082E-2</v>
      </c>
      <c r="D10" s="214">
        <v>0.15946052968502045</v>
      </c>
      <c r="E10" s="228">
        <v>0.38270530104637146</v>
      </c>
      <c r="F10"/>
      <c r="G10" s="223">
        <v>3.347855806350708E-2</v>
      </c>
      <c r="H10"/>
      <c r="I10" s="22">
        <v>8.7420102208852768E-3</v>
      </c>
      <c r="J10"/>
      <c r="K10" s="251">
        <v>0.26093953847885132</v>
      </c>
      <c r="L10"/>
      <c r="M10" s="19">
        <v>1.7105499282479286E-2</v>
      </c>
      <c r="N10" s="13">
        <v>3.7786420434713364E-2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0.69999998807907104</v>
      </c>
      <c r="C11">
        <v>6.9993503391742706E-2</v>
      </c>
      <c r="D11"/>
      <c r="E11" s="71">
        <v>4.9286238849163055E-2</v>
      </c>
      <c r="F11" s="12">
        <v>2.1036628168076277E-3</v>
      </c>
      <c r="G11" s="12">
        <v>2.9243186581879854E-3</v>
      </c>
      <c r="H11"/>
      <c r="I11" s="23">
        <v>4.6991128474473953E-3</v>
      </c>
      <c r="J11" s="255">
        <v>5.1043529063463211E-2</v>
      </c>
      <c r="K11" s="17">
        <v>8.979232981801033E-3</v>
      </c>
      <c r="L11" s="269">
        <v>0.25668740272521973</v>
      </c>
      <c r="M11" s="23">
        <v>4.5973798260092735E-3</v>
      </c>
      <c r="N11" s="267">
        <v>0.10485772043466568</v>
      </c>
      <c r="O11" s="71">
        <v>4.9000006169080734E-2</v>
      </c>
      <c r="P11"/>
      <c r="Q11"/>
      <c r="R11"/>
      <c r="S11"/>
      <c r="T11"/>
      <c r="U11"/>
      <c r="V11"/>
      <c r="W11" s="21">
        <v>1.3116871938109398E-2</v>
      </c>
      <c r="X11"/>
      <c r="Y11"/>
      <c r="Z11"/>
      <c r="AA11"/>
      <c r="AB11"/>
      <c r="AC11" s="25">
        <v>2.2635158151388168E-2</v>
      </c>
      <c r="AD11"/>
      <c r="AE11"/>
      <c r="AF11"/>
      <c r="AG11"/>
      <c r="AH11"/>
      <c r="AI11" s="212">
        <v>6.0075830668210983E-2</v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1.4199999570846558</v>
      </c>
      <c r="C12">
        <v>7.1010090410709381E-2</v>
      </c>
      <c r="D12" s="215">
        <v>0.62156790494918823</v>
      </c>
      <c r="E12"/>
      <c r="F12"/>
      <c r="G12" s="14">
        <v>2.0691987592726946E-3</v>
      </c>
      <c r="H12"/>
      <c r="I12" s="12">
        <v>4.9708946608006954E-3</v>
      </c>
      <c r="J12" s="66">
        <v>5.707988515496254E-2</v>
      </c>
      <c r="K12" s="14">
        <v>1.7955697840079665E-3</v>
      </c>
      <c r="L12" s="71">
        <v>0.10004915297031403</v>
      </c>
      <c r="M12" s="143">
        <v>4.1895028203725815E-2</v>
      </c>
      <c r="N12" s="18">
        <v>1.5974890440702438E-2</v>
      </c>
      <c r="O12"/>
      <c r="P12"/>
      <c r="Q12"/>
      <c r="R12" s="28">
        <v>4.8853926360607147E-2</v>
      </c>
      <c r="S12" s="26">
        <v>3.636583685874939E-2</v>
      </c>
      <c r="T12" s="13">
        <v>5.4026927798986435E-2</v>
      </c>
      <c r="U12" s="23">
        <v>7.117830216884613E-3</v>
      </c>
      <c r="V12" s="17">
        <v>1.9716082140803337E-2</v>
      </c>
      <c r="W12" s="14">
        <v>2.7421957347542048E-3</v>
      </c>
      <c r="X12" s="74">
        <v>0.11262185871601105</v>
      </c>
      <c r="Y12"/>
      <c r="Z12" s="12">
        <v>4.1768751107156277E-3</v>
      </c>
      <c r="AA12"/>
      <c r="AB12" s="17">
        <v>1.9837886095046997E-2</v>
      </c>
      <c r="AC12" s="260">
        <v>0.11984123289585114</v>
      </c>
      <c r="AD12"/>
      <c r="AE12"/>
      <c r="AF12"/>
      <c r="AG12"/>
      <c r="AH12"/>
      <c r="AI12" s="64">
        <v>7.828676700592041E-2</v>
      </c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2.1099998950958252</v>
      </c>
      <c r="C13">
        <v>0.10553385317325592</v>
      </c>
      <c r="D13" s="24">
        <v>5.8037377893924713E-2</v>
      </c>
      <c r="E13" s="107">
        <v>0.13908958435058594</v>
      </c>
      <c r="F13" s="14">
        <v>4.9116578884422779E-3</v>
      </c>
      <c r="G13" s="12">
        <v>6.8277353420853615E-3</v>
      </c>
      <c r="H13"/>
      <c r="I13" s="23">
        <v>1.0861831717193127E-2</v>
      </c>
      <c r="J13" s="71">
        <v>0.15002290904521942</v>
      </c>
      <c r="K13" s="19">
        <v>3.9116725325584412E-2</v>
      </c>
      <c r="L13" s="106">
        <v>0.33013224601745605</v>
      </c>
      <c r="M13" s="266">
        <v>0.22679747641086578</v>
      </c>
      <c r="N13" s="243">
        <v>0.11927033960819244</v>
      </c>
      <c r="O13" s="29">
        <v>9.8062120378017426E-2</v>
      </c>
      <c r="P13"/>
      <c r="Q13"/>
      <c r="R13" s="239">
        <v>0.17247626185417175</v>
      </c>
      <c r="S13" s="243">
        <v>0.11955681443214417</v>
      </c>
      <c r="T13" s="224">
        <v>8.2279689610004425E-2</v>
      </c>
      <c r="U13"/>
      <c r="V13" s="15">
        <v>2.0881291478872299E-2</v>
      </c>
      <c r="W13" s="238">
        <v>4.8722278326749802E-2</v>
      </c>
      <c r="X13"/>
      <c r="Y13"/>
      <c r="Z13" s="14">
        <v>4.8931729979813099E-3</v>
      </c>
      <c r="AA13"/>
      <c r="AB13" s="257">
        <v>0.11373884975910187</v>
      </c>
      <c r="AC13" s="26">
        <v>5.290168896317482E-2</v>
      </c>
      <c r="AD13"/>
      <c r="AE13"/>
      <c r="AF13" s="24">
        <v>5.8606922626495361E-2</v>
      </c>
      <c r="AG13"/>
      <c r="AH13"/>
      <c r="AI13" s="71">
        <v>0.14727908372879028</v>
      </c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0.82999998331069946</v>
      </c>
      <c r="C14">
        <v>7.3786079883575439E-2</v>
      </c>
      <c r="D14" s="216">
        <v>0.37524557113647461</v>
      </c>
      <c r="E14" s="213">
        <v>0.13555991649627686</v>
      </c>
      <c r="F14"/>
      <c r="G14" s="26">
        <v>2.0644281059503555E-2</v>
      </c>
      <c r="H14"/>
      <c r="I14"/>
      <c r="J14" s="24">
        <v>2.202247828245163E-2</v>
      </c>
      <c r="K14"/>
      <c r="L14" s="144">
        <v>4.9859385937452316E-2</v>
      </c>
      <c r="M14" s="26">
        <v>2.1053789183497429E-2</v>
      </c>
      <c r="N14" s="23">
        <v>4.6601383946835995E-3</v>
      </c>
      <c r="O14"/>
      <c r="P14"/>
      <c r="Q14"/>
      <c r="R14" s="24">
        <v>2.3239649832248688E-2</v>
      </c>
      <c r="S14" s="238">
        <v>1.8985871225595474E-2</v>
      </c>
      <c r="T14"/>
      <c r="U14" s="18">
        <v>9.6644069999456406E-3</v>
      </c>
      <c r="V14" s="22">
        <v>5.9850690886378288E-3</v>
      </c>
      <c r="W14"/>
      <c r="X14" s="67">
        <v>4.9522038549184799E-2</v>
      </c>
      <c r="Y14"/>
      <c r="Z14" s="17">
        <v>1.1048181913793087E-2</v>
      </c>
      <c r="AA14"/>
      <c r="AB14" s="15">
        <v>8.723108097910881E-3</v>
      </c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0.84799998998641968</v>
      </c>
      <c r="C15">
        <v>2.4909103289246559E-2</v>
      </c>
      <c r="D15" s="217">
        <v>0.28571429848670959</v>
      </c>
      <c r="E15" s="229">
        <v>0.23166021704673767</v>
      </c>
      <c r="F15"/>
      <c r="G15" s="29">
        <v>4.0571194142103195E-2</v>
      </c>
      <c r="H15"/>
      <c r="I15"/>
      <c r="J15" s="26">
        <v>2.1639848127961159E-2</v>
      </c>
      <c r="K15" s="68">
        <v>5.265088751912117E-2</v>
      </c>
      <c r="L15" s="28">
        <v>2.9395861551165581E-2</v>
      </c>
      <c r="M15" s="238">
        <v>2.0687989890575409E-2</v>
      </c>
      <c r="N15" s="24">
        <v>2.2895852103829384E-2</v>
      </c>
      <c r="O15"/>
      <c r="P15"/>
      <c r="Q15"/>
      <c r="R15" s="25">
        <v>2.6098141446709633E-2</v>
      </c>
      <c r="S15" s="24">
        <v>2.3744000121951103E-2</v>
      </c>
      <c r="T15"/>
      <c r="U15" s="18">
        <v>9.4964923337101936E-3</v>
      </c>
      <c r="V15"/>
      <c r="W15"/>
      <c r="X15" s="18">
        <v>9.732324630022049E-3</v>
      </c>
      <c r="Y15"/>
      <c r="Z15" s="17">
        <v>1.1328233405947685E-2</v>
      </c>
      <c r="AA15"/>
      <c r="AB15" s="22">
        <v>6.8572391755878925E-3</v>
      </c>
      <c r="AC15" s="28">
        <v>3.0618311837315559E-2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0.7839999794960022</v>
      </c>
      <c r="C16">
        <v>2.6255974546074867E-2</v>
      </c>
      <c r="D16" s="17">
        <v>1.0152284987270832E-2</v>
      </c>
      <c r="E16" s="230">
        <v>0.38071069121360779</v>
      </c>
      <c r="F16"/>
      <c r="G16" s="15">
        <v>7.9929772764444351E-3</v>
      </c>
      <c r="H16"/>
      <c r="I16"/>
      <c r="J16" s="248">
        <v>7.1125887334346771E-2</v>
      </c>
      <c r="K16"/>
      <c r="L16" s="256">
        <v>0.12882451713085175</v>
      </c>
      <c r="M16" s="22">
        <v>5.4452312178909779E-3</v>
      </c>
      <c r="N16"/>
      <c r="O16"/>
      <c r="P16"/>
      <c r="Q16"/>
      <c r="R16" s="107">
        <v>5.1519174128770828E-2</v>
      </c>
      <c r="S16" s="69">
        <v>4.0135797113180161E-2</v>
      </c>
      <c r="T16"/>
      <c r="U16" s="16">
        <v>1.2485235929489136E-2</v>
      </c>
      <c r="V16"/>
      <c r="W16"/>
      <c r="X16"/>
      <c r="Y16"/>
      <c r="Z16"/>
      <c r="AA16"/>
      <c r="AB16" s="143">
        <v>2.2515872493386269E-2</v>
      </c>
      <c r="AC16" s="223">
        <v>2.6836354285478592E-2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0.91100001335144043</v>
      </c>
      <c r="C17">
        <v>7.0476621389389038E-2</v>
      </c>
      <c r="D17" s="218">
        <v>0.42592591047286987</v>
      </c>
      <c r="E17" s="231">
        <v>7.4074074625968933E-2</v>
      </c>
      <c r="F17"/>
      <c r="G17"/>
      <c r="H17"/>
      <c r="I17"/>
      <c r="J17" s="143">
        <v>2.5947775691747665E-2</v>
      </c>
      <c r="K17" s="219">
        <v>0.16835282742977142</v>
      </c>
      <c r="L17" s="69">
        <v>4.6997088938951492E-2</v>
      </c>
      <c r="M17" s="220">
        <v>9.9225729703903198E-2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0.56000000238418579</v>
      </c>
      <c r="C18">
        <v>3.3360578119754791E-2</v>
      </c>
      <c r="D18" s="219">
        <v>0.10294117033481598</v>
      </c>
      <c r="E18" s="232">
        <v>5.8823529630899429E-2</v>
      </c>
      <c r="F18"/>
      <c r="G18" s="64">
        <v>3.0874831601977348E-2</v>
      </c>
      <c r="H18"/>
      <c r="I18"/>
      <c r="J18" s="242">
        <v>4.121118038892746E-2</v>
      </c>
      <c r="K18"/>
      <c r="L18"/>
      <c r="M18" s="20">
        <v>2.3662729188799858E-2</v>
      </c>
      <c r="N18" s="74">
        <v>4.3603125959634781E-2</v>
      </c>
      <c r="O18"/>
      <c r="P18"/>
      <c r="Q18"/>
      <c r="R18" s="246">
        <v>7.4627034366130829E-2</v>
      </c>
      <c r="S18" s="244">
        <v>6.4597636461257935E-2</v>
      </c>
      <c r="T18"/>
      <c r="U18" s="76">
        <v>3.6170460283756256E-2</v>
      </c>
      <c r="V18"/>
      <c r="W18"/>
      <c r="X18" s="107">
        <v>3.7068706005811691E-2</v>
      </c>
      <c r="Y18"/>
      <c r="Z18"/>
      <c r="AA18"/>
      <c r="AB18" s="238">
        <v>1.3059006072580814E-2</v>
      </c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0.72500002384185791</v>
      </c>
      <c r="C19">
        <v>2.8498265892267227E-2</v>
      </c>
      <c r="D19" s="220">
        <v>7.9331941902637482E-2</v>
      </c>
      <c r="E19" s="233">
        <v>0.1461377888917923</v>
      </c>
      <c r="F19"/>
      <c r="G19"/>
      <c r="H19"/>
      <c r="I19"/>
      <c r="J19" s="254">
        <v>8.775658905506134E-2</v>
      </c>
      <c r="K19" s="250">
        <v>3.232935443520546E-2</v>
      </c>
      <c r="L19" s="255">
        <v>5.2982106804847717E-2</v>
      </c>
      <c r="M19" s="68">
        <v>4.4789582490921021E-2</v>
      </c>
      <c r="N19" s="255">
        <v>5.1944110542535782E-2</v>
      </c>
      <c r="O19"/>
      <c r="P19"/>
      <c r="Q19"/>
      <c r="R19"/>
      <c r="S19"/>
      <c r="T19"/>
      <c r="U19"/>
      <c r="V19"/>
      <c r="W19" s="139">
        <v>8.7042428553104401E-2</v>
      </c>
      <c r="X19"/>
      <c r="Y19"/>
      <c r="Z19"/>
      <c r="AA19"/>
      <c r="AB19" s="26">
        <v>1.8538881093263626E-2</v>
      </c>
      <c r="AC19" s="253">
        <v>8.2778103649616241E-2</v>
      </c>
      <c r="AD19"/>
      <c r="AE19"/>
      <c r="AF19" s="19">
        <v>1.2870931066572666E-2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0.68199998140335083</v>
      </c>
      <c r="C20">
        <v>1.8887624144554138E-2</v>
      </c>
      <c r="D20" s="221">
        <v>0.39610388875007629</v>
      </c>
      <c r="E20" s="234">
        <v>7.5757570564746857E-2</v>
      </c>
      <c r="F20"/>
      <c r="G20"/>
      <c r="H20"/>
      <c r="I20"/>
      <c r="J20" s="65">
        <v>1.5164284966886044E-2</v>
      </c>
      <c r="K20" s="22">
        <v>5.9151109308004379E-3</v>
      </c>
      <c r="L20"/>
      <c r="M20" s="17">
        <v>9.2875361442565918E-3</v>
      </c>
      <c r="N20"/>
      <c r="O20"/>
      <c r="P20"/>
      <c r="Q20"/>
      <c r="R20" s="248">
        <v>6.2180794775485992E-2</v>
      </c>
      <c r="S20" s="71">
        <v>4.7539390623569489E-2</v>
      </c>
      <c r="T20"/>
      <c r="U20" s="29">
        <v>3.1942747533321381E-2</v>
      </c>
      <c r="V20"/>
      <c r="W20"/>
      <c r="X20"/>
      <c r="Y20"/>
      <c r="Z20"/>
      <c r="AA20"/>
      <c r="AB20" s="24">
        <v>1.9221048802137375E-2</v>
      </c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0.6809999942779541</v>
      </c>
      <c r="C21">
        <v>9.2589318752288818E-2</v>
      </c>
      <c r="D21" s="222">
        <v>0.13012048602104187</v>
      </c>
      <c r="E21" s="22">
        <v>4.8192772082984447E-3</v>
      </c>
      <c r="F21"/>
      <c r="G21" s="14">
        <v>1.2660167412832379E-3</v>
      </c>
      <c r="H21"/>
      <c r="I21" s="22">
        <v>5.2840872667729855E-3</v>
      </c>
      <c r="J21" s="220">
        <v>7.4279427528381348E-2</v>
      </c>
      <c r="K21"/>
      <c r="L21" s="258">
        <v>9.1729260981082916E-2</v>
      </c>
      <c r="M21" s="238">
        <v>1.5493558719754219E-2</v>
      </c>
      <c r="N21"/>
      <c r="O21"/>
      <c r="P21"/>
      <c r="Q21"/>
      <c r="R21" s="74">
        <v>5.2935205399990082E-2</v>
      </c>
      <c r="S21" s="244">
        <v>7.8326597809791565E-2</v>
      </c>
      <c r="T21"/>
      <c r="U21" s="14">
        <v>1.1853453470394015E-3</v>
      </c>
      <c r="V21"/>
      <c r="W21" s="23">
        <v>3.3488613553345203E-3</v>
      </c>
      <c r="X21" s="71">
        <v>4.8591271042823792E-2</v>
      </c>
      <c r="Y21"/>
      <c r="Z21" s="17">
        <v>8.8373869657516479E-3</v>
      </c>
      <c r="AA21"/>
      <c r="AB21" s="13">
        <v>2.567746676504612E-2</v>
      </c>
      <c r="AC21" s="21">
        <v>1.2739184312522411E-2</v>
      </c>
      <c r="AD21"/>
      <c r="AE21"/>
      <c r="AF21"/>
      <c r="AG21"/>
      <c r="AH21"/>
      <c r="AI21" s="249">
        <v>3.377721831202507E-2</v>
      </c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0.64999997615814209</v>
      </c>
      <c r="C22">
        <v>7.6049058698117733E-3</v>
      </c>
      <c r="D22" s="223">
        <v>2.1276596933603287E-2</v>
      </c>
      <c r="E22" s="235">
        <v>0.38297870755195618</v>
      </c>
      <c r="F22"/>
      <c r="G22" s="22">
        <v>5.5837463587522507E-3</v>
      </c>
      <c r="H22"/>
      <c r="I22" s="14">
        <v>1.1664341436699033E-3</v>
      </c>
      <c r="J22"/>
      <c r="K22" s="242">
        <v>4.8356667160987854E-2</v>
      </c>
      <c r="L22" s="66">
        <v>2.6998329907655716E-2</v>
      </c>
      <c r="M22" s="19">
        <v>1.1400403454899788E-2</v>
      </c>
      <c r="N22" s="21">
        <v>1.2617076747119427E-2</v>
      </c>
      <c r="O22"/>
      <c r="P22"/>
      <c r="Q22"/>
      <c r="R22" s="24">
        <v>1.797717809677124E-2</v>
      </c>
      <c r="S22" s="243">
        <v>3.7384174764156342E-2</v>
      </c>
      <c r="T22"/>
      <c r="U22"/>
      <c r="V22"/>
      <c r="W22" s="238">
        <v>1.4784866943955421E-2</v>
      </c>
      <c r="X22" s="65">
        <v>1.3407830148935318E-2</v>
      </c>
      <c r="Y22"/>
      <c r="Z22" s="144">
        <v>3.9016123861074448E-2</v>
      </c>
      <c r="AA22"/>
      <c r="AB22" s="17">
        <v>9.4469413161277771E-3</v>
      </c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1.0019999742507935</v>
      </c>
      <c r="C23">
        <v>0.28574410080909729</v>
      </c>
      <c r="D23" s="25">
        <v>3.1690139323472977E-2</v>
      </c>
      <c r="E23" s="236">
        <v>0.33450701832771301</v>
      </c>
      <c r="F23"/>
      <c r="G23" s="23">
        <v>5.5444235913455486E-3</v>
      </c>
      <c r="H23"/>
      <c r="I23" s="12">
        <v>3.4746590536087751E-3</v>
      </c>
      <c r="J23" s="26">
        <v>2.4668661877512932E-2</v>
      </c>
      <c r="K23" s="238">
        <v>2.4008061736822128E-2</v>
      </c>
      <c r="L23"/>
      <c r="M23" s="223">
        <v>3.3994346857070923E-2</v>
      </c>
      <c r="N23"/>
      <c r="O23"/>
      <c r="P23"/>
      <c r="Q23"/>
      <c r="R23" s="28">
        <v>3.5736888647079468E-2</v>
      </c>
      <c r="S23" s="29">
        <v>4.6401124447584152E-2</v>
      </c>
      <c r="T23"/>
      <c r="U23"/>
      <c r="V23"/>
      <c r="W23" s="238">
        <v>2.4492399767041206E-2</v>
      </c>
      <c r="X23" s="247">
        <v>8.8756047189235687E-2</v>
      </c>
      <c r="Y23"/>
      <c r="Z23" s="65">
        <v>2.2406304255127907E-2</v>
      </c>
      <c r="AA23"/>
      <c r="AB23" s="25">
        <v>3.1268041580915451E-2</v>
      </c>
      <c r="AC23" s="15">
        <v>9.3076787889003754E-3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0.4440000057220459</v>
      </c>
      <c r="C24">
        <v>3.1450048089027405E-2</v>
      </c>
      <c r="D24" s="224">
        <v>1.7500000074505806E-2</v>
      </c>
      <c r="E24" s="237">
        <v>9.4999998807907104E-2</v>
      </c>
      <c r="F24"/>
      <c r="G24"/>
      <c r="H24"/>
      <c r="I24"/>
      <c r="J24" s="246">
        <v>5.9550158679485321E-2</v>
      </c>
      <c r="K24" s="224">
        <v>1.7045725136995316E-2</v>
      </c>
      <c r="L24" s="253">
        <v>5.0756856799125671E-2</v>
      </c>
      <c r="M24" s="254">
        <v>5.3581893444061279E-2</v>
      </c>
      <c r="N24"/>
      <c r="O24"/>
      <c r="P24"/>
      <c r="Q24"/>
      <c r="R24" s="252">
        <v>4.2246364057064056E-2</v>
      </c>
      <c r="S24" s="67">
        <v>2.6355840265750885E-2</v>
      </c>
      <c r="T24"/>
      <c r="U24"/>
      <c r="V24"/>
      <c r="W24"/>
      <c r="X24"/>
      <c r="Y24"/>
      <c r="Z24" s="17">
        <v>6.1125266365706921E-3</v>
      </c>
      <c r="AA24"/>
      <c r="AB24" s="140">
        <v>4.4400621205568314E-2</v>
      </c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0.85600000619888306</v>
      </c>
      <c r="C25">
        <v>4.7514354810118675E-3</v>
      </c>
      <c r="D25" s="12">
        <v>2.5906737428158522E-3</v>
      </c>
      <c r="E25" s="238">
        <v>2.0725389942526817E-2</v>
      </c>
      <c r="F25"/>
      <c r="G25" s="19">
        <v>1.4957495033740997E-2</v>
      </c>
      <c r="H25"/>
      <c r="I25" s="23">
        <v>4.5448625460267067E-3</v>
      </c>
      <c r="J25" s="20">
        <v>3.6299999803304672E-2</v>
      </c>
      <c r="K25" s="24">
        <v>2.3551950231194496E-2</v>
      </c>
      <c r="L25" s="244">
        <v>9.8620831966400146E-2</v>
      </c>
      <c r="M25" s="66">
        <v>3.4703295677900314E-2</v>
      </c>
      <c r="N25" s="13">
        <v>3.1493660062551498E-2</v>
      </c>
      <c r="O25"/>
      <c r="P25"/>
      <c r="Q25"/>
      <c r="R25" s="69">
        <v>4.3778616935014725E-2</v>
      </c>
      <c r="S25" s="24">
        <v>2.275979146361351E-2</v>
      </c>
      <c r="T25" s="24">
        <v>2.4001069366931915E-2</v>
      </c>
      <c r="U25" s="143">
        <v>2.4532197043299675E-2</v>
      </c>
      <c r="V25" s="22">
        <v>5.9191714972257614E-3</v>
      </c>
      <c r="W25" s="260">
        <v>7.2009190917015076E-2</v>
      </c>
      <c r="X25" s="253">
        <v>9.7953572869300842E-2</v>
      </c>
      <c r="Y25"/>
      <c r="Z25" s="15">
        <v>8.2427337765693665E-3</v>
      </c>
      <c r="AA25"/>
      <c r="AB25" s="66">
        <v>3.4508254379034042E-2</v>
      </c>
      <c r="AC25" s="231">
        <v>6.8481370806694031E-2</v>
      </c>
      <c r="AD25"/>
      <c r="AE25"/>
      <c r="AF25"/>
      <c r="AG25"/>
      <c r="AH25"/>
      <c r="AI25" s="226">
        <v>0.18157440423965454</v>
      </c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0.77499997615814209</v>
      </c>
      <c r="C26">
        <v>0.20612955093383789</v>
      </c>
      <c r="D26" s="14">
        <v>1.1723330244421959E-3</v>
      </c>
      <c r="E26" s="68">
        <v>4.9237985163927078E-2</v>
      </c>
      <c r="F26"/>
      <c r="G26" s="22">
        <v>6.1594019643962383E-3</v>
      </c>
      <c r="H26"/>
      <c r="I26" s="23">
        <v>3.8562063127756119E-3</v>
      </c>
      <c r="J26" s="257">
        <v>4.1066236793994904E-2</v>
      </c>
      <c r="K26" s="17">
        <v>1.0657741688191891E-2</v>
      </c>
      <c r="L26" s="265">
        <v>0.13983424007892609</v>
      </c>
      <c r="M26" s="13">
        <v>2.889527752995491E-2</v>
      </c>
      <c r="N26" s="24">
        <v>2.0855894312262535E-2</v>
      </c>
      <c r="O26"/>
      <c r="P26"/>
      <c r="Q26"/>
      <c r="R26"/>
      <c r="S26" s="17">
        <v>1.0299272835254669E-2</v>
      </c>
      <c r="T26" s="29">
        <v>3.6203257739543915E-2</v>
      </c>
      <c r="U26" s="12">
        <v>2.8834601398557425E-3</v>
      </c>
      <c r="V26" s="15">
        <v>7.1427905932068825E-3</v>
      </c>
      <c r="W26" s="66">
        <v>3.2585635781288147E-2</v>
      </c>
      <c r="X26" s="27">
        <v>5.910133570432663E-2</v>
      </c>
      <c r="Y26"/>
      <c r="Z26"/>
      <c r="AA26"/>
      <c r="AB26" s="144">
        <v>4.6847082674503326E-2</v>
      </c>
      <c r="AC26" s="224">
        <v>3.0989225953817368E-2</v>
      </c>
      <c r="AD26"/>
      <c r="AE26"/>
      <c r="AF26"/>
      <c r="AG26"/>
      <c r="AH26"/>
      <c r="AI26" s="257">
        <v>4.1083075106143951E-2</v>
      </c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1.0900000333786011</v>
      </c>
      <c r="C27">
        <v>0.25944733619689941</v>
      </c>
      <c r="D27" s="12">
        <v>3.5335689317435026E-3</v>
      </c>
      <c r="E27" s="26">
        <v>2.8268551453948021E-2</v>
      </c>
      <c r="F27" s="12">
        <v>3.8543336559087038E-3</v>
      </c>
      <c r="G27" s="18">
        <v>1.3614526949822903E-2</v>
      </c>
      <c r="H27"/>
      <c r="I27" s="22">
        <v>7.7487495727837086E-3</v>
      </c>
      <c r="J27" s="257">
        <v>5.7763606309890747E-2</v>
      </c>
      <c r="K27" s="15">
        <v>1.0707954876124859E-2</v>
      </c>
      <c r="L27" s="262">
        <v>7.4730351567268372E-2</v>
      </c>
      <c r="M27" s="19">
        <v>2.0195767283439636E-2</v>
      </c>
      <c r="N27" s="26">
        <v>2.7938872575759888E-2</v>
      </c>
      <c r="O27"/>
      <c r="P27"/>
      <c r="Q27"/>
      <c r="R27" s="28">
        <v>3.7817712873220444E-2</v>
      </c>
      <c r="S27" s="15">
        <v>1.1382577940821648E-2</v>
      </c>
      <c r="T27" s="28">
        <v>3.8556255400180817E-2</v>
      </c>
      <c r="U27" s="22">
        <v>8.6911367252469063E-3</v>
      </c>
      <c r="V27" s="23">
        <v>7.1764434687793255E-3</v>
      </c>
      <c r="W27" s="143">
        <v>3.2739162445068359E-2</v>
      </c>
      <c r="X27" s="64">
        <v>5.9379786252975464E-2</v>
      </c>
      <c r="Y27"/>
      <c r="Z27" s="15">
        <v>1.1519485153257847E-2</v>
      </c>
      <c r="AA27"/>
      <c r="AB27" s="67">
        <v>6.4848966896533966E-2</v>
      </c>
      <c r="AC27" s="241">
        <v>0.2179466187953949</v>
      </c>
      <c r="AD27"/>
      <c r="AE27" s="224">
        <v>4.360000416636467E-2</v>
      </c>
      <c r="AF27" s="23">
        <v>7.261691614985466E-3</v>
      </c>
      <c r="AG27"/>
      <c r="AH27"/>
      <c r="AI27" s="13">
        <v>4.1276633739471436E-2</v>
      </c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0.75499999523162842</v>
      </c>
      <c r="C28">
        <v>0.15095755457878113</v>
      </c>
      <c r="D28" s="12">
        <v>2.9353171121329069E-3</v>
      </c>
      <c r="E28" s="16">
        <v>1.1741268448531628E-2</v>
      </c>
      <c r="F28" s="18">
        <v>9.60532296448946E-3</v>
      </c>
      <c r="G28"/>
      <c r="H28"/>
      <c r="I28"/>
      <c r="J28" s="64">
        <v>4.1129074990749359E-2</v>
      </c>
      <c r="K28" s="24">
        <v>2.005394734442234E-2</v>
      </c>
      <c r="L28" s="264">
        <v>0.24558374285697937</v>
      </c>
      <c r="M28"/>
      <c r="N28"/>
      <c r="O28"/>
      <c r="P28"/>
      <c r="Q28"/>
      <c r="R28"/>
      <c r="S28"/>
      <c r="T28"/>
      <c r="U28"/>
      <c r="V28"/>
      <c r="W28" s="16">
        <v>1.2250561267137527E-2</v>
      </c>
      <c r="X28"/>
      <c r="Y28"/>
      <c r="Z28"/>
      <c r="AA28"/>
      <c r="AB28"/>
      <c r="AC28" s="69">
        <v>3.8795802742242813E-2</v>
      </c>
      <c r="AD28"/>
      <c r="AE28"/>
      <c r="AF28" s="27">
        <v>5.7363659143447876E-2</v>
      </c>
      <c r="AG28"/>
      <c r="AH28"/>
      <c r="AI28" s="261">
        <v>0.16458375751972198</v>
      </c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0.37000000476837158</v>
      </c>
      <c r="C29">
        <v>3.6968186497688293E-2</v>
      </c>
      <c r="D29" s="23">
        <v>1.8169018439948559E-3</v>
      </c>
      <c r="E29" s="16">
        <v>5.4507050663232803E-3</v>
      </c>
      <c r="F29" s="16">
        <v>5.9455004520714283E-3</v>
      </c>
      <c r="G29" s="107">
        <v>2.4794667959213257E-2</v>
      </c>
      <c r="H29"/>
      <c r="I29"/>
      <c r="J29" s="24">
        <v>1.0183226317167282E-2</v>
      </c>
      <c r="K29" s="107">
        <v>2.4825973436236382E-2</v>
      </c>
      <c r="L29" s="13">
        <v>1.3819213956594467E-2</v>
      </c>
      <c r="M29"/>
      <c r="N29" s="14">
        <v>1.0774274123832583E-3</v>
      </c>
      <c r="O29"/>
      <c r="P29"/>
      <c r="Q29"/>
      <c r="R29"/>
      <c r="S29"/>
      <c r="T29"/>
      <c r="U29"/>
      <c r="V29"/>
      <c r="W29" s="223">
        <v>1.2638081796467304E-2</v>
      </c>
      <c r="X29"/>
      <c r="Y29"/>
      <c r="Z29"/>
      <c r="AA29"/>
      <c r="AB29"/>
      <c r="AC29" s="259">
        <v>8.6449742317199707E-2</v>
      </c>
      <c r="AD29"/>
      <c r="AE29"/>
      <c r="AF29" s="69">
        <v>1.8687864765524864E-2</v>
      </c>
      <c r="AG29"/>
      <c r="AH29"/>
      <c r="AI29" s="263">
        <v>0.12734250724315643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2.5999999046325684</v>
      </c>
      <c r="C30">
        <v>0.51996707916259766</v>
      </c>
      <c r="D30"/>
      <c r="E30" s="12">
        <v>1.0750968009233475E-2</v>
      </c>
      <c r="F30"/>
      <c r="G30"/>
      <c r="H30"/>
      <c r="I30" s="11">
        <v>2.5168713182210922E-3</v>
      </c>
      <c r="J30" s="17">
        <v>3.3385176211595535E-2</v>
      </c>
      <c r="K30" s="12">
        <v>8.4529835730791092E-3</v>
      </c>
      <c r="L30" s="15">
        <v>2.580944262444973E-2</v>
      </c>
      <c r="M30" s="14">
        <v>3.2727867364883423E-3</v>
      </c>
      <c r="N30" s="14">
        <v>7.4091926217079163E-3</v>
      </c>
      <c r="O30"/>
      <c r="P30"/>
      <c r="Q30" s="255">
        <v>0.18996945023536682</v>
      </c>
      <c r="R30" s="247">
        <v>0.22783118486404419</v>
      </c>
      <c r="S30" s="13">
        <v>9.8279327154159546E-2</v>
      </c>
      <c r="T30" s="24">
        <v>7.1964256465435028E-2</v>
      </c>
      <c r="U30" s="16">
        <v>4.2951993644237518E-2</v>
      </c>
      <c r="V30" s="22">
        <v>2.035919763147831E-2</v>
      </c>
      <c r="W30" s="28">
        <v>9.2879302799701691E-2</v>
      </c>
      <c r="X30" s="223">
        <v>8.7890803813934326E-2</v>
      </c>
      <c r="Y30" s="11">
        <v>3.2814586302265525E-4</v>
      </c>
      <c r="Z30" s="23">
        <v>1.3285201974213123E-2</v>
      </c>
      <c r="AA30" s="65">
        <v>5.4244685918092728E-2</v>
      </c>
      <c r="AB30" s="143">
        <v>7.4053704738616943E-2</v>
      </c>
      <c r="AC30" s="224">
        <v>0.10292251408100128</v>
      </c>
      <c r="AD30" s="224">
        <v>0.10447130352258682</v>
      </c>
      <c r="AE30" s="74">
        <v>0.20220780372619629</v>
      </c>
      <c r="AF30" s="21">
        <v>5.3144719451665878E-2</v>
      </c>
      <c r="AG30" s="15">
        <v>2.5809051468968391E-2</v>
      </c>
      <c r="AH30" s="27">
        <v>0.20000000298023224</v>
      </c>
      <c r="AI30" s="270">
        <v>0.32584255933761597</v>
      </c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2.7000000476837158</v>
      </c>
      <c r="C31">
        <v>0.269735187292099</v>
      </c>
      <c r="D31"/>
      <c r="E31" s="239">
        <v>0.22115142643451691</v>
      </c>
      <c r="F31" s="12">
        <v>8.0644721165299416E-3</v>
      </c>
      <c r="G31" s="108">
        <v>0.46551880240440369</v>
      </c>
      <c r="H31"/>
      <c r="I31" s="14">
        <v>6.8833325058221817E-3</v>
      </c>
      <c r="J31" s="76">
        <v>0.17592787742614746</v>
      </c>
      <c r="K31" s="223">
        <v>9.0796738862991333E-2</v>
      </c>
      <c r="L31" s="268">
        <v>0.69884365797042847</v>
      </c>
      <c r="M31" s="26">
        <v>6.6577859222888947E-2</v>
      </c>
      <c r="N31" s="25">
        <v>8.6214587092399597E-2</v>
      </c>
      <c r="O31"/>
      <c r="P31"/>
      <c r="Q31"/>
      <c r="R31"/>
      <c r="S31" s="12">
        <v>1.2534691020846367E-2</v>
      </c>
      <c r="T31"/>
      <c r="U31"/>
      <c r="V31"/>
      <c r="W31" s="13">
        <v>0.10122969746589661</v>
      </c>
      <c r="X31"/>
      <c r="Y31"/>
      <c r="Z31" s="14">
        <v>3.4919925965368748E-3</v>
      </c>
      <c r="AA31"/>
      <c r="AB31" s="250">
        <v>0.12036512047052383</v>
      </c>
      <c r="AC31" s="24">
        <v>7.5430639088153839E-2</v>
      </c>
      <c r="AD31"/>
      <c r="AE31" s="224">
        <v>0.10562877357006073</v>
      </c>
      <c r="AF31" s="223">
        <v>9.089583158493042E-2</v>
      </c>
      <c r="AG31" s="11">
        <v>7.0923077873885632E-4</v>
      </c>
      <c r="AH31"/>
      <c r="AI31" s="13">
        <v>0.10000000149011612</v>
      </c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1.7999999523162842</v>
      </c>
      <c r="C32">
        <v>0.37078642845153809</v>
      </c>
      <c r="D32"/>
      <c r="E32"/>
      <c r="F32"/>
      <c r="G32" s="11">
        <v>3.5726994974538684E-4</v>
      </c>
      <c r="H32"/>
      <c r="I32" s="11">
        <v>3.0261965002864599E-4</v>
      </c>
      <c r="J32" s="14">
        <v>2.7182893827557564E-3</v>
      </c>
      <c r="K32" s="11">
        <v>4.1364290518686175E-4</v>
      </c>
      <c r="L32" s="11">
        <v>5.5776763474568725E-4</v>
      </c>
      <c r="M32" s="11">
        <v>2.6817760954145342E-5</v>
      </c>
      <c r="N32" s="11">
        <v>2.3696407879469916E-5</v>
      </c>
      <c r="O32" s="14">
        <v>4.5732851140201092E-3</v>
      </c>
      <c r="P32" s="19">
        <v>3.2417699694633484E-2</v>
      </c>
      <c r="Q32" s="15">
        <v>1.819196343421936E-2</v>
      </c>
      <c r="R32" s="14">
        <v>2.0278254523873329E-3</v>
      </c>
      <c r="S32" s="11">
        <v>1.0542336385697126E-3</v>
      </c>
      <c r="T32" s="11">
        <v>7.4115308234468102E-4</v>
      </c>
      <c r="U32" s="11">
        <v>8.8545297330711037E-5</v>
      </c>
      <c r="V32"/>
      <c r="W32" s="14">
        <v>4.1735060513019562E-3</v>
      </c>
      <c r="X32" s="14">
        <v>4.6632434241473675E-3</v>
      </c>
      <c r="Y32" s="11">
        <v>1.5810629702173173E-4</v>
      </c>
      <c r="Z32" s="11">
        <v>1.1723324423655868E-3</v>
      </c>
      <c r="AA32" s="12">
        <v>7.4773211963474751E-3</v>
      </c>
      <c r="AB32" s="14">
        <v>1.8825861625373363E-3</v>
      </c>
      <c r="AC32" s="12">
        <v>5.6304014287889004E-3</v>
      </c>
      <c r="AD32" s="15">
        <v>1.7272526398301125E-2</v>
      </c>
      <c r="AE32" s="15">
        <v>1.9396595656871796E-2</v>
      </c>
      <c r="AF32" s="11">
        <v>1.2227599509060383E-3</v>
      </c>
      <c r="AG32" s="14">
        <v>3.2351186964660883E-3</v>
      </c>
      <c r="AH32" s="272">
        <v>0.27532404661178589</v>
      </c>
      <c r="AI32" s="17">
        <v>2.4110179394483566E-2</v>
      </c>
      <c r="AJ32" s="273">
        <v>1.0000001192092896</v>
      </c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10</v>
      </c>
      <c r="C33">
        <v>1.9998425245285034</v>
      </c>
      <c r="D33"/>
      <c r="E33"/>
      <c r="F33" s="14">
        <v>2.5924718007445335E-2</v>
      </c>
      <c r="G33"/>
      <c r="H33" s="11">
        <v>2.398764481768012E-3</v>
      </c>
      <c r="I33" s="11">
        <v>8.6403015302494168E-4</v>
      </c>
      <c r="J33" s="14">
        <v>2.8578441590070724E-2</v>
      </c>
      <c r="K33" s="11">
        <v>1.5834588557481766E-3</v>
      </c>
      <c r="L33" s="14">
        <v>1.8803667277097702E-2</v>
      </c>
      <c r="M33" s="11">
        <v>1.2431239883881062E-4</v>
      </c>
      <c r="N33" s="11">
        <v>2.7460878482088447E-4</v>
      </c>
      <c r="O33" s="248">
        <v>0.89339631795883179</v>
      </c>
      <c r="P33"/>
      <c r="Q33" s="140">
        <v>1.0069441795349121</v>
      </c>
      <c r="R33" s="23">
        <v>6.4232535660266876E-2</v>
      </c>
      <c r="S33" s="14">
        <v>2.443423680961132E-2</v>
      </c>
      <c r="T33" s="14">
        <v>1.1451926082372665E-2</v>
      </c>
      <c r="U33" s="11">
        <v>5.1305913366377354E-3</v>
      </c>
      <c r="V33" s="11">
        <v>2.6830725837498903E-3</v>
      </c>
      <c r="W33" s="14">
        <v>1.5461383387446404E-2</v>
      </c>
      <c r="X33" s="14">
        <v>1.1684448458254337E-2</v>
      </c>
      <c r="Y33" s="14">
        <v>2.8007011860609055E-2</v>
      </c>
      <c r="Z33" s="11">
        <v>3.6834604106843472E-3</v>
      </c>
      <c r="AA33" s="14">
        <v>2.3481152951717377E-2</v>
      </c>
      <c r="AB33" s="11">
        <v>4.5279711484909058E-3</v>
      </c>
      <c r="AC33" s="15">
        <v>0.10354005545377731</v>
      </c>
      <c r="AD33" s="23">
        <v>5.5759072303771973E-2</v>
      </c>
      <c r="AE33" s="22">
        <v>6.8635068833827972E-2</v>
      </c>
      <c r="AF33" s="12">
        <v>4.7154303640127182E-2</v>
      </c>
      <c r="AG33" s="23">
        <v>6.0249339789152145E-2</v>
      </c>
      <c r="AH33" s="271">
        <v>3.1906270980834961</v>
      </c>
      <c r="AI33" s="143">
        <v>0.30052152276039124</v>
      </c>
      <c r="AJ33"/>
      <c r="AK33" s="241">
        <v>2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40</v>
      </c>
      <c r="C34">
        <v>15.999960899353027</v>
      </c>
      <c r="D34"/>
      <c r="E34"/>
      <c r="F34"/>
      <c r="G34"/>
      <c r="H34"/>
      <c r="I34"/>
      <c r="J34"/>
      <c r="K34"/>
      <c r="L34" s="11">
        <v>2.2613152395933867E-3</v>
      </c>
      <c r="M34" s="11">
        <v>2.0799607227672823E-5</v>
      </c>
      <c r="N34" s="11">
        <v>4.5946784666739404E-5</v>
      </c>
      <c r="O34" s="22">
        <v>0.31796297430992126</v>
      </c>
      <c r="P34" s="22">
        <v>0.29333341121673584</v>
      </c>
      <c r="Q34" s="23">
        <v>0.23063644766807556</v>
      </c>
      <c r="R34"/>
      <c r="S34"/>
      <c r="T34"/>
      <c r="U34"/>
      <c r="V34"/>
      <c r="W34" s="11">
        <v>5.2278074435889721E-3</v>
      </c>
      <c r="X34"/>
      <c r="Y34" s="11">
        <v>4.7298506833612919E-3</v>
      </c>
      <c r="Z34"/>
      <c r="AA34"/>
      <c r="AB34" s="11">
        <v>1.0320692672394216E-4</v>
      </c>
      <c r="AC34" s="11">
        <v>1.2301089242100716E-2</v>
      </c>
      <c r="AD34" s="11">
        <v>6.0427240096032619E-3</v>
      </c>
      <c r="AE34" s="11">
        <v>1.1340283788740635E-2</v>
      </c>
      <c r="AF34" s="11">
        <v>3.5862403456121683E-3</v>
      </c>
      <c r="AG34" s="11">
        <v>2.4016841780394316E-3</v>
      </c>
      <c r="AH34" s="15">
        <v>0.3736928403377533</v>
      </c>
      <c r="AI34" s="11">
        <v>2.9897663742303848E-2</v>
      </c>
      <c r="AJ34" s="274">
        <v>15.511815071105957</v>
      </c>
      <c r="AK34" s="265">
        <v>7.1946415901184082</v>
      </c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84</v>
      </c>
      <c r="C35">
        <v>15.58925724029541</v>
      </c>
      <c r="D35"/>
      <c r="E35"/>
      <c r="F35"/>
      <c r="G35"/>
      <c r="H35" s="11">
        <v>1.3499544002115726E-3</v>
      </c>
      <c r="I35"/>
      <c r="J35"/>
      <c r="K35"/>
      <c r="L35"/>
      <c r="M35"/>
      <c r="N35"/>
      <c r="O35" s="11">
        <v>2.3907959461212158E-2</v>
      </c>
      <c r="P35" s="14">
        <v>0.15660722553730011</v>
      </c>
      <c r="Q35" s="11">
        <v>6.2352996319532394E-2</v>
      </c>
      <c r="R35"/>
      <c r="S35"/>
      <c r="T35"/>
      <c r="U35"/>
      <c r="V35"/>
      <c r="W35" s="11">
        <v>8.0647456343285739E-5</v>
      </c>
      <c r="X35"/>
      <c r="Y35" s="11">
        <v>7.970781996846199E-3</v>
      </c>
      <c r="Z35" s="11">
        <v>1.5961684403009713E-4</v>
      </c>
      <c r="AA35" s="11">
        <v>1.486128312535584E-3</v>
      </c>
      <c r="AB35"/>
      <c r="AC35"/>
      <c r="AD35" s="11">
        <v>1.7224301118403673E-3</v>
      </c>
      <c r="AE35" s="11">
        <v>4.2381100356578827E-3</v>
      </c>
      <c r="AF35"/>
      <c r="AG35"/>
      <c r="AH35"/>
      <c r="AI35"/>
      <c r="AJ35" s="22">
        <v>0.72463774681091309</v>
      </c>
      <c r="AK35" s="14">
        <v>0.15632520616054535</v>
      </c>
      <c r="AL35" s="275">
        <v>67.2698974609375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/>
      <c r="C36">
        <v>0.59844726324081421</v>
      </c>
      <c r="D36"/>
      <c r="E36"/>
      <c r="F36"/>
      <c r="G36"/>
      <c r="H36"/>
      <c r="I36"/>
      <c r="J36"/>
      <c r="K36" s="9">
        <v>2.0040396600961685E-2</v>
      </c>
      <c r="L36"/>
      <c r="M36" s="9">
        <v>1.0727104963734746E-3</v>
      </c>
      <c r="N36" s="9">
        <v>2.3696408607065678E-3</v>
      </c>
      <c r="O36" s="9">
        <v>0.32666319608688354</v>
      </c>
      <c r="P36"/>
      <c r="Q36" s="9">
        <v>4.0191540718078613</v>
      </c>
      <c r="R36"/>
      <c r="S36"/>
      <c r="T36"/>
      <c r="U36"/>
      <c r="V36"/>
      <c r="W36" s="9">
        <v>8.0687768757343292E-2</v>
      </c>
      <c r="X36" s="9">
        <v>1.6384368762373924E-2</v>
      </c>
      <c r="Y36" s="9">
        <v>0.32072991132736206</v>
      </c>
      <c r="Z36"/>
      <c r="AA36"/>
      <c r="AB36"/>
      <c r="AC36" s="9">
        <v>0.23526088893413544</v>
      </c>
      <c r="AD36" s="9">
        <v>4.2256951332092285E-2</v>
      </c>
      <c r="AE36" s="9">
        <v>7.4032805860042572E-2</v>
      </c>
      <c r="AF36"/>
      <c r="AG36"/>
      <c r="AH36" s="9">
        <v>17.207752227783203</v>
      </c>
      <c r="AI36"/>
      <c r="AJ36" s="9">
        <v>1950.0001220703125</v>
      </c>
      <c r="AK36" s="9">
        <v>10.786438941955566</v>
      </c>
      <c r="AL36" s="9">
        <v>515.7359619140625</v>
      </c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/>
      <c r="C37">
        <v>0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8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2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2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6" t="s">
        <v>192</v>
      </c>
      <c r="E5">
        <v>4</v>
      </c>
      <c r="F5">
        <v>3.13</v>
      </c>
      <c r="G5">
        <v>4</v>
      </c>
      <c r="H5" s="197" t="s">
        <v>192</v>
      </c>
      <c r="J5" s="57"/>
      <c r="K5" s="58"/>
    </row>
    <row r="6" spans="1:12" ht="14" thickBot="1" x14ac:dyDescent="0.2">
      <c r="A6" s="41" t="s">
        <v>121</v>
      </c>
      <c r="D6" s="196" t="s">
        <v>193</v>
      </c>
      <c r="E6">
        <v>5</v>
      </c>
      <c r="F6">
        <v>3.13</v>
      </c>
      <c r="G6">
        <v>5</v>
      </c>
      <c r="H6" s="197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6" t="s">
        <v>194</v>
      </c>
      <c r="E7">
        <v>6</v>
      </c>
      <c r="F7">
        <v>3.12</v>
      </c>
      <c r="G7">
        <v>6</v>
      </c>
      <c r="H7" s="197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6" t="s">
        <v>195</v>
      </c>
      <c r="E8">
        <v>7</v>
      </c>
      <c r="F8">
        <v>3.13</v>
      </c>
      <c r="G8">
        <v>7</v>
      </c>
      <c r="H8" s="197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6" t="s">
        <v>196</v>
      </c>
      <c r="E9">
        <v>8</v>
      </c>
      <c r="F9">
        <v>3.22</v>
      </c>
      <c r="G9">
        <v>8</v>
      </c>
      <c r="H9" s="197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6" t="s">
        <v>197</v>
      </c>
      <c r="E10">
        <v>9</v>
      </c>
      <c r="F10">
        <v>3.12</v>
      </c>
      <c r="G10">
        <v>9</v>
      </c>
      <c r="H10" s="197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6" t="s">
        <v>198</v>
      </c>
      <c r="E11">
        <v>10</v>
      </c>
      <c r="F11">
        <v>3.1</v>
      </c>
      <c r="G11">
        <v>10</v>
      </c>
      <c r="H11" s="197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6" t="s">
        <v>199</v>
      </c>
      <c r="E12">
        <v>11</v>
      </c>
      <c r="F12">
        <v>3.12</v>
      </c>
      <c r="G12">
        <v>11</v>
      </c>
      <c r="H12" s="197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6" t="s">
        <v>200</v>
      </c>
      <c r="E13">
        <v>12</v>
      </c>
      <c r="F13">
        <v>3.12</v>
      </c>
      <c r="G13">
        <v>12</v>
      </c>
      <c r="H13" s="197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6" t="s">
        <v>201</v>
      </c>
      <c r="E14">
        <v>13</v>
      </c>
      <c r="F14">
        <v>3.12</v>
      </c>
      <c r="G14">
        <v>13</v>
      </c>
      <c r="H14" s="197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6" t="s">
        <v>202</v>
      </c>
      <c r="E15">
        <v>14</v>
      </c>
      <c r="F15">
        <v>3.12</v>
      </c>
      <c r="G15">
        <v>14</v>
      </c>
      <c r="H15" s="197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6" t="s">
        <v>203</v>
      </c>
      <c r="E16">
        <v>15</v>
      </c>
      <c r="F16">
        <v>3.12</v>
      </c>
      <c r="G16">
        <v>15</v>
      </c>
      <c r="H16" s="197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6" t="s">
        <v>204</v>
      </c>
      <c r="E17">
        <v>16</v>
      </c>
      <c r="F17">
        <v>3.22</v>
      </c>
      <c r="G17">
        <v>16</v>
      </c>
      <c r="H17" s="197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6" t="s">
        <v>205</v>
      </c>
      <c r="E18">
        <v>17</v>
      </c>
      <c r="F18">
        <v>3.22</v>
      </c>
      <c r="G18">
        <v>17</v>
      </c>
      <c r="H18" s="197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6" t="s">
        <v>206</v>
      </c>
      <c r="E19">
        <v>18</v>
      </c>
      <c r="F19">
        <v>3.22</v>
      </c>
      <c r="G19">
        <v>18</v>
      </c>
      <c r="H19" s="197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6" t="s">
        <v>207</v>
      </c>
      <c r="E20">
        <v>19</v>
      </c>
      <c r="F20">
        <v>3.22</v>
      </c>
      <c r="G20">
        <v>19</v>
      </c>
      <c r="H20" s="197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6" t="s">
        <v>208</v>
      </c>
      <c r="E21">
        <v>20</v>
      </c>
      <c r="F21">
        <v>3.22</v>
      </c>
      <c r="G21">
        <v>20</v>
      </c>
      <c r="H21" s="197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6" t="s">
        <v>209</v>
      </c>
      <c r="E22">
        <v>21</v>
      </c>
      <c r="F22">
        <v>3.22</v>
      </c>
      <c r="G22">
        <v>21</v>
      </c>
      <c r="H22" s="197" t="s">
        <v>209</v>
      </c>
    </row>
    <row r="23" spans="1:12" x14ac:dyDescent="0.15">
      <c r="A23" s="36" t="s">
        <v>129</v>
      </c>
      <c r="B23" s="44">
        <v>4</v>
      </c>
      <c r="C23" s="38"/>
      <c r="D23" s="196" t="s">
        <v>210</v>
      </c>
      <c r="E23">
        <v>22</v>
      </c>
      <c r="F23">
        <v>3.22</v>
      </c>
      <c r="G23">
        <v>22</v>
      </c>
      <c r="H23" s="197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6" t="s">
        <v>211</v>
      </c>
      <c r="E24">
        <v>23</v>
      </c>
      <c r="F24">
        <v>3.12</v>
      </c>
      <c r="G24">
        <v>23</v>
      </c>
      <c r="H24" s="197" t="s">
        <v>211</v>
      </c>
    </row>
    <row r="25" spans="1:12" x14ac:dyDescent="0.15">
      <c r="A25" s="36" t="s">
        <v>70</v>
      </c>
      <c r="B25" s="44">
        <v>4.2</v>
      </c>
      <c r="C25" s="38"/>
      <c r="D25" s="196" t="s">
        <v>212</v>
      </c>
      <c r="E25">
        <v>24</v>
      </c>
      <c r="F25">
        <v>3.22</v>
      </c>
      <c r="G25">
        <v>24</v>
      </c>
      <c r="H25" s="197" t="s">
        <v>212</v>
      </c>
    </row>
    <row r="26" spans="1:12" x14ac:dyDescent="0.15">
      <c r="A26" s="36" t="s">
        <v>123</v>
      </c>
      <c r="B26" s="44">
        <v>4.3</v>
      </c>
      <c r="C26" s="38"/>
      <c r="D26" s="196" t="s">
        <v>213</v>
      </c>
      <c r="E26">
        <v>25</v>
      </c>
      <c r="F26">
        <v>3.22</v>
      </c>
      <c r="G26">
        <v>25</v>
      </c>
      <c r="H26" s="197" t="s">
        <v>213</v>
      </c>
    </row>
    <row r="27" spans="1:12" x14ac:dyDescent="0.15">
      <c r="A27" s="36" t="s">
        <v>125</v>
      </c>
      <c r="B27" s="44">
        <v>6.1</v>
      </c>
      <c r="D27" s="196" t="s">
        <v>214</v>
      </c>
      <c r="E27">
        <v>26</v>
      </c>
      <c r="F27">
        <v>3.2</v>
      </c>
      <c r="G27">
        <v>26</v>
      </c>
      <c r="H27" s="197" t="s">
        <v>214</v>
      </c>
    </row>
    <row r="28" spans="1:12" x14ac:dyDescent="0.15">
      <c r="A28" s="36" t="s">
        <v>124</v>
      </c>
      <c r="B28" s="44">
        <v>6.2</v>
      </c>
      <c r="D28" s="196" t="s">
        <v>215</v>
      </c>
      <c r="E28">
        <v>27</v>
      </c>
      <c r="F28">
        <v>3.2</v>
      </c>
      <c r="G28">
        <v>27</v>
      </c>
      <c r="H28" s="197" t="s">
        <v>215</v>
      </c>
    </row>
    <row r="29" spans="1:12" x14ac:dyDescent="0.15">
      <c r="A29" s="36" t="s">
        <v>44</v>
      </c>
      <c r="B29" s="44">
        <v>5</v>
      </c>
      <c r="D29" s="196" t="s">
        <v>216</v>
      </c>
      <c r="E29">
        <v>28</v>
      </c>
      <c r="F29">
        <v>3.2</v>
      </c>
      <c r="G29">
        <v>28</v>
      </c>
      <c r="H29" s="197" t="s">
        <v>216</v>
      </c>
    </row>
    <row r="30" spans="1:12" x14ac:dyDescent="0.15">
      <c r="A30" s="36" t="s">
        <v>73</v>
      </c>
      <c r="B30" s="44">
        <v>7</v>
      </c>
      <c r="D30" s="196" t="s">
        <v>217</v>
      </c>
      <c r="E30">
        <v>29</v>
      </c>
      <c r="F30">
        <v>3.2</v>
      </c>
      <c r="G30">
        <v>29</v>
      </c>
      <c r="H30" s="197" t="s">
        <v>217</v>
      </c>
    </row>
    <row r="31" spans="1:12" x14ac:dyDescent="0.15">
      <c r="A31" s="36" t="s">
        <v>169</v>
      </c>
      <c r="B31" s="44">
        <v>3.14</v>
      </c>
      <c r="D31" s="196" t="s">
        <v>218</v>
      </c>
      <c r="E31">
        <v>30</v>
      </c>
      <c r="F31">
        <v>3.2</v>
      </c>
      <c r="G31">
        <v>30</v>
      </c>
      <c r="H31" s="197" t="s">
        <v>218</v>
      </c>
    </row>
    <row r="32" spans="1:12" ht="12" customHeight="1" thickBot="1" x14ac:dyDescent="0.2">
      <c r="A32" s="42" t="s">
        <v>170</v>
      </c>
      <c r="B32" s="45">
        <v>9</v>
      </c>
      <c r="D32" s="196" t="s">
        <v>219</v>
      </c>
      <c r="E32">
        <v>31</v>
      </c>
      <c r="F32">
        <v>3.2</v>
      </c>
      <c r="G32">
        <v>31</v>
      </c>
      <c r="H32" s="197" t="s">
        <v>219</v>
      </c>
    </row>
    <row r="33" spans="4:8" customFormat="1" ht="12" customHeight="1" x14ac:dyDescent="0.15">
      <c r="D33" s="196" t="s">
        <v>220</v>
      </c>
      <c r="E33">
        <v>32</v>
      </c>
      <c r="F33">
        <v>3</v>
      </c>
      <c r="G33">
        <v>32</v>
      </c>
      <c r="H33" s="197" t="s">
        <v>220</v>
      </c>
    </row>
    <row r="34" spans="4:8" customFormat="1" ht="12" customHeight="1" x14ac:dyDescent="0.15">
      <c r="D34" s="196" t="s">
        <v>221</v>
      </c>
      <c r="E34">
        <v>33</v>
      </c>
      <c r="F34">
        <v>3.12</v>
      </c>
      <c r="G34">
        <v>33</v>
      </c>
      <c r="H34" s="197" t="s">
        <v>221</v>
      </c>
    </row>
    <row r="35" spans="4:8" customFormat="1" x14ac:dyDescent="0.15">
      <c r="D35" s="196" t="s">
        <v>222</v>
      </c>
      <c r="E35">
        <v>34</v>
      </c>
      <c r="F35">
        <v>3.21</v>
      </c>
      <c r="G35">
        <v>34</v>
      </c>
      <c r="H35" s="197" t="s">
        <v>222</v>
      </c>
    </row>
    <row r="36" spans="4:8" customFormat="1" x14ac:dyDescent="0.15">
      <c r="D36" s="196" t="s">
        <v>223</v>
      </c>
      <c r="E36">
        <v>35</v>
      </c>
      <c r="F36">
        <v>3.11</v>
      </c>
      <c r="G36">
        <v>35</v>
      </c>
      <c r="H36" s="197" t="s">
        <v>223</v>
      </c>
    </row>
    <row r="37" spans="4:8" customFormat="1" ht="12" customHeight="1" x14ac:dyDescent="0.15">
      <c r="D37" s="196" t="s">
        <v>224</v>
      </c>
      <c r="E37">
        <v>36</v>
      </c>
      <c r="F37">
        <v>3.11</v>
      </c>
      <c r="G37">
        <v>36</v>
      </c>
      <c r="H37" s="197" t="s">
        <v>224</v>
      </c>
    </row>
    <row r="38" spans="4:8" customFormat="1" x14ac:dyDescent="0.15">
      <c r="D38" s="196" t="s">
        <v>225</v>
      </c>
      <c r="E38">
        <v>37</v>
      </c>
      <c r="F38">
        <v>2</v>
      </c>
      <c r="G38">
        <v>37</v>
      </c>
      <c r="H38" s="197" t="s">
        <v>225</v>
      </c>
    </row>
    <row r="39" spans="4:8" customFormat="1" x14ac:dyDescent="0.15">
      <c r="D39" s="196" t="s">
        <v>226</v>
      </c>
      <c r="E39">
        <v>38</v>
      </c>
      <c r="F39">
        <v>4.0999999999999996</v>
      </c>
      <c r="G39">
        <v>38</v>
      </c>
      <c r="H39" s="197" t="s">
        <v>226</v>
      </c>
    </row>
    <row r="40" spans="4:8" customFormat="1" x14ac:dyDescent="0.15">
      <c r="D40" s="196" t="s">
        <v>227</v>
      </c>
      <c r="E40">
        <v>39</v>
      </c>
      <c r="F40">
        <v>4.3</v>
      </c>
      <c r="G40">
        <v>39</v>
      </c>
      <c r="H40" s="197" t="s">
        <v>227</v>
      </c>
    </row>
    <row r="41" spans="4:8" customFormat="1" x14ac:dyDescent="0.15">
      <c r="D41" s="196" t="s">
        <v>228</v>
      </c>
      <c r="E41">
        <v>40</v>
      </c>
      <c r="F41">
        <v>5</v>
      </c>
      <c r="G41">
        <v>40</v>
      </c>
      <c r="H41" s="197" t="s">
        <v>228</v>
      </c>
    </row>
    <row r="42" spans="4:8" customFormat="1" x14ac:dyDescent="0.15">
      <c r="D42" s="196" t="s">
        <v>229</v>
      </c>
      <c r="E42">
        <v>41</v>
      </c>
      <c r="F42">
        <v>5</v>
      </c>
      <c r="G42">
        <v>41</v>
      </c>
      <c r="H42" s="197" t="s">
        <v>229</v>
      </c>
    </row>
    <row r="43" spans="4:8" customFormat="1" x14ac:dyDescent="0.15">
      <c r="D43" s="196" t="s">
        <v>138</v>
      </c>
      <c r="E43">
        <v>42</v>
      </c>
      <c r="F43">
        <v>6.1</v>
      </c>
      <c r="G43">
        <v>42</v>
      </c>
      <c r="H43" s="197" t="s">
        <v>138</v>
      </c>
    </row>
    <row r="44" spans="4:8" customFormat="1" x14ac:dyDescent="0.15">
      <c r="D44" s="196" t="s">
        <v>45</v>
      </c>
      <c r="E44">
        <v>43</v>
      </c>
      <c r="F44">
        <v>6.2</v>
      </c>
      <c r="G44">
        <v>43</v>
      </c>
      <c r="H44" s="197" t="s">
        <v>45</v>
      </c>
    </row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3" bestFit="1" customWidth="1"/>
    <col min="2" max="2" width="3.83203125" style="82" customWidth="1"/>
    <col min="3" max="3" width="16.5" style="82" customWidth="1"/>
    <col min="4" max="4" width="39.6640625" style="82" customWidth="1"/>
    <col min="5" max="5" width="8.1640625" style="82" customWidth="1"/>
    <col min="6" max="6" width="22.5" style="82" bestFit="1" customWidth="1"/>
    <col min="7" max="9" width="2.33203125" style="82" customWidth="1"/>
    <col min="10" max="10" width="2.33203125" style="82" bestFit="1" customWidth="1"/>
    <col min="11" max="15" width="2.33203125" style="82" customWidth="1"/>
    <col min="16" max="16" width="2.33203125" style="72" customWidth="1"/>
    <col min="17" max="17" width="2.33203125" style="82" customWidth="1"/>
    <col min="18" max="18" width="2.33203125" style="73" customWidth="1"/>
    <col min="19" max="16384" width="11.5" style="82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4" t="s">
        <v>48</v>
      </c>
      <c r="L1" s="73"/>
      <c r="M1" s="84" t="s">
        <v>119</v>
      </c>
      <c r="N1" s="73"/>
      <c r="O1" s="84" t="s">
        <v>49</v>
      </c>
      <c r="P1" s="75"/>
      <c r="Q1" s="84" t="s">
        <v>50</v>
      </c>
      <c r="R1" s="70" t="s">
        <v>154</v>
      </c>
    </row>
    <row r="2" spans="1:23" ht="15" customHeight="1" x14ac:dyDescent="0.15">
      <c r="A2" s="84" t="s">
        <v>51</v>
      </c>
      <c r="B2" s="85">
        <v>0.5</v>
      </c>
      <c r="C2" s="83" t="s">
        <v>52</v>
      </c>
      <c r="D2" s="86"/>
      <c r="F2" s="1"/>
      <c r="G2" s="87"/>
      <c r="H2" s="87"/>
      <c r="I2" s="87" t="s">
        <v>133</v>
      </c>
      <c r="J2" s="87" t="s">
        <v>133</v>
      </c>
      <c r="K2" s="87" t="s">
        <v>52</v>
      </c>
      <c r="L2" s="87" t="s">
        <v>53</v>
      </c>
      <c r="M2" s="87" t="s">
        <v>52</v>
      </c>
      <c r="N2" s="87" t="s">
        <v>53</v>
      </c>
      <c r="O2" s="87" t="s">
        <v>52</v>
      </c>
      <c r="P2" s="88" t="s">
        <v>53</v>
      </c>
      <c r="Q2" s="87"/>
      <c r="R2" s="89" t="s">
        <v>155</v>
      </c>
    </row>
    <row r="3" spans="1:23" ht="15" customHeight="1" thickBot="1" x14ac:dyDescent="0.2">
      <c r="A3" s="84" t="s">
        <v>54</v>
      </c>
      <c r="B3" s="90">
        <v>0.5</v>
      </c>
      <c r="C3" s="83" t="s">
        <v>53</v>
      </c>
      <c r="D3" s="8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8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8">
        <v>0</v>
      </c>
      <c r="R4" s="110">
        <v>0</v>
      </c>
    </row>
    <row r="5" spans="1:23" ht="15" customHeight="1" x14ac:dyDescent="0.15">
      <c r="A5" s="84" t="s">
        <v>55</v>
      </c>
      <c r="B5" s="91">
        <v>0.5</v>
      </c>
      <c r="C5" s="83" t="s">
        <v>52</v>
      </c>
      <c r="D5" s="8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8">
        <v>0</v>
      </c>
      <c r="R5" s="110">
        <v>0</v>
      </c>
    </row>
    <row r="6" spans="1:23" ht="15" customHeight="1" thickBot="1" x14ac:dyDescent="0.2">
      <c r="A6" s="84"/>
      <c r="B6" s="92">
        <v>0.5</v>
      </c>
      <c r="C6" s="83" t="s">
        <v>53</v>
      </c>
      <c r="D6" s="86"/>
      <c r="F6" s="198" t="s">
        <v>192</v>
      </c>
      <c r="G6" s="82">
        <v>0</v>
      </c>
      <c r="H6" s="82">
        <v>0</v>
      </c>
      <c r="I6" s="82">
        <v>0</v>
      </c>
      <c r="J6" s="82">
        <v>0</v>
      </c>
      <c r="K6" s="82">
        <v>1</v>
      </c>
      <c r="L6" s="82">
        <v>0</v>
      </c>
      <c r="M6" s="82">
        <v>1</v>
      </c>
      <c r="N6" s="82">
        <v>0</v>
      </c>
      <c r="O6" s="82">
        <v>1</v>
      </c>
      <c r="P6" s="72">
        <v>0</v>
      </c>
      <c r="Q6" s="82">
        <v>0</v>
      </c>
      <c r="R6" s="73">
        <v>1</v>
      </c>
      <c r="S6"/>
      <c r="T6"/>
    </row>
    <row r="7" spans="1:23" ht="15" customHeight="1" thickBot="1" x14ac:dyDescent="0.2">
      <c r="F7" s="198" t="s">
        <v>193</v>
      </c>
      <c r="G7" s="82">
        <v>0</v>
      </c>
      <c r="H7" s="82">
        <v>0</v>
      </c>
      <c r="I7" s="82">
        <v>0</v>
      </c>
      <c r="J7" s="82">
        <v>0</v>
      </c>
      <c r="K7" s="82">
        <v>1</v>
      </c>
      <c r="L7" s="82">
        <v>0</v>
      </c>
      <c r="M7" s="82">
        <v>1</v>
      </c>
      <c r="N7" s="82">
        <v>0</v>
      </c>
      <c r="O7" s="82">
        <v>1</v>
      </c>
      <c r="P7" s="72">
        <v>0</v>
      </c>
      <c r="Q7" s="82">
        <v>0</v>
      </c>
      <c r="R7" s="73">
        <v>1</v>
      </c>
      <c r="S7"/>
      <c r="T7"/>
    </row>
    <row r="8" spans="1:23" ht="15" customHeight="1" x14ac:dyDescent="0.15">
      <c r="A8" s="84" t="s">
        <v>56</v>
      </c>
      <c r="B8" s="91">
        <v>1</v>
      </c>
      <c r="C8" s="199" t="s">
        <v>225</v>
      </c>
      <c r="D8" s="86" t="s">
        <v>160</v>
      </c>
      <c r="F8" s="198" t="s">
        <v>194</v>
      </c>
      <c r="G8" s="82">
        <v>0</v>
      </c>
      <c r="H8" s="82">
        <v>0</v>
      </c>
      <c r="I8" s="82">
        <v>0</v>
      </c>
      <c r="J8" s="82">
        <v>0</v>
      </c>
      <c r="K8" s="82">
        <v>1</v>
      </c>
      <c r="L8" s="82">
        <v>0</v>
      </c>
      <c r="M8" s="82">
        <v>1</v>
      </c>
      <c r="N8" s="82">
        <v>0</v>
      </c>
      <c r="O8" s="82">
        <v>1</v>
      </c>
      <c r="P8" s="72">
        <v>0</v>
      </c>
      <c r="Q8" s="82">
        <v>0</v>
      </c>
      <c r="R8" s="73">
        <v>1</v>
      </c>
      <c r="S8"/>
      <c r="T8"/>
      <c r="W8"/>
    </row>
    <row r="9" spans="1:23" ht="15" customHeight="1" x14ac:dyDescent="0.15">
      <c r="A9" s="124" t="s">
        <v>168</v>
      </c>
      <c r="B9" s="93"/>
      <c r="C9" s="81"/>
      <c r="D9" s="86" t="s">
        <v>160</v>
      </c>
      <c r="F9" s="198" t="s">
        <v>195</v>
      </c>
      <c r="G9" s="82">
        <v>0</v>
      </c>
      <c r="H9" s="82">
        <v>0</v>
      </c>
      <c r="I9" s="82">
        <v>0</v>
      </c>
      <c r="J9" s="82">
        <v>0</v>
      </c>
      <c r="K9" s="82">
        <v>1</v>
      </c>
      <c r="L9" s="82">
        <v>0</v>
      </c>
      <c r="M9" s="82">
        <v>1</v>
      </c>
      <c r="N9" s="82">
        <v>0</v>
      </c>
      <c r="O9" s="82">
        <v>1</v>
      </c>
      <c r="P9" s="72">
        <v>0</v>
      </c>
      <c r="Q9" s="82">
        <v>0</v>
      </c>
      <c r="R9" s="73">
        <v>1</v>
      </c>
      <c r="S9"/>
      <c r="T9"/>
      <c r="W9"/>
    </row>
    <row r="10" spans="1:23" ht="15" customHeight="1" x14ac:dyDescent="0.15">
      <c r="B10" s="93"/>
      <c r="C10" s="81"/>
      <c r="D10" s="86" t="s">
        <v>160</v>
      </c>
      <c r="F10" s="198" t="s">
        <v>196</v>
      </c>
      <c r="G10" s="82">
        <v>0</v>
      </c>
      <c r="H10" s="82">
        <v>0</v>
      </c>
      <c r="I10" s="82">
        <v>0</v>
      </c>
      <c r="J10" s="82">
        <v>0</v>
      </c>
      <c r="K10" s="82">
        <v>1</v>
      </c>
      <c r="L10" s="82">
        <v>0</v>
      </c>
      <c r="M10" s="82">
        <v>1</v>
      </c>
      <c r="N10" s="82">
        <v>0</v>
      </c>
      <c r="O10" s="82">
        <v>1</v>
      </c>
      <c r="P10" s="72">
        <v>0</v>
      </c>
      <c r="Q10" s="82">
        <v>0</v>
      </c>
      <c r="R10" s="73">
        <v>1</v>
      </c>
      <c r="S10"/>
      <c r="T10"/>
      <c r="W10"/>
    </row>
    <row r="11" spans="1:23" ht="15" customHeight="1" x14ac:dyDescent="0.15">
      <c r="A11" s="84"/>
      <c r="B11" s="93"/>
      <c r="C11" s="96"/>
      <c r="D11" s="86" t="s">
        <v>160</v>
      </c>
      <c r="F11" s="198" t="s">
        <v>197</v>
      </c>
      <c r="G11" s="82">
        <v>0</v>
      </c>
      <c r="H11" s="82">
        <v>0</v>
      </c>
      <c r="I11" s="82">
        <v>0</v>
      </c>
      <c r="J11" s="82">
        <v>0</v>
      </c>
      <c r="K11" s="82">
        <v>1</v>
      </c>
      <c r="L11" s="82">
        <v>0</v>
      </c>
      <c r="M11" s="82">
        <v>1</v>
      </c>
      <c r="N11" s="82">
        <v>0</v>
      </c>
      <c r="O11" s="82">
        <v>1</v>
      </c>
      <c r="P11" s="72">
        <v>0</v>
      </c>
      <c r="Q11" s="82">
        <v>0</v>
      </c>
      <c r="R11" s="73">
        <v>1</v>
      </c>
      <c r="S11"/>
      <c r="T11"/>
      <c r="W11"/>
    </row>
    <row r="12" spans="1:23" ht="15" customHeight="1" x14ac:dyDescent="0.15">
      <c r="B12" s="93"/>
      <c r="C12" s="97"/>
      <c r="D12" s="86" t="s">
        <v>160</v>
      </c>
      <c r="F12" s="198" t="s">
        <v>198</v>
      </c>
      <c r="G12" s="82">
        <v>0</v>
      </c>
      <c r="H12" s="82">
        <v>0</v>
      </c>
      <c r="I12" s="82">
        <v>0</v>
      </c>
      <c r="J12" s="82">
        <v>0</v>
      </c>
      <c r="K12" s="82">
        <v>1</v>
      </c>
      <c r="L12" s="82">
        <v>0</v>
      </c>
      <c r="M12" s="82">
        <v>1</v>
      </c>
      <c r="N12" s="82">
        <v>0</v>
      </c>
      <c r="O12" s="82">
        <v>1</v>
      </c>
      <c r="P12" s="72">
        <v>0</v>
      </c>
      <c r="Q12" s="82">
        <v>0</v>
      </c>
      <c r="R12" s="73">
        <v>1</v>
      </c>
      <c r="S12"/>
      <c r="T12"/>
      <c r="W12"/>
    </row>
    <row r="13" spans="1:23" ht="15" customHeight="1" x14ac:dyDescent="0.15">
      <c r="B13" s="93"/>
      <c r="C13" s="97"/>
      <c r="D13" s="86" t="s">
        <v>160</v>
      </c>
      <c r="F13" s="198" t="s">
        <v>199</v>
      </c>
      <c r="G13" s="82">
        <v>0</v>
      </c>
      <c r="H13" s="82">
        <v>0</v>
      </c>
      <c r="I13" s="82">
        <v>0</v>
      </c>
      <c r="J13" s="82">
        <v>0</v>
      </c>
      <c r="K13" s="82">
        <v>1</v>
      </c>
      <c r="L13" s="82">
        <v>0</v>
      </c>
      <c r="M13" s="82">
        <v>1</v>
      </c>
      <c r="N13" s="82">
        <v>0</v>
      </c>
      <c r="O13" s="82">
        <v>1</v>
      </c>
      <c r="P13" s="72">
        <v>0</v>
      </c>
      <c r="Q13" s="82">
        <v>0</v>
      </c>
      <c r="R13" s="73">
        <v>1</v>
      </c>
      <c r="S13"/>
      <c r="T13"/>
      <c r="W13"/>
    </row>
    <row r="14" spans="1:23" ht="15" customHeight="1" x14ac:dyDescent="0.15">
      <c r="B14" s="93"/>
      <c r="C14" s="81"/>
      <c r="D14" s="86" t="s">
        <v>160</v>
      </c>
      <c r="F14" s="198" t="s">
        <v>200</v>
      </c>
      <c r="G14" s="82">
        <v>0</v>
      </c>
      <c r="H14" s="82">
        <v>0</v>
      </c>
      <c r="I14" s="82">
        <v>0</v>
      </c>
      <c r="J14" s="82">
        <v>0</v>
      </c>
      <c r="K14" s="82">
        <v>1</v>
      </c>
      <c r="L14" s="82">
        <v>0</v>
      </c>
      <c r="M14" s="82">
        <v>1</v>
      </c>
      <c r="N14" s="82">
        <v>0</v>
      </c>
      <c r="O14" s="82">
        <v>1</v>
      </c>
      <c r="P14" s="72">
        <v>0</v>
      </c>
      <c r="Q14" s="82">
        <v>0</v>
      </c>
      <c r="R14" s="73">
        <v>1</v>
      </c>
      <c r="S14"/>
      <c r="T14"/>
      <c r="W14"/>
    </row>
    <row r="15" spans="1:23" ht="15" customHeight="1" x14ac:dyDescent="0.15">
      <c r="B15" s="93"/>
      <c r="C15" s="81"/>
      <c r="D15" s="86" t="s">
        <v>160</v>
      </c>
      <c r="F15" s="198" t="s">
        <v>201</v>
      </c>
      <c r="G15" s="82">
        <v>0</v>
      </c>
      <c r="H15" s="82">
        <v>0</v>
      </c>
      <c r="I15" s="82">
        <v>0</v>
      </c>
      <c r="J15" s="82">
        <v>0</v>
      </c>
      <c r="K15" s="82">
        <v>1</v>
      </c>
      <c r="L15" s="82">
        <v>0</v>
      </c>
      <c r="M15" s="82">
        <v>1</v>
      </c>
      <c r="N15" s="82">
        <v>0</v>
      </c>
      <c r="O15" s="82">
        <v>1</v>
      </c>
      <c r="P15" s="72">
        <v>0</v>
      </c>
      <c r="Q15" s="82">
        <v>0</v>
      </c>
      <c r="R15" s="73">
        <v>1</v>
      </c>
      <c r="S15"/>
      <c r="T15"/>
      <c r="W15"/>
    </row>
    <row r="16" spans="1:23" ht="15" customHeight="1" x14ac:dyDescent="0.15">
      <c r="B16" s="93"/>
      <c r="C16" s="81"/>
      <c r="D16" s="86" t="s">
        <v>160</v>
      </c>
      <c r="F16" s="198" t="s">
        <v>202</v>
      </c>
      <c r="G16" s="82">
        <v>0</v>
      </c>
      <c r="H16" s="82">
        <v>0</v>
      </c>
      <c r="I16" s="82">
        <v>0</v>
      </c>
      <c r="J16" s="82">
        <v>0</v>
      </c>
      <c r="K16" s="82">
        <v>1</v>
      </c>
      <c r="L16" s="82">
        <v>0</v>
      </c>
      <c r="M16" s="82">
        <v>1</v>
      </c>
      <c r="N16" s="82">
        <v>0</v>
      </c>
      <c r="O16" s="82">
        <v>1</v>
      </c>
      <c r="P16" s="72">
        <v>0</v>
      </c>
      <c r="Q16" s="82">
        <v>0</v>
      </c>
      <c r="R16" s="73">
        <v>1</v>
      </c>
      <c r="S16"/>
      <c r="T16"/>
    </row>
    <row r="17" spans="1:20" ht="15" customHeight="1" thickBot="1" x14ac:dyDescent="0.2">
      <c r="B17" s="92"/>
      <c r="C17" s="81"/>
      <c r="D17" s="86" t="s">
        <v>160</v>
      </c>
      <c r="F17" s="198" t="s">
        <v>203</v>
      </c>
      <c r="G17" s="82">
        <v>0</v>
      </c>
      <c r="H17" s="82">
        <v>0</v>
      </c>
      <c r="I17" s="82">
        <v>0</v>
      </c>
      <c r="J17" s="82">
        <v>0</v>
      </c>
      <c r="K17" s="82">
        <v>1</v>
      </c>
      <c r="L17" s="82">
        <v>0</v>
      </c>
      <c r="M17" s="82">
        <v>1</v>
      </c>
      <c r="N17" s="82">
        <v>0</v>
      </c>
      <c r="O17" s="82">
        <v>1</v>
      </c>
      <c r="P17" s="72">
        <v>0</v>
      </c>
      <c r="Q17" s="82">
        <v>0</v>
      </c>
      <c r="R17" s="73">
        <v>1</v>
      </c>
      <c r="S17"/>
      <c r="T17"/>
    </row>
    <row r="18" spans="1:20" ht="15" customHeight="1" thickBot="1" x14ac:dyDescent="0.2">
      <c r="B18" s="94"/>
      <c r="F18" s="198" t="s">
        <v>204</v>
      </c>
      <c r="G18" s="82">
        <v>0</v>
      </c>
      <c r="H18" s="82">
        <v>0</v>
      </c>
      <c r="I18" s="82">
        <v>0</v>
      </c>
      <c r="J18" s="82">
        <v>0</v>
      </c>
      <c r="K18" s="82">
        <v>1</v>
      </c>
      <c r="L18" s="82">
        <v>0</v>
      </c>
      <c r="M18" s="82">
        <v>1</v>
      </c>
      <c r="N18" s="82">
        <v>0</v>
      </c>
      <c r="O18" s="82">
        <v>1</v>
      </c>
      <c r="P18" s="72">
        <v>0</v>
      </c>
      <c r="Q18" s="82">
        <v>0</v>
      </c>
      <c r="R18" s="73">
        <v>1</v>
      </c>
      <c r="S18"/>
      <c r="T18"/>
    </row>
    <row r="19" spans="1:20" ht="15" customHeight="1" x14ac:dyDescent="0.15">
      <c r="A19" s="84" t="s">
        <v>57</v>
      </c>
      <c r="B19" s="91">
        <v>1</v>
      </c>
      <c r="C19" s="200" t="s">
        <v>225</v>
      </c>
      <c r="D19" s="86" t="s">
        <v>160</v>
      </c>
      <c r="F19" s="198" t="s">
        <v>205</v>
      </c>
      <c r="G19" s="82">
        <v>0</v>
      </c>
      <c r="H19" s="82">
        <v>0</v>
      </c>
      <c r="I19" s="82">
        <v>0</v>
      </c>
      <c r="J19" s="82">
        <v>0</v>
      </c>
      <c r="K19" s="82">
        <v>1</v>
      </c>
      <c r="L19" s="82">
        <v>0</v>
      </c>
      <c r="M19" s="82">
        <v>1</v>
      </c>
      <c r="N19" s="82">
        <v>0</v>
      </c>
      <c r="O19" s="82">
        <v>1</v>
      </c>
      <c r="P19" s="72">
        <v>0</v>
      </c>
      <c r="Q19" s="82">
        <v>0</v>
      </c>
      <c r="R19" s="73">
        <v>1</v>
      </c>
      <c r="S19"/>
      <c r="T19"/>
    </row>
    <row r="20" spans="1:20" ht="15" customHeight="1" x14ac:dyDescent="0.15">
      <c r="A20" s="124" t="s">
        <v>168</v>
      </c>
      <c r="B20" s="93"/>
      <c r="C20" s="81"/>
      <c r="D20" s="86" t="s">
        <v>160</v>
      </c>
      <c r="F20" s="198" t="s">
        <v>206</v>
      </c>
      <c r="G20" s="82">
        <v>0</v>
      </c>
      <c r="H20" s="82">
        <v>0</v>
      </c>
      <c r="I20" s="82">
        <v>0</v>
      </c>
      <c r="J20" s="82">
        <v>0</v>
      </c>
      <c r="K20" s="82">
        <v>1</v>
      </c>
      <c r="L20" s="82">
        <v>0</v>
      </c>
      <c r="M20" s="82">
        <v>1</v>
      </c>
      <c r="N20" s="82">
        <v>0</v>
      </c>
      <c r="O20" s="82">
        <v>1</v>
      </c>
      <c r="P20" s="72">
        <v>0</v>
      </c>
      <c r="Q20" s="82">
        <v>0</v>
      </c>
      <c r="R20" s="73">
        <v>1</v>
      </c>
      <c r="S20"/>
      <c r="T20"/>
    </row>
    <row r="21" spans="1:20" ht="15" customHeight="1" x14ac:dyDescent="0.15">
      <c r="B21" s="93"/>
      <c r="C21" s="81"/>
      <c r="D21" s="86" t="s">
        <v>160</v>
      </c>
      <c r="F21" s="198" t="s">
        <v>207</v>
      </c>
      <c r="G21" s="82">
        <v>0</v>
      </c>
      <c r="H21" s="82">
        <v>0</v>
      </c>
      <c r="I21" s="82">
        <v>0</v>
      </c>
      <c r="J21" s="82">
        <v>0</v>
      </c>
      <c r="K21" s="82">
        <v>1</v>
      </c>
      <c r="L21" s="82">
        <v>0</v>
      </c>
      <c r="M21" s="82">
        <v>1</v>
      </c>
      <c r="N21" s="82">
        <v>0</v>
      </c>
      <c r="O21" s="82">
        <v>1</v>
      </c>
      <c r="P21" s="72">
        <v>0</v>
      </c>
      <c r="Q21" s="82">
        <v>0</v>
      </c>
      <c r="R21" s="73">
        <v>1</v>
      </c>
      <c r="S21"/>
      <c r="T21"/>
    </row>
    <row r="22" spans="1:20" ht="15" customHeight="1" x14ac:dyDescent="0.15">
      <c r="A22" s="82"/>
      <c r="B22" s="93"/>
      <c r="C22" s="96"/>
      <c r="D22" s="86" t="s">
        <v>160</v>
      </c>
      <c r="F22" s="198" t="s">
        <v>208</v>
      </c>
      <c r="G22" s="82">
        <v>0</v>
      </c>
      <c r="H22" s="82">
        <v>0</v>
      </c>
      <c r="I22" s="82">
        <v>0</v>
      </c>
      <c r="J22" s="82">
        <v>0</v>
      </c>
      <c r="K22" s="82">
        <v>1</v>
      </c>
      <c r="L22" s="82">
        <v>0</v>
      </c>
      <c r="M22" s="82">
        <v>1</v>
      </c>
      <c r="N22" s="82">
        <v>0</v>
      </c>
      <c r="O22" s="82">
        <v>1</v>
      </c>
      <c r="P22" s="72">
        <v>0</v>
      </c>
      <c r="Q22" s="82">
        <v>0</v>
      </c>
      <c r="R22" s="73">
        <v>1</v>
      </c>
      <c r="S22"/>
      <c r="T22"/>
    </row>
    <row r="23" spans="1:20" ht="15" customHeight="1" x14ac:dyDescent="0.15">
      <c r="A23" s="82"/>
      <c r="B23" s="93"/>
      <c r="C23" s="97"/>
      <c r="D23" s="86" t="s">
        <v>160</v>
      </c>
      <c r="F23" s="198" t="s">
        <v>209</v>
      </c>
      <c r="G23" s="82">
        <v>0</v>
      </c>
      <c r="H23" s="82">
        <v>0</v>
      </c>
      <c r="I23" s="82">
        <v>0</v>
      </c>
      <c r="J23" s="82">
        <v>0</v>
      </c>
      <c r="K23" s="82">
        <v>1</v>
      </c>
      <c r="L23" s="82">
        <v>0</v>
      </c>
      <c r="M23" s="82">
        <v>1</v>
      </c>
      <c r="N23" s="82">
        <v>0</v>
      </c>
      <c r="O23" s="82">
        <v>1</v>
      </c>
      <c r="P23" s="72">
        <v>0</v>
      </c>
      <c r="Q23" s="82">
        <v>0</v>
      </c>
      <c r="R23" s="73">
        <v>1</v>
      </c>
      <c r="S23"/>
      <c r="T23"/>
    </row>
    <row r="24" spans="1:20" ht="15" customHeight="1" x14ac:dyDescent="0.15">
      <c r="A24" s="82"/>
      <c r="B24" s="93"/>
      <c r="C24" s="97"/>
      <c r="D24" s="86" t="s">
        <v>160</v>
      </c>
      <c r="F24" s="198" t="s">
        <v>210</v>
      </c>
      <c r="G24" s="82">
        <v>0</v>
      </c>
      <c r="H24" s="82">
        <v>0</v>
      </c>
      <c r="I24" s="82">
        <v>0</v>
      </c>
      <c r="J24" s="82">
        <v>0</v>
      </c>
      <c r="K24" s="82">
        <v>1</v>
      </c>
      <c r="L24" s="82">
        <v>0</v>
      </c>
      <c r="M24" s="82">
        <v>1</v>
      </c>
      <c r="N24" s="82">
        <v>0</v>
      </c>
      <c r="O24" s="82">
        <v>1</v>
      </c>
      <c r="P24" s="72">
        <v>0</v>
      </c>
      <c r="Q24" s="82">
        <v>0</v>
      </c>
      <c r="R24" s="73">
        <v>1</v>
      </c>
      <c r="S24"/>
      <c r="T24"/>
    </row>
    <row r="25" spans="1:20" ht="15" customHeight="1" x14ac:dyDescent="0.15">
      <c r="A25" s="82"/>
      <c r="B25" s="93"/>
      <c r="C25" s="81"/>
      <c r="D25" s="86" t="s">
        <v>160</v>
      </c>
      <c r="F25" s="198" t="s">
        <v>211</v>
      </c>
      <c r="G25" s="82">
        <v>0</v>
      </c>
      <c r="H25" s="82">
        <v>0</v>
      </c>
      <c r="I25" s="82">
        <v>0</v>
      </c>
      <c r="J25" s="82">
        <v>0</v>
      </c>
      <c r="K25" s="82">
        <v>1</v>
      </c>
      <c r="L25" s="82">
        <v>0</v>
      </c>
      <c r="M25" s="82">
        <v>1</v>
      </c>
      <c r="N25" s="82">
        <v>0</v>
      </c>
      <c r="O25" s="82">
        <v>1</v>
      </c>
      <c r="P25" s="72">
        <v>0</v>
      </c>
      <c r="Q25" s="82">
        <v>0</v>
      </c>
      <c r="R25" s="73">
        <v>1</v>
      </c>
      <c r="S25"/>
      <c r="T25"/>
    </row>
    <row r="26" spans="1:20" ht="15" customHeight="1" x14ac:dyDescent="0.15">
      <c r="B26" s="93"/>
      <c r="C26" s="81"/>
      <c r="D26" s="86" t="s">
        <v>160</v>
      </c>
      <c r="F26" s="198" t="s">
        <v>212</v>
      </c>
      <c r="G26" s="82">
        <v>0</v>
      </c>
      <c r="H26" s="82">
        <v>0</v>
      </c>
      <c r="I26" s="82">
        <v>0</v>
      </c>
      <c r="J26" s="82">
        <v>0</v>
      </c>
      <c r="K26" s="82">
        <v>1</v>
      </c>
      <c r="L26" s="82">
        <v>0</v>
      </c>
      <c r="M26" s="82">
        <v>1</v>
      </c>
      <c r="N26" s="82">
        <v>0</v>
      </c>
      <c r="O26" s="82">
        <v>1</v>
      </c>
      <c r="P26" s="72">
        <v>0</v>
      </c>
      <c r="Q26" s="82">
        <v>0</v>
      </c>
      <c r="R26" s="73">
        <v>1</v>
      </c>
      <c r="S26"/>
      <c r="T26"/>
    </row>
    <row r="27" spans="1:20" ht="15" customHeight="1" x14ac:dyDescent="0.15">
      <c r="B27" s="93"/>
      <c r="C27" s="81"/>
      <c r="D27" s="86" t="s">
        <v>160</v>
      </c>
      <c r="F27" s="198" t="s">
        <v>213</v>
      </c>
      <c r="G27" s="82">
        <v>0</v>
      </c>
      <c r="H27" s="82">
        <v>0</v>
      </c>
      <c r="I27" s="82">
        <v>0</v>
      </c>
      <c r="J27" s="82">
        <v>0</v>
      </c>
      <c r="K27" s="82">
        <v>1</v>
      </c>
      <c r="L27" s="82">
        <v>0</v>
      </c>
      <c r="M27" s="82">
        <v>1</v>
      </c>
      <c r="N27" s="82">
        <v>0</v>
      </c>
      <c r="O27" s="82">
        <v>1</v>
      </c>
      <c r="P27" s="72">
        <v>0</v>
      </c>
      <c r="Q27" s="82">
        <v>0</v>
      </c>
      <c r="R27" s="73">
        <v>1</v>
      </c>
      <c r="S27"/>
      <c r="T27"/>
    </row>
    <row r="28" spans="1:20" ht="15" customHeight="1" thickBot="1" x14ac:dyDescent="0.2">
      <c r="B28" s="92"/>
      <c r="C28" s="81"/>
      <c r="D28" s="86" t="s">
        <v>160</v>
      </c>
      <c r="F28" s="198" t="s">
        <v>214</v>
      </c>
      <c r="G28" s="82">
        <v>0</v>
      </c>
      <c r="H28" s="82">
        <v>0</v>
      </c>
      <c r="I28" s="82">
        <v>0</v>
      </c>
      <c r="J28" s="82">
        <v>0</v>
      </c>
      <c r="K28" s="82">
        <v>1</v>
      </c>
      <c r="L28" s="82">
        <v>0</v>
      </c>
      <c r="M28" s="82">
        <v>1</v>
      </c>
      <c r="N28" s="82">
        <v>0</v>
      </c>
      <c r="O28" s="82">
        <v>1</v>
      </c>
      <c r="P28" s="72">
        <v>0</v>
      </c>
      <c r="Q28" s="82">
        <v>0</v>
      </c>
      <c r="R28" s="73">
        <v>1</v>
      </c>
      <c r="S28"/>
      <c r="T28"/>
    </row>
    <row r="29" spans="1:20" ht="15" customHeight="1" x14ac:dyDescent="0.15">
      <c r="F29" s="198" t="s">
        <v>215</v>
      </c>
      <c r="G29" s="82">
        <v>0</v>
      </c>
      <c r="H29" s="82">
        <v>0</v>
      </c>
      <c r="I29" s="82">
        <v>0</v>
      </c>
      <c r="J29" s="82">
        <v>0</v>
      </c>
      <c r="K29" s="82">
        <v>1</v>
      </c>
      <c r="L29" s="82">
        <v>0</v>
      </c>
      <c r="M29" s="82">
        <v>1</v>
      </c>
      <c r="N29" s="82">
        <v>0</v>
      </c>
      <c r="O29" s="82">
        <v>1</v>
      </c>
      <c r="P29" s="72">
        <v>0</v>
      </c>
      <c r="Q29" s="82">
        <v>0</v>
      </c>
      <c r="R29" s="73">
        <v>1</v>
      </c>
      <c r="S29"/>
      <c r="T29"/>
    </row>
    <row r="30" spans="1:20" ht="15" customHeight="1" x14ac:dyDescent="0.15">
      <c r="F30" s="198" t="s">
        <v>216</v>
      </c>
      <c r="G30" s="82">
        <v>0</v>
      </c>
      <c r="H30" s="82">
        <v>0</v>
      </c>
      <c r="I30" s="82">
        <v>0</v>
      </c>
      <c r="J30" s="82">
        <v>0</v>
      </c>
      <c r="K30" s="82">
        <v>1</v>
      </c>
      <c r="L30" s="82">
        <v>0</v>
      </c>
      <c r="M30" s="82">
        <v>1</v>
      </c>
      <c r="N30" s="82">
        <v>0</v>
      </c>
      <c r="O30" s="82">
        <v>1</v>
      </c>
      <c r="P30" s="72">
        <v>0</v>
      </c>
      <c r="Q30" s="82">
        <v>0</v>
      </c>
      <c r="R30" s="73">
        <v>1</v>
      </c>
      <c r="S30"/>
      <c r="T30"/>
    </row>
    <row r="31" spans="1:20" ht="15" customHeight="1" x14ac:dyDescent="0.15">
      <c r="A31" s="125"/>
      <c r="B31" s="136" t="s">
        <v>17</v>
      </c>
      <c r="C31" s="136" t="s">
        <v>1</v>
      </c>
      <c r="D31" s="136" t="s">
        <v>161</v>
      </c>
      <c r="E31" s="137" t="s">
        <v>163</v>
      </c>
      <c r="F31" s="198" t="s">
        <v>217</v>
      </c>
      <c r="G31" s="82">
        <v>0</v>
      </c>
      <c r="H31" s="82">
        <v>0</v>
      </c>
      <c r="I31" s="82">
        <v>0</v>
      </c>
      <c r="J31" s="82">
        <v>0</v>
      </c>
      <c r="K31" s="82">
        <v>1</v>
      </c>
      <c r="L31" s="82">
        <v>0</v>
      </c>
      <c r="M31" s="82">
        <v>1</v>
      </c>
      <c r="N31" s="82">
        <v>0</v>
      </c>
      <c r="O31" s="82">
        <v>1</v>
      </c>
      <c r="P31" s="72">
        <v>0</v>
      </c>
      <c r="Q31" s="82">
        <v>0</v>
      </c>
      <c r="R31" s="73">
        <v>1</v>
      </c>
      <c r="S31"/>
      <c r="T31"/>
    </row>
    <row r="32" spans="1:20" ht="15" customHeight="1" x14ac:dyDescent="0.15">
      <c r="A32" s="201" t="s">
        <v>225</v>
      </c>
      <c r="B32" s="94">
        <v>69</v>
      </c>
      <c r="C32" s="94">
        <v>84</v>
      </c>
      <c r="D32" s="94">
        <v>5796</v>
      </c>
      <c r="E32" s="127">
        <v>1</v>
      </c>
      <c r="F32" s="198" t="s">
        <v>218</v>
      </c>
      <c r="G32" s="82">
        <v>0</v>
      </c>
      <c r="H32" s="82">
        <v>0</v>
      </c>
      <c r="I32" s="82">
        <v>0</v>
      </c>
      <c r="J32" s="82">
        <v>0</v>
      </c>
      <c r="K32" s="82">
        <v>1</v>
      </c>
      <c r="L32" s="82">
        <v>0</v>
      </c>
      <c r="M32" s="82">
        <v>1</v>
      </c>
      <c r="N32" s="82">
        <v>0</v>
      </c>
      <c r="O32" s="82">
        <v>1</v>
      </c>
      <c r="P32" s="72">
        <v>0</v>
      </c>
      <c r="Q32" s="82">
        <v>0</v>
      </c>
      <c r="R32" s="73">
        <v>1</v>
      </c>
      <c r="S32"/>
      <c r="T32"/>
    </row>
    <row r="33" spans="1:20" ht="15" customHeight="1" x14ac:dyDescent="0.15">
      <c r="A33" s="126"/>
      <c r="B33" s="94"/>
      <c r="C33" s="94"/>
      <c r="D33" s="94"/>
      <c r="E33" s="127"/>
      <c r="F33" s="198" t="s">
        <v>219</v>
      </c>
      <c r="G33" s="82">
        <v>0</v>
      </c>
      <c r="H33" s="82">
        <v>0</v>
      </c>
      <c r="I33" s="82">
        <v>0</v>
      </c>
      <c r="J33" s="82">
        <v>0</v>
      </c>
      <c r="K33" s="82">
        <v>1</v>
      </c>
      <c r="L33" s="82">
        <v>0</v>
      </c>
      <c r="M33" s="82">
        <v>1</v>
      </c>
      <c r="N33" s="82">
        <v>0</v>
      </c>
      <c r="O33" s="82">
        <v>1</v>
      </c>
      <c r="P33" s="72">
        <v>0</v>
      </c>
      <c r="Q33" s="82">
        <v>0</v>
      </c>
      <c r="R33" s="73">
        <v>1</v>
      </c>
      <c r="S33"/>
      <c r="T33"/>
    </row>
    <row r="34" spans="1:20" ht="15" customHeight="1" x14ac:dyDescent="0.15">
      <c r="A34" s="128"/>
      <c r="B34" s="94"/>
      <c r="C34" s="94"/>
      <c r="D34" s="94"/>
      <c r="E34" s="127"/>
      <c r="F34" s="198" t="s">
        <v>220</v>
      </c>
      <c r="G34" s="82">
        <v>0</v>
      </c>
      <c r="H34" s="82">
        <v>0</v>
      </c>
      <c r="I34" s="82">
        <v>0</v>
      </c>
      <c r="J34" s="82">
        <v>0</v>
      </c>
      <c r="K34" s="82">
        <v>1</v>
      </c>
      <c r="L34" s="82">
        <v>0</v>
      </c>
      <c r="M34" s="82">
        <v>1</v>
      </c>
      <c r="N34" s="82">
        <v>0</v>
      </c>
      <c r="O34" s="82">
        <v>1</v>
      </c>
      <c r="P34" s="72">
        <v>0</v>
      </c>
      <c r="Q34" s="82">
        <v>0</v>
      </c>
      <c r="R34" s="73">
        <v>1</v>
      </c>
      <c r="S34"/>
      <c r="T34"/>
    </row>
    <row r="35" spans="1:20" ht="15" customHeight="1" x14ac:dyDescent="0.15">
      <c r="A35" s="129"/>
      <c r="B35" s="94"/>
      <c r="C35" s="94"/>
      <c r="D35" s="94"/>
      <c r="E35" s="127"/>
      <c r="F35" s="198" t="s">
        <v>221</v>
      </c>
      <c r="G35" s="82">
        <v>0</v>
      </c>
      <c r="H35" s="82">
        <v>0</v>
      </c>
      <c r="I35" s="82">
        <v>0</v>
      </c>
      <c r="J35" s="82">
        <v>0</v>
      </c>
      <c r="K35" s="82">
        <v>1</v>
      </c>
      <c r="L35" s="82">
        <v>0</v>
      </c>
      <c r="M35" s="82">
        <v>1</v>
      </c>
      <c r="N35" s="82">
        <v>0</v>
      </c>
      <c r="O35" s="82">
        <v>1</v>
      </c>
      <c r="P35" s="72">
        <v>0</v>
      </c>
      <c r="Q35" s="82">
        <v>0</v>
      </c>
      <c r="R35" s="73">
        <v>1</v>
      </c>
      <c r="S35"/>
      <c r="T35"/>
    </row>
    <row r="36" spans="1:20" ht="15" customHeight="1" x14ac:dyDescent="0.15">
      <c r="A36" s="130"/>
      <c r="B36" s="94"/>
      <c r="C36" s="94"/>
      <c r="D36" s="94"/>
      <c r="E36" s="127"/>
      <c r="F36" s="198" t="s">
        <v>222</v>
      </c>
      <c r="G36" s="82">
        <v>0</v>
      </c>
      <c r="H36" s="82">
        <v>0</v>
      </c>
      <c r="I36" s="82">
        <v>0</v>
      </c>
      <c r="J36" s="82">
        <v>0</v>
      </c>
      <c r="K36" s="82">
        <v>1</v>
      </c>
      <c r="L36" s="82">
        <v>0</v>
      </c>
      <c r="M36" s="82">
        <v>1</v>
      </c>
      <c r="N36" s="82">
        <v>0</v>
      </c>
      <c r="O36" s="82">
        <v>1</v>
      </c>
      <c r="P36" s="72">
        <v>0</v>
      </c>
      <c r="Q36" s="82">
        <v>0</v>
      </c>
      <c r="R36" s="73">
        <v>1</v>
      </c>
      <c r="S36"/>
      <c r="T36"/>
    </row>
    <row r="37" spans="1:20" ht="15" customHeight="1" x14ac:dyDescent="0.15">
      <c r="A37" s="130"/>
      <c r="B37" s="94"/>
      <c r="C37" s="94"/>
      <c r="D37" s="94"/>
      <c r="E37" s="127"/>
      <c r="F37" s="198" t="s">
        <v>223</v>
      </c>
      <c r="G37" s="82">
        <v>0</v>
      </c>
      <c r="H37" s="82">
        <v>0</v>
      </c>
      <c r="I37" s="82">
        <v>0</v>
      </c>
      <c r="J37" s="82">
        <v>0</v>
      </c>
      <c r="K37" s="82">
        <v>1</v>
      </c>
      <c r="L37" s="82">
        <v>0</v>
      </c>
      <c r="M37" s="82">
        <v>1</v>
      </c>
      <c r="N37" s="82">
        <v>0</v>
      </c>
      <c r="O37" s="82">
        <v>1</v>
      </c>
      <c r="P37" s="72">
        <v>0</v>
      </c>
      <c r="Q37" s="82">
        <v>0</v>
      </c>
      <c r="R37" s="73">
        <v>1</v>
      </c>
      <c r="S37"/>
      <c r="T37"/>
    </row>
    <row r="38" spans="1:20" ht="15" customHeight="1" x14ac:dyDescent="0.15">
      <c r="A38" s="131"/>
      <c r="B38" s="94"/>
      <c r="C38" s="94"/>
      <c r="D38" s="94"/>
      <c r="E38" s="127"/>
      <c r="F38" s="198" t="s">
        <v>224</v>
      </c>
      <c r="G38" s="82">
        <v>0</v>
      </c>
      <c r="H38" s="82">
        <v>0</v>
      </c>
      <c r="I38" s="82">
        <v>0</v>
      </c>
      <c r="J38" s="82">
        <v>0</v>
      </c>
      <c r="K38" s="82">
        <v>1</v>
      </c>
      <c r="L38" s="82">
        <v>0</v>
      </c>
      <c r="M38" s="82">
        <v>1</v>
      </c>
      <c r="N38" s="82">
        <v>0</v>
      </c>
      <c r="O38" s="82">
        <v>1</v>
      </c>
      <c r="P38" s="72">
        <v>0</v>
      </c>
      <c r="Q38" s="82">
        <v>0</v>
      </c>
      <c r="R38" s="73">
        <v>1</v>
      </c>
      <c r="S38"/>
      <c r="T38"/>
    </row>
    <row r="39" spans="1:20" ht="15" customHeight="1" x14ac:dyDescent="0.15">
      <c r="A39" s="131"/>
      <c r="B39" s="94"/>
      <c r="C39" s="94"/>
      <c r="D39" s="94"/>
      <c r="E39" s="127"/>
      <c r="F39" s="198" t="s">
        <v>225</v>
      </c>
      <c r="G39" s="82">
        <v>0</v>
      </c>
      <c r="H39" s="82">
        <v>0</v>
      </c>
      <c r="I39" s="82">
        <v>0</v>
      </c>
      <c r="J39" s="82">
        <v>0</v>
      </c>
      <c r="K39" s="82">
        <v>0</v>
      </c>
      <c r="L39" s="82">
        <v>0</v>
      </c>
      <c r="M39" s="82">
        <v>1</v>
      </c>
      <c r="N39" s="82">
        <v>0</v>
      </c>
      <c r="O39" s="82">
        <v>0</v>
      </c>
      <c r="P39" s="72">
        <v>0</v>
      </c>
      <c r="Q39" s="82">
        <v>0</v>
      </c>
      <c r="R39" s="73">
        <v>1</v>
      </c>
      <c r="S39"/>
      <c r="T39"/>
    </row>
    <row r="40" spans="1:20" ht="15" customHeight="1" x14ac:dyDescent="0.15">
      <c r="A40" s="131"/>
      <c r="B40" s="94"/>
      <c r="C40" s="94"/>
      <c r="D40" s="94"/>
      <c r="E40" s="127"/>
      <c r="F40" s="198" t="s">
        <v>226</v>
      </c>
      <c r="G40" s="82">
        <v>0</v>
      </c>
      <c r="H40" s="82">
        <v>0</v>
      </c>
      <c r="I40" s="82">
        <v>0</v>
      </c>
      <c r="J40" s="82">
        <v>0</v>
      </c>
      <c r="K40" s="82">
        <v>0</v>
      </c>
      <c r="L40" s="82">
        <v>1</v>
      </c>
      <c r="M40" s="82">
        <v>0</v>
      </c>
      <c r="N40" s="82">
        <v>1</v>
      </c>
      <c r="O40" s="82">
        <v>0</v>
      </c>
      <c r="P40" s="72">
        <v>1</v>
      </c>
      <c r="Q40" s="82">
        <v>0</v>
      </c>
      <c r="R40" s="73">
        <v>1</v>
      </c>
      <c r="S40"/>
      <c r="T40"/>
    </row>
    <row r="41" spans="1:20" ht="15" customHeight="1" thickBot="1" x14ac:dyDescent="0.2">
      <c r="A41" s="131"/>
      <c r="B41" s="94"/>
      <c r="C41" s="94"/>
      <c r="D41" s="95"/>
      <c r="E41" s="132"/>
      <c r="F41" s="198" t="s">
        <v>227</v>
      </c>
      <c r="G41" s="82">
        <v>0</v>
      </c>
      <c r="H41" s="82">
        <v>0</v>
      </c>
      <c r="I41" s="82">
        <v>0</v>
      </c>
      <c r="J41" s="82">
        <v>0</v>
      </c>
      <c r="K41" s="82">
        <v>0</v>
      </c>
      <c r="L41" s="82">
        <v>1</v>
      </c>
      <c r="M41" s="82">
        <v>0</v>
      </c>
      <c r="N41" s="82">
        <v>1</v>
      </c>
      <c r="O41" s="82">
        <v>0</v>
      </c>
      <c r="P41" s="72">
        <v>1</v>
      </c>
      <c r="Q41" s="82">
        <v>0</v>
      </c>
      <c r="R41" s="73">
        <v>1</v>
      </c>
      <c r="S41"/>
      <c r="T41"/>
    </row>
    <row r="42" spans="1:20" ht="15" customHeight="1" x14ac:dyDescent="0.15">
      <c r="A42" s="133"/>
      <c r="B42" s="134"/>
      <c r="C42" s="134" t="s">
        <v>162</v>
      </c>
      <c r="D42" s="134">
        <f>SUM(D32:D41)</f>
        <v>5796</v>
      </c>
      <c r="E42" s="135">
        <f>SUM(E32:E41)</f>
        <v>1</v>
      </c>
      <c r="F42" s="198" t="s">
        <v>228</v>
      </c>
      <c r="G42" s="82">
        <v>0</v>
      </c>
      <c r="H42" s="82">
        <v>0</v>
      </c>
      <c r="I42" s="82">
        <v>0</v>
      </c>
      <c r="J42" s="82">
        <v>0</v>
      </c>
      <c r="K42" s="82">
        <v>0</v>
      </c>
      <c r="L42" s="82">
        <v>1</v>
      </c>
      <c r="M42" s="82">
        <v>0</v>
      </c>
      <c r="N42" s="82">
        <v>0</v>
      </c>
      <c r="O42" s="82">
        <v>0</v>
      </c>
      <c r="P42" s="72">
        <v>0</v>
      </c>
      <c r="Q42" s="82">
        <v>0</v>
      </c>
      <c r="R42" s="73">
        <v>1</v>
      </c>
      <c r="S42"/>
      <c r="T42"/>
    </row>
    <row r="43" spans="1:20" ht="15" customHeight="1" x14ac:dyDescent="0.15">
      <c r="A43" s="82"/>
      <c r="F43" s="198" t="s">
        <v>229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1</v>
      </c>
      <c r="M43" s="82">
        <v>0</v>
      </c>
      <c r="N43" s="82">
        <v>0</v>
      </c>
      <c r="O43" s="82">
        <v>0</v>
      </c>
      <c r="P43" s="72">
        <v>0</v>
      </c>
      <c r="Q43" s="82">
        <v>0</v>
      </c>
      <c r="R43" s="73">
        <v>1</v>
      </c>
      <c r="S43"/>
      <c r="T43"/>
    </row>
    <row r="44" spans="1:20" ht="15" customHeight="1" x14ac:dyDescent="0.15">
      <c r="A44" s="82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2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2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2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2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2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2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2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2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T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2.5" bestFit="1" customWidth="1"/>
    <col min="2" max="2" width="2.33203125" style="110" customWidth="1"/>
    <col min="3" max="5" width="7.83203125" style="110" customWidth="1"/>
    <col min="6" max="8" width="8.83203125" style="6"/>
    <col min="9" max="9" width="7.5" style="6" customWidth="1"/>
    <col min="10" max="10" width="8.5" style="6" customWidth="1"/>
    <col min="11" max="11" width="6.83203125" style="6" customWidth="1"/>
    <col min="12" max="12" width="9.1640625" style="6" customWidth="1"/>
    <col min="13" max="13" width="6.6640625" style="6" customWidth="1"/>
    <col min="14" max="14" width="8.33203125" style="6" customWidth="1"/>
    <col min="15" max="15" width="13.33203125" style="6" customWidth="1"/>
    <col min="16" max="16" width="11.83203125" style="6" customWidth="1"/>
    <col min="17" max="17" width="9.5" style="6" customWidth="1"/>
    <col min="18" max="18" width="16.5" style="6" customWidth="1"/>
    <col min="19" max="19" width="10.1640625" style="6" customWidth="1"/>
    <col min="20" max="20" width="10.5" style="6" customWidth="1"/>
    <col min="21" max="21" width="12.33203125" style="6" customWidth="1"/>
    <col min="22" max="22" width="13.5" style="6" customWidth="1"/>
    <col min="23" max="23" width="17.83203125" style="6" customWidth="1"/>
    <col min="24" max="24" width="16.6640625" style="6" customWidth="1"/>
    <col min="25" max="25" width="13.5" style="6" customWidth="1"/>
    <col min="26" max="26" width="10.83203125" style="6" customWidth="1"/>
    <col min="27" max="27" width="10.5" style="6" customWidth="1"/>
    <col min="28" max="28" width="8.5" style="6" customWidth="1"/>
    <col min="29" max="29" width="8" style="6" customWidth="1"/>
    <col min="30" max="30" width="7.1640625" style="6" customWidth="1"/>
    <col min="31" max="31" width="20.83203125" style="6" customWidth="1"/>
    <col min="32" max="32" width="22.1640625" style="6" customWidth="1"/>
    <col min="33" max="33" width="22.5" style="6" customWidth="1"/>
    <col min="34" max="34" width="21.83203125" style="6" customWidth="1"/>
    <col min="35" max="35" width="20.1640625" style="6" customWidth="1"/>
    <col min="36" max="36" width="20.83203125" style="6" customWidth="1"/>
    <col min="37" max="37" width="9.6640625" style="6" customWidth="1"/>
    <col min="38" max="38" width="12" style="6" customWidth="1"/>
    <col min="39" max="39" width="8.1640625" customWidth="1"/>
    <col min="40" max="42" width="16.5" customWidth="1"/>
    <col min="43" max="43" width="7.6640625" customWidth="1"/>
    <col min="44" max="44" width="21.6640625" customWidth="1"/>
    <col min="45" max="45" width="17.5" customWidth="1"/>
    <col min="46" max="46" width="15.1640625" customWidth="1"/>
    <col min="81" max="81" width="22.1640625" bestFit="1" customWidth="1"/>
  </cols>
  <sheetData>
    <row r="1" spans="1:46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3" t="s">
        <v>192</v>
      </c>
      <c r="J1" s="203" t="s">
        <v>193</v>
      </c>
      <c r="K1" s="203" t="s">
        <v>194</v>
      </c>
      <c r="L1" s="203" t="s">
        <v>195</v>
      </c>
      <c r="M1" s="203" t="s">
        <v>196</v>
      </c>
      <c r="N1" s="203" t="s">
        <v>197</v>
      </c>
      <c r="O1" s="203" t="s">
        <v>198</v>
      </c>
      <c r="P1" s="203" t="s">
        <v>199</v>
      </c>
      <c r="Q1" s="203" t="s">
        <v>200</v>
      </c>
      <c r="R1" s="203" t="s">
        <v>201</v>
      </c>
      <c r="S1" s="203" t="s">
        <v>202</v>
      </c>
      <c r="T1" s="203" t="s">
        <v>203</v>
      </c>
      <c r="U1" s="203" t="s">
        <v>204</v>
      </c>
      <c r="V1" s="203" t="s">
        <v>205</v>
      </c>
      <c r="W1" s="203" t="s">
        <v>206</v>
      </c>
      <c r="X1" s="203" t="s">
        <v>207</v>
      </c>
      <c r="Y1" s="203" t="s">
        <v>208</v>
      </c>
      <c r="Z1" s="203" t="s">
        <v>209</v>
      </c>
      <c r="AA1" s="203" t="s">
        <v>210</v>
      </c>
      <c r="AB1" s="203" t="s">
        <v>211</v>
      </c>
      <c r="AC1" s="203" t="s">
        <v>212</v>
      </c>
      <c r="AD1" s="203" t="s">
        <v>213</v>
      </c>
      <c r="AE1" s="203" t="s">
        <v>214</v>
      </c>
      <c r="AF1" s="203" t="s">
        <v>215</v>
      </c>
      <c r="AG1" s="203" t="s">
        <v>216</v>
      </c>
      <c r="AH1" s="203" t="s">
        <v>217</v>
      </c>
      <c r="AI1" s="203" t="s">
        <v>218</v>
      </c>
      <c r="AJ1" s="203" t="s">
        <v>219</v>
      </c>
      <c r="AK1" s="203" t="s">
        <v>220</v>
      </c>
      <c r="AL1" s="203" t="s">
        <v>221</v>
      </c>
      <c r="AM1" s="203" t="s">
        <v>222</v>
      </c>
      <c r="AN1" s="203" t="s">
        <v>223</v>
      </c>
      <c r="AO1" s="203" t="s">
        <v>224</v>
      </c>
      <c r="AP1" s="203" t="s">
        <v>225</v>
      </c>
      <c r="AQ1" s="203" t="s">
        <v>226</v>
      </c>
      <c r="AR1" s="203" t="s">
        <v>227</v>
      </c>
      <c r="AS1" s="203" t="s">
        <v>228</v>
      </c>
      <c r="AT1" s="203" t="s">
        <v>229</v>
      </c>
    </row>
    <row r="2" spans="1:46" x14ac:dyDescent="0.15">
      <c r="A2" t="s">
        <v>38</v>
      </c>
      <c r="B2" s="11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6" x14ac:dyDescent="0.15">
      <c r="A3" t="s">
        <v>40</v>
      </c>
      <c r="B3" s="11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6" x14ac:dyDescent="0.15">
      <c r="A4" t="s">
        <v>41</v>
      </c>
      <c r="B4" s="11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6" x14ac:dyDescent="0.15">
      <c r="A5" s="202" t="s">
        <v>192</v>
      </c>
      <c r="B5" s="11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6" x14ac:dyDescent="0.15">
      <c r="A6" s="202" t="s">
        <v>193</v>
      </c>
      <c r="B6" s="11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6" x14ac:dyDescent="0.15">
      <c r="A7" s="202" t="s">
        <v>194</v>
      </c>
      <c r="B7" s="11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6" x14ac:dyDescent="0.15">
      <c r="A8" s="202" t="s">
        <v>195</v>
      </c>
      <c r="B8" s="11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6" x14ac:dyDescent="0.15">
      <c r="A9" s="202" t="s">
        <v>196</v>
      </c>
      <c r="B9" s="11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6" x14ac:dyDescent="0.15">
      <c r="A10" s="202" t="s">
        <v>197</v>
      </c>
      <c r="B10" s="11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6" x14ac:dyDescent="0.15">
      <c r="A11" s="202" t="s">
        <v>198</v>
      </c>
      <c r="B11" s="11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6" x14ac:dyDescent="0.15">
      <c r="A12" s="202" t="s">
        <v>199</v>
      </c>
      <c r="B12" s="11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6" x14ac:dyDescent="0.15">
      <c r="A13" s="202" t="s">
        <v>200</v>
      </c>
      <c r="B13" s="11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6" x14ac:dyDescent="0.15">
      <c r="A14" s="202" t="s">
        <v>201</v>
      </c>
      <c r="B14" s="11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6" x14ac:dyDescent="0.15">
      <c r="A15" s="202" t="s">
        <v>202</v>
      </c>
      <c r="B15" s="11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6" x14ac:dyDescent="0.15">
      <c r="A16" s="202" t="s">
        <v>203</v>
      </c>
      <c r="B16" s="11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2" t="s">
        <v>204</v>
      </c>
      <c r="B17" s="11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2" t="s">
        <v>205</v>
      </c>
      <c r="B18" s="110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2" t="s">
        <v>206</v>
      </c>
      <c r="B19" s="110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2" t="s">
        <v>207</v>
      </c>
      <c r="B20" s="110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2" t="s">
        <v>208</v>
      </c>
      <c r="B21" s="110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2" t="s">
        <v>209</v>
      </c>
      <c r="B22" s="110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2" t="s">
        <v>210</v>
      </c>
      <c r="B23" s="110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2" t="s">
        <v>211</v>
      </c>
      <c r="B24" s="110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2" t="s">
        <v>212</v>
      </c>
      <c r="B25" s="110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2" t="s">
        <v>213</v>
      </c>
      <c r="B26" s="110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2" t="s">
        <v>214</v>
      </c>
      <c r="B27" s="110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2" t="s">
        <v>215</v>
      </c>
      <c r="B28" s="110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2" t="s">
        <v>216</v>
      </c>
      <c r="B29" s="110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2" t="s">
        <v>217</v>
      </c>
      <c r="B30" s="110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2" t="s">
        <v>218</v>
      </c>
      <c r="B31" s="110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2" t="s">
        <v>219</v>
      </c>
      <c r="B32" s="110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2" t="s">
        <v>220</v>
      </c>
      <c r="B33" s="110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2" t="s">
        <v>221</v>
      </c>
      <c r="B34" s="110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2" t="s">
        <v>222</v>
      </c>
      <c r="B35" s="110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2" t="s">
        <v>223</v>
      </c>
      <c r="B36" s="110">
        <v>0</v>
      </c>
      <c r="C36"/>
      <c r="D36"/>
    </row>
    <row r="37" spans="1:38" ht="15" customHeight="1" x14ac:dyDescent="0.15">
      <c r="A37" s="202" t="s">
        <v>224</v>
      </c>
      <c r="B37" s="110">
        <v>0</v>
      </c>
      <c r="C37"/>
      <c r="D37"/>
    </row>
    <row r="38" spans="1:38" ht="15" customHeight="1" x14ac:dyDescent="0.15">
      <c r="A38" s="202" t="s">
        <v>225</v>
      </c>
      <c r="B38" s="110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2" t="s">
        <v>226</v>
      </c>
      <c r="B39" s="110">
        <v>0</v>
      </c>
      <c r="C39"/>
      <c r="D39"/>
    </row>
    <row r="40" spans="1:38" ht="15" customHeight="1" x14ac:dyDescent="0.15">
      <c r="A40" s="202" t="s">
        <v>227</v>
      </c>
      <c r="B40" s="110">
        <v>0</v>
      </c>
      <c r="C40"/>
      <c r="D40"/>
    </row>
    <row r="41" spans="1:38" ht="15" customHeight="1" x14ac:dyDescent="0.15">
      <c r="A41" s="202" t="s">
        <v>228</v>
      </c>
      <c r="B41" s="110">
        <v>0</v>
      </c>
      <c r="C41"/>
      <c r="D41"/>
    </row>
    <row r="42" spans="1:38" ht="15" customHeight="1" x14ac:dyDescent="0.15">
      <c r="A42" s="202" t="s">
        <v>229</v>
      </c>
      <c r="B42" s="110">
        <v>0</v>
      </c>
    </row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2022-10-24T04:51:38Z</dcterms:modified>
</cp:coreProperties>
</file>