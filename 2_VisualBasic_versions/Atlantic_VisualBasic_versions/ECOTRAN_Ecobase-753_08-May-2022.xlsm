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61C5140-E6FE-C64B-AFEB-DB6E011A6FCF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Main!$C$2:$N$19</definedName>
    <definedName name="matDetritus">Detritus!$C$2:$E$19</definedName>
    <definedName name="matDiet">Diets!$B$2:$O$18</definedName>
    <definedName name="matDiscards">Discards!$C$2:$D$17</definedName>
    <definedName name="matFishery">Fishing!$C$2:$D$17</definedName>
    <definedName name="matFishing">Fishing!#REF!</definedName>
    <definedName name="matMort">Mortalities!$A$1:$U$17</definedName>
    <definedName name="matOut">MainOutputs!$A$2:$I$19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<sst xmlns="http://schemas.openxmlformats.org/spreadsheetml/2006/main" count="655" uniqueCount="217">
  <si>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</si>
  <si>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</si>
  <si>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</si>
  <si>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</si>
  <si>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</si>
  <si>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</si>
  <si>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</si>
  <si>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</si>
  <si>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</si>
  <si>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</si>
  <si>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</si>
  <si>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</si>
  <si>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</si>
  <si>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</si>
  <si>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</si>
  <si>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</si>
  <si>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</si>
  <si>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</si>
  <si>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</si>
  <si>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</si>
  <si>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</si>
  <si>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</si>
  <si>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</si>
  <si>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</si>
  <si>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</si>
  <si>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</si>
  <si>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</si>
  <si>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</si>
  <si>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</si>
  <si>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</si>
  <si>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</si>
  <si>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</si>
  <si>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</si>
  <si>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</si>
  <si>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</si>
  <si>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</si>
  <si>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</si>
  <si>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</si>
  <si>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</si>
  <si>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</si>
  <si>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</si>
  <si>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</si>
  <si>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</si>
  <si>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</si>
  <si>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</si>
  <si>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</si>
  <si>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</si>
  <si>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</si>
  <si>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</si>
  <si>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</si>
  <si>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</si>
  <si>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</si>
  <si>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</si>
  <si>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</si>
  <si>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</si>
  <si>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</si>
  <si>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</si>
  <si>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</si>
  <si>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</si>
  <si>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</si>
  <si>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</si>
  <si>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</si>
  <si>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</si>
  <si>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</si>
  <si>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</si>
  <si>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</si>
  <si>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</si>
  <si>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</si>
  <si>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</si>
  <si>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</si>
  <si>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</si>
  <si>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</si>
  <si>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</si>
  <si>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</si>
  <si>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</si>
  <si>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</si>
  <si>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</si>
  <si>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</si>
  <si>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</si>
  <si>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</si>
  <si>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</si>
  <si>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</si>
  <si>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</si>
  <si>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</si>
  <si>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</si>
  <si>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</si>
  <si>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</si>
  <si>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</si>
  <si>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</si>
  <si>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</si>
  <si>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</si>
  <si>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</si>
  <si>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</si>
  <si>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</si>
  <si>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</si>
  <si>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</si>
  <si>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</si>
  <si>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</si>
  <si>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</si>
  <si>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</si>
  <si>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</si>
  <si>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</si>
  <si>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</si>
  <si>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</si>
  <si>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</si>
  <si>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</si>
  <si>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</si>
  <si>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</si>
  <si>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</si>
  <si>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</si>
  <si>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</si>
  <si>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</si>
  <si>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</si>
  <si>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</si>
  <si>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</si>
  <si>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</si>
  <si>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</si>
  <si>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</si>
  <si>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</si>
  <si>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</si>
  <si>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</si>
  <si>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</si>
  <si>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</si>
  <si>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</si>
  <si>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</si>
  <si>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</si>
  <si>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</si>
  <si>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</si>
  <si>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</si>
  <si>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</si>
  <si>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</si>
  <si>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</si>
  <si>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</si>
  <si>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</si>
  <si>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</si>
  <si>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</si>
  <si>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</si>
  <si>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</si>
  <si>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</si>
  <si>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</si>
  <si>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</si>
  <si>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</si>
  <si>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</si>
  <si>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</si>
  <si>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</si>
  <si>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</si>
  <si>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</si>
  <si>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</si>
  <si>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</si>
  <si>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</si>
  <si>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</si>
  <si>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</si>
  <si>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</si>
  <si>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</si>
  <si>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</si>
  <si>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</si>
  <si>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</si>
  <si>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</si>
  <si>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</si>
  <si>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</si>
  <si>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</si>
  <si>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</si>
  <si>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</si>
  <si>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</si>
  <si>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</si>
  <si>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</si>
  <si>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</si>
  <si>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</si>
  <si>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</si>
  <si>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</si>
  <si>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</si>
  <si>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</si>
  <si>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</si>
  <si>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</si>
  <si>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</si>
  <si>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</si>
  <si>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</si>
  <si>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</si>
  <si>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</si>
  <si>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</si>
  <si>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</si>
  <si>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</si>
  <si>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</si>
  <si>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</si>
  <si>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</si>
  <si>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Narragansett Bay food web</t>
  </si>
  <si>
    <t>United States</t>
  </si>
  <si>
    <t>BOX(-71.45 41.37,-71.16 41.86)</t>
  </si>
  <si>
    <t>Estuary</t>
  </si>
  <si>
    <t>weight weight (g/m2)</t>
  </si>
  <si>
    <t>Yearly averaged, functional group based model of Narragansett Bay, Rhode Island, USA. Time dynamic with Ecosim 1994-2018</t>
  </si>
  <si>
    <t>Innes-Gold, A., Heinichen, M., Gorospe, K., Truesdale, C., Collie, J., &amp;amp; Humphries, A. (2020). Model</t>
  </si>
  <si>
    <t>https://doi.org/10.3354/meps13505</t>
  </si>
  <si>
    <t>Phytoplankton</t>
  </si>
  <si>
    <t>Benthic Algae</t>
  </si>
  <si>
    <t>Zooplankton</t>
  </si>
  <si>
    <t>Gelatinous Zooplankton</t>
  </si>
  <si>
    <t>Deposit Feeding Benthos</t>
  </si>
  <si>
    <t>Suspension Feeding Benthos</t>
  </si>
  <si>
    <t>Cultured Shellfish</t>
  </si>
  <si>
    <t>Carnivorous Benthos</t>
  </si>
  <si>
    <t>Sm Pelagic Invert Predators</t>
  </si>
  <si>
    <t>Lg PIP &amp;gt;12cm</t>
  </si>
  <si>
    <t>Planktivorous Fish</t>
  </si>
  <si>
    <t>Benthivorous Fish</t>
  </si>
  <si>
    <t>Piscivorous Fish</t>
  </si>
  <si>
    <t>Seabirds</t>
  </si>
  <si>
    <t>Detritus</t>
  </si>
  <si>
    <t>detritus_TerminalBenthic</t>
  </si>
  <si>
    <t>Recreational</t>
  </si>
  <si>
    <t>Commercial</t>
  </si>
  <si>
    <t>Import</t>
  </si>
  <si>
    <t>export</t>
  </si>
  <si>
    <t>sum</t>
  </si>
  <si>
    <t>TOTAL</t>
  </si>
  <si>
    <t>F Recreational</t>
  </si>
  <si>
    <t>F Commercial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</si>
</sst>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1B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6" borderId="2" xfId="0" applyFont="1" applyFill="1" applyBorder="1" applyAlignment="1">
      <alignment horizontal="center"/>
    </xf>
    <xf numFmtId="0" fontId="1" fillId="16" borderId="4" xfId="0" applyFont="1" applyFill="1" applyBorder="1" applyAlignment="1">
      <alignment horizontal="center"/>
    </xf>
    <xf numFmtId="0" fontId="1" fillId="16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6" borderId="5" xfId="0" applyFill="1" applyBorder="1"/>
    <xf numFmtId="0" fontId="0" fillId="16" borderId="6" xfId="0" applyFill="1" applyBorder="1"/>
    <xf numFmtId="0" fontId="0" fillId="16" borderId="7" xfId="0" applyFill="1" applyBorder="1"/>
    <xf numFmtId="0" fontId="0" fillId="16" borderId="8" xfId="0" applyFill="1" applyBorder="1"/>
    <xf numFmtId="0" fontId="0" fillId="16" borderId="9" xfId="0" applyFill="1" applyBorder="1"/>
    <xf numFmtId="0" fontId="0" fillId="16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1" fillId="0" borderId="0" xfId="0" applyFont="1" applyAlignment="1">
      <alignment horizontal="center"/>
    </xf>
    <xf numFmtId="0" fontId="0" fillId="2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7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6" borderId="3" xfId="0" applyNumberFormat="1" applyFont="1" applyFill="1" applyBorder="1"/>
    <xf numFmtId="0" fontId="0" fillId="26" borderId="2" xfId="0" applyFont="1" applyFill="1" applyBorder="1"/>
    <xf numFmtId="0" fontId="0" fillId="26" borderId="3" xfId="0" applyFont="1" applyFill="1" applyBorder="1"/>
    <xf numFmtId="0" fontId="0" fillId="2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2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6" borderId="2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6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06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3" t="s">
        <v>164</v>
      </c>
    </row>
    <row r="6" spans="2:4" ht="14" thickBot="1" x14ac:dyDescent="0.2">
      <c r="B6" s="37" t="s">
        <v>141</v>
      </c>
    </row>
    <row r="7" spans="2:4" x14ac:dyDescent="0.15">
      <c r="B7" s="53" t="s">
        <v>143</v>
      </c>
    </row>
    <row r="8" spans="2:4" x14ac:dyDescent="0.15">
      <c r="B8" s="53" t="s">
        <v>142</v>
      </c>
    </row>
    <row r="9" spans="2:4" x14ac:dyDescent="0.15">
      <c r="B9" s="53" t="s">
        <v>144</v>
      </c>
    </row>
    <row r="10" spans="2:4" x14ac:dyDescent="0.15">
      <c r="B10" s="53" t="s">
        <v>147</v>
      </c>
    </row>
    <row r="11" spans="2:4" x14ac:dyDescent="0.15">
      <c r="B11" s="53" t="s">
        <v>151</v>
      </c>
    </row>
    <row r="12" spans="2:4" x14ac:dyDescent="0.15">
      <c r="B12" s="53" t="s">
        <v>153</v>
      </c>
    </row>
    <row r="13" spans="2:4" x14ac:dyDescent="0.15">
      <c r="B13" s="53" t="s">
        <v>165</v>
      </c>
    </row>
    <row r="15" spans="2:4" ht="14" thickBot="1" x14ac:dyDescent="0.2"/>
    <row r="16" spans="2:4" ht="14" thickBot="1" x14ac:dyDescent="0.2">
      <c r="B16" s="38" t="s">
        <v>137</v>
      </c>
      <c r="C16" s="39"/>
      <c r="D16" s="21">
        <v>41373</v>
      </c>
    </row>
    <row r="17" spans="2:4" x14ac:dyDescent="0.15">
      <c r="B17" s="40" t="s">
        <v>58</v>
      </c>
      <c r="C17" s="24">
        <v>0</v>
      </c>
    </row>
    <row r="18" spans="2:4" x14ac:dyDescent="0.15">
      <c r="B18" s="40" t="s">
        <v>59</v>
      </c>
      <c r="C18" s="24">
        <v>1</v>
      </c>
    </row>
    <row r="19" spans="2:4" x14ac:dyDescent="0.15">
      <c r="B19" s="40" t="s">
        <v>60</v>
      </c>
      <c r="C19" s="24">
        <v>2</v>
      </c>
    </row>
    <row r="20" spans="2:4" ht="14" thickBot="1" x14ac:dyDescent="0.2">
      <c r="B20" s="41" t="s">
        <v>44</v>
      </c>
      <c r="C20" s="25">
        <v>3</v>
      </c>
    </row>
    <row r="21" spans="2:4" x14ac:dyDescent="0.15">
      <c r="B21" s="42" t="s">
        <v>140</v>
      </c>
    </row>
    <row r="22" spans="2:4" ht="14" thickBot="1" x14ac:dyDescent="0.2"/>
    <row r="23" spans="2:4" ht="14" thickBot="1" x14ac:dyDescent="0.2">
      <c r="B23" s="38" t="s">
        <v>65</v>
      </c>
      <c r="C23" s="39"/>
      <c r="D23" s="21" t="s">
        <v>148</v>
      </c>
    </row>
    <row r="24" spans="2:4" x14ac:dyDescent="0.15">
      <c r="B24" s="44" t="s">
        <v>38</v>
      </c>
      <c r="C24" s="22">
        <v>1</v>
      </c>
    </row>
    <row r="25" spans="2:4" x14ac:dyDescent="0.15">
      <c r="B25" s="40" t="s">
        <v>40</v>
      </c>
      <c r="C25" s="24">
        <v>1.1000000000000001</v>
      </c>
    </row>
    <row r="26" spans="2:4" x14ac:dyDescent="0.15">
      <c r="B26" s="40" t="s">
        <v>41</v>
      </c>
      <c r="C26" s="24">
        <v>1.2</v>
      </c>
    </row>
    <row r="27" spans="2:4" x14ac:dyDescent="0.15">
      <c r="B27" s="40"/>
      <c r="C27" s="24"/>
    </row>
    <row r="28" spans="2:4" x14ac:dyDescent="0.15">
      <c r="B28" s="40" t="s">
        <v>42</v>
      </c>
      <c r="C28" s="24">
        <v>2.1</v>
      </c>
    </row>
    <row r="29" spans="2:4" x14ac:dyDescent="0.15">
      <c r="B29" s="40" t="s">
        <v>43</v>
      </c>
      <c r="C29" s="24">
        <v>2.2000000000000002</v>
      </c>
    </row>
    <row r="30" spans="2:4" x14ac:dyDescent="0.15">
      <c r="B30" s="40" t="s">
        <v>67</v>
      </c>
      <c r="C30" s="24">
        <v>2.2999999999999998</v>
      </c>
    </row>
    <row r="31" spans="2:4" x14ac:dyDescent="0.15">
      <c r="B31" s="40"/>
      <c r="C31" s="24"/>
    </row>
    <row r="32" spans="2:4" x14ac:dyDescent="0.15">
      <c r="B32" s="40" t="s">
        <v>62</v>
      </c>
      <c r="C32" s="24">
        <v>3.11</v>
      </c>
    </row>
    <row r="33" spans="2:3" x14ac:dyDescent="0.15">
      <c r="B33" s="40" t="s">
        <v>61</v>
      </c>
      <c r="C33" s="24">
        <v>3.12</v>
      </c>
    </row>
    <row r="34" spans="2:3" x14ac:dyDescent="0.15">
      <c r="B34" s="40" t="s">
        <v>68</v>
      </c>
      <c r="C34" s="24">
        <v>3.13</v>
      </c>
    </row>
    <row r="35" spans="2:3" x14ac:dyDescent="0.15">
      <c r="B35" s="40"/>
      <c r="C35" s="24"/>
    </row>
    <row r="36" spans="2:3" x14ac:dyDescent="0.15">
      <c r="B36" s="40" t="s">
        <v>66</v>
      </c>
      <c r="C36" s="24">
        <v>3.21</v>
      </c>
    </row>
    <row r="37" spans="2:3" x14ac:dyDescent="0.15">
      <c r="B37" s="40" t="s">
        <v>63</v>
      </c>
      <c r="C37" s="24">
        <v>3.22</v>
      </c>
    </row>
    <row r="38" spans="2:3" x14ac:dyDescent="0.15">
      <c r="B38" s="40" t="s">
        <v>69</v>
      </c>
      <c r="C38" s="24">
        <v>3.23</v>
      </c>
    </row>
    <row r="39" spans="2:3" x14ac:dyDescent="0.15">
      <c r="B39" s="40"/>
      <c r="C39" s="24"/>
    </row>
    <row r="40" spans="2:3" x14ac:dyDescent="0.15">
      <c r="B40" s="40" t="s">
        <v>64</v>
      </c>
      <c r="C40" s="24">
        <v>8</v>
      </c>
    </row>
    <row r="41" spans="2:3" x14ac:dyDescent="0.15">
      <c r="B41" s="40"/>
      <c r="C41" s="24"/>
    </row>
    <row r="42" spans="2:3" x14ac:dyDescent="0.15">
      <c r="B42" s="40" t="s">
        <v>71</v>
      </c>
      <c r="C42" s="24">
        <v>4.0999999999999996</v>
      </c>
    </row>
    <row r="43" spans="2:3" x14ac:dyDescent="0.15">
      <c r="B43" s="40" t="s">
        <v>70</v>
      </c>
      <c r="C43" s="24">
        <v>4.2</v>
      </c>
    </row>
    <row r="44" spans="2:3" x14ac:dyDescent="0.15">
      <c r="B44" s="40" t="s">
        <v>72</v>
      </c>
      <c r="C44" s="24">
        <v>4.3</v>
      </c>
    </row>
    <row r="45" spans="2:3" x14ac:dyDescent="0.15">
      <c r="B45" s="23"/>
      <c r="C45" s="24"/>
    </row>
    <row r="46" spans="2:3" x14ac:dyDescent="0.15">
      <c r="B46" s="40" t="s">
        <v>138</v>
      </c>
      <c r="C46" s="24">
        <v>6.1</v>
      </c>
    </row>
    <row r="47" spans="2:3" x14ac:dyDescent="0.15">
      <c r="B47" s="40" t="s">
        <v>45</v>
      </c>
      <c r="C47" s="24">
        <v>6.2</v>
      </c>
    </row>
    <row r="48" spans="2:3" x14ac:dyDescent="0.15">
      <c r="B48" s="40"/>
      <c r="C48" s="24"/>
    </row>
    <row r="49" spans="2:4" x14ac:dyDescent="0.15">
      <c r="B49" s="40" t="s">
        <v>44</v>
      </c>
      <c r="C49" s="24">
        <v>5</v>
      </c>
    </row>
    <row r="50" spans="2:4" x14ac:dyDescent="0.15">
      <c r="B50" s="40"/>
      <c r="C50" s="24"/>
    </row>
    <row r="51" spans="2:4" ht="14" thickBot="1" x14ac:dyDescent="0.2">
      <c r="B51" s="41" t="s">
        <v>73</v>
      </c>
      <c r="C51" s="25">
        <v>7</v>
      </c>
    </row>
    <row r="53" spans="2:4" x14ac:dyDescent="0.15">
      <c r="B53" s="146" t="s">
        <v>171</v>
      </c>
      <c r="C53" s="93">
        <v>753</v>
      </c>
      <c r="D53" s="93"/>
    </row>
    <row r="54" spans="2:4" x14ac:dyDescent="0.15">
      <c r="B54" s="146" t="s">
        <v>172</v>
      </c>
      <c r="C54" s="146" t="s">
        <v>185</v>
      </c>
      <c r="D54" s="93"/>
    </row>
    <row r="55" spans="2:4" x14ac:dyDescent="0.15">
      <c r="B55" s="146" t="s">
        <v>173</v>
      </c>
      <c r="C55" s="146" t="s">
        <v>186</v>
      </c>
      <c r="D55" s="93"/>
    </row>
    <row r="56" spans="2:4" x14ac:dyDescent="0.15">
      <c r="B56" s="146" t="s">
        <v>174</v>
      </c>
      <c r="C56" s="93">
        <v>378</v>
      </c>
      <c r="D56" s="93"/>
    </row>
    <row r="57" spans="2:4" x14ac:dyDescent="0.15">
      <c r="B57" s="146" t="s">
        <v>175</v>
      </c>
      <c r="C57" s="146" t="s">
        <v>187</v>
      </c>
      <c r="D57" s="93"/>
    </row>
    <row r="58" spans="2:4" x14ac:dyDescent="0.15">
      <c r="B58" s="146" t="s">
        <v>176</v>
      </c>
      <c r="C58" s="146" t="s">
        <v>188</v>
      </c>
      <c r="D58" s="93"/>
    </row>
    <row r="59" spans="2:4" x14ac:dyDescent="0.15">
      <c r="B59" s="146" t="s">
        <v>177</v>
      </c>
      <c r="C59" s="146" t="s">
        <v>189</v>
      </c>
      <c r="D59" s="93"/>
    </row>
    <row r="60" spans="2:4" x14ac:dyDescent="0.15">
      <c r="B60" s="146" t="s">
        <v>178</v>
      </c>
      <c r="C60" s="146" t="s">
        <v>190</v>
      </c>
      <c r="D60" s="93"/>
    </row>
    <row r="61" spans="2:4" x14ac:dyDescent="0.15">
      <c r="B61" s="146" t="s">
        <v>179</v>
      </c>
      <c r="C61" s="93">
        <v>15</v>
      </c>
      <c r="D61" s="93"/>
    </row>
    <row r="62" spans="2:4" x14ac:dyDescent="0.15">
      <c r="B62" s="146" t="s">
        <v>180</v>
      </c>
      <c r="C62" s="93">
        <v>2</v>
      </c>
      <c r="D62" s="93"/>
    </row>
    <row r="63" spans="2:4" x14ac:dyDescent="0.15">
      <c r="B63" s="146" t="s">
        <v>181</v>
      </c>
      <c r="C63" s="93">
        <v>1994</v>
      </c>
      <c r="D63" s="93"/>
    </row>
    <row r="64" spans="2:4" x14ac:dyDescent="0.15">
      <c r="B64" s="146" t="s">
        <v>182</v>
      </c>
      <c r="C64" s="93">
        <v>25</v>
      </c>
      <c r="D64" s="93"/>
    </row>
    <row r="65" spans="2:4" x14ac:dyDescent="0.15">
      <c r="B65" s="146" t="s">
        <v>183</v>
      </c>
      <c r="C65" s="146" t="s">
        <v>191</v>
      </c>
      <c r="D65" s="93"/>
    </row>
    <row r="66" spans="2:4" x14ac:dyDescent="0.15">
      <c r="B66" s="146" t="s">
        <v>184</v>
      </c>
      <c r="C66" s="146" t="s">
        <v>192</v>
      </c>
      <c r="D66" s="93"/>
    </row>
    <row r="67" spans="2:4" x14ac:dyDescent="0.15">
      <c r="B67" s="93"/>
      <c r="C67" s="93"/>
      <c r="D67" s="93"/>
    </row>
    <row r="68" spans="2:4" x14ac:dyDescent="0.15">
      <c r="B68" s="93"/>
      <c r="C68" s="93"/>
      <c r="D68" s="9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68" customWidth="1"/>
    <col min="2" max="3" width="3.33203125" style="68" customWidth="1"/>
    <col min="4" max="4" width="14.33203125" style="68" customWidth="1"/>
    <col min="5" max="5" width="25.5" style="68" bestFit="1" customWidth="1"/>
    <col min="6" max="6" width="2.33203125" style="68" bestFit="1" customWidth="1"/>
    <col min="7" max="7" width="11.83203125" style="68" bestFit="1" customWidth="1"/>
    <col min="8" max="8" width="11.83203125" style="68" customWidth="1"/>
    <col min="9" max="9" width="10.83203125" style="68" customWidth="1"/>
    <col min="10" max="10" width="11.83203125" style="68" customWidth="1"/>
    <col min="11" max="11" width="13.83203125" style="68" customWidth="1"/>
    <col min="12" max="12" width="2.33203125" style="68" customWidth="1"/>
    <col min="13" max="13" width="4.83203125" style="68" customWidth="1"/>
    <col min="14" max="14" width="2.33203125" style="68" customWidth="1"/>
    <col min="16" max="25" width="8.83203125" style="6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68"/>
  </cols>
  <sheetData>
    <row r="1" spans="1:46" s="85" customFormat="1" ht="15" customHeight="1" x14ac:dyDescent="0.15">
      <c r="A1" s="64" t="s">
        <v>18</v>
      </c>
      <c r="C1" s="65" t="s">
        <v>8</v>
      </c>
      <c r="D1" s="64" t="s">
        <v>23</v>
      </c>
      <c r="E1" s="64" t="s">
        <v>0</v>
      </c>
      <c r="F1" s="64" t="s">
        <v>7</v>
      </c>
      <c r="G1" s="66" t="s">
        <v>13</v>
      </c>
      <c r="H1" s="64" t="s">
        <v>1</v>
      </c>
      <c r="I1" s="64" t="s">
        <v>2</v>
      </c>
      <c r="J1" s="64" t="s">
        <v>14</v>
      </c>
      <c r="K1" s="64" t="s">
        <v>3</v>
      </c>
      <c r="L1" s="64" t="s">
        <v>4</v>
      </c>
      <c r="M1" s="64" t="s">
        <v>5</v>
      </c>
      <c r="N1" s="6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5">
        <v>1</v>
      </c>
      <c r="D2"/>
      <c r="E2" s="147" t="s">
        <v>193</v>
      </c>
      <c r="F2" s="68">
        <v>1</v>
      </c>
      <c r="G2" s="68">
        <v>22.9817</v>
      </c>
      <c r="H2" s="68">
        <v>225.71799999999999</v>
      </c>
      <c r="I2" s="6">
        <v>0</v>
      </c>
      <c r="J2" s="6">
        <v>0.35537606500000002</v>
      </c>
      <c r="K2" s="6">
        <v>0</v>
      </c>
      <c r="L2" s="6">
        <v>0</v>
      </c>
      <c r="M2" s="68">
        <v>0</v>
      </c>
      <c r="N2" s="68">
        <v>0</v>
      </c>
    </row>
    <row r="3" spans="1:46" ht="15" customHeight="1" x14ac:dyDescent="0.15">
      <c r="A3" s="1" t="s">
        <v>9</v>
      </c>
      <c r="B3" s="4">
        <v>14</v>
      </c>
      <c r="C3" s="68">
        <v>2</v>
      </c>
      <c r="D3"/>
      <c r="E3" s="147" t="s">
        <v>194</v>
      </c>
      <c r="F3" s="68">
        <v>1</v>
      </c>
      <c r="G3" s="68">
        <v>30.795000000000002</v>
      </c>
      <c r="H3" s="68">
        <v>17.010000000000002</v>
      </c>
      <c r="I3" s="68">
        <v>0</v>
      </c>
      <c r="J3" s="68">
        <v>0.26964587000000001</v>
      </c>
      <c r="K3" s="68">
        <v>0</v>
      </c>
      <c r="L3" s="68">
        <v>0</v>
      </c>
      <c r="M3" s="68">
        <v>0</v>
      </c>
      <c r="N3" s="68">
        <v>0</v>
      </c>
    </row>
    <row r="4" spans="1:46" ht="15" customHeight="1" x14ac:dyDescent="0.15">
      <c r="A4" s="1" t="s">
        <v>10</v>
      </c>
      <c r="B4" s="4">
        <v>2</v>
      </c>
      <c r="C4" s="68">
        <v>3</v>
      </c>
      <c r="D4"/>
      <c r="E4" s="147" t="s">
        <v>195</v>
      </c>
      <c r="F4" s="68">
        <v>0</v>
      </c>
      <c r="G4" s="68">
        <v>7.1248189999999996</v>
      </c>
      <c r="H4" s="68">
        <v>78.317999999999998</v>
      </c>
      <c r="I4" s="68">
        <v>215</v>
      </c>
      <c r="J4" s="68">
        <v>0.49831688400000002</v>
      </c>
      <c r="K4" s="68">
        <v>0.36426976300000002</v>
      </c>
      <c r="L4" s="68">
        <v>0</v>
      </c>
      <c r="M4" s="68">
        <v>0.4</v>
      </c>
      <c r="N4" s="6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68">
        <v>4</v>
      </c>
      <c r="D5"/>
      <c r="E5" s="147" t="s">
        <v>196</v>
      </c>
      <c r="F5" s="68">
        <v>0</v>
      </c>
      <c r="G5" s="68">
        <v>42.356900000000003</v>
      </c>
      <c r="H5" s="68">
        <v>2</v>
      </c>
      <c r="I5" s="68">
        <v>5.6</v>
      </c>
      <c r="J5" s="68">
        <v>7.1679679999999996E-2</v>
      </c>
      <c r="K5" s="68">
        <v>0.357142866</v>
      </c>
      <c r="L5" s="68">
        <v>0</v>
      </c>
      <c r="M5" s="68">
        <v>0.2</v>
      </c>
      <c r="N5" s="68">
        <v>0</v>
      </c>
      <c r="P5" s="60"/>
      <c r="Q5" s="60"/>
      <c r="R5" s="60"/>
    </row>
    <row r="6" spans="1:46" ht="15" customHeight="1" thickBot="1" x14ac:dyDescent="0.2">
      <c r="B6" s="1"/>
      <c r="C6" s="68">
        <v>5</v>
      </c>
      <c r="D6"/>
      <c r="E6" s="147" t="s">
        <v>197</v>
      </c>
      <c r="F6" s="68">
        <v>0</v>
      </c>
      <c r="G6" s="68">
        <v>70.125</v>
      </c>
      <c r="H6" s="68">
        <v>4.58</v>
      </c>
      <c r="I6" s="68">
        <v>24.36</v>
      </c>
      <c r="J6" s="68">
        <v>0.97751350000000004</v>
      </c>
      <c r="K6" s="68">
        <v>0.18801312100000001</v>
      </c>
      <c r="L6" s="68">
        <v>0</v>
      </c>
      <c r="M6" s="68">
        <v>0.35</v>
      </c>
      <c r="N6" s="68">
        <v>0</v>
      </c>
      <c r="P6" s="60"/>
      <c r="Q6" s="60"/>
      <c r="R6" s="60"/>
      <c r="W6" s="27" t="s">
        <v>31</v>
      </c>
      <c r="X6" s="43">
        <f>MAX(MainOutputs!G:G)</f>
        <v>0.99884724617004395</v>
      </c>
    </row>
    <row r="7" spans="1:46" ht="15" customHeight="1" x14ac:dyDescent="0.15">
      <c r="A7" s="2" t="s">
        <v>27</v>
      </c>
      <c r="B7" s="68">
        <f ca="1">COUNTIF(OFFSET(cornerDiets,1,1,NumLiving+NumDead+1,NumLiving+NumDead),"&gt;0")+NumLiving+NumDead+1</f>
        <v>100</v>
      </c>
      <c r="C7" s="68">
        <v>6</v>
      </c>
      <c r="D7"/>
      <c r="E7" s="147" t="s">
        <v>198</v>
      </c>
      <c r="F7" s="68">
        <v>0</v>
      </c>
      <c r="G7" s="68">
        <v>26.76</v>
      </c>
      <c r="H7" s="68">
        <v>4.6500000000000004</v>
      </c>
      <c r="I7" s="68">
        <v>12.8119488</v>
      </c>
      <c r="J7" s="68">
        <v>0.351760238</v>
      </c>
      <c r="K7" s="68">
        <v>0.362942457</v>
      </c>
      <c r="L7" s="68">
        <v>0</v>
      </c>
      <c r="M7" s="68">
        <v>0.35</v>
      </c>
      <c r="N7" s="68">
        <v>0</v>
      </c>
      <c r="P7" s="60"/>
      <c r="Q7" s="60"/>
      <c r="R7" s="60"/>
    </row>
    <row r="8" spans="1:46" ht="15" customHeight="1" x14ac:dyDescent="0.15">
      <c r="A8" s="2" t="s">
        <v>28</v>
      </c>
      <c r="B8" s="68">
        <f ca="1">COUNTIF(OFFSET(cornerFishing,1,2,NumLiving+NumDead,NumGears),"&gt;0")+NumDead*COUNTIF(OFFSET(cornerDiscards,1,2,NumLiving+NumDead,NumGears),"&gt;0")+NumLiving+NumDead+1</f>
        <v>25</v>
      </c>
      <c r="C8" s="68">
        <v>7</v>
      </c>
      <c r="D8"/>
      <c r="E8" s="147" t="s">
        <v>199</v>
      </c>
      <c r="F8" s="68">
        <v>0</v>
      </c>
      <c r="G8" s="68">
        <v>1.35E-2</v>
      </c>
      <c r="H8" s="68">
        <v>0.14499999999999999</v>
      </c>
      <c r="I8" s="68">
        <v>23.148288699999998</v>
      </c>
      <c r="J8" s="68">
        <v>0</v>
      </c>
      <c r="K8" s="68">
        <v>6.2639615499999997E-3</v>
      </c>
      <c r="L8" s="68">
        <v>0</v>
      </c>
      <c r="M8" s="68">
        <v>0.35</v>
      </c>
      <c r="N8" s="68">
        <v>0</v>
      </c>
      <c r="P8" s="60"/>
      <c r="Q8" s="60"/>
      <c r="R8" s="60"/>
    </row>
    <row r="9" spans="1:46" ht="15" customHeight="1" x14ac:dyDescent="0.15">
      <c r="B9" s="1"/>
      <c r="C9" s="68">
        <v>8</v>
      </c>
      <c r="D9"/>
      <c r="E9" s="147" t="s">
        <v>200</v>
      </c>
      <c r="F9" s="68">
        <v>0</v>
      </c>
      <c r="G9" s="68">
        <v>15.9057</v>
      </c>
      <c r="H9" s="68">
        <v>0.83879999999999999</v>
      </c>
      <c r="I9" s="68">
        <v>8.3856000000000002</v>
      </c>
      <c r="J9" s="68">
        <v>0.94138029999999995</v>
      </c>
      <c r="K9" s="68">
        <v>0.100028619</v>
      </c>
      <c r="L9" s="68">
        <v>0</v>
      </c>
      <c r="M9" s="68">
        <v>0.2</v>
      </c>
      <c r="N9" s="68">
        <v>0</v>
      </c>
      <c r="P9" s="60"/>
      <c r="Q9" s="60"/>
      <c r="R9" s="60"/>
    </row>
    <row r="10" spans="1:46" ht="15" customHeight="1" x14ac:dyDescent="0.15">
      <c r="B10" s="1"/>
      <c r="C10" s="68">
        <v>9</v>
      </c>
      <c r="D10"/>
      <c r="E10" s="147" t="s">
        <v>201</v>
      </c>
      <c r="F10" s="68">
        <v>0</v>
      </c>
      <c r="G10" s="68">
        <v>0.46130713800000001</v>
      </c>
      <c r="H10" s="68">
        <v>3.9498000000000002</v>
      </c>
      <c r="I10" s="68">
        <v>23.647516299999999</v>
      </c>
      <c r="J10" s="68">
        <v>0.99885460000000004</v>
      </c>
      <c r="K10" s="68">
        <v>0.16702811400000001</v>
      </c>
      <c r="L10" s="68">
        <v>0</v>
      </c>
      <c r="M10" s="68">
        <v>0.2</v>
      </c>
      <c r="N10" s="68">
        <v>0</v>
      </c>
    </row>
    <row r="11" spans="1:46" ht="15" customHeight="1" x14ac:dyDescent="0.15">
      <c r="C11" s="68">
        <v>10</v>
      </c>
      <c r="D11"/>
      <c r="E11" s="147" t="s">
        <v>202</v>
      </c>
      <c r="F11" s="68">
        <v>0</v>
      </c>
      <c r="G11" s="68">
        <v>0.64339999999999997</v>
      </c>
      <c r="H11" s="68">
        <v>5.3639999999999999</v>
      </c>
      <c r="I11" s="68">
        <v>12.5</v>
      </c>
      <c r="J11" s="68">
        <v>0.99289393400000003</v>
      </c>
      <c r="K11" s="68">
        <v>0.42911997400000002</v>
      </c>
      <c r="L11" s="68">
        <v>0</v>
      </c>
      <c r="M11" s="68">
        <v>0.2</v>
      </c>
      <c r="N11" s="68">
        <v>0</v>
      </c>
    </row>
    <row r="12" spans="1:46" ht="15" customHeight="1" x14ac:dyDescent="0.15">
      <c r="C12" s="68">
        <v>11</v>
      </c>
      <c r="D12"/>
      <c r="E12" s="147" t="s">
        <v>203</v>
      </c>
      <c r="F12" s="68">
        <v>0</v>
      </c>
      <c r="G12" s="68">
        <v>12.303599999999999</v>
      </c>
      <c r="H12" s="68">
        <v>2.3759999999999999</v>
      </c>
      <c r="I12" s="68">
        <v>10.877000000000001</v>
      </c>
      <c r="J12" s="68">
        <v>0.99703249999999999</v>
      </c>
      <c r="K12" s="68">
        <v>0.218442574</v>
      </c>
      <c r="L12" s="68">
        <v>0</v>
      </c>
      <c r="M12" s="68">
        <v>0.25</v>
      </c>
      <c r="N12" s="68">
        <v>0</v>
      </c>
    </row>
    <row r="13" spans="1:46" ht="15" customHeight="1" x14ac:dyDescent="0.15">
      <c r="C13" s="68">
        <v>12</v>
      </c>
      <c r="D13"/>
      <c r="E13" s="147" t="s">
        <v>204</v>
      </c>
      <c r="F13" s="68">
        <v>0</v>
      </c>
      <c r="G13" s="68">
        <v>9.2248999999999999</v>
      </c>
      <c r="H13" s="68">
        <v>0.87768715600000002</v>
      </c>
      <c r="I13" s="68">
        <v>4.5270000000000001</v>
      </c>
      <c r="J13" s="68">
        <v>0.79977189999999998</v>
      </c>
      <c r="K13" s="68">
        <v>0.19387832299999999</v>
      </c>
      <c r="L13" s="68">
        <v>0</v>
      </c>
      <c r="M13" s="68">
        <v>0.2</v>
      </c>
      <c r="N13" s="68">
        <v>0</v>
      </c>
    </row>
    <row r="14" spans="1:46" ht="15" customHeight="1" x14ac:dyDescent="0.15">
      <c r="C14" s="68">
        <v>13</v>
      </c>
      <c r="D14"/>
      <c r="E14" s="147" t="s">
        <v>205</v>
      </c>
      <c r="F14" s="68">
        <v>0</v>
      </c>
      <c r="G14" s="68">
        <v>2.0813000000000001</v>
      </c>
      <c r="H14" s="68">
        <v>1.494148</v>
      </c>
      <c r="I14" s="68">
        <v>4.6352000000000002</v>
      </c>
      <c r="J14" s="68">
        <v>0.98790800000000001</v>
      </c>
      <c r="K14" s="68">
        <v>0.32234811800000002</v>
      </c>
      <c r="L14" s="68">
        <v>0</v>
      </c>
      <c r="M14" s="68">
        <v>0.2</v>
      </c>
      <c r="N14" s="68">
        <v>0</v>
      </c>
    </row>
    <row r="15" spans="1:46" ht="15" customHeight="1" x14ac:dyDescent="0.15">
      <c r="C15" s="68">
        <v>14</v>
      </c>
      <c r="D15"/>
      <c r="E15" s="147" t="s">
        <v>206</v>
      </c>
      <c r="F15" s="68">
        <v>0</v>
      </c>
      <c r="G15" s="68">
        <v>4.2599999999999999E-2</v>
      </c>
      <c r="H15" s="68">
        <v>0.14108000000000001</v>
      </c>
      <c r="I15" s="68">
        <v>7.75</v>
      </c>
      <c r="J15" s="68">
        <v>0.82400050000000002</v>
      </c>
      <c r="K15" s="68">
        <v>1.82038713E-2</v>
      </c>
      <c r="L15" s="68">
        <v>0</v>
      </c>
      <c r="M15" s="68">
        <v>0.2</v>
      </c>
      <c r="N15" s="68">
        <v>0</v>
      </c>
    </row>
    <row r="16" spans="1:46" ht="15" customHeight="1" x14ac:dyDescent="0.15">
      <c r="C16" s="68">
        <v>15</v>
      </c>
      <c r="D16"/>
      <c r="E16" s="147" t="s">
        <v>207</v>
      </c>
      <c r="F16" s="68">
        <v>2</v>
      </c>
      <c r="G16" s="68">
        <v>3.8660000000000001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0</v>
      </c>
    </row>
    <row r="17" spans="1:22" ht="15" customHeight="1" x14ac:dyDescent="0.15">
      <c r="C17" s="68">
        <v>16</v>
      </c>
      <c r="D17"/>
      <c r="E17" s="147" t="s">
        <v>208</v>
      </c>
      <c r="F17" s="68">
        <v>2</v>
      </c>
      <c r="G17" s="68">
        <v>5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V17" s="1" t="s">
        <v>30</v>
      </c>
    </row>
    <row r="18" spans="1:22" ht="15" customHeight="1" x14ac:dyDescent="0.15">
      <c r="C18" s="68">
        <v>17</v>
      </c>
      <c r="D18"/>
      <c r="E18" s="147" t="s">
        <v>209</v>
      </c>
      <c r="F18" s="68">
        <v>3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0</v>
      </c>
      <c r="M18" s="68">
        <v>0</v>
      </c>
      <c r="N18" s="68">
        <v>0</v>
      </c>
      <c r="V18" s="1"/>
    </row>
    <row r="19" spans="1:22" ht="15" customHeight="1" x14ac:dyDescent="0.15">
      <c r="C19" s="68">
        <v>18</v>
      </c>
      <c r="D19"/>
      <c r="E19" s="147" t="s">
        <v>210</v>
      </c>
      <c r="F19" s="68">
        <v>3</v>
      </c>
      <c r="G19" s="68">
        <v>0</v>
      </c>
      <c r="H19" s="68">
        <v>0</v>
      </c>
      <c r="I19" s="68">
        <v>0</v>
      </c>
      <c r="J19" s="68">
        <v>0</v>
      </c>
      <c r="K19" s="68">
        <v>0</v>
      </c>
      <c r="L19" s="68">
        <v>0</v>
      </c>
      <c r="M19" s="68">
        <v>0</v>
      </c>
      <c r="N19" s="68">
        <v>0</v>
      </c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8" t="s">
        <v>137</v>
      </c>
      <c r="B21" s="86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7" t="s">
        <v>58</v>
      </c>
      <c r="B22" s="88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7" t="s">
        <v>59</v>
      </c>
      <c r="B23" s="88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7" t="s">
        <v>60</v>
      </c>
      <c r="B24" s="88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89" t="s">
        <v>44</v>
      </c>
      <c r="B25" s="90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1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5.5" style="126" bestFit="1" customWidth="1"/>
    <col min="2" max="4" width="2.33203125" style="126" bestFit="1" customWidth="1"/>
    <col min="5" max="6" width="6.83203125" style="126" bestFit="1" customWidth="1"/>
    <col min="7" max="8" width="4.83203125" style="126" bestFit="1" customWidth="1"/>
    <col min="9" max="12" width="6.83203125" style="126" bestFit="1" customWidth="1"/>
    <col min="13" max="13" width="14.83203125" style="126" bestFit="1" customWidth="1"/>
    <col min="14" max="14" width="13.83203125" style="126" bestFit="1" customWidth="1"/>
    <col min="15" max="15" width="6.83203125" style="126" bestFit="1" customWidth="1"/>
    <col min="16" max="17" width="2.33203125" style="126" bestFit="1" customWidth="1"/>
    <col min="18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49" t="s">
        <v>193</v>
      </c>
      <c r="C1" s="149" t="s">
        <v>194</v>
      </c>
      <c r="D1" s="149" t="s">
        <v>195</v>
      </c>
      <c r="E1" s="149" t="s">
        <v>196</v>
      </c>
      <c r="F1" s="149" t="s">
        <v>197</v>
      </c>
      <c r="G1" s="149" t="s">
        <v>198</v>
      </c>
      <c r="H1" s="149" t="s">
        <v>199</v>
      </c>
      <c r="I1" s="149" t="s">
        <v>200</v>
      </c>
      <c r="J1" s="149" t="s">
        <v>201</v>
      </c>
      <c r="K1" s="149" t="s">
        <v>202</v>
      </c>
      <c r="L1" s="149" t="s">
        <v>203</v>
      </c>
      <c r="M1" s="149" t="s">
        <v>204</v>
      </c>
      <c r="N1" s="149" t="s">
        <v>205</v>
      </c>
      <c r="O1" s="149" t="s">
        <v>206</v>
      </c>
      <c r="P1" s="149" t="s">
        <v>207</v>
      </c>
      <c r="Q1" s="149" t="s">
        <v>208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48" t="s">
        <v>193</v>
      </c>
      <c r="B2" s="126">
        <v>0</v>
      </c>
      <c r="C2" s="126">
        <v>0</v>
      </c>
      <c r="D2" s="126">
        <v>1</v>
      </c>
      <c r="E2" s="126">
        <v>1.0000000000000002E-4</v>
      </c>
      <c r="F2" s="126">
        <v>1.9699999999999999E-2</v>
      </c>
      <c r="G2" s="126">
        <v>0.81</v>
      </c>
      <c r="H2" s="126">
        <v>0.81</v>
      </c>
      <c r="I2" s="126">
        <v>0</v>
      </c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</row>
    <row r="3" spans="1:34" customFormat="1" x14ac:dyDescent="0.15">
      <c r="A3" s="148" t="s">
        <v>194</v>
      </c>
      <c r="B3" s="126">
        <v>0</v>
      </c>
      <c r="C3" s="126">
        <v>0</v>
      </c>
      <c r="D3" s="126">
        <v>0</v>
      </c>
      <c r="E3" s="126">
        <v>0</v>
      </c>
      <c r="F3" s="126">
        <v>7.1999999999999995E-2</v>
      </c>
      <c r="G3" s="126">
        <v>0</v>
      </c>
      <c r="H3" s="126">
        <v>0</v>
      </c>
      <c r="I3" s="126">
        <v>0.13550000000000001</v>
      </c>
      <c r="J3" s="126">
        <v>0</v>
      </c>
      <c r="K3" s="126">
        <v>0</v>
      </c>
      <c r="L3" s="126">
        <v>0</v>
      </c>
      <c r="M3" s="126">
        <v>4.1998320067197304E-3</v>
      </c>
      <c r="N3" s="126">
        <v>4.9999700001799989E-4</v>
      </c>
      <c r="O3" s="126">
        <v>0</v>
      </c>
      <c r="P3" s="126">
        <v>0</v>
      </c>
      <c r="Q3" s="126">
        <v>0</v>
      </c>
    </row>
    <row r="4" spans="1:34" customFormat="1" x14ac:dyDescent="0.15">
      <c r="A4" s="148" t="s">
        <v>195</v>
      </c>
      <c r="B4" s="126">
        <v>0</v>
      </c>
      <c r="C4" s="126">
        <v>0</v>
      </c>
      <c r="D4" s="126">
        <v>0</v>
      </c>
      <c r="E4" s="126">
        <v>0.5051000000000001</v>
      </c>
      <c r="F4" s="126">
        <v>3.8999999999999998E-3</v>
      </c>
      <c r="G4" s="126">
        <v>0.19</v>
      </c>
      <c r="H4" s="126">
        <v>0.19</v>
      </c>
      <c r="I4" s="126">
        <v>5.9999999999999995E-4</v>
      </c>
      <c r="J4" s="126">
        <v>0.4763</v>
      </c>
      <c r="K4" s="126">
        <v>0.1002</v>
      </c>
      <c r="L4" s="126">
        <v>0.59950000000000003</v>
      </c>
      <c r="M4" s="126">
        <v>1.8999240030398783E-3</v>
      </c>
      <c r="N4" s="126">
        <v>0</v>
      </c>
      <c r="O4" s="126">
        <v>2.0000000000000001E-4</v>
      </c>
      <c r="P4" s="126">
        <v>0</v>
      </c>
      <c r="Q4" s="126">
        <v>0</v>
      </c>
    </row>
    <row r="5" spans="1:34" customFormat="1" x14ac:dyDescent="0.15">
      <c r="A5" s="148" t="s">
        <v>196</v>
      </c>
      <c r="B5" s="126">
        <v>0</v>
      </c>
      <c r="C5" s="126">
        <v>0</v>
      </c>
      <c r="D5" s="126">
        <v>0</v>
      </c>
      <c r="E5" s="126">
        <v>0</v>
      </c>
      <c r="F5" s="126">
        <v>0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4.4499999999999998E-2</v>
      </c>
      <c r="M5" s="126">
        <v>2.2099116035358586E-3</v>
      </c>
      <c r="N5" s="126">
        <v>2.5599846400921598E-3</v>
      </c>
      <c r="O5" s="126">
        <v>0</v>
      </c>
      <c r="P5" s="126">
        <v>0</v>
      </c>
      <c r="Q5" s="126">
        <v>0</v>
      </c>
    </row>
    <row r="6" spans="1:34" customFormat="1" x14ac:dyDescent="0.15">
      <c r="A6" s="148" t="s">
        <v>197</v>
      </c>
      <c r="B6" s="126">
        <v>0</v>
      </c>
      <c r="C6" s="126">
        <v>0</v>
      </c>
      <c r="D6" s="126">
        <v>0</v>
      </c>
      <c r="E6" s="126">
        <v>0.43740000000000007</v>
      </c>
      <c r="F6" s="126">
        <v>5.1400000000000001E-2</v>
      </c>
      <c r="G6" s="126">
        <v>0</v>
      </c>
      <c r="H6" s="126">
        <v>0</v>
      </c>
      <c r="I6" s="126">
        <v>0.31859999999999999</v>
      </c>
      <c r="J6" s="126">
        <v>0.2276</v>
      </c>
      <c r="K6" s="126">
        <v>0.1386</v>
      </c>
      <c r="L6" s="126">
        <v>0.32679999999999998</v>
      </c>
      <c r="M6" s="126">
        <v>0.77766889324427013</v>
      </c>
      <c r="N6" s="126">
        <v>9.0099459403243584E-3</v>
      </c>
      <c r="O6" s="126">
        <v>1.5100000000000001E-2</v>
      </c>
      <c r="P6" s="126">
        <v>0</v>
      </c>
      <c r="Q6" s="126">
        <v>0</v>
      </c>
    </row>
    <row r="7" spans="1:34" customFormat="1" x14ac:dyDescent="0.15">
      <c r="A7" s="148" t="s">
        <v>198</v>
      </c>
      <c r="B7" s="126">
        <v>0</v>
      </c>
      <c r="C7" s="126">
        <v>0</v>
      </c>
      <c r="D7" s="126">
        <v>0</v>
      </c>
      <c r="E7" s="126">
        <v>4.2800000000000005E-2</v>
      </c>
      <c r="F7" s="126">
        <v>1E-3</v>
      </c>
      <c r="G7" s="126">
        <v>0</v>
      </c>
      <c r="H7" s="126">
        <v>0</v>
      </c>
      <c r="I7" s="126">
        <v>0.15329999999999999</v>
      </c>
      <c r="J7" s="126">
        <v>2.01E-2</v>
      </c>
      <c r="K7" s="126">
        <v>2.0000000000000001E-4</v>
      </c>
      <c r="L7" s="126">
        <v>1.0800000000000001E-2</v>
      </c>
      <c r="M7" s="126">
        <v>8.7456501739930401E-2</v>
      </c>
      <c r="N7" s="126">
        <v>2.0999874000755998E-4</v>
      </c>
      <c r="O7" s="126">
        <v>2.8999999999999998E-3</v>
      </c>
      <c r="P7" s="126">
        <v>0</v>
      </c>
      <c r="Q7" s="126">
        <v>0</v>
      </c>
    </row>
    <row r="8" spans="1:34" customFormat="1" x14ac:dyDescent="0.15">
      <c r="A8" s="148" t="s">
        <v>199</v>
      </c>
      <c r="B8" s="126">
        <v>0</v>
      </c>
      <c r="C8" s="126">
        <v>0</v>
      </c>
      <c r="D8" s="126">
        <v>0</v>
      </c>
      <c r="E8" s="126">
        <v>0</v>
      </c>
      <c r="F8" s="126">
        <v>0</v>
      </c>
      <c r="G8" s="126">
        <v>0</v>
      </c>
      <c r="H8" s="126">
        <v>0</v>
      </c>
      <c r="I8" s="126">
        <v>0</v>
      </c>
      <c r="J8" s="126">
        <v>0</v>
      </c>
      <c r="K8" s="126">
        <v>0</v>
      </c>
      <c r="L8" s="126">
        <v>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</row>
    <row r="9" spans="1:34" customFormat="1" x14ac:dyDescent="0.15">
      <c r="A9" s="148" t="s">
        <v>200</v>
      </c>
      <c r="B9" s="126">
        <v>0</v>
      </c>
      <c r="C9" s="126">
        <v>0</v>
      </c>
      <c r="D9" s="126">
        <v>0</v>
      </c>
      <c r="E9" s="126">
        <v>2.4000000000000002E-3</v>
      </c>
      <c r="F9" s="126">
        <v>1E-4</v>
      </c>
      <c r="G9" s="126">
        <v>0</v>
      </c>
      <c r="H9" s="126">
        <v>0</v>
      </c>
      <c r="I9" s="126">
        <v>5.2999999999999999E-2</v>
      </c>
      <c r="J9" s="126">
        <v>0</v>
      </c>
      <c r="K9" s="126">
        <v>0</v>
      </c>
      <c r="L9" s="126">
        <v>2.2000000000000001E-3</v>
      </c>
      <c r="M9" s="126">
        <v>7.5696972121115161E-2</v>
      </c>
      <c r="N9" s="126">
        <v>3.2405805565166611E-2</v>
      </c>
      <c r="O9" s="126">
        <v>6.08E-2</v>
      </c>
      <c r="P9" s="126">
        <v>0</v>
      </c>
      <c r="Q9" s="126">
        <v>0</v>
      </c>
    </row>
    <row r="10" spans="1:34" customFormat="1" x14ac:dyDescent="0.15">
      <c r="A10" s="148" t="s">
        <v>201</v>
      </c>
      <c r="B10" s="126">
        <v>0</v>
      </c>
      <c r="C10" s="126">
        <v>0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2E-3</v>
      </c>
      <c r="J10" s="126">
        <v>0</v>
      </c>
      <c r="K10" s="126">
        <v>0.09</v>
      </c>
      <c r="L10" s="126">
        <v>0</v>
      </c>
      <c r="M10" s="126">
        <v>5.9997600095996161E-3</v>
      </c>
      <c r="N10" s="126">
        <v>5.9999640002159987E-2</v>
      </c>
      <c r="O10" s="126">
        <v>0</v>
      </c>
      <c r="P10" s="126">
        <v>0</v>
      </c>
      <c r="Q10" s="126">
        <v>0</v>
      </c>
    </row>
    <row r="11" spans="1:34" customFormat="1" x14ac:dyDescent="0.15">
      <c r="A11" s="148" t="s">
        <v>202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3.0000000000000001E-3</v>
      </c>
      <c r="J11" s="126">
        <v>1E-3</v>
      </c>
      <c r="K11" s="126">
        <v>3.5000000000000003E-2</v>
      </c>
      <c r="L11" s="126">
        <v>0</v>
      </c>
      <c r="M11" s="126">
        <v>8.4996600135994558E-3</v>
      </c>
      <c r="N11" s="126">
        <v>0.22629864220814677</v>
      </c>
      <c r="O11" s="126">
        <v>0</v>
      </c>
      <c r="P11" s="126">
        <v>0</v>
      </c>
      <c r="Q11" s="126">
        <v>0</v>
      </c>
    </row>
    <row r="12" spans="1:34" customFormat="1" x14ac:dyDescent="0.15">
      <c r="A12" s="148" t="s">
        <v>203</v>
      </c>
      <c r="B12" s="126">
        <v>0</v>
      </c>
      <c r="C12" s="126">
        <v>0</v>
      </c>
      <c r="D12" s="126">
        <v>0</v>
      </c>
      <c r="E12" s="126">
        <v>1.2200000000000003E-2</v>
      </c>
      <c r="F12" s="126">
        <v>0</v>
      </c>
      <c r="G12" s="126">
        <v>0</v>
      </c>
      <c r="H12" s="126">
        <v>0</v>
      </c>
      <c r="I12" s="126">
        <v>0</v>
      </c>
      <c r="J12" s="126">
        <v>0.27</v>
      </c>
      <c r="K12" s="126">
        <v>0.46820000000000001</v>
      </c>
      <c r="L12" s="126">
        <v>1.4999999999999999E-2</v>
      </c>
      <c r="M12" s="126">
        <v>2.8198872045118194E-2</v>
      </c>
      <c r="N12" s="126">
        <v>0.30809815141109154</v>
      </c>
      <c r="O12" s="126">
        <v>0.37419999999999998</v>
      </c>
      <c r="P12" s="126">
        <v>0</v>
      </c>
      <c r="Q12" s="126">
        <v>0</v>
      </c>
    </row>
    <row r="13" spans="1:34" customFormat="1" x14ac:dyDescent="0.15">
      <c r="A13" s="148" t="s">
        <v>204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1.7000000000000001E-2</v>
      </c>
      <c r="J13" s="126">
        <v>0</v>
      </c>
      <c r="K13" s="126">
        <v>2.4500000000000001E-2</v>
      </c>
      <c r="L13" s="126">
        <v>0</v>
      </c>
      <c r="M13" s="126">
        <v>4.5498180072797087E-3</v>
      </c>
      <c r="N13" s="126">
        <v>0.25819845080929515</v>
      </c>
      <c r="O13" s="126">
        <v>0.28370000000000001</v>
      </c>
      <c r="P13" s="126">
        <v>0</v>
      </c>
      <c r="Q13" s="126">
        <v>0</v>
      </c>
    </row>
    <row r="14" spans="1:34" customFormat="1" x14ac:dyDescent="0.15">
      <c r="A14" s="148" t="s">
        <v>205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2.4500000000000001E-2</v>
      </c>
      <c r="L14" s="126">
        <v>0</v>
      </c>
      <c r="M14" s="126">
        <v>3.1198752049918003E-3</v>
      </c>
      <c r="N14" s="126">
        <v>3.221980668115991E-2</v>
      </c>
      <c r="O14" s="126">
        <v>1.1999999999999999E-3</v>
      </c>
      <c r="P14" s="126">
        <v>0</v>
      </c>
      <c r="Q14" s="126">
        <v>0</v>
      </c>
    </row>
    <row r="15" spans="1:34" customFormat="1" x14ac:dyDescent="0.15">
      <c r="A15" s="148" t="s">
        <v>206</v>
      </c>
      <c r="B15" s="126">
        <v>0</v>
      </c>
      <c r="C15" s="126">
        <v>0</v>
      </c>
      <c r="D15" s="126">
        <v>0</v>
      </c>
      <c r="E15" s="126">
        <v>0</v>
      </c>
      <c r="F15" s="126">
        <v>0</v>
      </c>
      <c r="G15" s="126">
        <v>0</v>
      </c>
      <c r="H15" s="126">
        <v>0</v>
      </c>
      <c r="I15" s="126">
        <v>0</v>
      </c>
      <c r="J15" s="126">
        <v>0</v>
      </c>
      <c r="K15" s="126">
        <v>0</v>
      </c>
      <c r="L15" s="126">
        <v>0</v>
      </c>
      <c r="M15" s="126">
        <v>0</v>
      </c>
      <c r="N15" s="126">
        <v>0</v>
      </c>
      <c r="O15" s="126">
        <v>1.4999999999999999E-2</v>
      </c>
      <c r="P15" s="126">
        <v>0</v>
      </c>
      <c r="Q15" s="126">
        <v>0</v>
      </c>
    </row>
    <row r="16" spans="1:34" customFormat="1" x14ac:dyDescent="0.15">
      <c r="A16" s="148" t="s">
        <v>207</v>
      </c>
      <c r="B16" s="126">
        <v>0</v>
      </c>
      <c r="C16" s="126">
        <v>0</v>
      </c>
      <c r="D16" s="126">
        <v>0</v>
      </c>
      <c r="E16" s="126">
        <v>0</v>
      </c>
      <c r="F16" s="126">
        <v>0.84189999999999998</v>
      </c>
      <c r="G16" s="126">
        <v>0</v>
      </c>
      <c r="H16" s="126">
        <v>0</v>
      </c>
      <c r="I16" s="126">
        <v>0.25119999999999998</v>
      </c>
      <c r="J16" s="126">
        <v>0</v>
      </c>
      <c r="K16" s="126">
        <v>0</v>
      </c>
      <c r="L16" s="126">
        <v>0</v>
      </c>
      <c r="M16" s="126">
        <v>0</v>
      </c>
      <c r="N16" s="126">
        <v>7.0499577002537978E-2</v>
      </c>
      <c r="O16" s="126">
        <v>0</v>
      </c>
      <c r="P16" s="126">
        <v>0</v>
      </c>
      <c r="Q16" s="126">
        <v>0</v>
      </c>
    </row>
    <row r="17" spans="1:17" customFormat="1" x14ac:dyDescent="0.15">
      <c r="A17" s="148" t="s">
        <v>208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6">
        <v>0</v>
      </c>
      <c r="H17" s="126">
        <v>0</v>
      </c>
      <c r="I17" s="126">
        <v>0</v>
      </c>
      <c r="J17" s="126">
        <v>0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</row>
    <row r="18" spans="1:17" customFormat="1" x14ac:dyDescent="0.15">
      <c r="A18" s="148" t="s">
        <v>211</v>
      </c>
      <c r="B18" s="126">
        <v>0</v>
      </c>
      <c r="C18" s="126">
        <v>0</v>
      </c>
      <c r="D18" s="126">
        <v>0</v>
      </c>
      <c r="E18" s="126">
        <v>0</v>
      </c>
      <c r="F18" s="126">
        <v>0.01</v>
      </c>
      <c r="G18" s="126">
        <v>0</v>
      </c>
      <c r="H18" s="126">
        <v>0</v>
      </c>
      <c r="I18" s="126">
        <v>6.5799999999999997E-2</v>
      </c>
      <c r="J18" s="126">
        <v>5.0000000000000001E-3</v>
      </c>
      <c r="K18" s="126">
        <v>0.1188</v>
      </c>
      <c r="L18" s="126">
        <v>1.1999999999999999E-3</v>
      </c>
      <c r="M18" s="126">
        <v>4.9998000079996797E-4</v>
      </c>
      <c r="N18" s="126">
        <v>0</v>
      </c>
      <c r="O18" s="126">
        <v>0.24690000000000001</v>
      </c>
      <c r="P18" s="126">
        <v>0</v>
      </c>
      <c r="Q18" s="126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2" sqref="G22"/>
    </sheetView>
  </sheetViews>
  <sheetFormatPr baseColWidth="10" defaultColWidth="8.83203125" defaultRowHeight="13" x14ac:dyDescent="0.15"/>
  <cols>
    <col min="1" max="1" width="3.33203125" customWidth="1"/>
    <col min="2" max="2" width="25.5" customWidth="1"/>
    <col min="3" max="4" width="18" style="95" customWidth="1"/>
    <col min="5" max="6" width="18" style="94" customWidth="1"/>
    <col min="7" max="8" width="8.83203125" style="95"/>
  </cols>
  <sheetData>
    <row r="1" spans="1:8" ht="70" x14ac:dyDescent="0.15">
      <c r="A1" s="5" t="s">
        <v>20</v>
      </c>
      <c r="B1" s="1" t="s">
        <v>0</v>
      </c>
      <c r="C1" s="151" t="s">
        <v>207</v>
      </c>
      <c r="D1" s="151" t="s">
        <v>208</v>
      </c>
      <c r="E1" s="151" t="s">
        <v>212</v>
      </c>
      <c r="F1" s="151" t="s">
        <v>213</v>
      </c>
      <c r="G1"/>
      <c r="H1"/>
    </row>
    <row r="2" spans="1:8" x14ac:dyDescent="0.15">
      <c r="A2">
        <v>1</v>
      </c>
      <c r="B2" s="150" t="s">
        <v>193</v>
      </c>
      <c r="C2" s="95">
        <v>1</v>
      </c>
      <c r="D2" s="95">
        <v>0</v>
      </c>
      <c r="E2" s="94">
        <v>0</v>
      </c>
      <c r="F2" s="94">
        <v>1</v>
      </c>
      <c r="G2"/>
      <c r="H2"/>
    </row>
    <row r="3" spans="1:8" x14ac:dyDescent="0.15">
      <c r="A3">
        <v>2</v>
      </c>
      <c r="B3" s="150" t="s">
        <v>194</v>
      </c>
      <c r="C3" s="95">
        <v>1</v>
      </c>
      <c r="D3" s="95">
        <v>0</v>
      </c>
      <c r="E3" s="94">
        <v>0</v>
      </c>
      <c r="F3" s="94">
        <v>1</v>
      </c>
      <c r="G3"/>
      <c r="H3"/>
    </row>
    <row r="4" spans="1:8" x14ac:dyDescent="0.15">
      <c r="A4">
        <v>3</v>
      </c>
      <c r="B4" s="150" t="s">
        <v>195</v>
      </c>
      <c r="C4" s="95">
        <v>1</v>
      </c>
      <c r="D4" s="95">
        <v>0</v>
      </c>
      <c r="E4" s="94">
        <v>0</v>
      </c>
      <c r="F4" s="94">
        <v>1</v>
      </c>
      <c r="G4"/>
      <c r="H4"/>
    </row>
    <row r="5" spans="1:8" x14ac:dyDescent="0.15">
      <c r="A5">
        <v>4</v>
      </c>
      <c r="B5" s="150" t="s">
        <v>196</v>
      </c>
      <c r="C5" s="95">
        <v>1</v>
      </c>
      <c r="D5" s="95">
        <v>0</v>
      </c>
      <c r="E5" s="94">
        <v>0</v>
      </c>
      <c r="F5" s="94">
        <v>1</v>
      </c>
      <c r="G5"/>
      <c r="H5"/>
    </row>
    <row r="6" spans="1:8" x14ac:dyDescent="0.15">
      <c r="A6">
        <v>5</v>
      </c>
      <c r="B6" s="150" t="s">
        <v>197</v>
      </c>
      <c r="C6" s="95">
        <v>1</v>
      </c>
      <c r="D6" s="95">
        <v>0</v>
      </c>
      <c r="E6" s="94">
        <v>0</v>
      </c>
      <c r="F6" s="94">
        <v>1</v>
      </c>
      <c r="G6"/>
      <c r="H6"/>
    </row>
    <row r="7" spans="1:8" x14ac:dyDescent="0.15">
      <c r="A7">
        <v>6</v>
      </c>
      <c r="B7" s="150" t="s">
        <v>198</v>
      </c>
      <c r="C7" s="95">
        <v>1</v>
      </c>
      <c r="D7" s="95">
        <v>0</v>
      </c>
      <c r="E7" s="94">
        <v>0</v>
      </c>
      <c r="F7" s="94">
        <v>1</v>
      </c>
      <c r="G7"/>
      <c r="H7"/>
    </row>
    <row r="8" spans="1:8" x14ac:dyDescent="0.15">
      <c r="A8">
        <v>7</v>
      </c>
      <c r="B8" s="150" t="s">
        <v>199</v>
      </c>
      <c r="C8" s="95">
        <v>1</v>
      </c>
      <c r="D8" s="95">
        <v>0</v>
      </c>
      <c r="E8" s="94">
        <v>0</v>
      </c>
      <c r="F8" s="94">
        <v>1</v>
      </c>
      <c r="G8"/>
      <c r="H8"/>
    </row>
    <row r="9" spans="1:8" x14ac:dyDescent="0.15">
      <c r="A9">
        <v>8</v>
      </c>
      <c r="B9" s="150" t="s">
        <v>200</v>
      </c>
      <c r="C9" s="95">
        <v>1</v>
      </c>
      <c r="D9" s="95">
        <v>0</v>
      </c>
      <c r="E9" s="94">
        <v>0</v>
      </c>
      <c r="F9" s="94">
        <v>1</v>
      </c>
      <c r="G9"/>
      <c r="H9"/>
    </row>
    <row r="10" spans="1:8" x14ac:dyDescent="0.15">
      <c r="A10">
        <v>9</v>
      </c>
      <c r="B10" s="150" t="s">
        <v>201</v>
      </c>
      <c r="C10" s="95">
        <v>1</v>
      </c>
      <c r="D10" s="95">
        <v>0</v>
      </c>
      <c r="E10" s="94">
        <v>0</v>
      </c>
      <c r="F10" s="94">
        <v>1</v>
      </c>
      <c r="G10"/>
      <c r="H10"/>
    </row>
    <row r="11" spans="1:8" x14ac:dyDescent="0.15">
      <c r="A11">
        <v>10</v>
      </c>
      <c r="B11" s="150" t="s">
        <v>202</v>
      </c>
      <c r="C11" s="95">
        <v>1</v>
      </c>
      <c r="D11" s="95">
        <v>0</v>
      </c>
      <c r="E11" s="94">
        <v>0</v>
      </c>
      <c r="F11" s="94">
        <v>1</v>
      </c>
      <c r="G11"/>
      <c r="H11"/>
    </row>
    <row r="12" spans="1:8" x14ac:dyDescent="0.15">
      <c r="A12">
        <v>11</v>
      </c>
      <c r="B12" s="150" t="s">
        <v>203</v>
      </c>
      <c r="C12" s="95">
        <v>1</v>
      </c>
      <c r="D12" s="95">
        <v>0</v>
      </c>
      <c r="E12" s="94">
        <v>0</v>
      </c>
      <c r="F12" s="94">
        <v>1</v>
      </c>
      <c r="G12"/>
      <c r="H12"/>
    </row>
    <row r="13" spans="1:8" x14ac:dyDescent="0.15">
      <c r="A13">
        <v>12</v>
      </c>
      <c r="B13" s="150" t="s">
        <v>204</v>
      </c>
      <c r="C13" s="95">
        <v>1</v>
      </c>
      <c r="D13" s="95">
        <v>0</v>
      </c>
      <c r="E13" s="94">
        <v>0</v>
      </c>
      <c r="F13" s="94">
        <v>1</v>
      </c>
      <c r="G13"/>
      <c r="H13"/>
    </row>
    <row r="14" spans="1:8" x14ac:dyDescent="0.15">
      <c r="A14">
        <v>13</v>
      </c>
      <c r="B14" s="150" t="s">
        <v>205</v>
      </c>
      <c r="C14" s="95">
        <v>1</v>
      </c>
      <c r="D14" s="95">
        <v>0</v>
      </c>
      <c r="E14" s="94">
        <v>0</v>
      </c>
      <c r="F14" s="94">
        <v>1</v>
      </c>
      <c r="G14"/>
      <c r="H14"/>
    </row>
    <row r="15" spans="1:8" x14ac:dyDescent="0.15">
      <c r="A15">
        <v>14</v>
      </c>
      <c r="B15" s="150" t="s">
        <v>206</v>
      </c>
      <c r="C15" s="95">
        <v>1</v>
      </c>
      <c r="D15" s="95">
        <v>0</v>
      </c>
      <c r="E15" s="94">
        <v>0</v>
      </c>
      <c r="F15" s="94">
        <v>1</v>
      </c>
      <c r="G15"/>
      <c r="H15"/>
    </row>
    <row r="16" spans="1:8" x14ac:dyDescent="0.15">
      <c r="A16">
        <v>15</v>
      </c>
      <c r="B16" s="150" t="s">
        <v>207</v>
      </c>
      <c r="C16" s="95">
        <v>0</v>
      </c>
      <c r="D16" s="95">
        <v>1</v>
      </c>
      <c r="E16" s="94">
        <v>0</v>
      </c>
      <c r="F16" s="94">
        <v>1</v>
      </c>
      <c r="G16"/>
      <c r="H16"/>
    </row>
    <row r="17" spans="1:8" ht="15" customHeight="1" x14ac:dyDescent="0.15">
      <c r="A17">
        <v>16</v>
      </c>
      <c r="B17" s="150" t="s">
        <v>208</v>
      </c>
      <c r="C17" s="95">
        <v>0</v>
      </c>
      <c r="D17" s="95">
        <v>0</v>
      </c>
      <c r="E17" s="94">
        <v>1</v>
      </c>
      <c r="F17" s="94">
        <v>1</v>
      </c>
      <c r="G17"/>
      <c r="H17"/>
    </row>
    <row r="18" spans="1:8" ht="15" customHeight="1" x14ac:dyDescent="0.15">
      <c r="A18">
        <v>17</v>
      </c>
      <c r="B18" s="150" t="s">
        <v>209</v>
      </c>
      <c r="C18" s="95">
        <v>0</v>
      </c>
      <c r="D18" s="95">
        <v>1</v>
      </c>
      <c r="E18" s="94">
        <v>0</v>
      </c>
      <c r="F18" s="94">
        <v>1</v>
      </c>
      <c r="G18"/>
      <c r="H18"/>
    </row>
    <row r="19" spans="1:8" ht="15" customHeight="1" x14ac:dyDescent="0.15">
      <c r="A19">
        <v>18</v>
      </c>
      <c r="B19" s="150" t="s">
        <v>210</v>
      </c>
      <c r="C19" s="95">
        <v>0</v>
      </c>
      <c r="D19" s="95">
        <v>1</v>
      </c>
      <c r="E19" s="94">
        <v>0</v>
      </c>
      <c r="F19" s="94">
        <v>1</v>
      </c>
      <c r="G19"/>
      <c r="H19"/>
    </row>
    <row r="20" spans="1:8" ht="15" customHeight="1" x14ac:dyDescent="0.15">
      <c r="C20"/>
      <c r="D20"/>
      <c r="E20"/>
      <c r="F20"/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5"/>
      <c r="F36" s="95"/>
      <c r="G36"/>
      <c r="H36"/>
    </row>
    <row r="37" spans="3:8" ht="15" customHeight="1" x14ac:dyDescent="0.15">
      <c r="C37"/>
      <c r="D37"/>
      <c r="E37" s="95"/>
      <c r="F37" s="95"/>
      <c r="G37"/>
      <c r="H37"/>
    </row>
    <row r="38" spans="3:8" ht="15" customHeight="1" x14ac:dyDescent="0.15">
      <c r="C38"/>
      <c r="D38"/>
      <c r="E38" s="95"/>
      <c r="F38" s="95"/>
      <c r="G38"/>
      <c r="H38"/>
    </row>
    <row r="39" spans="3:8" ht="15" customHeight="1" x14ac:dyDescent="0.15">
      <c r="C39"/>
      <c r="D39"/>
      <c r="E39" s="95"/>
      <c r="F39" s="95"/>
      <c r="G39"/>
      <c r="H39"/>
    </row>
    <row r="40" spans="3:8" ht="15" customHeight="1" x14ac:dyDescent="0.15">
      <c r="C40"/>
      <c r="D40"/>
      <c r="E40" s="95"/>
      <c r="F40" s="95"/>
      <c r="G40"/>
      <c r="H40"/>
    </row>
    <row r="41" spans="3:8" ht="15" customHeight="1" x14ac:dyDescent="0.15">
      <c r="C41"/>
      <c r="D41"/>
      <c r="E41" s="95"/>
      <c r="F41" s="95"/>
      <c r="G41"/>
      <c r="H41"/>
    </row>
    <row r="42" spans="3:8" ht="15" customHeight="1" x14ac:dyDescent="0.15">
      <c r="C42"/>
      <c r="D42"/>
      <c r="E42" s="95"/>
      <c r="F42" s="95"/>
      <c r="G42"/>
      <c r="H42"/>
    </row>
    <row r="43" spans="3:8" ht="15" customHeight="1" x14ac:dyDescent="0.15">
      <c r="C43"/>
      <c r="D43"/>
      <c r="E43" s="95"/>
      <c r="F43" s="9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5"/>
      <c r="F46" s="9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3" width="11.83203125" bestFit="1" customWidth="1"/>
    <col min="4" max="4" width="6.83203125" bestFit="1" customWidth="1"/>
    <col min="5" max="5" width="11.83203125" bestFit="1" customWidth="1"/>
  </cols>
  <sheetData>
    <row r="1" spans="1:5" s="96" customFormat="1" ht="112" x14ac:dyDescent="0.15">
      <c r="A1" s="5" t="s">
        <v>21</v>
      </c>
      <c r="B1" s="3" t="s">
        <v>0</v>
      </c>
      <c r="C1" s="153" t="s">
        <v>209</v>
      </c>
      <c r="D1" s="153" t="s">
        <v>210</v>
      </c>
      <c r="E1" s="153" t="s">
        <v>214</v>
      </c>
    </row>
    <row r="2" spans="1:5" ht="15" customHeight="1" x14ac:dyDescent="0.15">
      <c r="A2">
        <v>1</v>
      </c>
      <c r="B2" s="152" t="s">
        <v>193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52" t="s">
        <v>194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52" t="s">
        <v>195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52" t="s">
        <v>196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52" t="s">
        <v>197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52" t="s">
        <v>198</v>
      </c>
      <c r="C7">
        <v>0</v>
      </c>
      <c r="D7">
        <v>6.1420000000000003</v>
      </c>
      <c r="E7">
        <v>6.1420000000000003</v>
      </c>
    </row>
    <row r="8" spans="1:5" ht="15" customHeight="1" x14ac:dyDescent="0.15">
      <c r="A8">
        <v>7</v>
      </c>
      <c r="B8" s="152" t="s">
        <v>199</v>
      </c>
      <c r="C8">
        <v>0</v>
      </c>
      <c r="D8">
        <v>0</v>
      </c>
      <c r="E8">
        <v>0</v>
      </c>
    </row>
    <row r="9" spans="1:5" ht="15" customHeight="1" x14ac:dyDescent="0.15">
      <c r="A9">
        <v>8</v>
      </c>
      <c r="B9" s="152" t="s">
        <v>200</v>
      </c>
      <c r="C9">
        <v>0</v>
      </c>
      <c r="D9">
        <v>0.96199999999999997</v>
      </c>
      <c r="E9">
        <v>0.96199999999999997</v>
      </c>
    </row>
    <row r="10" spans="1:5" ht="15" customHeight="1" x14ac:dyDescent="0.15">
      <c r="A10">
        <v>9</v>
      </c>
      <c r="B10" s="152" t="s">
        <v>201</v>
      </c>
      <c r="C10">
        <v>0</v>
      </c>
      <c r="D10">
        <v>0</v>
      </c>
      <c r="E10">
        <v>0</v>
      </c>
    </row>
    <row r="11" spans="1:5" ht="15" customHeight="1" x14ac:dyDescent="0.15">
      <c r="A11">
        <v>10</v>
      </c>
      <c r="B11" s="152" t="s">
        <v>202</v>
      </c>
      <c r="C11">
        <v>0</v>
      </c>
      <c r="D11">
        <v>0.19600000000000001</v>
      </c>
      <c r="E11">
        <v>0.19600000000000001</v>
      </c>
    </row>
    <row r="12" spans="1:5" ht="15" customHeight="1" x14ac:dyDescent="0.15">
      <c r="A12">
        <v>11</v>
      </c>
      <c r="B12" s="152" t="s">
        <v>203</v>
      </c>
      <c r="C12">
        <v>0</v>
      </c>
      <c r="D12">
        <v>13.260999999999999</v>
      </c>
      <c r="E12">
        <v>13.260999999999999</v>
      </c>
    </row>
    <row r="13" spans="1:5" ht="15" customHeight="1" x14ac:dyDescent="0.15">
      <c r="A13">
        <v>12</v>
      </c>
      <c r="B13" s="152" t="s">
        <v>204</v>
      </c>
      <c r="C13">
        <v>0.99033844500000001</v>
      </c>
      <c r="D13">
        <v>0.246</v>
      </c>
      <c r="E13">
        <v>1.2363384449999999</v>
      </c>
    </row>
    <row r="14" spans="1:5" ht="15" customHeight="1" x14ac:dyDescent="0.15">
      <c r="A14">
        <v>13</v>
      </c>
      <c r="B14" s="152" t="s">
        <v>205</v>
      </c>
      <c r="C14">
        <v>2.1436006999999999</v>
      </c>
      <c r="D14">
        <v>0.28999999999999998</v>
      </c>
      <c r="E14">
        <v>2.4336007</v>
      </c>
    </row>
    <row r="15" spans="1:5" ht="15" customHeight="1" x14ac:dyDescent="0.15">
      <c r="A15">
        <v>14</v>
      </c>
      <c r="B15" s="152" t="s">
        <v>206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52" t="s">
        <v>207</v>
      </c>
      <c r="C16">
        <v>0</v>
      </c>
      <c r="D16">
        <v>0</v>
      </c>
      <c r="E16">
        <v>0</v>
      </c>
    </row>
    <row r="17" spans="1:5" ht="15" customHeight="1" x14ac:dyDescent="0.15">
      <c r="A17">
        <v>16</v>
      </c>
      <c r="B17" s="152" t="s">
        <v>208</v>
      </c>
      <c r="C17">
        <v>0</v>
      </c>
      <c r="D17">
        <v>0</v>
      </c>
      <c r="E17">
        <v>0</v>
      </c>
    </row>
    <row r="18" spans="1:5" ht="15" customHeight="1" x14ac:dyDescent="0.15"/>
    <row r="19" spans="1:5" ht="15" customHeight="1" x14ac:dyDescent="0.15"/>
    <row r="20" spans="1:5" ht="15" customHeight="1" x14ac:dyDescent="0.15"/>
    <row r="21" spans="1:5" ht="15" customHeight="1" x14ac:dyDescent="0.15"/>
    <row r="22" spans="1:5" ht="15" customHeight="1" x14ac:dyDescent="0.15"/>
    <row r="23" spans="1:5" ht="15" customHeight="1" x14ac:dyDescent="0.15"/>
    <row r="24" spans="1:5" ht="15" customHeight="1" x14ac:dyDescent="0.15"/>
    <row r="25" spans="1:5" ht="15" customHeight="1" x14ac:dyDescent="0.15"/>
    <row r="26" spans="1:5" ht="15" customHeight="1" x14ac:dyDescent="0.15"/>
    <row r="27" spans="1:5" ht="15" customHeight="1" x14ac:dyDescent="0.15"/>
    <row r="28" spans="1:5" ht="15" customHeight="1" x14ac:dyDescent="0.15"/>
    <row r="29" spans="1:5" ht="15" customHeight="1" x14ac:dyDescent="0.15"/>
    <row r="30" spans="1:5" ht="15" customHeight="1" x14ac:dyDescent="0.15"/>
    <row r="31" spans="1:5" ht="15" customHeight="1" x14ac:dyDescent="0.15"/>
    <row r="32" spans="1:5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1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5" width="2.33203125" bestFit="1" customWidth="1"/>
  </cols>
  <sheetData>
    <row r="1" spans="1:5" s="96" customFormat="1" ht="112" x14ac:dyDescent="0.15">
      <c r="A1" s="5" t="s">
        <v>22</v>
      </c>
      <c r="B1" s="3" t="s">
        <v>0</v>
      </c>
      <c r="C1" s="155" t="s">
        <v>209</v>
      </c>
      <c r="D1" s="155" t="s">
        <v>210</v>
      </c>
      <c r="E1" s="155" t="s">
        <v>214</v>
      </c>
    </row>
    <row r="2" spans="1:5" x14ac:dyDescent="0.15">
      <c r="A2">
        <v>1</v>
      </c>
      <c r="B2" s="154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54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54" t="s">
        <v>195</v>
      </c>
      <c r="C4">
        <v>0</v>
      </c>
      <c r="D4">
        <v>0</v>
      </c>
      <c r="E4">
        <v>0</v>
      </c>
    </row>
    <row r="5" spans="1:5" x14ac:dyDescent="0.15">
      <c r="A5">
        <v>4</v>
      </c>
      <c r="B5" s="154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54" t="s">
        <v>197</v>
      </c>
      <c r="C6">
        <v>0</v>
      </c>
      <c r="D6">
        <v>0</v>
      </c>
      <c r="E6">
        <v>0</v>
      </c>
    </row>
    <row r="7" spans="1:5" x14ac:dyDescent="0.15">
      <c r="A7">
        <v>6</v>
      </c>
      <c r="B7" s="154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54" t="s">
        <v>199</v>
      </c>
      <c r="C8">
        <v>0</v>
      </c>
      <c r="D8">
        <v>0</v>
      </c>
      <c r="E8">
        <v>0</v>
      </c>
    </row>
    <row r="9" spans="1:5" x14ac:dyDescent="0.15">
      <c r="A9">
        <v>8</v>
      </c>
      <c r="B9" s="154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4" t="s">
        <v>201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54" t="s">
        <v>202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54" t="s">
        <v>203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54" t="s">
        <v>204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54" t="s">
        <v>205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54" t="s">
        <v>206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54" t="s">
        <v>207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54" t="s">
        <v>208</v>
      </c>
      <c r="C17">
        <v>0</v>
      </c>
      <c r="D17">
        <v>0</v>
      </c>
      <c r="E1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.5" bestFit="1" customWidth="1"/>
    <col min="6" max="6" width="4.83203125" bestFit="1" customWidth="1"/>
    <col min="7" max="9" width="3.83203125" bestFit="1" customWidth="1"/>
    <col min="10" max="11" width="4.83203125" style="9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7" customFormat="1" ht="14" thickBot="1" x14ac:dyDescent="0.2">
      <c r="D1" s="98" t="s">
        <v>8</v>
      </c>
      <c r="E1" s="98" t="s">
        <v>0</v>
      </c>
      <c r="F1" s="99" t="s">
        <v>99</v>
      </c>
      <c r="G1" s="100" t="s">
        <v>84</v>
      </c>
      <c r="H1" s="100" t="s">
        <v>85</v>
      </c>
      <c r="I1" s="100" t="s">
        <v>86</v>
      </c>
      <c r="J1" s="100" t="s">
        <v>87</v>
      </c>
      <c r="K1" s="100" t="s">
        <v>88</v>
      </c>
      <c r="L1" s="101" t="s">
        <v>89</v>
      </c>
      <c r="M1" s="101" t="s">
        <v>93</v>
      </c>
      <c r="N1" s="101" t="s">
        <v>92</v>
      </c>
      <c r="O1" s="101" t="s">
        <v>90</v>
      </c>
      <c r="P1" s="101" t="s">
        <v>91</v>
      </c>
      <c r="Q1" s="102" t="s">
        <v>94</v>
      </c>
      <c r="R1" s="102" t="s">
        <v>95</v>
      </c>
      <c r="S1" s="102" t="s">
        <v>96</v>
      </c>
      <c r="T1" s="102" t="s">
        <v>97</v>
      </c>
      <c r="U1" s="102" t="s">
        <v>98</v>
      </c>
      <c r="V1" s="100" t="s">
        <v>100</v>
      </c>
      <c r="W1" s="100" t="s">
        <v>101</v>
      </c>
      <c r="X1" s="100" t="s">
        <v>102</v>
      </c>
      <c r="Y1" s="100" t="s">
        <v>134</v>
      </c>
      <c r="Z1" s="101" t="s">
        <v>103</v>
      </c>
      <c r="AA1" s="101" t="s">
        <v>104</v>
      </c>
      <c r="AB1" s="101" t="s">
        <v>105</v>
      </c>
      <c r="AC1" s="103" t="s">
        <v>135</v>
      </c>
      <c r="AD1" s="102" t="s">
        <v>106</v>
      </c>
      <c r="AE1" s="102" t="s">
        <v>107</v>
      </c>
      <c r="AF1" s="102" t="s">
        <v>108</v>
      </c>
      <c r="AG1" s="102" t="s">
        <v>136</v>
      </c>
      <c r="AH1" s="100" t="s">
        <v>109</v>
      </c>
      <c r="AI1" s="100" t="s">
        <v>111</v>
      </c>
      <c r="AJ1" s="100" t="s">
        <v>110</v>
      </c>
      <c r="AK1" s="101" t="s">
        <v>115</v>
      </c>
      <c r="AL1" s="101" t="s">
        <v>116</v>
      </c>
      <c r="AM1" s="101" t="s">
        <v>117</v>
      </c>
      <c r="AN1" s="102" t="s">
        <v>112</v>
      </c>
      <c r="AO1" s="102" t="s">
        <v>113</v>
      </c>
      <c r="AP1" s="102" t="s">
        <v>114</v>
      </c>
    </row>
    <row r="2" spans="1:42" x14ac:dyDescent="0.15">
      <c r="A2" s="104" t="s">
        <v>74</v>
      </c>
      <c r="B2" s="105">
        <v>1</v>
      </c>
      <c r="D2">
        <v>1</v>
      </c>
      <c r="E2" s="156" t="s">
        <v>193</v>
      </c>
      <c r="F2">
        <v>0.98</v>
      </c>
      <c r="G2">
        <v>0.8</v>
      </c>
      <c r="H2">
        <v>0.8</v>
      </c>
      <c r="I2">
        <v>0</v>
      </c>
      <c r="J2" s="95">
        <v>0</v>
      </c>
      <c r="K2" s="95">
        <v>0</v>
      </c>
    </row>
    <row r="3" spans="1:42" x14ac:dyDescent="0.15">
      <c r="A3" s="104" t="s">
        <v>75</v>
      </c>
      <c r="B3" s="106">
        <v>1</v>
      </c>
      <c r="D3">
        <v>2</v>
      </c>
      <c r="E3" s="156" t="s">
        <v>194</v>
      </c>
      <c r="F3">
        <v>0.98</v>
      </c>
      <c r="G3">
        <v>0.8</v>
      </c>
      <c r="H3">
        <v>0.8</v>
      </c>
      <c r="I3">
        <v>0</v>
      </c>
      <c r="J3" s="95">
        <v>0</v>
      </c>
      <c r="K3" s="95">
        <v>0</v>
      </c>
    </row>
    <row r="4" spans="1:42" x14ac:dyDescent="0.15">
      <c r="A4" s="104" t="s">
        <v>76</v>
      </c>
      <c r="B4" s="106">
        <v>1</v>
      </c>
      <c r="D4">
        <v>3</v>
      </c>
      <c r="E4" s="156" t="s">
        <v>195</v>
      </c>
      <c r="F4">
        <v>0.98</v>
      </c>
      <c r="G4">
        <v>0.8</v>
      </c>
      <c r="H4">
        <v>0.8</v>
      </c>
      <c r="I4">
        <v>0.8</v>
      </c>
      <c r="J4" s="95">
        <v>0.25</v>
      </c>
      <c r="K4" s="95">
        <v>0.05</v>
      </c>
    </row>
    <row r="5" spans="1:42" x14ac:dyDescent="0.15">
      <c r="A5" s="104" t="s">
        <v>77</v>
      </c>
      <c r="B5" s="106">
        <v>1</v>
      </c>
      <c r="D5">
        <v>4</v>
      </c>
      <c r="E5" s="156" t="s">
        <v>196</v>
      </c>
      <c r="F5">
        <v>0.98</v>
      </c>
      <c r="G5">
        <v>0.8</v>
      </c>
      <c r="H5">
        <v>0.8</v>
      </c>
      <c r="I5">
        <v>0.8</v>
      </c>
      <c r="J5" s="95">
        <v>0.25</v>
      </c>
      <c r="K5" s="95">
        <v>0.05</v>
      </c>
    </row>
    <row r="6" spans="1:42" x14ac:dyDescent="0.15">
      <c r="A6" s="104" t="s">
        <v>78</v>
      </c>
      <c r="B6" s="106">
        <v>1</v>
      </c>
      <c r="D6">
        <v>5</v>
      </c>
      <c r="E6" s="156" t="s">
        <v>197</v>
      </c>
      <c r="F6">
        <v>0.98</v>
      </c>
      <c r="G6">
        <v>0.8</v>
      </c>
      <c r="H6">
        <v>0.8</v>
      </c>
      <c r="I6">
        <v>0.8</v>
      </c>
      <c r="J6" s="95">
        <v>0.25</v>
      </c>
      <c r="K6" s="95">
        <v>0.05</v>
      </c>
    </row>
    <row r="7" spans="1:42" x14ac:dyDescent="0.15">
      <c r="A7" s="104" t="s">
        <v>79</v>
      </c>
      <c r="B7" s="106">
        <v>1</v>
      </c>
      <c r="D7">
        <v>6</v>
      </c>
      <c r="E7" s="156" t="s">
        <v>198</v>
      </c>
      <c r="F7">
        <v>0.98</v>
      </c>
      <c r="G7">
        <v>0.8</v>
      </c>
      <c r="H7">
        <v>0.8</v>
      </c>
      <c r="I7">
        <v>0.8</v>
      </c>
      <c r="J7" s="95">
        <v>0.25</v>
      </c>
      <c r="K7" s="95">
        <v>0.05</v>
      </c>
    </row>
    <row r="8" spans="1:42" x14ac:dyDescent="0.15">
      <c r="A8" s="104" t="s">
        <v>80</v>
      </c>
      <c r="B8" s="106">
        <v>1</v>
      </c>
      <c r="D8">
        <v>7</v>
      </c>
      <c r="E8" s="156" t="s">
        <v>199</v>
      </c>
      <c r="F8">
        <v>0.98</v>
      </c>
      <c r="G8">
        <v>0.8</v>
      </c>
      <c r="H8">
        <v>0.8</v>
      </c>
      <c r="I8">
        <v>0.8</v>
      </c>
      <c r="J8" s="95">
        <v>0.25</v>
      </c>
      <c r="K8" s="95">
        <v>0.05</v>
      </c>
    </row>
    <row r="9" spans="1:42" x14ac:dyDescent="0.15">
      <c r="A9" s="104" t="s">
        <v>81</v>
      </c>
      <c r="B9" s="106">
        <v>0.1</v>
      </c>
      <c r="C9" s="52" t="s">
        <v>150</v>
      </c>
      <c r="D9">
        <v>8</v>
      </c>
      <c r="E9" s="156" t="s">
        <v>200</v>
      </c>
      <c r="F9">
        <v>0.98</v>
      </c>
      <c r="G9">
        <v>0.8</v>
      </c>
      <c r="H9">
        <v>0.8</v>
      </c>
      <c r="I9">
        <v>0.8</v>
      </c>
      <c r="J9" s="95">
        <v>0.25</v>
      </c>
      <c r="K9" s="95">
        <v>0.05</v>
      </c>
    </row>
    <row r="10" spans="1:42" ht="14" thickBot="1" x14ac:dyDescent="0.2">
      <c r="A10" s="104" t="s">
        <v>149</v>
      </c>
      <c r="B10" s="107">
        <f>1/3</f>
        <v>0.33333333333333331</v>
      </c>
      <c r="C10" s="52" t="s">
        <v>150</v>
      </c>
      <c r="D10">
        <v>9</v>
      </c>
      <c r="E10" s="156" t="s">
        <v>201</v>
      </c>
      <c r="F10">
        <v>0.98</v>
      </c>
      <c r="G10">
        <v>0.8</v>
      </c>
      <c r="H10">
        <v>0.8</v>
      </c>
      <c r="I10">
        <v>0.8</v>
      </c>
      <c r="J10" s="95">
        <v>0.25</v>
      </c>
      <c r="K10" s="95">
        <v>0.05</v>
      </c>
    </row>
    <row r="11" spans="1:42" x14ac:dyDescent="0.15">
      <c r="D11">
        <v>10</v>
      </c>
      <c r="E11" s="156" t="s">
        <v>202</v>
      </c>
      <c r="F11">
        <v>0.98</v>
      </c>
      <c r="G11">
        <v>0.8</v>
      </c>
      <c r="H11">
        <v>0.8</v>
      </c>
      <c r="I11">
        <v>0.8</v>
      </c>
      <c r="J11" s="95">
        <v>0.25</v>
      </c>
      <c r="K11" s="95">
        <v>0.05</v>
      </c>
    </row>
    <row r="12" spans="1:42" x14ac:dyDescent="0.15">
      <c r="D12">
        <v>11</v>
      </c>
      <c r="E12" s="156" t="s">
        <v>203</v>
      </c>
      <c r="F12">
        <v>0.98</v>
      </c>
      <c r="G12">
        <v>0.8</v>
      </c>
      <c r="H12">
        <v>0.8</v>
      </c>
      <c r="I12">
        <v>0.8</v>
      </c>
      <c r="J12" s="95">
        <v>0.25</v>
      </c>
      <c r="K12" s="95">
        <v>0.05</v>
      </c>
    </row>
    <row r="13" spans="1:42" x14ac:dyDescent="0.15">
      <c r="D13">
        <v>12</v>
      </c>
      <c r="E13" s="156" t="s">
        <v>204</v>
      </c>
      <c r="F13">
        <v>0.98</v>
      </c>
      <c r="G13">
        <v>0.8</v>
      </c>
      <c r="H13">
        <v>0.8</v>
      </c>
      <c r="I13">
        <v>0.8</v>
      </c>
      <c r="J13" s="95">
        <v>0.25</v>
      </c>
      <c r="K13" s="95">
        <v>0.05</v>
      </c>
    </row>
    <row r="14" spans="1:42" x14ac:dyDescent="0.15">
      <c r="D14">
        <v>13</v>
      </c>
      <c r="E14" s="156" t="s">
        <v>205</v>
      </c>
      <c r="F14">
        <v>0.98</v>
      </c>
      <c r="G14">
        <v>0.8</v>
      </c>
      <c r="H14">
        <v>0.8</v>
      </c>
      <c r="I14">
        <v>0.8</v>
      </c>
      <c r="J14" s="95">
        <v>0.25</v>
      </c>
      <c r="K14" s="95">
        <v>0.05</v>
      </c>
    </row>
    <row r="15" spans="1:42" x14ac:dyDescent="0.15">
      <c r="D15">
        <v>14</v>
      </c>
      <c r="E15" s="156" t="s">
        <v>206</v>
      </c>
      <c r="F15">
        <v>0.98</v>
      </c>
      <c r="G15">
        <v>0.8</v>
      </c>
      <c r="H15">
        <v>0.8</v>
      </c>
      <c r="I15">
        <v>0.8</v>
      </c>
      <c r="J15" s="95">
        <v>0.25</v>
      </c>
      <c r="K15" s="95">
        <v>0.05</v>
      </c>
    </row>
    <row r="16" spans="1:42" x14ac:dyDescent="0.15">
      <c r="D16">
        <v>15</v>
      </c>
      <c r="E16" s="156" t="s">
        <v>207</v>
      </c>
      <c r="F16">
        <v>0.98</v>
      </c>
      <c r="G16">
        <v>0.8</v>
      </c>
      <c r="H16">
        <v>0</v>
      </c>
      <c r="I16">
        <v>0</v>
      </c>
      <c r="J16" s="95">
        <v>0</v>
      </c>
      <c r="K16" s="95">
        <v>0</v>
      </c>
    </row>
    <row r="17" spans="4:33" ht="15" customHeight="1" x14ac:dyDescent="0.15">
      <c r="D17">
        <v>16</v>
      </c>
      <c r="E17" s="156" t="s">
        <v>208</v>
      </c>
      <c r="F17">
        <v>0.98</v>
      </c>
      <c r="G17">
        <v>0.8</v>
      </c>
      <c r="H17">
        <v>0</v>
      </c>
      <c r="I17">
        <v>0</v>
      </c>
      <c r="J17" s="95">
        <v>0</v>
      </c>
      <c r="K17" s="95">
        <v>0</v>
      </c>
    </row>
    <row r="18" spans="4:33" ht="15" customHeight="1" x14ac:dyDescent="0.15">
      <c r="J18"/>
      <c r="K18"/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5.5" style="93" bestFit="1" customWidth="1"/>
    <col min="2" max="3" width="2.33203125" style="93" customWidth="1"/>
    <col min="4" max="15" width="3.83203125" style="93" customWidth="1"/>
    <col min="16" max="17" width="2.33203125" style="93" customWidth="1"/>
    <col min="18" max="16384" width="10.83203125" style="93"/>
  </cols>
  <sheetData>
    <row r="1" spans="1:30" x14ac:dyDescent="0.15">
      <c r="A1" s="54" t="s">
        <v>118</v>
      </c>
      <c r="B1" s="158" t="s">
        <v>193</v>
      </c>
      <c r="C1" s="158" t="s">
        <v>194</v>
      </c>
      <c r="D1" s="158" t="s">
        <v>195</v>
      </c>
      <c r="E1" s="158" t="s">
        <v>196</v>
      </c>
      <c r="F1" s="158" t="s">
        <v>197</v>
      </c>
      <c r="G1" s="158" t="s">
        <v>198</v>
      </c>
      <c r="H1" s="158" t="s">
        <v>199</v>
      </c>
      <c r="I1" s="158" t="s">
        <v>200</v>
      </c>
      <c r="J1" s="158" t="s">
        <v>201</v>
      </c>
      <c r="K1" s="158" t="s">
        <v>202</v>
      </c>
      <c r="L1" s="158" t="s">
        <v>203</v>
      </c>
      <c r="M1" s="158" t="s">
        <v>204</v>
      </c>
      <c r="N1" s="158" t="s">
        <v>205</v>
      </c>
      <c r="O1" s="158" t="s">
        <v>206</v>
      </c>
      <c r="P1" s="158" t="s">
        <v>207</v>
      </c>
      <c r="Q1" s="158" t="s">
        <v>208</v>
      </c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57" t="s">
        <v>193</v>
      </c>
      <c r="B2" s="93">
        <v>0</v>
      </c>
      <c r="C2" s="93">
        <v>0</v>
      </c>
      <c r="D2" s="93">
        <v>0.8</v>
      </c>
      <c r="E2" s="93">
        <v>0.8</v>
      </c>
      <c r="F2" s="93">
        <v>0.8</v>
      </c>
      <c r="G2" s="93">
        <v>0.8</v>
      </c>
      <c r="H2" s="93">
        <v>0.8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</row>
    <row r="3" spans="1:30" customFormat="1" x14ac:dyDescent="0.15">
      <c r="A3" s="157" t="s">
        <v>194</v>
      </c>
      <c r="B3" s="93">
        <v>0</v>
      </c>
      <c r="C3" s="93">
        <v>0</v>
      </c>
      <c r="D3" s="93">
        <v>0</v>
      </c>
      <c r="E3" s="93">
        <v>0</v>
      </c>
      <c r="F3" s="93">
        <v>0.8</v>
      </c>
      <c r="G3" s="93">
        <v>0</v>
      </c>
      <c r="H3" s="93">
        <v>0</v>
      </c>
      <c r="I3" s="93">
        <v>0.8</v>
      </c>
      <c r="J3" s="93">
        <v>0</v>
      </c>
      <c r="K3" s="93">
        <v>0</v>
      </c>
      <c r="L3" s="93">
        <v>0</v>
      </c>
      <c r="M3" s="93">
        <v>0.8</v>
      </c>
      <c r="N3" s="93">
        <v>0.8</v>
      </c>
      <c r="O3" s="93">
        <v>0</v>
      </c>
      <c r="P3" s="93">
        <v>0</v>
      </c>
      <c r="Q3" s="93">
        <v>0</v>
      </c>
    </row>
    <row r="4" spans="1:30" customFormat="1" x14ac:dyDescent="0.15">
      <c r="A4" s="157" t="s">
        <v>195</v>
      </c>
      <c r="B4" s="93">
        <v>0</v>
      </c>
      <c r="C4" s="93">
        <v>0</v>
      </c>
      <c r="D4" s="93">
        <v>0</v>
      </c>
      <c r="E4" s="93">
        <v>0.8</v>
      </c>
      <c r="F4" s="93">
        <v>0.8</v>
      </c>
      <c r="G4" s="93">
        <v>0.8</v>
      </c>
      <c r="H4" s="93">
        <v>0.8</v>
      </c>
      <c r="I4" s="93">
        <v>0.8</v>
      </c>
      <c r="J4" s="93">
        <v>0.8</v>
      </c>
      <c r="K4" s="93">
        <v>0.8</v>
      </c>
      <c r="L4" s="93">
        <v>0.8</v>
      </c>
      <c r="M4" s="93">
        <v>0.8</v>
      </c>
      <c r="N4" s="93">
        <v>0</v>
      </c>
      <c r="O4" s="93">
        <v>0.8</v>
      </c>
      <c r="P4" s="93">
        <v>0</v>
      </c>
      <c r="Q4" s="93">
        <v>0</v>
      </c>
    </row>
    <row r="5" spans="1:30" customFormat="1" x14ac:dyDescent="0.15">
      <c r="A5" s="157" t="s">
        <v>196</v>
      </c>
      <c r="B5" s="93">
        <v>0</v>
      </c>
      <c r="C5" s="93">
        <v>0</v>
      </c>
      <c r="D5" s="93">
        <v>0</v>
      </c>
      <c r="E5" s="93">
        <v>0</v>
      </c>
      <c r="F5" s="93">
        <v>0</v>
      </c>
      <c r="G5" s="93">
        <v>0</v>
      </c>
      <c r="H5" s="93">
        <v>0</v>
      </c>
      <c r="I5" s="93">
        <v>0</v>
      </c>
      <c r="J5" s="93">
        <v>0</v>
      </c>
      <c r="K5" s="93">
        <v>0</v>
      </c>
      <c r="L5" s="93">
        <v>0.8</v>
      </c>
      <c r="M5" s="93">
        <v>0.8</v>
      </c>
      <c r="N5" s="93">
        <v>0.8</v>
      </c>
      <c r="O5" s="93">
        <v>0</v>
      </c>
      <c r="P5" s="93">
        <v>0</v>
      </c>
      <c r="Q5" s="93">
        <v>0</v>
      </c>
    </row>
    <row r="6" spans="1:30" customFormat="1" x14ac:dyDescent="0.15">
      <c r="A6" s="157" t="s">
        <v>197</v>
      </c>
      <c r="B6" s="93">
        <v>0</v>
      </c>
      <c r="C6" s="93">
        <v>0</v>
      </c>
      <c r="D6" s="93">
        <v>0</v>
      </c>
      <c r="E6" s="93">
        <v>0.8</v>
      </c>
      <c r="F6" s="93">
        <v>0.8</v>
      </c>
      <c r="G6" s="93">
        <v>0</v>
      </c>
      <c r="H6" s="93">
        <v>0</v>
      </c>
      <c r="I6" s="93">
        <v>0.8</v>
      </c>
      <c r="J6" s="93">
        <v>0.8</v>
      </c>
      <c r="K6" s="93">
        <v>0.8</v>
      </c>
      <c r="L6" s="93">
        <v>0.8</v>
      </c>
      <c r="M6" s="93">
        <v>0.8</v>
      </c>
      <c r="N6" s="93">
        <v>0.8</v>
      </c>
      <c r="O6" s="93">
        <v>0.8</v>
      </c>
      <c r="P6" s="93">
        <v>0</v>
      </c>
      <c r="Q6" s="93">
        <v>0</v>
      </c>
    </row>
    <row r="7" spans="1:30" customFormat="1" x14ac:dyDescent="0.15">
      <c r="A7" s="157" t="s">
        <v>198</v>
      </c>
      <c r="B7" s="93">
        <v>0</v>
      </c>
      <c r="C7" s="93">
        <v>0</v>
      </c>
      <c r="D7" s="93">
        <v>0</v>
      </c>
      <c r="E7" s="93">
        <v>0.8</v>
      </c>
      <c r="F7" s="93">
        <v>0.8</v>
      </c>
      <c r="G7" s="93">
        <v>0</v>
      </c>
      <c r="H7" s="93">
        <v>0</v>
      </c>
      <c r="I7" s="93">
        <v>0.8</v>
      </c>
      <c r="J7" s="93">
        <v>0.8</v>
      </c>
      <c r="K7" s="93">
        <v>0.8</v>
      </c>
      <c r="L7" s="93">
        <v>0.8</v>
      </c>
      <c r="M7" s="93">
        <v>0.8</v>
      </c>
      <c r="N7" s="93">
        <v>0.8</v>
      </c>
      <c r="O7" s="93">
        <v>0.8</v>
      </c>
      <c r="P7" s="93">
        <v>0</v>
      </c>
      <c r="Q7" s="93">
        <v>0</v>
      </c>
    </row>
    <row r="8" spans="1:30" customFormat="1" x14ac:dyDescent="0.15">
      <c r="A8" s="157" t="s">
        <v>199</v>
      </c>
      <c r="B8" s="93">
        <v>0</v>
      </c>
      <c r="C8" s="93">
        <v>0</v>
      </c>
      <c r="D8" s="93">
        <v>0</v>
      </c>
      <c r="E8" s="93">
        <v>0</v>
      </c>
      <c r="F8" s="93">
        <v>0</v>
      </c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</row>
    <row r="9" spans="1:30" customFormat="1" x14ac:dyDescent="0.15">
      <c r="A9" s="157" t="s">
        <v>200</v>
      </c>
      <c r="B9" s="93">
        <v>0</v>
      </c>
      <c r="C9" s="93">
        <v>0</v>
      </c>
      <c r="D9" s="93">
        <v>0</v>
      </c>
      <c r="E9" s="93">
        <v>0.8</v>
      </c>
      <c r="F9" s="93">
        <v>0.8</v>
      </c>
      <c r="G9" s="93">
        <v>0</v>
      </c>
      <c r="H9" s="93">
        <v>0</v>
      </c>
      <c r="I9" s="93">
        <v>0.8</v>
      </c>
      <c r="J9" s="93">
        <v>0</v>
      </c>
      <c r="K9" s="93">
        <v>0</v>
      </c>
      <c r="L9" s="93">
        <v>0.8</v>
      </c>
      <c r="M9" s="93">
        <v>0.8</v>
      </c>
      <c r="N9" s="93">
        <v>0.8</v>
      </c>
      <c r="O9" s="93">
        <v>0.8</v>
      </c>
      <c r="P9" s="93">
        <v>0</v>
      </c>
      <c r="Q9" s="93">
        <v>0</v>
      </c>
    </row>
    <row r="10" spans="1:30" customFormat="1" x14ac:dyDescent="0.15">
      <c r="A10" s="157" t="s">
        <v>201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0.8</v>
      </c>
      <c r="J10" s="93">
        <v>0</v>
      </c>
      <c r="K10" s="93">
        <v>0.8</v>
      </c>
      <c r="L10" s="93">
        <v>0</v>
      </c>
      <c r="M10" s="93">
        <v>0.8</v>
      </c>
      <c r="N10" s="93">
        <v>0.8</v>
      </c>
      <c r="O10" s="93">
        <v>0</v>
      </c>
      <c r="P10" s="93">
        <v>0</v>
      </c>
      <c r="Q10" s="93">
        <v>0</v>
      </c>
    </row>
    <row r="11" spans="1:30" customFormat="1" x14ac:dyDescent="0.15">
      <c r="A11" s="157" t="s">
        <v>202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0.8</v>
      </c>
      <c r="J11" s="93">
        <v>0.8</v>
      </c>
      <c r="K11" s="93">
        <v>0.8</v>
      </c>
      <c r="L11" s="93">
        <v>0</v>
      </c>
      <c r="M11" s="93">
        <v>0.8</v>
      </c>
      <c r="N11" s="93">
        <v>0.8</v>
      </c>
      <c r="O11" s="93">
        <v>0</v>
      </c>
      <c r="P11" s="93">
        <v>0</v>
      </c>
      <c r="Q11" s="93">
        <v>0</v>
      </c>
    </row>
    <row r="12" spans="1:30" customFormat="1" x14ac:dyDescent="0.15">
      <c r="A12" s="157" t="s">
        <v>203</v>
      </c>
      <c r="B12" s="93">
        <v>0</v>
      </c>
      <c r="C12" s="93">
        <v>0</v>
      </c>
      <c r="D12" s="93">
        <v>0</v>
      </c>
      <c r="E12" s="93">
        <v>0.8</v>
      </c>
      <c r="F12" s="93">
        <v>0</v>
      </c>
      <c r="G12" s="93">
        <v>0</v>
      </c>
      <c r="H12" s="93">
        <v>0</v>
      </c>
      <c r="I12" s="93">
        <v>0</v>
      </c>
      <c r="J12" s="93">
        <v>0.8</v>
      </c>
      <c r="K12" s="93">
        <v>0.8</v>
      </c>
      <c r="L12" s="93">
        <v>0.8</v>
      </c>
      <c r="M12" s="93">
        <v>0.8</v>
      </c>
      <c r="N12" s="93">
        <v>0.8</v>
      </c>
      <c r="O12" s="93">
        <v>0.8</v>
      </c>
      <c r="P12" s="93">
        <v>0</v>
      </c>
      <c r="Q12" s="93">
        <v>0</v>
      </c>
    </row>
    <row r="13" spans="1:30" customFormat="1" x14ac:dyDescent="0.15">
      <c r="A13" s="157" t="s">
        <v>204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0.8</v>
      </c>
      <c r="J13" s="93">
        <v>0</v>
      </c>
      <c r="K13" s="93">
        <v>0.8</v>
      </c>
      <c r="L13" s="93">
        <v>0</v>
      </c>
      <c r="M13" s="93">
        <v>0.8</v>
      </c>
      <c r="N13" s="93">
        <v>0.8</v>
      </c>
      <c r="O13" s="93">
        <v>0.8</v>
      </c>
      <c r="P13" s="93">
        <v>0</v>
      </c>
      <c r="Q13" s="93">
        <v>0</v>
      </c>
    </row>
    <row r="14" spans="1:30" customFormat="1" x14ac:dyDescent="0.15">
      <c r="A14" s="157" t="s">
        <v>205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0.8</v>
      </c>
      <c r="L14" s="93">
        <v>0</v>
      </c>
      <c r="M14" s="93">
        <v>0.8</v>
      </c>
      <c r="N14" s="93">
        <v>0.8</v>
      </c>
      <c r="O14" s="93">
        <v>0.8</v>
      </c>
      <c r="P14" s="93">
        <v>0</v>
      </c>
      <c r="Q14" s="93">
        <v>0</v>
      </c>
    </row>
    <row r="15" spans="1:30" customFormat="1" x14ac:dyDescent="0.15">
      <c r="A15" s="157" t="s">
        <v>206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0</v>
      </c>
      <c r="H15" s="93">
        <v>0</v>
      </c>
      <c r="I15" s="93">
        <v>0</v>
      </c>
      <c r="J15" s="93">
        <v>0</v>
      </c>
      <c r="K15" s="93">
        <v>0</v>
      </c>
      <c r="L15" s="93">
        <v>0</v>
      </c>
      <c r="M15" s="93">
        <v>0</v>
      </c>
      <c r="N15" s="93">
        <v>0</v>
      </c>
      <c r="O15" s="93">
        <v>0.8</v>
      </c>
      <c r="P15" s="93">
        <v>0</v>
      </c>
      <c r="Q15" s="93">
        <v>0</v>
      </c>
    </row>
    <row r="16" spans="1:30" customFormat="1" x14ac:dyDescent="0.15">
      <c r="A16" s="157" t="s">
        <v>207</v>
      </c>
      <c r="B16" s="93">
        <v>0</v>
      </c>
      <c r="C16" s="93">
        <v>0</v>
      </c>
      <c r="D16" s="93">
        <v>0</v>
      </c>
      <c r="E16" s="93">
        <v>0</v>
      </c>
      <c r="F16" s="93">
        <v>0.8</v>
      </c>
      <c r="G16" s="93">
        <v>0</v>
      </c>
      <c r="H16" s="93">
        <v>0</v>
      </c>
      <c r="I16" s="93">
        <v>0.8</v>
      </c>
      <c r="J16" s="93">
        <v>0</v>
      </c>
      <c r="K16" s="93">
        <v>0</v>
      </c>
      <c r="L16" s="93">
        <v>0</v>
      </c>
      <c r="M16" s="93">
        <v>0</v>
      </c>
      <c r="N16" s="93">
        <v>0.8</v>
      </c>
      <c r="O16" s="93">
        <v>0</v>
      </c>
      <c r="P16" s="93">
        <v>0</v>
      </c>
      <c r="Q16" s="93">
        <v>0</v>
      </c>
    </row>
    <row r="17" spans="1:17" customFormat="1" x14ac:dyDescent="0.15">
      <c r="A17" s="157" t="s">
        <v>208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</v>
      </c>
      <c r="N17" s="93">
        <v>0</v>
      </c>
      <c r="O17" s="93">
        <v>0</v>
      </c>
      <c r="P17" s="93">
        <v>0</v>
      </c>
      <c r="Q17" s="93">
        <v>0</v>
      </c>
    </row>
    <row r="18" spans="1:17" customFormat="1" x14ac:dyDescent="0.15">
      <c r="A18" s="157" t="s">
        <v>211</v>
      </c>
      <c r="B18" s="93">
        <v>0</v>
      </c>
      <c r="C18" s="93">
        <v>0</v>
      </c>
      <c r="D18" s="93">
        <v>0</v>
      </c>
      <c r="E18" s="93">
        <v>0</v>
      </c>
      <c r="F18" s="93">
        <v>0.8</v>
      </c>
      <c r="G18" s="93">
        <v>0</v>
      </c>
      <c r="H18" s="93">
        <v>0</v>
      </c>
      <c r="I18" s="93">
        <v>0.8</v>
      </c>
      <c r="J18" s="93">
        <v>0.8</v>
      </c>
      <c r="K18" s="93">
        <v>0.8</v>
      </c>
      <c r="L18" s="93">
        <v>0.8</v>
      </c>
      <c r="M18" s="93">
        <v>0.8</v>
      </c>
      <c r="N18" s="93">
        <v>0</v>
      </c>
      <c r="O18" s="93">
        <v>0.8</v>
      </c>
      <c r="P18" s="93">
        <v>0</v>
      </c>
      <c r="Q18" s="93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5.5" style="93" bestFit="1" customWidth="1"/>
    <col min="2" max="17" width="2.33203125" style="93" customWidth="1"/>
    <col min="18" max="16384" width="10.83203125" style="93"/>
  </cols>
  <sheetData>
    <row r="1" spans="1:31" x14ac:dyDescent="0.15">
      <c r="A1" s="54" t="s">
        <v>139</v>
      </c>
      <c r="B1" s="160" t="s">
        <v>193</v>
      </c>
      <c r="C1" s="160" t="s">
        <v>194</v>
      </c>
      <c r="D1" s="160" t="s">
        <v>195</v>
      </c>
      <c r="E1" s="160" t="s">
        <v>196</v>
      </c>
      <c r="F1" s="160" t="s">
        <v>197</v>
      </c>
      <c r="G1" s="160" t="s">
        <v>198</v>
      </c>
      <c r="H1" s="160" t="s">
        <v>199</v>
      </c>
      <c r="I1" s="160" t="s">
        <v>200</v>
      </c>
      <c r="J1" s="160" t="s">
        <v>201</v>
      </c>
      <c r="K1" s="160" t="s">
        <v>202</v>
      </c>
      <c r="L1" s="160" t="s">
        <v>203</v>
      </c>
      <c r="M1" s="160" t="s">
        <v>204</v>
      </c>
      <c r="N1" s="160" t="s">
        <v>205</v>
      </c>
      <c r="O1" s="160" t="s">
        <v>206</v>
      </c>
      <c r="P1" s="160" t="s">
        <v>207</v>
      </c>
      <c r="Q1" s="160" t="s">
        <v>208</v>
      </c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59" t="s">
        <v>193</v>
      </c>
      <c r="B2" s="93">
        <v>0</v>
      </c>
      <c r="C2" s="93">
        <v>0</v>
      </c>
      <c r="D2" s="93">
        <v>1</v>
      </c>
      <c r="E2" s="93">
        <v>1</v>
      </c>
      <c r="F2" s="93">
        <v>1</v>
      </c>
      <c r="G2" s="93">
        <v>1</v>
      </c>
      <c r="H2" s="93">
        <v>1</v>
      </c>
      <c r="I2" s="93">
        <v>0</v>
      </c>
      <c r="J2" s="93">
        <v>0</v>
      </c>
      <c r="K2" s="93">
        <v>0</v>
      </c>
      <c r="L2" s="93">
        <v>0</v>
      </c>
      <c r="M2" s="93">
        <v>0</v>
      </c>
      <c r="N2" s="93">
        <v>0</v>
      </c>
      <c r="O2" s="93">
        <v>0</v>
      </c>
      <c r="P2" s="93">
        <v>0</v>
      </c>
      <c r="Q2" s="93">
        <v>0</v>
      </c>
    </row>
    <row r="3" spans="1:31" customFormat="1" x14ac:dyDescent="0.15">
      <c r="A3" s="159" t="s">
        <v>194</v>
      </c>
      <c r="B3" s="93">
        <v>0</v>
      </c>
      <c r="C3" s="93">
        <v>0</v>
      </c>
      <c r="D3" s="93">
        <v>0</v>
      </c>
      <c r="E3" s="93">
        <v>0</v>
      </c>
      <c r="F3" s="93">
        <v>1</v>
      </c>
      <c r="G3" s="93">
        <v>0</v>
      </c>
      <c r="H3" s="93">
        <v>0</v>
      </c>
      <c r="I3" s="93">
        <v>1</v>
      </c>
      <c r="J3" s="93">
        <v>0</v>
      </c>
      <c r="K3" s="93">
        <v>0</v>
      </c>
      <c r="L3" s="93">
        <v>0</v>
      </c>
      <c r="M3" s="93">
        <v>1</v>
      </c>
      <c r="N3" s="93">
        <v>1</v>
      </c>
      <c r="O3" s="93">
        <v>0</v>
      </c>
      <c r="P3" s="93">
        <v>0</v>
      </c>
      <c r="Q3" s="93">
        <v>0</v>
      </c>
    </row>
    <row r="4" spans="1:31" customFormat="1" x14ac:dyDescent="0.15">
      <c r="A4" s="159" t="s">
        <v>195</v>
      </c>
      <c r="B4" s="93">
        <v>0</v>
      </c>
      <c r="C4" s="93">
        <v>0</v>
      </c>
      <c r="D4" s="93">
        <v>0</v>
      </c>
      <c r="E4" s="93">
        <v>1</v>
      </c>
      <c r="F4" s="93">
        <v>1</v>
      </c>
      <c r="G4" s="93">
        <v>1</v>
      </c>
      <c r="H4" s="93">
        <v>1</v>
      </c>
      <c r="I4" s="93">
        <v>1</v>
      </c>
      <c r="J4" s="93">
        <v>1</v>
      </c>
      <c r="K4" s="93">
        <v>1</v>
      </c>
      <c r="L4" s="93">
        <v>1</v>
      </c>
      <c r="M4" s="93">
        <v>1</v>
      </c>
      <c r="N4" s="93">
        <v>0</v>
      </c>
      <c r="O4" s="93">
        <v>1</v>
      </c>
      <c r="P4" s="93">
        <v>0</v>
      </c>
      <c r="Q4" s="93">
        <v>0</v>
      </c>
    </row>
    <row r="5" spans="1:31" customFormat="1" x14ac:dyDescent="0.15">
      <c r="A5" s="159" t="s">
        <v>196</v>
      </c>
      <c r="B5" s="93">
        <v>0</v>
      </c>
      <c r="C5" s="93">
        <v>0</v>
      </c>
      <c r="D5" s="93">
        <v>0</v>
      </c>
      <c r="E5" s="93">
        <v>0</v>
      </c>
      <c r="F5" s="93">
        <v>0</v>
      </c>
      <c r="G5" s="93">
        <v>0</v>
      </c>
      <c r="H5" s="93">
        <v>0</v>
      </c>
      <c r="I5" s="93">
        <v>0</v>
      </c>
      <c r="J5" s="93">
        <v>0</v>
      </c>
      <c r="K5" s="93">
        <v>0</v>
      </c>
      <c r="L5" s="93">
        <v>1</v>
      </c>
      <c r="M5" s="93">
        <v>1</v>
      </c>
      <c r="N5" s="93">
        <v>1</v>
      </c>
      <c r="O5" s="93">
        <v>0</v>
      </c>
      <c r="P5" s="93">
        <v>0</v>
      </c>
      <c r="Q5" s="93">
        <v>0</v>
      </c>
    </row>
    <row r="6" spans="1:31" customFormat="1" x14ac:dyDescent="0.15">
      <c r="A6" s="159" t="s">
        <v>197</v>
      </c>
      <c r="B6" s="93">
        <v>0</v>
      </c>
      <c r="C6" s="93">
        <v>0</v>
      </c>
      <c r="D6" s="93">
        <v>0</v>
      </c>
      <c r="E6" s="93">
        <v>1</v>
      </c>
      <c r="F6" s="93">
        <v>1</v>
      </c>
      <c r="G6" s="93">
        <v>0</v>
      </c>
      <c r="H6" s="93">
        <v>0</v>
      </c>
      <c r="I6" s="93">
        <v>1</v>
      </c>
      <c r="J6" s="93">
        <v>1</v>
      </c>
      <c r="K6" s="93">
        <v>1</v>
      </c>
      <c r="L6" s="93">
        <v>1</v>
      </c>
      <c r="M6" s="93">
        <v>1</v>
      </c>
      <c r="N6" s="93">
        <v>1</v>
      </c>
      <c r="O6" s="93">
        <v>1</v>
      </c>
      <c r="P6" s="93">
        <v>0</v>
      </c>
      <c r="Q6" s="93">
        <v>0</v>
      </c>
    </row>
    <row r="7" spans="1:31" customFormat="1" x14ac:dyDescent="0.15">
      <c r="A7" s="159" t="s">
        <v>198</v>
      </c>
      <c r="B7" s="93">
        <v>0</v>
      </c>
      <c r="C7" s="93">
        <v>0</v>
      </c>
      <c r="D7" s="93">
        <v>0</v>
      </c>
      <c r="E7" s="93">
        <v>1</v>
      </c>
      <c r="F7" s="93">
        <v>1</v>
      </c>
      <c r="G7" s="93">
        <v>0</v>
      </c>
      <c r="H7" s="93">
        <v>0</v>
      </c>
      <c r="I7" s="93">
        <v>1</v>
      </c>
      <c r="J7" s="93">
        <v>1</v>
      </c>
      <c r="K7" s="93">
        <v>1</v>
      </c>
      <c r="L7" s="93">
        <v>1</v>
      </c>
      <c r="M7" s="93">
        <v>1</v>
      </c>
      <c r="N7" s="93">
        <v>1</v>
      </c>
      <c r="O7" s="93">
        <v>1</v>
      </c>
      <c r="P7" s="93">
        <v>0</v>
      </c>
      <c r="Q7" s="93">
        <v>0</v>
      </c>
    </row>
    <row r="8" spans="1:31" customFormat="1" x14ac:dyDescent="0.15">
      <c r="A8" s="159" t="s">
        <v>199</v>
      </c>
      <c r="B8" s="93">
        <v>0</v>
      </c>
      <c r="C8" s="93">
        <v>0</v>
      </c>
      <c r="D8" s="93">
        <v>0</v>
      </c>
      <c r="E8" s="93">
        <v>0</v>
      </c>
      <c r="F8" s="93">
        <v>0</v>
      </c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</row>
    <row r="9" spans="1:31" customFormat="1" x14ac:dyDescent="0.15">
      <c r="A9" s="159" t="s">
        <v>200</v>
      </c>
      <c r="B9" s="93">
        <v>0</v>
      </c>
      <c r="C9" s="93">
        <v>0</v>
      </c>
      <c r="D9" s="93">
        <v>0</v>
      </c>
      <c r="E9" s="93">
        <v>1</v>
      </c>
      <c r="F9" s="93">
        <v>1</v>
      </c>
      <c r="G9" s="93">
        <v>0</v>
      </c>
      <c r="H9" s="93">
        <v>0</v>
      </c>
      <c r="I9" s="93">
        <v>1</v>
      </c>
      <c r="J9" s="93">
        <v>0</v>
      </c>
      <c r="K9" s="93">
        <v>0</v>
      </c>
      <c r="L9" s="93">
        <v>1</v>
      </c>
      <c r="M9" s="93">
        <v>1</v>
      </c>
      <c r="N9" s="93">
        <v>1</v>
      </c>
      <c r="O9" s="93">
        <v>1</v>
      </c>
      <c r="P9" s="93">
        <v>0</v>
      </c>
      <c r="Q9" s="93">
        <v>0</v>
      </c>
    </row>
    <row r="10" spans="1:31" customFormat="1" x14ac:dyDescent="0.15">
      <c r="A10" s="159" t="s">
        <v>201</v>
      </c>
      <c r="B10" s="93">
        <v>0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3">
        <v>1</v>
      </c>
      <c r="J10" s="93">
        <v>0</v>
      </c>
      <c r="K10" s="93">
        <v>1</v>
      </c>
      <c r="L10" s="93">
        <v>0</v>
      </c>
      <c r="M10" s="93">
        <v>1</v>
      </c>
      <c r="N10" s="93">
        <v>1</v>
      </c>
      <c r="O10" s="93">
        <v>0</v>
      </c>
      <c r="P10" s="93">
        <v>0</v>
      </c>
      <c r="Q10" s="93">
        <v>0</v>
      </c>
    </row>
    <row r="11" spans="1:31" customFormat="1" x14ac:dyDescent="0.15">
      <c r="A11" s="159" t="s">
        <v>202</v>
      </c>
      <c r="B11" s="93">
        <v>0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3">
        <v>1</v>
      </c>
      <c r="J11" s="93">
        <v>1</v>
      </c>
      <c r="K11" s="93">
        <v>1</v>
      </c>
      <c r="L11" s="93">
        <v>0</v>
      </c>
      <c r="M11" s="93">
        <v>1</v>
      </c>
      <c r="N11" s="93">
        <v>1</v>
      </c>
      <c r="O11" s="93">
        <v>0</v>
      </c>
      <c r="P11" s="93">
        <v>0</v>
      </c>
      <c r="Q11" s="93">
        <v>0</v>
      </c>
    </row>
    <row r="12" spans="1:31" customFormat="1" x14ac:dyDescent="0.15">
      <c r="A12" s="159" t="s">
        <v>203</v>
      </c>
      <c r="B12" s="93">
        <v>0</v>
      </c>
      <c r="C12" s="93">
        <v>0</v>
      </c>
      <c r="D12" s="93">
        <v>0</v>
      </c>
      <c r="E12" s="93">
        <v>1</v>
      </c>
      <c r="F12" s="93">
        <v>0</v>
      </c>
      <c r="G12" s="93">
        <v>0</v>
      </c>
      <c r="H12" s="93">
        <v>0</v>
      </c>
      <c r="I12" s="93">
        <v>0</v>
      </c>
      <c r="J12" s="93">
        <v>1</v>
      </c>
      <c r="K12" s="93">
        <v>1</v>
      </c>
      <c r="L12" s="93">
        <v>1</v>
      </c>
      <c r="M12" s="93">
        <v>1</v>
      </c>
      <c r="N12" s="93">
        <v>1</v>
      </c>
      <c r="O12" s="93">
        <v>1</v>
      </c>
      <c r="P12" s="93">
        <v>0</v>
      </c>
      <c r="Q12" s="93">
        <v>0</v>
      </c>
    </row>
    <row r="13" spans="1:31" customFormat="1" x14ac:dyDescent="0.15">
      <c r="A13" s="159" t="s">
        <v>204</v>
      </c>
      <c r="B13" s="93">
        <v>0</v>
      </c>
      <c r="C13" s="93">
        <v>0</v>
      </c>
      <c r="D13" s="93">
        <v>0</v>
      </c>
      <c r="E13" s="93">
        <v>0</v>
      </c>
      <c r="F13" s="93">
        <v>0</v>
      </c>
      <c r="G13" s="93">
        <v>0</v>
      </c>
      <c r="H13" s="93">
        <v>0</v>
      </c>
      <c r="I13" s="93">
        <v>1</v>
      </c>
      <c r="J13" s="93">
        <v>0</v>
      </c>
      <c r="K13" s="93">
        <v>1</v>
      </c>
      <c r="L13" s="93">
        <v>0</v>
      </c>
      <c r="M13" s="93">
        <v>1</v>
      </c>
      <c r="N13" s="93">
        <v>1</v>
      </c>
      <c r="O13" s="93">
        <v>1</v>
      </c>
      <c r="P13" s="93">
        <v>0</v>
      </c>
      <c r="Q13" s="93">
        <v>0</v>
      </c>
    </row>
    <row r="14" spans="1:31" customFormat="1" x14ac:dyDescent="0.15">
      <c r="A14" s="159" t="s">
        <v>205</v>
      </c>
      <c r="B14" s="93">
        <v>0</v>
      </c>
      <c r="C14" s="93">
        <v>0</v>
      </c>
      <c r="D14" s="93">
        <v>0</v>
      </c>
      <c r="E14" s="93">
        <v>0</v>
      </c>
      <c r="F14" s="93">
        <v>0</v>
      </c>
      <c r="G14" s="93">
        <v>0</v>
      </c>
      <c r="H14" s="93">
        <v>0</v>
      </c>
      <c r="I14" s="93">
        <v>0</v>
      </c>
      <c r="J14" s="93">
        <v>0</v>
      </c>
      <c r="K14" s="93">
        <v>1</v>
      </c>
      <c r="L14" s="93">
        <v>0</v>
      </c>
      <c r="M14" s="93">
        <v>1</v>
      </c>
      <c r="N14" s="93">
        <v>1</v>
      </c>
      <c r="O14" s="93">
        <v>1</v>
      </c>
      <c r="P14" s="93">
        <v>0</v>
      </c>
      <c r="Q14" s="93">
        <v>0</v>
      </c>
    </row>
    <row r="15" spans="1:31" customFormat="1" x14ac:dyDescent="0.15">
      <c r="A15" s="159" t="s">
        <v>206</v>
      </c>
      <c r="B15" s="93">
        <v>0</v>
      </c>
      <c r="C15" s="93">
        <v>0</v>
      </c>
      <c r="D15" s="93">
        <v>0</v>
      </c>
      <c r="E15" s="93">
        <v>0</v>
      </c>
      <c r="F15" s="93">
        <v>0</v>
      </c>
      <c r="G15" s="93">
        <v>0</v>
      </c>
      <c r="H15" s="93">
        <v>0</v>
      </c>
      <c r="I15" s="93">
        <v>0</v>
      </c>
      <c r="J15" s="93">
        <v>0</v>
      </c>
      <c r="K15" s="93">
        <v>0</v>
      </c>
      <c r="L15" s="93">
        <v>0</v>
      </c>
      <c r="M15" s="93">
        <v>0</v>
      </c>
      <c r="N15" s="93">
        <v>0</v>
      </c>
      <c r="O15" s="93">
        <v>1</v>
      </c>
      <c r="P15" s="93">
        <v>0</v>
      </c>
      <c r="Q15" s="93">
        <v>0</v>
      </c>
    </row>
    <row r="16" spans="1:31" customFormat="1" x14ac:dyDescent="0.15">
      <c r="A16" s="159" t="s">
        <v>207</v>
      </c>
      <c r="B16" s="93">
        <v>0</v>
      </c>
      <c r="C16" s="93">
        <v>0</v>
      </c>
      <c r="D16" s="93">
        <v>0</v>
      </c>
      <c r="E16" s="93">
        <v>0</v>
      </c>
      <c r="F16" s="93">
        <v>1</v>
      </c>
      <c r="G16" s="93">
        <v>0</v>
      </c>
      <c r="H16" s="93">
        <v>0</v>
      </c>
      <c r="I16" s="93">
        <v>1</v>
      </c>
      <c r="J16" s="93">
        <v>0</v>
      </c>
      <c r="K16" s="93">
        <v>0</v>
      </c>
      <c r="L16" s="93">
        <v>0</v>
      </c>
      <c r="M16" s="93">
        <v>0</v>
      </c>
      <c r="N16" s="93">
        <v>1</v>
      </c>
      <c r="O16" s="93">
        <v>0</v>
      </c>
      <c r="P16" s="93">
        <v>0</v>
      </c>
      <c r="Q16" s="93">
        <v>0</v>
      </c>
    </row>
    <row r="17" spans="1:17" customFormat="1" x14ac:dyDescent="0.15">
      <c r="A17" s="159" t="s">
        <v>208</v>
      </c>
      <c r="B17" s="93">
        <v>0</v>
      </c>
      <c r="C17" s="93">
        <v>0</v>
      </c>
      <c r="D17" s="93">
        <v>0</v>
      </c>
      <c r="E17" s="93">
        <v>0</v>
      </c>
      <c r="F17" s="93">
        <v>0</v>
      </c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</v>
      </c>
      <c r="N17" s="93">
        <v>0</v>
      </c>
      <c r="O17" s="93">
        <v>0</v>
      </c>
      <c r="P17" s="93">
        <v>0</v>
      </c>
      <c r="Q17" s="93">
        <v>0</v>
      </c>
    </row>
    <row r="18" spans="1:17" customFormat="1" x14ac:dyDescent="0.15">
      <c r="A18" s="159" t="s">
        <v>211</v>
      </c>
      <c r="B18" s="93">
        <v>0</v>
      </c>
      <c r="C18" s="93">
        <v>0</v>
      </c>
      <c r="D18" s="93">
        <v>0</v>
      </c>
      <c r="E18" s="93">
        <v>0</v>
      </c>
      <c r="F18" s="93">
        <v>1</v>
      </c>
      <c r="G18" s="93">
        <v>0</v>
      </c>
      <c r="H18" s="93">
        <v>0</v>
      </c>
      <c r="I18" s="93">
        <v>1</v>
      </c>
      <c r="J18" s="93">
        <v>1</v>
      </c>
      <c r="K18" s="93">
        <v>1</v>
      </c>
      <c r="L18" s="93">
        <v>1</v>
      </c>
      <c r="M18" s="93">
        <v>1</v>
      </c>
      <c r="N18" s="93">
        <v>0</v>
      </c>
      <c r="O18" s="93">
        <v>1</v>
      </c>
      <c r="P18" s="93">
        <v>0</v>
      </c>
      <c r="Q18" s="93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62" t="s">
        <v>209</v>
      </c>
      <c r="D1" s="162" t="s">
        <v>210</v>
      </c>
    </row>
    <row r="2" spans="1:4" x14ac:dyDescent="0.15">
      <c r="A2">
        <v>1</v>
      </c>
      <c r="B2" s="161" t="s">
        <v>193</v>
      </c>
      <c r="C2">
        <v>0</v>
      </c>
      <c r="D2">
        <v>0</v>
      </c>
    </row>
    <row r="3" spans="1:4" x14ac:dyDescent="0.15">
      <c r="A3">
        <v>2</v>
      </c>
      <c r="B3" s="161" t="s">
        <v>194</v>
      </c>
      <c r="C3">
        <v>0</v>
      </c>
      <c r="D3">
        <v>0</v>
      </c>
    </row>
    <row r="4" spans="1:4" x14ac:dyDescent="0.15">
      <c r="A4">
        <v>3</v>
      </c>
      <c r="B4" s="161" t="s">
        <v>195</v>
      </c>
      <c r="C4">
        <v>0</v>
      </c>
      <c r="D4">
        <v>0</v>
      </c>
    </row>
    <row r="5" spans="1:4" x14ac:dyDescent="0.15">
      <c r="A5">
        <v>4</v>
      </c>
      <c r="B5" s="161" t="s">
        <v>196</v>
      </c>
      <c r="C5">
        <v>0</v>
      </c>
      <c r="D5">
        <v>0</v>
      </c>
    </row>
    <row r="6" spans="1:4" x14ac:dyDescent="0.15">
      <c r="A6">
        <v>5</v>
      </c>
      <c r="B6" s="161" t="s">
        <v>197</v>
      </c>
      <c r="C6">
        <v>0</v>
      </c>
      <c r="D6">
        <v>0</v>
      </c>
    </row>
    <row r="7" spans="1:4" x14ac:dyDescent="0.15">
      <c r="A7">
        <v>6</v>
      </c>
      <c r="B7" s="161" t="s">
        <v>198</v>
      </c>
      <c r="C7">
        <v>0</v>
      </c>
      <c r="D7">
        <v>0.8</v>
      </c>
    </row>
    <row r="8" spans="1:4" x14ac:dyDescent="0.15">
      <c r="A8">
        <v>7</v>
      </c>
      <c r="B8" s="161" t="s">
        <v>199</v>
      </c>
      <c r="C8">
        <v>0</v>
      </c>
      <c r="D8">
        <v>0</v>
      </c>
    </row>
    <row r="9" spans="1:4" x14ac:dyDescent="0.15">
      <c r="A9">
        <v>8</v>
      </c>
      <c r="B9" s="161" t="s">
        <v>200</v>
      </c>
      <c r="C9">
        <v>0</v>
      </c>
      <c r="D9">
        <v>0.8</v>
      </c>
    </row>
    <row r="10" spans="1:4" x14ac:dyDescent="0.15">
      <c r="A10">
        <v>9</v>
      </c>
      <c r="B10" s="161" t="s">
        <v>201</v>
      </c>
      <c r="C10">
        <v>0</v>
      </c>
      <c r="D10">
        <v>0</v>
      </c>
    </row>
    <row r="11" spans="1:4" x14ac:dyDescent="0.15">
      <c r="A11">
        <v>10</v>
      </c>
      <c r="B11" s="161" t="s">
        <v>202</v>
      </c>
      <c r="C11">
        <v>0</v>
      </c>
      <c r="D11">
        <v>0.8</v>
      </c>
    </row>
    <row r="12" spans="1:4" x14ac:dyDescent="0.15">
      <c r="A12">
        <v>11</v>
      </c>
      <c r="B12" s="161" t="s">
        <v>203</v>
      </c>
      <c r="C12">
        <v>0</v>
      </c>
      <c r="D12">
        <v>0.8</v>
      </c>
    </row>
    <row r="13" spans="1:4" x14ac:dyDescent="0.15">
      <c r="A13">
        <v>12</v>
      </c>
      <c r="B13" s="161" t="s">
        <v>204</v>
      </c>
      <c r="C13">
        <v>0.8</v>
      </c>
      <c r="D13">
        <v>0.8</v>
      </c>
    </row>
    <row r="14" spans="1:4" x14ac:dyDescent="0.15">
      <c r="A14">
        <v>13</v>
      </c>
      <c r="B14" s="161" t="s">
        <v>205</v>
      </c>
      <c r="C14">
        <v>0.8</v>
      </c>
      <c r="D14">
        <v>0.8</v>
      </c>
    </row>
    <row r="15" spans="1:4" x14ac:dyDescent="0.15">
      <c r="A15">
        <v>14</v>
      </c>
      <c r="B15" s="161" t="s">
        <v>206</v>
      </c>
      <c r="C15">
        <v>0</v>
      </c>
      <c r="D15">
        <v>0</v>
      </c>
    </row>
    <row r="16" spans="1:4" x14ac:dyDescent="0.15">
      <c r="A16">
        <v>15</v>
      </c>
      <c r="B16" s="161" t="s">
        <v>207</v>
      </c>
      <c r="C16">
        <v>0</v>
      </c>
      <c r="D16">
        <v>0</v>
      </c>
    </row>
    <row r="17" spans="1:4" x14ac:dyDescent="0.15">
      <c r="A17">
        <v>16</v>
      </c>
      <c r="B17" s="161" t="s">
        <v>208</v>
      </c>
      <c r="C17">
        <v>0</v>
      </c>
      <c r="D1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1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64" t="s">
        <v>209</v>
      </c>
      <c r="D1" s="164" t="s">
        <v>210</v>
      </c>
    </row>
    <row r="2" spans="1:4" x14ac:dyDescent="0.15">
      <c r="A2">
        <v>1</v>
      </c>
      <c r="B2" s="163" t="s">
        <v>193</v>
      </c>
      <c r="C2">
        <v>0</v>
      </c>
      <c r="D2">
        <v>0</v>
      </c>
    </row>
    <row r="3" spans="1:4" x14ac:dyDescent="0.15">
      <c r="A3">
        <v>2</v>
      </c>
      <c r="B3" s="163" t="s">
        <v>194</v>
      </c>
      <c r="C3">
        <v>0</v>
      </c>
      <c r="D3">
        <v>0</v>
      </c>
    </row>
    <row r="4" spans="1:4" x14ac:dyDescent="0.15">
      <c r="A4">
        <v>3</v>
      </c>
      <c r="B4" s="163" t="s">
        <v>195</v>
      </c>
      <c r="C4">
        <v>0</v>
      </c>
      <c r="D4">
        <v>0</v>
      </c>
    </row>
    <row r="5" spans="1:4" x14ac:dyDescent="0.15">
      <c r="A5">
        <v>4</v>
      </c>
      <c r="B5" s="163" t="s">
        <v>196</v>
      </c>
      <c r="C5">
        <v>0</v>
      </c>
      <c r="D5">
        <v>0</v>
      </c>
    </row>
    <row r="6" spans="1:4" x14ac:dyDescent="0.15">
      <c r="A6">
        <v>5</v>
      </c>
      <c r="B6" s="163" t="s">
        <v>197</v>
      </c>
      <c r="C6">
        <v>0</v>
      </c>
      <c r="D6">
        <v>0</v>
      </c>
    </row>
    <row r="7" spans="1:4" x14ac:dyDescent="0.15">
      <c r="A7">
        <v>6</v>
      </c>
      <c r="B7" s="163" t="s">
        <v>198</v>
      </c>
      <c r="C7">
        <v>0</v>
      </c>
      <c r="D7">
        <v>0.8</v>
      </c>
    </row>
    <row r="8" spans="1:4" x14ac:dyDescent="0.15">
      <c r="A8">
        <v>7</v>
      </c>
      <c r="B8" s="163" t="s">
        <v>199</v>
      </c>
      <c r="C8">
        <v>0</v>
      </c>
      <c r="D8">
        <v>0</v>
      </c>
    </row>
    <row r="9" spans="1:4" x14ac:dyDescent="0.15">
      <c r="A9">
        <v>8</v>
      </c>
      <c r="B9" s="163" t="s">
        <v>200</v>
      </c>
      <c r="C9">
        <v>0</v>
      </c>
      <c r="D9">
        <v>0.8</v>
      </c>
    </row>
    <row r="10" spans="1:4" x14ac:dyDescent="0.15">
      <c r="A10">
        <v>9</v>
      </c>
      <c r="B10" s="163" t="s">
        <v>201</v>
      </c>
      <c r="C10">
        <v>0</v>
      </c>
      <c r="D10">
        <v>0</v>
      </c>
    </row>
    <row r="11" spans="1:4" x14ac:dyDescent="0.15">
      <c r="A11">
        <v>10</v>
      </c>
      <c r="B11" s="163" t="s">
        <v>202</v>
      </c>
      <c r="C11">
        <v>0</v>
      </c>
      <c r="D11">
        <v>0.8</v>
      </c>
    </row>
    <row r="12" spans="1:4" x14ac:dyDescent="0.15">
      <c r="A12">
        <v>11</v>
      </c>
      <c r="B12" s="163" t="s">
        <v>203</v>
      </c>
      <c r="C12">
        <v>0</v>
      </c>
      <c r="D12">
        <v>0.8</v>
      </c>
    </row>
    <row r="13" spans="1:4" x14ac:dyDescent="0.15">
      <c r="A13">
        <v>12</v>
      </c>
      <c r="B13" s="163" t="s">
        <v>204</v>
      </c>
      <c r="C13">
        <v>0.8</v>
      </c>
      <c r="D13">
        <v>0.8</v>
      </c>
    </row>
    <row r="14" spans="1:4" x14ac:dyDescent="0.15">
      <c r="A14">
        <v>13</v>
      </c>
      <c r="B14" s="163" t="s">
        <v>205</v>
      </c>
      <c r="C14">
        <v>0.8</v>
      </c>
      <c r="D14">
        <v>0.8</v>
      </c>
    </row>
    <row r="15" spans="1:4" x14ac:dyDescent="0.15">
      <c r="A15">
        <v>14</v>
      </c>
      <c r="B15" s="163" t="s">
        <v>206</v>
      </c>
      <c r="C15">
        <v>0</v>
      </c>
      <c r="D15">
        <v>0</v>
      </c>
    </row>
    <row r="16" spans="1:4" x14ac:dyDescent="0.15">
      <c r="A16">
        <v>15</v>
      </c>
      <c r="B16" s="163" t="s">
        <v>207</v>
      </c>
      <c r="C16">
        <v>0</v>
      </c>
      <c r="D16">
        <v>0</v>
      </c>
    </row>
    <row r="17" spans="1:4" x14ac:dyDescent="0.15">
      <c r="A17">
        <v>16</v>
      </c>
      <c r="B17" s="163" t="s">
        <v>208</v>
      </c>
      <c r="C17">
        <v>0</v>
      </c>
      <c r="D1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68"/>
    <col min="2" max="2" width="41.83203125" style="68" bestFit="1" customWidth="1"/>
    <col min="3" max="3" width="9.33203125" style="68" bestFit="1" customWidth="1"/>
    <col min="4" max="4" width="13" style="68" bestFit="1" customWidth="1"/>
    <col min="5" max="6" width="9.33203125" style="68" bestFit="1" customWidth="1"/>
    <col min="7" max="7" width="9.33203125" style="84" bestFit="1" customWidth="1"/>
    <col min="8" max="8" width="9.33203125" style="68" bestFit="1" customWidth="1"/>
    <col min="9" max="9" width="11" style="68" customWidth="1"/>
    <col min="10" max="10" width="8.83203125" style="68"/>
    <col min="15" max="16384" width="8.83203125" style="6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6" t="s">
        <v>14</v>
      </c>
      <c r="H1" s="1" t="s">
        <v>26</v>
      </c>
      <c r="I1" s="1" t="s">
        <v>24</v>
      </c>
    </row>
    <row r="2" spans="1:10" ht="15" customHeight="1" x14ac:dyDescent="0.15">
      <c r="A2" s="128">
        <v>1</v>
      </c>
      <c r="B2" s="128" t="s">
        <v>193</v>
      </c>
      <c r="C2" s="8">
        <v>1</v>
      </c>
      <c r="D2" s="9">
        <v>22.981700897216797</v>
      </c>
      <c r="E2" s="9">
        <v>225.71800231933594</v>
      </c>
      <c r="F2" s="10"/>
      <c r="G2" s="9">
        <v>0.35537606477737427</v>
      </c>
      <c r="H2" s="10"/>
      <c r="I2">
        <v>0</v>
      </c>
      <c r="J2"/>
    </row>
    <row r="3" spans="1:10" ht="15" customHeight="1" x14ac:dyDescent="0.15">
      <c r="A3" s="129">
        <v>2</v>
      </c>
      <c r="B3" s="129" t="s">
        <v>194</v>
      </c>
      <c r="C3" s="8">
        <v>1</v>
      </c>
      <c r="D3" s="9">
        <v>30.795000076293945</v>
      </c>
      <c r="E3" s="9">
        <v>17.010000228881836</v>
      </c>
      <c r="F3" s="10"/>
      <c r="G3" s="9">
        <v>0.2696458101272583</v>
      </c>
      <c r="H3" s="10"/>
      <c r="I3">
        <v>0</v>
      </c>
      <c r="J3"/>
    </row>
    <row r="4" spans="1:10" ht="15" customHeight="1" x14ac:dyDescent="0.15">
      <c r="A4" s="130">
        <v>3</v>
      </c>
      <c r="B4" s="130" t="s">
        <v>195</v>
      </c>
      <c r="C4" s="8">
        <v>2</v>
      </c>
      <c r="D4" s="9">
        <v>7.1248188018798828</v>
      </c>
      <c r="E4" s="9">
        <v>78.318000793457031</v>
      </c>
      <c r="F4" s="9">
        <v>215</v>
      </c>
      <c r="G4" s="9">
        <v>0.49831691384315491</v>
      </c>
      <c r="H4" s="9">
        <v>0.36426976323127747</v>
      </c>
      <c r="I4">
        <v>0</v>
      </c>
      <c r="J4"/>
    </row>
    <row r="5" spans="1:10" ht="15" customHeight="1" x14ac:dyDescent="0.15">
      <c r="A5" s="131">
        <v>4</v>
      </c>
      <c r="B5" s="131" t="s">
        <v>196</v>
      </c>
      <c r="C5" s="8">
        <v>3.0488646030426025</v>
      </c>
      <c r="D5" s="9">
        <v>42.356899261474609</v>
      </c>
      <c r="E5" s="9">
        <v>2</v>
      </c>
      <c r="F5" s="9">
        <v>5.5999999046325684</v>
      </c>
      <c r="G5" s="9">
        <v>7.1679629385471344E-2</v>
      </c>
      <c r="H5" s="9">
        <v>0.3571428656578064</v>
      </c>
      <c r="I5">
        <v>0</v>
      </c>
      <c r="J5"/>
    </row>
    <row r="6" spans="1:10" ht="15" customHeight="1" x14ac:dyDescent="0.15">
      <c r="A6" s="132">
        <v>5</v>
      </c>
      <c r="B6" s="132" t="s">
        <v>197</v>
      </c>
      <c r="C6" s="8">
        <v>2.0592384338378906</v>
      </c>
      <c r="D6" s="9">
        <v>70.125</v>
      </c>
      <c r="E6" s="9">
        <v>4.5799999237060547</v>
      </c>
      <c r="F6" s="9">
        <v>24.360000610351562</v>
      </c>
      <c r="G6" s="9">
        <v>0.97750937938690186</v>
      </c>
      <c r="H6" s="9">
        <v>0.18801312148571014</v>
      </c>
      <c r="I6">
        <v>0</v>
      </c>
      <c r="J6"/>
    </row>
    <row r="7" spans="1:10" ht="15" customHeight="1" x14ac:dyDescent="0.15">
      <c r="A7" s="133">
        <v>6</v>
      </c>
      <c r="B7" s="133" t="s">
        <v>198</v>
      </c>
      <c r="C7" s="8">
        <v>2.190000057220459</v>
      </c>
      <c r="D7" s="9">
        <v>26.760000228881836</v>
      </c>
      <c r="E7" s="9">
        <v>4.6500000953674316</v>
      </c>
      <c r="F7" s="9">
        <v>12.811948776245117</v>
      </c>
      <c r="G7" s="9">
        <v>0.35175904631614685</v>
      </c>
      <c r="H7" s="9">
        <v>0.36294245719909668</v>
      </c>
      <c r="I7">
        <v>6.1420001983642578</v>
      </c>
      <c r="J7"/>
    </row>
    <row r="8" spans="1:10" ht="15" customHeight="1" x14ac:dyDescent="0.15">
      <c r="A8" s="134">
        <v>7</v>
      </c>
      <c r="B8" s="134" t="s">
        <v>199</v>
      </c>
      <c r="C8" s="8">
        <v>2.190000057220459</v>
      </c>
      <c r="D8" s="9">
        <v>1.3500000350177288E-2</v>
      </c>
      <c r="E8" s="9">
        <v>0.14499999582767487</v>
      </c>
      <c r="F8" s="9">
        <v>23.148288726806641</v>
      </c>
      <c r="G8" s="7">
        <v>0</v>
      </c>
      <c r="H8" s="9">
        <v>6.2639615498483181E-3</v>
      </c>
      <c r="I8">
        <v>0</v>
      </c>
      <c r="J8"/>
    </row>
    <row r="9" spans="1:10" ht="15" customHeight="1" x14ac:dyDescent="0.15">
      <c r="A9" s="135">
        <v>8</v>
      </c>
      <c r="B9" s="135" t="s">
        <v>200</v>
      </c>
      <c r="C9" s="8">
        <v>2.6972243785858154</v>
      </c>
      <c r="D9" s="9">
        <v>15.905699729919434</v>
      </c>
      <c r="E9" s="9">
        <v>0.83880001306533813</v>
      </c>
      <c r="F9" s="9">
        <v>8.3856000900268555</v>
      </c>
      <c r="G9" s="9">
        <v>0.94137078523635864</v>
      </c>
      <c r="H9" s="9">
        <v>0.1000286191701889</v>
      </c>
      <c r="I9">
        <v>0.96200001239776611</v>
      </c>
      <c r="J9"/>
    </row>
    <row r="10" spans="1:10" ht="15" customHeight="1" x14ac:dyDescent="0.15">
      <c r="A10" s="136">
        <v>9</v>
      </c>
      <c r="B10" s="136" t="s">
        <v>201</v>
      </c>
      <c r="C10" s="8">
        <v>3.3139495849609375</v>
      </c>
      <c r="D10" s="9">
        <v>0.46130713820457458</v>
      </c>
      <c r="E10" s="9">
        <v>3.9498000144958496</v>
      </c>
      <c r="F10" s="9">
        <v>23.647516250610352</v>
      </c>
      <c r="G10" s="9">
        <v>0.99884724617004395</v>
      </c>
      <c r="H10" s="9">
        <v>0.16702811419963837</v>
      </c>
      <c r="I10">
        <v>0</v>
      </c>
      <c r="J10"/>
    </row>
    <row r="11" spans="1:10" ht="15" customHeight="1" x14ac:dyDescent="0.15">
      <c r="A11" s="137">
        <v>10</v>
      </c>
      <c r="B11" s="137" t="s">
        <v>202</v>
      </c>
      <c r="C11" s="8">
        <v>3.8695785999298096</v>
      </c>
      <c r="D11" s="9">
        <v>0.64340001344680786</v>
      </c>
      <c r="E11" s="9">
        <v>5.3639998435974121</v>
      </c>
      <c r="F11" s="9">
        <v>12.5</v>
      </c>
      <c r="G11" s="9">
        <v>0.99288606643676758</v>
      </c>
      <c r="H11" s="9">
        <v>0.42911997437477112</v>
      </c>
      <c r="I11">
        <v>0.19599999487400055</v>
      </c>
      <c r="J11"/>
    </row>
    <row r="12" spans="1:10" ht="15" customHeight="1" x14ac:dyDescent="0.15">
      <c r="A12" s="138">
        <v>11</v>
      </c>
      <c r="B12" s="138" t="s">
        <v>203</v>
      </c>
      <c r="C12" s="8">
        <v>3.085956335067749</v>
      </c>
      <c r="D12" s="9">
        <v>12.303600311279297</v>
      </c>
      <c r="E12" s="9">
        <v>2.375999927520752</v>
      </c>
      <c r="F12" s="9">
        <v>10.876999855041504</v>
      </c>
      <c r="G12" s="9">
        <v>0.99703025817871094</v>
      </c>
      <c r="H12" s="9">
        <v>0.21844257414340973</v>
      </c>
      <c r="I12">
        <v>13.26099967956543</v>
      </c>
      <c r="J12"/>
    </row>
    <row r="13" spans="1:10" ht="15" customHeight="1" x14ac:dyDescent="0.15">
      <c r="A13" s="139">
        <v>12</v>
      </c>
      <c r="B13" s="139" t="s">
        <v>204</v>
      </c>
      <c r="C13" s="8">
        <v>3.180187463760376</v>
      </c>
      <c r="D13" s="9">
        <v>9.2249002456665039</v>
      </c>
      <c r="E13" s="9">
        <v>0.87768715620040894</v>
      </c>
      <c r="F13" s="9">
        <v>4.5269999504089355</v>
      </c>
      <c r="G13" s="9">
        <v>0.79976916313171387</v>
      </c>
      <c r="H13" s="9">
        <v>0.19387832283973694</v>
      </c>
      <c r="I13">
        <v>1.2363384962081909</v>
      </c>
      <c r="J13"/>
    </row>
    <row r="14" spans="1:10" ht="15" customHeight="1" x14ac:dyDescent="0.15">
      <c r="A14" s="140">
        <v>13</v>
      </c>
      <c r="B14" s="140" t="s">
        <v>205</v>
      </c>
      <c r="C14" s="8">
        <v>4.1658596992492676</v>
      </c>
      <c r="D14" s="9">
        <v>2.0813000202178955</v>
      </c>
      <c r="E14" s="9">
        <v>1.4941480159759521</v>
      </c>
      <c r="F14" s="9">
        <v>4.635200023651123</v>
      </c>
      <c r="G14" s="9">
        <v>0.98790568113327026</v>
      </c>
      <c r="H14" s="9">
        <v>0.32234811782836914</v>
      </c>
      <c r="I14">
        <v>2.4336006641387939</v>
      </c>
      <c r="J14"/>
    </row>
    <row r="15" spans="1:10" ht="15" customHeight="1" x14ac:dyDescent="0.15">
      <c r="A15" s="141">
        <v>14</v>
      </c>
      <c r="B15" s="141" t="s">
        <v>206</v>
      </c>
      <c r="C15" s="8">
        <v>4.0670065879821777</v>
      </c>
      <c r="D15" s="9">
        <v>4.2599998414516449E-2</v>
      </c>
      <c r="E15" s="9">
        <v>0.14108000695705414</v>
      </c>
      <c r="F15" s="9">
        <v>7.75</v>
      </c>
      <c r="G15" s="9">
        <v>0.82400047779083252</v>
      </c>
      <c r="H15" s="9">
        <v>1.8203871324658394E-2</v>
      </c>
      <c r="I15">
        <v>0</v>
      </c>
      <c r="J15"/>
    </row>
    <row r="16" spans="1:10" ht="15" customHeight="1" x14ac:dyDescent="0.15">
      <c r="A16" s="142">
        <v>15</v>
      </c>
      <c r="B16" s="142" t="s">
        <v>207</v>
      </c>
      <c r="C16" s="8">
        <v>1</v>
      </c>
      <c r="D16" s="9">
        <v>3.8659999370574951</v>
      </c>
      <c r="E16" s="10"/>
      <c r="F16" s="10"/>
      <c r="G16" s="7">
        <v>0.26161503791809082</v>
      </c>
      <c r="H16" s="10"/>
      <c r="I16">
        <v>0</v>
      </c>
      <c r="J16"/>
    </row>
    <row r="17" spans="1:10" ht="15" customHeight="1" x14ac:dyDescent="0.15">
      <c r="A17" s="143">
        <v>16</v>
      </c>
      <c r="B17" s="143" t="s">
        <v>208</v>
      </c>
      <c r="C17" s="8">
        <v>1</v>
      </c>
      <c r="D17" s="9">
        <v>5</v>
      </c>
      <c r="E17" s="10"/>
      <c r="F17" s="10"/>
      <c r="G17" s="7">
        <v>0</v>
      </c>
      <c r="H17" s="10"/>
      <c r="I17">
        <v>0</v>
      </c>
      <c r="J17"/>
    </row>
    <row r="18" spans="1:10" ht="15" customHeight="1" x14ac:dyDescent="0.15">
      <c r="A18" s="144">
        <v>17</v>
      </c>
      <c r="B18" s="144" t="s">
        <v>209</v>
      </c>
      <c r="C18" s="8">
        <v>4.8543829917907715</v>
      </c>
      <c r="D18" s="10"/>
      <c r="E18" s="10"/>
      <c r="F18" s="10"/>
      <c r="G18" s="10"/>
      <c r="H18" s="10"/>
      <c r="I18">
        <v>3.133939266204834</v>
      </c>
      <c r="J18"/>
    </row>
    <row r="19" spans="1:10" ht="15" customHeight="1" x14ac:dyDescent="0.15">
      <c r="A19" s="145">
        <v>18</v>
      </c>
      <c r="B19" s="145" t="s">
        <v>210</v>
      </c>
      <c r="C19" s="8">
        <v>3.8306124210357666</v>
      </c>
      <c r="D19" s="10"/>
      <c r="E19" s="10"/>
      <c r="F19" s="10"/>
      <c r="G19" s="10"/>
      <c r="H19" s="10"/>
      <c r="I19">
        <v>21.097002029418945</v>
      </c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68" bestFit="1" customWidth="1"/>
    <col min="2" max="4" width="9.5" style="68" bestFit="1" customWidth="1"/>
    <col min="5" max="7" width="9" style="68" bestFit="1" customWidth="1"/>
    <col min="8" max="16" width="12.6640625" style="68" bestFit="1" customWidth="1"/>
    <col min="17" max="17" width="12.33203125" style="68" bestFit="1" customWidth="1"/>
    <col min="18" max="18" width="8.83203125" style="68"/>
    <col min="19" max="21" width="9.33203125" style="68" bestFit="1" customWidth="1"/>
    <col min="22" max="23" width="8.83203125" style="68"/>
    <col min="24" max="24" width="9.33203125" style="68" bestFit="1" customWidth="1"/>
    <col min="25" max="27" width="8.83203125" style="68"/>
    <col min="28" max="58" width="9" style="68" bestFit="1" customWidth="1"/>
    <col min="59" max="59" width="12.33203125" style="68" bestFit="1" customWidth="1"/>
    <col min="60" max="60" width="9" style="68" bestFit="1" customWidth="1"/>
    <col min="61" max="61" width="11.33203125" style="68" bestFit="1" customWidth="1"/>
    <col min="62" max="77" width="9" style="68" bestFit="1" customWidth="1"/>
    <col min="78" max="78" width="12.33203125" style="68" bestFit="1" customWidth="1"/>
    <col min="79" max="79" width="9" style="68" bestFit="1" customWidth="1"/>
    <col min="80" max="80" width="12.33203125" style="68" bestFit="1" customWidth="1"/>
    <col min="81" max="107" width="9" style="68" bestFit="1" customWidth="1"/>
    <col min="108" max="108" width="11.33203125" style="68" bestFit="1" customWidth="1"/>
    <col min="109" max="124" width="9" style="68" bestFit="1" customWidth="1"/>
    <col min="125" max="125" width="10.33203125" style="68" bestFit="1" customWidth="1"/>
    <col min="126" max="129" width="9.33203125" style="68" bestFit="1" customWidth="1"/>
    <col min="130" max="130" width="9" style="68" bestFit="1" customWidth="1"/>
    <col min="131" max="134" width="9.33203125" style="68" bestFit="1" customWidth="1"/>
    <col min="135" max="165" width="9" style="68" bestFit="1" customWidth="1"/>
    <col min="166" max="166" width="12.33203125" style="68" bestFit="1" customWidth="1"/>
    <col min="167" max="170" width="9" style="68" bestFit="1" customWidth="1"/>
    <col min="171" max="176" width="8.83203125" style="68"/>
    <col min="177" max="177" width="13.83203125" style="68" bestFit="1" customWidth="1"/>
    <col min="178" max="16384" width="8.83203125" style="6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215</v>
      </c>
      <c r="E1" t="s">
        <v>216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225.71800231933594</v>
      </c>
      <c r="C2">
        <v>145.50321960449219</v>
      </c>
      <c r="D2"/>
      <c r="E2"/>
      <c r="F2"/>
      <c r="G2"/>
      <c r="H2" s="92">
        <v>66.65460205078125</v>
      </c>
      <c r="I2" s="11">
        <v>1.0321195004507899E-3</v>
      </c>
      <c r="J2" s="19">
        <v>1.4643141031265259</v>
      </c>
      <c r="K2" s="203">
        <v>12.083816528320312</v>
      </c>
      <c r="L2" s="11">
        <v>1.1014264076948166E-2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17.010000228881836</v>
      </c>
      <c r="C3">
        <v>12.423324584960938</v>
      </c>
      <c r="D3"/>
      <c r="E3"/>
      <c r="F3"/>
      <c r="G3"/>
      <c r="H3"/>
      <c r="I3"/>
      <c r="J3" s="202">
        <v>3.993948221206665</v>
      </c>
      <c r="K3"/>
      <c r="L3"/>
      <c r="M3" s="20">
        <v>0.58687561750411987</v>
      </c>
      <c r="N3"/>
      <c r="O3"/>
      <c r="P3"/>
      <c r="Q3" s="11">
        <v>5.6953951716423035E-3</v>
      </c>
      <c r="R3" s="11">
        <v>1.5663556405343115E-4</v>
      </c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78.318000793457031</v>
      </c>
      <c r="C4">
        <v>39.290817260742188</v>
      </c>
      <c r="D4"/>
      <c r="E4"/>
      <c r="F4"/>
      <c r="G4"/>
      <c r="H4"/>
      <c r="I4" s="123">
        <v>16.815729141235352</v>
      </c>
      <c r="J4" s="16">
        <v>0.93506318330764771</v>
      </c>
      <c r="K4" s="198">
        <v>9.1428394317626953</v>
      </c>
      <c r="L4" s="11">
        <v>8.3335954695940018E-3</v>
      </c>
      <c r="M4" s="11">
        <v>1.1232188902795315E-2</v>
      </c>
      <c r="N4" s="14">
        <v>0.72926008701324463</v>
      </c>
      <c r="O4" s="13">
        <v>0.11310582607984543</v>
      </c>
      <c r="P4" s="199">
        <v>11.260475158691406</v>
      </c>
      <c r="Q4" s="11">
        <v>1.1136136017739773E-2</v>
      </c>
      <c r="R4"/>
      <c r="S4" s="11">
        <v>9.2676036729244515E-6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2</v>
      </c>
      <c r="C5">
        <v>1.8566406965255737</v>
      </c>
      <c r="D5"/>
      <c r="E5"/>
      <c r="F5"/>
      <c r="G5"/>
      <c r="H5"/>
      <c r="I5"/>
      <c r="J5"/>
      <c r="K5"/>
      <c r="L5"/>
      <c r="M5"/>
      <c r="N5"/>
      <c r="O5"/>
      <c r="P5" s="59">
        <v>0.14059735834598541</v>
      </c>
      <c r="Q5" s="13">
        <v>2.1788275334984064E-3</v>
      </c>
      <c r="R5" s="11">
        <v>5.8306416030973196E-4</v>
      </c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4.5799999237060547</v>
      </c>
      <c r="C6">
        <v>0.10300704091787338</v>
      </c>
      <c r="D6"/>
      <c r="E6"/>
      <c r="F6"/>
      <c r="G6"/>
      <c r="H6"/>
      <c r="I6" s="201">
        <v>1.4795106649398804</v>
      </c>
      <c r="J6" s="200">
        <v>1.2521040439605713</v>
      </c>
      <c r="K6"/>
      <c r="L6"/>
      <c r="M6" s="196">
        <v>0.60598224401473999</v>
      </c>
      <c r="N6" s="18">
        <v>3.5405855625867844E-2</v>
      </c>
      <c r="O6" s="12">
        <v>1.5895765274763107E-2</v>
      </c>
      <c r="P6" s="197">
        <v>0.62366378307342529</v>
      </c>
      <c r="Q6" s="184">
        <v>0.46312046051025391</v>
      </c>
      <c r="R6" s="11">
        <v>1.2395170051604509E-3</v>
      </c>
      <c r="S6" s="11">
        <v>7.1091119025368243E-5</v>
      </c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4.6500000953674316</v>
      </c>
      <c r="C7">
        <v>3.0143206119537354</v>
      </c>
      <c r="D7"/>
      <c r="E7" s="175">
        <v>0.22952167689800262</v>
      </c>
      <c r="F7"/>
      <c r="G7"/>
      <c r="H7"/>
      <c r="I7" s="183">
        <v>0.37937599420547485</v>
      </c>
      <c r="J7" s="15">
        <v>6.3835769891738892E-2</v>
      </c>
      <c r="K7"/>
      <c r="L7"/>
      <c r="M7" s="195">
        <v>0.76408731937408447</v>
      </c>
      <c r="N7" s="13">
        <v>8.1938058137893677E-3</v>
      </c>
      <c r="O7" s="11">
        <v>6.0108370234956965E-5</v>
      </c>
      <c r="P7" s="16">
        <v>5.4010596126317978E-2</v>
      </c>
      <c r="Q7" s="127">
        <v>0.13648286461830139</v>
      </c>
      <c r="R7" s="11">
        <v>7.5706608186010271E-5</v>
      </c>
      <c r="S7" s="11">
        <v>3.5778586607193574E-5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0.14499999582767487</v>
      </c>
      <c r="C8">
        <v>0.14499999582767487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0.83880001306533813</v>
      </c>
      <c r="C9">
        <v>4.9178186804056168E-2</v>
      </c>
      <c r="D9"/>
      <c r="E9" s="176">
        <v>6.0481462627649307E-2</v>
      </c>
      <c r="F9"/>
      <c r="G9"/>
      <c r="H9"/>
      <c r="I9" s="17">
        <v>3.5790737718343735E-2</v>
      </c>
      <c r="J9" s="15">
        <v>1.0739829391241074E-2</v>
      </c>
      <c r="K9"/>
      <c r="L9"/>
      <c r="M9" s="194">
        <v>0.44443684816360474</v>
      </c>
      <c r="N9"/>
      <c r="O9"/>
      <c r="P9" s="55">
        <v>1.8510205671191216E-2</v>
      </c>
      <c r="Q9" s="193">
        <v>0.19874575734138489</v>
      </c>
      <c r="R9" s="180">
        <v>1.9655006006360054E-2</v>
      </c>
      <c r="S9" s="13">
        <v>1.2620079796761274E-3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3.9498000144958496</v>
      </c>
      <c r="C10">
        <v>4.5531471259891987E-3</v>
      </c>
      <c r="D10"/>
      <c r="E10"/>
      <c r="F10"/>
      <c r="G10"/>
      <c r="H10"/>
      <c r="I10"/>
      <c r="J10"/>
      <c r="K10"/>
      <c r="L10"/>
      <c r="M10" s="182">
        <v>0.57826489210128784</v>
      </c>
      <c r="N10"/>
      <c r="O10" s="187">
        <v>1.5690740346908569</v>
      </c>
      <c r="P10"/>
      <c r="Q10" s="181">
        <v>0.54314500093460083</v>
      </c>
      <c r="R10" s="186">
        <v>1.2547628879547119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5.3639998435974121</v>
      </c>
      <c r="C11">
        <v>3.8159139454364777E-2</v>
      </c>
      <c r="D11"/>
      <c r="E11" s="177">
        <v>0.30463162064552307</v>
      </c>
      <c r="F11"/>
      <c r="G11"/>
      <c r="H11"/>
      <c r="I11"/>
      <c r="J11"/>
      <c r="K11"/>
      <c r="L11"/>
      <c r="M11" s="185">
        <v>0.62190943956375122</v>
      </c>
      <c r="N11" s="12">
        <v>1.6954878345131874E-2</v>
      </c>
      <c r="O11" s="183">
        <v>0.43749997019767761</v>
      </c>
      <c r="P11"/>
      <c r="Q11" s="184">
        <v>0.55168676376342773</v>
      </c>
      <c r="R11" s="189">
        <v>3.3931577205657959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2.375999927520752</v>
      </c>
      <c r="C12">
        <v>7.0561063475906849E-3</v>
      </c>
      <c r="D12"/>
      <c r="E12" s="178">
        <v>1.0778145790100098</v>
      </c>
      <c r="F12"/>
      <c r="G12"/>
      <c r="H12"/>
      <c r="I12" s="192">
        <v>0.23520132899284363</v>
      </c>
      <c r="J12"/>
      <c r="K12"/>
      <c r="L12"/>
      <c r="M12"/>
      <c r="N12" s="124">
        <v>0.23939070105552673</v>
      </c>
      <c r="O12" s="122">
        <v>0.30604851245880127</v>
      </c>
      <c r="P12" s="188">
        <v>0.16315498948097229</v>
      </c>
      <c r="Q12" s="56">
        <v>9.5713153481483459E-2</v>
      </c>
      <c r="R12" s="184">
        <v>0.24157947301864624</v>
      </c>
      <c r="S12" s="12">
        <v>1.0041136294603348E-2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0.87768715620040894</v>
      </c>
      <c r="C13">
        <v>0.17574003338813782</v>
      </c>
      <c r="D13" s="173">
        <v>0.10735492408275604</v>
      </c>
      <c r="E13" s="127">
        <v>2.6666956022381783E-2</v>
      </c>
      <c r="F13"/>
      <c r="G13"/>
      <c r="H13"/>
      <c r="I13"/>
      <c r="J13"/>
      <c r="K13"/>
      <c r="L13"/>
      <c r="M13" s="190">
        <v>0.24579566717147827</v>
      </c>
      <c r="N13"/>
      <c r="O13" s="180">
        <v>2.1359715610742569E-2</v>
      </c>
      <c r="P13"/>
      <c r="Q13" s="180">
        <v>2.0597023889422417E-2</v>
      </c>
      <c r="R13" s="191">
        <v>0.27001950144767761</v>
      </c>
      <c r="S13" s="16">
        <v>1.0153340175747871E-2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1.4941480159759521</v>
      </c>
      <c r="C14">
        <v>1.8070703372359276E-2</v>
      </c>
      <c r="D14" s="174">
        <v>1.0299335718154907</v>
      </c>
      <c r="E14" s="62">
        <v>0.1393359899520874</v>
      </c>
      <c r="F14"/>
      <c r="G14"/>
      <c r="H14"/>
      <c r="I14"/>
      <c r="J14"/>
      <c r="K14"/>
      <c r="L14"/>
      <c r="M14"/>
      <c r="N14"/>
      <c r="O14" s="57">
        <v>9.4672195613384247E-2</v>
      </c>
      <c r="P14"/>
      <c r="Q14" s="56">
        <v>6.2600046396255493E-2</v>
      </c>
      <c r="R14" s="124">
        <v>0.14934524893760681</v>
      </c>
      <c r="S14" s="11">
        <v>1.9035217701457441E-4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0.14108000695705414</v>
      </c>
      <c r="C15">
        <v>2.4830013513565063E-2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179">
        <v>0.11624999344348907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/>
      <c r="C16">
        <v>0.26161503791809082</v>
      </c>
      <c r="D16"/>
      <c r="E16"/>
      <c r="F16"/>
      <c r="G16"/>
      <c r="H16"/>
      <c r="I16"/>
      <c r="J16" s="9">
        <v>1438.1715087890625</v>
      </c>
      <c r="K16"/>
      <c r="L16"/>
      <c r="M16" s="9">
        <v>33.504768371582031</v>
      </c>
      <c r="N16"/>
      <c r="O16"/>
      <c r="P16"/>
      <c r="Q16"/>
      <c r="R16" s="9">
        <v>0.68012648820877075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/>
      <c r="C17">
        <v>0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5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5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3" t="s">
        <v>166</v>
      </c>
    </row>
    <row r="2" spans="1:12" x14ac:dyDescent="0.15">
      <c r="A2" s="1" t="s">
        <v>37</v>
      </c>
      <c r="B2" s="30">
        <v>3</v>
      </c>
      <c r="C2" s="28"/>
      <c r="D2" t="s">
        <v>38</v>
      </c>
      <c r="E2">
        <v>1</v>
      </c>
      <c r="F2">
        <v>1</v>
      </c>
      <c r="G2">
        <v>1</v>
      </c>
      <c r="H2" t="s">
        <v>38</v>
      </c>
      <c r="J2" s="46"/>
      <c r="K2" s="47"/>
      <c r="L2" s="53" t="s">
        <v>167</v>
      </c>
    </row>
    <row r="3" spans="1:12" ht="14" thickBot="1" x14ac:dyDescent="0.2">
      <c r="A3" s="1" t="s">
        <v>39</v>
      </c>
      <c r="B3" s="31">
        <v>0</v>
      </c>
      <c r="C3" s="28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8"/>
      <c r="K3" s="49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8"/>
      <c r="K4" s="49"/>
    </row>
    <row r="5" spans="1:12" x14ac:dyDescent="0.15">
      <c r="D5" s="165" t="s">
        <v>193</v>
      </c>
      <c r="E5">
        <v>4</v>
      </c>
      <c r="F5">
        <v>2</v>
      </c>
      <c r="G5">
        <v>4</v>
      </c>
      <c r="H5" s="166" t="s">
        <v>193</v>
      </c>
      <c r="J5" s="48"/>
      <c r="K5" s="49"/>
    </row>
    <row r="6" spans="1:12" ht="14" thickBot="1" x14ac:dyDescent="0.2">
      <c r="A6" s="32" t="s">
        <v>121</v>
      </c>
      <c r="D6" s="165" t="s">
        <v>194</v>
      </c>
      <c r="E6">
        <v>5</v>
      </c>
      <c r="F6">
        <v>2</v>
      </c>
      <c r="G6">
        <v>5</v>
      </c>
      <c r="H6" s="166" t="s">
        <v>194</v>
      </c>
      <c r="J6" s="48"/>
      <c r="K6" s="49"/>
    </row>
    <row r="7" spans="1:12" x14ac:dyDescent="0.15">
      <c r="A7" s="27" t="s">
        <v>126</v>
      </c>
      <c r="B7" s="34">
        <v>1</v>
      </c>
      <c r="C7" s="29"/>
      <c r="D7" s="165" t="s">
        <v>195</v>
      </c>
      <c r="E7">
        <v>6</v>
      </c>
      <c r="F7">
        <v>3.11</v>
      </c>
      <c r="G7">
        <v>6</v>
      </c>
      <c r="H7" s="166" t="s">
        <v>195</v>
      </c>
      <c r="J7" s="48"/>
      <c r="K7" s="49"/>
    </row>
    <row r="8" spans="1:12" x14ac:dyDescent="0.15">
      <c r="A8" s="27" t="s">
        <v>38</v>
      </c>
      <c r="B8" s="35">
        <v>1</v>
      </c>
      <c r="C8" s="29"/>
      <c r="D8" s="165" t="s">
        <v>196</v>
      </c>
      <c r="E8">
        <v>7</v>
      </c>
      <c r="F8">
        <v>3.11</v>
      </c>
      <c r="G8">
        <v>7</v>
      </c>
      <c r="H8" s="166" t="s">
        <v>196</v>
      </c>
      <c r="J8" s="48"/>
      <c r="K8" s="49"/>
    </row>
    <row r="9" spans="1:12" x14ac:dyDescent="0.15">
      <c r="A9" s="27" t="s">
        <v>40</v>
      </c>
      <c r="B9" s="35">
        <v>1.1000000000000001</v>
      </c>
      <c r="C9" s="29"/>
      <c r="D9" s="165" t="s">
        <v>197</v>
      </c>
      <c r="E9">
        <v>8</v>
      </c>
      <c r="F9">
        <v>3.21</v>
      </c>
      <c r="G9">
        <v>8</v>
      </c>
      <c r="H9" s="166" t="s">
        <v>197</v>
      </c>
      <c r="J9" s="48"/>
      <c r="K9" s="49"/>
    </row>
    <row r="10" spans="1:12" x14ac:dyDescent="0.15">
      <c r="A10" s="27" t="s">
        <v>41</v>
      </c>
      <c r="B10" s="35">
        <v>1.2</v>
      </c>
      <c r="C10" s="29"/>
      <c r="D10" s="165" t="s">
        <v>198</v>
      </c>
      <c r="E10">
        <v>9</v>
      </c>
      <c r="F10">
        <v>3.21</v>
      </c>
      <c r="G10">
        <v>9</v>
      </c>
      <c r="H10" s="166" t="s">
        <v>198</v>
      </c>
      <c r="J10" s="48"/>
      <c r="K10" s="49"/>
    </row>
    <row r="11" spans="1:12" ht="12" customHeight="1" x14ac:dyDescent="0.15">
      <c r="A11" s="33" t="s">
        <v>127</v>
      </c>
      <c r="B11" s="35">
        <v>2</v>
      </c>
      <c r="C11" s="29"/>
      <c r="D11" s="165" t="s">
        <v>199</v>
      </c>
      <c r="E11">
        <v>10</v>
      </c>
      <c r="F11">
        <v>3.21</v>
      </c>
      <c r="G11">
        <v>10</v>
      </c>
      <c r="H11" s="166" t="s">
        <v>199</v>
      </c>
      <c r="J11" s="48"/>
      <c r="K11" s="49"/>
    </row>
    <row r="12" spans="1:12" x14ac:dyDescent="0.15">
      <c r="A12" s="27" t="s">
        <v>42</v>
      </c>
      <c r="B12" s="35">
        <v>2.1</v>
      </c>
      <c r="C12" s="29"/>
      <c r="D12" s="165" t="s">
        <v>200</v>
      </c>
      <c r="E12">
        <v>11</v>
      </c>
      <c r="F12">
        <v>3.2</v>
      </c>
      <c r="G12">
        <v>11</v>
      </c>
      <c r="H12" s="166" t="s">
        <v>200</v>
      </c>
      <c r="J12" s="48"/>
      <c r="K12" s="49"/>
    </row>
    <row r="13" spans="1:12" x14ac:dyDescent="0.15">
      <c r="A13" s="27" t="s">
        <v>43</v>
      </c>
      <c r="B13" s="35">
        <v>2.2000000000000002</v>
      </c>
      <c r="C13" s="29"/>
      <c r="D13" s="165" t="s">
        <v>201</v>
      </c>
      <c r="E13">
        <v>12</v>
      </c>
      <c r="F13">
        <v>3.1</v>
      </c>
      <c r="G13">
        <v>12</v>
      </c>
      <c r="H13" s="166" t="s">
        <v>201</v>
      </c>
      <c r="J13" s="48"/>
      <c r="K13" s="49"/>
    </row>
    <row r="14" spans="1:12" x14ac:dyDescent="0.15">
      <c r="A14" s="27" t="s">
        <v>67</v>
      </c>
      <c r="B14" s="35">
        <v>2.2999999999999998</v>
      </c>
      <c r="C14" s="29"/>
      <c r="D14" s="165" t="s">
        <v>202</v>
      </c>
      <c r="E14">
        <v>13</v>
      </c>
      <c r="F14">
        <v>3</v>
      </c>
      <c r="G14">
        <v>13</v>
      </c>
      <c r="H14" s="166" t="s">
        <v>202</v>
      </c>
      <c r="J14" s="48"/>
      <c r="K14" s="49"/>
    </row>
    <row r="15" spans="1:12" x14ac:dyDescent="0.15">
      <c r="A15" s="33" t="s">
        <v>128</v>
      </c>
      <c r="B15" s="35">
        <v>3</v>
      </c>
      <c r="C15" s="29"/>
      <c r="D15" s="165" t="s">
        <v>203</v>
      </c>
      <c r="E15">
        <v>14</v>
      </c>
      <c r="F15">
        <v>3</v>
      </c>
      <c r="G15">
        <v>14</v>
      </c>
      <c r="H15" s="166" t="s">
        <v>203</v>
      </c>
      <c r="J15" s="48"/>
      <c r="K15" s="49"/>
    </row>
    <row r="16" spans="1:12" x14ac:dyDescent="0.15">
      <c r="A16" s="27" t="s">
        <v>62</v>
      </c>
      <c r="B16" s="35">
        <v>3.11</v>
      </c>
      <c r="C16" s="29"/>
      <c r="D16" s="165" t="s">
        <v>204</v>
      </c>
      <c r="E16">
        <v>15</v>
      </c>
      <c r="F16">
        <v>3.22</v>
      </c>
      <c r="G16">
        <v>15</v>
      </c>
      <c r="H16" s="166" t="s">
        <v>204</v>
      </c>
      <c r="J16" s="48"/>
      <c r="K16" s="49"/>
    </row>
    <row r="17" spans="1:12" x14ac:dyDescent="0.15">
      <c r="A17" s="27" t="s">
        <v>61</v>
      </c>
      <c r="B17" s="35">
        <v>3.12</v>
      </c>
      <c r="C17" s="29"/>
      <c r="D17" s="165" t="s">
        <v>205</v>
      </c>
      <c r="E17">
        <v>16</v>
      </c>
      <c r="F17">
        <v>3</v>
      </c>
      <c r="G17">
        <v>16</v>
      </c>
      <c r="H17" s="166" t="s">
        <v>205</v>
      </c>
      <c r="J17" s="48"/>
      <c r="K17" s="49"/>
    </row>
    <row r="18" spans="1:12" x14ac:dyDescent="0.15">
      <c r="A18" s="27" t="s">
        <v>68</v>
      </c>
      <c r="B18" s="35">
        <v>3.13</v>
      </c>
      <c r="C18" s="29"/>
      <c r="D18" s="165" t="s">
        <v>206</v>
      </c>
      <c r="E18">
        <v>17</v>
      </c>
      <c r="F18">
        <v>3.13</v>
      </c>
      <c r="G18">
        <v>17</v>
      </c>
      <c r="H18" s="166" t="s">
        <v>206</v>
      </c>
      <c r="J18" s="48"/>
      <c r="K18" s="49"/>
    </row>
    <row r="19" spans="1:12" x14ac:dyDescent="0.15">
      <c r="A19" s="27" t="s">
        <v>66</v>
      </c>
      <c r="B19" s="35">
        <v>3.21</v>
      </c>
      <c r="C19" s="29"/>
      <c r="D19" s="165" t="s">
        <v>207</v>
      </c>
      <c r="E19">
        <v>18</v>
      </c>
      <c r="F19">
        <v>4.0999999999999996</v>
      </c>
      <c r="G19">
        <v>18</v>
      </c>
      <c r="H19" s="166" t="s">
        <v>207</v>
      </c>
      <c r="J19" s="48"/>
      <c r="K19" s="49"/>
    </row>
    <row r="20" spans="1:12" x14ac:dyDescent="0.15">
      <c r="A20" s="27" t="s">
        <v>63</v>
      </c>
      <c r="B20" s="35">
        <v>3.22</v>
      </c>
      <c r="C20" s="29"/>
      <c r="D20" s="165" t="s">
        <v>208</v>
      </c>
      <c r="E20">
        <v>19</v>
      </c>
      <c r="F20">
        <v>4.3</v>
      </c>
      <c r="G20">
        <v>19</v>
      </c>
      <c r="H20" s="166" t="s">
        <v>208</v>
      </c>
      <c r="J20" s="48"/>
      <c r="K20" s="49"/>
    </row>
    <row r="21" spans="1:12" ht="14" thickBot="1" x14ac:dyDescent="0.2">
      <c r="A21" s="27" t="s">
        <v>69</v>
      </c>
      <c r="B21" s="35">
        <v>3.23</v>
      </c>
      <c r="C21" s="29"/>
      <c r="D21" s="165" t="s">
        <v>209</v>
      </c>
      <c r="E21">
        <v>20</v>
      </c>
      <c r="F21">
        <v>5</v>
      </c>
      <c r="G21">
        <v>20</v>
      </c>
      <c r="H21" s="166" t="s">
        <v>209</v>
      </c>
      <c r="J21" s="50"/>
      <c r="K21" s="51"/>
      <c r="L21" s="53" t="s">
        <v>152</v>
      </c>
    </row>
    <row r="22" spans="1:12" x14ac:dyDescent="0.15">
      <c r="A22" s="27" t="s">
        <v>64</v>
      </c>
      <c r="B22" s="35">
        <v>8</v>
      </c>
      <c r="C22" s="29"/>
      <c r="D22" s="165" t="s">
        <v>210</v>
      </c>
      <c r="E22">
        <v>21</v>
      </c>
      <c r="F22">
        <v>5</v>
      </c>
      <c r="G22">
        <v>21</v>
      </c>
      <c r="H22" s="166" t="s">
        <v>210</v>
      </c>
    </row>
    <row r="23" spans="1:12" x14ac:dyDescent="0.15">
      <c r="A23" s="27" t="s">
        <v>129</v>
      </c>
      <c r="B23" s="35">
        <v>4</v>
      </c>
      <c r="C23" s="29"/>
      <c r="D23" s="165" t="s">
        <v>138</v>
      </c>
      <c r="E23">
        <v>22</v>
      </c>
      <c r="F23">
        <v>6.1</v>
      </c>
      <c r="G23">
        <v>22</v>
      </c>
      <c r="H23" s="166" t="s">
        <v>138</v>
      </c>
    </row>
    <row r="24" spans="1:12" x14ac:dyDescent="0.15">
      <c r="A24" s="27" t="s">
        <v>122</v>
      </c>
      <c r="B24" s="35">
        <v>4.0999999999999996</v>
      </c>
      <c r="C24" s="29"/>
      <c r="D24" s="165" t="s">
        <v>45</v>
      </c>
      <c r="E24">
        <v>23</v>
      </c>
      <c r="F24">
        <v>6.2</v>
      </c>
      <c r="G24">
        <v>23</v>
      </c>
      <c r="H24" s="166" t="s">
        <v>45</v>
      </c>
    </row>
    <row r="25" spans="1:12" x14ac:dyDescent="0.15">
      <c r="A25" s="27" t="s">
        <v>70</v>
      </c>
      <c r="B25" s="35">
        <v>4.2</v>
      </c>
      <c r="C25" s="29"/>
    </row>
    <row r="26" spans="1:12" x14ac:dyDescent="0.15">
      <c r="A26" s="27" t="s">
        <v>123</v>
      </c>
      <c r="B26" s="35">
        <v>4.3</v>
      </c>
      <c r="C26" s="29"/>
    </row>
    <row r="27" spans="1:12" x14ac:dyDescent="0.15">
      <c r="A27" s="27" t="s">
        <v>125</v>
      </c>
      <c r="B27" s="35">
        <v>6.1</v>
      </c>
    </row>
    <row r="28" spans="1:12" x14ac:dyDescent="0.15">
      <c r="A28" s="27" t="s">
        <v>124</v>
      </c>
      <c r="B28" s="35">
        <v>6.2</v>
      </c>
    </row>
    <row r="29" spans="1:12" x14ac:dyDescent="0.15">
      <c r="A29" s="27" t="s">
        <v>44</v>
      </c>
      <c r="B29" s="35">
        <v>5</v>
      </c>
    </row>
    <row r="30" spans="1:12" x14ac:dyDescent="0.15">
      <c r="A30" s="27" t="s">
        <v>73</v>
      </c>
      <c r="B30" s="35">
        <v>7</v>
      </c>
    </row>
    <row r="31" spans="1:12" x14ac:dyDescent="0.15">
      <c r="A31" s="27" t="s">
        <v>169</v>
      </c>
      <c r="B31" s="35">
        <v>3.14</v>
      </c>
    </row>
    <row r="32" spans="1:12" ht="12" customHeight="1" thickBot="1" x14ac:dyDescent="0.2">
      <c r="A32" s="33" t="s">
        <v>170</v>
      </c>
      <c r="B32" s="36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69" bestFit="1" customWidth="1"/>
    <col min="2" max="2" width="12.83203125" style="68" customWidth="1"/>
    <col min="3" max="3" width="13.1640625" style="68" customWidth="1"/>
    <col min="4" max="4" width="11.83203125" style="68" customWidth="1"/>
    <col min="5" max="5" width="12.83203125" style="68" customWidth="1"/>
    <col min="6" max="6" width="25.5" style="68" bestFit="1" customWidth="1"/>
    <col min="7" max="9" width="2.33203125" style="68" customWidth="1"/>
    <col min="10" max="10" width="2.33203125" style="68" bestFit="1" customWidth="1"/>
    <col min="11" max="15" width="2.33203125" style="68" customWidth="1"/>
    <col min="16" max="16" width="2.33203125" style="60" customWidth="1"/>
    <col min="17" max="17" width="2.33203125" style="68" customWidth="1"/>
    <col min="18" max="18" width="2.33203125" style="61" customWidth="1"/>
    <col min="19" max="16384" width="11.5" style="68"/>
  </cols>
  <sheetData>
    <row r="1" spans="1:23" ht="15" customHeight="1" thickBot="1" x14ac:dyDescent="0.2">
      <c r="F1" s="1"/>
      <c r="G1" s="58" t="s">
        <v>46</v>
      </c>
      <c r="H1" s="58" t="s">
        <v>47</v>
      </c>
      <c r="I1" s="58" t="s">
        <v>120</v>
      </c>
      <c r="J1" s="58" t="s">
        <v>132</v>
      </c>
      <c r="K1" s="70" t="s">
        <v>48</v>
      </c>
      <c r="L1" s="61"/>
      <c r="M1" s="70" t="s">
        <v>119</v>
      </c>
      <c r="N1" s="61"/>
      <c r="O1" s="70" t="s">
        <v>49</v>
      </c>
      <c r="P1" s="63"/>
      <c r="Q1" s="70" t="s">
        <v>50</v>
      </c>
      <c r="R1" s="58" t="s">
        <v>154</v>
      </c>
    </row>
    <row r="2" spans="1:23" ht="15" customHeight="1" x14ac:dyDescent="0.15">
      <c r="A2" s="70" t="s">
        <v>51</v>
      </c>
      <c r="B2" s="71">
        <v>0.5</v>
      </c>
      <c r="C2" s="69" t="s">
        <v>52</v>
      </c>
      <c r="D2" s="72"/>
      <c r="F2" s="1"/>
      <c r="G2" s="73"/>
      <c r="H2" s="73"/>
      <c r="I2" s="73" t="s">
        <v>133</v>
      </c>
      <c r="J2" s="73" t="s">
        <v>133</v>
      </c>
      <c r="K2" s="73" t="s">
        <v>52</v>
      </c>
      <c r="L2" s="73" t="s">
        <v>53</v>
      </c>
      <c r="M2" s="73" t="s">
        <v>52</v>
      </c>
      <c r="N2" s="73" t="s">
        <v>53</v>
      </c>
      <c r="O2" s="73" t="s">
        <v>52</v>
      </c>
      <c r="P2" s="74" t="s">
        <v>53</v>
      </c>
      <c r="Q2" s="73"/>
      <c r="R2" s="75" t="s">
        <v>155</v>
      </c>
    </row>
    <row r="3" spans="1:23" ht="15" customHeight="1" thickBot="1" x14ac:dyDescent="0.2">
      <c r="A3" s="70" t="s">
        <v>54</v>
      </c>
      <c r="B3" s="76">
        <v>0.5</v>
      </c>
      <c r="C3" s="69" t="s">
        <v>53</v>
      </c>
      <c r="D3" s="7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1">
        <v>0</v>
      </c>
      <c r="R3" s="29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1">
        <v>0</v>
      </c>
      <c r="R4" s="94">
        <v>0</v>
      </c>
    </row>
    <row r="5" spans="1:23" ht="15" customHeight="1" x14ac:dyDescent="0.15">
      <c r="A5" s="70" t="s">
        <v>55</v>
      </c>
      <c r="B5" s="77">
        <v>0.5</v>
      </c>
      <c r="C5" s="69" t="s">
        <v>52</v>
      </c>
      <c r="D5" s="7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1">
        <v>0</v>
      </c>
      <c r="R5" s="94">
        <v>0</v>
      </c>
    </row>
    <row r="6" spans="1:23" ht="15" customHeight="1" thickBot="1" x14ac:dyDescent="0.2">
      <c r="A6" s="70"/>
      <c r="B6" s="78">
        <v>0.5</v>
      </c>
      <c r="C6" s="69" t="s">
        <v>53</v>
      </c>
      <c r="D6" s="72"/>
      <c r="F6" s="167" t="s">
        <v>193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1</v>
      </c>
      <c r="N6" s="68">
        <v>0</v>
      </c>
      <c r="O6" s="68">
        <v>0</v>
      </c>
      <c r="P6" s="60">
        <v>0</v>
      </c>
      <c r="Q6" s="68">
        <v>0</v>
      </c>
      <c r="R6" s="61">
        <v>1</v>
      </c>
      <c r="S6"/>
      <c r="T6"/>
    </row>
    <row r="7" spans="1:23" ht="15" customHeight="1" thickBot="1" x14ac:dyDescent="0.2">
      <c r="F7" s="167" t="s">
        <v>194</v>
      </c>
      <c r="G7" s="68">
        <v>0</v>
      </c>
      <c r="H7" s="68">
        <v>0</v>
      </c>
      <c r="I7" s="68">
        <v>0</v>
      </c>
      <c r="J7" s="68">
        <v>0</v>
      </c>
      <c r="K7" s="68">
        <v>0</v>
      </c>
      <c r="L7" s="68">
        <v>0</v>
      </c>
      <c r="M7" s="68">
        <v>1</v>
      </c>
      <c r="N7" s="68">
        <v>0</v>
      </c>
      <c r="O7" s="68">
        <v>0</v>
      </c>
      <c r="P7" s="60">
        <v>0</v>
      </c>
      <c r="Q7" s="68">
        <v>0</v>
      </c>
      <c r="R7" s="61">
        <v>1</v>
      </c>
      <c r="S7"/>
      <c r="T7"/>
    </row>
    <row r="8" spans="1:23" ht="15" customHeight="1" x14ac:dyDescent="0.15">
      <c r="A8" s="70" t="s">
        <v>56</v>
      </c>
      <c r="B8" s="77">
        <v>0.90828155708054459</v>
      </c>
      <c r="C8" s="168" t="s">
        <v>193</v>
      </c>
      <c r="D8" s="72" t="s">
        <v>160</v>
      </c>
      <c r="F8" s="167" t="s">
        <v>195</v>
      </c>
      <c r="G8" s="68">
        <v>0</v>
      </c>
      <c r="H8" s="68">
        <v>0</v>
      </c>
      <c r="I8" s="68">
        <v>0</v>
      </c>
      <c r="J8" s="68">
        <v>0</v>
      </c>
      <c r="K8" s="68">
        <v>1</v>
      </c>
      <c r="L8" s="68">
        <v>0</v>
      </c>
      <c r="M8" s="68">
        <v>1</v>
      </c>
      <c r="N8" s="68">
        <v>0</v>
      </c>
      <c r="O8" s="68">
        <v>1</v>
      </c>
      <c r="P8" s="60">
        <v>0</v>
      </c>
      <c r="Q8" s="68">
        <v>0</v>
      </c>
      <c r="R8" s="61">
        <v>1</v>
      </c>
      <c r="S8"/>
      <c r="T8"/>
      <c r="W8"/>
    </row>
    <row r="9" spans="1:23" ht="15" customHeight="1" x14ac:dyDescent="0.15">
      <c r="A9" s="108" t="s">
        <v>168</v>
      </c>
      <c r="B9" s="79">
        <v>9.1718442919455495E-2</v>
      </c>
      <c r="C9" s="168" t="s">
        <v>194</v>
      </c>
      <c r="D9" s="72" t="s">
        <v>160</v>
      </c>
      <c r="F9" s="167" t="s">
        <v>196</v>
      </c>
      <c r="G9" s="68">
        <v>0</v>
      </c>
      <c r="H9" s="68">
        <v>0</v>
      </c>
      <c r="I9" s="68">
        <v>0</v>
      </c>
      <c r="J9" s="68">
        <v>0</v>
      </c>
      <c r="K9" s="68">
        <v>1</v>
      </c>
      <c r="L9" s="68">
        <v>0</v>
      </c>
      <c r="M9" s="68">
        <v>1</v>
      </c>
      <c r="N9" s="68">
        <v>0</v>
      </c>
      <c r="O9" s="68">
        <v>1</v>
      </c>
      <c r="P9" s="60">
        <v>0</v>
      </c>
      <c r="Q9" s="68">
        <v>0</v>
      </c>
      <c r="R9" s="61">
        <v>1</v>
      </c>
      <c r="S9"/>
      <c r="T9"/>
      <c r="W9"/>
    </row>
    <row r="10" spans="1:23" ht="15" customHeight="1" x14ac:dyDescent="0.15">
      <c r="B10" s="79"/>
      <c r="C10" s="67"/>
      <c r="D10" s="72" t="s">
        <v>160</v>
      </c>
      <c r="F10" s="167" t="s">
        <v>197</v>
      </c>
      <c r="G10" s="68">
        <v>0</v>
      </c>
      <c r="H10" s="68">
        <v>0</v>
      </c>
      <c r="I10" s="68">
        <v>0</v>
      </c>
      <c r="J10" s="68">
        <v>0</v>
      </c>
      <c r="K10" s="68">
        <v>1</v>
      </c>
      <c r="L10" s="68">
        <v>0</v>
      </c>
      <c r="M10" s="68">
        <v>1</v>
      </c>
      <c r="N10" s="68">
        <v>0</v>
      </c>
      <c r="O10" s="68">
        <v>1</v>
      </c>
      <c r="P10" s="60">
        <v>0</v>
      </c>
      <c r="Q10" s="68">
        <v>0</v>
      </c>
      <c r="R10" s="61">
        <v>1</v>
      </c>
      <c r="S10"/>
      <c r="T10"/>
      <c r="W10"/>
    </row>
    <row r="11" spans="1:23" ht="15" customHeight="1" x14ac:dyDescent="0.15">
      <c r="A11" s="70"/>
      <c r="B11" s="79"/>
      <c r="C11" s="82"/>
      <c r="D11" s="72" t="s">
        <v>160</v>
      </c>
      <c r="F11" s="167" t="s">
        <v>198</v>
      </c>
      <c r="G11" s="68">
        <v>0</v>
      </c>
      <c r="H11" s="68">
        <v>0</v>
      </c>
      <c r="I11" s="68">
        <v>0</v>
      </c>
      <c r="J11" s="68">
        <v>0</v>
      </c>
      <c r="K11" s="68">
        <v>1</v>
      </c>
      <c r="L11" s="68">
        <v>0</v>
      </c>
      <c r="M11" s="68">
        <v>1</v>
      </c>
      <c r="N11" s="68">
        <v>0</v>
      </c>
      <c r="O11" s="68">
        <v>1</v>
      </c>
      <c r="P11" s="60">
        <v>0</v>
      </c>
      <c r="Q11" s="68">
        <v>0</v>
      </c>
      <c r="R11" s="61">
        <v>1</v>
      </c>
      <c r="S11"/>
      <c r="T11"/>
      <c r="W11"/>
    </row>
    <row r="12" spans="1:23" ht="15" customHeight="1" x14ac:dyDescent="0.15">
      <c r="B12" s="79"/>
      <c r="C12" s="83"/>
      <c r="D12" s="72" t="s">
        <v>160</v>
      </c>
      <c r="F12" s="167" t="s">
        <v>199</v>
      </c>
      <c r="G12" s="68">
        <v>0</v>
      </c>
      <c r="H12" s="68">
        <v>0</v>
      </c>
      <c r="I12" s="68">
        <v>0</v>
      </c>
      <c r="J12" s="68">
        <v>0</v>
      </c>
      <c r="K12" s="68">
        <v>1</v>
      </c>
      <c r="L12" s="68">
        <v>0</v>
      </c>
      <c r="M12" s="68">
        <v>1</v>
      </c>
      <c r="N12" s="68">
        <v>0</v>
      </c>
      <c r="O12" s="68">
        <v>1</v>
      </c>
      <c r="P12" s="60">
        <v>0</v>
      </c>
      <c r="Q12" s="68">
        <v>0</v>
      </c>
      <c r="R12" s="61">
        <v>1</v>
      </c>
      <c r="S12"/>
      <c r="T12"/>
      <c r="W12"/>
    </row>
    <row r="13" spans="1:23" ht="15" customHeight="1" x14ac:dyDescent="0.15">
      <c r="B13" s="79"/>
      <c r="C13" s="83"/>
      <c r="D13" s="72" t="s">
        <v>160</v>
      </c>
      <c r="F13" s="167" t="s">
        <v>200</v>
      </c>
      <c r="G13" s="68">
        <v>0</v>
      </c>
      <c r="H13" s="68">
        <v>0</v>
      </c>
      <c r="I13" s="68">
        <v>0</v>
      </c>
      <c r="J13" s="68">
        <v>0</v>
      </c>
      <c r="K13" s="68">
        <v>1</v>
      </c>
      <c r="L13" s="68">
        <v>0</v>
      </c>
      <c r="M13" s="68">
        <v>1</v>
      </c>
      <c r="N13" s="68">
        <v>0</v>
      </c>
      <c r="O13" s="68">
        <v>1</v>
      </c>
      <c r="P13" s="60">
        <v>0</v>
      </c>
      <c r="Q13" s="68">
        <v>0</v>
      </c>
      <c r="R13" s="61">
        <v>1</v>
      </c>
      <c r="S13"/>
      <c r="T13"/>
      <c r="W13"/>
    </row>
    <row r="14" spans="1:23" ht="15" customHeight="1" x14ac:dyDescent="0.15">
      <c r="B14" s="79"/>
      <c r="C14" s="67"/>
      <c r="D14" s="72" t="s">
        <v>160</v>
      </c>
      <c r="F14" s="167" t="s">
        <v>201</v>
      </c>
      <c r="G14" s="68">
        <v>0</v>
      </c>
      <c r="H14" s="68">
        <v>0</v>
      </c>
      <c r="I14" s="68">
        <v>0</v>
      </c>
      <c r="J14" s="68">
        <v>0</v>
      </c>
      <c r="K14" s="68">
        <v>1</v>
      </c>
      <c r="L14" s="68">
        <v>0</v>
      </c>
      <c r="M14" s="68">
        <v>1</v>
      </c>
      <c r="N14" s="68">
        <v>0</v>
      </c>
      <c r="O14" s="68">
        <v>1</v>
      </c>
      <c r="P14" s="60">
        <v>0</v>
      </c>
      <c r="Q14" s="68">
        <v>0</v>
      </c>
      <c r="R14" s="61">
        <v>1</v>
      </c>
      <c r="S14"/>
      <c r="T14"/>
      <c r="W14"/>
    </row>
    <row r="15" spans="1:23" ht="15" customHeight="1" x14ac:dyDescent="0.15">
      <c r="B15" s="79"/>
      <c r="C15" s="67"/>
      <c r="D15" s="72" t="s">
        <v>160</v>
      </c>
      <c r="F15" s="167" t="s">
        <v>202</v>
      </c>
      <c r="G15" s="68">
        <v>0</v>
      </c>
      <c r="H15" s="68">
        <v>0</v>
      </c>
      <c r="I15" s="68">
        <v>0</v>
      </c>
      <c r="J15" s="68">
        <v>0</v>
      </c>
      <c r="K15" s="68">
        <v>1</v>
      </c>
      <c r="L15" s="68">
        <v>0</v>
      </c>
      <c r="M15" s="68">
        <v>1</v>
      </c>
      <c r="N15" s="68">
        <v>0</v>
      </c>
      <c r="O15" s="68">
        <v>1</v>
      </c>
      <c r="P15" s="60">
        <v>0</v>
      </c>
      <c r="Q15" s="68">
        <v>0</v>
      </c>
      <c r="R15" s="61">
        <v>1</v>
      </c>
      <c r="S15"/>
      <c r="T15"/>
      <c r="W15"/>
    </row>
    <row r="16" spans="1:23" ht="15" customHeight="1" x14ac:dyDescent="0.15">
      <c r="B16" s="79"/>
      <c r="C16" s="67"/>
      <c r="D16" s="72" t="s">
        <v>160</v>
      </c>
      <c r="F16" s="167" t="s">
        <v>203</v>
      </c>
      <c r="G16" s="68">
        <v>0</v>
      </c>
      <c r="H16" s="68">
        <v>0</v>
      </c>
      <c r="I16" s="68">
        <v>0</v>
      </c>
      <c r="J16" s="68">
        <v>0</v>
      </c>
      <c r="K16" s="68">
        <v>1</v>
      </c>
      <c r="L16" s="68">
        <v>0</v>
      </c>
      <c r="M16" s="68">
        <v>1</v>
      </c>
      <c r="N16" s="68">
        <v>0</v>
      </c>
      <c r="O16" s="68">
        <v>1</v>
      </c>
      <c r="P16" s="60">
        <v>0</v>
      </c>
      <c r="Q16" s="68">
        <v>0</v>
      </c>
      <c r="R16" s="61">
        <v>1</v>
      </c>
      <c r="S16"/>
      <c r="T16"/>
    </row>
    <row r="17" spans="1:20" ht="15" customHeight="1" thickBot="1" x14ac:dyDescent="0.2">
      <c r="B17" s="78"/>
      <c r="C17" s="67"/>
      <c r="D17" s="72" t="s">
        <v>160</v>
      </c>
      <c r="F17" s="167" t="s">
        <v>204</v>
      </c>
      <c r="G17" s="68">
        <v>0</v>
      </c>
      <c r="H17" s="68">
        <v>0</v>
      </c>
      <c r="I17" s="68">
        <v>0</v>
      </c>
      <c r="J17" s="68">
        <v>0</v>
      </c>
      <c r="K17" s="68">
        <v>1</v>
      </c>
      <c r="L17" s="68">
        <v>0</v>
      </c>
      <c r="M17" s="68">
        <v>1</v>
      </c>
      <c r="N17" s="68">
        <v>0</v>
      </c>
      <c r="O17" s="68">
        <v>1</v>
      </c>
      <c r="P17" s="60">
        <v>0</v>
      </c>
      <c r="Q17" s="68">
        <v>0</v>
      </c>
      <c r="R17" s="61">
        <v>1</v>
      </c>
      <c r="S17"/>
      <c r="T17"/>
    </row>
    <row r="18" spans="1:20" ht="15" customHeight="1" thickBot="1" x14ac:dyDescent="0.2">
      <c r="B18" s="80"/>
      <c r="F18" s="167" t="s">
        <v>205</v>
      </c>
      <c r="G18" s="68">
        <v>0</v>
      </c>
      <c r="H18" s="68">
        <v>0</v>
      </c>
      <c r="I18" s="68">
        <v>0</v>
      </c>
      <c r="J18" s="68">
        <v>0</v>
      </c>
      <c r="K18" s="68">
        <v>1</v>
      </c>
      <c r="L18" s="68">
        <v>0</v>
      </c>
      <c r="M18" s="68">
        <v>1</v>
      </c>
      <c r="N18" s="68">
        <v>0</v>
      </c>
      <c r="O18" s="68">
        <v>1</v>
      </c>
      <c r="P18" s="60">
        <v>0</v>
      </c>
      <c r="Q18" s="68">
        <v>0</v>
      </c>
      <c r="R18" s="61">
        <v>1</v>
      </c>
      <c r="S18"/>
      <c r="T18"/>
    </row>
    <row r="19" spans="1:20" ht="15" customHeight="1" x14ac:dyDescent="0.15">
      <c r="A19" s="70" t="s">
        <v>57</v>
      </c>
      <c r="B19" s="77">
        <v>0.90828155708054459</v>
      </c>
      <c r="C19" s="169" t="s">
        <v>193</v>
      </c>
      <c r="D19" s="72" t="s">
        <v>160</v>
      </c>
      <c r="F19" s="167" t="s">
        <v>206</v>
      </c>
      <c r="G19" s="68">
        <v>0</v>
      </c>
      <c r="H19" s="68">
        <v>0</v>
      </c>
      <c r="I19" s="68">
        <v>0</v>
      </c>
      <c r="J19" s="68">
        <v>0</v>
      </c>
      <c r="K19" s="68">
        <v>1</v>
      </c>
      <c r="L19" s="68">
        <v>0</v>
      </c>
      <c r="M19" s="68">
        <v>1</v>
      </c>
      <c r="N19" s="68">
        <v>0</v>
      </c>
      <c r="O19" s="68">
        <v>1</v>
      </c>
      <c r="P19" s="60">
        <v>0</v>
      </c>
      <c r="Q19" s="68">
        <v>0</v>
      </c>
      <c r="R19" s="61">
        <v>1</v>
      </c>
      <c r="S19"/>
      <c r="T19"/>
    </row>
    <row r="20" spans="1:20" ht="15" customHeight="1" x14ac:dyDescent="0.15">
      <c r="A20" s="108" t="s">
        <v>168</v>
      </c>
      <c r="B20" s="79">
        <v>9.1718442919455495E-2</v>
      </c>
      <c r="C20" s="169" t="s">
        <v>194</v>
      </c>
      <c r="D20" s="72" t="s">
        <v>160</v>
      </c>
      <c r="F20" s="167" t="s">
        <v>207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1</v>
      </c>
      <c r="M20" s="68">
        <v>0</v>
      </c>
      <c r="N20" s="68">
        <v>1</v>
      </c>
      <c r="O20" s="68">
        <v>0</v>
      </c>
      <c r="P20" s="60">
        <v>1</v>
      </c>
      <c r="Q20" s="68">
        <v>0</v>
      </c>
      <c r="R20" s="61">
        <v>1</v>
      </c>
      <c r="S20"/>
      <c r="T20"/>
    </row>
    <row r="21" spans="1:20" ht="15" customHeight="1" x14ac:dyDescent="0.15">
      <c r="B21" s="79"/>
      <c r="C21" s="67"/>
      <c r="D21" s="72" t="s">
        <v>160</v>
      </c>
      <c r="F21" s="167" t="s">
        <v>208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1</v>
      </c>
      <c r="M21" s="68">
        <v>0</v>
      </c>
      <c r="N21" s="68">
        <v>1</v>
      </c>
      <c r="O21" s="68">
        <v>0</v>
      </c>
      <c r="P21" s="60">
        <v>1</v>
      </c>
      <c r="Q21" s="68">
        <v>0</v>
      </c>
      <c r="R21" s="61">
        <v>1</v>
      </c>
      <c r="S21"/>
      <c r="T21"/>
    </row>
    <row r="22" spans="1:20" ht="15" customHeight="1" x14ac:dyDescent="0.15">
      <c r="A22" s="68"/>
      <c r="B22" s="79"/>
      <c r="C22" s="82"/>
      <c r="D22" s="72" t="s">
        <v>160</v>
      </c>
      <c r="F22" s="167" t="s">
        <v>209</v>
      </c>
      <c r="G22" s="68">
        <v>0</v>
      </c>
      <c r="H22" s="68">
        <v>0</v>
      </c>
      <c r="I22" s="68">
        <v>0</v>
      </c>
      <c r="J22" s="68">
        <v>0</v>
      </c>
      <c r="K22" s="68">
        <v>0</v>
      </c>
      <c r="L22" s="68">
        <v>1</v>
      </c>
      <c r="M22" s="68">
        <v>0</v>
      </c>
      <c r="N22" s="68">
        <v>0</v>
      </c>
      <c r="O22" s="68">
        <v>0</v>
      </c>
      <c r="P22" s="60">
        <v>0</v>
      </c>
      <c r="Q22" s="68">
        <v>0</v>
      </c>
      <c r="R22" s="61">
        <v>1</v>
      </c>
      <c r="S22"/>
      <c r="T22"/>
    </row>
    <row r="23" spans="1:20" ht="15" customHeight="1" x14ac:dyDescent="0.15">
      <c r="A23" s="68"/>
      <c r="B23" s="79"/>
      <c r="C23" s="83"/>
      <c r="D23" s="72" t="s">
        <v>160</v>
      </c>
      <c r="F23" s="167" t="s">
        <v>210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1</v>
      </c>
      <c r="M23" s="68">
        <v>0</v>
      </c>
      <c r="N23" s="68">
        <v>0</v>
      </c>
      <c r="O23" s="68">
        <v>0</v>
      </c>
      <c r="P23" s="60">
        <v>0</v>
      </c>
      <c r="Q23" s="68">
        <v>0</v>
      </c>
      <c r="R23" s="61">
        <v>1</v>
      </c>
      <c r="S23"/>
      <c r="T23"/>
    </row>
    <row r="24" spans="1:20" ht="15" customHeight="1" x14ac:dyDescent="0.15">
      <c r="A24" s="68"/>
      <c r="B24" s="79"/>
      <c r="C24" s="83"/>
      <c r="D24" s="72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68"/>
      <c r="B25" s="79"/>
      <c r="C25" s="67"/>
      <c r="D25" s="72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79"/>
      <c r="C26" s="67"/>
      <c r="D26" s="72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79"/>
      <c r="C27" s="67"/>
      <c r="D27" s="72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78"/>
      <c r="C28" s="67"/>
      <c r="D28" s="72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09"/>
      <c r="B31" s="119" t="s">
        <v>17</v>
      </c>
      <c r="C31" s="119" t="s">
        <v>1</v>
      </c>
      <c r="D31" s="119" t="s">
        <v>161</v>
      </c>
      <c r="E31" s="120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0" t="s">
        <v>193</v>
      </c>
      <c r="B32" s="80">
        <v>22.9817</v>
      </c>
      <c r="C32" s="80">
        <v>225.71799999999999</v>
      </c>
      <c r="D32" s="80">
        <v>5187.3833605999998</v>
      </c>
      <c r="E32" s="110">
        <v>0.90828155708054459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0" t="s">
        <v>194</v>
      </c>
      <c r="B33" s="80">
        <v>30.795000000000002</v>
      </c>
      <c r="C33" s="80">
        <v>17.010000000000002</v>
      </c>
      <c r="D33" s="80">
        <v>523.82295000000011</v>
      </c>
      <c r="E33" s="110">
        <v>9.1718442919455495E-2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1"/>
      <c r="B34" s="80"/>
      <c r="C34" s="80"/>
      <c r="D34" s="80"/>
      <c r="E34" s="110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2"/>
      <c r="B35" s="80"/>
      <c r="C35" s="80"/>
      <c r="D35" s="80"/>
      <c r="E35" s="110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3"/>
      <c r="B36" s="80"/>
      <c r="C36" s="80"/>
      <c r="D36" s="80"/>
      <c r="E36" s="110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3"/>
      <c r="B37" s="80"/>
      <c r="C37" s="80"/>
      <c r="D37" s="80"/>
      <c r="E37" s="110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4"/>
      <c r="B38" s="80"/>
      <c r="C38" s="80"/>
      <c r="D38" s="80"/>
      <c r="E38" s="110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4"/>
      <c r="B39" s="80"/>
      <c r="C39" s="80"/>
      <c r="D39" s="80"/>
      <c r="E39" s="110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4"/>
      <c r="B40" s="80"/>
      <c r="C40" s="80"/>
      <c r="D40" s="80"/>
      <c r="E40" s="11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4"/>
      <c r="B41" s="80"/>
      <c r="C41" s="80"/>
      <c r="D41" s="81"/>
      <c r="E41" s="115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6"/>
      <c r="B42" s="117"/>
      <c r="C42" s="117" t="s">
        <v>162</v>
      </c>
      <c r="D42" s="117">
        <f>SUM(D32:D41)</f>
        <v>5711.2063105999996</v>
      </c>
      <c r="E42" s="118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6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6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6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6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6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6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6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6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6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6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6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6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6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6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6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6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6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6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6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6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6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6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6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6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6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6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6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6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6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6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6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6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6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6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6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6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6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6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6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6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6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6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6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6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6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6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6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6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6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6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6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6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6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6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6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6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6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6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6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6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6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6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6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6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6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6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6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6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6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6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6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6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6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6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6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6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6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6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6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6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6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6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6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6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6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6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6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6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6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6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6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6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6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6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6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6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6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6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6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6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6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6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6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6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6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6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6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6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6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6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6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6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6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6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6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6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6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6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6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6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6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6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6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6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6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6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6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6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.5" bestFit="1" customWidth="1"/>
    <col min="2" max="2" width="2.33203125" style="94" customWidth="1"/>
    <col min="3" max="5" width="7.83203125" style="94" customWidth="1"/>
    <col min="6" max="8" width="8.83203125" style="6"/>
    <col min="9" max="9" width="13.1640625" style="6" customWidth="1"/>
    <col min="10" max="10" width="12.83203125" style="6" customWidth="1"/>
    <col min="11" max="11" width="11.33203125" style="6" customWidth="1"/>
    <col min="12" max="12" width="20.6640625" style="6" customWidth="1"/>
    <col min="13" max="13" width="22.1640625" style="6" customWidth="1"/>
    <col min="14" max="14" width="25.5" style="6" customWidth="1"/>
    <col min="15" max="15" width="15.6640625" style="6" customWidth="1"/>
    <col min="16" max="16" width="18.33203125" style="6" customWidth="1"/>
    <col min="17" max="17" width="24.33203125" style="6" customWidth="1"/>
    <col min="18" max="18" width="15.5" style="6" customWidth="1"/>
    <col min="19" max="19" width="16.5" style="6" customWidth="1"/>
    <col min="20" max="20" width="16" style="6" customWidth="1"/>
    <col min="21" max="21" width="14.83203125" style="6" customWidth="1"/>
    <col min="22" max="22" width="8.5" style="6" customWidth="1"/>
    <col min="23" max="23" width="7.6640625" style="6" customWidth="1"/>
    <col min="24" max="24" width="21.6640625" style="6" customWidth="1"/>
    <col min="25" max="25" width="11.5" style="6" customWidth="1"/>
    <col min="26" max="26" width="11.1640625" style="6" customWidth="1"/>
    <col min="27" max="38" width="8.83203125" style="6"/>
    <col min="81" max="81" width="22.1640625" bestFit="1" customWidth="1"/>
  </cols>
  <sheetData>
    <row r="1" spans="1:38" x14ac:dyDescent="0.15">
      <c r="A1" s="4" t="s">
        <v>156</v>
      </c>
      <c r="B1" s="28" t="s">
        <v>157</v>
      </c>
      <c r="C1" s="28" t="s">
        <v>17</v>
      </c>
      <c r="D1" s="28" t="s">
        <v>158</v>
      </c>
      <c r="E1" s="28" t="s">
        <v>159</v>
      </c>
      <c r="F1" t="s">
        <v>38</v>
      </c>
      <c r="G1" t="s">
        <v>40</v>
      </c>
      <c r="H1" t="s">
        <v>41</v>
      </c>
      <c r="I1" s="172" t="s">
        <v>193</v>
      </c>
      <c r="J1" s="172" t="s">
        <v>194</v>
      </c>
      <c r="K1" s="172" t="s">
        <v>195</v>
      </c>
      <c r="L1" s="172" t="s">
        <v>196</v>
      </c>
      <c r="M1" s="172" t="s">
        <v>197</v>
      </c>
      <c r="N1" s="172" t="s">
        <v>198</v>
      </c>
      <c r="O1" s="172" t="s">
        <v>199</v>
      </c>
      <c r="P1" s="172" t="s">
        <v>200</v>
      </c>
      <c r="Q1" s="172" t="s">
        <v>201</v>
      </c>
      <c r="R1" s="172" t="s">
        <v>202</v>
      </c>
      <c r="S1" s="172" t="s">
        <v>203</v>
      </c>
      <c r="T1" s="172" t="s">
        <v>204</v>
      </c>
      <c r="U1" s="172" t="s">
        <v>205</v>
      </c>
      <c r="V1" s="172" t="s">
        <v>206</v>
      </c>
      <c r="W1" s="172" t="s">
        <v>207</v>
      </c>
      <c r="X1" s="172" t="s">
        <v>208</v>
      </c>
      <c r="Y1" s="172" t="s">
        <v>209</v>
      </c>
      <c r="Z1" s="172" t="s">
        <v>210</v>
      </c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1" t="s">
        <v>193</v>
      </c>
      <c r="B5" s="9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1" t="s">
        <v>194</v>
      </c>
      <c r="B6" s="9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1" t="s">
        <v>195</v>
      </c>
      <c r="B7" s="9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1" t="s">
        <v>196</v>
      </c>
      <c r="B8" s="9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1" t="s">
        <v>197</v>
      </c>
      <c r="B9" s="9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1" t="s">
        <v>198</v>
      </c>
      <c r="B10" s="9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1" t="s">
        <v>199</v>
      </c>
      <c r="B11" s="9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1" t="s">
        <v>200</v>
      </c>
      <c r="B12" s="9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1" t="s">
        <v>201</v>
      </c>
      <c r="B13" s="9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1" t="s">
        <v>202</v>
      </c>
      <c r="B14" s="9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1" t="s">
        <v>203</v>
      </c>
      <c r="B15" s="9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1" t="s">
        <v>204</v>
      </c>
      <c r="B16" s="9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1" t="s">
        <v>205</v>
      </c>
      <c r="B17" s="9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1" t="s">
        <v>206</v>
      </c>
      <c r="B18" s="9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1" t="s">
        <v>207</v>
      </c>
      <c r="B19" s="9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1" t="s">
        <v>208</v>
      </c>
      <c r="B20" s="9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1" t="s">
        <v>209</v>
      </c>
      <c r="B21" s="9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1" t="s">
        <v>210</v>
      </c>
      <c r="B22" s="9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2022-10-24T04:59:08Z</dcterms:modified>
</cp:coreProperties>
</file>