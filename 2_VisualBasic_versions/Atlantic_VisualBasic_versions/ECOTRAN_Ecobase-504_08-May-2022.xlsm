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22EB691F-E7CE-5D4D-A84A-A2C17A9537FF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Main!$C$2:$N$37</definedName>
    <definedName name="matDetritus">Detritus!$C$2:$E$37</definedName>
    <definedName name="matDiet">Diets!$B$2:$AF$35</definedName>
    <definedName name="matDiscards">Discards!$C$2:$E$34</definedName>
    <definedName name="matFishery">Fishing!$C$2:$E$34</definedName>
    <definedName name="matFishing">Fishing!#REF!</definedName>
    <definedName name="matMort">Mortalities!$A$1:$AM$34</definedName>
    <definedName name="matOut">MainOutputs!$A$2:$I$37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<sst xmlns="http://schemas.openxmlformats.org/spreadsheetml/2006/main" count="1024" uniqueCount="235">
  <si>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</si>
  <si>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</si>
  <si>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</si>
  <si>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</si>
  <si>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</si>
  <si>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</si>
  <si>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</si>
  <si>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</si>
  <si>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</si>
  <si>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</si>
  <si>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</si>
  <si>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</si>
  <si>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</si>
  <si>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</si>
  <si>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</si>
  <si>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</si>
  <si>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</si>
  <si>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</si>
  <si>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</si>
  <si>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</si>
  <si>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</si>
  <si>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</si>
  <si>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</si>
  <si>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</si>
  <si>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</si>
  <si>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</si>
  <si>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</si>
  <si>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</si>
  <si>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</si>
  <si>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</si>
  <si>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</si>
  <si>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</si>
  <si>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</si>
  <si>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</si>
  <si>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</si>
  <si>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</si>
  <si>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</si>
  <si>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</si>
  <si>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</si>
  <si>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</si>
  <si>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</si>
  <si>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</si>
  <si>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</si>
  <si>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</si>
  <si>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</si>
  <si>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</si>
  <si>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</si>
  <si>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</si>
  <si>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</si>
  <si>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</si>
  <si>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</si>
  <si>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</si>
  <si>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</si>
  <si>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</si>
  <si>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</si>
  <si>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</si>
  <si>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</si>
  <si>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</si>
  <si>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</si>
  <si>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</si>
  <si>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</si>
  <si>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</si>
  <si>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</si>
  <si>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</si>
  <si>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</si>
  <si>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</si>
  <si>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</si>
  <si>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</si>
  <si>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</si>
  <si>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</si>
  <si>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</si>
  <si>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</si>
  <si>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</si>
  <si>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</si>
  <si>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</si>
  <si>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</si>
  <si>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</si>
  <si>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</si>
  <si>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</si>
  <si>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</si>
  <si>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</si>
  <si>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</si>
  <si>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</si>
  <si>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</si>
  <si>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</si>
  <si>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</si>
  <si>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</si>
  <si>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</si>
  <si>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</si>
  <si>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</si>
  <si>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</si>
  <si>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</si>
  <si>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</si>
  <si>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</si>
  <si>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</si>
  <si>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</si>
  <si>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</si>
  <si>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</si>
  <si>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</si>
  <si>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</si>
  <si>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</si>
  <si>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</si>
  <si>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</si>
  <si>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</si>
  <si>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</si>
  <si>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</si>
  <si>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</si>
  <si>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</si>
  <si>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</si>
  <si>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</si>
  <si>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</si>
  <si>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</si>
  <si>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</si>
  <si>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</si>
  <si>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</si>
  <si>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</si>
  <si>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</si>
  <si>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</si>
  <si>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</si>
  <si>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</si>
  <si>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</si>
  <si>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</si>
  <si>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</si>
  <si>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</si>
  <si>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</si>
  <si>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</si>
  <si>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</si>
  <si>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</si>
  <si>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</si>
  <si>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</si>
  <si>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</si>
  <si>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</si>
  <si>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</si>
  <si>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</si>
  <si>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</si>
  <si>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</si>
  <si>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</si>
  <si>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</si>
  <si>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</si>
  <si>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</si>
  <si>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</si>
  <si>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</si>
  <si>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</si>
  <si>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</si>
  <si>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</si>
  <si>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</si>
  <si>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</si>
  <si>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</si>
  <si>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</si>
  <si>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</si>
  <si>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</si>
  <si>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</si>
  <si>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</si>
  <si>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</si>
  <si>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</si>
  <si>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</si>
  <si>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</si>
  <si>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</si>
  <si>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</si>
  <si>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</si>
  <si>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</si>
  <si>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</si>
  <si>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</si>
  <si>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</si>
  <si>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</si>
  <si>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</si>
  <si>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</si>
  <si>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</si>
  <si>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</si>
  <si>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</si>
  <si>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</si>
  <si>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</si>
  <si>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</si>
  <si>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</si>
  <si>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</si>
  <si>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</si>
  <si>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</si>
  <si>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</si>
  <si>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</si>
  <si>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</si>
  <si>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</si>
  <si>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</si>
  <si>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</si>
  <si>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</si>
  <si>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</si>
  <si>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 Benguela</t>
  </si>
  <si>
    <t>South Africa</t>
  </si>
  <si>
    <t>BOX(15.1848308550611 -35.3774889258689,23.5147218631843 -27.0835026203668)</t>
  </si>
  <si>
    <t>upwelling</t>
  </si>
  <si>
    <t>WetWeight</t>
  </si>
  <si>
    <t>; 10/27/2006 9:46:24 AM; 07/01/2011 11:21:23 AM</t>
  </si>
  <si>
    <t>Watermeyer K.E.,Shannon L.J.,Griffiths C.L.(2008). Changes in the trophic structure of the southern Benguela before and after the onset of industrial fishing African Journal of Marine Science. pp 351-382</t>
  </si>
  <si>
    <t>Phytoplankton</t>
  </si>
  <si>
    <t>Benth.producers</t>
  </si>
  <si>
    <t>Microzooplank.</t>
  </si>
  <si>
    <t>Mesozooplank.</t>
  </si>
  <si>
    <t>Macrozooplank.</t>
  </si>
  <si>
    <t>Gelatinous zoo.</t>
  </si>
  <si>
    <t>Anchovy</t>
  </si>
  <si>
    <t>Sardine</t>
  </si>
  <si>
    <t>Redeye</t>
  </si>
  <si>
    <t>Othersmallpel</t>
  </si>
  <si>
    <t>Chubmackerel</t>
  </si>
  <si>
    <t>Juv.hmack.</t>
  </si>
  <si>
    <t>Ad.hmack.</t>
  </si>
  <si>
    <t>Mesopelagics</t>
  </si>
  <si>
    <t>Snoek</t>
  </si>
  <si>
    <t>Otherlargepel</t>
  </si>
  <si>
    <t>Cephalopods</t>
  </si>
  <si>
    <t>SmallM.capens</t>
  </si>
  <si>
    <t>LargeM.capens</t>
  </si>
  <si>
    <t>SmallM.parad</t>
  </si>
  <si>
    <t>LargeM.parad</t>
  </si>
  <si>
    <t>Pelagicdemers</t>
  </si>
  <si>
    <t>Benthicdemers</t>
  </si>
  <si>
    <t>Pelagicchond</t>
  </si>
  <si>
    <t>Benthicchond</t>
  </si>
  <si>
    <t>Apexchond</t>
  </si>
  <si>
    <t>Seals</t>
  </si>
  <si>
    <t>Cetaceans</t>
  </si>
  <si>
    <t>Seabirds</t>
  </si>
  <si>
    <t>Meiobenthos</t>
  </si>
  <si>
    <t>Macrobenthos</t>
  </si>
  <si>
    <t>Detritus</t>
  </si>
  <si>
    <t>detritus_TerminalBenthic</t>
  </si>
  <si>
    <t>Pelagic</t>
  </si>
  <si>
    <t>Demersal</t>
  </si>
  <si>
    <t>Line</t>
  </si>
  <si>
    <t>Import</t>
  </si>
  <si>
    <t>export</t>
  </si>
  <si>
    <t>sum</t>
  </si>
  <si>
    <t>TOTAL</t>
  </si>
  <si>
    <t>F Pelagic</t>
  </si>
  <si>
    <t>F Demersal</t>
  </si>
  <si>
    <t>F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</si>
</sst>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FFD6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7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4" t="s">
        <v>171</v>
      </c>
      <c r="C53" s="108">
        <v>504</v>
      </c>
      <c r="D53" s="108"/>
    </row>
    <row r="54" spans="2:4" x14ac:dyDescent="0.15">
      <c r="B54" s="174" t="s">
        <v>172</v>
      </c>
      <c r="C54" s="174" t="s">
        <v>185</v>
      </c>
      <c r="D54" s="108"/>
    </row>
    <row r="55" spans="2:4" x14ac:dyDescent="0.15">
      <c r="B55" s="174" t="s">
        <v>173</v>
      </c>
      <c r="C55" s="174" t="s">
        <v>186</v>
      </c>
      <c r="D55" s="108"/>
    </row>
    <row r="56" spans="2:4" x14ac:dyDescent="0.15">
      <c r="B56" s="174" t="s">
        <v>174</v>
      </c>
      <c r="C56" s="108">
        <v>220000</v>
      </c>
      <c r="D56" s="108"/>
    </row>
    <row r="57" spans="2:4" x14ac:dyDescent="0.15">
      <c r="B57" s="174" t="s">
        <v>175</v>
      </c>
      <c r="C57" s="174" t="s">
        <v>187</v>
      </c>
      <c r="D57" s="108"/>
    </row>
    <row r="58" spans="2:4" x14ac:dyDescent="0.15">
      <c r="B58" s="174" t="s">
        <v>176</v>
      </c>
      <c r="C58" s="174" t="s">
        <v>188</v>
      </c>
      <c r="D58" s="108"/>
    </row>
    <row r="59" spans="2:4" x14ac:dyDescent="0.15">
      <c r="B59" s="174" t="s">
        <v>177</v>
      </c>
      <c r="C59" s="174" t="s">
        <v>189</v>
      </c>
      <c r="D59" s="108"/>
    </row>
    <row r="60" spans="2:4" x14ac:dyDescent="0.15">
      <c r="B60" s="174" t="s">
        <v>178</v>
      </c>
      <c r="C60" s="174" t="s">
        <v>190</v>
      </c>
      <c r="D60" s="108"/>
    </row>
    <row r="61" spans="2:4" x14ac:dyDescent="0.15">
      <c r="B61" s="174" t="s">
        <v>179</v>
      </c>
      <c r="C61" s="108">
        <v>32</v>
      </c>
      <c r="D61" s="108"/>
    </row>
    <row r="62" spans="2:4" x14ac:dyDescent="0.15">
      <c r="B62" s="174" t="s">
        <v>180</v>
      </c>
      <c r="C62" s="108">
        <v>3</v>
      </c>
      <c r="D62" s="108"/>
    </row>
    <row r="63" spans="2:4" x14ac:dyDescent="0.15">
      <c r="B63" s="174" t="s">
        <v>181</v>
      </c>
      <c r="C63" s="108">
        <v>1600</v>
      </c>
      <c r="D63" s="108"/>
    </row>
    <row r="64" spans="2:4" x14ac:dyDescent="0.15">
      <c r="B64" s="174" t="s">
        <v>182</v>
      </c>
      <c r="C64" s="108">
        <v>1</v>
      </c>
      <c r="D64" s="108"/>
    </row>
    <row r="65" spans="2:4" x14ac:dyDescent="0.15">
      <c r="B65" s="174" t="s">
        <v>183</v>
      </c>
      <c r="C65" s="174" t="s">
        <v>191</v>
      </c>
      <c r="D65" s="108"/>
    </row>
    <row r="66" spans="2:4" x14ac:dyDescent="0.15">
      <c r="B66" s="174" t="s">
        <v>184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3" sqref="P3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.6640625" style="80" bestFit="1" customWidth="1"/>
    <col min="6" max="6" width="2.33203125" style="80" bestFit="1" customWidth="1"/>
    <col min="7" max="7" width="11.83203125" style="80" bestFit="1" customWidth="1"/>
    <col min="8" max="8" width="5.83203125" style="80" customWidth="1"/>
    <col min="9" max="9" width="7.83203125" style="80" customWidth="1"/>
    <col min="10" max="10" width="11.83203125" style="80" customWidth="1"/>
    <col min="11" max="11" width="12.83203125" style="80" customWidth="1"/>
    <col min="12" max="12" width="14.83203125" style="80" customWidth="1"/>
    <col min="13" max="13" width="4.83203125" style="80" customWidth="1"/>
    <col min="14" max="14" width="7.83203125" style="80" bestFit="1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5" t="s">
        <v>192</v>
      </c>
      <c r="F2" s="80">
        <v>1</v>
      </c>
      <c r="G2" s="80">
        <v>76.938000000000002</v>
      </c>
      <c r="H2" s="80">
        <v>154.4</v>
      </c>
      <c r="I2" s="6">
        <v>0</v>
      </c>
      <c r="J2" s="6">
        <v>0.26053896500000001</v>
      </c>
      <c r="K2" s="6">
        <v>0</v>
      </c>
      <c r="L2" s="6">
        <v>0</v>
      </c>
      <c r="M2" s="80">
        <v>0</v>
      </c>
      <c r="N2" s="80">
        <v>0</v>
      </c>
    </row>
    <row r="3" spans="1:46" ht="15" customHeight="1" x14ac:dyDescent="0.15">
      <c r="A3" s="1" t="s">
        <v>9</v>
      </c>
      <c r="B3" s="4">
        <v>31</v>
      </c>
      <c r="C3" s="80">
        <v>2</v>
      </c>
      <c r="D3"/>
      <c r="E3" s="175" t="s">
        <v>193</v>
      </c>
      <c r="F3" s="80">
        <v>1</v>
      </c>
      <c r="G3" s="80">
        <v>6.3806424100000001</v>
      </c>
      <c r="H3" s="80">
        <v>15</v>
      </c>
      <c r="I3" s="80">
        <v>0</v>
      </c>
      <c r="J3" s="80">
        <v>0.5</v>
      </c>
      <c r="K3" s="80">
        <v>0</v>
      </c>
      <c r="L3" s="80">
        <v>0</v>
      </c>
      <c r="M3" s="80">
        <v>0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75" t="s">
        <v>194</v>
      </c>
      <c r="F4" s="80">
        <v>0</v>
      </c>
      <c r="G4" s="80">
        <v>2.405948</v>
      </c>
      <c r="H4" s="80">
        <v>482</v>
      </c>
      <c r="I4" s="80">
        <v>1928</v>
      </c>
      <c r="J4" s="80">
        <v>0.95</v>
      </c>
      <c r="K4" s="80">
        <v>0.25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80">
        <v>4</v>
      </c>
      <c r="D5"/>
      <c r="E5" s="175" t="s">
        <v>195</v>
      </c>
      <c r="F5" s="80">
        <v>0</v>
      </c>
      <c r="G5" s="80">
        <v>10.0930061</v>
      </c>
      <c r="H5" s="80">
        <v>40</v>
      </c>
      <c r="I5" s="80">
        <v>133.333</v>
      </c>
      <c r="J5" s="80">
        <v>0.95</v>
      </c>
      <c r="K5" s="80">
        <v>0.30000075700000001</v>
      </c>
      <c r="L5" s="80">
        <v>0</v>
      </c>
      <c r="M5" s="80">
        <v>0.35</v>
      </c>
      <c r="N5" s="80">
        <v>0</v>
      </c>
      <c r="P5" s="71"/>
      <c r="Q5" s="71"/>
      <c r="R5" s="71"/>
    </row>
    <row r="6" spans="1:46" ht="15" customHeight="1" thickBot="1" x14ac:dyDescent="0.2">
      <c r="B6" s="1"/>
      <c r="C6" s="80">
        <v>5</v>
      </c>
      <c r="D6"/>
      <c r="E6" s="175" t="s">
        <v>196</v>
      </c>
      <c r="F6" s="80">
        <v>0</v>
      </c>
      <c r="G6" s="80">
        <v>17.762994800000001</v>
      </c>
      <c r="H6" s="80">
        <v>13</v>
      </c>
      <c r="I6" s="80">
        <v>31.707000000000001</v>
      </c>
      <c r="J6" s="80">
        <v>0.95</v>
      </c>
      <c r="K6" s="80">
        <v>0.41000407900000002</v>
      </c>
      <c r="L6" s="80">
        <v>0</v>
      </c>
      <c r="M6" s="80">
        <v>0.2</v>
      </c>
      <c r="N6" s="80">
        <v>0</v>
      </c>
      <c r="P6" s="71"/>
      <c r="Q6" s="71"/>
      <c r="R6" s="71"/>
      <c r="W6" s="35" t="s">
        <v>31</v>
      </c>
      <c r="X6" s="51">
        <f>MAX(MainOutputs!G:G)</f>
        <v>0.95000004768371582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267</v>
      </c>
      <c r="C7" s="80">
        <v>6</v>
      </c>
      <c r="D7"/>
      <c r="E7" s="175" t="s">
        <v>197</v>
      </c>
      <c r="F7" s="80">
        <v>0</v>
      </c>
      <c r="G7" s="80">
        <v>5</v>
      </c>
      <c r="H7" s="80">
        <v>0.58399999999999996</v>
      </c>
      <c r="I7" s="80">
        <v>1.669</v>
      </c>
      <c r="J7" s="80">
        <v>0.16649192600000001</v>
      </c>
      <c r="K7" s="80">
        <v>0.3499101</v>
      </c>
      <c r="L7" s="80">
        <v>0</v>
      </c>
      <c r="M7" s="80">
        <v>0.2</v>
      </c>
      <c r="N7" s="80">
        <v>0</v>
      </c>
      <c r="P7" s="71"/>
      <c r="Q7" s="71"/>
      <c r="R7" s="71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34</v>
      </c>
      <c r="C8" s="80">
        <v>7</v>
      </c>
      <c r="D8"/>
      <c r="E8" s="175" t="s">
        <v>198</v>
      </c>
      <c r="F8" s="80">
        <v>0</v>
      </c>
      <c r="G8" s="80">
        <v>9.6158450000000002</v>
      </c>
      <c r="H8" s="80">
        <v>1.4</v>
      </c>
      <c r="I8" s="80">
        <v>14.4</v>
      </c>
      <c r="J8" s="80">
        <v>0.95</v>
      </c>
      <c r="K8" s="80">
        <v>9.7222223900000002E-2</v>
      </c>
      <c r="L8" s="80">
        <v>0</v>
      </c>
      <c r="M8" s="80">
        <v>0.35</v>
      </c>
      <c r="N8" s="80">
        <v>0</v>
      </c>
      <c r="P8" s="71"/>
      <c r="Q8" s="71"/>
      <c r="R8" s="71"/>
    </row>
    <row r="9" spans="1:46" ht="15" customHeight="1" x14ac:dyDescent="0.15">
      <c r="B9" s="1"/>
      <c r="C9" s="80">
        <v>8</v>
      </c>
      <c r="D9"/>
      <c r="E9" s="175" t="s">
        <v>199</v>
      </c>
      <c r="F9" s="80">
        <v>0</v>
      </c>
      <c r="G9" s="80">
        <v>0.95908564299999999</v>
      </c>
      <c r="H9" s="80">
        <v>1.2</v>
      </c>
      <c r="I9" s="80">
        <v>12.371</v>
      </c>
      <c r="J9" s="80">
        <v>0.95</v>
      </c>
      <c r="K9" s="80">
        <v>9.7001050000000005E-2</v>
      </c>
      <c r="L9" s="80">
        <v>0</v>
      </c>
      <c r="M9" s="80">
        <v>0.35</v>
      </c>
      <c r="N9" s="80">
        <v>0</v>
      </c>
      <c r="P9" s="71"/>
      <c r="Q9" s="71"/>
      <c r="R9" s="71"/>
    </row>
    <row r="10" spans="1:46" ht="15" customHeight="1" x14ac:dyDescent="0.15">
      <c r="B10" s="1"/>
      <c r="C10" s="80">
        <v>9</v>
      </c>
      <c r="D10"/>
      <c r="E10" s="175" t="s">
        <v>200</v>
      </c>
      <c r="F10" s="80">
        <v>0</v>
      </c>
      <c r="G10" s="80">
        <v>5.3485800000000001</v>
      </c>
      <c r="H10" s="80">
        <v>1.3</v>
      </c>
      <c r="I10" s="80">
        <v>13</v>
      </c>
      <c r="J10" s="80">
        <v>0.95</v>
      </c>
      <c r="K10" s="80">
        <v>9.9999993999999995E-2</v>
      </c>
      <c r="L10" s="80">
        <v>0</v>
      </c>
      <c r="M10" s="80">
        <v>0.35</v>
      </c>
      <c r="N10" s="80">
        <v>0</v>
      </c>
    </row>
    <row r="11" spans="1:46" ht="15" customHeight="1" x14ac:dyDescent="0.15">
      <c r="C11" s="80">
        <v>10</v>
      </c>
      <c r="D11"/>
      <c r="E11" s="175" t="s">
        <v>201</v>
      </c>
      <c r="F11" s="80">
        <v>0</v>
      </c>
      <c r="G11" s="80">
        <v>0.50785469999999999</v>
      </c>
      <c r="H11" s="80">
        <v>1</v>
      </c>
      <c r="I11" s="80">
        <v>10</v>
      </c>
      <c r="J11" s="80">
        <v>0.95</v>
      </c>
      <c r="K11" s="80">
        <v>0.1</v>
      </c>
      <c r="L11" s="80">
        <v>0</v>
      </c>
      <c r="M11" s="80">
        <v>0.35</v>
      </c>
      <c r="N11" s="80">
        <v>0</v>
      </c>
    </row>
    <row r="12" spans="1:46" ht="15" customHeight="1" x14ac:dyDescent="0.15">
      <c r="C12" s="80">
        <v>11</v>
      </c>
      <c r="D12"/>
      <c r="E12" s="175" t="s">
        <v>202</v>
      </c>
      <c r="F12" s="80">
        <v>0</v>
      </c>
      <c r="G12" s="80">
        <v>0.31684509999999999</v>
      </c>
      <c r="H12" s="80">
        <v>0.8</v>
      </c>
      <c r="I12" s="80">
        <v>8</v>
      </c>
      <c r="J12" s="80">
        <v>0.95</v>
      </c>
      <c r="K12" s="80">
        <v>0.1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5" t="s">
        <v>203</v>
      </c>
      <c r="F13" s="80">
        <v>0</v>
      </c>
      <c r="G13" s="80">
        <v>0.28949534900000001</v>
      </c>
      <c r="H13" s="80">
        <v>1.2</v>
      </c>
      <c r="I13" s="80">
        <v>12</v>
      </c>
      <c r="J13" s="80">
        <v>0.95</v>
      </c>
      <c r="K13" s="80">
        <v>0.1</v>
      </c>
      <c r="L13" s="80">
        <v>0</v>
      </c>
      <c r="M13" s="80">
        <v>0.35</v>
      </c>
      <c r="N13" s="80">
        <v>0</v>
      </c>
    </row>
    <row r="14" spans="1:46" ht="15" customHeight="1" x14ac:dyDescent="0.15">
      <c r="C14" s="80">
        <v>13</v>
      </c>
      <c r="D14"/>
      <c r="E14" s="175" t="s">
        <v>204</v>
      </c>
      <c r="F14" s="80">
        <v>0</v>
      </c>
      <c r="G14" s="80">
        <v>1.7308341300000001</v>
      </c>
      <c r="H14" s="80">
        <v>1.5</v>
      </c>
      <c r="I14" s="80">
        <v>10</v>
      </c>
      <c r="J14" s="80">
        <v>0.95</v>
      </c>
      <c r="K14" s="80">
        <v>0.15</v>
      </c>
      <c r="L14" s="80">
        <v>0</v>
      </c>
      <c r="M14" s="80">
        <v>0.3</v>
      </c>
      <c r="N14" s="80">
        <v>0</v>
      </c>
    </row>
    <row r="15" spans="1:46" ht="15" customHeight="1" x14ac:dyDescent="0.15">
      <c r="C15" s="80">
        <v>14</v>
      </c>
      <c r="D15"/>
      <c r="E15" s="175" t="s">
        <v>205</v>
      </c>
      <c r="F15" s="80">
        <v>0</v>
      </c>
      <c r="G15" s="80">
        <v>10.8766718</v>
      </c>
      <c r="H15" s="80">
        <v>1.2</v>
      </c>
      <c r="I15" s="80">
        <v>12</v>
      </c>
      <c r="J15" s="80">
        <v>0.95</v>
      </c>
      <c r="K15" s="80">
        <v>0.1</v>
      </c>
      <c r="L15" s="80">
        <v>0</v>
      </c>
      <c r="M15" s="80">
        <v>0.35</v>
      </c>
      <c r="N15" s="80">
        <v>0</v>
      </c>
    </row>
    <row r="16" spans="1:46" ht="15" customHeight="1" x14ac:dyDescent="0.15">
      <c r="C16" s="80">
        <v>15</v>
      </c>
      <c r="D16"/>
      <c r="E16" s="175" t="s">
        <v>206</v>
      </c>
      <c r="F16" s="80">
        <v>0</v>
      </c>
      <c r="G16" s="80">
        <v>8.7408189999999997E-2</v>
      </c>
      <c r="H16" s="80">
        <v>0.5</v>
      </c>
      <c r="I16" s="80">
        <v>5</v>
      </c>
      <c r="J16" s="80">
        <v>0.95</v>
      </c>
      <c r="K16" s="80">
        <v>0.1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75" t="s">
        <v>207</v>
      </c>
      <c r="F17" s="80">
        <v>0</v>
      </c>
      <c r="G17" s="80">
        <v>5.9019654999999997E-2</v>
      </c>
      <c r="H17" s="80">
        <v>0.49299999999999999</v>
      </c>
      <c r="I17" s="80">
        <v>4.93</v>
      </c>
      <c r="J17" s="80">
        <v>0.95</v>
      </c>
      <c r="K17" s="80">
        <v>0.1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5" t="s">
        <v>208</v>
      </c>
      <c r="F18" s="80">
        <v>0</v>
      </c>
      <c r="G18" s="80">
        <v>1.6631654499999999</v>
      </c>
      <c r="H18" s="80">
        <v>3.5</v>
      </c>
      <c r="I18" s="80">
        <v>10</v>
      </c>
      <c r="J18" s="80">
        <v>0.95</v>
      </c>
      <c r="K18" s="80">
        <v>0.35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5" t="s">
        <v>209</v>
      </c>
      <c r="F19" s="80">
        <v>0</v>
      </c>
      <c r="G19" s="80">
        <v>0.68367350000000005</v>
      </c>
      <c r="H19" s="80">
        <v>2.5</v>
      </c>
      <c r="I19" s="80">
        <v>16.666</v>
      </c>
      <c r="J19" s="80">
        <v>0.95</v>
      </c>
      <c r="K19" s="80">
        <v>0.150006</v>
      </c>
      <c r="L19" s="80">
        <v>0</v>
      </c>
      <c r="M19" s="80">
        <v>0.35</v>
      </c>
      <c r="N19" s="80">
        <v>0</v>
      </c>
    </row>
    <row r="20" spans="1:22" ht="15" customHeight="1" thickBot="1" x14ac:dyDescent="0.2">
      <c r="C20" s="80">
        <v>19</v>
      </c>
      <c r="D20"/>
      <c r="E20" s="175" t="s">
        <v>210</v>
      </c>
      <c r="F20" s="80">
        <v>0</v>
      </c>
      <c r="G20" s="80">
        <v>1.8340000000000001</v>
      </c>
      <c r="H20" s="80">
        <v>0.8</v>
      </c>
      <c r="I20" s="80">
        <v>4.4000000000000004</v>
      </c>
      <c r="J20" s="80">
        <v>0.29803443000000002</v>
      </c>
      <c r="K20" s="80">
        <v>0.18181818699999999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6" t="s">
        <v>137</v>
      </c>
      <c r="B21" s="98"/>
      <c r="C21" s="80">
        <v>20</v>
      </c>
      <c r="D21"/>
      <c r="E21" s="175" t="s">
        <v>211</v>
      </c>
      <c r="F21" s="80">
        <v>0</v>
      </c>
      <c r="G21" s="80">
        <v>2.3629722599999998</v>
      </c>
      <c r="H21" s="80">
        <v>2.5</v>
      </c>
      <c r="I21" s="80">
        <v>16.666</v>
      </c>
      <c r="J21" s="80">
        <v>0.95</v>
      </c>
      <c r="K21" s="80">
        <v>0.150006</v>
      </c>
      <c r="L21" s="80">
        <v>0</v>
      </c>
      <c r="M21" s="80">
        <v>0.35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5" t="s">
        <v>212</v>
      </c>
      <c r="F22" s="80">
        <v>0</v>
      </c>
      <c r="G22" s="80">
        <v>2.585</v>
      </c>
      <c r="H22" s="80">
        <v>0.8</v>
      </c>
      <c r="I22" s="80">
        <v>4.7</v>
      </c>
      <c r="J22" s="80">
        <v>0.29832053200000003</v>
      </c>
      <c r="K22" s="80">
        <v>0.17021277500000001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5" t="s">
        <v>213</v>
      </c>
      <c r="F23" s="80">
        <v>0</v>
      </c>
      <c r="G23" s="80">
        <v>1.91991019</v>
      </c>
      <c r="H23" s="80">
        <v>0.7</v>
      </c>
      <c r="I23" s="80">
        <v>3.5</v>
      </c>
      <c r="J23" s="80">
        <v>0.95</v>
      </c>
      <c r="K23" s="80">
        <v>0.2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5" t="s">
        <v>214</v>
      </c>
      <c r="F24" s="80">
        <v>0</v>
      </c>
      <c r="G24" s="80">
        <v>4.6724430000000003</v>
      </c>
      <c r="H24" s="80">
        <v>0.7</v>
      </c>
      <c r="I24" s="80">
        <v>3.5</v>
      </c>
      <c r="J24" s="80">
        <v>0.95</v>
      </c>
      <c r="K24" s="80">
        <v>0.2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5" t="s">
        <v>215</v>
      </c>
      <c r="F25" s="80">
        <v>0</v>
      </c>
      <c r="G25" s="80">
        <v>0.52053225000000003</v>
      </c>
      <c r="H25" s="80">
        <v>0.5</v>
      </c>
      <c r="I25" s="80">
        <v>4.5449999999999999</v>
      </c>
      <c r="J25" s="80">
        <v>0.95</v>
      </c>
      <c r="K25" s="80">
        <v>0.110011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5" t="s">
        <v>216</v>
      </c>
      <c r="F26" s="80">
        <v>0</v>
      </c>
      <c r="G26" s="80">
        <v>0.72862213899999995</v>
      </c>
      <c r="H26" s="80">
        <v>1</v>
      </c>
      <c r="I26" s="80">
        <v>10</v>
      </c>
      <c r="J26" s="80">
        <v>0.95</v>
      </c>
      <c r="K26" s="80">
        <v>0.1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75" t="s">
        <v>217</v>
      </c>
      <c r="F27" s="80">
        <v>0</v>
      </c>
      <c r="G27" s="80">
        <v>4.4999999999999998E-2</v>
      </c>
      <c r="H27" s="80">
        <v>0.5</v>
      </c>
      <c r="I27" s="80">
        <v>5</v>
      </c>
      <c r="J27" s="80">
        <v>0</v>
      </c>
      <c r="K27" s="80">
        <v>0.1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75" t="s">
        <v>218</v>
      </c>
      <c r="F28" s="80">
        <v>0</v>
      </c>
      <c r="G28" s="80">
        <v>0.13300000000000001</v>
      </c>
      <c r="H28" s="80">
        <v>0.25</v>
      </c>
      <c r="I28" s="80">
        <v>19.306000000000001</v>
      </c>
      <c r="J28" s="80">
        <v>0.4619549</v>
      </c>
      <c r="K28" s="80">
        <v>1.29493419E-2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75" t="s">
        <v>219</v>
      </c>
      <c r="F29" s="80">
        <v>0</v>
      </c>
      <c r="G29" s="80">
        <v>0.22006500000000001</v>
      </c>
      <c r="H29" s="80">
        <v>0.15</v>
      </c>
      <c r="I29" s="80">
        <v>10</v>
      </c>
      <c r="J29" s="80">
        <v>0.27264672499999998</v>
      </c>
      <c r="K29" s="80">
        <v>1.5000000600000001E-2</v>
      </c>
      <c r="L29" s="80">
        <v>0</v>
      </c>
      <c r="M29" s="80">
        <v>0.21</v>
      </c>
      <c r="N29" s="80">
        <v>0</v>
      </c>
    </row>
    <row r="30" spans="1:22" customFormat="1" ht="15" customHeight="1" x14ac:dyDescent="0.15">
      <c r="C30" s="80">
        <v>29</v>
      </c>
      <c r="E30" s="175" t="s">
        <v>220</v>
      </c>
      <c r="F30" s="80">
        <v>0</v>
      </c>
      <c r="G30" s="80">
        <v>3.5000000000000003E-2</v>
      </c>
      <c r="H30" s="80">
        <v>0.123</v>
      </c>
      <c r="I30" s="80">
        <v>123</v>
      </c>
      <c r="J30" s="80">
        <v>9.9999993999999995E-2</v>
      </c>
      <c r="K30" s="80">
        <v>1E-3</v>
      </c>
      <c r="L30" s="80">
        <v>0</v>
      </c>
      <c r="M30" s="80">
        <v>0.26</v>
      </c>
      <c r="N30" s="80">
        <v>0</v>
      </c>
    </row>
    <row r="31" spans="1:22" customFormat="1" ht="15" customHeight="1" x14ac:dyDescent="0.15">
      <c r="C31" s="80">
        <v>30</v>
      </c>
      <c r="E31" s="175" t="s">
        <v>221</v>
      </c>
      <c r="F31" s="80">
        <v>0</v>
      </c>
      <c r="G31" s="80">
        <v>11.8893957</v>
      </c>
      <c r="H31" s="80">
        <v>4</v>
      </c>
      <c r="I31" s="80">
        <v>33</v>
      </c>
      <c r="J31" s="80">
        <v>0.95</v>
      </c>
      <c r="K31" s="80">
        <v>0.121212125</v>
      </c>
      <c r="L31" s="80">
        <v>0</v>
      </c>
      <c r="M31" s="80">
        <v>0.1</v>
      </c>
      <c r="N31" s="80">
        <v>0</v>
      </c>
    </row>
    <row r="32" spans="1:22" customFormat="1" ht="15" customHeight="1" x14ac:dyDescent="0.15">
      <c r="C32" s="80">
        <v>31</v>
      </c>
      <c r="E32" s="175" t="s">
        <v>222</v>
      </c>
      <c r="F32" s="80">
        <v>0</v>
      </c>
      <c r="G32" s="80">
        <v>56.474632300000003</v>
      </c>
      <c r="H32" s="80">
        <v>1.2</v>
      </c>
      <c r="I32" s="80">
        <v>10</v>
      </c>
      <c r="J32" s="80">
        <v>0.95</v>
      </c>
      <c r="K32" s="80">
        <v>0.12000000500000001</v>
      </c>
      <c r="L32" s="80">
        <v>0</v>
      </c>
      <c r="M32" s="80">
        <v>0.1</v>
      </c>
      <c r="N32" s="80">
        <v>0</v>
      </c>
    </row>
    <row r="33" spans="3:14" customFormat="1" ht="15" customHeight="1" x14ac:dyDescent="0.15">
      <c r="C33" s="80">
        <v>32</v>
      </c>
      <c r="E33" s="175" t="s">
        <v>223</v>
      </c>
      <c r="F33" s="80">
        <v>2</v>
      </c>
      <c r="G33" s="80">
        <v>0</v>
      </c>
      <c r="H33" s="80">
        <v>0</v>
      </c>
      <c r="I33" s="80">
        <v>0</v>
      </c>
      <c r="J33" s="80">
        <v>0.31537172200000002</v>
      </c>
      <c r="K33" s="80">
        <v>0</v>
      </c>
      <c r="L33" s="80">
        <v>9.0009003199999996E-4</v>
      </c>
      <c r="M33" s="80">
        <v>0</v>
      </c>
      <c r="N33" s="80">
        <v>0</v>
      </c>
    </row>
    <row r="34" spans="3:14" customFormat="1" ht="15" customHeight="1" x14ac:dyDescent="0.15">
      <c r="C34" s="80">
        <v>33</v>
      </c>
      <c r="E34" s="175" t="s">
        <v>224</v>
      </c>
      <c r="F34" s="80">
        <v>2</v>
      </c>
      <c r="G34" s="80">
        <v>5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0</v>
      </c>
      <c r="N34" s="80">
        <v>0</v>
      </c>
    </row>
    <row r="35" spans="3:14" customFormat="1" ht="15" customHeight="1" x14ac:dyDescent="0.15">
      <c r="C35" s="80">
        <v>34</v>
      </c>
      <c r="E35" s="175" t="s">
        <v>225</v>
      </c>
      <c r="F35" s="80">
        <v>3</v>
      </c>
      <c r="G35" s="80">
        <v>0</v>
      </c>
      <c r="H35" s="80">
        <v>0</v>
      </c>
      <c r="I35" s="80">
        <v>0</v>
      </c>
      <c r="J35" s="80">
        <v>0</v>
      </c>
      <c r="K35" s="80">
        <v>0</v>
      </c>
      <c r="L35" s="80">
        <v>0</v>
      </c>
      <c r="M35" s="80">
        <v>0</v>
      </c>
      <c r="N35" s="80">
        <v>0</v>
      </c>
    </row>
    <row r="36" spans="3:14" customFormat="1" ht="15" customHeight="1" x14ac:dyDescent="0.15">
      <c r="C36" s="80">
        <v>35</v>
      </c>
      <c r="E36" s="175" t="s">
        <v>226</v>
      </c>
      <c r="F36" s="80">
        <v>3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</row>
    <row r="37" spans="3:14" customFormat="1" ht="15" customHeight="1" x14ac:dyDescent="0.15">
      <c r="C37" s="80">
        <v>36</v>
      </c>
      <c r="E37" s="175" t="s">
        <v>227</v>
      </c>
      <c r="F37" s="80">
        <v>3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0</v>
      </c>
      <c r="M37" s="80">
        <v>0</v>
      </c>
      <c r="N37" s="80">
        <v>0</v>
      </c>
    </row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2" bestFit="1" customWidth="1"/>
    <col min="2" max="3" width="2.33203125" style="142" bestFit="1" customWidth="1"/>
    <col min="4" max="4" width="4.83203125" style="142" bestFit="1" customWidth="1"/>
    <col min="5" max="5" width="3.83203125" style="142" bestFit="1" customWidth="1"/>
    <col min="6" max="6" width="5.83203125" style="142" bestFit="1" customWidth="1"/>
    <col min="7" max="9" width="4.83203125" style="142" bestFit="1" customWidth="1"/>
    <col min="10" max="10" width="3.83203125" style="142" bestFit="1" customWidth="1"/>
    <col min="11" max="13" width="4.83203125" style="142" bestFit="1" customWidth="1"/>
    <col min="14" max="14" width="5.83203125" style="142" bestFit="1" customWidth="1"/>
    <col min="15" max="15" width="3.83203125" style="142" bestFit="1" customWidth="1"/>
    <col min="16" max="16" width="15.83203125" style="142" bestFit="1" customWidth="1"/>
    <col min="17" max="20" width="5.83203125" style="142" bestFit="1" customWidth="1"/>
    <col min="21" max="23" width="13.83203125" style="142" bestFit="1" customWidth="1"/>
    <col min="24" max="28" width="5.83203125" style="142" bestFit="1" customWidth="1"/>
    <col min="29" max="29" width="14.83203125" style="142" bestFit="1" customWidth="1"/>
    <col min="30" max="30" width="13.83203125" style="142" customWidth="1"/>
    <col min="31" max="32" width="4.83203125" style="142" customWidth="1"/>
    <col min="33" max="34" width="2.33203125" style="142" customWidth="1"/>
    <col min="35" max="16384" width="8.83203125" style="142"/>
  </cols>
  <sheetData>
    <row r="1" spans="1:34" x14ac:dyDescent="0.15">
      <c r="A1" s="141" t="s">
        <v>19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</row>
    <row r="2" spans="1:34" customFormat="1" x14ac:dyDescent="0.15">
      <c r="A2" s="176" t="s">
        <v>192</v>
      </c>
      <c r="B2" s="142">
        <v>0</v>
      </c>
      <c r="C2" s="142">
        <v>0</v>
      </c>
      <c r="D2" s="142">
        <v>0.4</v>
      </c>
      <c r="E2" s="142">
        <v>0.5</v>
      </c>
      <c r="F2" s="142">
        <v>0.33300000000000002</v>
      </c>
      <c r="G2" s="142">
        <v>0</v>
      </c>
      <c r="H2" s="142">
        <v>0.05</v>
      </c>
      <c r="I2" s="142">
        <v>0.32</v>
      </c>
      <c r="J2" s="142">
        <v>0</v>
      </c>
      <c r="K2" s="142">
        <v>0</v>
      </c>
      <c r="L2" s="142">
        <v>0</v>
      </c>
      <c r="M2" s="142">
        <v>0</v>
      </c>
      <c r="N2" s="142">
        <v>0</v>
      </c>
      <c r="O2" s="142">
        <v>0</v>
      </c>
      <c r="P2" s="142">
        <v>0</v>
      </c>
      <c r="Q2" s="142">
        <v>0</v>
      </c>
      <c r="R2" s="142">
        <v>0</v>
      </c>
      <c r="S2" s="142">
        <v>0</v>
      </c>
      <c r="T2" s="142">
        <v>0</v>
      </c>
      <c r="U2" s="142">
        <v>0</v>
      </c>
      <c r="V2" s="142">
        <v>0</v>
      </c>
      <c r="W2" s="142">
        <v>0</v>
      </c>
      <c r="X2" s="142">
        <v>0</v>
      </c>
      <c r="Y2" s="142">
        <v>0</v>
      </c>
      <c r="Z2" s="142">
        <v>0</v>
      </c>
      <c r="AA2" s="142">
        <v>0</v>
      </c>
      <c r="AB2" s="142">
        <v>0</v>
      </c>
      <c r="AC2" s="142">
        <v>0</v>
      </c>
      <c r="AD2" s="142">
        <v>0</v>
      </c>
      <c r="AE2" s="142">
        <v>0</v>
      </c>
      <c r="AF2" s="142">
        <v>0</v>
      </c>
      <c r="AG2" s="142">
        <v>0</v>
      </c>
      <c r="AH2" s="142">
        <v>0</v>
      </c>
    </row>
    <row r="3" spans="1:34" customFormat="1" x14ac:dyDescent="0.15">
      <c r="A3" s="176" t="s">
        <v>193</v>
      </c>
      <c r="B3" s="142">
        <v>0</v>
      </c>
      <c r="C3" s="142">
        <v>0</v>
      </c>
      <c r="D3" s="142">
        <v>0</v>
      </c>
      <c r="E3" s="142">
        <v>0</v>
      </c>
      <c r="F3" s="142">
        <v>0</v>
      </c>
      <c r="G3" s="142">
        <v>0</v>
      </c>
      <c r="H3" s="142">
        <v>0</v>
      </c>
      <c r="I3" s="142">
        <v>0</v>
      </c>
      <c r="J3" s="142">
        <v>0</v>
      </c>
      <c r="K3" s="142">
        <v>0</v>
      </c>
      <c r="L3" s="142">
        <v>0</v>
      </c>
      <c r="M3" s="142">
        <v>0</v>
      </c>
      <c r="N3" s="142">
        <v>0</v>
      </c>
      <c r="O3" s="142">
        <v>0</v>
      </c>
      <c r="P3" s="142">
        <v>0</v>
      </c>
      <c r="Q3" s="142">
        <v>0</v>
      </c>
      <c r="R3" s="142">
        <v>0</v>
      </c>
      <c r="S3" s="142">
        <v>0</v>
      </c>
      <c r="T3" s="142">
        <v>0</v>
      </c>
      <c r="U3" s="142">
        <v>0</v>
      </c>
      <c r="V3" s="142">
        <v>0</v>
      </c>
      <c r="W3" s="142">
        <v>0</v>
      </c>
      <c r="X3" s="142">
        <v>0</v>
      </c>
      <c r="Y3" s="142">
        <v>0</v>
      </c>
      <c r="Z3" s="142">
        <v>0</v>
      </c>
      <c r="AA3" s="142">
        <v>0</v>
      </c>
      <c r="AB3" s="142">
        <v>0</v>
      </c>
      <c r="AC3" s="142">
        <v>0</v>
      </c>
      <c r="AD3" s="142">
        <v>0</v>
      </c>
      <c r="AE3" s="142">
        <v>0.05</v>
      </c>
      <c r="AF3" s="142">
        <v>0.05</v>
      </c>
      <c r="AG3" s="142">
        <v>0</v>
      </c>
      <c r="AH3" s="142">
        <v>0</v>
      </c>
    </row>
    <row r="4" spans="1:34" customFormat="1" x14ac:dyDescent="0.15">
      <c r="A4" s="176" t="s">
        <v>194</v>
      </c>
      <c r="B4" s="142">
        <v>0</v>
      </c>
      <c r="C4" s="142">
        <v>0</v>
      </c>
      <c r="D4" s="142">
        <v>0.05</v>
      </c>
      <c r="E4" s="142">
        <v>0.5</v>
      </c>
      <c r="F4" s="142">
        <v>0.33300000000000002</v>
      </c>
      <c r="G4" s="142">
        <v>0</v>
      </c>
      <c r="H4" s="142">
        <v>0.04</v>
      </c>
      <c r="I4" s="142">
        <v>0.32</v>
      </c>
      <c r="J4" s="142">
        <v>0</v>
      </c>
      <c r="K4" s="142">
        <v>0</v>
      </c>
      <c r="L4" s="142">
        <v>0</v>
      </c>
      <c r="M4" s="142">
        <v>0</v>
      </c>
      <c r="N4" s="142">
        <v>0</v>
      </c>
      <c r="O4" s="142">
        <v>0</v>
      </c>
      <c r="P4" s="142">
        <v>0</v>
      </c>
      <c r="Q4" s="142">
        <v>0</v>
      </c>
      <c r="R4" s="142">
        <v>0</v>
      </c>
      <c r="S4" s="142">
        <v>0</v>
      </c>
      <c r="T4" s="142">
        <v>0</v>
      </c>
      <c r="U4" s="142">
        <v>0</v>
      </c>
      <c r="V4" s="142">
        <v>0</v>
      </c>
      <c r="W4" s="142">
        <v>0</v>
      </c>
      <c r="X4" s="142">
        <v>0</v>
      </c>
      <c r="Y4" s="142">
        <v>0</v>
      </c>
      <c r="Z4" s="142">
        <v>0</v>
      </c>
      <c r="AA4" s="142">
        <v>0</v>
      </c>
      <c r="AB4" s="142">
        <v>0</v>
      </c>
      <c r="AC4" s="142">
        <v>0</v>
      </c>
      <c r="AD4" s="142">
        <v>0</v>
      </c>
      <c r="AE4" s="142">
        <v>0</v>
      </c>
      <c r="AF4" s="142">
        <v>0</v>
      </c>
      <c r="AG4" s="142">
        <v>0</v>
      </c>
      <c r="AH4" s="142">
        <v>0</v>
      </c>
    </row>
    <row r="5" spans="1:34" customFormat="1" x14ac:dyDescent="0.15">
      <c r="A5" s="176" t="s">
        <v>195</v>
      </c>
      <c r="B5" s="142">
        <v>0</v>
      </c>
      <c r="C5" s="142">
        <v>0</v>
      </c>
      <c r="D5" s="142">
        <v>0</v>
      </c>
      <c r="E5" s="142">
        <v>0</v>
      </c>
      <c r="F5" s="142">
        <v>0.33400000000000002</v>
      </c>
      <c r="G5" s="142">
        <v>0.64</v>
      </c>
      <c r="H5" s="142">
        <v>0.56999999999999995</v>
      </c>
      <c r="I5" s="142">
        <v>0.28999999999999998</v>
      </c>
      <c r="J5" s="142">
        <v>0.6</v>
      </c>
      <c r="K5" s="142">
        <v>0.81</v>
      </c>
      <c r="L5" s="142">
        <v>0.01</v>
      </c>
      <c r="M5" s="142">
        <v>0.75</v>
      </c>
      <c r="N5" s="142">
        <v>0.39</v>
      </c>
      <c r="O5" s="142">
        <v>0.4</v>
      </c>
      <c r="P5" s="142">
        <v>0</v>
      </c>
      <c r="Q5" s="142">
        <v>0</v>
      </c>
      <c r="R5" s="142">
        <v>0</v>
      </c>
      <c r="S5" s="142">
        <v>0</v>
      </c>
      <c r="T5" s="142">
        <v>0</v>
      </c>
      <c r="U5" s="142">
        <v>0</v>
      </c>
      <c r="V5" s="142">
        <v>0</v>
      </c>
      <c r="W5" s="142">
        <v>9.9990000999900016E-3</v>
      </c>
      <c r="X5" s="142">
        <v>0.01</v>
      </c>
      <c r="Y5" s="142">
        <v>0</v>
      </c>
      <c r="Z5" s="142">
        <v>0</v>
      </c>
      <c r="AA5" s="142">
        <v>0</v>
      </c>
      <c r="AB5" s="142">
        <v>0</v>
      </c>
      <c r="AC5" s="142">
        <v>1.0038339598466414E-2</v>
      </c>
      <c r="AD5" s="142">
        <v>8.9991000899910002E-3</v>
      </c>
      <c r="AE5" s="142">
        <v>0</v>
      </c>
      <c r="AF5" s="142">
        <v>0</v>
      </c>
      <c r="AG5" s="142">
        <v>0</v>
      </c>
      <c r="AH5" s="142">
        <v>0</v>
      </c>
    </row>
    <row r="6" spans="1:34" customFormat="1" x14ac:dyDescent="0.15">
      <c r="A6" s="176" t="s">
        <v>196</v>
      </c>
      <c r="B6" s="142">
        <v>0</v>
      </c>
      <c r="C6" s="142">
        <v>0</v>
      </c>
      <c r="D6" s="142">
        <v>0</v>
      </c>
      <c r="E6" s="142">
        <v>0</v>
      </c>
      <c r="F6" s="142">
        <v>0</v>
      </c>
      <c r="G6" s="142">
        <v>0.12</v>
      </c>
      <c r="H6" s="142">
        <v>0.34</v>
      </c>
      <c r="I6" s="142">
        <v>7.0000000000000007E-2</v>
      </c>
      <c r="J6" s="142">
        <v>0.4</v>
      </c>
      <c r="K6" s="142">
        <v>0.16</v>
      </c>
      <c r="L6" s="142">
        <v>0.8</v>
      </c>
      <c r="M6" s="142">
        <v>0.25</v>
      </c>
      <c r="N6" s="142">
        <v>0.52</v>
      </c>
      <c r="O6" s="142">
        <v>0.6</v>
      </c>
      <c r="P6" s="142">
        <v>0.16999830001699978</v>
      </c>
      <c r="Q6" s="142">
        <v>8.299999999999999E-2</v>
      </c>
      <c r="R6" s="142">
        <v>0.27</v>
      </c>
      <c r="S6" s="142">
        <v>0.61599999999999999</v>
      </c>
      <c r="T6" s="142">
        <v>4.5999999999999999E-2</v>
      </c>
      <c r="U6" s="142">
        <v>0.79884023195360931</v>
      </c>
      <c r="V6" s="142">
        <v>0.20997900209979001</v>
      </c>
      <c r="W6" s="142">
        <v>0.6479352064793521</v>
      </c>
      <c r="X6" s="142">
        <v>0.05</v>
      </c>
      <c r="Y6" s="142">
        <v>0</v>
      </c>
      <c r="Z6" s="142">
        <v>0</v>
      </c>
      <c r="AA6" s="142">
        <v>0</v>
      </c>
      <c r="AB6" s="142">
        <v>0</v>
      </c>
      <c r="AC6" s="142">
        <v>1.3384449464622019E-2</v>
      </c>
      <c r="AD6" s="142">
        <v>9.9990000999900019E-2</v>
      </c>
      <c r="AE6" s="142">
        <v>0</v>
      </c>
      <c r="AF6" s="142">
        <v>0</v>
      </c>
      <c r="AG6" s="142">
        <v>0</v>
      </c>
      <c r="AH6" s="142">
        <v>0</v>
      </c>
    </row>
    <row r="7" spans="1:34" customFormat="1" x14ac:dyDescent="0.15">
      <c r="A7" s="176" t="s">
        <v>197</v>
      </c>
      <c r="B7" s="142">
        <v>0</v>
      </c>
      <c r="C7" s="142">
        <v>0</v>
      </c>
      <c r="D7" s="142">
        <v>0</v>
      </c>
      <c r="E7" s="142">
        <v>0</v>
      </c>
      <c r="F7" s="142">
        <v>0</v>
      </c>
      <c r="G7" s="142">
        <v>0.04</v>
      </c>
      <c r="H7" s="142">
        <v>0</v>
      </c>
      <c r="I7" s="142">
        <v>0</v>
      </c>
      <c r="J7" s="142">
        <v>0</v>
      </c>
      <c r="K7" s="142">
        <v>0.03</v>
      </c>
      <c r="L7" s="142">
        <v>0</v>
      </c>
      <c r="M7" s="142">
        <v>0</v>
      </c>
      <c r="N7" s="142">
        <v>0</v>
      </c>
      <c r="O7" s="142">
        <v>0</v>
      </c>
      <c r="P7" s="142">
        <v>0</v>
      </c>
      <c r="Q7" s="142">
        <v>0</v>
      </c>
      <c r="R7" s="142">
        <v>0</v>
      </c>
      <c r="S7" s="142">
        <v>0</v>
      </c>
      <c r="T7" s="142">
        <v>0</v>
      </c>
      <c r="U7" s="142">
        <v>0</v>
      </c>
      <c r="V7" s="142">
        <v>0</v>
      </c>
      <c r="W7" s="142">
        <v>0</v>
      </c>
      <c r="X7" s="142">
        <v>0</v>
      </c>
      <c r="Y7" s="142">
        <v>0</v>
      </c>
      <c r="Z7" s="142">
        <v>0</v>
      </c>
      <c r="AA7" s="142">
        <v>0</v>
      </c>
      <c r="AB7" s="142">
        <v>0</v>
      </c>
      <c r="AC7" s="142">
        <v>0</v>
      </c>
      <c r="AD7" s="142">
        <v>0</v>
      </c>
      <c r="AE7" s="142">
        <v>0</v>
      </c>
      <c r="AF7" s="142">
        <v>0</v>
      </c>
      <c r="AG7" s="142">
        <v>0</v>
      </c>
      <c r="AH7" s="142">
        <v>0</v>
      </c>
    </row>
    <row r="8" spans="1:34" customFormat="1" x14ac:dyDescent="0.15">
      <c r="A8" s="176" t="s">
        <v>198</v>
      </c>
      <c r="B8" s="142">
        <v>0</v>
      </c>
      <c r="C8" s="142">
        <v>0</v>
      </c>
      <c r="D8" s="142">
        <v>0</v>
      </c>
      <c r="E8" s="142">
        <v>0</v>
      </c>
      <c r="F8" s="142">
        <v>0</v>
      </c>
      <c r="G8" s="142">
        <v>0</v>
      </c>
      <c r="H8" s="142">
        <v>0</v>
      </c>
      <c r="I8" s="142">
        <v>0</v>
      </c>
      <c r="J8" s="142">
        <v>0</v>
      </c>
      <c r="K8" s="142">
        <v>0</v>
      </c>
      <c r="L8" s="142">
        <v>0.02</v>
      </c>
      <c r="M8" s="142">
        <v>0</v>
      </c>
      <c r="N8" s="142">
        <v>2.4E-2</v>
      </c>
      <c r="O8" s="142">
        <v>0</v>
      </c>
      <c r="P8" s="142">
        <v>0.47699523004769939</v>
      </c>
      <c r="Q8" s="142">
        <v>0.24999999999999994</v>
      </c>
      <c r="R8" s="142">
        <v>0.05</v>
      </c>
      <c r="S8" s="142">
        <v>0.18</v>
      </c>
      <c r="T8" s="142">
        <v>0.29899999999999999</v>
      </c>
      <c r="U8" s="142">
        <v>8.3983203359328143E-2</v>
      </c>
      <c r="V8" s="142">
        <v>1.9998000199980001E-3</v>
      </c>
      <c r="W8" s="142">
        <v>1.9998000199980001E-3</v>
      </c>
      <c r="X8" s="142">
        <v>5.0000000000000001E-3</v>
      </c>
      <c r="Y8" s="142">
        <v>1.9999999999999997E-2</v>
      </c>
      <c r="Z8" s="142">
        <v>0</v>
      </c>
      <c r="AA8" s="142">
        <v>0</v>
      </c>
      <c r="AB8" s="142">
        <v>0.25</v>
      </c>
      <c r="AC8" s="142">
        <v>0.41245068350197256</v>
      </c>
      <c r="AD8" s="142">
        <v>0.39996000399960008</v>
      </c>
      <c r="AE8" s="142">
        <v>0</v>
      </c>
      <c r="AF8" s="142">
        <v>0</v>
      </c>
      <c r="AG8" s="142">
        <v>0</v>
      </c>
      <c r="AH8" s="142">
        <v>0</v>
      </c>
    </row>
    <row r="9" spans="1:34" customFormat="1" x14ac:dyDescent="0.15">
      <c r="A9" s="176" t="s">
        <v>199</v>
      </c>
      <c r="B9" s="142">
        <v>0</v>
      </c>
      <c r="C9" s="142">
        <v>0</v>
      </c>
      <c r="D9" s="142">
        <v>0</v>
      </c>
      <c r="E9" s="142">
        <v>0</v>
      </c>
      <c r="F9" s="142">
        <v>0</v>
      </c>
      <c r="G9" s="142">
        <v>0</v>
      </c>
      <c r="H9" s="142">
        <v>0</v>
      </c>
      <c r="I9" s="142">
        <v>0</v>
      </c>
      <c r="J9" s="142">
        <v>0</v>
      </c>
      <c r="K9" s="142">
        <v>0</v>
      </c>
      <c r="L9" s="142">
        <v>0.01</v>
      </c>
      <c r="M9" s="142">
        <v>0</v>
      </c>
      <c r="N9" s="142">
        <v>0.01</v>
      </c>
      <c r="O9" s="142">
        <v>0</v>
      </c>
      <c r="P9" s="142">
        <v>2.9999700002999959E-2</v>
      </c>
      <c r="Q9" s="142">
        <v>0.14999999999999997</v>
      </c>
      <c r="R9" s="142">
        <v>1E-3</v>
      </c>
      <c r="S9" s="142">
        <v>0.01</v>
      </c>
      <c r="T9" s="142">
        <v>1E-3</v>
      </c>
      <c r="U9" s="142">
        <v>4.9990001999600086E-3</v>
      </c>
      <c r="V9" s="142">
        <v>9.9990000999900015E-5</v>
      </c>
      <c r="W9" s="142">
        <v>9.9990000999900015E-5</v>
      </c>
      <c r="X9" s="142">
        <v>0</v>
      </c>
      <c r="Y9" s="142">
        <v>9.9999999999999985E-3</v>
      </c>
      <c r="Z9" s="142">
        <v>0</v>
      </c>
      <c r="AA9" s="142">
        <v>0</v>
      </c>
      <c r="AB9" s="142">
        <v>0.03</v>
      </c>
      <c r="AC9" s="142">
        <v>8.3973156641073729E-2</v>
      </c>
      <c r="AD9" s="142">
        <v>4.999500049995001E-2</v>
      </c>
      <c r="AE9" s="142">
        <v>0</v>
      </c>
      <c r="AF9" s="142">
        <v>0</v>
      </c>
      <c r="AG9" s="142">
        <v>0</v>
      </c>
      <c r="AH9" s="142">
        <v>0</v>
      </c>
    </row>
    <row r="10" spans="1:34" customFormat="1" x14ac:dyDescent="0.15">
      <c r="A10" s="176" t="s">
        <v>200</v>
      </c>
      <c r="B10" s="142">
        <v>0</v>
      </c>
      <c r="C10" s="142">
        <v>0</v>
      </c>
      <c r="D10" s="142">
        <v>0</v>
      </c>
      <c r="E10" s="142">
        <v>0</v>
      </c>
      <c r="F10" s="142">
        <v>0</v>
      </c>
      <c r="G10" s="142">
        <v>0</v>
      </c>
      <c r="H10" s="142">
        <v>0</v>
      </c>
      <c r="I10" s="142">
        <v>0</v>
      </c>
      <c r="J10" s="142">
        <v>0</v>
      </c>
      <c r="K10" s="142">
        <v>0</v>
      </c>
      <c r="L10" s="142">
        <v>0.01</v>
      </c>
      <c r="M10" s="142">
        <v>0</v>
      </c>
      <c r="N10" s="142">
        <v>5.6000000000000001E-2</v>
      </c>
      <c r="O10" s="142">
        <v>0</v>
      </c>
      <c r="P10" s="142">
        <v>5.9999400005999917E-2</v>
      </c>
      <c r="Q10" s="142">
        <v>2.9999999999999992E-2</v>
      </c>
      <c r="R10" s="142">
        <v>0.05</v>
      </c>
      <c r="S10" s="142">
        <v>3.1E-2</v>
      </c>
      <c r="T10" s="142">
        <v>8.6999999999999994E-2</v>
      </c>
      <c r="U10" s="142">
        <v>4.9990001999600082E-2</v>
      </c>
      <c r="V10" s="142">
        <v>2.7997200279972004E-2</v>
      </c>
      <c r="W10" s="142">
        <v>0.10998900109989002</v>
      </c>
      <c r="X10" s="142">
        <v>2.5000000000000001E-2</v>
      </c>
      <c r="Y10" s="142">
        <v>4.8999999999999988E-2</v>
      </c>
      <c r="Z10" s="142">
        <v>0</v>
      </c>
      <c r="AA10" s="142">
        <v>0</v>
      </c>
      <c r="AB10" s="142">
        <v>3.0000000000000001E-3</v>
      </c>
      <c r="AC10" s="142">
        <v>1.0038339598466414E-2</v>
      </c>
      <c r="AD10" s="142">
        <v>1.9998000199980003E-2</v>
      </c>
      <c r="AE10" s="142">
        <v>0</v>
      </c>
      <c r="AF10" s="142">
        <v>0</v>
      </c>
      <c r="AG10" s="142">
        <v>0</v>
      </c>
      <c r="AH10" s="142">
        <v>0</v>
      </c>
    </row>
    <row r="11" spans="1:34" customFormat="1" x14ac:dyDescent="0.15">
      <c r="A11" s="176" t="s">
        <v>201</v>
      </c>
      <c r="B11" s="142">
        <v>0</v>
      </c>
      <c r="C11" s="142">
        <v>0</v>
      </c>
      <c r="D11" s="142">
        <v>0</v>
      </c>
      <c r="E11" s="142">
        <v>0</v>
      </c>
      <c r="F11" s="142">
        <v>0</v>
      </c>
      <c r="G11" s="142">
        <v>0</v>
      </c>
      <c r="H11" s="142">
        <v>0</v>
      </c>
      <c r="I11" s="142">
        <v>0</v>
      </c>
      <c r="J11" s="142">
        <v>0</v>
      </c>
      <c r="K11" s="142">
        <v>0</v>
      </c>
      <c r="L11" s="142">
        <v>0</v>
      </c>
      <c r="M11" s="142">
        <v>0</v>
      </c>
      <c r="N11" s="142">
        <v>0</v>
      </c>
      <c r="O11" s="142">
        <v>0</v>
      </c>
      <c r="P11" s="142">
        <v>9.9999000009999865E-4</v>
      </c>
      <c r="Q11" s="142">
        <v>3.2999999999999995E-2</v>
      </c>
      <c r="R11" s="142">
        <v>0</v>
      </c>
      <c r="S11" s="142">
        <v>0</v>
      </c>
      <c r="T11" s="142">
        <v>0.01</v>
      </c>
      <c r="U11" s="142">
        <v>9.9980003999200159E-4</v>
      </c>
      <c r="V11" s="142">
        <v>1.9998000199980001E-3</v>
      </c>
      <c r="W11" s="142">
        <v>0</v>
      </c>
      <c r="X11" s="142">
        <v>0</v>
      </c>
      <c r="Y11" s="142">
        <v>1.9999999999999997E-2</v>
      </c>
      <c r="Z11" s="142">
        <v>0</v>
      </c>
      <c r="AA11" s="142">
        <v>0</v>
      </c>
      <c r="AB11" s="142">
        <v>3.0000000000000001E-3</v>
      </c>
      <c r="AC11" s="142">
        <v>6.6922267323109297E-3</v>
      </c>
      <c r="AD11" s="142">
        <v>5.9994000599940006E-2</v>
      </c>
      <c r="AE11" s="142">
        <v>0</v>
      </c>
      <c r="AF11" s="142">
        <v>0</v>
      </c>
      <c r="AG11" s="142">
        <v>0</v>
      </c>
      <c r="AH11" s="142">
        <v>0</v>
      </c>
    </row>
    <row r="12" spans="1:34" customFormat="1" x14ac:dyDescent="0.15">
      <c r="A12" s="176" t="s">
        <v>202</v>
      </c>
      <c r="B12" s="142">
        <v>0</v>
      </c>
      <c r="C12" s="142">
        <v>0</v>
      </c>
      <c r="D12" s="142">
        <v>0</v>
      </c>
      <c r="E12" s="142">
        <v>0</v>
      </c>
      <c r="F12" s="142">
        <v>0</v>
      </c>
      <c r="G12" s="142">
        <v>0</v>
      </c>
      <c r="H12" s="142">
        <v>0</v>
      </c>
      <c r="I12" s="142">
        <v>0</v>
      </c>
      <c r="J12" s="142">
        <v>0</v>
      </c>
      <c r="K12" s="142">
        <v>0</v>
      </c>
      <c r="L12" s="142">
        <v>0</v>
      </c>
      <c r="M12" s="142">
        <v>0</v>
      </c>
      <c r="N12" s="142">
        <v>0</v>
      </c>
      <c r="O12" s="142">
        <v>0</v>
      </c>
      <c r="P12" s="142">
        <v>9.9999000009999865E-4</v>
      </c>
      <c r="Q12" s="142">
        <v>3.0999999999999993E-2</v>
      </c>
      <c r="R12" s="142">
        <v>0</v>
      </c>
      <c r="S12" s="142">
        <v>0</v>
      </c>
      <c r="T12" s="142">
        <v>0.02</v>
      </c>
      <c r="U12" s="142">
        <v>0</v>
      </c>
      <c r="V12" s="142">
        <v>0</v>
      </c>
      <c r="W12" s="142">
        <v>0</v>
      </c>
      <c r="X12" s="142">
        <v>0</v>
      </c>
      <c r="Y12" s="142">
        <v>9.9999999999999985E-3</v>
      </c>
      <c r="Z12" s="142">
        <v>0</v>
      </c>
      <c r="AA12" s="142">
        <v>0</v>
      </c>
      <c r="AB12" s="142">
        <v>1.2999999999999999E-2</v>
      </c>
      <c r="AC12" s="142">
        <v>0</v>
      </c>
      <c r="AD12" s="142">
        <v>2.9997000299970002E-3</v>
      </c>
      <c r="AE12" s="142">
        <v>0</v>
      </c>
      <c r="AF12" s="142">
        <v>0</v>
      </c>
      <c r="AG12" s="142">
        <v>0</v>
      </c>
      <c r="AH12" s="142">
        <v>0</v>
      </c>
    </row>
    <row r="13" spans="1:34" customFormat="1" x14ac:dyDescent="0.15">
      <c r="A13" s="176" t="s">
        <v>203</v>
      </c>
      <c r="B13" s="142">
        <v>0</v>
      </c>
      <c r="C13" s="142">
        <v>0</v>
      </c>
      <c r="D13" s="142">
        <v>0</v>
      </c>
      <c r="E13" s="142">
        <v>0</v>
      </c>
      <c r="F13" s="142">
        <v>0</v>
      </c>
      <c r="G13" s="142">
        <v>0</v>
      </c>
      <c r="H13" s="142">
        <v>0</v>
      </c>
      <c r="I13" s="142">
        <v>0</v>
      </c>
      <c r="J13" s="142">
        <v>0</v>
      </c>
      <c r="K13" s="142">
        <v>0</v>
      </c>
      <c r="L13" s="142">
        <v>0</v>
      </c>
      <c r="M13" s="142">
        <v>0</v>
      </c>
      <c r="N13" s="142">
        <v>0</v>
      </c>
      <c r="O13" s="142">
        <v>0</v>
      </c>
      <c r="P13" s="142">
        <v>9.9999000009999874E-3</v>
      </c>
      <c r="Q13" s="142">
        <v>5.0999999999999983E-2</v>
      </c>
      <c r="R13" s="142">
        <v>0</v>
      </c>
      <c r="S13" s="142">
        <v>0</v>
      </c>
      <c r="T13" s="142">
        <v>0.03</v>
      </c>
      <c r="U13" s="142">
        <v>0</v>
      </c>
      <c r="V13" s="142">
        <v>0</v>
      </c>
      <c r="W13" s="142">
        <v>0</v>
      </c>
      <c r="X13" s="142">
        <v>0</v>
      </c>
      <c r="Y13" s="142">
        <v>0</v>
      </c>
      <c r="Z13" s="142">
        <v>0</v>
      </c>
      <c r="AA13" s="142">
        <v>0</v>
      </c>
      <c r="AB13" s="142">
        <v>0.01</v>
      </c>
      <c r="AC13" s="142">
        <v>0</v>
      </c>
      <c r="AD13" s="142">
        <v>9.9990000999900016E-3</v>
      </c>
      <c r="AE13" s="142">
        <v>0</v>
      </c>
      <c r="AF13" s="142">
        <v>0</v>
      </c>
      <c r="AG13" s="142">
        <v>0</v>
      </c>
      <c r="AH13" s="142">
        <v>0</v>
      </c>
    </row>
    <row r="14" spans="1:34" customFormat="1" x14ac:dyDescent="0.15">
      <c r="A14" s="176" t="s">
        <v>204</v>
      </c>
      <c r="B14" s="142">
        <v>0</v>
      </c>
      <c r="C14" s="142">
        <v>0</v>
      </c>
      <c r="D14" s="142">
        <v>0</v>
      </c>
      <c r="E14" s="142">
        <v>0</v>
      </c>
      <c r="F14" s="142">
        <v>0</v>
      </c>
      <c r="G14" s="142">
        <v>0</v>
      </c>
      <c r="H14" s="142">
        <v>0</v>
      </c>
      <c r="I14" s="142">
        <v>0</v>
      </c>
      <c r="J14" s="142">
        <v>0</v>
      </c>
      <c r="K14" s="142">
        <v>0</v>
      </c>
      <c r="L14" s="142">
        <v>0</v>
      </c>
      <c r="M14" s="142">
        <v>0</v>
      </c>
      <c r="N14" s="142">
        <v>0</v>
      </c>
      <c r="O14" s="142">
        <v>0</v>
      </c>
      <c r="P14" s="142">
        <v>9.9999000009999865E-4</v>
      </c>
      <c r="Q14" s="142">
        <v>0</v>
      </c>
      <c r="R14" s="142">
        <v>0</v>
      </c>
      <c r="S14" s="142">
        <v>0</v>
      </c>
      <c r="T14" s="142">
        <v>0.158</v>
      </c>
      <c r="U14" s="142">
        <v>0</v>
      </c>
      <c r="V14" s="142">
        <v>0</v>
      </c>
      <c r="W14" s="142">
        <v>0</v>
      </c>
      <c r="X14" s="142">
        <v>0</v>
      </c>
      <c r="Y14" s="142">
        <v>8.9999999999999983E-2</v>
      </c>
      <c r="Z14" s="142">
        <v>0.01</v>
      </c>
      <c r="AA14" s="142">
        <v>2.5000000000000001E-2</v>
      </c>
      <c r="AB14" s="142">
        <v>2.1999999999999999E-2</v>
      </c>
      <c r="AC14" s="142">
        <v>0.38311608467535657</v>
      </c>
      <c r="AD14" s="142">
        <v>0</v>
      </c>
      <c r="AE14" s="142">
        <v>0</v>
      </c>
      <c r="AF14" s="142">
        <v>0</v>
      </c>
      <c r="AG14" s="142">
        <v>0</v>
      </c>
      <c r="AH14" s="142">
        <v>0</v>
      </c>
    </row>
    <row r="15" spans="1:34" customFormat="1" x14ac:dyDescent="0.15">
      <c r="A15" s="176" t="s">
        <v>205</v>
      </c>
      <c r="B15" s="142">
        <v>0</v>
      </c>
      <c r="C15" s="142">
        <v>0</v>
      </c>
      <c r="D15" s="142">
        <v>0</v>
      </c>
      <c r="E15" s="142">
        <v>0</v>
      </c>
      <c r="F15" s="142">
        <v>0</v>
      </c>
      <c r="G15" s="142">
        <v>0</v>
      </c>
      <c r="H15" s="142">
        <v>0</v>
      </c>
      <c r="I15" s="142">
        <v>0</v>
      </c>
      <c r="J15" s="142">
        <v>0</v>
      </c>
      <c r="K15" s="142">
        <v>0</v>
      </c>
      <c r="L15" s="142">
        <v>0.15</v>
      </c>
      <c r="M15" s="142">
        <v>0</v>
      </c>
      <c r="N15" s="142">
        <v>0</v>
      </c>
      <c r="O15" s="142">
        <v>0</v>
      </c>
      <c r="P15" s="142">
        <v>4.999950000499994E-2</v>
      </c>
      <c r="Q15" s="142">
        <v>1.9999999999999997E-2</v>
      </c>
      <c r="R15" s="142">
        <v>0.1</v>
      </c>
      <c r="S15" s="142">
        <v>8.7999999999999995E-2</v>
      </c>
      <c r="T15" s="142">
        <v>0.05</v>
      </c>
      <c r="U15" s="142">
        <v>5.098980203959208E-2</v>
      </c>
      <c r="V15" s="142">
        <v>0.34996500349965004</v>
      </c>
      <c r="W15" s="142">
        <v>0.14998500149985</v>
      </c>
      <c r="X15" s="142">
        <v>0.03</v>
      </c>
      <c r="Y15" s="142">
        <v>0.24999999999999994</v>
      </c>
      <c r="Z15" s="142">
        <v>0.01</v>
      </c>
      <c r="AA15" s="142">
        <v>0</v>
      </c>
      <c r="AB15" s="142">
        <v>0.01</v>
      </c>
      <c r="AC15" s="142">
        <v>1.3384449464622019E-2</v>
      </c>
      <c r="AD15" s="142">
        <v>0.102989701029897</v>
      </c>
      <c r="AE15" s="142">
        <v>0</v>
      </c>
      <c r="AF15" s="142">
        <v>0</v>
      </c>
      <c r="AG15" s="142">
        <v>0</v>
      </c>
      <c r="AH15" s="142">
        <v>0</v>
      </c>
    </row>
    <row r="16" spans="1:34" customFormat="1" x14ac:dyDescent="0.15">
      <c r="A16" s="176" t="s">
        <v>206</v>
      </c>
      <c r="B16" s="142">
        <v>0</v>
      </c>
      <c r="C16" s="142">
        <v>0</v>
      </c>
      <c r="D16" s="142">
        <v>0</v>
      </c>
      <c r="E16" s="142">
        <v>0</v>
      </c>
      <c r="F16" s="142">
        <v>0</v>
      </c>
      <c r="G16" s="142">
        <v>0</v>
      </c>
      <c r="H16" s="142">
        <v>0</v>
      </c>
      <c r="I16" s="142">
        <v>0</v>
      </c>
      <c r="J16" s="142">
        <v>0</v>
      </c>
      <c r="K16" s="142">
        <v>0</v>
      </c>
      <c r="L16" s="142">
        <v>0</v>
      </c>
      <c r="M16" s="142">
        <v>0</v>
      </c>
      <c r="N16" s="142">
        <v>0</v>
      </c>
      <c r="O16" s="142">
        <v>0</v>
      </c>
      <c r="P16" s="142">
        <v>9.9999000009999874E-6</v>
      </c>
      <c r="Q16" s="142">
        <v>0</v>
      </c>
      <c r="R16" s="142">
        <v>0</v>
      </c>
      <c r="S16" s="142">
        <v>0</v>
      </c>
      <c r="T16" s="142">
        <v>2E-3</v>
      </c>
      <c r="U16" s="142">
        <v>0</v>
      </c>
      <c r="V16" s="142">
        <v>9.9990000999900007E-4</v>
      </c>
      <c r="W16" s="142">
        <v>0</v>
      </c>
      <c r="X16" s="142">
        <v>0</v>
      </c>
      <c r="Y16" s="142">
        <v>9.999999999999998E-4</v>
      </c>
      <c r="Z16" s="142">
        <v>0</v>
      </c>
      <c r="AA16" s="142">
        <v>0.01</v>
      </c>
      <c r="AB16" s="142">
        <v>0</v>
      </c>
      <c r="AC16" s="142">
        <v>0</v>
      </c>
      <c r="AD16" s="142">
        <v>1.9998000199980001E-3</v>
      </c>
      <c r="AE16" s="142">
        <v>0</v>
      </c>
      <c r="AF16" s="142">
        <v>0</v>
      </c>
      <c r="AG16" s="142">
        <v>0</v>
      </c>
      <c r="AH16" s="142">
        <v>0</v>
      </c>
    </row>
    <row r="17" spans="1:34" customFormat="1" x14ac:dyDescent="0.15">
      <c r="A17" s="176" t="s">
        <v>207</v>
      </c>
      <c r="B17" s="142">
        <v>0</v>
      </c>
      <c r="C17" s="142">
        <v>0</v>
      </c>
      <c r="D17" s="142">
        <v>0</v>
      </c>
      <c r="E17" s="142">
        <v>0</v>
      </c>
      <c r="F17" s="142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142">
        <v>0</v>
      </c>
      <c r="M17" s="142">
        <v>0</v>
      </c>
      <c r="N17" s="142">
        <v>0</v>
      </c>
      <c r="O17" s="142">
        <v>0</v>
      </c>
      <c r="P17" s="142">
        <v>0</v>
      </c>
      <c r="Q17" s="142">
        <v>9.999999999999998E-4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142">
        <v>0</v>
      </c>
      <c r="X17" s="142">
        <v>0</v>
      </c>
      <c r="Y17" s="142">
        <v>9.9999999999999985E-3</v>
      </c>
      <c r="Z17" s="142">
        <v>0</v>
      </c>
      <c r="AA17" s="142">
        <v>5.0000000000000001E-3</v>
      </c>
      <c r="AB17" s="142">
        <v>1E-3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142">
        <v>0</v>
      </c>
    </row>
    <row r="18" spans="1:34" customFormat="1" x14ac:dyDescent="0.15">
      <c r="A18" s="176" t="s">
        <v>208</v>
      </c>
      <c r="B18" s="142">
        <v>0</v>
      </c>
      <c r="C18" s="142">
        <v>0</v>
      </c>
      <c r="D18" s="142">
        <v>0</v>
      </c>
      <c r="E18" s="142">
        <v>0</v>
      </c>
      <c r="F18" s="142">
        <v>0</v>
      </c>
      <c r="G18" s="142">
        <v>0</v>
      </c>
      <c r="H18" s="142">
        <v>0</v>
      </c>
      <c r="I18" s="142">
        <v>0</v>
      </c>
      <c r="J18" s="142">
        <v>0</v>
      </c>
      <c r="K18" s="142">
        <v>0</v>
      </c>
      <c r="L18" s="142">
        <v>0</v>
      </c>
      <c r="M18" s="142">
        <v>0</v>
      </c>
      <c r="N18" s="142">
        <v>0</v>
      </c>
      <c r="O18" s="142">
        <v>0</v>
      </c>
      <c r="P18" s="142">
        <v>9.9999000009999874E-3</v>
      </c>
      <c r="Q18" s="142">
        <v>0.14099999999999996</v>
      </c>
      <c r="R18" s="142">
        <v>0.05</v>
      </c>
      <c r="S18" s="142">
        <v>5.1999999999999998E-2</v>
      </c>
      <c r="T18" s="142">
        <v>0.03</v>
      </c>
      <c r="U18" s="142">
        <v>9.9980003999200172E-3</v>
      </c>
      <c r="V18" s="142">
        <v>0.103989601039896</v>
      </c>
      <c r="W18" s="142">
        <v>1.9998000199980003E-2</v>
      </c>
      <c r="X18" s="142">
        <v>0.02</v>
      </c>
      <c r="Y18" s="142">
        <v>0.19999999999999996</v>
      </c>
      <c r="Z18" s="142">
        <v>0.03</v>
      </c>
      <c r="AA18" s="142">
        <v>0</v>
      </c>
      <c r="AB18" s="142">
        <v>0.23100000000000001</v>
      </c>
      <c r="AC18" s="142">
        <v>5.1530147938794069E-2</v>
      </c>
      <c r="AD18" s="142">
        <v>6.9993000699930016E-2</v>
      </c>
      <c r="AE18" s="142">
        <v>0</v>
      </c>
      <c r="AF18" s="142">
        <v>0</v>
      </c>
      <c r="AG18" s="142">
        <v>0</v>
      </c>
      <c r="AH18" s="142">
        <v>0</v>
      </c>
    </row>
    <row r="19" spans="1:34" customFormat="1" x14ac:dyDescent="0.15">
      <c r="A19" s="176" t="s">
        <v>209</v>
      </c>
      <c r="B19" s="142">
        <v>0</v>
      </c>
      <c r="C19" s="142">
        <v>0</v>
      </c>
      <c r="D19" s="142">
        <v>0</v>
      </c>
      <c r="E19" s="142">
        <v>0</v>
      </c>
      <c r="F19" s="142">
        <v>0</v>
      </c>
      <c r="G19" s="142">
        <v>0</v>
      </c>
      <c r="H19" s="142">
        <v>0</v>
      </c>
      <c r="I19" s="142">
        <v>0</v>
      </c>
      <c r="J19" s="142">
        <v>0</v>
      </c>
      <c r="K19" s="142">
        <v>0</v>
      </c>
      <c r="L19" s="142">
        <v>0</v>
      </c>
      <c r="M19" s="142">
        <v>0</v>
      </c>
      <c r="N19" s="142">
        <v>0</v>
      </c>
      <c r="O19" s="142">
        <v>0</v>
      </c>
      <c r="P19" s="142">
        <v>1.9999800001999975E-2</v>
      </c>
      <c r="Q19" s="142">
        <v>9.9999999999999985E-3</v>
      </c>
      <c r="R19" s="142">
        <v>2.1999999999999999E-2</v>
      </c>
      <c r="S19" s="142">
        <v>0</v>
      </c>
      <c r="T19" s="142">
        <v>9.5000000000000001E-2</v>
      </c>
      <c r="U19" s="142">
        <v>0</v>
      </c>
      <c r="V19" s="142">
        <v>0</v>
      </c>
      <c r="W19" s="142">
        <v>3.9996000399960003E-3</v>
      </c>
      <c r="X19" s="142">
        <v>1E-3</v>
      </c>
      <c r="Y19" s="142">
        <v>0</v>
      </c>
      <c r="Z19" s="142">
        <v>0</v>
      </c>
      <c r="AA19" s="142">
        <v>0</v>
      </c>
      <c r="AB19" s="142">
        <v>0.1</v>
      </c>
      <c r="AC19" s="142">
        <v>3.3461138661554446E-3</v>
      </c>
      <c r="AD19" s="142">
        <v>3.9996000399960006E-2</v>
      </c>
      <c r="AE19" s="142">
        <v>0</v>
      </c>
      <c r="AF19" s="142">
        <v>0</v>
      </c>
      <c r="AG19" s="142">
        <v>0</v>
      </c>
      <c r="AH19" s="142">
        <v>0</v>
      </c>
    </row>
    <row r="20" spans="1:34" customFormat="1" x14ac:dyDescent="0.15">
      <c r="A20" s="176" t="s">
        <v>210</v>
      </c>
      <c r="B20" s="142">
        <v>0</v>
      </c>
      <c r="C20" s="142">
        <v>0</v>
      </c>
      <c r="D20" s="142">
        <v>0</v>
      </c>
      <c r="E20" s="142">
        <v>0</v>
      </c>
      <c r="F20" s="142">
        <v>0</v>
      </c>
      <c r="G20" s="142">
        <v>0</v>
      </c>
      <c r="H20" s="142">
        <v>0</v>
      </c>
      <c r="I20" s="142">
        <v>0</v>
      </c>
      <c r="J20" s="142">
        <v>0</v>
      </c>
      <c r="K20" s="142">
        <v>0</v>
      </c>
      <c r="L20" s="142">
        <v>0</v>
      </c>
      <c r="M20" s="142">
        <v>0</v>
      </c>
      <c r="N20" s="142">
        <v>0</v>
      </c>
      <c r="O20" s="142">
        <v>0</v>
      </c>
      <c r="P20" s="142">
        <v>0</v>
      </c>
      <c r="Q20" s="142">
        <v>0</v>
      </c>
      <c r="R20" s="142">
        <v>0</v>
      </c>
      <c r="S20" s="142">
        <v>0</v>
      </c>
      <c r="T20" s="142">
        <v>0.02</v>
      </c>
      <c r="U20" s="142">
        <v>0</v>
      </c>
      <c r="V20" s="142">
        <v>0</v>
      </c>
      <c r="W20" s="142">
        <v>0</v>
      </c>
      <c r="X20" s="142">
        <v>2E-3</v>
      </c>
      <c r="Y20" s="142">
        <v>4.4999999999999991E-2</v>
      </c>
      <c r="Z20" s="142">
        <v>0.01</v>
      </c>
      <c r="AA20" s="142">
        <v>0</v>
      </c>
      <c r="AB20" s="142">
        <v>2.1999999999999999E-2</v>
      </c>
      <c r="AC20" s="142">
        <v>3.3461138661554446E-3</v>
      </c>
      <c r="AD20" s="142">
        <v>0</v>
      </c>
      <c r="AE20" s="142">
        <v>0</v>
      </c>
      <c r="AF20" s="142">
        <v>0</v>
      </c>
      <c r="AG20" s="142">
        <v>0</v>
      </c>
      <c r="AH20" s="142">
        <v>0</v>
      </c>
    </row>
    <row r="21" spans="1:34" customFormat="1" x14ac:dyDescent="0.15">
      <c r="A21" s="176" t="s">
        <v>211</v>
      </c>
      <c r="B21" s="142">
        <v>0</v>
      </c>
      <c r="C21" s="142">
        <v>0</v>
      </c>
      <c r="D21" s="142">
        <v>0</v>
      </c>
      <c r="E21" s="142">
        <v>0</v>
      </c>
      <c r="F21" s="142">
        <v>0</v>
      </c>
      <c r="G21" s="142">
        <v>0</v>
      </c>
      <c r="H21" s="142">
        <v>0</v>
      </c>
      <c r="I21" s="142">
        <v>0</v>
      </c>
      <c r="J21" s="142">
        <v>0</v>
      </c>
      <c r="K21" s="142">
        <v>0</v>
      </c>
      <c r="L21" s="142">
        <v>0</v>
      </c>
      <c r="M21" s="142">
        <v>0</v>
      </c>
      <c r="N21" s="142">
        <v>0</v>
      </c>
      <c r="O21" s="142">
        <v>0</v>
      </c>
      <c r="P21" s="142">
        <v>5.9999400005999917E-2</v>
      </c>
      <c r="Q21" s="142">
        <v>3.3999999999999996E-2</v>
      </c>
      <c r="R21" s="142">
        <v>7.8E-2</v>
      </c>
      <c r="S21" s="142">
        <v>2.1000000000000001E-2</v>
      </c>
      <c r="T21" s="142">
        <v>0.15</v>
      </c>
      <c r="U21" s="142">
        <v>0</v>
      </c>
      <c r="V21" s="142">
        <v>0.144985501449855</v>
      </c>
      <c r="W21" s="142">
        <v>1.5998400159984001E-2</v>
      </c>
      <c r="X21" s="142">
        <v>8.0000000000000002E-3</v>
      </c>
      <c r="Y21" s="142">
        <v>0</v>
      </c>
      <c r="Z21" s="142">
        <v>0</v>
      </c>
      <c r="AA21" s="142">
        <v>0</v>
      </c>
      <c r="AB21" s="142">
        <v>0.1</v>
      </c>
      <c r="AC21" s="142">
        <v>5.6883927724642883E-3</v>
      </c>
      <c r="AD21" s="142">
        <v>0.12998700129987001</v>
      </c>
      <c r="AE21" s="142">
        <v>0</v>
      </c>
      <c r="AF21" s="142">
        <v>0</v>
      </c>
      <c r="AG21" s="142">
        <v>0</v>
      </c>
      <c r="AH21" s="142">
        <v>0</v>
      </c>
    </row>
    <row r="22" spans="1:34" customFormat="1" x14ac:dyDescent="0.15">
      <c r="A22" s="176" t="s">
        <v>212</v>
      </c>
      <c r="B22" s="142">
        <v>0</v>
      </c>
      <c r="C22" s="142">
        <v>0</v>
      </c>
      <c r="D22" s="142">
        <v>0</v>
      </c>
      <c r="E22" s="142">
        <v>0</v>
      </c>
      <c r="F22" s="142">
        <v>0</v>
      </c>
      <c r="G22" s="142">
        <v>0</v>
      </c>
      <c r="H22" s="142">
        <v>0</v>
      </c>
      <c r="I22" s="142">
        <v>0</v>
      </c>
      <c r="J22" s="142">
        <v>0</v>
      </c>
      <c r="K22" s="142">
        <v>0</v>
      </c>
      <c r="L22" s="142">
        <v>0</v>
      </c>
      <c r="M22" s="142">
        <v>0</v>
      </c>
      <c r="N22" s="142">
        <v>0</v>
      </c>
      <c r="O22" s="142">
        <v>0</v>
      </c>
      <c r="P22" s="142">
        <v>0</v>
      </c>
      <c r="Q22" s="142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3.3996600339966009E-2</v>
      </c>
      <c r="W22" s="142">
        <v>0</v>
      </c>
      <c r="X22" s="142">
        <v>2E-3</v>
      </c>
      <c r="Y22" s="142">
        <v>4.9999999999999989E-2</v>
      </c>
      <c r="Z22" s="142">
        <v>0</v>
      </c>
      <c r="AA22" s="142">
        <v>0</v>
      </c>
      <c r="AB22" s="142">
        <v>1.7999999999999999E-2</v>
      </c>
      <c r="AC22" s="142">
        <v>3.0115018795399242E-3</v>
      </c>
      <c r="AD22" s="142">
        <v>0</v>
      </c>
      <c r="AE22" s="142">
        <v>0</v>
      </c>
      <c r="AF22" s="142">
        <v>0</v>
      </c>
      <c r="AG22" s="142">
        <v>0</v>
      </c>
      <c r="AH22" s="142">
        <v>0</v>
      </c>
    </row>
    <row r="23" spans="1:34" customFormat="1" x14ac:dyDescent="0.15">
      <c r="A23" s="176" t="s">
        <v>213</v>
      </c>
      <c r="B23" s="142">
        <v>0</v>
      </c>
      <c r="C23" s="142">
        <v>0</v>
      </c>
      <c r="D23" s="142">
        <v>0</v>
      </c>
      <c r="E23" s="142">
        <v>0</v>
      </c>
      <c r="F23" s="142">
        <v>0</v>
      </c>
      <c r="G23" s="142">
        <v>0</v>
      </c>
      <c r="H23" s="142">
        <v>0</v>
      </c>
      <c r="I23" s="142">
        <v>0</v>
      </c>
      <c r="J23" s="142">
        <v>0</v>
      </c>
      <c r="K23" s="142">
        <v>0</v>
      </c>
      <c r="L23" s="142">
        <v>0</v>
      </c>
      <c r="M23" s="142">
        <v>0</v>
      </c>
      <c r="N23" s="142">
        <v>0</v>
      </c>
      <c r="O23" s="142">
        <v>0</v>
      </c>
      <c r="P23" s="142">
        <v>0.10999890001099986</v>
      </c>
      <c r="Q23" s="142">
        <v>8.5999999999999979E-2</v>
      </c>
      <c r="R23" s="142">
        <v>0</v>
      </c>
      <c r="S23" s="142">
        <v>1E-3</v>
      </c>
      <c r="T23" s="142">
        <v>1E-3</v>
      </c>
      <c r="U23" s="142">
        <v>9.998000399920017E-5</v>
      </c>
      <c r="V23" s="142">
        <v>2.9997000299970003E-2</v>
      </c>
      <c r="W23" s="142">
        <v>2.9997000299970003E-2</v>
      </c>
      <c r="X23" s="142">
        <v>0.02</v>
      </c>
      <c r="Y23" s="142">
        <v>4.9999999999999989E-2</v>
      </c>
      <c r="Z23" s="142">
        <v>5.0000000000000001E-3</v>
      </c>
      <c r="AA23" s="142">
        <v>0.01</v>
      </c>
      <c r="AB23" s="142">
        <v>4.9000000000000002E-2</v>
      </c>
      <c r="AC23" s="142">
        <v>0</v>
      </c>
      <c r="AD23" s="142">
        <v>9.9990000999900007E-4</v>
      </c>
      <c r="AE23" s="142">
        <v>0</v>
      </c>
      <c r="AF23" s="142">
        <v>0</v>
      </c>
      <c r="AG23" s="142">
        <v>0</v>
      </c>
      <c r="AH23" s="142">
        <v>0</v>
      </c>
    </row>
    <row r="24" spans="1:34" customFormat="1" x14ac:dyDescent="0.15">
      <c r="A24" s="176" t="s">
        <v>214</v>
      </c>
      <c r="B24" s="142">
        <v>0</v>
      </c>
      <c r="C24" s="142">
        <v>0</v>
      </c>
      <c r="D24" s="142">
        <v>0</v>
      </c>
      <c r="E24" s="142">
        <v>0</v>
      </c>
      <c r="F24" s="142">
        <v>0</v>
      </c>
      <c r="G24" s="142">
        <v>0</v>
      </c>
      <c r="H24" s="142">
        <v>0</v>
      </c>
      <c r="I24" s="142">
        <v>0</v>
      </c>
      <c r="J24" s="142">
        <v>0</v>
      </c>
      <c r="K24" s="142">
        <v>0</v>
      </c>
      <c r="L24" s="142">
        <v>0</v>
      </c>
      <c r="M24" s="142">
        <v>0</v>
      </c>
      <c r="N24" s="142">
        <v>0</v>
      </c>
      <c r="O24" s="142">
        <v>0</v>
      </c>
      <c r="P24" s="142">
        <v>0</v>
      </c>
      <c r="Q24" s="142">
        <v>0</v>
      </c>
      <c r="R24" s="142">
        <v>0</v>
      </c>
      <c r="S24" s="142">
        <v>1E-3</v>
      </c>
      <c r="T24" s="142">
        <v>1E-3</v>
      </c>
      <c r="U24" s="142">
        <v>9.998000399920017E-5</v>
      </c>
      <c r="V24" s="142">
        <v>9.3990600939906008E-2</v>
      </c>
      <c r="W24" s="142">
        <v>9.9990000999900016E-3</v>
      </c>
      <c r="X24" s="142">
        <v>0.02</v>
      </c>
      <c r="Y24" s="142">
        <v>9.9999999999999978E-2</v>
      </c>
      <c r="Z24" s="142">
        <v>0.15</v>
      </c>
      <c r="AA24" s="142">
        <v>0.01</v>
      </c>
      <c r="AB24" s="142">
        <v>8.4000000000000005E-2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</row>
    <row r="25" spans="1:34" customFormat="1" x14ac:dyDescent="0.15">
      <c r="A25" s="176" t="s">
        <v>215</v>
      </c>
      <c r="B25" s="142">
        <v>0</v>
      </c>
      <c r="C25" s="142">
        <v>0</v>
      </c>
      <c r="D25" s="142">
        <v>0</v>
      </c>
      <c r="E25" s="142">
        <v>0</v>
      </c>
      <c r="F25" s="142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142">
        <v>0</v>
      </c>
      <c r="M25" s="142">
        <v>0</v>
      </c>
      <c r="N25" s="142">
        <v>0</v>
      </c>
      <c r="O25" s="142">
        <v>0</v>
      </c>
      <c r="P25" s="142">
        <v>0</v>
      </c>
      <c r="Q25" s="142">
        <v>0</v>
      </c>
      <c r="R25" s="142">
        <v>0</v>
      </c>
      <c r="S25" s="142">
        <v>0</v>
      </c>
      <c r="T25" s="142">
        <v>0</v>
      </c>
      <c r="U25" s="142">
        <v>0</v>
      </c>
      <c r="V25" s="142">
        <v>0</v>
      </c>
      <c r="W25" s="142">
        <v>0</v>
      </c>
      <c r="X25" s="142">
        <v>0</v>
      </c>
      <c r="Y25" s="142">
        <v>9.4999999999999973E-2</v>
      </c>
      <c r="Z25" s="142">
        <v>0</v>
      </c>
      <c r="AA25" s="142">
        <v>0.1</v>
      </c>
      <c r="AB25" s="142">
        <v>0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  <c r="AH25" s="142">
        <v>0</v>
      </c>
    </row>
    <row r="26" spans="1:34" customFormat="1" x14ac:dyDescent="0.15">
      <c r="A26" s="176" t="s">
        <v>216</v>
      </c>
      <c r="B26" s="142">
        <v>0</v>
      </c>
      <c r="C26" s="142">
        <v>0</v>
      </c>
      <c r="D26" s="142">
        <v>0</v>
      </c>
      <c r="E26" s="142">
        <v>0</v>
      </c>
      <c r="F26" s="142">
        <v>0</v>
      </c>
      <c r="G26" s="142">
        <v>0</v>
      </c>
      <c r="H26" s="142">
        <v>0</v>
      </c>
      <c r="I26" s="142">
        <v>0</v>
      </c>
      <c r="J26" s="142">
        <v>0</v>
      </c>
      <c r="K26" s="142">
        <v>0</v>
      </c>
      <c r="L26" s="142">
        <v>0</v>
      </c>
      <c r="M26" s="142">
        <v>0</v>
      </c>
      <c r="N26" s="142">
        <v>0</v>
      </c>
      <c r="O26" s="142">
        <v>0</v>
      </c>
      <c r="P26" s="142">
        <v>0</v>
      </c>
      <c r="Q26" s="142">
        <v>0</v>
      </c>
      <c r="R26" s="142">
        <v>0</v>
      </c>
      <c r="S26" s="142">
        <v>0</v>
      </c>
      <c r="T26" s="142">
        <v>0</v>
      </c>
      <c r="U26" s="142">
        <v>0</v>
      </c>
      <c r="V26" s="142">
        <v>0</v>
      </c>
      <c r="W26" s="142">
        <v>0</v>
      </c>
      <c r="X26" s="142">
        <v>5.0000000000000001E-3</v>
      </c>
      <c r="Y26" s="142">
        <v>0</v>
      </c>
      <c r="Z26" s="142">
        <v>0.06</v>
      </c>
      <c r="AA26" s="142">
        <v>0.77</v>
      </c>
      <c r="AB26" s="142">
        <v>0</v>
      </c>
      <c r="AC26" s="142">
        <v>0</v>
      </c>
      <c r="AD26" s="142">
        <v>0</v>
      </c>
      <c r="AE26" s="142">
        <v>0</v>
      </c>
      <c r="AF26" s="142">
        <v>0</v>
      </c>
      <c r="AG26" s="142">
        <v>0</v>
      </c>
      <c r="AH26" s="142">
        <v>0</v>
      </c>
    </row>
    <row r="27" spans="1:34" customFormat="1" x14ac:dyDescent="0.15">
      <c r="A27" s="176" t="s">
        <v>217</v>
      </c>
      <c r="B27" s="142">
        <v>0</v>
      </c>
      <c r="C27" s="142">
        <v>0</v>
      </c>
      <c r="D27" s="142">
        <v>0</v>
      </c>
      <c r="E27" s="142">
        <v>0</v>
      </c>
      <c r="F27" s="142">
        <v>0</v>
      </c>
      <c r="G27" s="142">
        <v>0</v>
      </c>
      <c r="H27" s="142">
        <v>0</v>
      </c>
      <c r="I27" s="142">
        <v>0</v>
      </c>
      <c r="J27" s="142">
        <v>0</v>
      </c>
      <c r="K27" s="142">
        <v>0</v>
      </c>
      <c r="L27" s="142">
        <v>0</v>
      </c>
      <c r="M27" s="142">
        <v>0</v>
      </c>
      <c r="N27" s="142">
        <v>0</v>
      </c>
      <c r="O27" s="142">
        <v>0</v>
      </c>
      <c r="P27" s="142">
        <v>0</v>
      </c>
      <c r="Q27" s="142">
        <v>0</v>
      </c>
      <c r="R27" s="142">
        <v>0</v>
      </c>
      <c r="S27" s="142">
        <v>0</v>
      </c>
      <c r="T27" s="142">
        <v>0</v>
      </c>
      <c r="U27" s="142">
        <v>0</v>
      </c>
      <c r="V27" s="142">
        <v>0</v>
      </c>
      <c r="W27" s="142">
        <v>0</v>
      </c>
      <c r="X27" s="142">
        <v>0</v>
      </c>
      <c r="Y27" s="142">
        <v>0</v>
      </c>
      <c r="Z27" s="142">
        <v>0</v>
      </c>
      <c r="AA27" s="142">
        <v>0</v>
      </c>
      <c r="AB27" s="142">
        <v>0</v>
      </c>
      <c r="AC27" s="142">
        <v>0</v>
      </c>
      <c r="AD27" s="142">
        <v>0</v>
      </c>
      <c r="AE27" s="142">
        <v>0</v>
      </c>
      <c r="AF27" s="142">
        <v>0</v>
      </c>
      <c r="AG27" s="142">
        <v>0</v>
      </c>
      <c r="AH27" s="142">
        <v>0</v>
      </c>
    </row>
    <row r="28" spans="1:34" customFormat="1" x14ac:dyDescent="0.15">
      <c r="A28" s="176" t="s">
        <v>218</v>
      </c>
      <c r="B28" s="142">
        <v>0</v>
      </c>
      <c r="C28" s="142">
        <v>0</v>
      </c>
      <c r="D28" s="142">
        <v>0</v>
      </c>
      <c r="E28" s="142">
        <v>0</v>
      </c>
      <c r="F28" s="142">
        <v>0</v>
      </c>
      <c r="G28" s="142">
        <v>0</v>
      </c>
      <c r="H28" s="142">
        <v>0</v>
      </c>
      <c r="I28" s="142">
        <v>0</v>
      </c>
      <c r="J28" s="142">
        <v>0</v>
      </c>
      <c r="K28" s="142">
        <v>0</v>
      </c>
      <c r="L28" s="142">
        <v>0</v>
      </c>
      <c r="M28" s="142">
        <v>0</v>
      </c>
      <c r="N28" s="142">
        <v>0</v>
      </c>
      <c r="O28" s="142">
        <v>0</v>
      </c>
      <c r="P28" s="142">
        <v>0</v>
      </c>
      <c r="Q28" s="142">
        <v>0</v>
      </c>
      <c r="R28" s="142">
        <v>0</v>
      </c>
      <c r="S28" s="142">
        <v>0</v>
      </c>
      <c r="T28" s="142">
        <v>0</v>
      </c>
      <c r="U28" s="142">
        <v>0</v>
      </c>
      <c r="V28" s="142">
        <v>0</v>
      </c>
      <c r="W28" s="142">
        <v>0</v>
      </c>
      <c r="X28" s="142">
        <v>0</v>
      </c>
      <c r="Y28" s="142">
        <v>0</v>
      </c>
      <c r="Z28" s="142">
        <v>0</v>
      </c>
      <c r="AA28" s="142">
        <v>0.03</v>
      </c>
      <c r="AB28" s="142">
        <v>0</v>
      </c>
      <c r="AC28" s="142">
        <v>0</v>
      </c>
      <c r="AD28" s="142">
        <v>1.9998000199980001E-3</v>
      </c>
      <c r="AE28" s="142">
        <v>0</v>
      </c>
      <c r="AF28" s="142">
        <v>0</v>
      </c>
      <c r="AG28" s="142">
        <v>0</v>
      </c>
      <c r="AH28" s="142">
        <v>0</v>
      </c>
    </row>
    <row r="29" spans="1:34" customFormat="1" x14ac:dyDescent="0.15">
      <c r="A29" s="176" t="s">
        <v>219</v>
      </c>
      <c r="B29" s="142">
        <v>0</v>
      </c>
      <c r="C29" s="142">
        <v>0</v>
      </c>
      <c r="D29" s="142">
        <v>0</v>
      </c>
      <c r="E29" s="142">
        <v>0</v>
      </c>
      <c r="F29" s="142">
        <v>0</v>
      </c>
      <c r="G29" s="142">
        <v>0</v>
      </c>
      <c r="H29" s="142">
        <v>0</v>
      </c>
      <c r="I29" s="142">
        <v>0</v>
      </c>
      <c r="J29" s="142">
        <v>0</v>
      </c>
      <c r="K29" s="142">
        <v>0</v>
      </c>
      <c r="L29" s="142">
        <v>0</v>
      </c>
      <c r="M29" s="142">
        <v>0</v>
      </c>
      <c r="N29" s="142">
        <v>0</v>
      </c>
      <c r="O29" s="142">
        <v>0</v>
      </c>
      <c r="P29" s="142">
        <v>0</v>
      </c>
      <c r="Q29" s="142">
        <v>0</v>
      </c>
      <c r="R29" s="142">
        <v>0</v>
      </c>
      <c r="S29" s="142">
        <v>0</v>
      </c>
      <c r="T29" s="142">
        <v>0</v>
      </c>
      <c r="U29" s="142">
        <v>0</v>
      </c>
      <c r="V29" s="142">
        <v>0</v>
      </c>
      <c r="W29" s="142">
        <v>0</v>
      </c>
      <c r="X29" s="142">
        <v>0</v>
      </c>
      <c r="Y29" s="142">
        <v>0</v>
      </c>
      <c r="Z29" s="142">
        <v>0</v>
      </c>
      <c r="AA29" s="142">
        <v>0.04</v>
      </c>
      <c r="AB29" s="142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142">
        <v>0</v>
      </c>
    </row>
    <row r="30" spans="1:34" customFormat="1" x14ac:dyDescent="0.15">
      <c r="A30" s="176" t="s">
        <v>220</v>
      </c>
      <c r="B30" s="142">
        <v>0</v>
      </c>
      <c r="C30" s="142">
        <v>0</v>
      </c>
      <c r="D30" s="142">
        <v>0</v>
      </c>
      <c r="E30" s="142">
        <v>0</v>
      </c>
      <c r="F30" s="142">
        <v>0</v>
      </c>
      <c r="G30" s="142">
        <v>0</v>
      </c>
      <c r="H30" s="142">
        <v>0</v>
      </c>
      <c r="I30" s="142">
        <v>0</v>
      </c>
      <c r="J30" s="142">
        <v>0</v>
      </c>
      <c r="K30" s="142">
        <v>0</v>
      </c>
      <c r="L30" s="142">
        <v>0</v>
      </c>
      <c r="M30" s="142">
        <v>0</v>
      </c>
      <c r="N30" s="142">
        <v>0</v>
      </c>
      <c r="O30" s="142">
        <v>0</v>
      </c>
      <c r="P30" s="142">
        <v>0</v>
      </c>
      <c r="Q30" s="142">
        <v>0</v>
      </c>
      <c r="R30" s="142">
        <v>0</v>
      </c>
      <c r="S30" s="142">
        <v>0</v>
      </c>
      <c r="T30" s="142">
        <v>0</v>
      </c>
      <c r="U30" s="142">
        <v>0</v>
      </c>
      <c r="V30" s="142">
        <v>0</v>
      </c>
      <c r="W30" s="142">
        <v>0</v>
      </c>
      <c r="X30" s="142">
        <v>0</v>
      </c>
      <c r="Y30" s="142">
        <v>0</v>
      </c>
      <c r="Z30" s="142">
        <v>0</v>
      </c>
      <c r="AA30" s="142">
        <v>0</v>
      </c>
      <c r="AB30" s="142">
        <v>0</v>
      </c>
      <c r="AC30" s="142">
        <v>0</v>
      </c>
      <c r="AD30" s="142">
        <v>9.9990000999900015E-5</v>
      </c>
      <c r="AE30" s="142">
        <v>0</v>
      </c>
      <c r="AF30" s="142">
        <v>0</v>
      </c>
      <c r="AG30" s="142">
        <v>0</v>
      </c>
      <c r="AH30" s="142">
        <v>0</v>
      </c>
    </row>
    <row r="31" spans="1:34" customFormat="1" x14ac:dyDescent="0.15">
      <c r="A31" s="176" t="s">
        <v>221</v>
      </c>
      <c r="B31" s="142">
        <v>0</v>
      </c>
      <c r="C31" s="142">
        <v>0</v>
      </c>
      <c r="D31" s="142">
        <v>0</v>
      </c>
      <c r="E31" s="142">
        <v>0</v>
      </c>
      <c r="F31" s="142">
        <v>0</v>
      </c>
      <c r="G31" s="142">
        <v>0</v>
      </c>
      <c r="H31" s="142">
        <v>0</v>
      </c>
      <c r="I31" s="142">
        <v>0</v>
      </c>
      <c r="J31" s="142">
        <v>0</v>
      </c>
      <c r="K31" s="142">
        <v>0</v>
      </c>
      <c r="L31" s="142">
        <v>0</v>
      </c>
      <c r="M31" s="142">
        <v>0</v>
      </c>
      <c r="N31" s="142">
        <v>0</v>
      </c>
      <c r="O31" s="142">
        <v>0</v>
      </c>
      <c r="P31" s="142">
        <v>0</v>
      </c>
      <c r="Q31" s="142">
        <v>0</v>
      </c>
      <c r="R31" s="142">
        <v>0</v>
      </c>
      <c r="S31" s="142">
        <v>0</v>
      </c>
      <c r="T31" s="142">
        <v>0</v>
      </c>
      <c r="U31" s="142">
        <v>0</v>
      </c>
      <c r="V31" s="142">
        <v>0</v>
      </c>
      <c r="W31" s="142">
        <v>0</v>
      </c>
      <c r="X31" s="142">
        <v>0</v>
      </c>
      <c r="Y31" s="142">
        <v>0</v>
      </c>
      <c r="Z31" s="142">
        <v>0</v>
      </c>
      <c r="AA31" s="142">
        <v>0</v>
      </c>
      <c r="AB31" s="142">
        <v>0</v>
      </c>
      <c r="AC31" s="142">
        <v>0</v>
      </c>
      <c r="AD31" s="142">
        <v>0</v>
      </c>
      <c r="AE31" s="142">
        <v>0</v>
      </c>
      <c r="AF31" s="142">
        <v>0.08</v>
      </c>
      <c r="AG31" s="142">
        <v>0</v>
      </c>
      <c r="AH31" s="142">
        <v>0</v>
      </c>
    </row>
    <row r="32" spans="1:34" customFormat="1" x14ac:dyDescent="0.15">
      <c r="A32" s="176" t="s">
        <v>222</v>
      </c>
      <c r="B32" s="142">
        <v>0</v>
      </c>
      <c r="C32" s="142">
        <v>0</v>
      </c>
      <c r="D32" s="142">
        <v>0</v>
      </c>
      <c r="E32" s="14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2.9999999999999992E-2</v>
      </c>
      <c r="R32" s="142">
        <v>0.379</v>
      </c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0.80200000000000005</v>
      </c>
      <c r="Y32" s="142">
        <v>0</v>
      </c>
      <c r="Z32" s="142">
        <v>0.72499999999999998</v>
      </c>
      <c r="AA32" s="142">
        <v>0</v>
      </c>
      <c r="AB32" s="142">
        <v>5.3999999999999999E-2</v>
      </c>
      <c r="AC32" s="142">
        <v>0</v>
      </c>
      <c r="AD32" s="142">
        <v>0</v>
      </c>
      <c r="AE32" s="142">
        <v>0</v>
      </c>
      <c r="AF32" s="142">
        <v>7.0000000000000007E-2</v>
      </c>
      <c r="AG32" s="142">
        <v>0</v>
      </c>
      <c r="AH32" s="142">
        <v>0</v>
      </c>
    </row>
    <row r="33" spans="1:34" customFormat="1" x14ac:dyDescent="0.15">
      <c r="A33" s="176" t="s">
        <v>223</v>
      </c>
      <c r="B33" s="142">
        <v>0</v>
      </c>
      <c r="C33" s="142">
        <v>0</v>
      </c>
      <c r="D33" s="142">
        <v>0.55000000000000004</v>
      </c>
      <c r="E33" s="142">
        <v>0</v>
      </c>
      <c r="F33" s="142">
        <v>0</v>
      </c>
      <c r="G33" s="142">
        <v>0.2</v>
      </c>
      <c r="H33" s="142">
        <v>0</v>
      </c>
      <c r="I33" s="142">
        <v>0</v>
      </c>
      <c r="J33" s="142">
        <v>0</v>
      </c>
      <c r="K33" s="142">
        <v>0</v>
      </c>
      <c r="L33" s="142">
        <v>0</v>
      </c>
      <c r="M33" s="142">
        <v>0</v>
      </c>
      <c r="N33" s="142">
        <v>0</v>
      </c>
      <c r="O33" s="142">
        <v>0</v>
      </c>
      <c r="P33" s="142">
        <v>0</v>
      </c>
      <c r="Q33" s="142">
        <v>0</v>
      </c>
      <c r="R33" s="142">
        <v>0</v>
      </c>
      <c r="S33" s="142">
        <v>0</v>
      </c>
      <c r="T33" s="142">
        <v>0</v>
      </c>
      <c r="U33" s="142">
        <v>0</v>
      </c>
      <c r="V33" s="142">
        <v>0</v>
      </c>
      <c r="W33" s="142">
        <v>0</v>
      </c>
      <c r="X33" s="142">
        <v>0</v>
      </c>
      <c r="Y33" s="142">
        <v>0</v>
      </c>
      <c r="Z33" s="142">
        <v>0</v>
      </c>
      <c r="AA33" s="142">
        <v>0</v>
      </c>
      <c r="AB33" s="142">
        <v>0</v>
      </c>
      <c r="AC33" s="142">
        <v>0</v>
      </c>
      <c r="AD33" s="142">
        <v>0</v>
      </c>
      <c r="AE33" s="142">
        <v>0.95</v>
      </c>
      <c r="AF33" s="142">
        <v>0.8</v>
      </c>
      <c r="AG33" s="142">
        <v>0</v>
      </c>
      <c r="AH33" s="142">
        <v>0</v>
      </c>
    </row>
    <row r="34" spans="1:34" customFormat="1" x14ac:dyDescent="0.15">
      <c r="A34" s="176" t="s">
        <v>224</v>
      </c>
      <c r="B34" s="142">
        <v>0</v>
      </c>
      <c r="C34" s="142">
        <v>0</v>
      </c>
      <c r="D34" s="142">
        <v>0</v>
      </c>
      <c r="E34" s="142">
        <v>0</v>
      </c>
      <c r="F34" s="142">
        <v>0</v>
      </c>
      <c r="G34" s="142">
        <v>0</v>
      </c>
      <c r="H34" s="142">
        <v>0</v>
      </c>
      <c r="I34" s="142">
        <v>0</v>
      </c>
      <c r="J34" s="142">
        <v>0</v>
      </c>
      <c r="K34" s="142">
        <v>0</v>
      </c>
      <c r="L34" s="142">
        <v>0</v>
      </c>
      <c r="M34" s="142">
        <v>0</v>
      </c>
      <c r="N34" s="142">
        <v>0</v>
      </c>
      <c r="O34" s="142">
        <v>0</v>
      </c>
      <c r="P34" s="142">
        <v>0</v>
      </c>
      <c r="Q34" s="142">
        <v>0</v>
      </c>
      <c r="R34" s="142">
        <v>0</v>
      </c>
      <c r="S34" s="142">
        <v>0</v>
      </c>
      <c r="T34" s="142">
        <v>0</v>
      </c>
      <c r="U34" s="142">
        <v>0</v>
      </c>
      <c r="V34" s="142">
        <v>0</v>
      </c>
      <c r="W34" s="142">
        <v>0</v>
      </c>
      <c r="X34" s="142">
        <v>0</v>
      </c>
      <c r="Y34" s="142">
        <v>0</v>
      </c>
      <c r="Z34" s="142">
        <v>0</v>
      </c>
      <c r="AA34" s="142">
        <v>0</v>
      </c>
      <c r="AB34" s="142">
        <v>0</v>
      </c>
      <c r="AC34" s="142">
        <v>0</v>
      </c>
      <c r="AD34" s="142">
        <v>0</v>
      </c>
      <c r="AE34" s="142">
        <v>0</v>
      </c>
      <c r="AF34" s="142">
        <v>0</v>
      </c>
      <c r="AG34" s="142">
        <v>0</v>
      </c>
      <c r="AH34" s="142">
        <v>0</v>
      </c>
    </row>
    <row r="35" spans="1:34" customFormat="1" x14ac:dyDescent="0.15">
      <c r="A35" s="176" t="s">
        <v>228</v>
      </c>
      <c r="B35" s="142">
        <v>0</v>
      </c>
      <c r="C35" s="142">
        <v>0</v>
      </c>
      <c r="D35" s="142">
        <v>0</v>
      </c>
      <c r="E35" s="142">
        <v>0</v>
      </c>
      <c r="F35" s="142">
        <v>0</v>
      </c>
      <c r="G35" s="142">
        <v>0</v>
      </c>
      <c r="H35" s="142">
        <v>0</v>
      </c>
      <c r="I35" s="142">
        <v>0</v>
      </c>
      <c r="J35" s="142">
        <v>0</v>
      </c>
      <c r="K35" s="142">
        <v>0</v>
      </c>
      <c r="L35" s="142">
        <v>0</v>
      </c>
      <c r="M35" s="142">
        <v>0</v>
      </c>
      <c r="N35" s="142">
        <v>0</v>
      </c>
      <c r="O35" s="142">
        <v>0</v>
      </c>
      <c r="P35" s="142">
        <v>0</v>
      </c>
      <c r="Q35" s="142">
        <v>4.9999999999999989E-2</v>
      </c>
      <c r="R35" s="142">
        <v>0</v>
      </c>
      <c r="S35" s="142">
        <v>0</v>
      </c>
      <c r="T35" s="142">
        <v>0</v>
      </c>
      <c r="U35" s="142">
        <v>0</v>
      </c>
      <c r="V35" s="142">
        <v>0</v>
      </c>
      <c r="W35" s="142">
        <v>0</v>
      </c>
      <c r="X35" s="142">
        <v>0</v>
      </c>
      <c r="Y35" s="142">
        <v>0</v>
      </c>
      <c r="Z35" s="142">
        <v>0</v>
      </c>
      <c r="AA35" s="142">
        <v>0</v>
      </c>
      <c r="AB35" s="142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142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H39" sqref="H39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0.83203125" style="110" customWidth="1"/>
    <col min="5" max="6" width="10.83203125" style="109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79" t="s">
        <v>223</v>
      </c>
      <c r="D1" s="179" t="s">
        <v>224</v>
      </c>
      <c r="E1" s="179" t="s">
        <v>229</v>
      </c>
      <c r="F1" s="179" t="s">
        <v>230</v>
      </c>
      <c r="G1"/>
      <c r="H1"/>
    </row>
    <row r="2" spans="1:8" x14ac:dyDescent="0.15">
      <c r="A2">
        <v>1</v>
      </c>
      <c r="B2" s="178" t="s">
        <v>192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78" t="s">
        <v>193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78" t="s">
        <v>194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78" t="s">
        <v>195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78" t="s">
        <v>196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78" t="s">
        <v>197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78" t="s">
        <v>198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78" t="s">
        <v>199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78" t="s">
        <v>200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78" t="s">
        <v>201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78" t="s">
        <v>202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78" t="s">
        <v>203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78" t="s">
        <v>204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78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78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78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78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78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78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78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78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78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78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78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78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78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78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78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78" t="s">
        <v>220</v>
      </c>
      <c r="C30" s="110">
        <v>1</v>
      </c>
      <c r="D30" s="110">
        <v>0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78" t="s">
        <v>221</v>
      </c>
      <c r="C31" s="110">
        <v>1</v>
      </c>
      <c r="D31" s="110">
        <v>0</v>
      </c>
      <c r="E31" s="109">
        <v>0</v>
      </c>
      <c r="F31" s="109">
        <v>1</v>
      </c>
      <c r="G31"/>
      <c r="H31"/>
    </row>
    <row r="32" spans="1:8" ht="15" customHeight="1" x14ac:dyDescent="0.15">
      <c r="A32">
        <v>31</v>
      </c>
      <c r="B32" s="178" t="s">
        <v>222</v>
      </c>
      <c r="C32" s="110">
        <v>1</v>
      </c>
      <c r="D32" s="110">
        <v>0</v>
      </c>
      <c r="E32" s="109">
        <v>0</v>
      </c>
      <c r="F32" s="109">
        <v>1</v>
      </c>
    </row>
    <row r="33" spans="1:8" ht="15" customHeight="1" x14ac:dyDescent="0.15">
      <c r="A33">
        <v>32</v>
      </c>
      <c r="B33" s="178" t="s">
        <v>223</v>
      </c>
      <c r="C33" s="110">
        <v>0</v>
      </c>
      <c r="D33" s="110">
        <v>1</v>
      </c>
      <c r="E33" s="109">
        <v>0</v>
      </c>
      <c r="F33" s="109">
        <v>1</v>
      </c>
    </row>
    <row r="34" spans="1:8" ht="15" customHeight="1" x14ac:dyDescent="0.15">
      <c r="A34">
        <v>33</v>
      </c>
      <c r="B34" s="178" t="s">
        <v>224</v>
      </c>
      <c r="C34" s="110">
        <v>0</v>
      </c>
      <c r="D34" s="110">
        <v>0</v>
      </c>
      <c r="E34" s="109">
        <v>1</v>
      </c>
      <c r="F34" s="109">
        <v>1</v>
      </c>
    </row>
    <row r="35" spans="1:8" ht="15" customHeight="1" x14ac:dyDescent="0.15">
      <c r="A35">
        <v>34</v>
      </c>
      <c r="B35" s="178" t="s">
        <v>225</v>
      </c>
      <c r="C35" s="110">
        <v>0</v>
      </c>
      <c r="D35" s="110">
        <v>1</v>
      </c>
      <c r="E35" s="109">
        <v>0</v>
      </c>
      <c r="F35" s="109">
        <v>1</v>
      </c>
    </row>
    <row r="36" spans="1:8" ht="15" customHeight="1" x14ac:dyDescent="0.15">
      <c r="A36">
        <v>35</v>
      </c>
      <c r="B36" s="178" t="s">
        <v>226</v>
      </c>
      <c r="C36" s="110">
        <v>0</v>
      </c>
      <c r="D36" s="110">
        <v>1</v>
      </c>
      <c r="E36" s="110">
        <v>0</v>
      </c>
      <c r="F36" s="110">
        <v>1</v>
      </c>
      <c r="G36"/>
      <c r="H36"/>
    </row>
    <row r="37" spans="1:8" ht="15" customHeight="1" x14ac:dyDescent="0.15">
      <c r="A37">
        <v>36</v>
      </c>
      <c r="B37" s="178" t="s">
        <v>227</v>
      </c>
      <c r="C37" s="110">
        <v>0</v>
      </c>
      <c r="D37" s="110">
        <v>1</v>
      </c>
      <c r="E37" s="110">
        <v>0</v>
      </c>
      <c r="F37" s="110">
        <v>1</v>
      </c>
      <c r="G37"/>
      <c r="H37"/>
    </row>
    <row r="38" spans="1:8" ht="15" customHeight="1" x14ac:dyDescent="0.15">
      <c r="C38"/>
      <c r="D38"/>
      <c r="E38" s="110"/>
      <c r="F38" s="110"/>
      <c r="G38"/>
      <c r="H38"/>
    </row>
    <row r="39" spans="1:8" ht="15" customHeight="1" x14ac:dyDescent="0.15">
      <c r="C39"/>
      <c r="D39"/>
      <c r="E39" s="110"/>
      <c r="F39" s="110"/>
      <c r="G39"/>
      <c r="H39"/>
    </row>
    <row r="40" spans="1:8" ht="15" customHeight="1" x14ac:dyDescent="0.15">
      <c r="C40"/>
      <c r="D40"/>
      <c r="E40" s="110"/>
      <c r="F40" s="110"/>
      <c r="G40"/>
      <c r="H40"/>
    </row>
    <row r="41" spans="1:8" ht="15" customHeight="1" x14ac:dyDescent="0.15">
      <c r="C41"/>
      <c r="D41"/>
      <c r="E41" s="110"/>
      <c r="F41" s="110"/>
      <c r="G41"/>
      <c r="H41"/>
    </row>
    <row r="42" spans="1:8" ht="15" customHeight="1" x14ac:dyDescent="0.15">
      <c r="C42"/>
      <c r="D42"/>
      <c r="E42" s="110"/>
      <c r="F42" s="110"/>
      <c r="G42"/>
      <c r="H42"/>
    </row>
    <row r="43" spans="1:8" ht="15" customHeight="1" x14ac:dyDescent="0.15">
      <c r="C43"/>
      <c r="D43"/>
      <c r="E43" s="110"/>
      <c r="F43" s="110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5" width="2.33203125" bestFit="1" customWidth="1"/>
    <col min="6" max="6" width="2.33203125" customWidth="1"/>
  </cols>
  <sheetData>
    <row r="1" spans="1:6" s="111" customFormat="1" ht="112" x14ac:dyDescent="0.15">
      <c r="A1" s="5" t="s">
        <v>21</v>
      </c>
      <c r="B1" s="3" t="s">
        <v>0</v>
      </c>
      <c r="C1" s="181" t="s">
        <v>225</v>
      </c>
      <c r="D1" s="181" t="s">
        <v>226</v>
      </c>
      <c r="E1" s="181" t="s">
        <v>227</v>
      </c>
      <c r="F1" s="181" t="s">
        <v>231</v>
      </c>
    </row>
    <row r="2" spans="1:6" ht="15" customHeight="1" x14ac:dyDescent="0.15">
      <c r="A2">
        <v>1</v>
      </c>
      <c r="B2" s="180" t="s">
        <v>192</v>
      </c>
      <c r="C2">
        <v>0</v>
      </c>
      <c r="D2">
        <v>0</v>
      </c>
      <c r="E2">
        <v>0</v>
      </c>
      <c r="F2">
        <v>0</v>
      </c>
    </row>
    <row r="3" spans="1:6" ht="15" customHeight="1" x14ac:dyDescent="0.15">
      <c r="A3">
        <v>2</v>
      </c>
      <c r="B3" s="180" t="s">
        <v>193</v>
      </c>
      <c r="C3">
        <v>0</v>
      </c>
      <c r="D3">
        <v>0</v>
      </c>
      <c r="E3">
        <v>0</v>
      </c>
      <c r="F3">
        <v>0</v>
      </c>
    </row>
    <row r="4" spans="1:6" ht="15" customHeight="1" x14ac:dyDescent="0.15">
      <c r="A4">
        <v>3</v>
      </c>
      <c r="B4" s="180" t="s">
        <v>194</v>
      </c>
      <c r="C4">
        <v>0</v>
      </c>
      <c r="D4">
        <v>0</v>
      </c>
      <c r="E4">
        <v>0</v>
      </c>
      <c r="F4">
        <v>0</v>
      </c>
    </row>
    <row r="5" spans="1:6" ht="15" customHeight="1" x14ac:dyDescent="0.15">
      <c r="A5">
        <v>4</v>
      </c>
      <c r="B5" s="180" t="s">
        <v>195</v>
      </c>
      <c r="C5">
        <v>0</v>
      </c>
      <c r="D5">
        <v>0</v>
      </c>
      <c r="E5">
        <v>0</v>
      </c>
      <c r="F5">
        <v>0</v>
      </c>
    </row>
    <row r="6" spans="1:6" ht="15" customHeight="1" x14ac:dyDescent="0.15">
      <c r="A6">
        <v>5</v>
      </c>
      <c r="B6" s="180" t="s">
        <v>196</v>
      </c>
      <c r="C6">
        <v>0</v>
      </c>
      <c r="D6">
        <v>0</v>
      </c>
      <c r="E6">
        <v>0</v>
      </c>
      <c r="F6">
        <v>0</v>
      </c>
    </row>
    <row r="7" spans="1:6" ht="15" customHeight="1" x14ac:dyDescent="0.15">
      <c r="A7">
        <v>6</v>
      </c>
      <c r="B7" s="180" t="s">
        <v>197</v>
      </c>
      <c r="C7">
        <v>0</v>
      </c>
      <c r="D7">
        <v>0</v>
      </c>
      <c r="E7">
        <v>0</v>
      </c>
      <c r="F7">
        <v>0</v>
      </c>
    </row>
    <row r="8" spans="1:6" ht="15" customHeight="1" x14ac:dyDescent="0.15">
      <c r="A8">
        <v>7</v>
      </c>
      <c r="B8" s="180" t="s">
        <v>198</v>
      </c>
      <c r="C8">
        <v>0</v>
      </c>
      <c r="D8">
        <v>0</v>
      </c>
      <c r="E8">
        <v>0</v>
      </c>
      <c r="F8">
        <v>0</v>
      </c>
    </row>
    <row r="9" spans="1:6" ht="15" customHeight="1" x14ac:dyDescent="0.15">
      <c r="A9">
        <v>8</v>
      </c>
      <c r="B9" s="180" t="s">
        <v>199</v>
      </c>
      <c r="C9">
        <v>0</v>
      </c>
      <c r="D9">
        <v>0</v>
      </c>
      <c r="E9">
        <v>0</v>
      </c>
      <c r="F9">
        <v>0</v>
      </c>
    </row>
    <row r="10" spans="1:6" ht="15" customHeight="1" x14ac:dyDescent="0.15">
      <c r="A10">
        <v>9</v>
      </c>
      <c r="B10" s="180" t="s">
        <v>200</v>
      </c>
      <c r="C10">
        <v>0</v>
      </c>
      <c r="D10">
        <v>0</v>
      </c>
      <c r="E10">
        <v>0</v>
      </c>
      <c r="F10">
        <v>0</v>
      </c>
    </row>
    <row r="11" spans="1:6" ht="15" customHeight="1" x14ac:dyDescent="0.15">
      <c r="A11">
        <v>10</v>
      </c>
      <c r="B11" s="180" t="s">
        <v>201</v>
      </c>
      <c r="C11">
        <v>0</v>
      </c>
      <c r="D11">
        <v>0</v>
      </c>
      <c r="E11">
        <v>0</v>
      </c>
      <c r="F11">
        <v>0</v>
      </c>
    </row>
    <row r="12" spans="1:6" ht="15" customHeight="1" x14ac:dyDescent="0.15">
      <c r="A12">
        <v>11</v>
      </c>
      <c r="B12" s="180" t="s">
        <v>202</v>
      </c>
      <c r="C12">
        <v>0</v>
      </c>
      <c r="D12">
        <v>0</v>
      </c>
      <c r="E12">
        <v>0</v>
      </c>
      <c r="F12">
        <v>0</v>
      </c>
    </row>
    <row r="13" spans="1:6" ht="15" customHeight="1" x14ac:dyDescent="0.15">
      <c r="A13">
        <v>12</v>
      </c>
      <c r="B13" s="180" t="s">
        <v>203</v>
      </c>
      <c r="C13">
        <v>0</v>
      </c>
      <c r="D13">
        <v>0</v>
      </c>
      <c r="E13">
        <v>0</v>
      </c>
      <c r="F13">
        <v>0</v>
      </c>
    </row>
    <row r="14" spans="1:6" ht="15" customHeight="1" x14ac:dyDescent="0.15">
      <c r="A14">
        <v>13</v>
      </c>
      <c r="B14" s="180" t="s">
        <v>204</v>
      </c>
      <c r="C14">
        <v>0</v>
      </c>
      <c r="D14">
        <v>0</v>
      </c>
      <c r="E14">
        <v>0</v>
      </c>
      <c r="F14">
        <v>0</v>
      </c>
    </row>
    <row r="15" spans="1:6" ht="15" customHeight="1" x14ac:dyDescent="0.15">
      <c r="A15">
        <v>14</v>
      </c>
      <c r="B15" s="180" t="s">
        <v>205</v>
      </c>
      <c r="C15">
        <v>0</v>
      </c>
      <c r="D15">
        <v>0</v>
      </c>
      <c r="E15">
        <v>0</v>
      </c>
      <c r="F15">
        <v>0</v>
      </c>
    </row>
    <row r="16" spans="1:6" ht="15" customHeight="1" x14ac:dyDescent="0.15">
      <c r="A16">
        <v>15</v>
      </c>
      <c r="B16" s="180" t="s">
        <v>206</v>
      </c>
      <c r="C16">
        <v>0</v>
      </c>
      <c r="D16">
        <v>0</v>
      </c>
      <c r="E16">
        <v>0</v>
      </c>
      <c r="F16">
        <v>0</v>
      </c>
    </row>
    <row r="17" spans="1:6" ht="15" customHeight="1" x14ac:dyDescent="0.15">
      <c r="A17">
        <v>16</v>
      </c>
      <c r="B17" s="180" t="s">
        <v>207</v>
      </c>
      <c r="C17">
        <v>0</v>
      </c>
      <c r="D17">
        <v>0</v>
      </c>
      <c r="E17">
        <v>0</v>
      </c>
      <c r="F17">
        <v>0</v>
      </c>
    </row>
    <row r="18" spans="1:6" ht="15" customHeight="1" x14ac:dyDescent="0.15">
      <c r="A18">
        <v>17</v>
      </c>
      <c r="B18" s="180" t="s">
        <v>208</v>
      </c>
      <c r="C18">
        <v>0</v>
      </c>
      <c r="D18">
        <v>0</v>
      </c>
      <c r="E18">
        <v>0</v>
      </c>
      <c r="F18">
        <v>0</v>
      </c>
    </row>
    <row r="19" spans="1:6" ht="15" customHeight="1" x14ac:dyDescent="0.15">
      <c r="A19">
        <v>18</v>
      </c>
      <c r="B19" s="180" t="s">
        <v>209</v>
      </c>
      <c r="C19">
        <v>0</v>
      </c>
      <c r="D19">
        <v>0</v>
      </c>
      <c r="E19">
        <v>0</v>
      </c>
      <c r="F19">
        <v>0</v>
      </c>
    </row>
    <row r="20" spans="1:6" ht="15" customHeight="1" x14ac:dyDescent="0.15">
      <c r="A20">
        <v>19</v>
      </c>
      <c r="B20" s="180" t="s">
        <v>210</v>
      </c>
      <c r="C20">
        <v>0</v>
      </c>
      <c r="D20">
        <v>0</v>
      </c>
      <c r="E20">
        <v>0</v>
      </c>
      <c r="F20">
        <v>0</v>
      </c>
    </row>
    <row r="21" spans="1:6" ht="15" customHeight="1" x14ac:dyDescent="0.15">
      <c r="A21">
        <v>20</v>
      </c>
      <c r="B21" s="180" t="s">
        <v>211</v>
      </c>
      <c r="C21">
        <v>0</v>
      </c>
      <c r="D21">
        <v>0</v>
      </c>
      <c r="E21">
        <v>0</v>
      </c>
      <c r="F21">
        <v>0</v>
      </c>
    </row>
    <row r="22" spans="1:6" ht="15" customHeight="1" x14ac:dyDescent="0.15">
      <c r="A22">
        <v>21</v>
      </c>
      <c r="B22" s="180" t="s">
        <v>212</v>
      </c>
      <c r="C22">
        <v>0</v>
      </c>
      <c r="D22">
        <v>0</v>
      </c>
      <c r="E22">
        <v>0</v>
      </c>
      <c r="F22">
        <v>0</v>
      </c>
    </row>
    <row r="23" spans="1:6" ht="15" customHeight="1" x14ac:dyDescent="0.15">
      <c r="A23">
        <v>22</v>
      </c>
      <c r="B23" s="180" t="s">
        <v>213</v>
      </c>
      <c r="C23">
        <v>0</v>
      </c>
      <c r="D23">
        <v>0</v>
      </c>
      <c r="E23">
        <v>0</v>
      </c>
      <c r="F23">
        <v>0</v>
      </c>
    </row>
    <row r="24" spans="1:6" ht="15" customHeight="1" x14ac:dyDescent="0.15">
      <c r="A24">
        <v>23</v>
      </c>
      <c r="B24" s="180" t="s">
        <v>214</v>
      </c>
      <c r="C24">
        <v>0</v>
      </c>
      <c r="D24">
        <v>0</v>
      </c>
      <c r="E24">
        <v>0</v>
      </c>
      <c r="F24">
        <v>0</v>
      </c>
    </row>
    <row r="25" spans="1:6" ht="15" customHeight="1" x14ac:dyDescent="0.15">
      <c r="A25">
        <v>24</v>
      </c>
      <c r="B25" s="180" t="s">
        <v>215</v>
      </c>
      <c r="C25">
        <v>0</v>
      </c>
      <c r="D25">
        <v>0</v>
      </c>
      <c r="E25">
        <v>0</v>
      </c>
      <c r="F25">
        <v>0</v>
      </c>
    </row>
    <row r="26" spans="1:6" ht="15" customHeight="1" x14ac:dyDescent="0.15">
      <c r="A26">
        <v>25</v>
      </c>
      <c r="B26" s="180" t="s">
        <v>216</v>
      </c>
      <c r="C26">
        <v>0</v>
      </c>
      <c r="D26">
        <v>0</v>
      </c>
      <c r="E26">
        <v>0</v>
      </c>
      <c r="F26">
        <v>0</v>
      </c>
    </row>
    <row r="27" spans="1:6" ht="15" customHeight="1" x14ac:dyDescent="0.15">
      <c r="A27">
        <v>26</v>
      </c>
      <c r="B27" s="180" t="s">
        <v>217</v>
      </c>
      <c r="C27">
        <v>0</v>
      </c>
      <c r="D27">
        <v>0</v>
      </c>
      <c r="E27">
        <v>0</v>
      </c>
      <c r="F27">
        <v>0</v>
      </c>
    </row>
    <row r="28" spans="1:6" ht="15" customHeight="1" x14ac:dyDescent="0.15">
      <c r="A28">
        <v>27</v>
      </c>
      <c r="B28" s="180" t="s">
        <v>218</v>
      </c>
      <c r="C28">
        <v>0</v>
      </c>
      <c r="D28">
        <v>0</v>
      </c>
      <c r="E28">
        <v>0</v>
      </c>
      <c r="F28">
        <v>0</v>
      </c>
    </row>
    <row r="29" spans="1:6" ht="15" customHeight="1" x14ac:dyDescent="0.15">
      <c r="A29">
        <v>28</v>
      </c>
      <c r="B29" s="180" t="s">
        <v>219</v>
      </c>
      <c r="C29">
        <v>0</v>
      </c>
      <c r="D29">
        <v>0</v>
      </c>
      <c r="E29">
        <v>0</v>
      </c>
      <c r="F29">
        <v>0</v>
      </c>
    </row>
    <row r="30" spans="1:6" ht="15" customHeight="1" x14ac:dyDescent="0.15">
      <c r="A30">
        <v>29</v>
      </c>
      <c r="B30" s="180" t="s">
        <v>220</v>
      </c>
      <c r="C30">
        <v>0</v>
      </c>
      <c r="D30">
        <v>0</v>
      </c>
      <c r="E30">
        <v>0</v>
      </c>
      <c r="F30">
        <v>0</v>
      </c>
    </row>
    <row r="31" spans="1:6" ht="15" customHeight="1" x14ac:dyDescent="0.15">
      <c r="A31">
        <v>30</v>
      </c>
      <c r="B31" s="180" t="s">
        <v>221</v>
      </c>
      <c r="C31">
        <v>0</v>
      </c>
      <c r="D31">
        <v>0</v>
      </c>
      <c r="E31">
        <v>0</v>
      </c>
      <c r="F31">
        <v>0</v>
      </c>
    </row>
    <row r="32" spans="1:6" ht="15" customHeight="1" x14ac:dyDescent="0.15">
      <c r="A32">
        <v>31</v>
      </c>
      <c r="B32" s="180" t="s">
        <v>222</v>
      </c>
      <c r="C32">
        <v>0</v>
      </c>
      <c r="D32">
        <v>0</v>
      </c>
      <c r="E32">
        <v>0</v>
      </c>
      <c r="F32">
        <v>0</v>
      </c>
    </row>
    <row r="33" spans="1:6" ht="15" customHeight="1" x14ac:dyDescent="0.15">
      <c r="A33">
        <v>32</v>
      </c>
      <c r="B33" s="180" t="s">
        <v>223</v>
      </c>
      <c r="C33">
        <v>0</v>
      </c>
      <c r="D33">
        <v>0</v>
      </c>
      <c r="E33">
        <v>0</v>
      </c>
      <c r="F33">
        <v>0</v>
      </c>
    </row>
    <row r="34" spans="1:6" ht="15" customHeight="1" x14ac:dyDescent="0.15">
      <c r="A34">
        <v>33</v>
      </c>
      <c r="B34" s="180" t="s">
        <v>224</v>
      </c>
      <c r="C34">
        <v>0</v>
      </c>
      <c r="D34">
        <v>0</v>
      </c>
      <c r="E34">
        <v>0</v>
      </c>
      <c r="F34">
        <v>0</v>
      </c>
    </row>
    <row r="35" spans="1:6" ht="15" customHeight="1" x14ac:dyDescent="0.15"/>
    <row r="36" spans="1:6" ht="15" customHeight="1" x14ac:dyDescent="0.15"/>
    <row r="37" spans="1:6" ht="15" customHeight="1" x14ac:dyDescent="0.15"/>
    <row r="38" spans="1:6" ht="15" customHeight="1" x14ac:dyDescent="0.15"/>
    <row r="39" spans="1:6" ht="15" customHeight="1" x14ac:dyDescent="0.15"/>
    <row r="40" spans="1:6" ht="15" customHeight="1" x14ac:dyDescent="0.15"/>
    <row r="41" spans="1:6" ht="15" customHeight="1" x14ac:dyDescent="0.15"/>
    <row r="42" spans="1:6" ht="15" customHeight="1" x14ac:dyDescent="0.15"/>
    <row r="43" spans="1:6" ht="15" customHeight="1" x14ac:dyDescent="0.15"/>
    <row r="44" spans="1:6" ht="15" customHeight="1" x14ac:dyDescent="0.15"/>
    <row r="45" spans="1:6" ht="15" customHeight="1" x14ac:dyDescent="0.15"/>
    <row r="46" spans="1:6" ht="15" customHeight="1" x14ac:dyDescent="0.15"/>
    <row r="47" spans="1:6" ht="15" customHeight="1" x14ac:dyDescent="0.15"/>
    <row r="48" spans="1:6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5" width="2.33203125" bestFit="1" customWidth="1"/>
    <col min="6" max="6" width="2.33203125" customWidth="1"/>
  </cols>
  <sheetData>
    <row r="1" spans="1:6" s="111" customFormat="1" ht="112" x14ac:dyDescent="0.15">
      <c r="A1" s="5" t="s">
        <v>22</v>
      </c>
      <c r="B1" s="3" t="s">
        <v>0</v>
      </c>
      <c r="C1" s="183" t="s">
        <v>225</v>
      </c>
      <c r="D1" s="183" t="s">
        <v>226</v>
      </c>
      <c r="E1" s="183" t="s">
        <v>227</v>
      </c>
      <c r="F1" s="183" t="s">
        <v>231</v>
      </c>
    </row>
    <row r="2" spans="1:6" x14ac:dyDescent="0.15">
      <c r="A2">
        <v>1</v>
      </c>
      <c r="B2" s="182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2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82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82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82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82" t="s">
        <v>197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82" t="s">
        <v>198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82" t="s">
        <v>199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82" t="s">
        <v>200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82" t="s">
        <v>201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82" t="s">
        <v>202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82" t="s">
        <v>203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82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82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82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82" t="s">
        <v>207</v>
      </c>
      <c r="C17">
        <v>0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82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82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82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82" t="s">
        <v>211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82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82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82" t="s">
        <v>214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82" t="s">
        <v>215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82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82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2" t="s">
        <v>218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82" t="s">
        <v>219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82" t="s">
        <v>220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82" t="s">
        <v>221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82" t="s">
        <v>222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82" t="s">
        <v>223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82" t="s">
        <v>224</v>
      </c>
      <c r="C34">
        <v>0</v>
      </c>
      <c r="D34">
        <v>0</v>
      </c>
      <c r="E34">
        <v>0</v>
      </c>
      <c r="F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8320312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4" t="s">
        <v>192</v>
      </c>
      <c r="F2">
        <v>0.98</v>
      </c>
      <c r="G2">
        <v>0.8</v>
      </c>
      <c r="H2">
        <v>0.8</v>
      </c>
      <c r="I2">
        <v>0</v>
      </c>
      <c r="J2" s="110">
        <v>0</v>
      </c>
      <c r="K2" s="110">
        <v>0</v>
      </c>
    </row>
    <row r="3" spans="1:42" x14ac:dyDescent="0.15">
      <c r="A3" s="119" t="s">
        <v>75</v>
      </c>
      <c r="B3" s="121">
        <v>1</v>
      </c>
      <c r="D3">
        <v>2</v>
      </c>
      <c r="E3" s="184" t="s">
        <v>193</v>
      </c>
      <c r="F3">
        <v>0.98</v>
      </c>
      <c r="G3">
        <v>0.8</v>
      </c>
      <c r="H3">
        <v>0.8</v>
      </c>
      <c r="I3">
        <v>0</v>
      </c>
      <c r="J3" s="110">
        <v>0</v>
      </c>
      <c r="K3" s="110">
        <v>0</v>
      </c>
    </row>
    <row r="4" spans="1:42" x14ac:dyDescent="0.15">
      <c r="A4" s="119" t="s">
        <v>76</v>
      </c>
      <c r="B4" s="121">
        <v>1</v>
      </c>
      <c r="D4">
        <v>3</v>
      </c>
      <c r="E4" s="184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4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4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4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4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0" t="s">
        <v>150</v>
      </c>
      <c r="D9">
        <v>8</v>
      </c>
      <c r="E9" s="184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0" t="s">
        <v>150</v>
      </c>
      <c r="D10">
        <v>9</v>
      </c>
      <c r="E10" s="184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4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4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4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4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4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4" t="s">
        <v>221</v>
      </c>
      <c r="F31">
        <v>0.98</v>
      </c>
      <c r="G31">
        <v>0.8</v>
      </c>
      <c r="H31">
        <v>0.8</v>
      </c>
      <c r="I31">
        <v>0.8</v>
      </c>
      <c r="J31" s="110">
        <v>0.25</v>
      </c>
      <c r="K31" s="110">
        <v>0.05</v>
      </c>
      <c r="Y31"/>
      <c r="AC31"/>
      <c r="AG31"/>
    </row>
    <row r="32" spans="4:33" ht="15" customHeight="1" x14ac:dyDescent="0.15">
      <c r="D32">
        <v>31</v>
      </c>
      <c r="E32" s="184" t="s">
        <v>222</v>
      </c>
      <c r="F32">
        <v>0.98</v>
      </c>
      <c r="G32">
        <v>0.8</v>
      </c>
      <c r="H32">
        <v>0.8</v>
      </c>
      <c r="I32">
        <v>0.8</v>
      </c>
      <c r="J32" s="110">
        <v>0.25</v>
      </c>
      <c r="K32" s="110">
        <v>0.05</v>
      </c>
      <c r="Y32"/>
      <c r="AC32"/>
      <c r="AG32"/>
    </row>
    <row r="33" spans="4:33" ht="15" customHeight="1" x14ac:dyDescent="0.15">
      <c r="D33">
        <v>32</v>
      </c>
      <c r="E33" s="184" t="s">
        <v>223</v>
      </c>
      <c r="F33">
        <v>0.98</v>
      </c>
      <c r="G33">
        <v>0.8</v>
      </c>
      <c r="H33">
        <v>0</v>
      </c>
      <c r="I33">
        <v>0</v>
      </c>
      <c r="J33" s="110">
        <v>0</v>
      </c>
      <c r="K33" s="110">
        <v>0</v>
      </c>
      <c r="Y33"/>
      <c r="AC33"/>
      <c r="AG33"/>
    </row>
    <row r="34" spans="4:33" ht="15" customHeight="1" x14ac:dyDescent="0.15">
      <c r="D34">
        <v>33</v>
      </c>
      <c r="E34" s="184" t="s">
        <v>224</v>
      </c>
      <c r="F34">
        <v>0.98</v>
      </c>
      <c r="G34">
        <v>0.8</v>
      </c>
      <c r="H34">
        <v>0</v>
      </c>
      <c r="I34">
        <v>0</v>
      </c>
      <c r="J34" s="110">
        <v>0</v>
      </c>
      <c r="K34" s="110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3" width="2.33203125" style="108" customWidth="1"/>
    <col min="4" max="32" width="3.83203125" style="108" customWidth="1"/>
    <col min="33" max="34" width="2.33203125" style="108" customWidth="1"/>
    <col min="35" max="16384" width="10.83203125" style="108"/>
  </cols>
  <sheetData>
    <row r="1" spans="1:34" x14ac:dyDescent="0.15">
      <c r="A1" s="62" t="s">
        <v>118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</row>
    <row r="2" spans="1:34" customFormat="1" x14ac:dyDescent="0.15">
      <c r="A2" s="185" t="s">
        <v>192</v>
      </c>
      <c r="B2" s="108">
        <v>0</v>
      </c>
      <c r="C2" s="108">
        <v>0</v>
      </c>
      <c r="D2" s="108">
        <v>0.8</v>
      </c>
      <c r="E2" s="108">
        <v>0.8</v>
      </c>
      <c r="F2" s="108">
        <v>0.8</v>
      </c>
      <c r="G2" s="108">
        <v>0</v>
      </c>
      <c r="H2" s="108">
        <v>0.8</v>
      </c>
      <c r="I2" s="108">
        <v>0.8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</row>
    <row r="3" spans="1:34" customFormat="1" x14ac:dyDescent="0.15">
      <c r="A3" s="185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0.8</v>
      </c>
      <c r="AF3" s="108">
        <v>0.8</v>
      </c>
      <c r="AG3" s="108">
        <v>0</v>
      </c>
      <c r="AH3" s="108">
        <v>0</v>
      </c>
    </row>
    <row r="4" spans="1:34" customFormat="1" x14ac:dyDescent="0.15">
      <c r="A4" s="185" t="s">
        <v>194</v>
      </c>
      <c r="B4" s="108">
        <v>0</v>
      </c>
      <c r="C4" s="108">
        <v>0</v>
      </c>
      <c r="D4" s="108">
        <v>0.8</v>
      </c>
      <c r="E4" s="108">
        <v>0.8</v>
      </c>
      <c r="F4" s="108">
        <v>0.8</v>
      </c>
      <c r="G4" s="108">
        <v>0</v>
      </c>
      <c r="H4" s="108">
        <v>0.8</v>
      </c>
      <c r="I4" s="108">
        <v>0.8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</row>
    <row r="5" spans="1:34" customFormat="1" x14ac:dyDescent="0.15">
      <c r="A5" s="185" t="s">
        <v>195</v>
      </c>
      <c r="B5" s="108">
        <v>0</v>
      </c>
      <c r="C5" s="108">
        <v>0</v>
      </c>
      <c r="D5" s="108">
        <v>0</v>
      </c>
      <c r="E5" s="108">
        <v>0</v>
      </c>
      <c r="F5" s="108">
        <v>0.8</v>
      </c>
      <c r="G5" s="108">
        <v>0.8</v>
      </c>
      <c r="H5" s="108">
        <v>0.8</v>
      </c>
      <c r="I5" s="108">
        <v>0.8</v>
      </c>
      <c r="J5" s="108">
        <v>0.8</v>
      </c>
      <c r="K5" s="108">
        <v>0.8</v>
      </c>
      <c r="L5" s="108">
        <v>0.8</v>
      </c>
      <c r="M5" s="108">
        <v>0.8</v>
      </c>
      <c r="N5" s="108">
        <v>0.8</v>
      </c>
      <c r="O5" s="108">
        <v>0.8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0.8</v>
      </c>
      <c r="X5" s="108">
        <v>0.8</v>
      </c>
      <c r="Y5" s="108">
        <v>0</v>
      </c>
      <c r="Z5" s="108">
        <v>0</v>
      </c>
      <c r="AA5" s="108">
        <v>0</v>
      </c>
      <c r="AB5" s="108">
        <v>0</v>
      </c>
      <c r="AC5" s="108">
        <v>0.8</v>
      </c>
      <c r="AD5" s="108">
        <v>0.8</v>
      </c>
      <c r="AE5" s="108">
        <v>0</v>
      </c>
      <c r="AF5" s="108">
        <v>0</v>
      </c>
      <c r="AG5" s="108">
        <v>0</v>
      </c>
      <c r="AH5" s="108">
        <v>0</v>
      </c>
    </row>
    <row r="6" spans="1:34" customFormat="1" x14ac:dyDescent="0.15">
      <c r="A6" s="185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0.8</v>
      </c>
      <c r="H6" s="108">
        <v>0.8</v>
      </c>
      <c r="I6" s="108">
        <v>0.8</v>
      </c>
      <c r="J6" s="108">
        <v>0.8</v>
      </c>
      <c r="K6" s="108">
        <v>0.8</v>
      </c>
      <c r="L6" s="108">
        <v>0.8</v>
      </c>
      <c r="M6" s="108">
        <v>0.8</v>
      </c>
      <c r="N6" s="108">
        <v>0.8</v>
      </c>
      <c r="O6" s="108">
        <v>0.8</v>
      </c>
      <c r="P6" s="108">
        <v>0.8</v>
      </c>
      <c r="Q6" s="108">
        <v>0.8</v>
      </c>
      <c r="R6" s="108">
        <v>0.8</v>
      </c>
      <c r="S6" s="108">
        <v>0.8</v>
      </c>
      <c r="T6" s="108">
        <v>0.8</v>
      </c>
      <c r="U6" s="108">
        <v>0.8</v>
      </c>
      <c r="V6" s="108">
        <v>0.8</v>
      </c>
      <c r="W6" s="108">
        <v>0.8</v>
      </c>
      <c r="X6" s="108">
        <v>0.8</v>
      </c>
      <c r="Y6" s="108">
        <v>0</v>
      </c>
      <c r="Z6" s="108">
        <v>0</v>
      </c>
      <c r="AA6" s="108">
        <v>0</v>
      </c>
      <c r="AB6" s="108">
        <v>0</v>
      </c>
      <c r="AC6" s="108">
        <v>0.8</v>
      </c>
      <c r="AD6" s="108">
        <v>0.8</v>
      </c>
      <c r="AE6" s="108">
        <v>0</v>
      </c>
      <c r="AF6" s="108">
        <v>0</v>
      </c>
      <c r="AG6" s="108">
        <v>0</v>
      </c>
      <c r="AH6" s="108">
        <v>0</v>
      </c>
    </row>
    <row r="7" spans="1:34" customFormat="1" x14ac:dyDescent="0.15">
      <c r="A7" s="185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0.8</v>
      </c>
      <c r="H7" s="108">
        <v>0</v>
      </c>
      <c r="I7" s="108">
        <v>0</v>
      </c>
      <c r="J7" s="108">
        <v>0</v>
      </c>
      <c r="K7" s="108">
        <v>0.8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</row>
    <row r="8" spans="1:34" customFormat="1" x14ac:dyDescent="0.15">
      <c r="A8" s="185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0.8</v>
      </c>
      <c r="M8" s="108">
        <v>0</v>
      </c>
      <c r="N8" s="108">
        <v>0.8</v>
      </c>
      <c r="O8" s="108">
        <v>0</v>
      </c>
      <c r="P8" s="108">
        <v>0.8</v>
      </c>
      <c r="Q8" s="108">
        <v>0.8</v>
      </c>
      <c r="R8" s="108">
        <v>0.8</v>
      </c>
      <c r="S8" s="108">
        <v>0.8</v>
      </c>
      <c r="T8" s="108">
        <v>0.8</v>
      </c>
      <c r="U8" s="108">
        <v>0.8</v>
      </c>
      <c r="V8" s="108">
        <v>0.8</v>
      </c>
      <c r="W8" s="108">
        <v>0.8</v>
      </c>
      <c r="X8" s="108">
        <v>0.8</v>
      </c>
      <c r="Y8" s="108">
        <v>0.8</v>
      </c>
      <c r="Z8" s="108">
        <v>0</v>
      </c>
      <c r="AA8" s="108">
        <v>0</v>
      </c>
      <c r="AB8" s="108">
        <v>0.8</v>
      </c>
      <c r="AC8" s="108">
        <v>0.8</v>
      </c>
      <c r="AD8" s="108">
        <v>0.8</v>
      </c>
      <c r="AE8" s="108">
        <v>0</v>
      </c>
      <c r="AF8" s="108">
        <v>0</v>
      </c>
      <c r="AG8" s="108">
        <v>0</v>
      </c>
      <c r="AH8" s="108">
        <v>0</v>
      </c>
    </row>
    <row r="9" spans="1:34" customFormat="1" x14ac:dyDescent="0.15">
      <c r="A9" s="185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  <c r="J9" s="108">
        <v>0</v>
      </c>
      <c r="K9" s="108">
        <v>0</v>
      </c>
      <c r="L9" s="108">
        <v>0.8</v>
      </c>
      <c r="M9" s="108">
        <v>0</v>
      </c>
      <c r="N9" s="108">
        <v>0.8</v>
      </c>
      <c r="O9" s="108">
        <v>0</v>
      </c>
      <c r="P9" s="108">
        <v>0.8</v>
      </c>
      <c r="Q9" s="108">
        <v>0.8</v>
      </c>
      <c r="R9" s="108">
        <v>0.8</v>
      </c>
      <c r="S9" s="108">
        <v>0.8</v>
      </c>
      <c r="T9" s="108">
        <v>0.8</v>
      </c>
      <c r="U9" s="108">
        <v>0.8</v>
      </c>
      <c r="V9" s="108">
        <v>0.8</v>
      </c>
      <c r="W9" s="108">
        <v>0.8</v>
      </c>
      <c r="X9" s="108">
        <v>0</v>
      </c>
      <c r="Y9" s="108">
        <v>0.8</v>
      </c>
      <c r="Z9" s="108">
        <v>0</v>
      </c>
      <c r="AA9" s="108">
        <v>0</v>
      </c>
      <c r="AB9" s="108">
        <v>0.8</v>
      </c>
      <c r="AC9" s="108">
        <v>0.8</v>
      </c>
      <c r="AD9" s="108">
        <v>0.8</v>
      </c>
      <c r="AE9" s="108">
        <v>0</v>
      </c>
      <c r="AF9" s="108">
        <v>0</v>
      </c>
      <c r="AG9" s="108">
        <v>0</v>
      </c>
      <c r="AH9" s="108">
        <v>0</v>
      </c>
    </row>
    <row r="10" spans="1:34" customFormat="1" x14ac:dyDescent="0.15">
      <c r="A10" s="185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0.8</v>
      </c>
      <c r="M10" s="108">
        <v>0</v>
      </c>
      <c r="N10" s="108">
        <v>0.8</v>
      </c>
      <c r="O10" s="108">
        <v>0</v>
      </c>
      <c r="P10" s="108">
        <v>0.8</v>
      </c>
      <c r="Q10" s="108">
        <v>0.8</v>
      </c>
      <c r="R10" s="108">
        <v>0.8</v>
      </c>
      <c r="S10" s="108">
        <v>0.8</v>
      </c>
      <c r="T10" s="108">
        <v>0.8</v>
      </c>
      <c r="U10" s="108">
        <v>0.8</v>
      </c>
      <c r="V10" s="108">
        <v>0.8</v>
      </c>
      <c r="W10" s="108">
        <v>0.8</v>
      </c>
      <c r="X10" s="108">
        <v>0.8</v>
      </c>
      <c r="Y10" s="108">
        <v>0.8</v>
      </c>
      <c r="Z10" s="108">
        <v>0</v>
      </c>
      <c r="AA10" s="108">
        <v>0</v>
      </c>
      <c r="AB10" s="108">
        <v>0.8</v>
      </c>
      <c r="AC10" s="108">
        <v>0.8</v>
      </c>
      <c r="AD10" s="108">
        <v>0.8</v>
      </c>
      <c r="AE10" s="108">
        <v>0</v>
      </c>
      <c r="AF10" s="108">
        <v>0</v>
      </c>
      <c r="AG10" s="108">
        <v>0</v>
      </c>
      <c r="AH10" s="108">
        <v>0</v>
      </c>
    </row>
    <row r="11" spans="1:34" customFormat="1" x14ac:dyDescent="0.15">
      <c r="A11" s="185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0</v>
      </c>
      <c r="P11" s="108">
        <v>0.8</v>
      </c>
      <c r="Q11" s="108">
        <v>0.8</v>
      </c>
      <c r="R11" s="108">
        <v>0</v>
      </c>
      <c r="S11" s="108">
        <v>0</v>
      </c>
      <c r="T11" s="108">
        <v>0.8</v>
      </c>
      <c r="U11" s="108">
        <v>0.8</v>
      </c>
      <c r="V11" s="108">
        <v>0.8</v>
      </c>
      <c r="W11" s="108">
        <v>0</v>
      </c>
      <c r="X11" s="108">
        <v>0</v>
      </c>
      <c r="Y11" s="108">
        <v>0.8</v>
      </c>
      <c r="Z11" s="108">
        <v>0</v>
      </c>
      <c r="AA11" s="108">
        <v>0</v>
      </c>
      <c r="AB11" s="108">
        <v>0.8</v>
      </c>
      <c r="AC11" s="108">
        <v>0.8</v>
      </c>
      <c r="AD11" s="108">
        <v>0.8</v>
      </c>
      <c r="AE11" s="108">
        <v>0</v>
      </c>
      <c r="AF11" s="108">
        <v>0</v>
      </c>
      <c r="AG11" s="108">
        <v>0</v>
      </c>
      <c r="AH11" s="108">
        <v>0</v>
      </c>
    </row>
    <row r="12" spans="1:34" customFormat="1" x14ac:dyDescent="0.15">
      <c r="A12" s="185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0</v>
      </c>
      <c r="M12" s="108">
        <v>0</v>
      </c>
      <c r="N12" s="108">
        <v>0</v>
      </c>
      <c r="O12" s="108">
        <v>0</v>
      </c>
      <c r="P12" s="108">
        <v>0.8</v>
      </c>
      <c r="Q12" s="108">
        <v>0.8</v>
      </c>
      <c r="R12" s="108">
        <v>0</v>
      </c>
      <c r="S12" s="108">
        <v>0</v>
      </c>
      <c r="T12" s="108">
        <v>0.8</v>
      </c>
      <c r="U12" s="108">
        <v>0</v>
      </c>
      <c r="V12" s="108">
        <v>0</v>
      </c>
      <c r="W12" s="108">
        <v>0</v>
      </c>
      <c r="X12" s="108">
        <v>0</v>
      </c>
      <c r="Y12" s="108">
        <v>0.8</v>
      </c>
      <c r="Z12" s="108">
        <v>0</v>
      </c>
      <c r="AA12" s="108">
        <v>0</v>
      </c>
      <c r="AB12" s="108">
        <v>0.8</v>
      </c>
      <c r="AC12" s="108">
        <v>0</v>
      </c>
      <c r="AD12" s="108">
        <v>0.8</v>
      </c>
      <c r="AE12" s="108">
        <v>0</v>
      </c>
      <c r="AF12" s="108">
        <v>0</v>
      </c>
      <c r="AG12" s="108">
        <v>0</v>
      </c>
      <c r="AH12" s="108">
        <v>0</v>
      </c>
    </row>
    <row r="13" spans="1:34" customFormat="1" x14ac:dyDescent="0.15">
      <c r="A13" s="185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0.8</v>
      </c>
      <c r="Q13" s="108">
        <v>0.8</v>
      </c>
      <c r="R13" s="108">
        <v>0</v>
      </c>
      <c r="S13" s="108">
        <v>0</v>
      </c>
      <c r="T13" s="108">
        <v>0.8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0.8</v>
      </c>
      <c r="AC13" s="108">
        <v>0</v>
      </c>
      <c r="AD13" s="108">
        <v>0.8</v>
      </c>
      <c r="AE13" s="108">
        <v>0</v>
      </c>
      <c r="AF13" s="108">
        <v>0</v>
      </c>
      <c r="AG13" s="108">
        <v>0</v>
      </c>
      <c r="AH13" s="108">
        <v>0</v>
      </c>
    </row>
    <row r="14" spans="1:34" customFormat="1" x14ac:dyDescent="0.15">
      <c r="A14" s="185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0.8</v>
      </c>
      <c r="Q14" s="108">
        <v>0</v>
      </c>
      <c r="R14" s="108">
        <v>0</v>
      </c>
      <c r="S14" s="108">
        <v>0</v>
      </c>
      <c r="T14" s="108">
        <v>0.8</v>
      </c>
      <c r="U14" s="108">
        <v>0</v>
      </c>
      <c r="V14" s="108">
        <v>0</v>
      </c>
      <c r="W14" s="108">
        <v>0</v>
      </c>
      <c r="X14" s="108">
        <v>0</v>
      </c>
      <c r="Y14" s="108">
        <v>0.8</v>
      </c>
      <c r="Z14" s="108">
        <v>0.8</v>
      </c>
      <c r="AA14" s="108">
        <v>0.8</v>
      </c>
      <c r="AB14" s="108">
        <v>0.8</v>
      </c>
      <c r="AC14" s="108">
        <v>0.8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</row>
    <row r="15" spans="1:34" customFormat="1" x14ac:dyDescent="0.15">
      <c r="A15" s="185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0.8</v>
      </c>
      <c r="M15" s="108">
        <v>0</v>
      </c>
      <c r="N15" s="108">
        <v>0</v>
      </c>
      <c r="O15" s="108">
        <v>0</v>
      </c>
      <c r="P15" s="108">
        <v>0.8</v>
      </c>
      <c r="Q15" s="108">
        <v>0.8</v>
      </c>
      <c r="R15" s="108">
        <v>0.8</v>
      </c>
      <c r="S15" s="108">
        <v>0.8</v>
      </c>
      <c r="T15" s="108">
        <v>0.8</v>
      </c>
      <c r="U15" s="108">
        <v>0.8</v>
      </c>
      <c r="V15" s="108">
        <v>0.8</v>
      </c>
      <c r="W15" s="108">
        <v>0.8</v>
      </c>
      <c r="X15" s="108">
        <v>0.8</v>
      </c>
      <c r="Y15" s="108">
        <v>0.8</v>
      </c>
      <c r="Z15" s="108">
        <v>0.8</v>
      </c>
      <c r="AA15" s="108">
        <v>0</v>
      </c>
      <c r="AB15" s="108">
        <v>0.8</v>
      </c>
      <c r="AC15" s="108">
        <v>0.8</v>
      </c>
      <c r="AD15" s="108">
        <v>0.8</v>
      </c>
      <c r="AE15" s="108">
        <v>0</v>
      </c>
      <c r="AF15" s="108">
        <v>0</v>
      </c>
      <c r="AG15" s="108">
        <v>0</v>
      </c>
      <c r="AH15" s="108">
        <v>0</v>
      </c>
    </row>
    <row r="16" spans="1:34" customFormat="1" x14ac:dyDescent="0.15">
      <c r="A16" s="185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0.8</v>
      </c>
      <c r="Q16" s="108">
        <v>0</v>
      </c>
      <c r="R16" s="108">
        <v>0</v>
      </c>
      <c r="S16" s="108">
        <v>0</v>
      </c>
      <c r="T16" s="108">
        <v>0.8</v>
      </c>
      <c r="U16" s="108">
        <v>0</v>
      </c>
      <c r="V16" s="108">
        <v>0.8</v>
      </c>
      <c r="W16" s="108">
        <v>0</v>
      </c>
      <c r="X16" s="108">
        <v>0</v>
      </c>
      <c r="Y16" s="108">
        <v>0.8</v>
      </c>
      <c r="Z16" s="108">
        <v>0</v>
      </c>
      <c r="AA16" s="108">
        <v>0.8</v>
      </c>
      <c r="AB16" s="108">
        <v>0</v>
      </c>
      <c r="AC16" s="108">
        <v>0</v>
      </c>
      <c r="AD16" s="108">
        <v>0.8</v>
      </c>
      <c r="AE16" s="108">
        <v>0</v>
      </c>
      <c r="AF16" s="108">
        <v>0</v>
      </c>
      <c r="AG16" s="108">
        <v>0</v>
      </c>
      <c r="AH16" s="108">
        <v>0</v>
      </c>
    </row>
    <row r="17" spans="1:34" customFormat="1" x14ac:dyDescent="0.15">
      <c r="A17" s="185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0.8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0.8</v>
      </c>
      <c r="Z17" s="108">
        <v>0</v>
      </c>
      <c r="AA17" s="108">
        <v>0.8</v>
      </c>
      <c r="AB17" s="108">
        <v>0.8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</row>
    <row r="18" spans="1:34" customFormat="1" x14ac:dyDescent="0.15">
      <c r="A18" s="185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0.8</v>
      </c>
      <c r="Q18" s="108">
        <v>0.8</v>
      </c>
      <c r="R18" s="108">
        <v>0.8</v>
      </c>
      <c r="S18" s="108">
        <v>0.8</v>
      </c>
      <c r="T18" s="108">
        <v>0.8</v>
      </c>
      <c r="U18" s="108">
        <v>0.8</v>
      </c>
      <c r="V18" s="108">
        <v>0.8</v>
      </c>
      <c r="W18" s="108">
        <v>0.8</v>
      </c>
      <c r="X18" s="108">
        <v>0.8</v>
      </c>
      <c r="Y18" s="108">
        <v>0.8</v>
      </c>
      <c r="Z18" s="108">
        <v>0.8</v>
      </c>
      <c r="AA18" s="108">
        <v>0</v>
      </c>
      <c r="AB18" s="108">
        <v>0.8</v>
      </c>
      <c r="AC18" s="108">
        <v>0.8</v>
      </c>
      <c r="AD18" s="108">
        <v>0.8</v>
      </c>
      <c r="AE18" s="108">
        <v>0</v>
      </c>
      <c r="AF18" s="108">
        <v>0</v>
      </c>
      <c r="AG18" s="108">
        <v>0</v>
      </c>
      <c r="AH18" s="108">
        <v>0</v>
      </c>
    </row>
    <row r="19" spans="1:34" customFormat="1" x14ac:dyDescent="0.15">
      <c r="A19" s="185" t="s">
        <v>209</v>
      </c>
      <c r="B19" s="108">
        <v>0</v>
      </c>
      <c r="C19" s="108">
        <v>0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0.8</v>
      </c>
      <c r="Q19" s="108">
        <v>0.8</v>
      </c>
      <c r="R19" s="108">
        <v>0.8</v>
      </c>
      <c r="S19" s="108">
        <v>0</v>
      </c>
      <c r="T19" s="108">
        <v>0.8</v>
      </c>
      <c r="U19" s="108">
        <v>0</v>
      </c>
      <c r="V19" s="108">
        <v>0</v>
      </c>
      <c r="W19" s="108">
        <v>0.8</v>
      </c>
      <c r="X19" s="108">
        <v>0.8</v>
      </c>
      <c r="Y19" s="108">
        <v>0</v>
      </c>
      <c r="Z19" s="108">
        <v>0</v>
      </c>
      <c r="AA19" s="108">
        <v>0</v>
      </c>
      <c r="AB19" s="108">
        <v>0.8</v>
      </c>
      <c r="AC19" s="108">
        <v>0.8</v>
      </c>
      <c r="AD19" s="108">
        <v>0.8</v>
      </c>
      <c r="AE19" s="108">
        <v>0</v>
      </c>
      <c r="AF19" s="108">
        <v>0</v>
      </c>
      <c r="AG19" s="108">
        <v>0</v>
      </c>
      <c r="AH19" s="108">
        <v>0</v>
      </c>
    </row>
    <row r="20" spans="1:34" customFormat="1" x14ac:dyDescent="0.15">
      <c r="A20" s="185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0.8</v>
      </c>
      <c r="U20" s="108">
        <v>0</v>
      </c>
      <c r="V20" s="108">
        <v>0</v>
      </c>
      <c r="W20" s="108">
        <v>0</v>
      </c>
      <c r="X20" s="108">
        <v>0.8</v>
      </c>
      <c r="Y20" s="108">
        <v>0.8</v>
      </c>
      <c r="Z20" s="108">
        <v>0.8</v>
      </c>
      <c r="AA20" s="108">
        <v>0</v>
      </c>
      <c r="AB20" s="108">
        <v>0.8</v>
      </c>
      <c r="AC20" s="108">
        <v>0.8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</row>
    <row r="21" spans="1:34" customFormat="1" x14ac:dyDescent="0.15">
      <c r="A21" s="185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0</v>
      </c>
      <c r="M21" s="108">
        <v>0</v>
      </c>
      <c r="N21" s="108">
        <v>0</v>
      </c>
      <c r="O21" s="108">
        <v>0</v>
      </c>
      <c r="P21" s="108">
        <v>0.8</v>
      </c>
      <c r="Q21" s="108">
        <v>0.8</v>
      </c>
      <c r="R21" s="108">
        <v>0.8</v>
      </c>
      <c r="S21" s="108">
        <v>0.8</v>
      </c>
      <c r="T21" s="108">
        <v>0.8</v>
      </c>
      <c r="U21" s="108">
        <v>0</v>
      </c>
      <c r="V21" s="108">
        <v>0.8</v>
      </c>
      <c r="W21" s="108">
        <v>0.8</v>
      </c>
      <c r="X21" s="108">
        <v>0.8</v>
      </c>
      <c r="Y21" s="108">
        <v>0</v>
      </c>
      <c r="Z21" s="108">
        <v>0</v>
      </c>
      <c r="AA21" s="108">
        <v>0</v>
      </c>
      <c r="AB21" s="108">
        <v>0.8</v>
      </c>
      <c r="AC21" s="108">
        <v>0.8</v>
      </c>
      <c r="AD21" s="108">
        <v>0.8</v>
      </c>
      <c r="AE21" s="108">
        <v>0</v>
      </c>
      <c r="AF21" s="108">
        <v>0</v>
      </c>
      <c r="AG21" s="108">
        <v>0</v>
      </c>
      <c r="AH21" s="108">
        <v>0</v>
      </c>
    </row>
    <row r="22" spans="1:34" customFormat="1" x14ac:dyDescent="0.15">
      <c r="A22" s="185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0.8</v>
      </c>
      <c r="W22" s="108">
        <v>0</v>
      </c>
      <c r="X22" s="108">
        <v>0.8</v>
      </c>
      <c r="Y22" s="108">
        <v>0.8</v>
      </c>
      <c r="Z22" s="108">
        <v>0</v>
      </c>
      <c r="AA22" s="108">
        <v>0</v>
      </c>
      <c r="AB22" s="108">
        <v>0.8</v>
      </c>
      <c r="AC22" s="108">
        <v>0.8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</row>
    <row r="23" spans="1:34" customFormat="1" x14ac:dyDescent="0.15">
      <c r="A23" s="185" t="s">
        <v>213</v>
      </c>
      <c r="B23" s="108">
        <v>0</v>
      </c>
      <c r="C23" s="108">
        <v>0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</v>
      </c>
      <c r="L23" s="108">
        <v>0</v>
      </c>
      <c r="M23" s="108">
        <v>0</v>
      </c>
      <c r="N23" s="108">
        <v>0</v>
      </c>
      <c r="O23" s="108">
        <v>0</v>
      </c>
      <c r="P23" s="108">
        <v>0.8</v>
      </c>
      <c r="Q23" s="108">
        <v>0.8</v>
      </c>
      <c r="R23" s="108">
        <v>0</v>
      </c>
      <c r="S23" s="108">
        <v>0.8</v>
      </c>
      <c r="T23" s="108">
        <v>0.8</v>
      </c>
      <c r="U23" s="108">
        <v>0.8</v>
      </c>
      <c r="V23" s="108">
        <v>0.8</v>
      </c>
      <c r="W23" s="108">
        <v>0.8</v>
      </c>
      <c r="X23" s="108">
        <v>0.8</v>
      </c>
      <c r="Y23" s="108">
        <v>0.8</v>
      </c>
      <c r="Z23" s="108">
        <v>0.8</v>
      </c>
      <c r="AA23" s="108">
        <v>0.8</v>
      </c>
      <c r="AB23" s="108">
        <v>0.8</v>
      </c>
      <c r="AC23" s="108">
        <v>0</v>
      </c>
      <c r="AD23" s="108">
        <v>0.8</v>
      </c>
      <c r="AE23" s="108">
        <v>0</v>
      </c>
      <c r="AF23" s="108">
        <v>0</v>
      </c>
      <c r="AG23" s="108">
        <v>0</v>
      </c>
      <c r="AH23" s="108">
        <v>0</v>
      </c>
    </row>
    <row r="24" spans="1:34" customFormat="1" x14ac:dyDescent="0.15">
      <c r="A24" s="185" t="s">
        <v>214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</v>
      </c>
      <c r="L24" s="108">
        <v>0</v>
      </c>
      <c r="M24" s="108">
        <v>0</v>
      </c>
      <c r="N24" s="108">
        <v>0</v>
      </c>
      <c r="O24" s="108">
        <v>0</v>
      </c>
      <c r="P24" s="108">
        <v>0</v>
      </c>
      <c r="Q24" s="108">
        <v>0</v>
      </c>
      <c r="R24" s="108">
        <v>0</v>
      </c>
      <c r="S24" s="108">
        <v>0.8</v>
      </c>
      <c r="T24" s="108">
        <v>0.8</v>
      </c>
      <c r="U24" s="108">
        <v>0.8</v>
      </c>
      <c r="V24" s="108">
        <v>0.8</v>
      </c>
      <c r="W24" s="108">
        <v>0.8</v>
      </c>
      <c r="X24" s="108">
        <v>0.8</v>
      </c>
      <c r="Y24" s="108">
        <v>0.8</v>
      </c>
      <c r="Z24" s="108">
        <v>0.8</v>
      </c>
      <c r="AA24" s="108">
        <v>0.8</v>
      </c>
      <c r="AB24" s="108">
        <v>0.8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</row>
    <row r="25" spans="1:34" customFormat="1" x14ac:dyDescent="0.15">
      <c r="A25" s="185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0.8</v>
      </c>
      <c r="Z25" s="108">
        <v>0</v>
      </c>
      <c r="AA25" s="108">
        <v>0.8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</row>
    <row r="26" spans="1:34" customFormat="1" x14ac:dyDescent="0.15">
      <c r="A26" s="185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0.8</v>
      </c>
      <c r="Y26" s="108">
        <v>0</v>
      </c>
      <c r="Z26" s="108">
        <v>0.8</v>
      </c>
      <c r="AA26" s="108">
        <v>0.8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</row>
    <row r="27" spans="1:34" customFormat="1" x14ac:dyDescent="0.15">
      <c r="A27" s="185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0</v>
      </c>
      <c r="M27" s="108">
        <v>0</v>
      </c>
      <c r="N27" s="108">
        <v>0</v>
      </c>
      <c r="O27" s="108">
        <v>0</v>
      </c>
      <c r="P27" s="108">
        <v>0</v>
      </c>
      <c r="Q27" s="108">
        <v>0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0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</row>
    <row r="28" spans="1:34" customFormat="1" x14ac:dyDescent="0.15">
      <c r="A28" s="185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0.8</v>
      </c>
      <c r="AB28" s="108">
        <v>0</v>
      </c>
      <c r="AC28" s="108">
        <v>0</v>
      </c>
      <c r="AD28" s="108">
        <v>0.8</v>
      </c>
      <c r="AE28" s="108">
        <v>0</v>
      </c>
      <c r="AF28" s="108">
        <v>0</v>
      </c>
      <c r="AG28" s="108">
        <v>0</v>
      </c>
      <c r="AH28" s="108">
        <v>0</v>
      </c>
    </row>
    <row r="29" spans="1:34" customFormat="1" x14ac:dyDescent="0.15">
      <c r="A29" s="185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0</v>
      </c>
      <c r="AA29" s="108">
        <v>0.8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</row>
    <row r="30" spans="1:34" customFormat="1" x14ac:dyDescent="0.15">
      <c r="A30" s="185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0</v>
      </c>
      <c r="X30" s="108">
        <v>0</v>
      </c>
      <c r="Y30" s="108">
        <v>0</v>
      </c>
      <c r="Z30" s="108">
        <v>0</v>
      </c>
      <c r="AA30" s="108">
        <v>0</v>
      </c>
      <c r="AB30" s="108">
        <v>0</v>
      </c>
      <c r="AC30" s="108">
        <v>0</v>
      </c>
      <c r="AD30" s="108">
        <v>0.8</v>
      </c>
      <c r="AE30" s="108">
        <v>0</v>
      </c>
      <c r="AF30" s="108">
        <v>0</v>
      </c>
      <c r="AG30" s="108">
        <v>0</v>
      </c>
      <c r="AH30" s="108">
        <v>0</v>
      </c>
    </row>
    <row r="31" spans="1:34" customFormat="1" x14ac:dyDescent="0.15">
      <c r="A31" s="185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</v>
      </c>
      <c r="AF31" s="108">
        <v>0.8</v>
      </c>
      <c r="AG31" s="108">
        <v>0</v>
      </c>
      <c r="AH31" s="108">
        <v>0</v>
      </c>
    </row>
    <row r="32" spans="1:34" customFormat="1" x14ac:dyDescent="0.15">
      <c r="A32" s="185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0.8</v>
      </c>
      <c r="R32" s="108">
        <v>0.8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0.8</v>
      </c>
      <c r="Y32" s="108">
        <v>0</v>
      </c>
      <c r="Z32" s="108">
        <v>0.8</v>
      </c>
      <c r="AA32" s="108">
        <v>0</v>
      </c>
      <c r="AB32" s="108">
        <v>0.8</v>
      </c>
      <c r="AC32" s="108">
        <v>0</v>
      </c>
      <c r="AD32" s="108">
        <v>0</v>
      </c>
      <c r="AE32" s="108">
        <v>0</v>
      </c>
      <c r="AF32" s="108">
        <v>0.8</v>
      </c>
      <c r="AG32" s="108">
        <v>0</v>
      </c>
      <c r="AH32" s="108">
        <v>0</v>
      </c>
    </row>
    <row r="33" spans="1:34" x14ac:dyDescent="0.15">
      <c r="A33" s="185" t="s">
        <v>223</v>
      </c>
      <c r="B33" s="108">
        <v>0</v>
      </c>
      <c r="C33" s="108">
        <v>0</v>
      </c>
      <c r="D33" s="108">
        <v>0.8</v>
      </c>
      <c r="E33" s="108">
        <v>0</v>
      </c>
      <c r="F33" s="108">
        <v>0</v>
      </c>
      <c r="G33" s="108">
        <v>0.8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0.8</v>
      </c>
      <c r="AF33" s="108">
        <v>0.8</v>
      </c>
      <c r="AG33" s="108">
        <v>0</v>
      </c>
      <c r="AH33" s="108">
        <v>0</v>
      </c>
    </row>
    <row r="34" spans="1:34" x14ac:dyDescent="0.15">
      <c r="A34" s="185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0</v>
      </c>
      <c r="X34" s="108">
        <v>0</v>
      </c>
      <c r="Y34" s="108">
        <v>0</v>
      </c>
      <c r="Z34" s="108">
        <v>0</v>
      </c>
      <c r="AA34" s="108">
        <v>0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  <c r="AH34" s="108">
        <v>0</v>
      </c>
    </row>
    <row r="35" spans="1:34" x14ac:dyDescent="0.15">
      <c r="A35" s="185" t="s">
        <v>228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0.8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0</v>
      </c>
      <c r="AB35" s="108">
        <v>0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34" width="2.33203125" style="108" customWidth="1"/>
    <col min="35" max="16384" width="10.83203125" style="108"/>
  </cols>
  <sheetData>
    <row r="1" spans="1:34" x14ac:dyDescent="0.15">
      <c r="A1" s="62" t="s">
        <v>139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</row>
    <row r="2" spans="1:34" customFormat="1" x14ac:dyDescent="0.15">
      <c r="A2" s="187" t="s">
        <v>192</v>
      </c>
      <c r="B2" s="108">
        <v>0</v>
      </c>
      <c r="C2" s="108">
        <v>0</v>
      </c>
      <c r="D2" s="108">
        <v>1</v>
      </c>
      <c r="E2" s="108">
        <v>1</v>
      </c>
      <c r="F2" s="108">
        <v>1</v>
      </c>
      <c r="G2" s="108">
        <v>0</v>
      </c>
      <c r="H2" s="108">
        <v>1</v>
      </c>
      <c r="I2" s="108">
        <v>1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</row>
    <row r="3" spans="1:34" customFormat="1" x14ac:dyDescent="0.15">
      <c r="A3" s="187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1</v>
      </c>
      <c r="AF3" s="108">
        <v>1</v>
      </c>
      <c r="AG3" s="108">
        <v>0</v>
      </c>
      <c r="AH3" s="108">
        <v>0</v>
      </c>
    </row>
    <row r="4" spans="1:34" customFormat="1" x14ac:dyDescent="0.15">
      <c r="A4" s="187" t="s">
        <v>194</v>
      </c>
      <c r="B4" s="108">
        <v>0</v>
      </c>
      <c r="C4" s="108">
        <v>0</v>
      </c>
      <c r="D4" s="108">
        <v>1</v>
      </c>
      <c r="E4" s="108">
        <v>1</v>
      </c>
      <c r="F4" s="108">
        <v>1</v>
      </c>
      <c r="G4" s="108">
        <v>0</v>
      </c>
      <c r="H4" s="108">
        <v>1</v>
      </c>
      <c r="I4" s="108">
        <v>1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</row>
    <row r="5" spans="1:34" customFormat="1" x14ac:dyDescent="0.15">
      <c r="A5" s="187" t="s">
        <v>195</v>
      </c>
      <c r="B5" s="108">
        <v>0</v>
      </c>
      <c r="C5" s="108">
        <v>0</v>
      </c>
      <c r="D5" s="108">
        <v>0</v>
      </c>
      <c r="E5" s="108">
        <v>0</v>
      </c>
      <c r="F5" s="108">
        <v>1</v>
      </c>
      <c r="G5" s="108">
        <v>1</v>
      </c>
      <c r="H5" s="108">
        <v>1</v>
      </c>
      <c r="I5" s="108">
        <v>1</v>
      </c>
      <c r="J5" s="108">
        <v>1</v>
      </c>
      <c r="K5" s="108">
        <v>1</v>
      </c>
      <c r="L5" s="108">
        <v>1</v>
      </c>
      <c r="M5" s="108">
        <v>1</v>
      </c>
      <c r="N5" s="108">
        <v>1</v>
      </c>
      <c r="O5" s="108">
        <v>1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1</v>
      </c>
      <c r="X5" s="108">
        <v>1</v>
      </c>
      <c r="Y5" s="108">
        <v>0</v>
      </c>
      <c r="Z5" s="108">
        <v>0</v>
      </c>
      <c r="AA5" s="108">
        <v>0</v>
      </c>
      <c r="AB5" s="108">
        <v>0</v>
      </c>
      <c r="AC5" s="108">
        <v>1</v>
      </c>
      <c r="AD5" s="108">
        <v>1</v>
      </c>
      <c r="AE5" s="108">
        <v>0</v>
      </c>
      <c r="AF5" s="108">
        <v>0</v>
      </c>
      <c r="AG5" s="108">
        <v>0</v>
      </c>
      <c r="AH5" s="108">
        <v>0</v>
      </c>
    </row>
    <row r="6" spans="1:34" customFormat="1" x14ac:dyDescent="0.15">
      <c r="A6" s="187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1</v>
      </c>
      <c r="H6" s="108">
        <v>1</v>
      </c>
      <c r="I6" s="108">
        <v>1</v>
      </c>
      <c r="J6" s="108">
        <v>1</v>
      </c>
      <c r="K6" s="108">
        <v>1</v>
      </c>
      <c r="L6" s="108">
        <v>1</v>
      </c>
      <c r="M6" s="108">
        <v>1</v>
      </c>
      <c r="N6" s="108">
        <v>1</v>
      </c>
      <c r="O6" s="108">
        <v>1</v>
      </c>
      <c r="P6" s="108">
        <v>1</v>
      </c>
      <c r="Q6" s="108">
        <v>1</v>
      </c>
      <c r="R6" s="108">
        <v>1</v>
      </c>
      <c r="S6" s="108">
        <v>1</v>
      </c>
      <c r="T6" s="108">
        <v>1</v>
      </c>
      <c r="U6" s="108">
        <v>1</v>
      </c>
      <c r="V6" s="108">
        <v>1</v>
      </c>
      <c r="W6" s="108">
        <v>1</v>
      </c>
      <c r="X6" s="108">
        <v>1</v>
      </c>
      <c r="Y6" s="108">
        <v>0</v>
      </c>
      <c r="Z6" s="108">
        <v>0</v>
      </c>
      <c r="AA6" s="108">
        <v>0</v>
      </c>
      <c r="AB6" s="108">
        <v>0</v>
      </c>
      <c r="AC6" s="108">
        <v>1</v>
      </c>
      <c r="AD6" s="108">
        <v>1</v>
      </c>
      <c r="AE6" s="108">
        <v>0</v>
      </c>
      <c r="AF6" s="108">
        <v>0</v>
      </c>
      <c r="AG6" s="108">
        <v>0</v>
      </c>
      <c r="AH6" s="108">
        <v>0</v>
      </c>
    </row>
    <row r="7" spans="1:34" customFormat="1" x14ac:dyDescent="0.15">
      <c r="A7" s="187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1</v>
      </c>
      <c r="H7" s="108">
        <v>0</v>
      </c>
      <c r="I7" s="108">
        <v>0</v>
      </c>
      <c r="J7" s="108">
        <v>0</v>
      </c>
      <c r="K7" s="108">
        <v>1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</row>
    <row r="8" spans="1:34" customFormat="1" x14ac:dyDescent="0.15">
      <c r="A8" s="187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1</v>
      </c>
      <c r="M8" s="108">
        <v>0</v>
      </c>
      <c r="N8" s="108">
        <v>1</v>
      </c>
      <c r="O8" s="108">
        <v>0</v>
      </c>
      <c r="P8" s="108">
        <v>1</v>
      </c>
      <c r="Q8" s="108">
        <v>1</v>
      </c>
      <c r="R8" s="108">
        <v>1</v>
      </c>
      <c r="S8" s="108">
        <v>1</v>
      </c>
      <c r="T8" s="108">
        <v>1</v>
      </c>
      <c r="U8" s="108">
        <v>1</v>
      </c>
      <c r="V8" s="108">
        <v>1</v>
      </c>
      <c r="W8" s="108">
        <v>1</v>
      </c>
      <c r="X8" s="108">
        <v>1</v>
      </c>
      <c r="Y8" s="108">
        <v>1</v>
      </c>
      <c r="Z8" s="108">
        <v>0</v>
      </c>
      <c r="AA8" s="108">
        <v>0</v>
      </c>
      <c r="AB8" s="108">
        <v>1</v>
      </c>
      <c r="AC8" s="108">
        <v>1</v>
      </c>
      <c r="AD8" s="108">
        <v>1</v>
      </c>
      <c r="AE8" s="108">
        <v>0</v>
      </c>
      <c r="AF8" s="108">
        <v>0</v>
      </c>
      <c r="AG8" s="108">
        <v>0</v>
      </c>
      <c r="AH8" s="108">
        <v>0</v>
      </c>
    </row>
    <row r="9" spans="1:34" customFormat="1" x14ac:dyDescent="0.15">
      <c r="A9" s="187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  <c r="J9" s="108">
        <v>0</v>
      </c>
      <c r="K9" s="108">
        <v>0</v>
      </c>
      <c r="L9" s="108">
        <v>1</v>
      </c>
      <c r="M9" s="108">
        <v>0</v>
      </c>
      <c r="N9" s="108">
        <v>1</v>
      </c>
      <c r="O9" s="108">
        <v>0</v>
      </c>
      <c r="P9" s="108">
        <v>1</v>
      </c>
      <c r="Q9" s="108">
        <v>1</v>
      </c>
      <c r="R9" s="108">
        <v>1</v>
      </c>
      <c r="S9" s="108">
        <v>1</v>
      </c>
      <c r="T9" s="108">
        <v>1</v>
      </c>
      <c r="U9" s="108">
        <v>1</v>
      </c>
      <c r="V9" s="108">
        <v>1</v>
      </c>
      <c r="W9" s="108">
        <v>1</v>
      </c>
      <c r="X9" s="108">
        <v>0</v>
      </c>
      <c r="Y9" s="108">
        <v>1</v>
      </c>
      <c r="Z9" s="108">
        <v>0</v>
      </c>
      <c r="AA9" s="108">
        <v>0</v>
      </c>
      <c r="AB9" s="108">
        <v>1</v>
      </c>
      <c r="AC9" s="108">
        <v>1</v>
      </c>
      <c r="AD9" s="108">
        <v>1</v>
      </c>
      <c r="AE9" s="108">
        <v>0</v>
      </c>
      <c r="AF9" s="108">
        <v>0</v>
      </c>
      <c r="AG9" s="108">
        <v>0</v>
      </c>
      <c r="AH9" s="108">
        <v>0</v>
      </c>
    </row>
    <row r="10" spans="1:34" customFormat="1" x14ac:dyDescent="0.15">
      <c r="A10" s="187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1</v>
      </c>
      <c r="M10" s="108">
        <v>0</v>
      </c>
      <c r="N10" s="108">
        <v>1</v>
      </c>
      <c r="O10" s="108">
        <v>0</v>
      </c>
      <c r="P10" s="108">
        <v>1</v>
      </c>
      <c r="Q10" s="108">
        <v>1</v>
      </c>
      <c r="R10" s="108">
        <v>1</v>
      </c>
      <c r="S10" s="108">
        <v>1</v>
      </c>
      <c r="T10" s="108">
        <v>1</v>
      </c>
      <c r="U10" s="108">
        <v>1</v>
      </c>
      <c r="V10" s="108">
        <v>1</v>
      </c>
      <c r="W10" s="108">
        <v>1</v>
      </c>
      <c r="X10" s="108">
        <v>1</v>
      </c>
      <c r="Y10" s="108">
        <v>1</v>
      </c>
      <c r="Z10" s="108">
        <v>0</v>
      </c>
      <c r="AA10" s="108">
        <v>0</v>
      </c>
      <c r="AB10" s="108">
        <v>1</v>
      </c>
      <c r="AC10" s="108">
        <v>1</v>
      </c>
      <c r="AD10" s="108">
        <v>1</v>
      </c>
      <c r="AE10" s="108">
        <v>0</v>
      </c>
      <c r="AF10" s="108">
        <v>0</v>
      </c>
      <c r="AG10" s="108">
        <v>0</v>
      </c>
      <c r="AH10" s="108">
        <v>0</v>
      </c>
    </row>
    <row r="11" spans="1:34" customFormat="1" x14ac:dyDescent="0.15">
      <c r="A11" s="187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0</v>
      </c>
      <c r="P11" s="108">
        <v>1</v>
      </c>
      <c r="Q11" s="108">
        <v>1</v>
      </c>
      <c r="R11" s="108">
        <v>0</v>
      </c>
      <c r="S11" s="108">
        <v>0</v>
      </c>
      <c r="T11" s="108">
        <v>1</v>
      </c>
      <c r="U11" s="108">
        <v>1</v>
      </c>
      <c r="V11" s="108">
        <v>1</v>
      </c>
      <c r="W11" s="108">
        <v>0</v>
      </c>
      <c r="X11" s="108">
        <v>0</v>
      </c>
      <c r="Y11" s="108">
        <v>1</v>
      </c>
      <c r="Z11" s="108">
        <v>0</v>
      </c>
      <c r="AA11" s="108">
        <v>0</v>
      </c>
      <c r="AB11" s="108">
        <v>1</v>
      </c>
      <c r="AC11" s="108">
        <v>1</v>
      </c>
      <c r="AD11" s="108">
        <v>1</v>
      </c>
      <c r="AE11" s="108">
        <v>0</v>
      </c>
      <c r="AF11" s="108">
        <v>0</v>
      </c>
      <c r="AG11" s="108">
        <v>0</v>
      </c>
      <c r="AH11" s="108">
        <v>0</v>
      </c>
    </row>
    <row r="12" spans="1:34" customFormat="1" x14ac:dyDescent="0.15">
      <c r="A12" s="187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0</v>
      </c>
      <c r="M12" s="108">
        <v>0</v>
      </c>
      <c r="N12" s="108">
        <v>0</v>
      </c>
      <c r="O12" s="108">
        <v>0</v>
      </c>
      <c r="P12" s="108">
        <v>1</v>
      </c>
      <c r="Q12" s="108">
        <v>1</v>
      </c>
      <c r="R12" s="108">
        <v>0</v>
      </c>
      <c r="S12" s="108">
        <v>0</v>
      </c>
      <c r="T12" s="108">
        <v>1</v>
      </c>
      <c r="U12" s="108">
        <v>0</v>
      </c>
      <c r="V12" s="108">
        <v>0</v>
      </c>
      <c r="W12" s="108">
        <v>0</v>
      </c>
      <c r="X12" s="108">
        <v>0</v>
      </c>
      <c r="Y12" s="108">
        <v>1</v>
      </c>
      <c r="Z12" s="108">
        <v>0</v>
      </c>
      <c r="AA12" s="108">
        <v>0</v>
      </c>
      <c r="AB12" s="108">
        <v>1</v>
      </c>
      <c r="AC12" s="108">
        <v>0</v>
      </c>
      <c r="AD12" s="108">
        <v>1</v>
      </c>
      <c r="AE12" s="108">
        <v>0</v>
      </c>
      <c r="AF12" s="108">
        <v>0</v>
      </c>
      <c r="AG12" s="108">
        <v>0</v>
      </c>
      <c r="AH12" s="108">
        <v>0</v>
      </c>
    </row>
    <row r="13" spans="1:34" customFormat="1" x14ac:dyDescent="0.15">
      <c r="A13" s="187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1</v>
      </c>
      <c r="Q13" s="108">
        <v>1</v>
      </c>
      <c r="R13" s="108">
        <v>0</v>
      </c>
      <c r="S13" s="108">
        <v>0</v>
      </c>
      <c r="T13" s="108">
        <v>1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1</v>
      </c>
      <c r="AC13" s="108">
        <v>0</v>
      </c>
      <c r="AD13" s="108">
        <v>1</v>
      </c>
      <c r="AE13" s="108">
        <v>0</v>
      </c>
      <c r="AF13" s="108">
        <v>0</v>
      </c>
      <c r="AG13" s="108">
        <v>0</v>
      </c>
      <c r="AH13" s="108">
        <v>0</v>
      </c>
    </row>
    <row r="14" spans="1:34" customFormat="1" x14ac:dyDescent="0.15">
      <c r="A14" s="187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1</v>
      </c>
      <c r="Q14" s="108">
        <v>0</v>
      </c>
      <c r="R14" s="108">
        <v>0</v>
      </c>
      <c r="S14" s="108">
        <v>0</v>
      </c>
      <c r="T14" s="108">
        <v>1</v>
      </c>
      <c r="U14" s="108">
        <v>0</v>
      </c>
      <c r="V14" s="108">
        <v>0</v>
      </c>
      <c r="W14" s="108">
        <v>0</v>
      </c>
      <c r="X14" s="108">
        <v>0</v>
      </c>
      <c r="Y14" s="108">
        <v>1</v>
      </c>
      <c r="Z14" s="108">
        <v>1</v>
      </c>
      <c r="AA14" s="108">
        <v>1</v>
      </c>
      <c r="AB14" s="108">
        <v>1</v>
      </c>
      <c r="AC14" s="108">
        <v>1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</row>
    <row r="15" spans="1:34" customFormat="1" x14ac:dyDescent="0.15">
      <c r="A15" s="187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1</v>
      </c>
      <c r="M15" s="108">
        <v>0</v>
      </c>
      <c r="N15" s="108">
        <v>0</v>
      </c>
      <c r="O15" s="108">
        <v>0</v>
      </c>
      <c r="P15" s="108">
        <v>1</v>
      </c>
      <c r="Q15" s="108">
        <v>1</v>
      </c>
      <c r="R15" s="108">
        <v>1</v>
      </c>
      <c r="S15" s="108">
        <v>1</v>
      </c>
      <c r="T15" s="108">
        <v>1</v>
      </c>
      <c r="U15" s="108">
        <v>1</v>
      </c>
      <c r="V15" s="108">
        <v>1</v>
      </c>
      <c r="W15" s="108">
        <v>1</v>
      </c>
      <c r="X15" s="108">
        <v>1</v>
      </c>
      <c r="Y15" s="108">
        <v>1</v>
      </c>
      <c r="Z15" s="108">
        <v>1</v>
      </c>
      <c r="AA15" s="108">
        <v>0</v>
      </c>
      <c r="AB15" s="108">
        <v>1</v>
      </c>
      <c r="AC15" s="108">
        <v>1</v>
      </c>
      <c r="AD15" s="108">
        <v>1</v>
      </c>
      <c r="AE15" s="108">
        <v>0</v>
      </c>
      <c r="AF15" s="108">
        <v>0</v>
      </c>
      <c r="AG15" s="108">
        <v>0</v>
      </c>
      <c r="AH15" s="108">
        <v>0</v>
      </c>
    </row>
    <row r="16" spans="1:34" customFormat="1" x14ac:dyDescent="0.15">
      <c r="A16" s="187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1</v>
      </c>
      <c r="Q16" s="108">
        <v>0</v>
      </c>
      <c r="R16" s="108">
        <v>0</v>
      </c>
      <c r="S16" s="108">
        <v>0</v>
      </c>
      <c r="T16" s="108">
        <v>1</v>
      </c>
      <c r="U16" s="108">
        <v>0</v>
      </c>
      <c r="V16" s="108">
        <v>1</v>
      </c>
      <c r="W16" s="108">
        <v>0</v>
      </c>
      <c r="X16" s="108">
        <v>0</v>
      </c>
      <c r="Y16" s="108">
        <v>1</v>
      </c>
      <c r="Z16" s="108">
        <v>0</v>
      </c>
      <c r="AA16" s="108">
        <v>1</v>
      </c>
      <c r="AB16" s="108">
        <v>0</v>
      </c>
      <c r="AC16" s="108">
        <v>0</v>
      </c>
      <c r="AD16" s="108">
        <v>1</v>
      </c>
      <c r="AE16" s="108">
        <v>0</v>
      </c>
      <c r="AF16" s="108">
        <v>0</v>
      </c>
      <c r="AG16" s="108">
        <v>0</v>
      </c>
      <c r="AH16" s="108">
        <v>0</v>
      </c>
    </row>
    <row r="17" spans="1:34" customFormat="1" x14ac:dyDescent="0.15">
      <c r="A17" s="187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1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1</v>
      </c>
      <c r="Z17" s="108">
        <v>0</v>
      </c>
      <c r="AA17" s="108">
        <v>1</v>
      </c>
      <c r="AB17" s="108">
        <v>1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</row>
    <row r="18" spans="1:34" customFormat="1" x14ac:dyDescent="0.15">
      <c r="A18" s="187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1</v>
      </c>
      <c r="Q18" s="108">
        <v>1</v>
      </c>
      <c r="R18" s="108">
        <v>1</v>
      </c>
      <c r="S18" s="108">
        <v>1</v>
      </c>
      <c r="T18" s="108">
        <v>1</v>
      </c>
      <c r="U18" s="108">
        <v>1</v>
      </c>
      <c r="V18" s="108">
        <v>1</v>
      </c>
      <c r="W18" s="108">
        <v>1</v>
      </c>
      <c r="X18" s="108">
        <v>1</v>
      </c>
      <c r="Y18" s="108">
        <v>1</v>
      </c>
      <c r="Z18" s="108">
        <v>1</v>
      </c>
      <c r="AA18" s="108">
        <v>0</v>
      </c>
      <c r="AB18" s="108">
        <v>1</v>
      </c>
      <c r="AC18" s="108">
        <v>1</v>
      </c>
      <c r="AD18" s="108">
        <v>1</v>
      </c>
      <c r="AE18" s="108">
        <v>0</v>
      </c>
      <c r="AF18" s="108">
        <v>0</v>
      </c>
      <c r="AG18" s="108">
        <v>0</v>
      </c>
      <c r="AH18" s="108">
        <v>0</v>
      </c>
    </row>
    <row r="19" spans="1:34" customFormat="1" x14ac:dyDescent="0.15">
      <c r="A19" s="187" t="s">
        <v>209</v>
      </c>
      <c r="B19" s="108">
        <v>0</v>
      </c>
      <c r="C19" s="108">
        <v>0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1</v>
      </c>
      <c r="Q19" s="108">
        <v>1</v>
      </c>
      <c r="R19" s="108">
        <v>1</v>
      </c>
      <c r="S19" s="108">
        <v>0</v>
      </c>
      <c r="T19" s="108">
        <v>1</v>
      </c>
      <c r="U19" s="108">
        <v>0</v>
      </c>
      <c r="V19" s="108">
        <v>0</v>
      </c>
      <c r="W19" s="108">
        <v>1</v>
      </c>
      <c r="X19" s="108">
        <v>1</v>
      </c>
      <c r="Y19" s="108">
        <v>0</v>
      </c>
      <c r="Z19" s="108">
        <v>0</v>
      </c>
      <c r="AA19" s="108">
        <v>0</v>
      </c>
      <c r="AB19" s="108">
        <v>1</v>
      </c>
      <c r="AC19" s="108">
        <v>1</v>
      </c>
      <c r="AD19" s="108">
        <v>1</v>
      </c>
      <c r="AE19" s="108">
        <v>0</v>
      </c>
      <c r="AF19" s="108">
        <v>0</v>
      </c>
      <c r="AG19" s="108">
        <v>0</v>
      </c>
      <c r="AH19" s="108">
        <v>0</v>
      </c>
    </row>
    <row r="20" spans="1:34" customFormat="1" x14ac:dyDescent="0.15">
      <c r="A20" s="187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1</v>
      </c>
      <c r="U20" s="108">
        <v>0</v>
      </c>
      <c r="V20" s="108">
        <v>0</v>
      </c>
      <c r="W20" s="108">
        <v>0</v>
      </c>
      <c r="X20" s="108">
        <v>1</v>
      </c>
      <c r="Y20" s="108">
        <v>1</v>
      </c>
      <c r="Z20" s="108">
        <v>1</v>
      </c>
      <c r="AA20" s="108">
        <v>0</v>
      </c>
      <c r="AB20" s="108">
        <v>1</v>
      </c>
      <c r="AC20" s="108">
        <v>1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</row>
    <row r="21" spans="1:34" customFormat="1" x14ac:dyDescent="0.15">
      <c r="A21" s="187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0</v>
      </c>
      <c r="M21" s="108">
        <v>0</v>
      </c>
      <c r="N21" s="108">
        <v>0</v>
      </c>
      <c r="O21" s="108">
        <v>0</v>
      </c>
      <c r="P21" s="108">
        <v>1</v>
      </c>
      <c r="Q21" s="108">
        <v>1</v>
      </c>
      <c r="R21" s="108">
        <v>1</v>
      </c>
      <c r="S21" s="108">
        <v>1</v>
      </c>
      <c r="T21" s="108">
        <v>1</v>
      </c>
      <c r="U21" s="108">
        <v>0</v>
      </c>
      <c r="V21" s="108">
        <v>1</v>
      </c>
      <c r="W21" s="108">
        <v>1</v>
      </c>
      <c r="X21" s="108">
        <v>1</v>
      </c>
      <c r="Y21" s="108">
        <v>0</v>
      </c>
      <c r="Z21" s="108">
        <v>0</v>
      </c>
      <c r="AA21" s="108">
        <v>0</v>
      </c>
      <c r="AB21" s="108">
        <v>1</v>
      </c>
      <c r="AC21" s="108">
        <v>1</v>
      </c>
      <c r="AD21" s="108">
        <v>1</v>
      </c>
      <c r="AE21" s="108">
        <v>0</v>
      </c>
      <c r="AF21" s="108">
        <v>0</v>
      </c>
      <c r="AG21" s="108">
        <v>0</v>
      </c>
      <c r="AH21" s="108">
        <v>0</v>
      </c>
    </row>
    <row r="22" spans="1:34" customFormat="1" x14ac:dyDescent="0.15">
      <c r="A22" s="187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1</v>
      </c>
      <c r="W22" s="108">
        <v>0</v>
      </c>
      <c r="X22" s="108">
        <v>1</v>
      </c>
      <c r="Y22" s="108">
        <v>1</v>
      </c>
      <c r="Z22" s="108">
        <v>0</v>
      </c>
      <c r="AA22" s="108">
        <v>0</v>
      </c>
      <c r="AB22" s="108">
        <v>1</v>
      </c>
      <c r="AC22" s="108">
        <v>1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</row>
    <row r="23" spans="1:34" customFormat="1" x14ac:dyDescent="0.15">
      <c r="A23" s="187" t="s">
        <v>213</v>
      </c>
      <c r="B23" s="108">
        <v>0</v>
      </c>
      <c r="C23" s="108">
        <v>0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</v>
      </c>
      <c r="L23" s="108">
        <v>0</v>
      </c>
      <c r="M23" s="108">
        <v>0</v>
      </c>
      <c r="N23" s="108">
        <v>0</v>
      </c>
      <c r="O23" s="108">
        <v>0</v>
      </c>
      <c r="P23" s="108">
        <v>1</v>
      </c>
      <c r="Q23" s="108">
        <v>1</v>
      </c>
      <c r="R23" s="108">
        <v>0</v>
      </c>
      <c r="S23" s="108">
        <v>1</v>
      </c>
      <c r="T23" s="108">
        <v>1</v>
      </c>
      <c r="U23" s="108">
        <v>1</v>
      </c>
      <c r="V23" s="108">
        <v>1</v>
      </c>
      <c r="W23" s="108">
        <v>1</v>
      </c>
      <c r="X23" s="108">
        <v>1</v>
      </c>
      <c r="Y23" s="108">
        <v>1</v>
      </c>
      <c r="Z23" s="108">
        <v>1</v>
      </c>
      <c r="AA23" s="108">
        <v>1</v>
      </c>
      <c r="AB23" s="108">
        <v>1</v>
      </c>
      <c r="AC23" s="108">
        <v>0</v>
      </c>
      <c r="AD23" s="108">
        <v>1</v>
      </c>
      <c r="AE23" s="108">
        <v>0</v>
      </c>
      <c r="AF23" s="108">
        <v>0</v>
      </c>
      <c r="AG23" s="108">
        <v>0</v>
      </c>
      <c r="AH23" s="108">
        <v>0</v>
      </c>
    </row>
    <row r="24" spans="1:34" customFormat="1" x14ac:dyDescent="0.15">
      <c r="A24" s="187" t="s">
        <v>214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</v>
      </c>
      <c r="L24" s="108">
        <v>0</v>
      </c>
      <c r="M24" s="108">
        <v>0</v>
      </c>
      <c r="N24" s="108">
        <v>0</v>
      </c>
      <c r="O24" s="108">
        <v>0</v>
      </c>
      <c r="P24" s="108">
        <v>0</v>
      </c>
      <c r="Q24" s="108">
        <v>0</v>
      </c>
      <c r="R24" s="108">
        <v>0</v>
      </c>
      <c r="S24" s="108">
        <v>1</v>
      </c>
      <c r="T24" s="108">
        <v>1</v>
      </c>
      <c r="U24" s="108">
        <v>1</v>
      </c>
      <c r="V24" s="108">
        <v>1</v>
      </c>
      <c r="W24" s="108">
        <v>1</v>
      </c>
      <c r="X24" s="108">
        <v>1</v>
      </c>
      <c r="Y24" s="108">
        <v>1</v>
      </c>
      <c r="Z24" s="108">
        <v>1</v>
      </c>
      <c r="AA24" s="108">
        <v>1</v>
      </c>
      <c r="AB24" s="108">
        <v>1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</row>
    <row r="25" spans="1:34" customFormat="1" x14ac:dyDescent="0.15">
      <c r="A25" s="187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1</v>
      </c>
      <c r="Z25" s="108">
        <v>0</v>
      </c>
      <c r="AA25" s="108">
        <v>1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</row>
    <row r="26" spans="1:34" customFormat="1" x14ac:dyDescent="0.15">
      <c r="A26" s="187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1</v>
      </c>
      <c r="Y26" s="108">
        <v>0</v>
      </c>
      <c r="Z26" s="108">
        <v>1</v>
      </c>
      <c r="AA26" s="108">
        <v>1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</row>
    <row r="27" spans="1:34" customFormat="1" x14ac:dyDescent="0.15">
      <c r="A27" s="187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0</v>
      </c>
      <c r="M27" s="108">
        <v>0</v>
      </c>
      <c r="N27" s="108">
        <v>0</v>
      </c>
      <c r="O27" s="108">
        <v>0</v>
      </c>
      <c r="P27" s="108">
        <v>0</v>
      </c>
      <c r="Q27" s="108">
        <v>0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0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</row>
    <row r="28" spans="1:34" customFormat="1" x14ac:dyDescent="0.15">
      <c r="A28" s="187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1</v>
      </c>
      <c r="AB28" s="108">
        <v>0</v>
      </c>
      <c r="AC28" s="108">
        <v>0</v>
      </c>
      <c r="AD28" s="108">
        <v>1</v>
      </c>
      <c r="AE28" s="108">
        <v>0</v>
      </c>
      <c r="AF28" s="108">
        <v>0</v>
      </c>
      <c r="AG28" s="108">
        <v>0</v>
      </c>
      <c r="AH28" s="108">
        <v>0</v>
      </c>
    </row>
    <row r="29" spans="1:34" customFormat="1" x14ac:dyDescent="0.15">
      <c r="A29" s="187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0</v>
      </c>
      <c r="AA29" s="108">
        <v>1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</row>
    <row r="30" spans="1:34" customFormat="1" x14ac:dyDescent="0.15">
      <c r="A30" s="187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0</v>
      </c>
      <c r="X30" s="108">
        <v>0</v>
      </c>
      <c r="Y30" s="108">
        <v>0</v>
      </c>
      <c r="Z30" s="108">
        <v>0</v>
      </c>
      <c r="AA30" s="108">
        <v>0</v>
      </c>
      <c r="AB30" s="108">
        <v>0</v>
      </c>
      <c r="AC30" s="108">
        <v>0</v>
      </c>
      <c r="AD30" s="108">
        <v>1</v>
      </c>
      <c r="AE30" s="108">
        <v>0</v>
      </c>
      <c r="AF30" s="108">
        <v>0</v>
      </c>
      <c r="AG30" s="108">
        <v>0</v>
      </c>
      <c r="AH30" s="108">
        <v>0</v>
      </c>
    </row>
    <row r="31" spans="1:34" customFormat="1" x14ac:dyDescent="0.15">
      <c r="A31" s="187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</v>
      </c>
      <c r="AF31" s="108">
        <v>1</v>
      </c>
      <c r="AG31" s="108">
        <v>0</v>
      </c>
      <c r="AH31" s="108">
        <v>0</v>
      </c>
    </row>
    <row r="32" spans="1:34" x14ac:dyDescent="0.15">
      <c r="A32" s="187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1</v>
      </c>
      <c r="R32" s="108">
        <v>1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1</v>
      </c>
      <c r="Y32" s="108">
        <v>0</v>
      </c>
      <c r="Z32" s="108">
        <v>1</v>
      </c>
      <c r="AA32" s="108">
        <v>0</v>
      </c>
      <c r="AB32" s="108">
        <v>1</v>
      </c>
      <c r="AC32" s="108">
        <v>0</v>
      </c>
      <c r="AD32" s="108">
        <v>0</v>
      </c>
      <c r="AE32" s="108">
        <v>0</v>
      </c>
      <c r="AF32" s="108">
        <v>1</v>
      </c>
      <c r="AG32" s="108">
        <v>0</v>
      </c>
      <c r="AH32" s="108">
        <v>0</v>
      </c>
    </row>
    <row r="33" spans="1:34" x14ac:dyDescent="0.15">
      <c r="A33" s="187" t="s">
        <v>223</v>
      </c>
      <c r="B33" s="108">
        <v>0</v>
      </c>
      <c r="C33" s="108">
        <v>0</v>
      </c>
      <c r="D33" s="108">
        <v>1</v>
      </c>
      <c r="E33" s="108">
        <v>0</v>
      </c>
      <c r="F33" s="108">
        <v>0</v>
      </c>
      <c r="G33" s="108">
        <v>1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1</v>
      </c>
      <c r="AF33" s="108">
        <v>1</v>
      </c>
      <c r="AG33" s="108">
        <v>0</v>
      </c>
      <c r="AH33" s="108">
        <v>0</v>
      </c>
    </row>
    <row r="34" spans="1:34" x14ac:dyDescent="0.15">
      <c r="A34" s="187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0</v>
      </c>
      <c r="X34" s="108">
        <v>0</v>
      </c>
      <c r="Y34" s="108">
        <v>0</v>
      </c>
      <c r="Z34" s="108">
        <v>0</v>
      </c>
      <c r="AA34" s="108">
        <v>0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  <c r="AH34" s="108">
        <v>0</v>
      </c>
    </row>
    <row r="35" spans="1:34" x14ac:dyDescent="0.15">
      <c r="A35" s="187" t="s">
        <v>228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1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0</v>
      </c>
      <c r="AB35" s="108">
        <v>0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4" width="2.33203125" bestFit="1" customWidth="1"/>
    <col min="5" max="5" width="2.33203125" customWidth="1"/>
  </cols>
  <sheetData>
    <row r="1" spans="1:5" ht="112" x14ac:dyDescent="0.15">
      <c r="A1" s="5" t="s">
        <v>83</v>
      </c>
      <c r="B1" s="3" t="s">
        <v>0</v>
      </c>
      <c r="C1" s="190" t="s">
        <v>225</v>
      </c>
      <c r="D1" s="190" t="s">
        <v>226</v>
      </c>
      <c r="E1" s="190" t="s">
        <v>227</v>
      </c>
    </row>
    <row r="2" spans="1:5" x14ac:dyDescent="0.15">
      <c r="A2">
        <v>1</v>
      </c>
      <c r="B2" s="189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89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89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89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89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89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89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89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89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89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89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89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89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9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89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89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89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89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89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89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89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89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89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89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9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89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89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9" t="s">
        <v>219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9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9" t="s">
        <v>221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9" t="s">
        <v>222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9" t="s">
        <v>223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89" t="s">
        <v>224</v>
      </c>
      <c r="C34">
        <v>0</v>
      </c>
      <c r="D34">
        <v>0</v>
      </c>
      <c r="E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4" width="2.33203125" bestFit="1" customWidth="1"/>
    <col min="5" max="5" width="2.33203125" customWidth="1"/>
  </cols>
  <sheetData>
    <row r="1" spans="1:5" ht="112" x14ac:dyDescent="0.15">
      <c r="A1" s="5" t="s">
        <v>82</v>
      </c>
      <c r="B1" s="3" t="s">
        <v>0</v>
      </c>
      <c r="C1" s="192" t="s">
        <v>225</v>
      </c>
      <c r="D1" s="192" t="s">
        <v>226</v>
      </c>
      <c r="E1" s="192" t="s">
        <v>227</v>
      </c>
    </row>
    <row r="2" spans="1:5" x14ac:dyDescent="0.15">
      <c r="A2">
        <v>1</v>
      </c>
      <c r="B2" s="191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91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91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91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91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91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91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91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91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91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91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91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91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91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91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91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91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91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91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91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91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91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91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91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91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91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91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91" t="s">
        <v>219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91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91" t="s">
        <v>221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91" t="s">
        <v>222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91" t="s">
        <v>223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91" t="s">
        <v>224</v>
      </c>
      <c r="C34">
        <v>0</v>
      </c>
      <c r="D34">
        <v>0</v>
      </c>
      <c r="E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192</v>
      </c>
      <c r="C2" s="8">
        <v>1</v>
      </c>
      <c r="D2" s="9">
        <v>76.938003540039062</v>
      </c>
      <c r="E2" s="9">
        <v>154.39999389648438</v>
      </c>
      <c r="F2" s="10"/>
      <c r="G2" s="9">
        <v>0.22952684760093689</v>
      </c>
      <c r="H2" s="10"/>
      <c r="I2">
        <v>0</v>
      </c>
      <c r="J2"/>
    </row>
    <row r="3" spans="1:10" ht="15" customHeight="1" x14ac:dyDescent="0.15">
      <c r="A3" s="145">
        <v>2</v>
      </c>
      <c r="B3" s="145" t="s">
        <v>193</v>
      </c>
      <c r="C3" s="8">
        <v>1</v>
      </c>
      <c r="D3" s="9">
        <v>6.3806424140930176</v>
      </c>
      <c r="E3" s="9">
        <v>15</v>
      </c>
      <c r="F3" s="10"/>
      <c r="G3" s="9">
        <v>0.5</v>
      </c>
      <c r="H3" s="10"/>
      <c r="I3">
        <v>0</v>
      </c>
      <c r="J3"/>
    </row>
    <row r="4" spans="1:10" ht="15" customHeight="1" x14ac:dyDescent="0.15">
      <c r="A4" s="146">
        <v>3</v>
      </c>
      <c r="B4" s="146" t="s">
        <v>194</v>
      </c>
      <c r="C4" s="8">
        <v>2.0526316165924072</v>
      </c>
      <c r="D4" s="9">
        <v>2.4059479236602783</v>
      </c>
      <c r="E4" s="9">
        <v>482</v>
      </c>
      <c r="F4" s="9">
        <v>1928</v>
      </c>
      <c r="G4" s="9">
        <v>0.94999992847442627</v>
      </c>
      <c r="H4" s="9">
        <v>0.25</v>
      </c>
      <c r="I4">
        <v>0</v>
      </c>
      <c r="J4"/>
    </row>
    <row r="5" spans="1:10" ht="15" customHeight="1" x14ac:dyDescent="0.15">
      <c r="A5" s="147">
        <v>4</v>
      </c>
      <c r="B5" s="147" t="s">
        <v>195</v>
      </c>
      <c r="C5" s="8">
        <v>2.5263156890869141</v>
      </c>
      <c r="D5" s="9">
        <v>10.093006134033203</v>
      </c>
      <c r="E5" s="9">
        <v>40</v>
      </c>
      <c r="F5" s="9">
        <v>133.33299255371094</v>
      </c>
      <c r="G5" s="9">
        <v>0.95000004768371582</v>
      </c>
      <c r="H5" s="9">
        <v>0.30000075697898865</v>
      </c>
      <c r="I5">
        <v>0</v>
      </c>
      <c r="J5"/>
    </row>
    <row r="6" spans="1:10" ht="15" customHeight="1" x14ac:dyDescent="0.15">
      <c r="A6" s="148">
        <v>5</v>
      </c>
      <c r="B6" s="148" t="s">
        <v>196</v>
      </c>
      <c r="C6" s="8">
        <v>2.8603157997131348</v>
      </c>
      <c r="D6" s="9">
        <v>17.762994766235352</v>
      </c>
      <c r="E6" s="9">
        <v>13</v>
      </c>
      <c r="F6" s="9">
        <v>31.707000732421875</v>
      </c>
      <c r="G6" s="9">
        <v>0.94996941089630127</v>
      </c>
      <c r="H6" s="9">
        <v>0.41000407934188843</v>
      </c>
      <c r="I6">
        <v>0</v>
      </c>
      <c r="J6"/>
    </row>
    <row r="7" spans="1:10" ht="15" customHeight="1" x14ac:dyDescent="0.15">
      <c r="A7" s="149">
        <v>6</v>
      </c>
      <c r="B7" s="149" t="s">
        <v>197</v>
      </c>
      <c r="C7" s="8">
        <v>3.2917499542236328</v>
      </c>
      <c r="D7" s="9">
        <v>5</v>
      </c>
      <c r="E7" s="9">
        <v>0.58399999141693115</v>
      </c>
      <c r="F7" s="9">
        <v>1.6690000295639038</v>
      </c>
      <c r="G7" s="9">
        <v>0.16649192571640015</v>
      </c>
      <c r="H7" s="9">
        <v>0.34991011023521423</v>
      </c>
      <c r="I7">
        <v>0</v>
      </c>
      <c r="J7"/>
    </row>
    <row r="8" spans="1:10" ht="15" customHeight="1" x14ac:dyDescent="0.15">
      <c r="A8" s="150">
        <v>7</v>
      </c>
      <c r="B8" s="150" t="s">
        <v>198</v>
      </c>
      <c r="C8" s="8">
        <v>3.5446126461029053</v>
      </c>
      <c r="D8" s="9">
        <v>9.6158447265625</v>
      </c>
      <c r="E8" s="9">
        <v>1.3999999761581421</v>
      </c>
      <c r="F8" s="9">
        <v>14.399999618530273</v>
      </c>
      <c r="G8" s="9">
        <v>0.94993770122528076</v>
      </c>
      <c r="H8" s="9">
        <v>9.7222223877906799E-2</v>
      </c>
      <c r="I8">
        <v>0</v>
      </c>
      <c r="J8"/>
    </row>
    <row r="9" spans="1:10" ht="15" customHeight="1" x14ac:dyDescent="0.15">
      <c r="A9" s="151">
        <v>8</v>
      </c>
      <c r="B9" s="151" t="s">
        <v>199</v>
      </c>
      <c r="C9" s="8">
        <v>2.9096958637237549</v>
      </c>
      <c r="D9" s="9">
        <v>0.95908564329147339</v>
      </c>
      <c r="E9" s="9">
        <v>1.2000000476837158</v>
      </c>
      <c r="F9" s="9">
        <v>12.371000289916992</v>
      </c>
      <c r="G9" s="9">
        <v>0.94994688034057617</v>
      </c>
      <c r="H9" s="9">
        <v>9.7001053392887115E-2</v>
      </c>
      <c r="I9">
        <v>0</v>
      </c>
      <c r="J9"/>
    </row>
    <row r="10" spans="1:10" ht="15" customHeight="1" x14ac:dyDescent="0.15">
      <c r="A10" s="152">
        <v>9</v>
      </c>
      <c r="B10" s="152" t="s">
        <v>200</v>
      </c>
      <c r="C10" s="8">
        <v>3.6599159240722656</v>
      </c>
      <c r="D10" s="9">
        <v>5.3485798835754395</v>
      </c>
      <c r="E10" s="9">
        <v>1.2999999523162842</v>
      </c>
      <c r="F10" s="9">
        <v>13</v>
      </c>
      <c r="G10" s="9">
        <v>0.94992655515670776</v>
      </c>
      <c r="H10" s="9">
        <v>9.9999994039535522E-2</v>
      </c>
      <c r="I10">
        <v>0</v>
      </c>
      <c r="J10"/>
    </row>
    <row r="11" spans="1:10" ht="15" customHeight="1" x14ac:dyDescent="0.15">
      <c r="A11" s="153">
        <v>10</v>
      </c>
      <c r="B11" s="153" t="s">
        <v>201</v>
      </c>
      <c r="C11" s="8">
        <v>3.6027185916900635</v>
      </c>
      <c r="D11" s="9">
        <v>0.50785470008850098</v>
      </c>
      <c r="E11" s="9">
        <v>1</v>
      </c>
      <c r="F11" s="9">
        <v>10</v>
      </c>
      <c r="G11" s="9">
        <v>0.949928879737854</v>
      </c>
      <c r="H11" s="9">
        <v>0.10000000149011612</v>
      </c>
      <c r="I11">
        <v>0</v>
      </c>
      <c r="J11"/>
    </row>
    <row r="12" spans="1:10" ht="15" customHeight="1" x14ac:dyDescent="0.15">
      <c r="A12" s="154">
        <v>11</v>
      </c>
      <c r="B12" s="154" t="s">
        <v>202</v>
      </c>
      <c r="C12" s="8">
        <v>4.0091114044189453</v>
      </c>
      <c r="D12" s="9">
        <v>0.31684508919715881</v>
      </c>
      <c r="E12" s="9">
        <v>0.80000001192092896</v>
      </c>
      <c r="F12" s="9">
        <v>8</v>
      </c>
      <c r="G12" s="9">
        <v>0.94999492168426514</v>
      </c>
      <c r="H12" s="9">
        <v>0.10000000149011612</v>
      </c>
      <c r="I12">
        <v>0</v>
      </c>
      <c r="J12"/>
    </row>
    <row r="13" spans="1:10" ht="15" customHeight="1" x14ac:dyDescent="0.15">
      <c r="A13" s="155">
        <v>12</v>
      </c>
      <c r="B13" s="155" t="s">
        <v>203</v>
      </c>
      <c r="C13" s="8">
        <v>3.6098155975341797</v>
      </c>
      <c r="D13" s="9">
        <v>0.28949534893035889</v>
      </c>
      <c r="E13" s="9">
        <v>1.2000000476837158</v>
      </c>
      <c r="F13" s="9">
        <v>12</v>
      </c>
      <c r="G13" s="9">
        <v>0.94998741149902344</v>
      </c>
      <c r="H13" s="9">
        <v>0.10000000149011612</v>
      </c>
      <c r="I13">
        <v>0</v>
      </c>
      <c r="J13"/>
    </row>
    <row r="14" spans="1:10" ht="15" customHeight="1" x14ac:dyDescent="0.15">
      <c r="A14" s="156">
        <v>13</v>
      </c>
      <c r="B14" s="156" t="s">
        <v>204</v>
      </c>
      <c r="C14" s="8">
        <v>3.791750431060791</v>
      </c>
      <c r="D14" s="9">
        <v>1.7308341264724731</v>
      </c>
      <c r="E14" s="9">
        <v>1.5</v>
      </c>
      <c r="F14" s="9">
        <v>10</v>
      </c>
      <c r="G14" s="9">
        <v>0.95000004768371582</v>
      </c>
      <c r="H14" s="9">
        <v>0.15000000596046448</v>
      </c>
      <c r="I14">
        <v>0</v>
      </c>
      <c r="J14"/>
    </row>
    <row r="15" spans="1:10" ht="15" customHeight="1" x14ac:dyDescent="0.15">
      <c r="A15" s="157">
        <v>14</v>
      </c>
      <c r="B15" s="157" t="s">
        <v>205</v>
      </c>
      <c r="C15" s="8">
        <v>3.7267158031463623</v>
      </c>
      <c r="D15" s="9">
        <v>10.87667179107666</v>
      </c>
      <c r="E15" s="9">
        <v>1.2000000476837158</v>
      </c>
      <c r="F15" s="9">
        <v>12</v>
      </c>
      <c r="G15" s="9">
        <v>0.94992548227310181</v>
      </c>
      <c r="H15" s="9">
        <v>0.10000000149011612</v>
      </c>
      <c r="I15">
        <v>0</v>
      </c>
      <c r="J15"/>
    </row>
    <row r="16" spans="1:10" ht="15" customHeight="1" x14ac:dyDescent="0.15">
      <c r="A16" s="158">
        <v>15</v>
      </c>
      <c r="B16" s="158" t="s">
        <v>206</v>
      </c>
      <c r="C16" s="8">
        <v>4.5394835472106934</v>
      </c>
      <c r="D16" s="9">
        <v>8.7408192455768585E-2</v>
      </c>
      <c r="E16" s="9">
        <v>0.5</v>
      </c>
      <c r="F16" s="9">
        <v>5</v>
      </c>
      <c r="G16" s="9">
        <v>0.94995248317718506</v>
      </c>
      <c r="H16" s="9">
        <v>0.10000000149011612</v>
      </c>
      <c r="I16">
        <v>0</v>
      </c>
      <c r="J16"/>
    </row>
    <row r="17" spans="1:10" ht="15" customHeight="1" x14ac:dyDescent="0.15">
      <c r="A17" s="159">
        <v>16</v>
      </c>
      <c r="B17" s="159" t="s">
        <v>207</v>
      </c>
      <c r="C17" s="8">
        <v>4.5063796043395996</v>
      </c>
      <c r="D17" s="9">
        <v>5.9019654989242554E-2</v>
      </c>
      <c r="E17" s="9">
        <v>0.49300000071525574</v>
      </c>
      <c r="F17" s="9">
        <v>4.929999828338623</v>
      </c>
      <c r="G17" s="9">
        <v>0.94999998807907104</v>
      </c>
      <c r="H17" s="9">
        <v>0.10000000149011612</v>
      </c>
      <c r="I17">
        <v>0</v>
      </c>
      <c r="J17"/>
    </row>
    <row r="18" spans="1:10" ht="15" customHeight="1" x14ac:dyDescent="0.15">
      <c r="A18" s="160">
        <v>17</v>
      </c>
      <c r="B18" s="160" t="s">
        <v>208</v>
      </c>
      <c r="C18" s="8">
        <v>3.9283828735351562</v>
      </c>
      <c r="D18" s="9">
        <v>1.6631654500961304</v>
      </c>
      <c r="E18" s="9">
        <v>3.5</v>
      </c>
      <c r="F18" s="9">
        <v>10</v>
      </c>
      <c r="G18" s="9">
        <v>0.94995719194412231</v>
      </c>
      <c r="H18" s="9">
        <v>0.34999999403953552</v>
      </c>
      <c r="I18">
        <v>0</v>
      </c>
      <c r="J18"/>
    </row>
    <row r="19" spans="1:10" ht="15" customHeight="1" x14ac:dyDescent="0.15">
      <c r="A19" s="161">
        <v>18</v>
      </c>
      <c r="B19" s="161" t="s">
        <v>209</v>
      </c>
      <c r="C19" s="8">
        <v>4.1666479110717773</v>
      </c>
      <c r="D19" s="9">
        <v>0.68367350101470947</v>
      </c>
      <c r="E19" s="9">
        <v>2.5</v>
      </c>
      <c r="F19" s="9">
        <v>16.666000366210938</v>
      </c>
      <c r="G19" s="9">
        <v>0.94998842477798462</v>
      </c>
      <c r="H19" s="9">
        <v>0.1500059962272644</v>
      </c>
      <c r="I19">
        <v>0</v>
      </c>
      <c r="J19"/>
    </row>
    <row r="20" spans="1:10" ht="15" customHeight="1" x14ac:dyDescent="0.15">
      <c r="A20" s="162">
        <v>19</v>
      </c>
      <c r="B20" s="162" t="s">
        <v>210</v>
      </c>
      <c r="C20" s="8">
        <v>4.7500967979431152</v>
      </c>
      <c r="D20" s="9">
        <v>1.8339999914169312</v>
      </c>
      <c r="E20" s="9">
        <v>0.80000001192092896</v>
      </c>
      <c r="F20" s="9">
        <v>4.4000000953674316</v>
      </c>
      <c r="G20" s="9">
        <v>0.2980344295501709</v>
      </c>
      <c r="H20" s="9">
        <v>0.18181818723678589</v>
      </c>
      <c r="I20">
        <v>0</v>
      </c>
      <c r="J20"/>
    </row>
    <row r="21" spans="1:10" ht="15" customHeight="1" x14ac:dyDescent="0.15">
      <c r="A21" s="163">
        <v>20</v>
      </c>
      <c r="B21" s="163" t="s">
        <v>211</v>
      </c>
      <c r="C21" s="8">
        <v>4.0137896537780762</v>
      </c>
      <c r="D21" s="9">
        <v>2.3629722595214844</v>
      </c>
      <c r="E21" s="9">
        <v>2.5</v>
      </c>
      <c r="F21" s="9">
        <v>16.666000366210938</v>
      </c>
      <c r="G21" s="9">
        <v>0.94995886087417603</v>
      </c>
      <c r="H21" s="9">
        <v>0.1500059962272644</v>
      </c>
      <c r="I21">
        <v>0</v>
      </c>
      <c r="J21"/>
    </row>
    <row r="22" spans="1:10" ht="15" customHeight="1" x14ac:dyDescent="0.15">
      <c r="A22" s="164">
        <v>21</v>
      </c>
      <c r="B22" s="164" t="s">
        <v>212</v>
      </c>
      <c r="C22" s="8">
        <v>4.6209344863891602</v>
      </c>
      <c r="D22" s="9">
        <v>2.5850000381469727</v>
      </c>
      <c r="E22" s="9">
        <v>0.80000001192092896</v>
      </c>
      <c r="F22" s="9">
        <v>4.6999998092651367</v>
      </c>
      <c r="G22" s="9">
        <v>0.29830053448677063</v>
      </c>
      <c r="H22" s="9">
        <v>0.17021277546882629</v>
      </c>
      <c r="I22">
        <v>0</v>
      </c>
      <c r="J22"/>
    </row>
    <row r="23" spans="1:10" ht="15" customHeight="1" x14ac:dyDescent="0.15">
      <c r="A23" s="165">
        <v>22</v>
      </c>
      <c r="B23" s="165" t="s">
        <v>213</v>
      </c>
      <c r="C23" s="8">
        <v>4.1661057472229004</v>
      </c>
      <c r="D23" s="9">
        <v>1.919910192489624</v>
      </c>
      <c r="E23" s="9">
        <v>0.69999998807907104</v>
      </c>
      <c r="F23" s="9">
        <v>3.5</v>
      </c>
      <c r="G23" s="9">
        <v>0.94995659589767456</v>
      </c>
      <c r="H23" s="9">
        <v>0.20000000298023224</v>
      </c>
      <c r="I23">
        <v>0</v>
      </c>
      <c r="J23"/>
    </row>
    <row r="24" spans="1:10" ht="15" customHeight="1" x14ac:dyDescent="0.15">
      <c r="A24" s="166">
        <v>23</v>
      </c>
      <c r="B24" s="166" t="s">
        <v>214</v>
      </c>
      <c r="C24" s="8">
        <v>3.4258596897125244</v>
      </c>
      <c r="D24" s="9">
        <v>4.6724429130554199</v>
      </c>
      <c r="E24" s="9">
        <v>0.69999998807907104</v>
      </c>
      <c r="F24" s="9">
        <v>3.5</v>
      </c>
      <c r="G24" s="9">
        <v>0.94996273517608643</v>
      </c>
      <c r="H24" s="9">
        <v>0.20000000298023224</v>
      </c>
      <c r="I24">
        <v>0</v>
      </c>
      <c r="J24"/>
    </row>
    <row r="25" spans="1:10" ht="15" customHeight="1" x14ac:dyDescent="0.15">
      <c r="A25" s="167">
        <v>24</v>
      </c>
      <c r="B25" s="167" t="s">
        <v>215</v>
      </c>
      <c r="C25" s="8">
        <v>4.9672698974609375</v>
      </c>
      <c r="D25" s="9">
        <v>0.52053225040435791</v>
      </c>
      <c r="E25" s="9">
        <v>0.5</v>
      </c>
      <c r="F25" s="9">
        <v>4.5450000762939453</v>
      </c>
      <c r="G25" s="9">
        <v>0.94999998807907104</v>
      </c>
      <c r="H25" s="9">
        <v>0.11001099646091461</v>
      </c>
      <c r="I25">
        <v>0</v>
      </c>
      <c r="J25"/>
    </row>
    <row r="26" spans="1:10" ht="15" customHeight="1" x14ac:dyDescent="0.15">
      <c r="A26" s="168">
        <v>25</v>
      </c>
      <c r="B26" s="168" t="s">
        <v>216</v>
      </c>
      <c r="C26" s="8">
        <v>3.5555129051208496</v>
      </c>
      <c r="D26" s="9">
        <v>0.72862213850021362</v>
      </c>
      <c r="E26" s="9">
        <v>1</v>
      </c>
      <c r="F26" s="9">
        <v>10</v>
      </c>
      <c r="G26" s="9">
        <v>0.95000004768371582</v>
      </c>
      <c r="H26" s="9">
        <v>0.10000000149011612</v>
      </c>
      <c r="I26">
        <v>0</v>
      </c>
      <c r="J26"/>
    </row>
    <row r="27" spans="1:10" ht="15" customHeight="1" x14ac:dyDescent="0.15">
      <c r="A27" s="169">
        <v>26</v>
      </c>
      <c r="B27" s="169" t="s">
        <v>217</v>
      </c>
      <c r="C27" s="8">
        <v>4.7991204261779785</v>
      </c>
      <c r="D27" s="9">
        <v>4.5000001788139343E-2</v>
      </c>
      <c r="E27" s="9">
        <v>0.5</v>
      </c>
      <c r="F27" s="9">
        <v>5</v>
      </c>
      <c r="G27" s="7">
        <v>0</v>
      </c>
      <c r="H27" s="9">
        <v>0.10000000149011612</v>
      </c>
      <c r="I27">
        <v>0</v>
      </c>
      <c r="J27"/>
    </row>
    <row r="28" spans="1:10" ht="15" customHeight="1" x14ac:dyDescent="0.15">
      <c r="A28" s="170">
        <v>27</v>
      </c>
      <c r="B28" s="170" t="s">
        <v>218</v>
      </c>
      <c r="C28" s="8">
        <v>4.7304410934448242</v>
      </c>
      <c r="D28" s="9">
        <v>0.13300000131130219</v>
      </c>
      <c r="E28" s="9">
        <v>0.25</v>
      </c>
      <c r="F28" s="9">
        <v>19.305999755859375</v>
      </c>
      <c r="G28" s="9">
        <v>0.46192902326583862</v>
      </c>
      <c r="H28" s="9">
        <v>1.2949341908097267E-2</v>
      </c>
      <c r="I28">
        <v>0</v>
      </c>
      <c r="J28"/>
    </row>
    <row r="29" spans="1:10" ht="15" customHeight="1" x14ac:dyDescent="0.15">
      <c r="A29" s="171">
        <v>28</v>
      </c>
      <c r="B29" s="171" t="s">
        <v>219</v>
      </c>
      <c r="C29" s="8">
        <v>4.6023836135864258</v>
      </c>
      <c r="D29" s="9">
        <v>0.22006499767303467</v>
      </c>
      <c r="E29" s="9">
        <v>0.15000000596046448</v>
      </c>
      <c r="F29" s="9">
        <v>10</v>
      </c>
      <c r="G29" s="9">
        <v>0.27264672517776489</v>
      </c>
      <c r="H29" s="9">
        <v>1.5000000596046448E-2</v>
      </c>
      <c r="I29">
        <v>0</v>
      </c>
      <c r="J29"/>
    </row>
    <row r="30" spans="1:10" ht="15" customHeight="1" x14ac:dyDescent="0.15">
      <c r="A30" s="172">
        <v>29</v>
      </c>
      <c r="B30" s="172" t="s">
        <v>220</v>
      </c>
      <c r="C30" s="8">
        <v>4.579688549041748</v>
      </c>
      <c r="D30" s="9">
        <v>3.5000000149011612E-2</v>
      </c>
      <c r="E30" s="9">
        <v>0.12300000339746475</v>
      </c>
      <c r="F30" s="9">
        <v>123</v>
      </c>
      <c r="G30" s="9">
        <v>9.9989987909793854E-2</v>
      </c>
      <c r="H30" s="9">
        <v>1.0000000474974513E-3</v>
      </c>
      <c r="I30">
        <v>0</v>
      </c>
      <c r="J30"/>
    </row>
    <row r="31" spans="1:10" ht="15" customHeight="1" x14ac:dyDescent="0.15">
      <c r="A31" s="173">
        <v>30</v>
      </c>
      <c r="B31" s="173" t="s">
        <v>221</v>
      </c>
      <c r="C31" s="8">
        <v>2</v>
      </c>
      <c r="D31" s="9">
        <v>11.889395713806152</v>
      </c>
      <c r="E31" s="9">
        <v>4</v>
      </c>
      <c r="F31" s="9">
        <v>33</v>
      </c>
      <c r="G31" s="9">
        <v>0.95000004768371582</v>
      </c>
      <c r="H31" s="9">
        <v>0.12121212482452393</v>
      </c>
      <c r="I31">
        <v>0</v>
      </c>
      <c r="J31"/>
    </row>
    <row r="32" spans="1:10" ht="15" customHeight="1" x14ac:dyDescent="0.15">
      <c r="A32" s="201">
        <v>31</v>
      </c>
      <c r="B32" s="201" t="s">
        <v>222</v>
      </c>
      <c r="C32" s="8">
        <v>2.1612904071807861</v>
      </c>
      <c r="D32" s="9">
        <v>56.474632263183594</v>
      </c>
      <c r="E32" s="9">
        <v>1.2000000476837158</v>
      </c>
      <c r="F32" s="9">
        <v>10</v>
      </c>
      <c r="G32" s="9">
        <v>0.94999998807907104</v>
      </c>
      <c r="H32" s="9">
        <v>0.12000000476837158</v>
      </c>
      <c r="I32">
        <v>0</v>
      </c>
      <c r="J32"/>
    </row>
    <row r="33" spans="1:10" ht="15" customHeight="1" x14ac:dyDescent="0.15">
      <c r="A33" s="202">
        <v>32</v>
      </c>
      <c r="B33" s="202" t="s">
        <v>223</v>
      </c>
      <c r="C33" s="8">
        <v>1</v>
      </c>
      <c r="D33" s="10"/>
      <c r="E33" s="10"/>
      <c r="F33" s="10"/>
      <c r="G33" s="9">
        <v>0.30488359928131104</v>
      </c>
      <c r="H33" s="10"/>
      <c r="I33">
        <v>0</v>
      </c>
      <c r="J33"/>
    </row>
    <row r="34" spans="1:10" ht="15" customHeight="1" x14ac:dyDescent="0.15">
      <c r="A34" s="203">
        <v>33</v>
      </c>
      <c r="B34" s="203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4">
        <v>34</v>
      </c>
      <c r="B35" s="204" t="s">
        <v>225</v>
      </c>
      <c r="C35" s="8">
        <v>1</v>
      </c>
      <c r="D35" s="10"/>
      <c r="E35" s="10"/>
      <c r="F35" s="10"/>
      <c r="G35" s="10"/>
      <c r="H35" s="10"/>
      <c r="I35">
        <v>0</v>
      </c>
      <c r="J35"/>
    </row>
    <row r="36" spans="1:10" ht="15" customHeight="1" x14ac:dyDescent="0.15">
      <c r="A36" s="205">
        <v>35</v>
      </c>
      <c r="B36" s="205" t="s">
        <v>226</v>
      </c>
      <c r="C36" s="8">
        <v>1</v>
      </c>
      <c r="D36" s="10"/>
      <c r="E36" s="10"/>
      <c r="F36" s="10"/>
      <c r="G36" s="10"/>
      <c r="H36" s="10"/>
      <c r="I36">
        <v>0</v>
      </c>
      <c r="J36"/>
    </row>
    <row r="37" spans="1:10" ht="15" customHeight="1" x14ac:dyDescent="0.15">
      <c r="A37" s="206">
        <v>36</v>
      </c>
      <c r="B37" s="206" t="s">
        <v>227</v>
      </c>
      <c r="C37" s="8">
        <v>1</v>
      </c>
      <c r="D37" s="10"/>
      <c r="E37" s="10"/>
      <c r="F37" s="10"/>
      <c r="G37" s="10"/>
      <c r="H37" s="10"/>
      <c r="I37">
        <v>0</v>
      </c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232</v>
      </c>
      <c r="E1" t="s">
        <v>233</v>
      </c>
      <c r="F1" t="s">
        <v>234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 t="s">
        <v>220</v>
      </c>
      <c r="AJ1" t="s">
        <v>221</v>
      </c>
      <c r="AK1" t="s">
        <v>222</v>
      </c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154.39999389648438</v>
      </c>
      <c r="C2">
        <v>118.96105194091797</v>
      </c>
      <c r="D2"/>
      <c r="E2"/>
      <c r="F2"/>
      <c r="G2"/>
      <c r="H2"/>
      <c r="I2" s="105">
        <v>24.116392135620117</v>
      </c>
      <c r="J2" s="224">
        <v>8.7455530166625977</v>
      </c>
      <c r="K2" s="16">
        <v>2.4376688003540039</v>
      </c>
      <c r="L2"/>
      <c r="M2" s="11">
        <v>8.9986845850944519E-2</v>
      </c>
      <c r="N2" s="11">
        <v>4.9348194152116776E-2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15</v>
      </c>
      <c r="C3">
        <v>7.5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 s="265">
        <v>3.0745344161987305</v>
      </c>
      <c r="AK3" s="266">
        <v>4.4254660606384277</v>
      </c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482</v>
      </c>
      <c r="C4">
        <v>24.100034713745117</v>
      </c>
      <c r="D4"/>
      <c r="E4"/>
      <c r="F4"/>
      <c r="G4"/>
      <c r="H4"/>
      <c r="I4" s="243">
        <v>96.400001525878906</v>
      </c>
      <c r="J4" s="272">
        <v>279.66744995117188</v>
      </c>
      <c r="K4" s="231">
        <v>77.952377319335938</v>
      </c>
      <c r="L4"/>
      <c r="M4" s="12">
        <v>2.3020973205566406</v>
      </c>
      <c r="N4" s="12">
        <v>1.5780688524246216</v>
      </c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40</v>
      </c>
      <c r="C5">
        <v>1.9999980926513672</v>
      </c>
      <c r="D5"/>
      <c r="E5"/>
      <c r="F5"/>
      <c r="G5"/>
      <c r="H5"/>
      <c r="I5"/>
      <c r="J5"/>
      <c r="K5" s="271">
        <v>18.637912750244141</v>
      </c>
      <c r="L5" s="17">
        <v>0.52915847301483154</v>
      </c>
      <c r="M5" s="211">
        <v>7.8199543952941895</v>
      </c>
      <c r="N5" s="22">
        <v>0.34090995788574219</v>
      </c>
      <c r="O5" s="269">
        <v>4.1334490776062012</v>
      </c>
      <c r="P5" s="15">
        <v>0.40757164359092712</v>
      </c>
      <c r="Q5" s="11">
        <v>2.5114030577242374E-3</v>
      </c>
      <c r="R5" s="23">
        <v>0.25814491510391235</v>
      </c>
      <c r="S5" s="19">
        <v>0.66880494356155396</v>
      </c>
      <c r="T5" s="137">
        <v>5.1726932525634766</v>
      </c>
      <c r="U5"/>
      <c r="V5"/>
      <c r="W5"/>
      <c r="X5"/>
      <c r="Y5"/>
      <c r="Z5"/>
      <c r="AA5"/>
      <c r="AB5" s="11">
        <v>6.6570988856256008E-3</v>
      </c>
      <c r="AC5" s="11">
        <v>1.6202853992581367E-2</v>
      </c>
      <c r="AD5"/>
      <c r="AE5"/>
      <c r="AF5"/>
      <c r="AG5"/>
      <c r="AH5" s="11">
        <v>2.1887309849262238E-3</v>
      </c>
      <c r="AI5" s="11">
        <v>3.8384131621569395E-3</v>
      </c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13</v>
      </c>
      <c r="C6">
        <v>0.6503976583480835</v>
      </c>
      <c r="D6"/>
      <c r="E6"/>
      <c r="F6"/>
      <c r="G6"/>
      <c r="H6"/>
      <c r="I6"/>
      <c r="J6"/>
      <c r="K6"/>
      <c r="L6" s="12">
        <v>5.637563019990921E-2</v>
      </c>
      <c r="M6" s="209">
        <v>2.6504075527191162</v>
      </c>
      <c r="N6" s="12">
        <v>4.6756722033023834E-2</v>
      </c>
      <c r="O6" s="138">
        <v>1.5657616853713989</v>
      </c>
      <c r="P6" s="12">
        <v>4.5744959264993668E-2</v>
      </c>
      <c r="Q6" s="22">
        <v>0.11415916681289673</v>
      </c>
      <c r="R6" s="12">
        <v>4.8892997205257416E-2</v>
      </c>
      <c r="S6" s="207">
        <v>0.50669032335281372</v>
      </c>
      <c r="T6" s="139">
        <v>4.4087185859680176</v>
      </c>
      <c r="U6" s="11">
        <v>4.1826395317912102E-3</v>
      </c>
      <c r="V6" s="11">
        <v>1.3595821801573038E-3</v>
      </c>
      <c r="W6" s="21">
        <v>0.25280347466468811</v>
      </c>
      <c r="X6" s="25">
        <v>0.39513424038887024</v>
      </c>
      <c r="Y6" s="14">
        <v>2.0897466689348221E-2</v>
      </c>
      <c r="Z6" s="267">
        <v>1.7710620164871216</v>
      </c>
      <c r="AA6" s="18">
        <v>0.1436210423707962</v>
      </c>
      <c r="AB6" s="21">
        <v>0.2451118677854538</v>
      </c>
      <c r="AC6" s="12">
        <v>4.6032637357711792E-2</v>
      </c>
      <c r="AD6"/>
      <c r="AE6"/>
      <c r="AF6"/>
      <c r="AG6"/>
      <c r="AH6" s="11">
        <v>1.6581939999014139E-3</v>
      </c>
      <c r="AI6" s="14">
        <v>2.423335425555706E-2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0.58399999141693115</v>
      </c>
      <c r="C7">
        <v>0.48676872253417969</v>
      </c>
      <c r="D7"/>
      <c r="E7"/>
      <c r="F7"/>
      <c r="G7"/>
      <c r="H7"/>
      <c r="I7"/>
      <c r="J7"/>
      <c r="K7"/>
      <c r="L7" s="240">
        <v>6.6759996116161346E-2</v>
      </c>
      <c r="M7"/>
      <c r="N7"/>
      <c r="O7"/>
      <c r="P7" s="226">
        <v>3.0471280217170715E-2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1.3999999761581421</v>
      </c>
      <c r="C8">
        <v>7.0087216794490814E-2</v>
      </c>
      <c r="D8"/>
      <c r="E8"/>
      <c r="F8"/>
      <c r="G8"/>
      <c r="H8"/>
      <c r="I8"/>
      <c r="J8"/>
      <c r="K8"/>
      <c r="L8"/>
      <c r="M8"/>
      <c r="N8"/>
      <c r="O8"/>
      <c r="P8"/>
      <c r="Q8" s="12">
        <v>5.2720499224960804E-3</v>
      </c>
      <c r="R8"/>
      <c r="S8" s="25">
        <v>4.3199546635150909E-2</v>
      </c>
      <c r="T8"/>
      <c r="U8" s="16">
        <v>2.16794703155756E-2</v>
      </c>
      <c r="V8" s="23">
        <v>7.5647775083780289E-3</v>
      </c>
      <c r="W8" s="67">
        <v>8.6480468511581421E-2</v>
      </c>
      <c r="X8" s="262">
        <v>0.21328741312026978</v>
      </c>
      <c r="Y8" s="263">
        <v>0.25092026591300964</v>
      </c>
      <c r="Z8" s="264">
        <v>0.34394979476928711</v>
      </c>
      <c r="AA8" s="14">
        <v>2.5267223827540874E-3</v>
      </c>
      <c r="AB8" s="14">
        <v>1.3974880566820502E-3</v>
      </c>
      <c r="AC8" s="23">
        <v>8.503439836204052E-3</v>
      </c>
      <c r="AD8" s="12">
        <v>4.9206679686903954E-3</v>
      </c>
      <c r="AE8"/>
      <c r="AF8"/>
      <c r="AG8" s="28">
        <v>6.6756956279277802E-2</v>
      </c>
      <c r="AH8" s="106">
        <v>9.4392091035842896E-2</v>
      </c>
      <c r="AI8" s="259">
        <v>0.17906151711940765</v>
      </c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1.2000000476837158</v>
      </c>
      <c r="C9">
        <v>6.0063745826482773E-2</v>
      </c>
      <c r="D9"/>
      <c r="E9"/>
      <c r="F9"/>
      <c r="G9"/>
      <c r="H9"/>
      <c r="I9"/>
      <c r="J9"/>
      <c r="K9"/>
      <c r="L9"/>
      <c r="M9"/>
      <c r="N9"/>
      <c r="O9"/>
      <c r="P9"/>
      <c r="Q9" s="64">
        <v>2.6428930461406708E-2</v>
      </c>
      <c r="R9"/>
      <c r="S9" s="229">
        <v>0.18046709895133972</v>
      </c>
      <c r="T9"/>
      <c r="U9" s="18">
        <v>1.3670411892235279E-2</v>
      </c>
      <c r="V9" s="13">
        <v>4.5506920665502548E-2</v>
      </c>
      <c r="W9" s="17">
        <v>1.7341157421469688E-2</v>
      </c>
      <c r="X9" s="223">
        <v>0.11880172789096832</v>
      </c>
      <c r="Y9" s="22">
        <v>8.4138484671711922E-3</v>
      </c>
      <c r="Z9" s="232">
        <v>0.20526543259620667</v>
      </c>
      <c r="AA9" s="14">
        <v>1.2666527181863785E-3</v>
      </c>
      <c r="AB9" s="11">
        <v>7.0056453114375472E-4</v>
      </c>
      <c r="AC9"/>
      <c r="AD9" s="21">
        <v>2.4667441844940186E-2</v>
      </c>
      <c r="AE9"/>
      <c r="AF9"/>
      <c r="AG9" s="106">
        <v>8.031705766916275E-2</v>
      </c>
      <c r="AH9" s="231">
        <v>0.19267886877059937</v>
      </c>
      <c r="AI9" s="235">
        <v>0.22441005706787109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1.2999999523162842</v>
      </c>
      <c r="C10">
        <v>6.5095476806163788E-2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 s="12">
        <v>4.7391285188496113E-3</v>
      </c>
      <c r="R10"/>
      <c r="S10" s="253">
        <v>0.18121951818466187</v>
      </c>
      <c r="T10"/>
      <c r="U10" s="12">
        <v>4.9026454798877239E-3</v>
      </c>
      <c r="V10" s="14">
        <v>1.632023137062788E-3</v>
      </c>
      <c r="W10" s="138">
        <v>0.15547730028629303</v>
      </c>
      <c r="X10" s="69">
        <v>6.6039435565471649E-2</v>
      </c>
      <c r="Y10" s="140">
        <v>0.13126011192798615</v>
      </c>
      <c r="Z10" s="261">
        <v>0.36807364225387573</v>
      </c>
      <c r="AA10" s="219">
        <v>6.3596688210964203E-2</v>
      </c>
      <c r="AB10" s="249">
        <v>0.13818462193012238</v>
      </c>
      <c r="AC10" s="66">
        <v>7.6438747346401215E-2</v>
      </c>
      <c r="AD10" s="19">
        <v>2.1674001589417458E-2</v>
      </c>
      <c r="AE10"/>
      <c r="AF10"/>
      <c r="AG10" s="14">
        <v>1.4402129454538226E-3</v>
      </c>
      <c r="AH10" s="12">
        <v>4.1302316822111607E-3</v>
      </c>
      <c r="AI10" s="18">
        <v>1.6096120700240135E-2</v>
      </c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</v>
      </c>
      <c r="C11">
        <v>5.0071120262145996E-2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11">
        <v>8.6055434076115489E-4</v>
      </c>
      <c r="V11" s="21">
        <v>1.8906800076365471E-2</v>
      </c>
      <c r="W11"/>
      <c r="X11"/>
      <c r="Y11" s="220">
        <v>0.15889585018157959</v>
      </c>
      <c r="Z11" s="74">
        <v>7.7528923749923706E-2</v>
      </c>
      <c r="AA11" s="28">
        <v>4.7841578722000122E-2</v>
      </c>
      <c r="AB11"/>
      <c r="AC11"/>
      <c r="AD11" s="73">
        <v>9.3169130384922028E-2</v>
      </c>
      <c r="AE11"/>
      <c r="AF11"/>
      <c r="AG11" s="16">
        <v>1.5167909674346447E-2</v>
      </c>
      <c r="AH11" s="143">
        <v>2.8998943045735359E-2</v>
      </c>
      <c r="AI11" s="238">
        <v>0.50855916738510132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4.000406339764595E-2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 s="14">
        <v>1.379338325932622E-3</v>
      </c>
      <c r="V12" s="27">
        <v>2.8468087315559387E-2</v>
      </c>
      <c r="W12"/>
      <c r="X12"/>
      <c r="Y12" s="228">
        <v>0.50937193632125854</v>
      </c>
      <c r="Z12"/>
      <c r="AA12"/>
      <c r="AB12"/>
      <c r="AC12"/>
      <c r="AD12" s="73">
        <v>7.4668005108833313E-2</v>
      </c>
      <c r="AE12"/>
      <c r="AF12"/>
      <c r="AG12" s="218">
        <v>0.10535141080617905</v>
      </c>
      <c r="AH12"/>
      <c r="AI12" s="69">
        <v>4.0757168084383011E-2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1.2000000476837158</v>
      </c>
      <c r="C13">
        <v>6.0015108436346054E-2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 s="18">
        <v>1.5096495859324932E-2</v>
      </c>
      <c r="V13" s="20">
        <v>5.125923827290535E-2</v>
      </c>
      <c r="W13"/>
      <c r="X13"/>
      <c r="Y13" s="237">
        <v>0.83624142408370972</v>
      </c>
      <c r="Z13"/>
      <c r="AA13"/>
      <c r="AB13"/>
      <c r="AC13"/>
      <c r="AD13"/>
      <c r="AE13"/>
      <c r="AF13"/>
      <c r="AG13" s="217">
        <v>8.8695652782917023E-2</v>
      </c>
      <c r="AH13"/>
      <c r="AI13" s="104">
        <v>0.14869219064712524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1.5</v>
      </c>
      <c r="C14">
        <v>7.499992847442627E-2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11">
        <v>2.5250055477954447E-4</v>
      </c>
      <c r="V14"/>
      <c r="W14"/>
      <c r="X14"/>
      <c r="Y14" s="257">
        <v>0.73663723468780518</v>
      </c>
      <c r="Z14"/>
      <c r="AA14"/>
      <c r="AB14"/>
      <c r="AC14"/>
      <c r="AD14" s="234">
        <v>0.12301798909902573</v>
      </c>
      <c r="AE14" s="24">
        <v>4.2096588760614395E-2</v>
      </c>
      <c r="AF14" s="14">
        <v>3.2498785294592381E-3</v>
      </c>
      <c r="AG14" s="64">
        <v>3.2637070864439011E-2</v>
      </c>
      <c r="AH14" s="252">
        <v>0.48710879683494568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6.0089424252510071E-2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 s="143">
        <v>3.4956846386194229E-2</v>
      </c>
      <c r="R15"/>
      <c r="S15"/>
      <c r="T15"/>
      <c r="U15" s="14">
        <v>2.0090546458959579E-3</v>
      </c>
      <c r="V15" s="11">
        <v>5.350292194634676E-4</v>
      </c>
      <c r="W15" s="259">
        <v>0.15291124582290649</v>
      </c>
      <c r="X15" s="26">
        <v>9.2186383903026581E-2</v>
      </c>
      <c r="Y15" s="25">
        <v>3.709590807557106E-2</v>
      </c>
      <c r="Z15" s="262">
        <v>0.18461941182613373</v>
      </c>
      <c r="AA15" s="252">
        <v>0.39091917872428894</v>
      </c>
      <c r="AB15" s="26">
        <v>9.266180545091629E-2</v>
      </c>
      <c r="AC15" s="13">
        <v>4.5106306672096252E-2</v>
      </c>
      <c r="AD15" s="247">
        <v>5.4378289729356766E-2</v>
      </c>
      <c r="AE15" s="23">
        <v>6.6989441402256489E-3</v>
      </c>
      <c r="AF15"/>
      <c r="AG15" s="14">
        <v>2.3607385810464621E-3</v>
      </c>
      <c r="AH15" s="14">
        <v>2.7080427389591932E-3</v>
      </c>
      <c r="AI15" s="245">
        <v>4.0763448923826218E-2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</v>
      </c>
      <c r="C16">
        <v>2.5023758411407471E-2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 s="11">
        <v>4.9999489419860765E-5</v>
      </c>
      <c r="V16"/>
      <c r="W16"/>
      <c r="X16"/>
      <c r="Y16" s="214">
        <v>0.18464174866676331</v>
      </c>
      <c r="Z16"/>
      <c r="AA16" s="213">
        <v>0.13898336887359619</v>
      </c>
      <c r="AB16"/>
      <c r="AC16"/>
      <c r="AD16" s="63">
        <v>2.706633135676384E-2</v>
      </c>
      <c r="AE16"/>
      <c r="AF16" s="69">
        <v>2.5741295889019966E-2</v>
      </c>
      <c r="AG16"/>
      <c r="AH16"/>
      <c r="AI16" s="211">
        <v>9.8493508994579315E-2</v>
      </c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0.49300000071525574</v>
      </c>
      <c r="C17">
        <v>2.4650005623698235E-2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15">
        <v>4.9300002865493298E-3</v>
      </c>
      <c r="W17"/>
      <c r="X17"/>
      <c r="Y17"/>
      <c r="Z17"/>
      <c r="AA17"/>
      <c r="AB17"/>
      <c r="AC17"/>
      <c r="AD17" s="216">
        <v>0.4008527398109436</v>
      </c>
      <c r="AE17"/>
      <c r="AF17" s="207">
        <v>1.906144805252552E-2</v>
      </c>
      <c r="AG17" s="208">
        <v>4.350581020116806E-2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3.5</v>
      </c>
      <c r="C18">
        <v>0.1751498281955719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 s="11">
        <v>2.6277394499629736E-3</v>
      </c>
      <c r="V18" s="22">
        <v>2.4667618796229362E-2</v>
      </c>
      <c r="W18" s="251">
        <v>0.5</v>
      </c>
      <c r="X18" s="248">
        <v>0.35624438524246216</v>
      </c>
      <c r="Y18" s="65">
        <v>0.14555858075618744</v>
      </c>
      <c r="Z18" s="106">
        <v>0.23673787713050842</v>
      </c>
      <c r="AA18" s="256">
        <v>0.75964879989624023</v>
      </c>
      <c r="AB18" s="225">
        <v>8.079790323972702E-2</v>
      </c>
      <c r="AC18" s="224">
        <v>0.19665572047233582</v>
      </c>
      <c r="AD18" s="246">
        <v>0.28449594974517822</v>
      </c>
      <c r="AE18" s="13">
        <v>0.1314280778169632</v>
      </c>
      <c r="AF18"/>
      <c r="AG18" s="248">
        <v>0.35663214325904846</v>
      </c>
      <c r="AH18" s="21">
        <v>6.8183138966560364E-2</v>
      </c>
      <c r="AI18" s="69">
        <v>0.18117253482341766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2.5</v>
      </c>
      <c r="C19">
        <v>0.12502893805503845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 s="23">
        <v>1.2784948572516441E-2</v>
      </c>
      <c r="V19" s="14">
        <v>4.2559332214295864E-3</v>
      </c>
      <c r="W19" s="242">
        <v>0.53519171476364136</v>
      </c>
      <c r="X19"/>
      <c r="Y19" s="250">
        <v>1.1213129758834839</v>
      </c>
      <c r="Z19"/>
      <c r="AA19"/>
      <c r="AB19" s="16">
        <v>3.9311245083808899E-2</v>
      </c>
      <c r="AC19" s="15">
        <v>2.3920118808746338E-2</v>
      </c>
      <c r="AD19"/>
      <c r="AE19"/>
      <c r="AF19"/>
      <c r="AG19" s="229">
        <v>0.37557372450828552</v>
      </c>
      <c r="AH19" s="12">
        <v>1.0770677588880062E-2</v>
      </c>
      <c r="AI19" s="140">
        <v>0.25184944272041321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0.80000001192092896</v>
      </c>
      <c r="C20">
        <v>0.56157249212265015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227">
        <v>8.7999999523162842E-2</v>
      </c>
      <c r="Z20"/>
      <c r="AA20"/>
      <c r="AB20"/>
      <c r="AC20" s="64">
        <v>1.7833752557635307E-2</v>
      </c>
      <c r="AD20" s="222">
        <v>5.8049000799655914E-2</v>
      </c>
      <c r="AE20" s="219">
        <v>3.9728578180074692E-2</v>
      </c>
      <c r="AF20"/>
      <c r="AG20" s="207">
        <v>3.0801175162196159E-2</v>
      </c>
      <c r="AH20" s="23">
        <v>4.0150638669729233E-3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2.5</v>
      </c>
      <c r="C21">
        <v>0.12510284781455994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12">
        <v>1.1097121983766556E-2</v>
      </c>
      <c r="V21" s="14">
        <v>4.1866232641041279E-3</v>
      </c>
      <c r="W21" s="258">
        <v>0.54899889230728149</v>
      </c>
      <c r="X21" s="65">
        <v>0.10126066952943802</v>
      </c>
      <c r="Y21" s="209">
        <v>0.51225316524505615</v>
      </c>
      <c r="Z21"/>
      <c r="AA21" s="260">
        <v>0.74545997381210327</v>
      </c>
      <c r="AB21" s="19">
        <v>4.549533873796463E-2</v>
      </c>
      <c r="AC21" s="64">
        <v>5.5366035550832748E-2</v>
      </c>
      <c r="AD21"/>
      <c r="AE21"/>
      <c r="AF21"/>
      <c r="AG21" s="20">
        <v>0.10866390913724899</v>
      </c>
      <c r="AH21" s="14">
        <v>5.2976338192820549E-3</v>
      </c>
      <c r="AI21" s="73">
        <v>0.236817866563797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0.80000001192092896</v>
      </c>
      <c r="C22">
        <v>0.56135958433151245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 s="243">
        <v>0.15978401899337769</v>
      </c>
      <c r="AB22"/>
      <c r="AC22" s="16">
        <v>1.2652650475502014E-2</v>
      </c>
      <c r="AD22" s="224">
        <v>4.576052725315094E-2</v>
      </c>
      <c r="AE22"/>
      <c r="AF22"/>
      <c r="AG22" s="64">
        <v>1.787952147424221E-2</v>
      </c>
      <c r="AH22" s="12">
        <v>2.5637377984821796E-3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0.69999998807907104</v>
      </c>
      <c r="C23">
        <v>3.5030383616685867E-2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27">
        <v>2.5039723142981529E-2</v>
      </c>
      <c r="V23" s="19">
        <v>1.3033501803874969E-2</v>
      </c>
      <c r="W23"/>
      <c r="X23" s="22">
        <v>5.9347064234316349E-3</v>
      </c>
      <c r="Y23" s="23">
        <v>4.2031137272715569E-3</v>
      </c>
      <c r="Z23" s="14">
        <v>2.0507951267063618E-3</v>
      </c>
      <c r="AA23" s="241">
        <v>0.18982583284378052</v>
      </c>
      <c r="AB23" s="233">
        <v>0.10498950630426407</v>
      </c>
      <c r="AC23" s="239">
        <v>0.17035745084285736</v>
      </c>
      <c r="AD23" s="208">
        <v>6.1612758785486221E-2</v>
      </c>
      <c r="AE23" s="24">
        <v>1.8975423648953438E-2</v>
      </c>
      <c r="AF23" s="14">
        <v>1.1719298781827092E-3</v>
      </c>
      <c r="AG23" s="73">
        <v>6.5532855689525604E-2</v>
      </c>
      <c r="AH23"/>
      <c r="AI23" s="12">
        <v>2.2420682944357395E-3</v>
      </c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0.69999998807907104</v>
      </c>
      <c r="C24">
        <v>3.5026084631681442E-2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12">
        <v>2.4385750293731689E-3</v>
      </c>
      <c r="Y24" s="14">
        <v>1.7270625103265047E-3</v>
      </c>
      <c r="Z24" s="14">
        <v>8.4267323836684227E-4</v>
      </c>
      <c r="AA24" s="255">
        <v>0.24439866840839386</v>
      </c>
      <c r="AB24" s="21">
        <v>1.4380088075995445E-2</v>
      </c>
      <c r="AC24" s="140">
        <v>7.0000000298023224E-2</v>
      </c>
      <c r="AD24" s="222">
        <v>5.0633452832698822E-2</v>
      </c>
      <c r="AE24" s="254">
        <v>0.23391047120094299</v>
      </c>
      <c r="AF24" s="11">
        <v>4.8154685646295547E-4</v>
      </c>
      <c r="AG24" s="106">
        <v>4.6161428093910217E-2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</v>
      </c>
      <c r="C25">
        <v>2.5000005960464478E-2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 s="236">
        <v>0.43177500367164612</v>
      </c>
      <c r="AE25"/>
      <c r="AF25" s="215">
        <v>4.3224994093179703E-2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</v>
      </c>
      <c r="C26">
        <v>4.999995231628418E-2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221">
        <v>0.11222244054079056</v>
      </c>
      <c r="AD26"/>
      <c r="AE26" s="244">
        <v>0.59999996423721313</v>
      </c>
      <c r="AF26" s="230">
        <v>0.23777759075164795</v>
      </c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</v>
      </c>
      <c r="C27">
        <v>0.5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0.25</v>
      </c>
      <c r="C28">
        <v>0.13451774418354034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 s="209">
        <v>5.0751883536577225E-2</v>
      </c>
      <c r="AG28"/>
      <c r="AH28"/>
      <c r="AI28" s="210">
        <v>6.4730368554592133E-2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0.15000000596046448</v>
      </c>
      <c r="C29">
        <v>0.1091029942035675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 s="212">
        <v>4.0897011756896973E-2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0.12300000339746475</v>
      </c>
      <c r="C30">
        <v>0.11070123314857483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40">
        <v>1.2298769317567348E-2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4</v>
      </c>
      <c r="C31">
        <v>0.19999980926513672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270">
        <v>3.8000001907348633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1.2000000476837158</v>
      </c>
      <c r="C32">
        <v>6.0000017285346985E-2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1">
        <v>1.5456508845090866E-4</v>
      </c>
      <c r="W32" s="68">
        <v>0.11161466687917709</v>
      </c>
      <c r="X32"/>
      <c r="Y32"/>
      <c r="Z32"/>
      <c r="AA32"/>
      <c r="AB32"/>
      <c r="AC32" s="107">
        <v>0.23223784565925598</v>
      </c>
      <c r="AD32"/>
      <c r="AE32" s="74">
        <v>9.3537762761116028E-2</v>
      </c>
      <c r="AF32"/>
      <c r="AG32" s="14">
        <v>2.4551854003220797E-3</v>
      </c>
      <c r="AH32"/>
      <c r="AI32"/>
      <c r="AJ32"/>
      <c r="AK32" s="268">
        <v>0.69999998807907104</v>
      </c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0.30488359928131104</v>
      </c>
      <c r="D33"/>
      <c r="E33"/>
      <c r="F33"/>
      <c r="G33"/>
      <c r="H33"/>
      <c r="I33" s="9">
        <v>2551.267333984375</v>
      </c>
      <c r="J33"/>
      <c r="K33"/>
      <c r="L33" s="9">
        <v>1.6690000295639038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 s="9">
        <v>372.7325439453125</v>
      </c>
      <c r="AK33" s="9">
        <v>451.79705810546875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9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3" t="s">
        <v>192</v>
      </c>
      <c r="E5">
        <v>4</v>
      </c>
      <c r="F5">
        <v>2</v>
      </c>
      <c r="G5">
        <v>4</v>
      </c>
      <c r="H5" s="194" t="s">
        <v>192</v>
      </c>
      <c r="J5" s="56"/>
      <c r="K5" s="57"/>
    </row>
    <row r="6" spans="1:12" ht="14" thickBot="1" x14ac:dyDescent="0.2">
      <c r="A6" s="40" t="s">
        <v>121</v>
      </c>
      <c r="D6" s="193" t="s">
        <v>193</v>
      </c>
      <c r="E6">
        <v>5</v>
      </c>
      <c r="F6">
        <v>2</v>
      </c>
      <c r="G6">
        <v>5</v>
      </c>
      <c r="H6" s="194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3" t="s">
        <v>194</v>
      </c>
      <c r="E7">
        <v>6</v>
      </c>
      <c r="F7">
        <v>3.14</v>
      </c>
      <c r="G7">
        <v>6</v>
      </c>
      <c r="H7" s="194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3" t="s">
        <v>195</v>
      </c>
      <c r="E8">
        <v>7</v>
      </c>
      <c r="F8">
        <v>3.11</v>
      </c>
      <c r="G8">
        <v>7</v>
      </c>
      <c r="H8" s="194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3" t="s">
        <v>196</v>
      </c>
      <c r="E9">
        <v>8</v>
      </c>
      <c r="F9">
        <v>3.11</v>
      </c>
      <c r="G9">
        <v>8</v>
      </c>
      <c r="H9" s="194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3" t="s">
        <v>197</v>
      </c>
      <c r="E10">
        <v>9</v>
      </c>
      <c r="F10">
        <v>3.11</v>
      </c>
      <c r="G10">
        <v>9</v>
      </c>
      <c r="H10" s="194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3" t="s">
        <v>198</v>
      </c>
      <c r="E11">
        <v>10</v>
      </c>
      <c r="F11">
        <v>3.12</v>
      </c>
      <c r="G11">
        <v>10</v>
      </c>
      <c r="H11" s="194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3" t="s">
        <v>199</v>
      </c>
      <c r="E12">
        <v>11</v>
      </c>
      <c r="F12">
        <v>3.12</v>
      </c>
      <c r="G12">
        <v>11</v>
      </c>
      <c r="H12" s="194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3" t="s">
        <v>200</v>
      </c>
      <c r="E13">
        <v>12</v>
      </c>
      <c r="F13">
        <v>3</v>
      </c>
      <c r="G13">
        <v>12</v>
      </c>
      <c r="H13" s="194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3" t="s">
        <v>201</v>
      </c>
      <c r="E14">
        <v>13</v>
      </c>
      <c r="F14">
        <v>3.1</v>
      </c>
      <c r="G14">
        <v>13</v>
      </c>
      <c r="H14" s="194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3" t="s">
        <v>202</v>
      </c>
      <c r="E15">
        <v>14</v>
      </c>
      <c r="F15">
        <v>3.12</v>
      </c>
      <c r="G15">
        <v>14</v>
      </c>
      <c r="H15" s="194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3" t="s">
        <v>203</v>
      </c>
      <c r="E16">
        <v>15</v>
      </c>
      <c r="F16">
        <v>3.12</v>
      </c>
      <c r="G16">
        <v>15</v>
      </c>
      <c r="H16" s="194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3" t="s">
        <v>204</v>
      </c>
      <c r="E17">
        <v>16</v>
      </c>
      <c r="F17">
        <v>3.12</v>
      </c>
      <c r="G17">
        <v>16</v>
      </c>
      <c r="H17" s="194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3" t="s">
        <v>205</v>
      </c>
      <c r="E18">
        <v>17</v>
      </c>
      <c r="F18">
        <v>3.12</v>
      </c>
      <c r="G18">
        <v>17</v>
      </c>
      <c r="H18" s="194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3" t="s">
        <v>206</v>
      </c>
      <c r="E19">
        <v>18</v>
      </c>
      <c r="F19">
        <v>3.12</v>
      </c>
      <c r="G19">
        <v>18</v>
      </c>
      <c r="H19" s="194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3" t="s">
        <v>207</v>
      </c>
      <c r="E20">
        <v>19</v>
      </c>
      <c r="F20">
        <v>3.1</v>
      </c>
      <c r="G20">
        <v>19</v>
      </c>
      <c r="H20" s="194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3" t="s">
        <v>208</v>
      </c>
      <c r="E21">
        <v>20</v>
      </c>
      <c r="F21">
        <v>3.12</v>
      </c>
      <c r="G21">
        <v>20</v>
      </c>
      <c r="H21" s="194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3" t="s">
        <v>209</v>
      </c>
      <c r="E22">
        <v>21</v>
      </c>
      <c r="F22">
        <v>3.12</v>
      </c>
      <c r="G22">
        <v>21</v>
      </c>
      <c r="H22" s="194" t="s">
        <v>209</v>
      </c>
    </row>
    <row r="23" spans="1:12" x14ac:dyDescent="0.15">
      <c r="A23" s="35" t="s">
        <v>129</v>
      </c>
      <c r="B23" s="43">
        <v>4</v>
      </c>
      <c r="C23" s="37"/>
      <c r="D23" s="193" t="s">
        <v>210</v>
      </c>
      <c r="E23">
        <v>22</v>
      </c>
      <c r="F23">
        <v>3.12</v>
      </c>
      <c r="G23">
        <v>22</v>
      </c>
      <c r="H23" s="194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3" t="s">
        <v>211</v>
      </c>
      <c r="E24">
        <v>23</v>
      </c>
      <c r="F24">
        <v>3.12</v>
      </c>
      <c r="G24">
        <v>23</v>
      </c>
      <c r="H24" s="194" t="s">
        <v>211</v>
      </c>
    </row>
    <row r="25" spans="1:12" x14ac:dyDescent="0.15">
      <c r="A25" s="35" t="s">
        <v>70</v>
      </c>
      <c r="B25" s="43">
        <v>4.2</v>
      </c>
      <c r="C25" s="37"/>
      <c r="D25" s="193" t="s">
        <v>212</v>
      </c>
      <c r="E25">
        <v>24</v>
      </c>
      <c r="F25">
        <v>3.12</v>
      </c>
      <c r="G25">
        <v>24</v>
      </c>
      <c r="H25" s="194" t="s">
        <v>212</v>
      </c>
    </row>
    <row r="26" spans="1:12" x14ac:dyDescent="0.15">
      <c r="A26" s="35" t="s">
        <v>123</v>
      </c>
      <c r="B26" s="43">
        <v>4.3</v>
      </c>
      <c r="C26" s="37"/>
      <c r="D26" s="193" t="s">
        <v>213</v>
      </c>
      <c r="E26">
        <v>25</v>
      </c>
      <c r="F26">
        <v>3.1</v>
      </c>
      <c r="G26">
        <v>25</v>
      </c>
      <c r="H26" s="194" t="s">
        <v>213</v>
      </c>
    </row>
    <row r="27" spans="1:12" x14ac:dyDescent="0.15">
      <c r="A27" s="35" t="s">
        <v>125</v>
      </c>
      <c r="B27" s="43">
        <v>6.1</v>
      </c>
      <c r="D27" s="193" t="s">
        <v>214</v>
      </c>
      <c r="E27">
        <v>26</v>
      </c>
      <c r="F27">
        <v>3.2</v>
      </c>
      <c r="G27">
        <v>26</v>
      </c>
      <c r="H27" s="194" t="s">
        <v>214</v>
      </c>
    </row>
    <row r="28" spans="1:12" x14ac:dyDescent="0.15">
      <c r="A28" s="35" t="s">
        <v>124</v>
      </c>
      <c r="B28" s="43">
        <v>6.2</v>
      </c>
      <c r="D28" s="193" t="s">
        <v>215</v>
      </c>
      <c r="E28">
        <v>27</v>
      </c>
      <c r="F28">
        <v>3.12</v>
      </c>
      <c r="G28">
        <v>27</v>
      </c>
      <c r="H28" s="194" t="s">
        <v>215</v>
      </c>
    </row>
    <row r="29" spans="1:12" x14ac:dyDescent="0.15">
      <c r="A29" s="35" t="s">
        <v>44</v>
      </c>
      <c r="B29" s="43">
        <v>5</v>
      </c>
      <c r="D29" s="193" t="s">
        <v>216</v>
      </c>
      <c r="E29">
        <v>28</v>
      </c>
      <c r="F29">
        <v>3.22</v>
      </c>
      <c r="G29">
        <v>28</v>
      </c>
      <c r="H29" s="194" t="s">
        <v>216</v>
      </c>
    </row>
    <row r="30" spans="1:12" x14ac:dyDescent="0.15">
      <c r="A30" s="35" t="s">
        <v>73</v>
      </c>
      <c r="B30" s="43">
        <v>7</v>
      </c>
      <c r="D30" s="193" t="s">
        <v>217</v>
      </c>
      <c r="E30">
        <v>29</v>
      </c>
      <c r="F30">
        <v>3.12</v>
      </c>
      <c r="G30">
        <v>29</v>
      </c>
      <c r="H30" s="194" t="s">
        <v>217</v>
      </c>
    </row>
    <row r="31" spans="1:12" x14ac:dyDescent="0.15">
      <c r="A31" s="35" t="s">
        <v>169</v>
      </c>
      <c r="B31" s="43">
        <v>3.14</v>
      </c>
      <c r="D31" s="193" t="s">
        <v>218</v>
      </c>
      <c r="E31">
        <v>30</v>
      </c>
      <c r="F31">
        <v>3.13</v>
      </c>
      <c r="G31">
        <v>30</v>
      </c>
      <c r="H31" s="194" t="s">
        <v>218</v>
      </c>
    </row>
    <row r="32" spans="1:12" ht="12" customHeight="1" thickBot="1" x14ac:dyDescent="0.2">
      <c r="A32" s="41" t="s">
        <v>170</v>
      </c>
      <c r="B32" s="44">
        <v>9</v>
      </c>
      <c r="D32" s="193" t="s">
        <v>219</v>
      </c>
      <c r="E32">
        <v>31</v>
      </c>
      <c r="F32">
        <v>3.13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3.13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3.21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3.21</v>
      </c>
      <c r="G35">
        <v>34</v>
      </c>
      <c r="H35" s="194" t="s">
        <v>222</v>
      </c>
    </row>
    <row r="36" spans="4:8" customFormat="1" x14ac:dyDescent="0.15">
      <c r="D36" s="193" t="s">
        <v>223</v>
      </c>
      <c r="E36">
        <v>35</v>
      </c>
      <c r="F36">
        <v>4.0999999999999996</v>
      </c>
      <c r="G36">
        <v>35</v>
      </c>
      <c r="H36" s="194" t="s">
        <v>223</v>
      </c>
    </row>
    <row r="37" spans="4:8" customFormat="1" ht="12" customHeight="1" x14ac:dyDescent="0.15">
      <c r="D37" s="193" t="s">
        <v>224</v>
      </c>
      <c r="E37">
        <v>36</v>
      </c>
      <c r="F37">
        <v>4.3</v>
      </c>
      <c r="G37">
        <v>36</v>
      </c>
      <c r="H37" s="194" t="s">
        <v>224</v>
      </c>
    </row>
    <row r="38" spans="4:8" customFormat="1" x14ac:dyDescent="0.15">
      <c r="D38" s="193" t="s">
        <v>225</v>
      </c>
      <c r="E38">
        <v>37</v>
      </c>
      <c r="F38">
        <v>5</v>
      </c>
      <c r="G38">
        <v>37</v>
      </c>
      <c r="H38" s="194" t="s">
        <v>225</v>
      </c>
    </row>
    <row r="39" spans="4:8" customFormat="1" x14ac:dyDescent="0.15">
      <c r="D39" s="193" t="s">
        <v>226</v>
      </c>
      <c r="E39">
        <v>38</v>
      </c>
      <c r="F39">
        <v>5</v>
      </c>
      <c r="G39">
        <v>38</v>
      </c>
      <c r="H39" s="194" t="s">
        <v>226</v>
      </c>
    </row>
    <row r="40" spans="4:8" customFormat="1" x14ac:dyDescent="0.15">
      <c r="D40" s="193" t="s">
        <v>227</v>
      </c>
      <c r="E40">
        <v>39</v>
      </c>
      <c r="F40">
        <v>5</v>
      </c>
      <c r="G40">
        <v>39</v>
      </c>
      <c r="H40" s="194" t="s">
        <v>227</v>
      </c>
    </row>
    <row r="41" spans="4:8" customFormat="1" x14ac:dyDescent="0.15">
      <c r="D41" s="193" t="s">
        <v>138</v>
      </c>
      <c r="E41">
        <v>40</v>
      </c>
      <c r="F41">
        <v>6.1</v>
      </c>
      <c r="G41">
        <v>40</v>
      </c>
      <c r="H41" s="194" t="s">
        <v>138</v>
      </c>
    </row>
    <row r="42" spans="4:8" customFormat="1" x14ac:dyDescent="0.15">
      <c r="D42" s="193" t="s">
        <v>45</v>
      </c>
      <c r="E42">
        <v>41</v>
      </c>
      <c r="F42">
        <v>6.2</v>
      </c>
      <c r="G42">
        <v>41</v>
      </c>
      <c r="H42" s="194" t="s">
        <v>45</v>
      </c>
    </row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1" bestFit="1" customWidth="1"/>
    <col min="2" max="2" width="12.83203125" style="80" customWidth="1"/>
    <col min="3" max="3" width="13.1640625" style="80" customWidth="1"/>
    <col min="4" max="4" width="10.83203125" style="80" customWidth="1"/>
    <col min="5" max="5" width="12.83203125" style="80" customWidth="1"/>
    <col min="6" max="6" width="21.66406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1" customWidth="1"/>
    <col min="17" max="17" width="2.33203125" style="80" customWidth="1"/>
    <col min="18" max="18" width="2.33203125" style="72" customWidth="1"/>
    <col min="19" max="16384" width="11.5" style="80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2" t="s">
        <v>48</v>
      </c>
      <c r="L1" s="72"/>
      <c r="M1" s="82" t="s">
        <v>119</v>
      </c>
      <c r="N1" s="72"/>
      <c r="O1" s="82" t="s">
        <v>49</v>
      </c>
      <c r="P1" s="75"/>
      <c r="Q1" s="82" t="s">
        <v>50</v>
      </c>
      <c r="R1" s="70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9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9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5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1</v>
      </c>
      <c r="N6" s="80">
        <v>0</v>
      </c>
      <c r="O6" s="80">
        <v>0</v>
      </c>
      <c r="P6" s="71">
        <v>0</v>
      </c>
      <c r="Q6" s="80">
        <v>0</v>
      </c>
      <c r="R6" s="72">
        <v>1</v>
      </c>
      <c r="S6"/>
      <c r="T6"/>
    </row>
    <row r="7" spans="1:23" ht="15" customHeight="1" thickBot="1" x14ac:dyDescent="0.2">
      <c r="F7" s="195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1</v>
      </c>
      <c r="N7" s="80">
        <v>0</v>
      </c>
      <c r="O7" s="80">
        <v>0</v>
      </c>
      <c r="P7" s="71">
        <v>0</v>
      </c>
      <c r="Q7" s="80">
        <v>0</v>
      </c>
      <c r="R7" s="72">
        <v>1</v>
      </c>
      <c r="S7"/>
      <c r="T7"/>
    </row>
    <row r="8" spans="1:23" ht="15" customHeight="1" x14ac:dyDescent="0.15">
      <c r="A8" s="82" t="s">
        <v>56</v>
      </c>
      <c r="B8" s="89">
        <v>0.9920075038841899</v>
      </c>
      <c r="C8" s="196" t="s">
        <v>192</v>
      </c>
      <c r="D8" s="84" t="s">
        <v>160</v>
      </c>
      <c r="F8" s="195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1">
        <v>0</v>
      </c>
      <c r="Q8" s="80">
        <v>0</v>
      </c>
      <c r="R8" s="72">
        <v>1</v>
      </c>
      <c r="S8"/>
      <c r="T8"/>
      <c r="W8"/>
    </row>
    <row r="9" spans="1:23" ht="15" customHeight="1" x14ac:dyDescent="0.15">
      <c r="A9" s="123" t="s">
        <v>168</v>
      </c>
      <c r="B9" s="91">
        <v>7.9924961158100855E-3</v>
      </c>
      <c r="C9" s="196" t="s">
        <v>193</v>
      </c>
      <c r="D9" s="84" t="s">
        <v>160</v>
      </c>
      <c r="F9" s="195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1">
        <v>0</v>
      </c>
      <c r="Q9" s="80">
        <v>0</v>
      </c>
      <c r="R9" s="72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5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1">
        <v>0</v>
      </c>
      <c r="Q10" s="80">
        <v>0</v>
      </c>
      <c r="R10" s="72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5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71">
        <v>0</v>
      </c>
      <c r="Q11" s="80">
        <v>0</v>
      </c>
      <c r="R11" s="72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5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1">
        <v>0</v>
      </c>
      <c r="Q12" s="80">
        <v>0</v>
      </c>
      <c r="R12" s="72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5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1">
        <v>0</v>
      </c>
      <c r="Q13" s="80">
        <v>0</v>
      </c>
      <c r="R13" s="72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5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1">
        <v>0</v>
      </c>
      <c r="Q14" s="80">
        <v>0</v>
      </c>
      <c r="R14" s="72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5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1">
        <v>0</v>
      </c>
      <c r="Q15" s="80">
        <v>0</v>
      </c>
      <c r="R15" s="72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5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1">
        <v>0</v>
      </c>
      <c r="Q16" s="80">
        <v>0</v>
      </c>
      <c r="R16" s="72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5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1">
        <v>0</v>
      </c>
      <c r="Q17" s="80">
        <v>0</v>
      </c>
      <c r="R17" s="72">
        <v>1</v>
      </c>
      <c r="S17"/>
      <c r="T17"/>
    </row>
    <row r="18" spans="1:20" ht="15" customHeight="1" thickBot="1" x14ac:dyDescent="0.2">
      <c r="B18" s="92"/>
      <c r="F18" s="195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1">
        <v>0</v>
      </c>
      <c r="Q18" s="80">
        <v>0</v>
      </c>
      <c r="R18" s="72">
        <v>1</v>
      </c>
      <c r="S18"/>
      <c r="T18"/>
    </row>
    <row r="19" spans="1:20" ht="15" customHeight="1" x14ac:dyDescent="0.15">
      <c r="A19" s="82" t="s">
        <v>57</v>
      </c>
      <c r="B19" s="89">
        <v>0.9920075038841899</v>
      </c>
      <c r="C19" s="197" t="s">
        <v>192</v>
      </c>
      <c r="D19" s="84" t="s">
        <v>160</v>
      </c>
      <c r="F19" s="195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1">
        <v>0</v>
      </c>
      <c r="Q19" s="80">
        <v>0</v>
      </c>
      <c r="R19" s="72">
        <v>1</v>
      </c>
      <c r="S19"/>
      <c r="T19"/>
    </row>
    <row r="20" spans="1:20" ht="15" customHeight="1" x14ac:dyDescent="0.15">
      <c r="A20" s="123" t="s">
        <v>168</v>
      </c>
      <c r="B20" s="91">
        <v>7.9924961158100855E-3</v>
      </c>
      <c r="C20" s="197" t="s">
        <v>193</v>
      </c>
      <c r="D20" s="84" t="s">
        <v>160</v>
      </c>
      <c r="F20" s="195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1">
        <v>0</v>
      </c>
      <c r="Q20" s="80">
        <v>0</v>
      </c>
      <c r="R20" s="72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5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1">
        <v>0</v>
      </c>
      <c r="Q21" s="80">
        <v>0</v>
      </c>
      <c r="R21" s="72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5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1">
        <v>0</v>
      </c>
      <c r="Q22" s="80">
        <v>0</v>
      </c>
      <c r="R22" s="72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5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1">
        <v>0</v>
      </c>
      <c r="Q23" s="80">
        <v>0</v>
      </c>
      <c r="R23" s="72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5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1">
        <v>0</v>
      </c>
      <c r="Q24" s="80">
        <v>0</v>
      </c>
      <c r="R24" s="72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5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1">
        <v>0</v>
      </c>
      <c r="Q25" s="80">
        <v>0</v>
      </c>
      <c r="R25" s="72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5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1">
        <v>0</v>
      </c>
      <c r="Q26" s="80">
        <v>0</v>
      </c>
      <c r="R26" s="72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5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1">
        <v>0</v>
      </c>
      <c r="Q27" s="80">
        <v>0</v>
      </c>
      <c r="R27" s="72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5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1">
        <v>0</v>
      </c>
      <c r="Q28" s="80">
        <v>0</v>
      </c>
      <c r="R28" s="72">
        <v>1</v>
      </c>
      <c r="S28"/>
      <c r="T28"/>
    </row>
    <row r="29" spans="1:20" ht="15" customHeight="1" x14ac:dyDescent="0.15">
      <c r="F29" s="195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1">
        <v>0</v>
      </c>
      <c r="Q29" s="80">
        <v>0</v>
      </c>
      <c r="R29" s="72">
        <v>1</v>
      </c>
      <c r="S29"/>
      <c r="T29"/>
    </row>
    <row r="30" spans="1:20" ht="15" customHeight="1" x14ac:dyDescent="0.15">
      <c r="F30" s="195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1">
        <v>0</v>
      </c>
      <c r="Q30" s="80">
        <v>0</v>
      </c>
      <c r="R30" s="72">
        <v>1</v>
      </c>
      <c r="S30"/>
      <c r="T30"/>
    </row>
    <row r="31" spans="1:20" ht="15" customHeight="1" x14ac:dyDescent="0.15">
      <c r="A31" s="124"/>
      <c r="B31" s="134" t="s">
        <v>17</v>
      </c>
      <c r="C31" s="134" t="s">
        <v>1</v>
      </c>
      <c r="D31" s="134" t="s">
        <v>161</v>
      </c>
      <c r="E31" s="135" t="s">
        <v>163</v>
      </c>
      <c r="F31" s="195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1">
        <v>0</v>
      </c>
      <c r="Q31" s="80">
        <v>0</v>
      </c>
      <c r="R31" s="72">
        <v>1</v>
      </c>
      <c r="S31"/>
      <c r="T31"/>
    </row>
    <row r="32" spans="1:20" ht="15" customHeight="1" x14ac:dyDescent="0.15">
      <c r="A32" s="198" t="s">
        <v>192</v>
      </c>
      <c r="B32" s="92">
        <v>76.938000000000002</v>
      </c>
      <c r="C32" s="92">
        <v>154.4</v>
      </c>
      <c r="D32" s="92">
        <v>11879.227200000001</v>
      </c>
      <c r="E32" s="125">
        <v>0.9920075038841899</v>
      </c>
      <c r="F32" s="195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1">
        <v>0</v>
      </c>
      <c r="Q32" s="80">
        <v>0</v>
      </c>
      <c r="R32" s="72">
        <v>1</v>
      </c>
      <c r="S32"/>
      <c r="T32"/>
    </row>
    <row r="33" spans="1:20" ht="15" customHeight="1" x14ac:dyDescent="0.15">
      <c r="A33" s="198" t="s">
        <v>193</v>
      </c>
      <c r="B33" s="92">
        <v>6.3806424100000001</v>
      </c>
      <c r="C33" s="92">
        <v>15</v>
      </c>
      <c r="D33" s="92">
        <v>95.709636149999994</v>
      </c>
      <c r="E33" s="125">
        <v>7.9924961158100855E-3</v>
      </c>
      <c r="F33" s="195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1">
        <v>0</v>
      </c>
      <c r="Q33" s="80">
        <v>0</v>
      </c>
      <c r="R33" s="72">
        <v>1</v>
      </c>
      <c r="S33"/>
      <c r="T33"/>
    </row>
    <row r="34" spans="1:20" ht="15" customHeight="1" x14ac:dyDescent="0.15">
      <c r="A34" s="126"/>
      <c r="B34" s="92"/>
      <c r="C34" s="92"/>
      <c r="D34" s="92"/>
      <c r="E34" s="125"/>
      <c r="F34" s="195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1">
        <v>0</v>
      </c>
      <c r="Q34" s="80">
        <v>0</v>
      </c>
      <c r="R34" s="72">
        <v>1</v>
      </c>
      <c r="S34"/>
      <c r="T34"/>
    </row>
    <row r="35" spans="1:20" ht="15" customHeight="1" x14ac:dyDescent="0.15">
      <c r="A35" s="127"/>
      <c r="B35" s="92"/>
      <c r="C35" s="92"/>
      <c r="D35" s="92"/>
      <c r="E35" s="125"/>
      <c r="F35" s="195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71">
        <v>0</v>
      </c>
      <c r="Q35" s="80">
        <v>0</v>
      </c>
      <c r="R35" s="72">
        <v>1</v>
      </c>
      <c r="S35"/>
      <c r="T35"/>
    </row>
    <row r="36" spans="1:20" ht="15" customHeight="1" x14ac:dyDescent="0.15">
      <c r="A36" s="128"/>
      <c r="B36" s="92"/>
      <c r="C36" s="92"/>
      <c r="D36" s="92"/>
      <c r="E36" s="125"/>
      <c r="F36" s="195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1">
        <v>0</v>
      </c>
      <c r="Q36" s="80">
        <v>0</v>
      </c>
      <c r="R36" s="72">
        <v>1</v>
      </c>
      <c r="S36"/>
      <c r="T36"/>
    </row>
    <row r="37" spans="1:20" ht="15" customHeight="1" x14ac:dyDescent="0.15">
      <c r="A37" s="128"/>
      <c r="B37" s="92"/>
      <c r="C37" s="92"/>
      <c r="D37" s="92"/>
      <c r="E37" s="125"/>
      <c r="F37" s="195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1</v>
      </c>
      <c r="M37" s="80">
        <v>0</v>
      </c>
      <c r="N37" s="80">
        <v>1</v>
      </c>
      <c r="O37" s="80">
        <v>0</v>
      </c>
      <c r="P37" s="71">
        <v>1</v>
      </c>
      <c r="Q37" s="80">
        <v>0</v>
      </c>
      <c r="R37" s="72">
        <v>1</v>
      </c>
      <c r="S37"/>
      <c r="T37"/>
    </row>
    <row r="38" spans="1:20" ht="15" customHeight="1" x14ac:dyDescent="0.15">
      <c r="A38" s="129"/>
      <c r="B38" s="92"/>
      <c r="C38" s="92"/>
      <c r="D38" s="92"/>
      <c r="E38" s="125"/>
      <c r="F38" s="195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1</v>
      </c>
      <c r="M38" s="80">
        <v>0</v>
      </c>
      <c r="N38" s="80">
        <v>1</v>
      </c>
      <c r="O38" s="80">
        <v>0</v>
      </c>
      <c r="P38" s="71">
        <v>1</v>
      </c>
      <c r="Q38" s="80">
        <v>0</v>
      </c>
      <c r="R38" s="72">
        <v>1</v>
      </c>
      <c r="S38"/>
      <c r="T38"/>
    </row>
    <row r="39" spans="1:20" ht="15" customHeight="1" x14ac:dyDescent="0.15">
      <c r="A39" s="129"/>
      <c r="B39" s="92"/>
      <c r="C39" s="92"/>
      <c r="D39" s="92"/>
      <c r="E39" s="125"/>
      <c r="F39" s="195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1</v>
      </c>
      <c r="M39" s="80">
        <v>0</v>
      </c>
      <c r="N39" s="80">
        <v>0</v>
      </c>
      <c r="O39" s="80">
        <v>0</v>
      </c>
      <c r="P39" s="71">
        <v>0</v>
      </c>
      <c r="Q39" s="80">
        <v>0</v>
      </c>
      <c r="R39" s="72">
        <v>1</v>
      </c>
      <c r="S39"/>
      <c r="T39"/>
    </row>
    <row r="40" spans="1:20" ht="15" customHeight="1" x14ac:dyDescent="0.15">
      <c r="A40" s="129"/>
      <c r="B40" s="92"/>
      <c r="C40" s="92"/>
      <c r="D40" s="92"/>
      <c r="E40" s="125"/>
      <c r="F40" s="195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1</v>
      </c>
      <c r="M40" s="80">
        <v>0</v>
      </c>
      <c r="N40" s="80">
        <v>0</v>
      </c>
      <c r="O40" s="80">
        <v>0</v>
      </c>
      <c r="P40" s="71">
        <v>0</v>
      </c>
      <c r="Q40" s="80">
        <v>0</v>
      </c>
      <c r="R40" s="72">
        <v>1</v>
      </c>
      <c r="S40"/>
      <c r="T40"/>
    </row>
    <row r="41" spans="1:20" ht="15" customHeight="1" thickBot="1" x14ac:dyDescent="0.2">
      <c r="A41" s="129"/>
      <c r="B41" s="92"/>
      <c r="C41" s="92"/>
      <c r="D41" s="93"/>
      <c r="E41" s="130"/>
      <c r="F41" s="195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1</v>
      </c>
      <c r="M41" s="80">
        <v>0</v>
      </c>
      <c r="N41" s="80">
        <v>0</v>
      </c>
      <c r="O41" s="80">
        <v>0</v>
      </c>
      <c r="P41" s="71">
        <v>0</v>
      </c>
      <c r="Q41" s="80">
        <v>0</v>
      </c>
      <c r="R41" s="72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11974.936836150002</v>
      </c>
      <c r="E42" s="133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R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9" customWidth="1"/>
    <col min="3" max="5" width="7.83203125" style="109" customWidth="1"/>
    <col min="6" max="8" width="8.83203125" style="6"/>
    <col min="9" max="9" width="13.1640625" style="6" customWidth="1"/>
    <col min="10" max="10" width="14.83203125" style="6" customWidth="1"/>
    <col min="11" max="12" width="13.83203125" style="6" customWidth="1"/>
    <col min="13" max="13" width="14.5" style="6" customWidth="1"/>
    <col min="14" max="14" width="14.33203125" style="6" customWidth="1"/>
    <col min="15" max="15" width="8.33203125" style="6" customWidth="1"/>
    <col min="16" max="17" width="7.5" style="6" customWidth="1"/>
    <col min="18" max="18" width="12.6640625" style="6" customWidth="1"/>
    <col min="19" max="19" width="13.1640625" style="6" customWidth="1"/>
    <col min="20" max="20" width="10.5" style="6" customWidth="1"/>
    <col min="21" max="21" width="10.33203125" style="6" customWidth="1"/>
    <col min="22" max="22" width="12.6640625" style="6" customWidth="1"/>
    <col min="23" max="23" width="6.5" style="6" customWidth="1"/>
    <col min="24" max="24" width="12.33203125" style="6" customWidth="1"/>
    <col min="25" max="25" width="12" style="6" customWidth="1"/>
    <col min="26" max="26" width="14.1640625" style="6" customWidth="1"/>
    <col min="27" max="27" width="14" style="6" customWidth="1"/>
    <col min="28" max="28" width="12.6640625" style="6" customWidth="1"/>
    <col min="29" max="29" width="12.5" style="6" customWidth="1"/>
    <col min="30" max="30" width="13.5" style="6" customWidth="1"/>
    <col min="31" max="31" width="13.6640625" style="6" customWidth="1"/>
    <col min="32" max="33" width="12.5" style="6" customWidth="1"/>
    <col min="34" max="34" width="10.5" style="6" customWidth="1"/>
    <col min="35" max="35" width="6" style="6" customWidth="1"/>
    <col min="36" max="36" width="10.1640625" style="6" customWidth="1"/>
    <col min="37" max="37" width="8.5" style="6" customWidth="1"/>
    <col min="38" max="38" width="11.83203125" style="6" customWidth="1"/>
    <col min="39" max="39" width="13" customWidth="1"/>
    <col min="40" max="40" width="7.6640625" customWidth="1"/>
    <col min="41" max="41" width="21.6640625" customWidth="1"/>
    <col min="42" max="42" width="7.5" customWidth="1"/>
    <col min="43" max="43" width="9.1640625" customWidth="1"/>
    <col min="44" max="44" width="4.6640625" customWidth="1"/>
    <col min="81" max="81" width="22.1640625" bestFit="1" customWidth="1"/>
  </cols>
  <sheetData>
    <row r="1" spans="1:44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0" t="s">
        <v>192</v>
      </c>
      <c r="J1" s="200" t="s">
        <v>193</v>
      </c>
      <c r="K1" s="200" t="s">
        <v>194</v>
      </c>
      <c r="L1" s="200" t="s">
        <v>195</v>
      </c>
      <c r="M1" s="200" t="s">
        <v>196</v>
      </c>
      <c r="N1" s="200" t="s">
        <v>197</v>
      </c>
      <c r="O1" s="200" t="s">
        <v>198</v>
      </c>
      <c r="P1" s="200" t="s">
        <v>199</v>
      </c>
      <c r="Q1" s="200" t="s">
        <v>200</v>
      </c>
      <c r="R1" s="200" t="s">
        <v>201</v>
      </c>
      <c r="S1" s="200" t="s">
        <v>202</v>
      </c>
      <c r="T1" s="200" t="s">
        <v>203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  <c r="AN1" s="200" t="s">
        <v>223</v>
      </c>
      <c r="AO1" s="200" t="s">
        <v>224</v>
      </c>
      <c r="AP1" s="200" t="s">
        <v>225</v>
      </c>
      <c r="AQ1" s="200" t="s">
        <v>226</v>
      </c>
      <c r="AR1" s="200" t="s">
        <v>227</v>
      </c>
    </row>
    <row r="2" spans="1:44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4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4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4" x14ac:dyDescent="0.15">
      <c r="A5" s="199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4" x14ac:dyDescent="0.15">
      <c r="A6" s="199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4" x14ac:dyDescent="0.15">
      <c r="A7" s="199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4" x14ac:dyDescent="0.15">
      <c r="A8" s="199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4" x14ac:dyDescent="0.15">
      <c r="A9" s="199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4" x14ac:dyDescent="0.15">
      <c r="A10" s="199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4" x14ac:dyDescent="0.15">
      <c r="A11" s="199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4" x14ac:dyDescent="0.15">
      <c r="A12" s="199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4" x14ac:dyDescent="0.15">
      <c r="A13" s="199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4" x14ac:dyDescent="0.15">
      <c r="A14" s="199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4" x14ac:dyDescent="0.15">
      <c r="A15" s="199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4" x14ac:dyDescent="0.15">
      <c r="A16" s="199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223</v>
      </c>
      <c r="B36" s="109">
        <v>0</v>
      </c>
      <c r="C36"/>
      <c r="D36"/>
    </row>
    <row r="37" spans="1:38" ht="15" customHeight="1" x14ac:dyDescent="0.15">
      <c r="A37" s="199" t="s">
        <v>224</v>
      </c>
      <c r="B37" s="109">
        <v>0</v>
      </c>
      <c r="C37"/>
      <c r="D37"/>
    </row>
    <row r="38" spans="1:38" ht="15" customHeight="1" x14ac:dyDescent="0.15">
      <c r="A38" s="199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9" t="s">
        <v>226</v>
      </c>
      <c r="B39" s="109">
        <v>0</v>
      </c>
      <c r="C39"/>
      <c r="D39"/>
    </row>
    <row r="40" spans="1:38" ht="15" customHeight="1" x14ac:dyDescent="0.15">
      <c r="A40" s="199" t="s">
        <v>227</v>
      </c>
      <c r="B40" s="109">
        <v>0</v>
      </c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2022-10-24T04:37:56Z</dcterms:modified>
</cp:coreProperties>
</file>