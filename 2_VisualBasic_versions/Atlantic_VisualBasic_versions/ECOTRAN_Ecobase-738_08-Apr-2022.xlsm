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84B1DED-63C6-C44B-BCDA-6419842EA0D7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Main!$C$2:$N$58</definedName>
    <definedName name="matDetritus">Detritus!$C$2:$E$58</definedName>
    <definedName name="matDiet">Diets!$B$2:$AS$48</definedName>
    <definedName name="matDiscards">Discards!$C$2:$M$47</definedName>
    <definedName name="matFishery">Fishing!$C$2:$M$47</definedName>
    <definedName name="matFishing">Fishing!#REF!</definedName>
    <definedName name="matMort">Mortalities!$A$1:$BH$47</definedName>
    <definedName name="matOut">MainOutputs!$A$2:$I$58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<sst xmlns="http://schemas.openxmlformats.org/spreadsheetml/2006/main" count="1402" uniqueCount="265">
  <si>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</si>
  <si>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</si>
  <si>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</si>
  <si>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</si>
  <si>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</si>
  <si>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</si>
  <si>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</si>
  <si>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</si>
  <si>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</si>
  <si>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</si>
  <si>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</si>
  <si>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</si>
  <si>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</si>
  <si>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</si>
  <si>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</si>
  <si>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</si>
  <si>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</si>
  <si>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</si>
  <si>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</si>
  <si>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</si>
  <si>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</si>
  <si>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</si>
  <si>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</si>
  <si>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</si>
  <si>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</si>
  <si>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</si>
  <si>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</si>
  <si>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</si>
  <si>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</si>
  <si>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</si>
  <si>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</si>
  <si>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</si>
  <si>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</si>
  <si>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</si>
  <si>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</si>
  <si>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</si>
  <si>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</si>
  <si>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</si>
  <si>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</si>
  <si>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</si>
  <si>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</si>
  <si>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</si>
  <si>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</si>
  <si>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</si>
  <si>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</si>
  <si>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</si>
  <si>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</si>
  <si>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</si>
  <si>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</si>
  <si>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</si>
  <si>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</si>
  <si>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</si>
  <si>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</si>
  <si>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</si>
  <si>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</si>
  <si>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</si>
  <si>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</si>
  <si>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</si>
  <si>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</si>
  <si>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</si>
  <si>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</si>
  <si>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</si>
  <si>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</si>
  <si>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</si>
  <si>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</si>
  <si>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</si>
  <si>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</si>
  <si>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</si>
  <si>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</si>
  <si>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</si>
  <si>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</si>
  <si>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</si>
  <si>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</si>
  <si>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</si>
  <si>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</si>
  <si>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</si>
  <si>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</si>
  <si>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</si>
  <si>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</si>
  <si>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</si>
  <si>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</si>
  <si>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</si>
  <si>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</si>
  <si>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</si>
  <si>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</si>
  <si>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</si>
  <si>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</si>
  <si>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</si>
  <si>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</si>
  <si>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</si>
  <si>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</si>
  <si>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</si>
  <si>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</si>
  <si>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</si>
  <si>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</si>
  <si>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</si>
  <si>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</si>
  <si>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</si>
  <si>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</si>
  <si>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</si>
  <si>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</si>
  <si>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</si>
  <si>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</si>
  <si>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</si>
  <si>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</si>
  <si>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</si>
  <si>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</si>
  <si>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</si>
  <si>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</si>
  <si>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</si>
  <si>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</si>
  <si>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</si>
  <si>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</si>
  <si>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</si>
  <si>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</si>
  <si>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</si>
  <si>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</si>
  <si>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</si>
  <si>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</si>
  <si>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</si>
  <si>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</si>
  <si>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</si>
  <si>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</si>
  <si>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</si>
  <si>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</si>
  <si>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</si>
  <si>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</si>
  <si>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</si>
  <si>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</si>
  <si>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</si>
  <si>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</si>
  <si>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</si>
  <si>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</si>
  <si>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</si>
  <si>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</si>
  <si>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</si>
  <si>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</si>
  <si>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</si>
  <si>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</si>
  <si>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</si>
  <si>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</si>
  <si>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</si>
  <si>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</si>
  <si>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</si>
  <si>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</si>
  <si>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</si>
  <si>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</si>
  <si>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</si>
  <si>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</si>
  <si>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</si>
  <si>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</si>
  <si>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</si>
  <si>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</si>
  <si>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</si>
  <si>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</si>
  <si>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</si>
  <si>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</si>
  <si>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</si>
  <si>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</si>
  <si>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</si>
  <si>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</si>
  <si>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</si>
  <si>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</si>
  <si>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</si>
  <si>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</si>
  <si>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</si>
  <si>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</si>
  <si>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</si>
  <si>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</si>
  <si>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</si>
  <si>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</si>
  <si>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</si>
  <si>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</si>
  <si>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</si>
  <si>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</si>
  <si>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</si>
  <si>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</si>
  <si>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</si>
  <si>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</si>
  <si>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</si>
  <si>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</si>
  <si>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</si>
  <si>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</si>
  <si>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</si>
  <si>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</si>
  <si>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Azores</t>
  </si>
  <si>
    <t>Portugal</t>
  </si>
  <si>
    <t>BOX(-35.6540155369852 32.5202877175989,-20.5799123322429 43.1129007803908)</t>
  </si>
  <si>
    <t>Open ocean</t>
  </si>
  <si>
    <t>WetWeight</t>
  </si>
  <si>
    <t>Azores EEZ area ecosystem model 2013</t>
  </si>
  <si>
    <t>Morato et al., 2016</t>
  </si>
  <si>
    <t>https://doi.org/10.3389/fmars.2016.00245</t>
  </si>
  <si>
    <t>Phytoplankton</t>
  </si>
  <si>
    <t>Algae</t>
  </si>
  <si>
    <t>Small Zooplankton</t>
  </si>
  <si>
    <t>Large Zooplankton</t>
  </si>
  <si>
    <t>Shrimp</t>
  </si>
  <si>
    <t>Cephalopods</t>
  </si>
  <si>
    <t>Crabs</t>
  </si>
  <si>
    <t>Benthic filter feeders</t>
  </si>
  <si>
    <t>Benthic worms</t>
  </si>
  <si>
    <t>Other benthos</t>
  </si>
  <si>
    <t>Shallow water S</t>
  </si>
  <si>
    <t>Shallow water M</t>
  </si>
  <si>
    <t>Shallow water L</t>
  </si>
  <si>
    <t>Pelagic S</t>
  </si>
  <si>
    <t>Pelagic M</t>
  </si>
  <si>
    <t>Pelagic L</t>
  </si>
  <si>
    <t>Mesopelagics</t>
  </si>
  <si>
    <t>Bathypelagic</t>
  </si>
  <si>
    <t>Demersal S</t>
  </si>
  <si>
    <t>Demersal M</t>
  </si>
  <si>
    <t>Demersal L</t>
  </si>
  <si>
    <t>Bathydemersal S</t>
  </si>
  <si>
    <t>Bathydemersal M</t>
  </si>
  <si>
    <t>Bahtydemersal L</t>
  </si>
  <si>
    <t>H. dactylopterus</t>
  </si>
  <si>
    <t>Conger conger</t>
  </si>
  <si>
    <t>Pontinus kuhlii</t>
  </si>
  <si>
    <t>Raja clavata</t>
  </si>
  <si>
    <t>Phycis phycis</t>
  </si>
  <si>
    <t>Pagrus pagrus</t>
  </si>
  <si>
    <t>Beryx splendens</t>
  </si>
  <si>
    <t>Beryx decadactylus</t>
  </si>
  <si>
    <t>Pagellus bogaraveo</t>
  </si>
  <si>
    <t>Mora moro</t>
  </si>
  <si>
    <t>Lepidopus caudatus</t>
  </si>
  <si>
    <t>Rays and other sharks</t>
  </si>
  <si>
    <t>DW sharks</t>
  </si>
  <si>
    <t>Pelagic sharks</t>
  </si>
  <si>
    <t>Tunas</t>
  </si>
  <si>
    <t>Turtles</t>
  </si>
  <si>
    <t>Seabirds</t>
  </si>
  <si>
    <t>Dolphins</t>
  </si>
  <si>
    <t>Baleen whales</t>
  </si>
  <si>
    <t>Toothed whales</t>
  </si>
  <si>
    <t>Detritus</t>
  </si>
  <si>
    <t>detritus_TerminalBenthic</t>
  </si>
  <si>
    <t>Bottom longline &amp;amp; handline</t>
  </si>
  <si>
    <t>Pole line tuna &amp;amp; live bait</t>
  </si>
  <si>
    <t>Small pelagic fishery</t>
  </si>
  <si>
    <t>Pelagic longline regional</t>
  </si>
  <si>
    <t>Recreational fishing</t>
  </si>
  <si>
    <t>Coastal invertebrate fishery</t>
  </si>
  <si>
    <t>Squid fishery</t>
  </si>
  <si>
    <t>Pelagic longline mainland</t>
  </si>
  <si>
    <t>Pelagic longline foreign</t>
  </si>
  <si>
    <t>Bottom trawling</t>
  </si>
  <si>
    <t>Drifting deepwater longline</t>
  </si>
  <si>
    <t>Import</t>
  </si>
  <si>
    <t>export</t>
  </si>
  <si>
    <t>sum</t>
  </si>
  <si>
    <t>TOTAL</t>
  </si>
  <si>
    <t>F Bottom longline &amp;amp; handline</t>
  </si>
  <si>
    <t>F Pole line tuna &amp;amp; live bait</t>
  </si>
  <si>
    <t>F Small pelagic fishery</t>
  </si>
  <si>
    <t>F Pelagic longline regional</t>
  </si>
  <si>
    <t>F Recreational fishing</t>
  </si>
  <si>
    <t>F Coastal invertebrate fishery</t>
  </si>
  <si>
    <t>F Squid fishery</t>
  </si>
  <si>
    <t>F Pelagic longline mainland</t>
  </si>
  <si>
    <t>F Pelagic longline foreign</t>
  </si>
  <si>
    <t>F Bottom trawling</t>
  </si>
  <si>
    <t>F Drifting deepwater longline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</si>
</sst>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2C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FFEC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47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71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79" t="s">
        <v>171</v>
      </c>
      <c r="C53" s="111">
        <v>738</v>
      </c>
      <c r="D53" s="111"/>
    </row>
    <row r="54" spans="2:4" x14ac:dyDescent="0.15">
      <c r="B54" s="179" t="s">
        <v>172</v>
      </c>
      <c r="C54" s="179" t="s">
        <v>185</v>
      </c>
      <c r="D54" s="111"/>
    </row>
    <row r="55" spans="2:4" x14ac:dyDescent="0.15">
      <c r="B55" s="179" t="s">
        <v>173</v>
      </c>
      <c r="C55" s="179" t="s">
        <v>186</v>
      </c>
      <c r="D55" s="111"/>
    </row>
    <row r="56" spans="2:4" x14ac:dyDescent="0.15">
      <c r="B56" s="179" t="s">
        <v>174</v>
      </c>
      <c r="C56" s="111">
        <v>954563.06299999997</v>
      </c>
      <c r="D56" s="111"/>
    </row>
    <row r="57" spans="2:4" x14ac:dyDescent="0.15">
      <c r="B57" s="179" t="s">
        <v>175</v>
      </c>
      <c r="C57" s="179" t="s">
        <v>187</v>
      </c>
      <c r="D57" s="111"/>
    </row>
    <row r="58" spans="2:4" x14ac:dyDescent="0.15">
      <c r="B58" s="179" t="s">
        <v>176</v>
      </c>
      <c r="C58" s="179" t="s">
        <v>188</v>
      </c>
      <c r="D58" s="111"/>
    </row>
    <row r="59" spans="2:4" x14ac:dyDescent="0.15">
      <c r="B59" s="179" t="s">
        <v>177</v>
      </c>
      <c r="C59" s="179" t="s">
        <v>189</v>
      </c>
      <c r="D59" s="111"/>
    </row>
    <row r="60" spans="2:4" x14ac:dyDescent="0.15">
      <c r="B60" s="179" t="s">
        <v>178</v>
      </c>
      <c r="C60" s="179" t="s">
        <v>190</v>
      </c>
      <c r="D60" s="111"/>
    </row>
    <row r="61" spans="2:4" x14ac:dyDescent="0.15">
      <c r="B61" s="179" t="s">
        <v>179</v>
      </c>
      <c r="C61" s="111">
        <v>45</v>
      </c>
      <c r="D61" s="111"/>
    </row>
    <row r="62" spans="2:4" x14ac:dyDescent="0.15">
      <c r="B62" s="179" t="s">
        <v>180</v>
      </c>
      <c r="C62" s="111">
        <v>11</v>
      </c>
      <c r="D62" s="111"/>
    </row>
    <row r="63" spans="2:4" x14ac:dyDescent="0.15">
      <c r="B63" s="179" t="s">
        <v>181</v>
      </c>
      <c r="C63" s="111">
        <v>1997</v>
      </c>
      <c r="D63" s="111"/>
    </row>
    <row r="64" spans="2:4" x14ac:dyDescent="0.15">
      <c r="B64" s="179" t="s">
        <v>182</v>
      </c>
      <c r="C64" s="111">
        <v>1</v>
      </c>
      <c r="D64" s="111"/>
    </row>
    <row r="65" spans="2:4" x14ac:dyDescent="0.15">
      <c r="B65" s="179" t="s">
        <v>183</v>
      </c>
      <c r="C65" s="179" t="s">
        <v>191</v>
      </c>
      <c r="D65" s="111"/>
    </row>
    <row r="66" spans="2:4" x14ac:dyDescent="0.15">
      <c r="B66" s="179" t="s">
        <v>184</v>
      </c>
      <c r="C66" s="179" t="s">
        <v>192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7.5" style="80" bestFit="1" customWidth="1"/>
    <col min="6" max="6" width="2.33203125" style="80" bestFit="1" customWidth="1"/>
    <col min="7" max="7" width="14.83203125" style="80" bestFit="1" customWidth="1"/>
    <col min="8" max="8" width="11.83203125" style="80" customWidth="1"/>
    <col min="9" max="9" width="10.83203125" style="80" customWidth="1"/>
    <col min="10" max="10" width="12.83203125" style="80" customWidth="1"/>
    <col min="11" max="11" width="13.83203125" style="80" customWidth="1"/>
    <col min="12" max="12" width="2.33203125" style="80" customWidth="1"/>
    <col min="13" max="13" width="3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80" t="s">
        <v>193</v>
      </c>
      <c r="F2" s="80">
        <v>1</v>
      </c>
      <c r="G2" s="80">
        <v>2.9</v>
      </c>
      <c r="H2" s="80">
        <v>576.28579999999999</v>
      </c>
      <c r="I2" s="6">
        <v>0</v>
      </c>
      <c r="J2" s="6">
        <v>0.12054176599999999</v>
      </c>
      <c r="K2" s="6">
        <v>0</v>
      </c>
      <c r="L2" s="6">
        <v>0</v>
      </c>
      <c r="M2" s="80">
        <v>0</v>
      </c>
      <c r="N2" s="80">
        <v>0</v>
      </c>
    </row>
    <row r="3" spans="1:46" ht="15" customHeight="1" x14ac:dyDescent="0.15">
      <c r="A3" s="1" t="s">
        <v>9</v>
      </c>
      <c r="B3" s="4">
        <v>44</v>
      </c>
      <c r="C3" s="80">
        <v>2</v>
      </c>
      <c r="D3"/>
      <c r="E3" s="180" t="s">
        <v>194</v>
      </c>
      <c r="F3" s="80">
        <v>1</v>
      </c>
      <c r="G3" s="80">
        <v>0.90720683300000005</v>
      </c>
      <c r="H3" s="80">
        <v>4.34</v>
      </c>
      <c r="I3" s="80">
        <v>0</v>
      </c>
      <c r="J3" s="80">
        <v>1.60117317E-2</v>
      </c>
      <c r="K3" s="80">
        <v>0</v>
      </c>
      <c r="L3" s="80">
        <v>0</v>
      </c>
      <c r="M3" s="80">
        <v>0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80" t="s">
        <v>195</v>
      </c>
      <c r="F4" s="80">
        <v>0</v>
      </c>
      <c r="G4" s="80">
        <v>4.5200905799999997</v>
      </c>
      <c r="H4" s="80">
        <v>11.21</v>
      </c>
      <c r="I4" s="80">
        <v>43.29</v>
      </c>
      <c r="J4" s="80">
        <v>0.89999989999999996</v>
      </c>
      <c r="K4" s="80">
        <v>0.258951247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11</v>
      </c>
      <c r="C5" s="80">
        <v>4</v>
      </c>
      <c r="D5"/>
      <c r="E5" s="180" t="s">
        <v>196</v>
      </c>
      <c r="F5" s="80">
        <v>0</v>
      </c>
      <c r="G5" s="80">
        <v>3.5079899999999999</v>
      </c>
      <c r="H5" s="80">
        <v>4.78</v>
      </c>
      <c r="I5" s="80">
        <v>15.5</v>
      </c>
      <c r="J5" s="80">
        <v>0.89999989999999996</v>
      </c>
      <c r="K5" s="80">
        <v>0.30838710000000003</v>
      </c>
      <c r="L5" s="80">
        <v>0</v>
      </c>
      <c r="M5" s="80">
        <v>0.2</v>
      </c>
      <c r="N5" s="80">
        <v>0</v>
      </c>
      <c r="P5" s="70"/>
      <c r="Q5" s="70"/>
      <c r="R5" s="70"/>
    </row>
    <row r="6" spans="1:46" ht="15" customHeight="1" thickBot="1" x14ac:dyDescent="0.2">
      <c r="B6" s="1"/>
      <c r="C6" s="80">
        <v>5</v>
      </c>
      <c r="D6"/>
      <c r="E6" s="180" t="s">
        <v>197</v>
      </c>
      <c r="F6" s="80">
        <v>0</v>
      </c>
      <c r="G6" s="80">
        <v>2.2970585799999998</v>
      </c>
      <c r="H6" s="80">
        <v>1.45</v>
      </c>
      <c r="I6" s="80">
        <v>9.6669999999999998</v>
      </c>
      <c r="J6" s="80">
        <v>0.94999990000000001</v>
      </c>
      <c r="K6" s="80">
        <v>0.14999483499999999</v>
      </c>
      <c r="L6" s="80">
        <v>0</v>
      </c>
      <c r="M6" s="80">
        <v>0.2</v>
      </c>
      <c r="N6" s="80">
        <v>0</v>
      </c>
      <c r="P6" s="70"/>
      <c r="Q6" s="70"/>
      <c r="R6" s="70"/>
      <c r="W6" s="34" t="s">
        <v>31</v>
      </c>
      <c r="X6" s="50">
        <f>MAX(MainOutputs!G:G)</f>
        <v>0.95000022649765015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453</v>
      </c>
      <c r="C7" s="80">
        <v>6</v>
      </c>
      <c r="D7"/>
      <c r="E7" s="180" t="s">
        <v>198</v>
      </c>
      <c r="F7" s="80">
        <v>0</v>
      </c>
      <c r="G7" s="80">
        <v>0.32472786300000001</v>
      </c>
      <c r="H7" s="80">
        <v>3.28</v>
      </c>
      <c r="I7" s="80">
        <v>12.29</v>
      </c>
      <c r="J7" s="80">
        <v>0.94999990000000001</v>
      </c>
      <c r="K7" s="80">
        <v>0.266883641</v>
      </c>
      <c r="L7" s="80">
        <v>0</v>
      </c>
      <c r="M7" s="80">
        <v>0.2</v>
      </c>
      <c r="N7" s="80">
        <v>0</v>
      </c>
      <c r="P7" s="70"/>
      <c r="Q7" s="70"/>
      <c r="R7" s="70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126</v>
      </c>
      <c r="C8" s="80">
        <v>7</v>
      </c>
      <c r="D8"/>
      <c r="E8" s="180" t="s">
        <v>199</v>
      </c>
      <c r="F8" s="80">
        <v>0</v>
      </c>
      <c r="G8" s="80">
        <v>2.03178978</v>
      </c>
      <c r="H8" s="80">
        <v>1.6</v>
      </c>
      <c r="I8" s="80">
        <v>10</v>
      </c>
      <c r="J8" s="80">
        <v>0.95</v>
      </c>
      <c r="K8" s="80">
        <v>0.16</v>
      </c>
      <c r="L8" s="80">
        <v>0</v>
      </c>
      <c r="M8" s="80">
        <v>0.2</v>
      </c>
      <c r="N8" s="80">
        <v>0</v>
      </c>
      <c r="P8" s="70"/>
      <c r="Q8" s="70"/>
      <c r="R8" s="70"/>
    </row>
    <row r="9" spans="1:46" ht="15" customHeight="1" x14ac:dyDescent="0.15">
      <c r="B9" s="1"/>
      <c r="C9" s="80">
        <v>8</v>
      </c>
      <c r="D9"/>
      <c r="E9" s="180" t="s">
        <v>200</v>
      </c>
      <c r="F9" s="80">
        <v>0</v>
      </c>
      <c r="G9" s="80">
        <v>2.2115178100000001</v>
      </c>
      <c r="H9" s="80">
        <v>0.8</v>
      </c>
      <c r="I9" s="80">
        <v>9</v>
      </c>
      <c r="J9" s="80">
        <v>0.94999990000000001</v>
      </c>
      <c r="K9" s="80">
        <v>8.8888889999999998E-2</v>
      </c>
      <c r="L9" s="80">
        <v>0</v>
      </c>
      <c r="M9" s="80">
        <v>0.2</v>
      </c>
      <c r="N9" s="80">
        <v>0</v>
      </c>
      <c r="P9" s="70"/>
      <c r="Q9" s="70"/>
      <c r="R9" s="70"/>
    </row>
    <row r="10" spans="1:46" ht="15" customHeight="1" x14ac:dyDescent="0.15">
      <c r="B10" s="1"/>
      <c r="C10" s="80">
        <v>9</v>
      </c>
      <c r="D10"/>
      <c r="E10" s="180" t="s">
        <v>201</v>
      </c>
      <c r="F10" s="80">
        <v>0</v>
      </c>
      <c r="G10" s="80">
        <v>1.1815251099999999</v>
      </c>
      <c r="H10" s="80">
        <v>2.2799999999999998</v>
      </c>
      <c r="I10" s="80">
        <v>11.4</v>
      </c>
      <c r="J10" s="80">
        <v>0.949999869</v>
      </c>
      <c r="K10" s="80">
        <v>0.2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80" t="s">
        <v>202</v>
      </c>
      <c r="F11" s="80">
        <v>0</v>
      </c>
      <c r="G11" s="80">
        <v>1.0604056100000001</v>
      </c>
      <c r="H11" s="80">
        <v>3</v>
      </c>
      <c r="I11" s="80">
        <v>10</v>
      </c>
      <c r="J11" s="80">
        <v>0.95000004800000004</v>
      </c>
      <c r="K11" s="80">
        <v>0.3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80" t="s">
        <v>203</v>
      </c>
      <c r="F12" s="80">
        <v>0</v>
      </c>
      <c r="G12" s="80">
        <v>1.6572259999999998E-2</v>
      </c>
      <c r="H12" s="80">
        <v>2.4923999999999999</v>
      </c>
      <c r="I12" s="80">
        <v>8.3079999999999998</v>
      </c>
      <c r="J12" s="80">
        <v>0.949999869</v>
      </c>
      <c r="K12" s="80">
        <v>0.3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80" t="s">
        <v>204</v>
      </c>
      <c r="F13" s="80">
        <v>0</v>
      </c>
      <c r="G13" s="80">
        <v>1.9565722000000001E-2</v>
      </c>
      <c r="H13" s="80">
        <v>1.26000011</v>
      </c>
      <c r="I13" s="80">
        <v>6.3</v>
      </c>
      <c r="J13" s="80">
        <v>0.95000004800000004</v>
      </c>
      <c r="K13" s="80">
        <v>0.2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80" t="s">
        <v>205</v>
      </c>
      <c r="F14" s="80">
        <v>0</v>
      </c>
      <c r="G14" s="80">
        <v>2.5343163900000002E-3</v>
      </c>
      <c r="H14" s="80">
        <v>0.44230000000000003</v>
      </c>
      <c r="I14" s="80">
        <v>4.423</v>
      </c>
      <c r="J14" s="80">
        <v>0.95</v>
      </c>
      <c r="K14" s="80">
        <v>0.1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80" t="s">
        <v>206</v>
      </c>
      <c r="F15" s="80">
        <v>0</v>
      </c>
      <c r="G15" s="80">
        <v>0.51721309999999998</v>
      </c>
      <c r="H15" s="80">
        <v>2.8422000000000001</v>
      </c>
      <c r="I15" s="80">
        <v>9.4740000000000002</v>
      </c>
      <c r="J15" s="80">
        <v>0.95</v>
      </c>
      <c r="K15" s="80">
        <v>0.3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80" t="s">
        <v>207</v>
      </c>
      <c r="F16" s="80">
        <v>0</v>
      </c>
      <c r="G16" s="80">
        <v>0.123050123</v>
      </c>
      <c r="H16" s="80">
        <v>0.86599999999999999</v>
      </c>
      <c r="I16" s="80">
        <v>4.33</v>
      </c>
      <c r="J16" s="80">
        <v>0.95</v>
      </c>
      <c r="K16" s="80">
        <v>0.2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80" t="s">
        <v>208</v>
      </c>
      <c r="F17" s="80">
        <v>0</v>
      </c>
      <c r="G17" s="80">
        <v>9.2386495100000004E-4</v>
      </c>
      <c r="H17" s="80">
        <v>0.72699999999999998</v>
      </c>
      <c r="I17" s="80">
        <v>2.496</v>
      </c>
      <c r="J17" s="80">
        <v>0.95</v>
      </c>
      <c r="K17" s="80">
        <v>0.29126602400000001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80" t="s">
        <v>209</v>
      </c>
      <c r="F18" s="80">
        <v>0</v>
      </c>
      <c r="G18" s="80">
        <v>0.97826219999999997</v>
      </c>
      <c r="H18" s="80">
        <v>2.5859999999999999</v>
      </c>
      <c r="I18" s="80">
        <v>8.6199999999999992</v>
      </c>
      <c r="J18" s="80">
        <v>0.94999990000000001</v>
      </c>
      <c r="K18" s="80">
        <v>0.3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80" t="s">
        <v>210</v>
      </c>
      <c r="F19" s="80">
        <v>0</v>
      </c>
      <c r="G19" s="80">
        <v>0.67691800000000002</v>
      </c>
      <c r="H19" s="80">
        <v>0.437</v>
      </c>
      <c r="I19" s="80">
        <v>4.8959999999999999</v>
      </c>
      <c r="J19" s="80">
        <v>0.94999990000000001</v>
      </c>
      <c r="K19" s="80">
        <v>8.9256539999999995E-2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80" t="s">
        <v>211</v>
      </c>
      <c r="F20" s="80">
        <v>0</v>
      </c>
      <c r="G20" s="80">
        <v>6.7183329999999999E-2</v>
      </c>
      <c r="H20" s="80">
        <v>2.2287001599999998</v>
      </c>
      <c r="I20" s="80">
        <v>7.4290000000000003</v>
      </c>
      <c r="J20" s="80">
        <v>0.95000010000000001</v>
      </c>
      <c r="K20" s="80">
        <v>0.3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5" t="s">
        <v>137</v>
      </c>
      <c r="B21" s="98"/>
      <c r="C21" s="80">
        <v>20</v>
      </c>
      <c r="D21"/>
      <c r="E21" s="180" t="s">
        <v>212</v>
      </c>
      <c r="F21" s="80">
        <v>0</v>
      </c>
      <c r="G21" s="80">
        <v>2.03864947E-2</v>
      </c>
      <c r="H21" s="80">
        <v>0.93259999999999998</v>
      </c>
      <c r="I21" s="80">
        <v>4.6630000000000003</v>
      </c>
      <c r="J21" s="80">
        <v>0.95</v>
      </c>
      <c r="K21" s="80">
        <v>0.2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80" t="s">
        <v>213</v>
      </c>
      <c r="F22" s="80">
        <v>0</v>
      </c>
      <c r="G22" s="80">
        <v>5.0018853499999997E-3</v>
      </c>
      <c r="H22" s="80">
        <v>0.46100000000000002</v>
      </c>
      <c r="I22" s="80">
        <v>3.8180000000000001</v>
      </c>
      <c r="J22" s="80">
        <v>0.95</v>
      </c>
      <c r="K22" s="80">
        <v>0.120743841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80" t="s">
        <v>214</v>
      </c>
      <c r="F23" s="80">
        <v>0</v>
      </c>
      <c r="G23" s="80">
        <v>0.98451405800000003</v>
      </c>
      <c r="H23" s="80">
        <v>0.49499997499999998</v>
      </c>
      <c r="I23" s="80">
        <v>4.95</v>
      </c>
      <c r="J23" s="80">
        <v>0.949999869</v>
      </c>
      <c r="K23" s="80">
        <v>0.1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80" t="s">
        <v>215</v>
      </c>
      <c r="F24" s="80">
        <v>0</v>
      </c>
      <c r="G24" s="80">
        <v>4.2342710000000004E-3</v>
      </c>
      <c r="H24" s="80">
        <v>0.33100000000000002</v>
      </c>
      <c r="I24" s="80">
        <v>3.31</v>
      </c>
      <c r="J24" s="80">
        <v>0.95</v>
      </c>
      <c r="K24" s="80">
        <v>0.1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80" t="s">
        <v>216</v>
      </c>
      <c r="F25" s="80">
        <v>0</v>
      </c>
      <c r="G25" s="80">
        <v>7.2879900000000003E-4</v>
      </c>
      <c r="H25" s="80">
        <v>0.35260000000000002</v>
      </c>
      <c r="I25" s="80">
        <v>3.5259999999999998</v>
      </c>
      <c r="J25" s="80">
        <v>0.95</v>
      </c>
      <c r="K25" s="80">
        <v>0.1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80" t="s">
        <v>217</v>
      </c>
      <c r="F26" s="80">
        <v>0</v>
      </c>
      <c r="G26" s="80">
        <v>2.3721523599999999E-2</v>
      </c>
      <c r="H26" s="80">
        <v>0.45660000000000001</v>
      </c>
      <c r="I26" s="80">
        <v>4.5659999999999998</v>
      </c>
      <c r="J26" s="80">
        <v>0.95</v>
      </c>
      <c r="K26" s="80">
        <v>0.1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80" t="s">
        <v>218</v>
      </c>
      <c r="F27" s="80">
        <v>0</v>
      </c>
      <c r="G27" s="80">
        <v>7.2153103500000003E-3</v>
      </c>
      <c r="H27" s="80">
        <v>0.13400000000000001</v>
      </c>
      <c r="I27" s="80">
        <v>2.9849999999999999</v>
      </c>
      <c r="J27" s="80">
        <v>0.95</v>
      </c>
      <c r="K27" s="80">
        <v>4.4891126500000003E-2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80" t="s">
        <v>219</v>
      </c>
      <c r="F28" s="80">
        <v>0</v>
      </c>
      <c r="G28" s="80">
        <v>1.0043832E-3</v>
      </c>
      <c r="H28" s="80">
        <v>0.25</v>
      </c>
      <c r="I28" s="80">
        <v>3.6150000000000002</v>
      </c>
      <c r="J28" s="80">
        <v>0.95</v>
      </c>
      <c r="K28" s="80">
        <v>6.9156300000000004E-2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80" t="s">
        <v>220</v>
      </c>
      <c r="F29" s="80">
        <v>0</v>
      </c>
      <c r="G29" s="80">
        <v>9.7874750000000003E-4</v>
      </c>
      <c r="H29" s="80">
        <v>0.28599999999999998</v>
      </c>
      <c r="I29" s="80">
        <v>4.1040000000000001</v>
      </c>
      <c r="J29" s="80">
        <v>0.95</v>
      </c>
      <c r="K29" s="80">
        <v>6.9688109999999998E-2</v>
      </c>
      <c r="L29" s="80">
        <v>0</v>
      </c>
      <c r="M29" s="80">
        <v>0.2</v>
      </c>
      <c r="N29" s="80">
        <v>0</v>
      </c>
    </row>
    <row r="30" spans="1:22" customFormat="1" ht="15" customHeight="1" x14ac:dyDescent="0.15">
      <c r="C30" s="80">
        <v>29</v>
      </c>
      <c r="E30" s="180" t="s">
        <v>221</v>
      </c>
      <c r="F30" s="80">
        <v>0</v>
      </c>
      <c r="G30" s="80">
        <v>5.888023E-3</v>
      </c>
      <c r="H30" s="80">
        <v>0.219</v>
      </c>
      <c r="I30" s="80">
        <v>4.5010000000000003</v>
      </c>
      <c r="J30" s="80">
        <v>0.95000016700000001</v>
      </c>
      <c r="K30" s="80">
        <v>4.8655852700000002E-2</v>
      </c>
      <c r="L30" s="80">
        <v>0</v>
      </c>
      <c r="M30" s="80">
        <v>0.2</v>
      </c>
      <c r="N30" s="80">
        <v>0</v>
      </c>
    </row>
    <row r="31" spans="1:22" customFormat="1" ht="15" customHeight="1" x14ac:dyDescent="0.15">
      <c r="C31" s="80">
        <v>30</v>
      </c>
      <c r="E31" s="180" t="s">
        <v>222</v>
      </c>
      <c r="F31" s="80">
        <v>0</v>
      </c>
      <c r="G31" s="80">
        <v>1.3048810700000001E-3</v>
      </c>
      <c r="H31" s="80">
        <v>0.316</v>
      </c>
      <c r="I31" s="80">
        <v>4.7329999999999997</v>
      </c>
      <c r="J31" s="80">
        <v>0.95</v>
      </c>
      <c r="K31" s="80">
        <v>6.6765270000000002E-2</v>
      </c>
      <c r="L31" s="80">
        <v>0</v>
      </c>
      <c r="M31" s="80">
        <v>0.2</v>
      </c>
      <c r="N31" s="80">
        <v>0</v>
      </c>
    </row>
    <row r="32" spans="1:22" customFormat="1" ht="15" customHeight="1" x14ac:dyDescent="0.15">
      <c r="C32" s="80">
        <v>31</v>
      </c>
      <c r="E32" s="180" t="s">
        <v>223</v>
      </c>
      <c r="F32" s="80">
        <v>0</v>
      </c>
      <c r="G32" s="80">
        <v>2.55834544E-3</v>
      </c>
      <c r="H32" s="80">
        <v>0.39500000000000002</v>
      </c>
      <c r="I32" s="80">
        <v>3.5750000000000002</v>
      </c>
      <c r="J32" s="80">
        <v>0.95</v>
      </c>
      <c r="K32" s="80">
        <v>0.11048951</v>
      </c>
      <c r="L32" s="80">
        <v>0</v>
      </c>
      <c r="M32" s="80">
        <v>0.2</v>
      </c>
      <c r="N32" s="80">
        <v>0</v>
      </c>
    </row>
    <row r="33" spans="3:14" customFormat="1" ht="15" customHeight="1" x14ac:dyDescent="0.15">
      <c r="C33" s="80">
        <v>32</v>
      </c>
      <c r="E33" s="180" t="s">
        <v>224</v>
      </c>
      <c r="F33" s="80">
        <v>0</v>
      </c>
      <c r="G33" s="80">
        <v>2.8603050000000001E-3</v>
      </c>
      <c r="H33" s="80">
        <v>0.26200000000000001</v>
      </c>
      <c r="I33" s="80">
        <v>2.7429999999999999</v>
      </c>
      <c r="J33" s="80">
        <v>0.94999990000000001</v>
      </c>
      <c r="K33" s="80">
        <v>9.55158547E-2</v>
      </c>
      <c r="L33" s="80">
        <v>0</v>
      </c>
      <c r="M33" s="80">
        <v>0.2</v>
      </c>
      <c r="N33" s="80">
        <v>0</v>
      </c>
    </row>
    <row r="34" spans="3:14" customFormat="1" ht="15" customHeight="1" x14ac:dyDescent="0.15">
      <c r="C34" s="80">
        <v>33</v>
      </c>
      <c r="E34" s="180" t="s">
        <v>225</v>
      </c>
      <c r="F34" s="80">
        <v>0</v>
      </c>
      <c r="G34" s="80">
        <v>1.72571987E-2</v>
      </c>
      <c r="H34" s="80">
        <v>0.30499999999999999</v>
      </c>
      <c r="I34" s="80">
        <v>4.6769999999999996</v>
      </c>
      <c r="J34" s="80">
        <v>0.95</v>
      </c>
      <c r="K34" s="80">
        <v>6.5212740000000005E-2</v>
      </c>
      <c r="L34" s="80">
        <v>0</v>
      </c>
      <c r="M34" s="80">
        <v>0.2</v>
      </c>
      <c r="N34" s="80">
        <v>0</v>
      </c>
    </row>
    <row r="35" spans="3:14" customFormat="1" ht="15" customHeight="1" x14ac:dyDescent="0.15">
      <c r="C35" s="80">
        <v>34</v>
      </c>
      <c r="E35" s="180" t="s">
        <v>226</v>
      </c>
      <c r="F35" s="80">
        <v>0</v>
      </c>
      <c r="G35" s="80">
        <v>1.1689368400000001E-3</v>
      </c>
      <c r="H35" s="80">
        <v>0.17</v>
      </c>
      <c r="I35" s="80">
        <v>2.6851763700000002</v>
      </c>
      <c r="J35" s="80">
        <v>0.94999990000000001</v>
      </c>
      <c r="K35" s="80">
        <v>6.3310556099999998E-2</v>
      </c>
      <c r="L35" s="80">
        <v>0</v>
      </c>
      <c r="M35" s="80">
        <v>0.2</v>
      </c>
      <c r="N35" s="80">
        <v>0</v>
      </c>
    </row>
    <row r="36" spans="3:14" customFormat="1" ht="15" customHeight="1" x14ac:dyDescent="0.15">
      <c r="C36" s="80">
        <v>35</v>
      </c>
      <c r="E36" s="180" t="s">
        <v>227</v>
      </c>
      <c r="F36" s="80">
        <v>0</v>
      </c>
      <c r="G36" s="80">
        <v>4.5681353700000003E-2</v>
      </c>
      <c r="H36" s="80">
        <v>0.251</v>
      </c>
      <c r="I36" s="80">
        <v>4.7850000000000001</v>
      </c>
      <c r="J36" s="80">
        <v>0.95000010000000001</v>
      </c>
      <c r="K36" s="80">
        <v>5.2455590000000003E-2</v>
      </c>
      <c r="L36" s="80">
        <v>0</v>
      </c>
      <c r="M36" s="80">
        <v>0.2</v>
      </c>
      <c r="N36" s="80">
        <v>0</v>
      </c>
    </row>
    <row r="37" spans="3:14" customFormat="1" ht="15" customHeight="1" x14ac:dyDescent="0.15">
      <c r="C37" s="80">
        <v>36</v>
      </c>
      <c r="E37" s="180" t="s">
        <v>228</v>
      </c>
      <c r="F37" s="80">
        <v>0</v>
      </c>
      <c r="G37" s="80">
        <v>2.8760747500000002E-3</v>
      </c>
      <c r="H37" s="80">
        <v>0.31259999999999999</v>
      </c>
      <c r="I37" s="80">
        <v>3.1259999999999999</v>
      </c>
      <c r="J37" s="80">
        <v>0.94999990000000001</v>
      </c>
      <c r="K37" s="80">
        <v>0.1</v>
      </c>
      <c r="L37" s="80">
        <v>0</v>
      </c>
      <c r="M37" s="80">
        <v>0.2</v>
      </c>
      <c r="N37" s="80">
        <v>0</v>
      </c>
    </row>
    <row r="38" spans="3:14" customFormat="1" ht="15" customHeight="1" x14ac:dyDescent="0.15">
      <c r="C38" s="80">
        <v>37</v>
      </c>
      <c r="E38" s="180" t="s">
        <v>229</v>
      </c>
      <c r="F38" s="80">
        <v>0</v>
      </c>
      <c r="G38" s="80">
        <v>3.66180646E-3</v>
      </c>
      <c r="H38" s="80">
        <v>0.35660001600000002</v>
      </c>
      <c r="I38" s="80">
        <v>3.5659999999999998</v>
      </c>
      <c r="J38" s="80">
        <v>0.94999990000000001</v>
      </c>
      <c r="K38" s="80">
        <v>0.1</v>
      </c>
      <c r="L38" s="80">
        <v>0</v>
      </c>
      <c r="M38" s="80">
        <v>0.2</v>
      </c>
      <c r="N38" s="80">
        <v>0</v>
      </c>
    </row>
    <row r="39" spans="3:14" customFormat="1" ht="15" customHeight="1" x14ac:dyDescent="0.15">
      <c r="C39" s="80">
        <v>38</v>
      </c>
      <c r="E39" s="180" t="s">
        <v>230</v>
      </c>
      <c r="F39" s="80">
        <v>0</v>
      </c>
      <c r="G39" s="80">
        <v>4.9325514600000002E-2</v>
      </c>
      <c r="H39" s="80">
        <v>0.26779999999999998</v>
      </c>
      <c r="I39" s="80">
        <v>2.6779999999999999</v>
      </c>
      <c r="J39" s="80">
        <v>0.95</v>
      </c>
      <c r="K39" s="80">
        <v>0.1</v>
      </c>
      <c r="L39" s="80">
        <v>0</v>
      </c>
      <c r="M39" s="80">
        <v>0.2</v>
      </c>
      <c r="N39" s="80">
        <v>0</v>
      </c>
    </row>
    <row r="40" spans="3:14" customFormat="1" ht="15" customHeight="1" x14ac:dyDescent="0.15">
      <c r="C40" s="80">
        <v>39</v>
      </c>
      <c r="E40" s="180" t="s">
        <v>231</v>
      </c>
      <c r="F40" s="80">
        <v>0</v>
      </c>
      <c r="G40" s="80">
        <v>8.8565073899999999E-2</v>
      </c>
      <c r="H40" s="80">
        <v>0.36399999999999999</v>
      </c>
      <c r="I40" s="80">
        <v>3.0270000000000001</v>
      </c>
      <c r="J40" s="80">
        <v>0.95</v>
      </c>
      <c r="K40" s="80">
        <v>0.120251074</v>
      </c>
      <c r="L40" s="80">
        <v>0</v>
      </c>
      <c r="M40" s="80">
        <v>0.2</v>
      </c>
      <c r="N40" s="80">
        <v>0</v>
      </c>
    </row>
    <row r="41" spans="3:14" customFormat="1" ht="15" customHeight="1" x14ac:dyDescent="0.15">
      <c r="C41" s="80">
        <v>40</v>
      </c>
      <c r="E41" s="180" t="s">
        <v>232</v>
      </c>
      <c r="F41" s="80">
        <v>0</v>
      </c>
      <c r="G41" s="80">
        <v>4.0389769999999998E-2</v>
      </c>
      <c r="H41" s="80">
        <v>0.15</v>
      </c>
      <c r="I41" s="80">
        <v>3.5</v>
      </c>
      <c r="J41" s="80">
        <v>0.95000004800000004</v>
      </c>
      <c r="K41" s="80">
        <v>4.2857144E-2</v>
      </c>
      <c r="L41" s="80">
        <v>0</v>
      </c>
      <c r="M41" s="80">
        <v>0.2</v>
      </c>
      <c r="N41" s="80">
        <v>0</v>
      </c>
    </row>
    <row r="42" spans="3:14" customFormat="1" ht="15" customHeight="1" x14ac:dyDescent="0.15">
      <c r="C42" s="80">
        <v>41</v>
      </c>
      <c r="E42" s="180" t="s">
        <v>233</v>
      </c>
      <c r="F42" s="80">
        <v>0</v>
      </c>
      <c r="G42" s="80">
        <v>1E-4</v>
      </c>
      <c r="H42" s="80">
        <v>0.25</v>
      </c>
      <c r="I42" s="80">
        <v>84.39</v>
      </c>
      <c r="J42" s="80">
        <v>0.23002272800000001</v>
      </c>
      <c r="K42" s="80">
        <v>2.9624362899999999E-3</v>
      </c>
      <c r="L42" s="80">
        <v>0</v>
      </c>
      <c r="M42" s="80">
        <v>0.2</v>
      </c>
      <c r="N42" s="80">
        <v>0</v>
      </c>
    </row>
    <row r="43" spans="3:14" customFormat="1" ht="15" customHeight="1" x14ac:dyDescent="0.15">
      <c r="C43" s="80">
        <v>42</v>
      </c>
      <c r="E43" s="180" t="s">
        <v>234</v>
      </c>
      <c r="F43" s="80">
        <v>0</v>
      </c>
      <c r="G43" s="80">
        <v>1.9E-3</v>
      </c>
      <c r="H43" s="80">
        <v>0.1</v>
      </c>
      <c r="I43" s="80">
        <v>11.41</v>
      </c>
      <c r="J43" s="80">
        <v>0.38259676100000001</v>
      </c>
      <c r="K43" s="80">
        <v>8.7642420000000002E-3</v>
      </c>
      <c r="L43" s="80">
        <v>0</v>
      </c>
      <c r="M43" s="80">
        <v>0.2</v>
      </c>
      <c r="N43" s="80">
        <v>0</v>
      </c>
    </row>
    <row r="44" spans="3:14" customFormat="1" ht="15" customHeight="1" x14ac:dyDescent="0.15">
      <c r="C44" s="80">
        <v>43</v>
      </c>
      <c r="E44" s="180" t="s">
        <v>235</v>
      </c>
      <c r="F44" s="80">
        <v>0</v>
      </c>
      <c r="G44" s="80">
        <v>2.0799999999999999E-2</v>
      </c>
      <c r="H44" s="80">
        <v>0.06</v>
      </c>
      <c r="I44" s="80">
        <v>5.56</v>
      </c>
      <c r="J44" s="80">
        <v>0.46078269999999999</v>
      </c>
      <c r="K44" s="80">
        <v>1.07913669E-2</v>
      </c>
      <c r="L44" s="80">
        <v>0</v>
      </c>
      <c r="M44" s="80">
        <v>0.2</v>
      </c>
      <c r="N44" s="80">
        <v>0</v>
      </c>
    </row>
    <row r="45" spans="3:14" customFormat="1" ht="15" customHeight="1" x14ac:dyDescent="0.15">
      <c r="C45" s="80">
        <v>44</v>
      </c>
      <c r="E45" s="180" t="s">
        <v>236</v>
      </c>
      <c r="F45" s="80">
        <v>0</v>
      </c>
      <c r="G45" s="80">
        <v>5.6000000000000001E-2</v>
      </c>
      <c r="H45" s="80">
        <v>0.02</v>
      </c>
      <c r="I45" s="80">
        <v>10.27</v>
      </c>
      <c r="J45" s="80">
        <v>0.13560456000000001</v>
      </c>
      <c r="K45" s="80">
        <v>1.9474194899999999E-3</v>
      </c>
      <c r="L45" s="80">
        <v>0</v>
      </c>
      <c r="M45" s="80">
        <v>0.2</v>
      </c>
      <c r="N45" s="80">
        <v>0</v>
      </c>
    </row>
    <row r="46" spans="3:14" customFormat="1" ht="15" customHeight="1" x14ac:dyDescent="0.15">
      <c r="C46" s="80">
        <v>45</v>
      </c>
      <c r="E46" s="180" t="s">
        <v>237</v>
      </c>
      <c r="F46" s="80">
        <v>2</v>
      </c>
      <c r="G46" s="80">
        <v>1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</row>
    <row r="47" spans="3:14" customFormat="1" ht="15" customHeight="1" x14ac:dyDescent="0.15">
      <c r="C47" s="80">
        <v>46</v>
      </c>
      <c r="E47" s="180" t="s">
        <v>238</v>
      </c>
      <c r="F47" s="80">
        <v>2</v>
      </c>
      <c r="G47" s="80">
        <v>5</v>
      </c>
      <c r="H47" s="80">
        <v>0</v>
      </c>
      <c r="I47" s="80">
        <v>0</v>
      </c>
      <c r="J47" s="80">
        <v>0</v>
      </c>
      <c r="K47" s="80">
        <v>0</v>
      </c>
      <c r="L47" s="80">
        <v>0</v>
      </c>
      <c r="M47" s="80">
        <v>0</v>
      </c>
      <c r="N47" s="80">
        <v>0</v>
      </c>
    </row>
    <row r="48" spans="3:14" customFormat="1" ht="15" customHeight="1" x14ac:dyDescent="0.15">
      <c r="C48" s="80">
        <v>47</v>
      </c>
      <c r="E48" s="180" t="s">
        <v>239</v>
      </c>
      <c r="F48" s="80">
        <v>3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0</v>
      </c>
      <c r="M48" s="80">
        <v>0</v>
      </c>
      <c r="N48" s="80">
        <v>0</v>
      </c>
    </row>
    <row r="49" spans="3:14" customFormat="1" ht="15" customHeight="1" x14ac:dyDescent="0.15">
      <c r="C49" s="80">
        <v>48</v>
      </c>
      <c r="E49" s="180" t="s">
        <v>240</v>
      </c>
      <c r="F49" s="80">
        <v>3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0</v>
      </c>
      <c r="M49" s="80">
        <v>0</v>
      </c>
      <c r="N49" s="80">
        <v>0</v>
      </c>
    </row>
    <row r="50" spans="3:14" customFormat="1" ht="15" customHeight="1" x14ac:dyDescent="0.15">
      <c r="C50" s="80">
        <v>49</v>
      </c>
      <c r="E50" s="180" t="s">
        <v>241</v>
      </c>
      <c r="F50" s="80">
        <v>3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</row>
    <row r="51" spans="3:14" customFormat="1" ht="15" customHeight="1" x14ac:dyDescent="0.15">
      <c r="C51" s="80">
        <v>50</v>
      </c>
      <c r="E51" s="180" t="s">
        <v>242</v>
      </c>
      <c r="F51" s="80">
        <v>3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0</v>
      </c>
      <c r="M51" s="80">
        <v>0</v>
      </c>
      <c r="N51" s="80">
        <v>0</v>
      </c>
    </row>
    <row r="52" spans="3:14" customFormat="1" ht="15" customHeight="1" x14ac:dyDescent="0.15">
      <c r="C52" s="80">
        <v>51</v>
      </c>
      <c r="E52" s="180" t="s">
        <v>243</v>
      </c>
      <c r="F52" s="80">
        <v>3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0</v>
      </c>
      <c r="M52" s="80">
        <v>0</v>
      </c>
      <c r="N52" s="80">
        <v>0</v>
      </c>
    </row>
    <row r="53" spans="3:14" customFormat="1" ht="15" customHeight="1" x14ac:dyDescent="0.15">
      <c r="C53" s="80">
        <v>52</v>
      </c>
      <c r="E53" s="180" t="s">
        <v>244</v>
      </c>
      <c r="F53" s="80">
        <v>3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0</v>
      </c>
      <c r="M53" s="80">
        <v>0</v>
      </c>
      <c r="N53" s="80">
        <v>0</v>
      </c>
    </row>
    <row r="54" spans="3:14" customFormat="1" ht="15" customHeight="1" x14ac:dyDescent="0.15">
      <c r="C54" s="80">
        <v>53</v>
      </c>
      <c r="E54" s="180" t="s">
        <v>245</v>
      </c>
      <c r="F54" s="80">
        <v>3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</row>
    <row r="55" spans="3:14" customFormat="1" ht="15" customHeight="1" x14ac:dyDescent="0.15">
      <c r="C55" s="80">
        <v>54</v>
      </c>
      <c r="E55" s="180" t="s">
        <v>246</v>
      </c>
      <c r="F55" s="80">
        <v>3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0</v>
      </c>
      <c r="M55" s="80">
        <v>0</v>
      </c>
      <c r="N55" s="80">
        <v>0</v>
      </c>
    </row>
    <row r="56" spans="3:14" customFormat="1" ht="15" customHeight="1" x14ac:dyDescent="0.15">
      <c r="C56" s="80">
        <v>55</v>
      </c>
      <c r="E56" s="180" t="s">
        <v>247</v>
      </c>
      <c r="F56" s="80">
        <v>3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</row>
    <row r="57" spans="3:14" customFormat="1" ht="15" customHeight="1" x14ac:dyDescent="0.15">
      <c r="C57" s="80">
        <v>56</v>
      </c>
      <c r="E57" s="180" t="s">
        <v>248</v>
      </c>
      <c r="F57" s="80">
        <v>3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0</v>
      </c>
      <c r="M57" s="80">
        <v>0</v>
      </c>
      <c r="N57" s="80">
        <v>0</v>
      </c>
    </row>
    <row r="58" spans="3:14" customFormat="1" ht="15" customHeight="1" x14ac:dyDescent="0.15">
      <c r="C58" s="80">
        <v>57</v>
      </c>
      <c r="E58" s="180" t="s">
        <v>249</v>
      </c>
      <c r="F58" s="80">
        <v>3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</row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U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3" bestFit="1" customWidth="1"/>
    <col min="2" max="3" width="2.33203125" style="143" bestFit="1" customWidth="1"/>
    <col min="4" max="4" width="3.83203125" style="143" bestFit="1" customWidth="1"/>
    <col min="5" max="5" width="4.83203125" style="143" bestFit="1" customWidth="1"/>
    <col min="6" max="6" width="5.83203125" style="143" bestFit="1" customWidth="1"/>
    <col min="7" max="7" width="14.83203125" style="143" bestFit="1" customWidth="1"/>
    <col min="8" max="9" width="4.83203125" style="143" bestFit="1" customWidth="1"/>
    <col min="10" max="10" width="3.83203125" style="143" bestFit="1" customWidth="1"/>
    <col min="11" max="11" width="5.83203125" style="143" bestFit="1" customWidth="1"/>
    <col min="12" max="17" width="14.83203125" style="143" bestFit="1" customWidth="1"/>
    <col min="18" max="18" width="6.83203125" style="143" bestFit="1" customWidth="1"/>
    <col min="19" max="19" width="4.83203125" style="143" bestFit="1" customWidth="1"/>
    <col min="20" max="23" width="14.83203125" style="143" bestFit="1" customWidth="1"/>
    <col min="24" max="24" width="13.83203125" style="143" bestFit="1" customWidth="1"/>
    <col min="25" max="25" width="15.83203125" style="143" bestFit="1" customWidth="1"/>
    <col min="26" max="26" width="6.83203125" style="143" bestFit="1" customWidth="1"/>
    <col min="27" max="27" width="14.83203125" style="143" bestFit="1" customWidth="1"/>
    <col min="28" max="28" width="4.83203125" style="143" bestFit="1" customWidth="1"/>
    <col min="29" max="29" width="6.83203125" style="143" bestFit="1" customWidth="1"/>
    <col min="30" max="30" width="14.83203125" style="143" customWidth="1"/>
    <col min="31" max="31" width="5.83203125" style="143" customWidth="1"/>
    <col min="32" max="32" width="15.83203125" style="143" customWidth="1"/>
    <col min="33" max="33" width="6.83203125" style="143" customWidth="1"/>
    <col min="34" max="34" width="14.83203125" style="143" customWidth="1"/>
    <col min="35" max="37" width="15.83203125" style="143" customWidth="1"/>
    <col min="38" max="38" width="5.83203125" style="143" customWidth="1"/>
    <col min="39" max="39" width="15.83203125" style="143" customWidth="1"/>
    <col min="40" max="40" width="5.83203125" style="143" customWidth="1"/>
    <col min="41" max="41" width="4.83203125" style="143" customWidth="1"/>
    <col min="42" max="42" width="6.83203125" style="143" customWidth="1"/>
    <col min="43" max="44" width="4.83203125" style="143" customWidth="1"/>
    <col min="45" max="45" width="15.83203125" style="143" customWidth="1"/>
    <col min="46" max="47" width="2.33203125" style="143" customWidth="1"/>
    <col min="48" max="16384" width="8.83203125" style="143"/>
  </cols>
  <sheetData>
    <row r="1" spans="1:47" x14ac:dyDescent="0.15">
      <c r="A1" s="142" t="s">
        <v>19</v>
      </c>
      <c r="B1" s="182" t="s">
        <v>193</v>
      </c>
      <c r="C1" s="182" t="s">
        <v>194</v>
      </c>
      <c r="D1" s="182" t="s">
        <v>195</v>
      </c>
      <c r="E1" s="182" t="s">
        <v>196</v>
      </c>
      <c r="F1" s="182" t="s">
        <v>197</v>
      </c>
      <c r="G1" s="182" t="s">
        <v>198</v>
      </c>
      <c r="H1" s="182" t="s">
        <v>199</v>
      </c>
      <c r="I1" s="182" t="s">
        <v>200</v>
      </c>
      <c r="J1" s="182" t="s">
        <v>201</v>
      </c>
      <c r="K1" s="182" t="s">
        <v>202</v>
      </c>
      <c r="L1" s="182" t="s">
        <v>203</v>
      </c>
      <c r="M1" s="182" t="s">
        <v>204</v>
      </c>
      <c r="N1" s="182" t="s">
        <v>205</v>
      </c>
      <c r="O1" s="182" t="s">
        <v>206</v>
      </c>
      <c r="P1" s="182" t="s">
        <v>207</v>
      </c>
      <c r="Q1" s="182" t="s">
        <v>208</v>
      </c>
      <c r="R1" s="182" t="s">
        <v>209</v>
      </c>
      <c r="S1" s="182" t="s">
        <v>210</v>
      </c>
      <c r="T1" s="182" t="s">
        <v>211</v>
      </c>
      <c r="U1" s="182" t="s">
        <v>212</v>
      </c>
      <c r="V1" s="182" t="s">
        <v>213</v>
      </c>
      <c r="W1" s="182" t="s">
        <v>214</v>
      </c>
      <c r="X1" s="182" t="s">
        <v>215</v>
      </c>
      <c r="Y1" s="182" t="s">
        <v>216</v>
      </c>
      <c r="Z1" s="182" t="s">
        <v>217</v>
      </c>
      <c r="AA1" s="182" t="s">
        <v>218</v>
      </c>
      <c r="AB1" s="182" t="s">
        <v>219</v>
      </c>
      <c r="AC1" s="182" t="s">
        <v>220</v>
      </c>
      <c r="AD1" s="182" t="s">
        <v>221</v>
      </c>
      <c r="AE1" s="182" t="s">
        <v>222</v>
      </c>
      <c r="AF1" s="182" t="s">
        <v>223</v>
      </c>
      <c r="AG1" s="182" t="s">
        <v>224</v>
      </c>
      <c r="AH1" s="182" t="s">
        <v>225</v>
      </c>
      <c r="AI1" s="182" t="s">
        <v>226</v>
      </c>
      <c r="AJ1" s="182" t="s">
        <v>227</v>
      </c>
      <c r="AK1" s="182" t="s">
        <v>228</v>
      </c>
      <c r="AL1" s="182" t="s">
        <v>229</v>
      </c>
      <c r="AM1" s="182" t="s">
        <v>230</v>
      </c>
      <c r="AN1" s="182" t="s">
        <v>231</v>
      </c>
      <c r="AO1" s="182" t="s">
        <v>232</v>
      </c>
      <c r="AP1" s="182" t="s">
        <v>233</v>
      </c>
      <c r="AQ1" s="182" t="s">
        <v>234</v>
      </c>
      <c r="AR1" s="182" t="s">
        <v>235</v>
      </c>
      <c r="AS1" s="182" t="s">
        <v>236</v>
      </c>
      <c r="AT1" s="182" t="s">
        <v>237</v>
      </c>
      <c r="AU1" s="182" t="s">
        <v>238</v>
      </c>
    </row>
    <row r="2" spans="1:47" customFormat="1" x14ac:dyDescent="0.15">
      <c r="A2" s="181" t="s">
        <v>193</v>
      </c>
      <c r="B2" s="143">
        <v>0</v>
      </c>
      <c r="C2" s="143">
        <v>0</v>
      </c>
      <c r="D2" s="143">
        <v>0.9</v>
      </c>
      <c r="E2" s="143">
        <v>0.3</v>
      </c>
      <c r="F2" s="143">
        <v>0.25</v>
      </c>
      <c r="G2" s="143">
        <v>0</v>
      </c>
      <c r="H2" s="143">
        <v>0</v>
      </c>
      <c r="I2" s="143">
        <v>0.1</v>
      </c>
      <c r="J2" s="143">
        <v>0</v>
      </c>
      <c r="K2" s="143">
        <v>1.7000000000000001E-2</v>
      </c>
      <c r="L2" s="143">
        <v>1.7878689318182546E-2</v>
      </c>
      <c r="M2" s="143">
        <v>9.1976165266538248E-2</v>
      </c>
      <c r="N2" s="143">
        <v>0</v>
      </c>
      <c r="O2" s="143">
        <v>0.2354523692119071</v>
      </c>
      <c r="P2" s="143">
        <v>3.2668699567793107E-2</v>
      </c>
      <c r="Q2" s="143">
        <v>0</v>
      </c>
      <c r="R2" s="143">
        <v>1.4999999999999999E-2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  <c r="AF2" s="143">
        <v>0</v>
      </c>
      <c r="AG2" s="143">
        <v>0</v>
      </c>
      <c r="AH2" s="143">
        <v>0</v>
      </c>
      <c r="AI2" s="143">
        <v>0</v>
      </c>
      <c r="AJ2" s="143">
        <v>0</v>
      </c>
      <c r="AK2" s="143">
        <v>0</v>
      </c>
      <c r="AL2" s="143">
        <v>0</v>
      </c>
      <c r="AM2" s="143">
        <v>0</v>
      </c>
      <c r="AN2" s="143">
        <v>0</v>
      </c>
      <c r="AO2" s="143">
        <v>0</v>
      </c>
      <c r="AP2" s="143">
        <v>0</v>
      </c>
      <c r="AQ2" s="143">
        <v>0</v>
      </c>
      <c r="AR2" s="143">
        <v>0</v>
      </c>
      <c r="AS2" s="143">
        <v>0</v>
      </c>
      <c r="AT2" s="143">
        <v>0</v>
      </c>
      <c r="AU2" s="143">
        <v>0</v>
      </c>
    </row>
    <row r="3" spans="1:47" customFormat="1" x14ac:dyDescent="0.15">
      <c r="A3" s="181" t="s">
        <v>194</v>
      </c>
      <c r="B3" s="143">
        <v>0</v>
      </c>
      <c r="C3" s="143">
        <v>0</v>
      </c>
      <c r="D3" s="143">
        <v>0</v>
      </c>
      <c r="E3" s="143">
        <v>0</v>
      </c>
      <c r="F3" s="143">
        <v>0</v>
      </c>
      <c r="G3" s="143">
        <v>0</v>
      </c>
      <c r="H3" s="143">
        <v>0</v>
      </c>
      <c r="I3" s="143">
        <v>0</v>
      </c>
      <c r="J3" s="143">
        <v>0</v>
      </c>
      <c r="K3" s="143">
        <v>2E-3</v>
      </c>
      <c r="L3" s="143">
        <v>8.1006061894731807E-2</v>
      </c>
      <c r="M3" s="143">
        <v>0</v>
      </c>
      <c r="N3" s="143">
        <v>0.10711405457948703</v>
      </c>
      <c r="O3" s="143">
        <v>5.9784770053806285E-3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0.03</v>
      </c>
      <c r="AF3" s="143">
        <v>0</v>
      </c>
      <c r="AG3" s="143">
        <v>0</v>
      </c>
      <c r="AH3" s="143">
        <v>0</v>
      </c>
      <c r="AI3" s="143">
        <v>0</v>
      </c>
      <c r="AJ3" s="143">
        <v>0</v>
      </c>
      <c r="AK3" s="143">
        <v>0</v>
      </c>
      <c r="AL3" s="143">
        <v>0</v>
      </c>
      <c r="AM3" s="143">
        <v>0</v>
      </c>
      <c r="AN3" s="143">
        <v>0</v>
      </c>
      <c r="AO3" s="143">
        <v>0</v>
      </c>
      <c r="AP3" s="143">
        <v>0</v>
      </c>
      <c r="AQ3" s="143">
        <v>0</v>
      </c>
      <c r="AR3" s="143">
        <v>0</v>
      </c>
      <c r="AS3" s="143">
        <v>0</v>
      </c>
      <c r="AT3" s="143">
        <v>0</v>
      </c>
      <c r="AU3" s="143">
        <v>0</v>
      </c>
    </row>
    <row r="4" spans="1:47" customFormat="1" x14ac:dyDescent="0.15">
      <c r="A4" s="181" t="s">
        <v>195</v>
      </c>
      <c r="B4" s="143">
        <v>0</v>
      </c>
      <c r="C4" s="143">
        <v>0</v>
      </c>
      <c r="D4" s="143">
        <v>0</v>
      </c>
      <c r="E4" s="143">
        <v>0.5</v>
      </c>
      <c r="F4" s="143">
        <v>0.375</v>
      </c>
      <c r="G4" s="143">
        <v>8.4628669707184814E-2</v>
      </c>
      <c r="H4" s="143">
        <v>0</v>
      </c>
      <c r="I4" s="143">
        <v>0.05</v>
      </c>
      <c r="J4" s="143">
        <v>0.2</v>
      </c>
      <c r="K4" s="143">
        <v>0.15</v>
      </c>
      <c r="L4" s="143">
        <v>0.1554481866359331</v>
      </c>
      <c r="M4" s="143">
        <v>0</v>
      </c>
      <c r="N4" s="143">
        <v>2.7701913049867346E-3</v>
      </c>
      <c r="O4" s="143">
        <v>0.32702273129432041</v>
      </c>
      <c r="P4" s="143">
        <v>1.2250761337922429E-2</v>
      </c>
      <c r="Q4" s="143">
        <v>0</v>
      </c>
      <c r="R4" s="143">
        <v>0.33329999999999999</v>
      </c>
      <c r="S4" s="143">
        <v>0</v>
      </c>
      <c r="T4" s="143">
        <v>0</v>
      </c>
      <c r="U4" s="143">
        <v>0</v>
      </c>
      <c r="V4" s="143">
        <v>0</v>
      </c>
      <c r="W4" s="143">
        <v>0</v>
      </c>
      <c r="X4" s="143">
        <v>0.11501985691881336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  <c r="AF4" s="143">
        <v>0</v>
      </c>
      <c r="AG4" s="143">
        <v>0</v>
      </c>
      <c r="AH4" s="143">
        <v>0</v>
      </c>
      <c r="AI4" s="143">
        <v>0</v>
      </c>
      <c r="AJ4" s="143">
        <v>0</v>
      </c>
      <c r="AK4" s="143">
        <v>0</v>
      </c>
      <c r="AL4" s="143">
        <v>0</v>
      </c>
      <c r="AM4" s="143">
        <v>0</v>
      </c>
      <c r="AN4" s="143">
        <v>0</v>
      </c>
      <c r="AO4" s="143">
        <v>0</v>
      </c>
      <c r="AP4" s="143">
        <v>2.52E-2</v>
      </c>
      <c r="AQ4" s="143">
        <v>0</v>
      </c>
      <c r="AR4" s="143">
        <v>0.25</v>
      </c>
      <c r="AS4" s="143">
        <v>0</v>
      </c>
      <c r="AT4" s="143">
        <v>0</v>
      </c>
      <c r="AU4" s="143">
        <v>0</v>
      </c>
    </row>
    <row r="5" spans="1:47" customFormat="1" x14ac:dyDescent="0.15">
      <c r="A5" s="181" t="s">
        <v>196</v>
      </c>
      <c r="B5" s="143">
        <v>0</v>
      </c>
      <c r="C5" s="143">
        <v>0</v>
      </c>
      <c r="D5" s="143">
        <v>0</v>
      </c>
      <c r="E5" s="143">
        <v>0.05</v>
      </c>
      <c r="F5" s="143">
        <v>0.25</v>
      </c>
      <c r="G5" s="143">
        <v>0.25398759912120294</v>
      </c>
      <c r="H5" s="143">
        <v>0</v>
      </c>
      <c r="I5" s="143">
        <v>0</v>
      </c>
      <c r="J5" s="143">
        <v>0</v>
      </c>
      <c r="K5" s="143">
        <v>0</v>
      </c>
      <c r="L5" s="143">
        <v>4.9139611149375512E-2</v>
      </c>
      <c r="M5" s="143">
        <v>1.4234407717440438E-2</v>
      </c>
      <c r="N5" s="143">
        <v>2.9548706659858502E-2</v>
      </c>
      <c r="O5" s="143">
        <v>0.21592266919433037</v>
      </c>
      <c r="P5" s="143">
        <v>1.5823899790649805E-2</v>
      </c>
      <c r="Q5" s="143">
        <v>0</v>
      </c>
      <c r="R5" s="143">
        <v>0.41670000000000001</v>
      </c>
      <c r="S5" s="143">
        <v>0.25</v>
      </c>
      <c r="T5" s="143">
        <v>0.22093451229771896</v>
      </c>
      <c r="U5" s="143">
        <v>0</v>
      </c>
      <c r="V5" s="143">
        <v>0</v>
      </c>
      <c r="W5" s="143">
        <v>0</v>
      </c>
      <c r="X5" s="143">
        <v>0.18514162125966879</v>
      </c>
      <c r="Y5" s="143">
        <v>3.8495330769175204E-2</v>
      </c>
      <c r="Z5" s="143">
        <v>1.7399999999999999E-2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  <c r="AF5" s="143">
        <v>0.40995901103069676</v>
      </c>
      <c r="AG5" s="143">
        <v>0.14000000000000001</v>
      </c>
      <c r="AH5" s="143">
        <v>0.39320119343354004</v>
      </c>
      <c r="AI5" s="143">
        <v>1.8581418195349458E-2</v>
      </c>
      <c r="AJ5" s="143">
        <v>1.7848885822504212E-3</v>
      </c>
      <c r="AK5" s="143">
        <v>0.10354100034779418</v>
      </c>
      <c r="AL5" s="143">
        <v>0</v>
      </c>
      <c r="AM5" s="143">
        <v>0</v>
      </c>
      <c r="AN5" s="143">
        <v>6.5000000000000002E-2</v>
      </c>
      <c r="AO5" s="143">
        <v>0.94</v>
      </c>
      <c r="AP5" s="143">
        <v>1.0800000000000001E-2</v>
      </c>
      <c r="AQ5" s="143">
        <v>0</v>
      </c>
      <c r="AR5" s="143">
        <v>0.65</v>
      </c>
      <c r="AS5" s="143">
        <v>1.9997800062069172E-2</v>
      </c>
      <c r="AT5" s="143">
        <v>0</v>
      </c>
      <c r="AU5" s="143">
        <v>0</v>
      </c>
    </row>
    <row r="6" spans="1:47" customFormat="1" x14ac:dyDescent="0.15">
      <c r="A6" s="181" t="s">
        <v>197</v>
      </c>
      <c r="B6" s="143">
        <v>0</v>
      </c>
      <c r="C6" s="143">
        <v>0</v>
      </c>
      <c r="D6" s="143">
        <v>0</v>
      </c>
      <c r="E6" s="143">
        <v>0</v>
      </c>
      <c r="F6" s="143">
        <v>0</v>
      </c>
      <c r="G6" s="143">
        <v>0.10159504364848115</v>
      </c>
      <c r="H6" s="143">
        <v>0.03</v>
      </c>
      <c r="I6" s="143">
        <v>0</v>
      </c>
      <c r="J6" s="143">
        <v>0</v>
      </c>
      <c r="K6" s="143">
        <v>0</v>
      </c>
      <c r="L6" s="143">
        <v>4.068203735155286E-2</v>
      </c>
      <c r="M6" s="143">
        <v>3.6133493990425737E-2</v>
      </c>
      <c r="N6" s="143">
        <v>6.5561190354686036E-2</v>
      </c>
      <c r="O6" s="143">
        <v>5.6596253150936617E-2</v>
      </c>
      <c r="P6" s="143">
        <v>2.552241966233839E-2</v>
      </c>
      <c r="Q6" s="143">
        <v>0</v>
      </c>
      <c r="R6" s="143">
        <v>0.1</v>
      </c>
      <c r="S6" s="143">
        <v>0.1</v>
      </c>
      <c r="T6" s="143">
        <v>0.21387872322433873</v>
      </c>
      <c r="U6" s="143">
        <v>0.13427181509533298</v>
      </c>
      <c r="V6" s="143">
        <v>7.0134349158387805E-3</v>
      </c>
      <c r="W6" s="143">
        <v>9.9496991275551422E-2</v>
      </c>
      <c r="X6" s="143">
        <v>0.28906306328280723</v>
      </c>
      <c r="Y6" s="143">
        <v>0.12699491053748529</v>
      </c>
      <c r="Z6" s="143">
        <v>0.46310000000000001</v>
      </c>
      <c r="AA6" s="143">
        <v>1.2500241523752391E-2</v>
      </c>
      <c r="AB6" s="143">
        <v>0.11</v>
      </c>
      <c r="AC6" s="143">
        <v>0.105</v>
      </c>
      <c r="AD6" s="143">
        <v>5.4278989002352181E-2</v>
      </c>
      <c r="AE6" s="143">
        <v>0</v>
      </c>
      <c r="AF6" s="143">
        <v>0.24797519578442165</v>
      </c>
      <c r="AG6" s="143">
        <v>0.42</v>
      </c>
      <c r="AH6" s="143">
        <v>9.3992318430328285E-3</v>
      </c>
      <c r="AI6" s="143">
        <v>8.2117884937512098E-2</v>
      </c>
      <c r="AJ6" s="143">
        <v>1.6361476403962164E-3</v>
      </c>
      <c r="AK6" s="143">
        <v>5.6383714289392879E-2</v>
      </c>
      <c r="AL6" s="143">
        <v>0.13999999999999999</v>
      </c>
      <c r="AM6" s="143">
        <v>2.2995355790822272E-3</v>
      </c>
      <c r="AN6" s="143">
        <v>0</v>
      </c>
      <c r="AO6" s="143">
        <v>0</v>
      </c>
      <c r="AP6" s="143">
        <v>0.04</v>
      </c>
      <c r="AQ6" s="143">
        <v>5.9999999999999984E-2</v>
      </c>
      <c r="AR6" s="143">
        <v>0</v>
      </c>
      <c r="AS6" s="143">
        <v>0</v>
      </c>
      <c r="AT6" s="143">
        <v>0</v>
      </c>
      <c r="AU6" s="143">
        <v>0</v>
      </c>
    </row>
    <row r="7" spans="1:47" customFormat="1" x14ac:dyDescent="0.15">
      <c r="A7" s="181" t="s">
        <v>198</v>
      </c>
      <c r="B7" s="143">
        <v>0</v>
      </c>
      <c r="C7" s="143">
        <v>0</v>
      </c>
      <c r="D7" s="143">
        <v>0</v>
      </c>
      <c r="E7" s="143">
        <v>0</v>
      </c>
      <c r="F7" s="143">
        <v>0</v>
      </c>
      <c r="G7" s="143">
        <v>0</v>
      </c>
      <c r="H7" s="143">
        <v>0</v>
      </c>
      <c r="I7" s="143">
        <v>0</v>
      </c>
      <c r="J7" s="143">
        <v>0</v>
      </c>
      <c r="K7" s="143">
        <v>0</v>
      </c>
      <c r="L7" s="143">
        <v>4.6034935976757155E-3</v>
      </c>
      <c r="M7" s="143">
        <v>0</v>
      </c>
      <c r="N7" s="143">
        <v>8.0335535534615227E-2</v>
      </c>
      <c r="O7" s="143">
        <v>6.1777600055599831E-3</v>
      </c>
      <c r="P7" s="143">
        <v>1.5313450997403043E-2</v>
      </c>
      <c r="Q7" s="143">
        <v>0.208886999887201</v>
      </c>
      <c r="R7" s="143">
        <v>5.0000000000000001E-3</v>
      </c>
      <c r="S7" s="143">
        <v>0.15</v>
      </c>
      <c r="T7" s="143">
        <v>9.8487101024265864E-3</v>
      </c>
      <c r="U7" s="143">
        <v>2.3012307916338735E-3</v>
      </c>
      <c r="V7" s="143">
        <v>0.14372147427534229</v>
      </c>
      <c r="W7" s="143">
        <v>0</v>
      </c>
      <c r="X7" s="143">
        <v>3.3295219687024938E-2</v>
      </c>
      <c r="Y7" s="143">
        <v>9.3063445759500707E-2</v>
      </c>
      <c r="Z7" s="143">
        <v>0.02</v>
      </c>
      <c r="AA7" s="143">
        <v>8.7501700866266838E-2</v>
      </c>
      <c r="AB7" s="143">
        <v>0</v>
      </c>
      <c r="AC7" s="143">
        <v>0</v>
      </c>
      <c r="AD7" s="143">
        <v>0</v>
      </c>
      <c r="AE7" s="143">
        <v>0</v>
      </c>
      <c r="AF7" s="143">
        <v>9.998999830017001E-3</v>
      </c>
      <c r="AG7" s="143">
        <v>0</v>
      </c>
      <c r="AH7" s="143">
        <v>5.7961932332035726E-2</v>
      </c>
      <c r="AI7" s="143">
        <v>5.0949051713054958E-2</v>
      </c>
      <c r="AJ7" s="143">
        <v>0</v>
      </c>
      <c r="AK7" s="143">
        <v>7.1761090241045473E-3</v>
      </c>
      <c r="AL7" s="143">
        <v>0.19999999999999996</v>
      </c>
      <c r="AM7" s="143">
        <v>2.2995350290822204E-2</v>
      </c>
      <c r="AN7" s="143">
        <v>1.4999999999999999E-2</v>
      </c>
      <c r="AO7" s="143">
        <v>0.01</v>
      </c>
      <c r="AP7" s="143">
        <v>0.19500000000000001</v>
      </c>
      <c r="AQ7" s="143">
        <v>0.19999999999999996</v>
      </c>
      <c r="AR7" s="143">
        <v>0</v>
      </c>
      <c r="AS7" s="143">
        <v>0.68992410214138655</v>
      </c>
      <c r="AT7" s="143">
        <v>0</v>
      </c>
      <c r="AU7" s="143">
        <v>0</v>
      </c>
    </row>
    <row r="8" spans="1:47" customFormat="1" x14ac:dyDescent="0.15">
      <c r="A8" s="181" t="s">
        <v>199</v>
      </c>
      <c r="B8" s="143">
        <v>0</v>
      </c>
      <c r="C8" s="143">
        <v>0</v>
      </c>
      <c r="D8" s="143">
        <v>0</v>
      </c>
      <c r="E8" s="143">
        <v>0</v>
      </c>
      <c r="F8" s="143">
        <v>0</v>
      </c>
      <c r="G8" s="143">
        <v>3.3831149882944223E-2</v>
      </c>
      <c r="H8" s="143">
        <v>0.03</v>
      </c>
      <c r="I8" s="143">
        <v>0</v>
      </c>
      <c r="J8" s="143">
        <v>0</v>
      </c>
      <c r="K8" s="143">
        <v>0</v>
      </c>
      <c r="L8" s="143">
        <v>9.4425152208604327E-2</v>
      </c>
      <c r="M8" s="143">
        <v>0.12920463025061316</v>
      </c>
      <c r="N8" s="143">
        <v>0.16805826190919518</v>
      </c>
      <c r="O8" s="143">
        <v>5.4802710049322426E-2</v>
      </c>
      <c r="P8" s="143">
        <v>0</v>
      </c>
      <c r="Q8" s="143">
        <v>0</v>
      </c>
      <c r="R8" s="143">
        <v>0.03</v>
      </c>
      <c r="S8" s="143">
        <v>0</v>
      </c>
      <c r="T8" s="143">
        <v>0.4090889042545246</v>
      </c>
      <c r="U8" s="143">
        <v>4.1722312629622837E-2</v>
      </c>
      <c r="V8" s="143">
        <v>3.9922629520928446E-3</v>
      </c>
      <c r="W8" s="143">
        <v>0.32060140411010996</v>
      </c>
      <c r="X8" s="143">
        <v>0</v>
      </c>
      <c r="Y8" s="143">
        <v>4.9607380991205076E-2</v>
      </c>
      <c r="Z8" s="143">
        <v>5.0099999999999999E-2</v>
      </c>
      <c r="AA8" s="143">
        <v>0</v>
      </c>
      <c r="AB8" s="143">
        <v>0.11</v>
      </c>
      <c r="AC8" s="143">
        <v>0.12920000000000001</v>
      </c>
      <c r="AD8" s="143">
        <v>0.30758097234666176</v>
      </c>
      <c r="AE8" s="143">
        <v>0.39</v>
      </c>
      <c r="AF8" s="143">
        <v>0</v>
      </c>
      <c r="AG8" s="143">
        <v>0.2</v>
      </c>
      <c r="AH8" s="143">
        <v>0</v>
      </c>
      <c r="AI8" s="143">
        <v>4.685314713612309E-2</v>
      </c>
      <c r="AJ8" s="143">
        <v>0</v>
      </c>
      <c r="AK8" s="143">
        <v>7.2786250244488981E-2</v>
      </c>
      <c r="AL8" s="143">
        <v>4.9999999999999989E-2</v>
      </c>
      <c r="AM8" s="143">
        <v>1.1497677945411138E-3</v>
      </c>
      <c r="AN8" s="143">
        <v>0</v>
      </c>
      <c r="AO8" s="143">
        <v>0</v>
      </c>
      <c r="AP8" s="143">
        <v>4.2999999999999997E-2</v>
      </c>
      <c r="AQ8" s="143">
        <v>9.9999999999999985E-3</v>
      </c>
      <c r="AR8" s="143">
        <v>0</v>
      </c>
      <c r="AS8" s="143">
        <v>0</v>
      </c>
      <c r="AT8" s="143">
        <v>0</v>
      </c>
      <c r="AU8" s="143">
        <v>0</v>
      </c>
    </row>
    <row r="9" spans="1:47" customFormat="1" x14ac:dyDescent="0.15">
      <c r="A9" s="181" t="s">
        <v>200</v>
      </c>
      <c r="B9" s="143">
        <v>0</v>
      </c>
      <c r="C9" s="143">
        <v>0</v>
      </c>
      <c r="D9" s="143">
        <v>0</v>
      </c>
      <c r="E9" s="143">
        <v>0</v>
      </c>
      <c r="F9" s="143">
        <v>0</v>
      </c>
      <c r="G9" s="143">
        <v>0</v>
      </c>
      <c r="H9" s="143">
        <v>0.05</v>
      </c>
      <c r="I9" s="143">
        <v>0</v>
      </c>
      <c r="J9" s="143">
        <v>0</v>
      </c>
      <c r="K9" s="143">
        <v>0</v>
      </c>
      <c r="L9" s="143">
        <v>1.6058696575612914E-3</v>
      </c>
      <c r="M9" s="143">
        <v>7.6646809555448517E-3</v>
      </c>
      <c r="N9" s="143">
        <v>0</v>
      </c>
      <c r="O9" s="143">
        <v>0</v>
      </c>
      <c r="P9" s="143">
        <v>0</v>
      </c>
      <c r="Q9" s="143">
        <v>0</v>
      </c>
      <c r="R9" s="143">
        <v>0</v>
      </c>
      <c r="S9" s="143">
        <v>0.2</v>
      </c>
      <c r="T9" s="143">
        <v>0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0.12</v>
      </c>
      <c r="AF9" s="143">
        <v>0</v>
      </c>
      <c r="AG9" s="143">
        <v>0</v>
      </c>
      <c r="AH9" s="143">
        <v>0</v>
      </c>
      <c r="AI9" s="143">
        <v>1.9980019887472535E-2</v>
      </c>
      <c r="AJ9" s="143">
        <v>0</v>
      </c>
      <c r="AK9" s="143">
        <v>0</v>
      </c>
      <c r="AL9" s="143">
        <v>0</v>
      </c>
      <c r="AM9" s="143">
        <v>0</v>
      </c>
      <c r="AN9" s="143">
        <v>0</v>
      </c>
      <c r="AO9" s="143">
        <v>0</v>
      </c>
      <c r="AP9" s="143">
        <v>6.0000000000000001E-3</v>
      </c>
      <c r="AQ9" s="143">
        <v>0</v>
      </c>
      <c r="AR9" s="143">
        <v>0</v>
      </c>
      <c r="AS9" s="143">
        <v>0</v>
      </c>
      <c r="AT9" s="143">
        <v>0</v>
      </c>
      <c r="AU9" s="143">
        <v>0</v>
      </c>
    </row>
    <row r="10" spans="1:47" customFormat="1" x14ac:dyDescent="0.15">
      <c r="A10" s="181" t="s">
        <v>201</v>
      </c>
      <c r="B10" s="143">
        <v>0</v>
      </c>
      <c r="C10" s="143">
        <v>0</v>
      </c>
      <c r="D10" s="143">
        <v>0</v>
      </c>
      <c r="E10" s="143">
        <v>0</v>
      </c>
      <c r="F10" s="143">
        <v>0</v>
      </c>
      <c r="G10" s="143">
        <v>0</v>
      </c>
      <c r="H10" s="143">
        <v>0.03</v>
      </c>
      <c r="I10" s="143">
        <v>0</v>
      </c>
      <c r="J10" s="143">
        <v>0</v>
      </c>
      <c r="K10" s="143">
        <v>0.01</v>
      </c>
      <c r="L10" s="143">
        <v>0.15872417771255853</v>
      </c>
      <c r="M10" s="143">
        <v>7.7741769549097756E-2</v>
      </c>
      <c r="N10" s="143">
        <v>2.9548706659858502E-2</v>
      </c>
      <c r="O10" s="143">
        <v>0</v>
      </c>
      <c r="P10" s="143">
        <v>1.1944492141974369E-2</v>
      </c>
      <c r="Q10" s="143">
        <v>0</v>
      </c>
      <c r="R10" s="143">
        <v>0</v>
      </c>
      <c r="S10" s="143">
        <v>0</v>
      </c>
      <c r="T10" s="143">
        <v>2.7929180290463478E-2</v>
      </c>
      <c r="U10" s="143">
        <v>0.15758426511188481</v>
      </c>
      <c r="V10" s="143">
        <v>0</v>
      </c>
      <c r="W10" s="143">
        <v>0.36371675566284878</v>
      </c>
      <c r="X10" s="143">
        <v>0</v>
      </c>
      <c r="Y10" s="143">
        <v>4.9607386891205199E-4</v>
      </c>
      <c r="Z10" s="143">
        <v>2.2000000000000001E-3</v>
      </c>
      <c r="AA10" s="143">
        <v>0</v>
      </c>
      <c r="AB10" s="143">
        <v>0</v>
      </c>
      <c r="AC10" s="143">
        <v>3.5999999999999999E-3</v>
      </c>
      <c r="AD10" s="143">
        <v>0</v>
      </c>
      <c r="AE10" s="143">
        <v>8.0000000000000002E-3</v>
      </c>
      <c r="AF10" s="143">
        <v>0</v>
      </c>
      <c r="AG10" s="143">
        <v>0</v>
      </c>
      <c r="AH10" s="143">
        <v>4.2296546693647671E-2</v>
      </c>
      <c r="AI10" s="143">
        <v>2.9970033031208782E-4</v>
      </c>
      <c r="AJ10" s="143">
        <v>0</v>
      </c>
      <c r="AK10" s="143">
        <v>3.5470482119145337E-2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S10" s="143">
        <v>0</v>
      </c>
      <c r="AT10" s="143">
        <v>0</v>
      </c>
      <c r="AU10" s="143">
        <v>0</v>
      </c>
    </row>
    <row r="11" spans="1:47" customFormat="1" x14ac:dyDescent="0.15">
      <c r="A11" s="181" t="s">
        <v>202</v>
      </c>
      <c r="B11" s="143">
        <v>0</v>
      </c>
      <c r="C11" s="143">
        <v>0</v>
      </c>
      <c r="D11" s="143">
        <v>0</v>
      </c>
      <c r="E11" s="143">
        <v>0</v>
      </c>
      <c r="F11" s="143">
        <v>0</v>
      </c>
      <c r="G11" s="143">
        <v>0</v>
      </c>
      <c r="H11" s="143">
        <v>7.0000000000000007E-2</v>
      </c>
      <c r="I11" s="143">
        <v>0</v>
      </c>
      <c r="J11" s="143">
        <v>0</v>
      </c>
      <c r="K11" s="143">
        <v>0.01</v>
      </c>
      <c r="L11" s="143">
        <v>0.3239574075773638</v>
      </c>
      <c r="M11" s="143">
        <v>0.27264365441866689</v>
      </c>
      <c r="N11" s="143">
        <v>0.20037715208404036</v>
      </c>
      <c r="O11" s="143">
        <v>7.6424870068782375E-2</v>
      </c>
      <c r="P11" s="143">
        <v>5.3494989292261291E-2</v>
      </c>
      <c r="Q11" s="143">
        <v>0</v>
      </c>
      <c r="R11" s="143">
        <v>0</v>
      </c>
      <c r="S11" s="143">
        <v>0</v>
      </c>
      <c r="T11" s="143">
        <v>0</v>
      </c>
      <c r="U11" s="143">
        <v>0.1719919891221143</v>
      </c>
      <c r="V11" s="143">
        <v>0.14231876829217477</v>
      </c>
      <c r="W11" s="143">
        <v>0.20009950256527562</v>
      </c>
      <c r="X11" s="143">
        <v>5.8518874849922589E-2</v>
      </c>
      <c r="Y11" s="143">
        <v>1.6668080333044909E-2</v>
      </c>
      <c r="Z11" s="143">
        <v>5.3699999999999998E-2</v>
      </c>
      <c r="AA11" s="143">
        <v>0</v>
      </c>
      <c r="AB11" s="143">
        <v>0.12</v>
      </c>
      <c r="AC11" s="143">
        <v>0</v>
      </c>
      <c r="AD11" s="143">
        <v>0</v>
      </c>
      <c r="AE11" s="143">
        <v>0.252</v>
      </c>
      <c r="AF11" s="143">
        <v>0.132986706739226</v>
      </c>
      <c r="AG11" s="143">
        <v>0.05</v>
      </c>
      <c r="AH11" s="143">
        <v>9.3992318430328285E-3</v>
      </c>
      <c r="AI11" s="143">
        <v>5.5744256486048367E-2</v>
      </c>
      <c r="AJ11" s="143">
        <v>5.9496286141680712E-4</v>
      </c>
      <c r="AK11" s="143">
        <v>0.10600137735605858</v>
      </c>
      <c r="AL11" s="143">
        <v>9.9999999999999985E-3</v>
      </c>
      <c r="AM11" s="143">
        <v>2.2995355790822272E-3</v>
      </c>
      <c r="AN11" s="143">
        <v>1.0999999999999999E-2</v>
      </c>
      <c r="AO11" s="143">
        <v>0</v>
      </c>
      <c r="AP11" s="143">
        <v>0</v>
      </c>
      <c r="AQ11" s="143">
        <v>1.9999999999999997E-2</v>
      </c>
      <c r="AR11" s="143">
        <v>0</v>
      </c>
      <c r="AS11" s="143">
        <v>0</v>
      </c>
      <c r="AT11" s="143">
        <v>0</v>
      </c>
      <c r="AU11" s="143">
        <v>0</v>
      </c>
    </row>
    <row r="12" spans="1:47" customFormat="1" x14ac:dyDescent="0.15">
      <c r="A12" s="181" t="s">
        <v>203</v>
      </c>
      <c r="B12" s="143">
        <v>0</v>
      </c>
      <c r="C12" s="143">
        <v>0</v>
      </c>
      <c r="D12" s="143">
        <v>0</v>
      </c>
      <c r="E12" s="143">
        <v>0</v>
      </c>
      <c r="F12" s="143">
        <v>0</v>
      </c>
      <c r="G12" s="143">
        <v>1.0159504564848116E-3</v>
      </c>
      <c r="H12" s="143">
        <v>0</v>
      </c>
      <c r="I12" s="143">
        <v>0</v>
      </c>
      <c r="J12" s="143">
        <v>0</v>
      </c>
      <c r="K12" s="143">
        <v>0</v>
      </c>
      <c r="L12" s="143">
        <v>2.1324355698776682E-2</v>
      </c>
      <c r="M12" s="143">
        <v>7.0077089593552883E-2</v>
      </c>
      <c r="N12" s="143">
        <v>0.15420728983426141</v>
      </c>
      <c r="O12" s="143">
        <v>0</v>
      </c>
      <c r="P12" s="143">
        <v>1.0138525465867309E-2</v>
      </c>
      <c r="Q12" s="143">
        <v>2.2384149987912556E-2</v>
      </c>
      <c r="R12" s="143">
        <v>0</v>
      </c>
      <c r="S12" s="143">
        <v>0</v>
      </c>
      <c r="T12" s="143">
        <v>1.0049743704517335E-2</v>
      </c>
      <c r="U12" s="143">
        <v>3.752006592663925E-2</v>
      </c>
      <c r="V12" s="143">
        <v>2.7730041767239498E-2</v>
      </c>
      <c r="W12" s="143">
        <v>0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4.1000000000000003E-3</v>
      </c>
      <c r="AD12" s="143">
        <v>0.12068029278189622</v>
      </c>
      <c r="AE12" s="143">
        <v>0.1</v>
      </c>
      <c r="AF12" s="143">
        <v>0</v>
      </c>
      <c r="AG12" s="143">
        <v>0</v>
      </c>
      <c r="AH12" s="143">
        <v>0</v>
      </c>
      <c r="AI12" s="143">
        <v>1.2887113627419778E-2</v>
      </c>
      <c r="AJ12" s="143">
        <v>0</v>
      </c>
      <c r="AK12" s="143">
        <v>3.4035258114324417E-2</v>
      </c>
      <c r="AL12" s="143">
        <v>0</v>
      </c>
      <c r="AM12" s="143">
        <v>2.299765339085133E-2</v>
      </c>
      <c r="AN12" s="143">
        <v>0</v>
      </c>
      <c r="AO12" s="143">
        <v>0</v>
      </c>
      <c r="AP12" s="143">
        <v>0</v>
      </c>
      <c r="AQ12" s="143">
        <v>0</v>
      </c>
      <c r="AR12" s="143">
        <v>0</v>
      </c>
      <c r="AS12" s="143">
        <v>0</v>
      </c>
      <c r="AT12" s="143">
        <v>0</v>
      </c>
      <c r="AU12" s="143">
        <v>0</v>
      </c>
    </row>
    <row r="13" spans="1:47" customFormat="1" x14ac:dyDescent="0.15">
      <c r="A13" s="181" t="s">
        <v>204</v>
      </c>
      <c r="B13" s="143">
        <v>0</v>
      </c>
      <c r="C13" s="143">
        <v>0</v>
      </c>
      <c r="D13" s="143">
        <v>0</v>
      </c>
      <c r="E13" s="143">
        <v>0</v>
      </c>
      <c r="F13" s="143">
        <v>0</v>
      </c>
      <c r="G13" s="143">
        <v>0</v>
      </c>
      <c r="H13" s="143">
        <v>0</v>
      </c>
      <c r="I13" s="143">
        <v>0</v>
      </c>
      <c r="J13" s="143">
        <v>0</v>
      </c>
      <c r="K13" s="143">
        <v>0</v>
      </c>
      <c r="L13" s="143">
        <v>4.496435105171618E-3</v>
      </c>
      <c r="M13" s="143">
        <v>2.1110720777557823E-2</v>
      </c>
      <c r="N13" s="143">
        <v>5.9097413319717004E-2</v>
      </c>
      <c r="O13" s="143">
        <v>0</v>
      </c>
      <c r="P13" s="143">
        <v>5.6149325557144419E-3</v>
      </c>
      <c r="Q13" s="143">
        <v>5.2388437071710238E-2</v>
      </c>
      <c r="R13" s="143">
        <v>0</v>
      </c>
      <c r="S13" s="143">
        <v>0</v>
      </c>
      <c r="T13" s="143">
        <v>1.1343467117972059E-2</v>
      </c>
      <c r="U13" s="143">
        <v>0</v>
      </c>
      <c r="V13" s="143">
        <v>0.16012210907853469</v>
      </c>
      <c r="W13" s="143">
        <v>0</v>
      </c>
      <c r="X13" s="143">
        <v>0</v>
      </c>
      <c r="Y13" s="143">
        <v>0</v>
      </c>
      <c r="Z13" s="143">
        <v>1E-3</v>
      </c>
      <c r="AA13" s="143">
        <v>8.0251550794490353E-2</v>
      </c>
      <c r="AB13" s="143">
        <v>0</v>
      </c>
      <c r="AC13" s="143">
        <v>0.13100000000000001</v>
      </c>
      <c r="AD13" s="143">
        <v>3.6185993134901446E-3</v>
      </c>
      <c r="AE13" s="143">
        <v>0</v>
      </c>
      <c r="AF13" s="143">
        <v>1.9997999660034004E-4</v>
      </c>
      <c r="AG13" s="143">
        <v>0</v>
      </c>
      <c r="AH13" s="143">
        <v>0</v>
      </c>
      <c r="AI13" s="143">
        <v>7.4125869582523124E-2</v>
      </c>
      <c r="AJ13" s="143">
        <v>0</v>
      </c>
      <c r="AK13" s="143">
        <v>7.1966130241734205E-2</v>
      </c>
      <c r="AL13" s="143">
        <v>0</v>
      </c>
      <c r="AM13" s="143">
        <v>3.1133653993747332E-2</v>
      </c>
      <c r="AN13" s="143">
        <v>0</v>
      </c>
      <c r="AO13" s="143">
        <v>0</v>
      </c>
      <c r="AP13" s="143">
        <v>0</v>
      </c>
      <c r="AQ13" s="143">
        <v>0</v>
      </c>
      <c r="AR13" s="143">
        <v>0</v>
      </c>
      <c r="AS13" s="143">
        <v>0</v>
      </c>
      <c r="AT13" s="143">
        <v>0</v>
      </c>
      <c r="AU13" s="143">
        <v>0</v>
      </c>
    </row>
    <row r="14" spans="1:47" customFormat="1" x14ac:dyDescent="0.15">
      <c r="A14" s="181" t="s">
        <v>205</v>
      </c>
      <c r="B14" s="143">
        <v>0</v>
      </c>
      <c r="C14" s="143">
        <v>0</v>
      </c>
      <c r="D14" s="143">
        <v>0</v>
      </c>
      <c r="E14" s="143">
        <v>0</v>
      </c>
      <c r="F14" s="143">
        <v>0</v>
      </c>
      <c r="G14" s="143">
        <v>0</v>
      </c>
      <c r="H14" s="143">
        <v>0</v>
      </c>
      <c r="I14" s="143">
        <v>0</v>
      </c>
      <c r="J14" s="143">
        <v>0</v>
      </c>
      <c r="K14" s="143">
        <v>0</v>
      </c>
      <c r="L14" s="143">
        <v>0</v>
      </c>
      <c r="M14" s="143">
        <v>0</v>
      </c>
      <c r="N14" s="143">
        <v>1.8467940099911553E-2</v>
      </c>
      <c r="O14" s="143">
        <v>0</v>
      </c>
      <c r="P14" s="143">
        <v>0</v>
      </c>
      <c r="Q14" s="143">
        <v>0</v>
      </c>
      <c r="R14" s="143">
        <v>0</v>
      </c>
      <c r="S14" s="143">
        <v>0</v>
      </c>
      <c r="T14" s="143">
        <v>0</v>
      </c>
      <c r="U14" s="143">
        <v>0</v>
      </c>
      <c r="V14" s="143">
        <v>0</v>
      </c>
      <c r="W14" s="143">
        <v>0</v>
      </c>
      <c r="X14" s="143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3">
        <v>0</v>
      </c>
      <c r="AH14" s="143">
        <v>0</v>
      </c>
      <c r="AI14" s="143">
        <v>0</v>
      </c>
      <c r="AJ14" s="143">
        <v>0</v>
      </c>
      <c r="AK14" s="143">
        <v>4.1006334237740263E-2</v>
      </c>
      <c r="AL14" s="143">
        <v>0</v>
      </c>
      <c r="AM14" s="143">
        <v>0</v>
      </c>
      <c r="AN14" s="143">
        <v>0</v>
      </c>
      <c r="AO14" s="143">
        <v>0</v>
      </c>
      <c r="AP14" s="143">
        <v>0</v>
      </c>
      <c r="AQ14" s="143">
        <v>0</v>
      </c>
      <c r="AR14" s="143">
        <v>0</v>
      </c>
      <c r="AS14" s="143">
        <v>0</v>
      </c>
      <c r="AT14" s="143">
        <v>0</v>
      </c>
      <c r="AU14" s="143">
        <v>0</v>
      </c>
    </row>
    <row r="15" spans="1:47" customFormat="1" x14ac:dyDescent="0.15">
      <c r="A15" s="181" t="s">
        <v>206</v>
      </c>
      <c r="B15" s="143">
        <v>0</v>
      </c>
      <c r="C15" s="143">
        <v>0</v>
      </c>
      <c r="D15" s="143">
        <v>0</v>
      </c>
      <c r="E15" s="143">
        <v>0</v>
      </c>
      <c r="F15" s="143">
        <v>0</v>
      </c>
      <c r="G15" s="143">
        <v>3.3831149882944223E-2</v>
      </c>
      <c r="H15" s="143">
        <v>0</v>
      </c>
      <c r="I15" s="143">
        <v>0</v>
      </c>
      <c r="J15" s="143">
        <v>0</v>
      </c>
      <c r="K15" s="143">
        <v>0</v>
      </c>
      <c r="L15" s="143">
        <v>1.2299615287688003E-2</v>
      </c>
      <c r="M15" s="143">
        <v>0.10774351637508763</v>
      </c>
      <c r="N15" s="143">
        <v>5.6602206406217936E-2</v>
      </c>
      <c r="O15" s="143">
        <v>2.1622160019459942E-2</v>
      </c>
      <c r="P15" s="143">
        <v>0.8172278291880759</v>
      </c>
      <c r="Q15" s="143">
        <v>0.37957802379502786</v>
      </c>
      <c r="R15" s="143">
        <v>0.03</v>
      </c>
      <c r="S15" s="143">
        <v>0</v>
      </c>
      <c r="T15" s="143">
        <v>7.6878734699538848E-2</v>
      </c>
      <c r="U15" s="143">
        <v>0.2370319661682927</v>
      </c>
      <c r="V15" s="143">
        <v>0.11728621159256544</v>
      </c>
      <c r="W15" s="143">
        <v>0</v>
      </c>
      <c r="X15" s="143">
        <v>0</v>
      </c>
      <c r="Y15" s="143">
        <v>0</v>
      </c>
      <c r="Z15" s="143">
        <v>1.35E-2</v>
      </c>
      <c r="AA15" s="143">
        <v>0.23625457533892028</v>
      </c>
      <c r="AB15" s="143">
        <v>0.28000000000000003</v>
      </c>
      <c r="AC15" s="143">
        <v>6.2E-2</v>
      </c>
      <c r="AD15" s="143">
        <v>9.0464988337253509E-3</v>
      </c>
      <c r="AE15" s="143">
        <v>0</v>
      </c>
      <c r="AF15" s="143">
        <v>0</v>
      </c>
      <c r="AG15" s="143">
        <v>0</v>
      </c>
      <c r="AH15" s="143">
        <v>0</v>
      </c>
      <c r="AI15" s="143">
        <v>0</v>
      </c>
      <c r="AJ15" s="143">
        <v>0.41155154013040152</v>
      </c>
      <c r="AK15" s="143">
        <v>7.1658570240701117E-2</v>
      </c>
      <c r="AL15" s="143">
        <v>2.9999999999999992E-2</v>
      </c>
      <c r="AM15" s="143">
        <v>0.50589776639808914</v>
      </c>
      <c r="AN15" s="143">
        <v>0.755</v>
      </c>
      <c r="AO15" s="143">
        <v>0</v>
      </c>
      <c r="AP15" s="143">
        <v>0.443</v>
      </c>
      <c r="AQ15" s="143">
        <v>0.29999999999999993</v>
      </c>
      <c r="AR15" s="143">
        <v>0.05</v>
      </c>
      <c r="AS15" s="143">
        <v>0</v>
      </c>
      <c r="AT15" s="143">
        <v>0</v>
      </c>
      <c r="AU15" s="143">
        <v>0</v>
      </c>
    </row>
    <row r="16" spans="1:47" customFormat="1" x14ac:dyDescent="0.15">
      <c r="A16" s="181" t="s">
        <v>207</v>
      </c>
      <c r="B16" s="143">
        <v>0</v>
      </c>
      <c r="C16" s="143">
        <v>0</v>
      </c>
      <c r="D16" s="143">
        <v>0</v>
      </c>
      <c r="E16" s="143">
        <v>0</v>
      </c>
      <c r="F16" s="143">
        <v>0</v>
      </c>
      <c r="G16" s="143">
        <v>0</v>
      </c>
      <c r="H16" s="143">
        <v>0</v>
      </c>
      <c r="I16" s="143">
        <v>0</v>
      </c>
      <c r="J16" s="143">
        <v>0</v>
      </c>
      <c r="K16" s="143">
        <v>0</v>
      </c>
      <c r="L16" s="143">
        <v>0</v>
      </c>
      <c r="M16" s="143">
        <v>0</v>
      </c>
      <c r="N16" s="143">
        <v>0</v>
      </c>
      <c r="O16" s="143">
        <v>0</v>
      </c>
      <c r="P16" s="143">
        <v>0</v>
      </c>
      <c r="Q16" s="143">
        <v>6.9057479962708959E-2</v>
      </c>
      <c r="R16" s="143">
        <v>0</v>
      </c>
      <c r="S16" s="143">
        <v>0</v>
      </c>
      <c r="T16" s="143">
        <v>0</v>
      </c>
      <c r="U16" s="143">
        <v>0.11756286808346963</v>
      </c>
      <c r="V16" s="143">
        <v>2.6435253782776953E-2</v>
      </c>
      <c r="W16" s="143">
        <v>0</v>
      </c>
      <c r="X16" s="143">
        <v>0</v>
      </c>
      <c r="Y16" s="143">
        <v>0.14882214697361532</v>
      </c>
      <c r="Z16" s="143">
        <v>0</v>
      </c>
      <c r="AA16" s="143">
        <v>0</v>
      </c>
      <c r="AB16" s="143">
        <v>0</v>
      </c>
      <c r="AC16" s="143">
        <v>0</v>
      </c>
      <c r="AD16" s="143">
        <v>0</v>
      </c>
      <c r="AE16" s="143">
        <v>0</v>
      </c>
      <c r="AF16" s="143">
        <v>0</v>
      </c>
      <c r="AG16" s="143">
        <v>0</v>
      </c>
      <c r="AH16" s="143">
        <v>0</v>
      </c>
      <c r="AI16" s="143">
        <v>3.7262739790136258E-2</v>
      </c>
      <c r="AJ16" s="143">
        <v>0.17637923619874354</v>
      </c>
      <c r="AK16" s="143">
        <v>0</v>
      </c>
      <c r="AL16" s="143">
        <v>1.4999999999999996E-2</v>
      </c>
      <c r="AM16" s="143">
        <v>0.10692840135232354</v>
      </c>
      <c r="AN16" s="143">
        <v>0.13</v>
      </c>
      <c r="AO16" s="143">
        <v>0</v>
      </c>
      <c r="AP16" s="143">
        <v>0</v>
      </c>
      <c r="AQ16" s="143">
        <v>4.9999999999999989E-2</v>
      </c>
      <c r="AR16" s="143">
        <v>0</v>
      </c>
      <c r="AS16" s="143">
        <v>0</v>
      </c>
      <c r="AT16" s="143">
        <v>0</v>
      </c>
      <c r="AU16" s="143">
        <v>0</v>
      </c>
    </row>
    <row r="17" spans="1:47" customFormat="1" x14ac:dyDescent="0.15">
      <c r="A17" s="181" t="s">
        <v>208</v>
      </c>
      <c r="B17" s="143">
        <v>0</v>
      </c>
      <c r="C17" s="143">
        <v>0</v>
      </c>
      <c r="D17" s="143">
        <v>0</v>
      </c>
      <c r="E17" s="143">
        <v>0</v>
      </c>
      <c r="F17" s="143">
        <v>0</v>
      </c>
      <c r="G17" s="143">
        <v>0</v>
      </c>
      <c r="H17" s="143">
        <v>0</v>
      </c>
      <c r="I17" s="143">
        <v>0</v>
      </c>
      <c r="J17" s="143">
        <v>0</v>
      </c>
      <c r="K17" s="143">
        <v>0</v>
      </c>
      <c r="L17" s="143">
        <v>0</v>
      </c>
      <c r="M17" s="143">
        <v>0</v>
      </c>
      <c r="N17" s="143">
        <v>0</v>
      </c>
      <c r="O17" s="143">
        <v>0</v>
      </c>
      <c r="P17" s="143">
        <v>0</v>
      </c>
      <c r="Q17" s="143">
        <v>0</v>
      </c>
      <c r="R17" s="143">
        <v>0</v>
      </c>
      <c r="S17" s="143">
        <v>0</v>
      </c>
      <c r="T17" s="143">
        <v>0</v>
      </c>
      <c r="U17" s="143">
        <v>0</v>
      </c>
      <c r="V17" s="143">
        <v>0</v>
      </c>
      <c r="W17" s="143">
        <v>0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3">
        <v>0</v>
      </c>
      <c r="AD17" s="143">
        <v>0</v>
      </c>
      <c r="AE17" s="143">
        <v>0</v>
      </c>
      <c r="AF17" s="143">
        <v>0</v>
      </c>
      <c r="AG17" s="143">
        <v>0</v>
      </c>
      <c r="AH17" s="143">
        <v>0</v>
      </c>
      <c r="AI17" s="143">
        <v>0</v>
      </c>
      <c r="AJ17" s="143">
        <v>0</v>
      </c>
      <c r="AK17" s="143">
        <v>0</v>
      </c>
      <c r="AL17" s="143">
        <v>4.9999999999999992E-3</v>
      </c>
      <c r="AM17" s="143">
        <v>2.2995355790822272E-3</v>
      </c>
      <c r="AN17" s="143">
        <v>0</v>
      </c>
      <c r="AO17" s="143">
        <v>0</v>
      </c>
      <c r="AP17" s="143">
        <v>0</v>
      </c>
      <c r="AQ17" s="143">
        <v>0</v>
      </c>
      <c r="AR17" s="143">
        <v>0</v>
      </c>
      <c r="AS17" s="143">
        <v>0</v>
      </c>
      <c r="AT17" s="143">
        <v>0</v>
      </c>
      <c r="AU17" s="143">
        <v>0</v>
      </c>
    </row>
    <row r="18" spans="1:47" customFormat="1" x14ac:dyDescent="0.15">
      <c r="A18" s="181" t="s">
        <v>209</v>
      </c>
      <c r="B18" s="143">
        <v>0</v>
      </c>
      <c r="C18" s="143">
        <v>0</v>
      </c>
      <c r="D18" s="143">
        <v>0</v>
      </c>
      <c r="E18" s="143">
        <v>0</v>
      </c>
      <c r="F18" s="143">
        <v>0</v>
      </c>
      <c r="G18" s="143">
        <v>0.22015646023825869</v>
      </c>
      <c r="H18" s="143">
        <v>0</v>
      </c>
      <c r="I18" s="143">
        <v>0</v>
      </c>
      <c r="J18" s="143">
        <v>0</v>
      </c>
      <c r="K18" s="143">
        <v>0</v>
      </c>
      <c r="L18" s="143">
        <v>0</v>
      </c>
      <c r="M18" s="143">
        <v>1.8614226892037487E-2</v>
      </c>
      <c r="N18" s="143">
        <v>0</v>
      </c>
      <c r="O18" s="143">
        <v>0</v>
      </c>
      <c r="P18" s="143">
        <v>0</v>
      </c>
      <c r="Q18" s="143">
        <v>7.5391724659288464E-2</v>
      </c>
      <c r="R18" s="143">
        <v>0.03</v>
      </c>
      <c r="S18" s="143">
        <v>0.3</v>
      </c>
      <c r="T18" s="143">
        <v>0</v>
      </c>
      <c r="U18" s="143">
        <v>0</v>
      </c>
      <c r="V18" s="143">
        <v>5.3949499352605998E-2</v>
      </c>
      <c r="W18" s="143">
        <v>0</v>
      </c>
      <c r="X18" s="143">
        <v>0.19190154819612548</v>
      </c>
      <c r="Y18" s="143">
        <v>2.4803690495602538E-2</v>
      </c>
      <c r="Z18" s="143">
        <v>3.1300000000000001E-2</v>
      </c>
      <c r="AA18" s="143">
        <v>5.0000970495009595E-4</v>
      </c>
      <c r="AB18" s="143">
        <v>0</v>
      </c>
      <c r="AC18" s="143">
        <v>1E-4</v>
      </c>
      <c r="AD18" s="143">
        <v>8.1418488503528175E-2</v>
      </c>
      <c r="AE18" s="143">
        <v>0</v>
      </c>
      <c r="AF18" s="143">
        <v>0.17598239700829924</v>
      </c>
      <c r="AG18" s="143">
        <v>0.16259999999999999</v>
      </c>
      <c r="AH18" s="143">
        <v>0.31644084471543787</v>
      </c>
      <c r="AI18" s="143">
        <v>6.0239761760729676E-2</v>
      </c>
      <c r="AJ18" s="143">
        <v>0.3257136380603462</v>
      </c>
      <c r="AK18" s="143">
        <v>4.100633683774027E-4</v>
      </c>
      <c r="AL18" s="143">
        <v>7.4999999999999983E-2</v>
      </c>
      <c r="AM18" s="143">
        <v>0.11612653846865237</v>
      </c>
      <c r="AN18" s="143">
        <v>0</v>
      </c>
      <c r="AO18" s="143">
        <v>0.05</v>
      </c>
      <c r="AP18" s="143">
        <v>0.17599999999999999</v>
      </c>
      <c r="AQ18" s="143">
        <v>0.15999999999999998</v>
      </c>
      <c r="AR18" s="143">
        <v>0.05</v>
      </c>
      <c r="AS18" s="143">
        <v>0.22897481971069206</v>
      </c>
      <c r="AT18" s="143">
        <v>0</v>
      </c>
      <c r="AU18" s="143">
        <v>0</v>
      </c>
    </row>
    <row r="19" spans="1:47" customFormat="1" x14ac:dyDescent="0.15">
      <c r="A19" s="181" t="s">
        <v>210</v>
      </c>
      <c r="B19" s="143">
        <v>0</v>
      </c>
      <c r="C19" s="143">
        <v>0</v>
      </c>
      <c r="D19" s="143">
        <v>0</v>
      </c>
      <c r="E19" s="143">
        <v>0</v>
      </c>
      <c r="F19" s="143">
        <v>0</v>
      </c>
      <c r="G19" s="143">
        <v>6.7763889765536947E-2</v>
      </c>
      <c r="H19" s="143">
        <v>0</v>
      </c>
      <c r="I19" s="143">
        <v>0</v>
      </c>
      <c r="J19" s="143">
        <v>0</v>
      </c>
      <c r="K19" s="143">
        <v>0</v>
      </c>
      <c r="L19" s="143">
        <v>0</v>
      </c>
      <c r="M19" s="143">
        <v>0</v>
      </c>
      <c r="N19" s="143">
        <v>0</v>
      </c>
      <c r="O19" s="143">
        <v>0</v>
      </c>
      <c r="P19" s="143">
        <v>0</v>
      </c>
      <c r="Q19" s="143">
        <v>0</v>
      </c>
      <c r="R19" s="143">
        <v>0</v>
      </c>
      <c r="S19" s="143">
        <v>0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Z19" s="143">
        <v>6.9500000000000006E-2</v>
      </c>
      <c r="AA19" s="143">
        <v>0</v>
      </c>
      <c r="AB19" s="143">
        <v>0</v>
      </c>
      <c r="AC19" s="143">
        <v>0</v>
      </c>
      <c r="AD19" s="143">
        <v>0</v>
      </c>
      <c r="AE19" s="143">
        <v>0</v>
      </c>
      <c r="AF19" s="143">
        <v>0</v>
      </c>
      <c r="AG19" s="143">
        <v>5.7999999999999996E-3</v>
      </c>
      <c r="AH19" s="143">
        <v>0</v>
      </c>
      <c r="AI19" s="143">
        <v>0</v>
      </c>
      <c r="AJ19" s="143">
        <v>0</v>
      </c>
      <c r="AK19" s="143">
        <v>0</v>
      </c>
      <c r="AL19" s="143">
        <v>0.12499999999999997</v>
      </c>
      <c r="AM19" s="143">
        <v>1.0347909430870014E-2</v>
      </c>
      <c r="AN19" s="143">
        <v>0</v>
      </c>
      <c r="AO19" s="143">
        <v>0</v>
      </c>
      <c r="AP19" s="143">
        <v>1E-3</v>
      </c>
      <c r="AQ19" s="143">
        <v>0</v>
      </c>
      <c r="AR19" s="143">
        <v>0</v>
      </c>
      <c r="AS19" s="143">
        <v>0</v>
      </c>
      <c r="AT19" s="143">
        <v>0</v>
      </c>
      <c r="AU19" s="143">
        <v>0</v>
      </c>
    </row>
    <row r="20" spans="1:47" customFormat="1" x14ac:dyDescent="0.15">
      <c r="A20" s="181" t="s">
        <v>211</v>
      </c>
      <c r="B20" s="143">
        <v>0</v>
      </c>
      <c r="C20" s="143">
        <v>0</v>
      </c>
      <c r="D20" s="143">
        <v>0</v>
      </c>
      <c r="E20" s="143">
        <v>0</v>
      </c>
      <c r="F20" s="143">
        <v>0</v>
      </c>
      <c r="G20" s="143">
        <v>0</v>
      </c>
      <c r="H20" s="143">
        <v>0</v>
      </c>
      <c r="I20" s="143">
        <v>0</v>
      </c>
      <c r="J20" s="143">
        <v>0</v>
      </c>
      <c r="K20" s="143">
        <v>0</v>
      </c>
      <c r="L20" s="143">
        <v>9.9996872338926866E-3</v>
      </c>
      <c r="M20" s="143">
        <v>5.8689559659600564E-2</v>
      </c>
      <c r="N20" s="143">
        <v>2.0000778208204211E-2</v>
      </c>
      <c r="O20" s="143">
        <v>0</v>
      </c>
      <c r="P20" s="143">
        <v>0</v>
      </c>
      <c r="Q20" s="143">
        <v>1.0001428394599228E-2</v>
      </c>
      <c r="R20" s="143">
        <v>0</v>
      </c>
      <c r="S20" s="143">
        <v>0</v>
      </c>
      <c r="T20" s="143">
        <v>2.0048024308499453E-2</v>
      </c>
      <c r="U20" s="143">
        <v>0.10001348707100957</v>
      </c>
      <c r="V20" s="143">
        <v>0.12667342847991886</v>
      </c>
      <c r="W20" s="143">
        <v>5.0301254444862081E-3</v>
      </c>
      <c r="X20" s="143">
        <v>2.7012716746080464E-2</v>
      </c>
      <c r="Y20" s="143">
        <v>0.2480369049560254</v>
      </c>
      <c r="Z20" s="143">
        <v>0.14910000000000001</v>
      </c>
      <c r="AA20" s="143">
        <v>0.19373437991797035</v>
      </c>
      <c r="AB20" s="143">
        <v>0.38</v>
      </c>
      <c r="AC20" s="143">
        <v>0.52829999999999999</v>
      </c>
      <c r="AD20" s="143">
        <v>0.36185997034901374</v>
      </c>
      <c r="AE20" s="143">
        <v>0.1</v>
      </c>
      <c r="AF20" s="143">
        <v>1.8698129682131793E-2</v>
      </c>
      <c r="AG20" s="143">
        <v>1.0500000000000001E-2</v>
      </c>
      <c r="AH20" s="143">
        <v>0.17130101913927298</v>
      </c>
      <c r="AI20" s="143">
        <v>5.5144853589424198E-2</v>
      </c>
      <c r="AJ20" s="143">
        <v>5.8817730733221829E-2</v>
      </c>
      <c r="AK20" s="143">
        <v>0.18842411063291653</v>
      </c>
      <c r="AL20" s="143">
        <v>5.9999999999999984E-2</v>
      </c>
      <c r="AM20" s="143">
        <v>0.10377884831249112</v>
      </c>
      <c r="AN20" s="143">
        <v>1.4E-2</v>
      </c>
      <c r="AO20" s="143">
        <v>0</v>
      </c>
      <c r="AP20" s="143">
        <v>0.06</v>
      </c>
      <c r="AQ20" s="143">
        <v>0.19999999999999996</v>
      </c>
      <c r="AR20" s="143">
        <v>0</v>
      </c>
      <c r="AS20" s="143">
        <v>0</v>
      </c>
      <c r="AT20" s="143">
        <v>0</v>
      </c>
      <c r="AU20" s="143">
        <v>0</v>
      </c>
    </row>
    <row r="21" spans="1:47" customFormat="1" x14ac:dyDescent="0.15">
      <c r="A21" s="181" t="s">
        <v>212</v>
      </c>
      <c r="B21" s="143">
        <v>0</v>
      </c>
      <c r="C21" s="143">
        <v>0</v>
      </c>
      <c r="D21" s="143">
        <v>0</v>
      </c>
      <c r="E21" s="143">
        <v>0</v>
      </c>
      <c r="F21" s="143">
        <v>0</v>
      </c>
      <c r="G21" s="143">
        <v>0</v>
      </c>
      <c r="H21" s="143">
        <v>0</v>
      </c>
      <c r="I21" s="143">
        <v>0</v>
      </c>
      <c r="J21" s="143">
        <v>0</v>
      </c>
      <c r="K21" s="143">
        <v>0</v>
      </c>
      <c r="L21" s="143">
        <v>1.0063450235384103E-2</v>
      </c>
      <c r="M21" s="143">
        <v>0</v>
      </c>
      <c r="N21" s="143">
        <v>0</v>
      </c>
      <c r="O21" s="143">
        <v>0</v>
      </c>
      <c r="P21" s="143">
        <v>0</v>
      </c>
      <c r="Q21" s="143">
        <v>2.5813212586060865E-2</v>
      </c>
      <c r="R21" s="143">
        <v>0</v>
      </c>
      <c r="S21" s="143">
        <v>0</v>
      </c>
      <c r="T21" s="143">
        <v>0</v>
      </c>
      <c r="U21" s="143">
        <v>0</v>
      </c>
      <c r="V21" s="143">
        <v>0.16530126101638484</v>
      </c>
      <c r="W21" s="143">
        <v>0</v>
      </c>
      <c r="X21" s="143">
        <v>0</v>
      </c>
      <c r="Y21" s="143">
        <v>0</v>
      </c>
      <c r="Z21" s="143">
        <v>8.9399999999999993E-2</v>
      </c>
      <c r="AA21" s="143">
        <v>2.3875462136367074E-2</v>
      </c>
      <c r="AB21" s="143">
        <v>0</v>
      </c>
      <c r="AC21" s="143">
        <v>0</v>
      </c>
      <c r="AD21" s="143">
        <v>0</v>
      </c>
      <c r="AE21" s="143">
        <v>0</v>
      </c>
      <c r="AF21" s="143">
        <v>0</v>
      </c>
      <c r="AG21" s="143">
        <v>1.1999999999999999E-3</v>
      </c>
      <c r="AH21" s="143">
        <v>0</v>
      </c>
      <c r="AI21" s="143">
        <v>0</v>
      </c>
      <c r="AJ21" s="143">
        <v>0</v>
      </c>
      <c r="AK21" s="143">
        <v>3.0754754103305205E-4</v>
      </c>
      <c r="AL21" s="143">
        <v>2.9999999999999992E-2</v>
      </c>
      <c r="AM21" s="143">
        <v>1.1497677945411138E-3</v>
      </c>
      <c r="AN21" s="143">
        <v>0.01</v>
      </c>
      <c r="AO21" s="143">
        <v>0</v>
      </c>
      <c r="AP21" s="143">
        <v>0</v>
      </c>
      <c r="AQ21" s="143">
        <v>0</v>
      </c>
      <c r="AR21" s="143">
        <v>0</v>
      </c>
      <c r="AS21" s="143">
        <v>0</v>
      </c>
      <c r="AT21" s="143">
        <v>0</v>
      </c>
      <c r="AU21" s="143">
        <v>0</v>
      </c>
    </row>
    <row r="22" spans="1:47" customFormat="1" x14ac:dyDescent="0.15">
      <c r="A22" s="181" t="s">
        <v>213</v>
      </c>
      <c r="B22" s="143">
        <v>0</v>
      </c>
      <c r="C22" s="143">
        <v>0</v>
      </c>
      <c r="D22" s="143">
        <v>0</v>
      </c>
      <c r="E22" s="143">
        <v>0</v>
      </c>
      <c r="F22" s="143">
        <v>0</v>
      </c>
      <c r="G22" s="143">
        <v>0</v>
      </c>
      <c r="H22" s="143">
        <v>0</v>
      </c>
      <c r="I22" s="143">
        <v>0</v>
      </c>
      <c r="J22" s="143">
        <v>0</v>
      </c>
      <c r="K22" s="143">
        <v>0</v>
      </c>
      <c r="L22" s="143">
        <v>0</v>
      </c>
      <c r="M22" s="143">
        <v>0</v>
      </c>
      <c r="N22" s="143">
        <v>0</v>
      </c>
      <c r="O22" s="143">
        <v>0</v>
      </c>
      <c r="P22" s="143">
        <v>0</v>
      </c>
      <c r="Q22" s="143">
        <v>4.7625849974282035E-2</v>
      </c>
      <c r="R22" s="143">
        <v>0</v>
      </c>
      <c r="S22" s="143">
        <v>0</v>
      </c>
      <c r="T22" s="143">
        <v>0</v>
      </c>
      <c r="U22" s="143">
        <v>0</v>
      </c>
      <c r="V22" s="143">
        <v>9.9989998800119998E-5</v>
      </c>
      <c r="W22" s="143">
        <v>0</v>
      </c>
      <c r="X22" s="143">
        <v>0</v>
      </c>
      <c r="Y22" s="143">
        <v>4.9751243594079592E-3</v>
      </c>
      <c r="Z22" s="143">
        <v>0</v>
      </c>
      <c r="AA22" s="143">
        <v>7.4993950742440113E-2</v>
      </c>
      <c r="AB22" s="143">
        <v>0</v>
      </c>
      <c r="AC22" s="143">
        <v>0</v>
      </c>
      <c r="AD22" s="143">
        <v>0</v>
      </c>
      <c r="AE22" s="143">
        <v>0</v>
      </c>
      <c r="AF22" s="143">
        <v>0</v>
      </c>
      <c r="AG22" s="143">
        <v>0</v>
      </c>
      <c r="AH22" s="143">
        <v>0</v>
      </c>
      <c r="AI22" s="143">
        <v>0</v>
      </c>
      <c r="AJ22" s="143">
        <v>0</v>
      </c>
      <c r="AK22" s="143">
        <v>9.9020050332608318E-3</v>
      </c>
      <c r="AL22" s="143">
        <v>9.9999999999999985E-3</v>
      </c>
      <c r="AM22" s="143">
        <v>0</v>
      </c>
      <c r="AN22" s="143">
        <v>0</v>
      </c>
      <c r="AO22" s="143">
        <v>0</v>
      </c>
      <c r="AP22" s="143">
        <v>0</v>
      </c>
      <c r="AQ22" s="143">
        <v>0</v>
      </c>
      <c r="AR22" s="143">
        <v>0</v>
      </c>
      <c r="AS22" s="143">
        <v>0</v>
      </c>
      <c r="AT22" s="143">
        <v>0</v>
      </c>
      <c r="AU22" s="143">
        <v>0</v>
      </c>
    </row>
    <row r="23" spans="1:47" customFormat="1" x14ac:dyDescent="0.15">
      <c r="A23" s="181" t="s">
        <v>214</v>
      </c>
      <c r="B23" s="143">
        <v>0</v>
      </c>
      <c r="C23" s="143">
        <v>0</v>
      </c>
      <c r="D23" s="143">
        <v>0</v>
      </c>
      <c r="E23" s="143">
        <v>0</v>
      </c>
      <c r="F23" s="143">
        <v>0</v>
      </c>
      <c r="G23" s="143">
        <v>0.10159504364848115</v>
      </c>
      <c r="H23" s="143">
        <v>0</v>
      </c>
      <c r="I23" s="143">
        <v>0</v>
      </c>
      <c r="J23" s="143">
        <v>0</v>
      </c>
      <c r="K23" s="143">
        <v>0</v>
      </c>
      <c r="L23" s="143">
        <v>0</v>
      </c>
      <c r="M23" s="143">
        <v>0</v>
      </c>
      <c r="N23" s="143">
        <v>0</v>
      </c>
      <c r="O23" s="143">
        <v>0</v>
      </c>
      <c r="P23" s="143">
        <v>0</v>
      </c>
      <c r="Q23" s="143">
        <v>0</v>
      </c>
      <c r="R23" s="143">
        <v>0</v>
      </c>
      <c r="S23" s="143">
        <v>0</v>
      </c>
      <c r="T23" s="143">
        <v>0</v>
      </c>
      <c r="U23" s="143">
        <v>0</v>
      </c>
      <c r="V23" s="143">
        <v>0</v>
      </c>
      <c r="W23" s="143">
        <v>1.1055220941727931E-2</v>
      </c>
      <c r="X23" s="143">
        <v>0.10004709905955728</v>
      </c>
      <c r="Y23" s="143">
        <v>0.12401845547801275</v>
      </c>
      <c r="Z23" s="143">
        <v>0</v>
      </c>
      <c r="AA23" s="143">
        <v>8.3751620829141046E-3</v>
      </c>
      <c r="AB23" s="143">
        <v>0</v>
      </c>
      <c r="AC23" s="143">
        <v>0</v>
      </c>
      <c r="AD23" s="143">
        <v>0</v>
      </c>
      <c r="AE23" s="143">
        <v>0</v>
      </c>
      <c r="AF23" s="143">
        <v>0</v>
      </c>
      <c r="AG23" s="143">
        <v>1.1999999999999999E-3</v>
      </c>
      <c r="AH23" s="143">
        <v>0</v>
      </c>
      <c r="AI23" s="143">
        <v>0.29760239832390334</v>
      </c>
      <c r="AJ23" s="143">
        <v>0</v>
      </c>
      <c r="AK23" s="143">
        <v>0</v>
      </c>
      <c r="AL23" s="143">
        <v>5.9999999999999984E-2</v>
      </c>
      <c r="AM23" s="143">
        <v>0</v>
      </c>
      <c r="AN23" s="143">
        <v>0</v>
      </c>
      <c r="AO23" s="143">
        <v>0</v>
      </c>
      <c r="AP23" s="143">
        <v>0</v>
      </c>
      <c r="AQ23" s="143">
        <v>0</v>
      </c>
      <c r="AR23" s="143">
        <v>0</v>
      </c>
      <c r="AS23" s="143">
        <v>0</v>
      </c>
      <c r="AT23" s="143">
        <v>0</v>
      </c>
      <c r="AU23" s="143">
        <v>0</v>
      </c>
    </row>
    <row r="24" spans="1:47" customFormat="1" x14ac:dyDescent="0.15">
      <c r="A24" s="181" t="s">
        <v>215</v>
      </c>
      <c r="B24" s="143">
        <v>0</v>
      </c>
      <c r="C24" s="143">
        <v>0</v>
      </c>
      <c r="D24" s="143">
        <v>0</v>
      </c>
      <c r="E24" s="143">
        <v>0</v>
      </c>
      <c r="F24" s="143">
        <v>0</v>
      </c>
      <c r="G24" s="143">
        <v>0</v>
      </c>
      <c r="H24" s="143">
        <v>0</v>
      </c>
      <c r="I24" s="143">
        <v>0</v>
      </c>
      <c r="J24" s="143">
        <v>0</v>
      </c>
      <c r="K24" s="143">
        <v>0</v>
      </c>
      <c r="L24" s="143">
        <v>0</v>
      </c>
      <c r="M24" s="143">
        <v>0</v>
      </c>
      <c r="N24" s="143">
        <v>0</v>
      </c>
      <c r="O24" s="143">
        <v>0</v>
      </c>
      <c r="P24" s="143">
        <v>0</v>
      </c>
      <c r="Q24" s="143">
        <v>0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0.12401845547801275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8.6999999999999994E-3</v>
      </c>
      <c r="AH24" s="143">
        <v>0</v>
      </c>
      <c r="AI24" s="143">
        <v>0.17552447201144619</v>
      </c>
      <c r="AJ24" s="143">
        <v>0</v>
      </c>
      <c r="AK24" s="143">
        <v>0</v>
      </c>
      <c r="AL24" s="143">
        <v>2.9999999999999992E-2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S24" s="143">
        <v>0</v>
      </c>
      <c r="AT24" s="143">
        <v>0</v>
      </c>
      <c r="AU24" s="143">
        <v>0</v>
      </c>
    </row>
    <row r="25" spans="1:47" customFormat="1" x14ac:dyDescent="0.15">
      <c r="A25" s="181" t="s">
        <v>216</v>
      </c>
      <c r="B25" s="143">
        <v>0</v>
      </c>
      <c r="C25" s="143">
        <v>0</v>
      </c>
      <c r="D25" s="143">
        <v>0</v>
      </c>
      <c r="E25" s="143">
        <v>0</v>
      </c>
      <c r="F25" s="143">
        <v>0</v>
      </c>
      <c r="G25" s="143">
        <v>0</v>
      </c>
      <c r="H25" s="143">
        <v>0</v>
      </c>
      <c r="I25" s="143">
        <v>0</v>
      </c>
      <c r="J25" s="143">
        <v>0</v>
      </c>
      <c r="K25" s="143">
        <v>0</v>
      </c>
      <c r="L25" s="143">
        <v>0</v>
      </c>
      <c r="M25" s="143">
        <v>0</v>
      </c>
      <c r="N25" s="143">
        <v>0</v>
      </c>
      <c r="O25" s="143">
        <v>0</v>
      </c>
      <c r="P25" s="143">
        <v>0</v>
      </c>
      <c r="Q25" s="143">
        <v>0</v>
      </c>
      <c r="R25" s="143">
        <v>0</v>
      </c>
      <c r="S25" s="143">
        <v>0</v>
      </c>
      <c r="T25" s="143">
        <v>0</v>
      </c>
      <c r="U25" s="143">
        <v>0</v>
      </c>
      <c r="V25" s="143">
        <v>0</v>
      </c>
      <c r="W25" s="143">
        <v>0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  <c r="AF25" s="143">
        <v>4.1995799286071401E-3</v>
      </c>
      <c r="AG25" s="143">
        <v>0</v>
      </c>
      <c r="AH25" s="143">
        <v>0</v>
      </c>
      <c r="AI25" s="143">
        <v>9.9900109437362611E-4</v>
      </c>
      <c r="AJ25" s="143">
        <v>0</v>
      </c>
      <c r="AK25" s="143">
        <v>0</v>
      </c>
      <c r="AL25" s="143">
        <v>9.9999999999999985E-3</v>
      </c>
      <c r="AM25" s="143">
        <v>0</v>
      </c>
      <c r="AN25" s="143">
        <v>0</v>
      </c>
      <c r="AO25" s="143">
        <v>0</v>
      </c>
      <c r="AP25" s="143">
        <v>0</v>
      </c>
      <c r="AQ25" s="143">
        <v>0</v>
      </c>
      <c r="AR25" s="143">
        <v>0</v>
      </c>
      <c r="AS25" s="143">
        <v>0</v>
      </c>
      <c r="AT25" s="143">
        <v>0</v>
      </c>
      <c r="AU25" s="143">
        <v>0</v>
      </c>
    </row>
    <row r="26" spans="1:47" customFormat="1" x14ac:dyDescent="0.15">
      <c r="A26" s="181" t="s">
        <v>217</v>
      </c>
      <c r="B26" s="143">
        <v>0</v>
      </c>
      <c r="C26" s="143">
        <v>0</v>
      </c>
      <c r="D26" s="143">
        <v>0</v>
      </c>
      <c r="E26" s="143">
        <v>0</v>
      </c>
      <c r="F26" s="143">
        <v>0</v>
      </c>
      <c r="G26" s="143">
        <v>0</v>
      </c>
      <c r="H26" s="143">
        <v>0</v>
      </c>
      <c r="I26" s="143">
        <v>0</v>
      </c>
      <c r="J26" s="143">
        <v>0</v>
      </c>
      <c r="K26" s="143">
        <v>0</v>
      </c>
      <c r="L26" s="143">
        <v>0</v>
      </c>
      <c r="M26" s="143">
        <v>0</v>
      </c>
      <c r="N26" s="143">
        <v>0</v>
      </c>
      <c r="O26" s="143">
        <v>0</v>
      </c>
      <c r="P26" s="143">
        <v>0</v>
      </c>
      <c r="Q26" s="143">
        <v>0</v>
      </c>
      <c r="R26" s="143">
        <v>0</v>
      </c>
      <c r="S26" s="143">
        <v>0</v>
      </c>
      <c r="T26" s="143">
        <v>0</v>
      </c>
      <c r="U26" s="143">
        <v>0</v>
      </c>
      <c r="V26" s="143">
        <v>0</v>
      </c>
      <c r="W26" s="143">
        <v>0</v>
      </c>
      <c r="X26" s="143">
        <v>0</v>
      </c>
      <c r="Y26" s="143">
        <v>0</v>
      </c>
      <c r="Z26" s="143">
        <v>3.7999999999999999E-2</v>
      </c>
      <c r="AA26" s="143">
        <v>0.17275335071025816</v>
      </c>
      <c r="AB26" s="143">
        <v>0</v>
      </c>
      <c r="AC26" s="143">
        <v>0</v>
      </c>
      <c r="AD26" s="143">
        <v>6.1516188869332446E-2</v>
      </c>
      <c r="AE26" s="143">
        <v>0</v>
      </c>
      <c r="AF26" s="143">
        <v>0</v>
      </c>
      <c r="AG26" s="143">
        <v>0</v>
      </c>
      <c r="AH26" s="143">
        <v>0</v>
      </c>
      <c r="AI26" s="143">
        <v>0</v>
      </c>
      <c r="AJ26" s="143">
        <v>0</v>
      </c>
      <c r="AK26" s="143">
        <v>1.0251583534435066E-2</v>
      </c>
      <c r="AL26" s="143">
        <v>4.9999999999999992E-3</v>
      </c>
      <c r="AM26" s="143">
        <v>1.1497677945411138E-3</v>
      </c>
      <c r="AN26" s="143">
        <v>0</v>
      </c>
      <c r="AO26" s="143">
        <v>0</v>
      </c>
      <c r="AP26" s="143">
        <v>0</v>
      </c>
      <c r="AQ26" s="143">
        <v>0</v>
      </c>
      <c r="AR26" s="143">
        <v>0</v>
      </c>
      <c r="AS26" s="143">
        <v>0</v>
      </c>
      <c r="AT26" s="143">
        <v>0</v>
      </c>
      <c r="AU26" s="143">
        <v>0</v>
      </c>
    </row>
    <row r="27" spans="1:47" customFormat="1" x14ac:dyDescent="0.15">
      <c r="A27" s="181" t="s">
        <v>218</v>
      </c>
      <c r="B27" s="143">
        <v>0</v>
      </c>
      <c r="C27" s="143">
        <v>0</v>
      </c>
      <c r="D27" s="143">
        <v>0</v>
      </c>
      <c r="E27" s="143">
        <v>0</v>
      </c>
      <c r="F27" s="143">
        <v>0</v>
      </c>
      <c r="G27" s="143">
        <v>0</v>
      </c>
      <c r="H27" s="143">
        <v>0</v>
      </c>
      <c r="I27" s="143">
        <v>0</v>
      </c>
      <c r="J27" s="143">
        <v>0</v>
      </c>
      <c r="K27" s="143">
        <v>0</v>
      </c>
      <c r="L27" s="143">
        <v>0</v>
      </c>
      <c r="M27" s="143">
        <v>0</v>
      </c>
      <c r="N27" s="143">
        <v>0</v>
      </c>
      <c r="O27" s="143">
        <v>0</v>
      </c>
      <c r="P27" s="143">
        <v>0</v>
      </c>
      <c r="Q27" s="143">
        <v>0</v>
      </c>
      <c r="R27" s="143">
        <v>0</v>
      </c>
      <c r="S27" s="143">
        <v>0</v>
      </c>
      <c r="T27" s="143">
        <v>0</v>
      </c>
      <c r="U27" s="143">
        <v>0</v>
      </c>
      <c r="V27" s="143">
        <v>0</v>
      </c>
      <c r="W27" s="143">
        <v>0</v>
      </c>
      <c r="X27" s="143">
        <v>0</v>
      </c>
      <c r="Y27" s="143">
        <v>0</v>
      </c>
      <c r="Z27" s="143">
        <v>0</v>
      </c>
      <c r="AA27" s="143">
        <v>0</v>
      </c>
      <c r="AB27" s="143">
        <v>0</v>
      </c>
      <c r="AC27" s="143">
        <v>0</v>
      </c>
      <c r="AD27" s="143">
        <v>0</v>
      </c>
      <c r="AE27" s="143">
        <v>0</v>
      </c>
      <c r="AF27" s="143">
        <v>0</v>
      </c>
      <c r="AG27" s="143">
        <v>0</v>
      </c>
      <c r="AH27" s="143">
        <v>0</v>
      </c>
      <c r="AI27" s="143">
        <v>0</v>
      </c>
      <c r="AJ27" s="143">
        <v>0</v>
      </c>
      <c r="AK27" s="143">
        <v>1.0251583534435066E-2</v>
      </c>
      <c r="AL27" s="143">
        <v>4.9999999999999992E-3</v>
      </c>
      <c r="AM27" s="143">
        <v>0</v>
      </c>
      <c r="AN27" s="143">
        <v>0</v>
      </c>
      <c r="AO27" s="143">
        <v>0</v>
      </c>
      <c r="AP27" s="143">
        <v>0</v>
      </c>
      <c r="AQ27" s="143">
        <v>0</v>
      </c>
      <c r="AR27" s="143">
        <v>0</v>
      </c>
      <c r="AS27" s="143">
        <v>0</v>
      </c>
      <c r="AT27" s="143">
        <v>0</v>
      </c>
      <c r="AU27" s="143">
        <v>0</v>
      </c>
    </row>
    <row r="28" spans="1:47" customFormat="1" x14ac:dyDescent="0.15">
      <c r="A28" s="181" t="s">
        <v>219</v>
      </c>
      <c r="B28" s="143">
        <v>0</v>
      </c>
      <c r="C28" s="143">
        <v>0</v>
      </c>
      <c r="D28" s="143">
        <v>0</v>
      </c>
      <c r="E28" s="143">
        <v>0</v>
      </c>
      <c r="F28" s="143">
        <v>0</v>
      </c>
      <c r="G28" s="143">
        <v>0</v>
      </c>
      <c r="H28" s="143">
        <v>0</v>
      </c>
      <c r="I28" s="143">
        <v>0</v>
      </c>
      <c r="J28" s="143">
        <v>0</v>
      </c>
      <c r="K28" s="143">
        <v>0</v>
      </c>
      <c r="L28" s="143">
        <v>0</v>
      </c>
      <c r="M28" s="143">
        <v>0</v>
      </c>
      <c r="N28" s="143">
        <v>0</v>
      </c>
      <c r="O28" s="143">
        <v>0</v>
      </c>
      <c r="P28" s="143">
        <v>0</v>
      </c>
      <c r="Q28" s="143">
        <v>0</v>
      </c>
      <c r="R28" s="143">
        <v>0</v>
      </c>
      <c r="S28" s="143">
        <v>0</v>
      </c>
      <c r="T28" s="143">
        <v>0</v>
      </c>
      <c r="U28" s="143">
        <v>0</v>
      </c>
      <c r="V28" s="143">
        <v>0</v>
      </c>
      <c r="W28" s="143">
        <v>0</v>
      </c>
      <c r="X28" s="143">
        <v>0</v>
      </c>
      <c r="Y28" s="143">
        <v>0</v>
      </c>
      <c r="Z28" s="143">
        <v>0</v>
      </c>
      <c r="AA28" s="143">
        <v>0</v>
      </c>
      <c r="AB28" s="143">
        <v>0</v>
      </c>
      <c r="AC28" s="143">
        <v>0</v>
      </c>
      <c r="AD28" s="143">
        <v>0</v>
      </c>
      <c r="AE28" s="143">
        <v>0</v>
      </c>
      <c r="AF28" s="143">
        <v>0</v>
      </c>
      <c r="AG28" s="143">
        <v>0</v>
      </c>
      <c r="AH28" s="143">
        <v>0</v>
      </c>
      <c r="AI28" s="143">
        <v>0</v>
      </c>
      <c r="AJ28" s="143">
        <v>0</v>
      </c>
      <c r="AK28" s="143">
        <v>1.0251583534435066E-2</v>
      </c>
      <c r="AL28" s="143">
        <v>4.9999999999999992E-3</v>
      </c>
      <c r="AM28" s="143">
        <v>0</v>
      </c>
      <c r="AN28" s="143">
        <v>0</v>
      </c>
      <c r="AO28" s="143">
        <v>0</v>
      </c>
      <c r="AP28" s="143">
        <v>0</v>
      </c>
      <c r="AQ28" s="143">
        <v>0</v>
      </c>
      <c r="AR28" s="143">
        <v>0</v>
      </c>
      <c r="AS28" s="143">
        <v>0</v>
      </c>
      <c r="AT28" s="143">
        <v>0</v>
      </c>
      <c r="AU28" s="143">
        <v>0</v>
      </c>
    </row>
    <row r="29" spans="1:47" customFormat="1" x14ac:dyDescent="0.15">
      <c r="A29" s="181" t="s">
        <v>220</v>
      </c>
      <c r="B29" s="143">
        <v>0</v>
      </c>
      <c r="C29" s="143">
        <v>0</v>
      </c>
      <c r="D29" s="143">
        <v>0</v>
      </c>
      <c r="E29" s="143">
        <v>0</v>
      </c>
      <c r="F29" s="143">
        <v>0</v>
      </c>
      <c r="G29" s="143">
        <v>0</v>
      </c>
      <c r="H29" s="143">
        <v>0</v>
      </c>
      <c r="I29" s="143">
        <v>0</v>
      </c>
      <c r="J29" s="143">
        <v>0</v>
      </c>
      <c r="K29" s="143">
        <v>0</v>
      </c>
      <c r="L29" s="143">
        <v>0</v>
      </c>
      <c r="M29" s="143">
        <v>0</v>
      </c>
      <c r="N29" s="143">
        <v>0</v>
      </c>
      <c r="O29" s="143">
        <v>0</v>
      </c>
      <c r="P29" s="143">
        <v>0</v>
      </c>
      <c r="Q29" s="143">
        <v>0</v>
      </c>
      <c r="R29" s="143">
        <v>0</v>
      </c>
      <c r="S29" s="143">
        <v>0</v>
      </c>
      <c r="T29" s="143">
        <v>0</v>
      </c>
      <c r="U29" s="143">
        <v>0</v>
      </c>
      <c r="V29" s="143">
        <v>0</v>
      </c>
      <c r="W29" s="143">
        <v>0</v>
      </c>
      <c r="X29" s="143">
        <v>0</v>
      </c>
      <c r="Y29" s="143">
        <v>0</v>
      </c>
      <c r="Z29" s="143">
        <v>0</v>
      </c>
      <c r="AA29" s="143">
        <v>0</v>
      </c>
      <c r="AB29" s="143">
        <v>0</v>
      </c>
      <c r="AC29" s="143">
        <v>0</v>
      </c>
      <c r="AD29" s="143">
        <v>0</v>
      </c>
      <c r="AE29" s="143">
        <v>0</v>
      </c>
      <c r="AF29" s="143">
        <v>0</v>
      </c>
      <c r="AG29" s="143">
        <v>0</v>
      </c>
      <c r="AH29" s="143">
        <v>0</v>
      </c>
      <c r="AI29" s="143">
        <v>0</v>
      </c>
      <c r="AJ29" s="143">
        <v>0</v>
      </c>
      <c r="AK29" s="143">
        <v>5.1257917872175327E-3</v>
      </c>
      <c r="AL29" s="143">
        <v>4.9999999999999992E-3</v>
      </c>
      <c r="AM29" s="143">
        <v>0</v>
      </c>
      <c r="AN29" s="143">
        <v>0</v>
      </c>
      <c r="AO29" s="143">
        <v>0</v>
      </c>
      <c r="AP29" s="143">
        <v>0</v>
      </c>
      <c r="AQ29" s="143">
        <v>0</v>
      </c>
      <c r="AR29" s="143">
        <v>0</v>
      </c>
      <c r="AS29" s="143">
        <v>0</v>
      </c>
      <c r="AT29" s="143">
        <v>0</v>
      </c>
      <c r="AU29" s="143">
        <v>0</v>
      </c>
    </row>
    <row r="30" spans="1:47" customFormat="1" x14ac:dyDescent="0.15">
      <c r="A30" s="181" t="s">
        <v>221</v>
      </c>
      <c r="B30" s="143">
        <v>0</v>
      </c>
      <c r="C30" s="143">
        <v>0</v>
      </c>
      <c r="D30" s="143">
        <v>0</v>
      </c>
      <c r="E30" s="143">
        <v>0</v>
      </c>
      <c r="F30" s="143">
        <v>0</v>
      </c>
      <c r="G30" s="143">
        <v>0</v>
      </c>
      <c r="H30" s="143">
        <v>0</v>
      </c>
      <c r="I30" s="143">
        <v>0</v>
      </c>
      <c r="J30" s="143">
        <v>0</v>
      </c>
      <c r="K30" s="143">
        <v>0</v>
      </c>
      <c r="L30" s="143">
        <v>4.496435105171618E-3</v>
      </c>
      <c r="M30" s="143">
        <v>0</v>
      </c>
      <c r="N30" s="143">
        <v>8.3105730449601987E-3</v>
      </c>
      <c r="O30" s="143">
        <v>0</v>
      </c>
      <c r="P30" s="143">
        <v>0</v>
      </c>
      <c r="Q30" s="143">
        <v>0</v>
      </c>
      <c r="R30" s="143">
        <v>0</v>
      </c>
      <c r="S30" s="143">
        <v>0</v>
      </c>
      <c r="T30" s="143">
        <v>0</v>
      </c>
      <c r="U30" s="143">
        <v>0</v>
      </c>
      <c r="V30" s="143">
        <v>0</v>
      </c>
      <c r="W30" s="143">
        <v>0</v>
      </c>
      <c r="X30" s="143">
        <v>0</v>
      </c>
      <c r="Y30" s="143">
        <v>0</v>
      </c>
      <c r="Z30" s="143">
        <v>2.0000000000000001E-4</v>
      </c>
      <c r="AA30" s="143">
        <v>0</v>
      </c>
      <c r="AB30" s="143">
        <v>0</v>
      </c>
      <c r="AC30" s="143">
        <v>0</v>
      </c>
      <c r="AD30" s="143">
        <v>0</v>
      </c>
      <c r="AE30" s="143">
        <v>0</v>
      </c>
      <c r="AF30" s="143">
        <v>0</v>
      </c>
      <c r="AG30" s="143">
        <v>0</v>
      </c>
      <c r="AH30" s="143">
        <v>0</v>
      </c>
      <c r="AI30" s="143">
        <v>0</v>
      </c>
      <c r="AJ30" s="143">
        <v>0</v>
      </c>
      <c r="AK30" s="143">
        <v>1.0251584234435067E-4</v>
      </c>
      <c r="AL30" s="143">
        <v>4.9999999999999992E-3</v>
      </c>
      <c r="AM30" s="143">
        <v>0</v>
      </c>
      <c r="AN30" s="143">
        <v>0</v>
      </c>
      <c r="AO30" s="143">
        <v>0</v>
      </c>
      <c r="AP30" s="143">
        <v>0</v>
      </c>
      <c r="AQ30" s="143">
        <v>0</v>
      </c>
      <c r="AR30" s="143">
        <v>0</v>
      </c>
      <c r="AS30" s="143">
        <v>0</v>
      </c>
      <c r="AT30" s="143">
        <v>0</v>
      </c>
      <c r="AU30" s="143">
        <v>0</v>
      </c>
    </row>
    <row r="31" spans="1:47" customFormat="1" x14ac:dyDescent="0.15">
      <c r="A31" s="181" t="s">
        <v>222</v>
      </c>
      <c r="B31" s="143">
        <v>0</v>
      </c>
      <c r="C31" s="143">
        <v>0</v>
      </c>
      <c r="D31" s="143">
        <v>0</v>
      </c>
      <c r="E31" s="143">
        <v>0</v>
      </c>
      <c r="F31" s="143">
        <v>0</v>
      </c>
      <c r="G31" s="143">
        <v>0</v>
      </c>
      <c r="H31" s="143">
        <v>0</v>
      </c>
      <c r="I31" s="143">
        <v>0</v>
      </c>
      <c r="J31" s="143">
        <v>0</v>
      </c>
      <c r="K31" s="143">
        <v>0</v>
      </c>
      <c r="L31" s="143">
        <v>0</v>
      </c>
      <c r="M31" s="143">
        <v>0</v>
      </c>
      <c r="N31" s="143">
        <v>0</v>
      </c>
      <c r="O31" s="143">
        <v>0</v>
      </c>
      <c r="P31" s="143">
        <v>0</v>
      </c>
      <c r="Q31" s="143">
        <v>0</v>
      </c>
      <c r="R31" s="143">
        <v>0</v>
      </c>
      <c r="S31" s="143">
        <v>0</v>
      </c>
      <c r="T31" s="143">
        <v>0</v>
      </c>
      <c r="U31" s="143">
        <v>0</v>
      </c>
      <c r="V31" s="143">
        <v>0</v>
      </c>
      <c r="W31" s="143">
        <v>0</v>
      </c>
      <c r="X31" s="143">
        <v>0</v>
      </c>
      <c r="Y31" s="143">
        <v>0</v>
      </c>
      <c r="Z31" s="143">
        <v>0</v>
      </c>
      <c r="AA31" s="143">
        <v>0</v>
      </c>
      <c r="AB31" s="143">
        <v>0</v>
      </c>
      <c r="AC31" s="143">
        <v>0</v>
      </c>
      <c r="AD31" s="143">
        <v>0</v>
      </c>
      <c r="AE31" s="143">
        <v>0</v>
      </c>
      <c r="AF31" s="143">
        <v>0</v>
      </c>
      <c r="AG31" s="143">
        <v>0</v>
      </c>
      <c r="AH31" s="143">
        <v>0</v>
      </c>
      <c r="AI31" s="143">
        <v>0</v>
      </c>
      <c r="AJ31" s="143">
        <v>0</v>
      </c>
      <c r="AK31" s="143">
        <v>5.1257917872175327E-3</v>
      </c>
      <c r="AL31" s="143">
        <v>4.9999999999999992E-3</v>
      </c>
      <c r="AM31" s="143">
        <v>1.1497677945411138E-3</v>
      </c>
      <c r="AN31" s="143">
        <v>0</v>
      </c>
      <c r="AO31" s="143">
        <v>0</v>
      </c>
      <c r="AP31" s="143">
        <v>0</v>
      </c>
      <c r="AQ31" s="143">
        <v>0</v>
      </c>
      <c r="AR31" s="143">
        <v>0</v>
      </c>
      <c r="AS31" s="143">
        <v>0</v>
      </c>
      <c r="AT31" s="143">
        <v>0</v>
      </c>
      <c r="AU31" s="143">
        <v>0</v>
      </c>
    </row>
    <row r="32" spans="1:47" customFormat="1" x14ac:dyDescent="0.15">
      <c r="A32" s="181" t="s">
        <v>223</v>
      </c>
      <c r="B32" s="143">
        <v>0</v>
      </c>
      <c r="C32" s="143">
        <v>0</v>
      </c>
      <c r="D32" s="143">
        <v>0</v>
      </c>
      <c r="E32" s="143">
        <v>0</v>
      </c>
      <c r="F32" s="143">
        <v>0</v>
      </c>
      <c r="G32" s="143">
        <v>0</v>
      </c>
      <c r="H32" s="143">
        <v>0</v>
      </c>
      <c r="I32" s="143">
        <v>0</v>
      </c>
      <c r="J32" s="143">
        <v>0</v>
      </c>
      <c r="K32" s="143">
        <v>0</v>
      </c>
      <c r="L32" s="143">
        <v>0</v>
      </c>
      <c r="M32" s="143">
        <v>0</v>
      </c>
      <c r="N32" s="143">
        <v>0</v>
      </c>
      <c r="O32" s="143">
        <v>0</v>
      </c>
      <c r="P32" s="143">
        <v>0</v>
      </c>
      <c r="Q32" s="143">
        <v>1.914559118966138E-2</v>
      </c>
      <c r="R32" s="143">
        <v>0</v>
      </c>
      <c r="S32" s="143">
        <v>0</v>
      </c>
      <c r="T32" s="143">
        <v>0</v>
      </c>
      <c r="U32" s="143">
        <v>0</v>
      </c>
      <c r="V32" s="143">
        <v>0</v>
      </c>
      <c r="W32" s="143">
        <v>0</v>
      </c>
      <c r="X32" s="143">
        <v>0</v>
      </c>
      <c r="Y32" s="143">
        <v>0</v>
      </c>
      <c r="Z32" s="143">
        <v>0</v>
      </c>
      <c r="AA32" s="143">
        <v>0</v>
      </c>
      <c r="AB32" s="143">
        <v>0</v>
      </c>
      <c r="AC32" s="143">
        <v>0</v>
      </c>
      <c r="AD32" s="143">
        <v>0</v>
      </c>
      <c r="AE32" s="143">
        <v>0</v>
      </c>
      <c r="AF32" s="143">
        <v>0</v>
      </c>
      <c r="AG32" s="143">
        <v>0</v>
      </c>
      <c r="AH32" s="143">
        <v>0</v>
      </c>
      <c r="AI32" s="143">
        <v>0</v>
      </c>
      <c r="AJ32" s="143">
        <v>0</v>
      </c>
      <c r="AK32" s="143">
        <v>5.1257917872175327E-3</v>
      </c>
      <c r="AL32" s="143">
        <v>4.9999999999999992E-3</v>
      </c>
      <c r="AM32" s="143">
        <v>3.4493030436233366E-3</v>
      </c>
      <c r="AN32" s="143">
        <v>0</v>
      </c>
      <c r="AO32" s="143">
        <v>0</v>
      </c>
      <c r="AP32" s="143">
        <v>0</v>
      </c>
      <c r="AQ32" s="143">
        <v>0</v>
      </c>
      <c r="AR32" s="143">
        <v>0</v>
      </c>
      <c r="AS32" s="143">
        <v>0</v>
      </c>
      <c r="AT32" s="143">
        <v>0</v>
      </c>
      <c r="AU32" s="143">
        <v>0</v>
      </c>
    </row>
    <row r="33" spans="1:47" customFormat="1" x14ac:dyDescent="0.15">
      <c r="A33" s="181" t="s">
        <v>224</v>
      </c>
      <c r="B33" s="143">
        <v>0</v>
      </c>
      <c r="C33" s="143">
        <v>0</v>
      </c>
      <c r="D33" s="143">
        <v>0</v>
      </c>
      <c r="E33" s="143">
        <v>0</v>
      </c>
      <c r="F33" s="143">
        <v>0</v>
      </c>
      <c r="G33" s="143">
        <v>0</v>
      </c>
      <c r="H33" s="143">
        <v>0</v>
      </c>
      <c r="I33" s="143">
        <v>0</v>
      </c>
      <c r="J33" s="143">
        <v>0</v>
      </c>
      <c r="K33" s="143">
        <v>0</v>
      </c>
      <c r="L33" s="143">
        <v>0</v>
      </c>
      <c r="M33" s="143">
        <v>0</v>
      </c>
      <c r="N33" s="143">
        <v>0</v>
      </c>
      <c r="O33" s="143">
        <v>0</v>
      </c>
      <c r="P33" s="143">
        <v>0</v>
      </c>
      <c r="Q33" s="143">
        <v>6.8581225362966134E-3</v>
      </c>
      <c r="R33" s="143">
        <v>0</v>
      </c>
      <c r="S33" s="143">
        <v>0</v>
      </c>
      <c r="T33" s="143">
        <v>0</v>
      </c>
      <c r="U33" s="143">
        <v>0</v>
      </c>
      <c r="V33" s="143">
        <v>0</v>
      </c>
      <c r="W33" s="143">
        <v>0</v>
      </c>
      <c r="X33" s="143">
        <v>0</v>
      </c>
      <c r="Y33" s="143">
        <v>0</v>
      </c>
      <c r="Z33" s="143">
        <v>0</v>
      </c>
      <c r="AA33" s="143">
        <v>0</v>
      </c>
      <c r="AB33" s="143">
        <v>0</v>
      </c>
      <c r="AC33" s="143">
        <v>0</v>
      </c>
      <c r="AD33" s="143">
        <v>0</v>
      </c>
      <c r="AE33" s="143">
        <v>0</v>
      </c>
      <c r="AF33" s="143">
        <v>0</v>
      </c>
      <c r="AG33" s="143">
        <v>0</v>
      </c>
      <c r="AH33" s="143">
        <v>0</v>
      </c>
      <c r="AI33" s="143">
        <v>0</v>
      </c>
      <c r="AJ33" s="143">
        <v>0</v>
      </c>
      <c r="AK33" s="143">
        <v>5.1257917872175327E-3</v>
      </c>
      <c r="AL33" s="143">
        <v>4.9999999999999992E-3</v>
      </c>
      <c r="AM33" s="143">
        <v>3.4493030436233366E-3</v>
      </c>
      <c r="AN33" s="143">
        <v>0</v>
      </c>
      <c r="AO33" s="143">
        <v>0</v>
      </c>
      <c r="AP33" s="143">
        <v>0</v>
      </c>
      <c r="AQ33" s="143">
        <v>0</v>
      </c>
      <c r="AR33" s="143">
        <v>0</v>
      </c>
      <c r="AS33" s="143">
        <v>0</v>
      </c>
      <c r="AT33" s="143">
        <v>0</v>
      </c>
      <c r="AU33" s="143">
        <v>0</v>
      </c>
    </row>
    <row r="34" spans="1:47" customFormat="1" x14ac:dyDescent="0.15">
      <c r="A34" s="181" t="s">
        <v>225</v>
      </c>
      <c r="B34" s="143">
        <v>0</v>
      </c>
      <c r="C34" s="143">
        <v>0</v>
      </c>
      <c r="D34" s="143">
        <v>0</v>
      </c>
      <c r="E34" s="143">
        <v>0</v>
      </c>
      <c r="F34" s="143">
        <v>0</v>
      </c>
      <c r="G34" s="143">
        <v>0</v>
      </c>
      <c r="H34" s="143">
        <v>0</v>
      </c>
      <c r="I34" s="143">
        <v>0</v>
      </c>
      <c r="J34" s="143">
        <v>0</v>
      </c>
      <c r="K34" s="143">
        <v>0</v>
      </c>
      <c r="L34" s="143">
        <v>0</v>
      </c>
      <c r="M34" s="143">
        <v>0</v>
      </c>
      <c r="N34" s="143">
        <v>0</v>
      </c>
      <c r="O34" s="143">
        <v>0</v>
      </c>
      <c r="P34" s="143">
        <v>0</v>
      </c>
      <c r="Q34" s="143">
        <v>0</v>
      </c>
      <c r="R34" s="143">
        <v>0</v>
      </c>
      <c r="S34" s="143">
        <v>0</v>
      </c>
      <c r="T34" s="143">
        <v>0</v>
      </c>
      <c r="U34" s="143">
        <v>0</v>
      </c>
      <c r="V34" s="143">
        <v>0</v>
      </c>
      <c r="W34" s="143">
        <v>0</v>
      </c>
      <c r="X34" s="143">
        <v>0</v>
      </c>
      <c r="Y34" s="143">
        <v>0</v>
      </c>
      <c r="Z34" s="143">
        <v>0</v>
      </c>
      <c r="AA34" s="143">
        <v>9.7876890968981209E-2</v>
      </c>
      <c r="AB34" s="143">
        <v>0</v>
      </c>
      <c r="AC34" s="143">
        <v>3.6700000000000003E-2</v>
      </c>
      <c r="AD34" s="143">
        <v>0</v>
      </c>
      <c r="AE34" s="143">
        <v>0</v>
      </c>
      <c r="AF34" s="143">
        <v>0</v>
      </c>
      <c r="AG34" s="143">
        <v>0</v>
      </c>
      <c r="AH34" s="143">
        <v>0</v>
      </c>
      <c r="AI34" s="143">
        <v>0</v>
      </c>
      <c r="AJ34" s="143">
        <v>0</v>
      </c>
      <c r="AK34" s="143">
        <v>0.13409072245041068</v>
      </c>
      <c r="AL34" s="143">
        <v>4.9999999999999992E-3</v>
      </c>
      <c r="AM34" s="143">
        <v>2.2995355790822272E-3</v>
      </c>
      <c r="AN34" s="143">
        <v>0</v>
      </c>
      <c r="AO34" s="143">
        <v>0</v>
      </c>
      <c r="AP34" s="143">
        <v>0</v>
      </c>
      <c r="AQ34" s="143">
        <v>0</v>
      </c>
      <c r="AR34" s="143">
        <v>0</v>
      </c>
      <c r="AS34" s="143">
        <v>0</v>
      </c>
      <c r="AT34" s="143">
        <v>0</v>
      </c>
      <c r="AU34" s="143">
        <v>0</v>
      </c>
    </row>
    <row r="35" spans="1:47" customFormat="1" x14ac:dyDescent="0.15">
      <c r="A35" s="181" t="s">
        <v>226</v>
      </c>
      <c r="B35" s="143">
        <v>0</v>
      </c>
      <c r="C35" s="143">
        <v>0</v>
      </c>
      <c r="D35" s="143">
        <v>0</v>
      </c>
      <c r="E35" s="143">
        <v>0</v>
      </c>
      <c r="F35" s="143">
        <v>0</v>
      </c>
      <c r="G35" s="143">
        <v>0</v>
      </c>
      <c r="H35" s="143">
        <v>0</v>
      </c>
      <c r="I35" s="143">
        <v>0</v>
      </c>
      <c r="J35" s="143">
        <v>0</v>
      </c>
      <c r="K35" s="143">
        <v>0</v>
      </c>
      <c r="L35" s="143">
        <v>0</v>
      </c>
      <c r="M35" s="143">
        <v>0</v>
      </c>
      <c r="N35" s="143">
        <v>0</v>
      </c>
      <c r="O35" s="143">
        <v>0</v>
      </c>
      <c r="P35" s="143">
        <v>0</v>
      </c>
      <c r="Q35" s="143">
        <v>0</v>
      </c>
      <c r="R35" s="143">
        <v>0</v>
      </c>
      <c r="S35" s="143">
        <v>0</v>
      </c>
      <c r="T35" s="143">
        <v>0</v>
      </c>
      <c r="U35" s="143">
        <v>0</v>
      </c>
      <c r="V35" s="143">
        <v>0</v>
      </c>
      <c r="W35" s="143">
        <v>0</v>
      </c>
      <c r="X35" s="143">
        <v>0</v>
      </c>
      <c r="Y35" s="143">
        <v>0</v>
      </c>
      <c r="Z35" s="143">
        <v>0</v>
      </c>
      <c r="AA35" s="143">
        <v>0</v>
      </c>
      <c r="AB35" s="143">
        <v>0</v>
      </c>
      <c r="AC35" s="143">
        <v>0</v>
      </c>
      <c r="AD35" s="143">
        <v>0</v>
      </c>
      <c r="AE35" s="143">
        <v>0</v>
      </c>
      <c r="AF35" s="143">
        <v>0</v>
      </c>
      <c r="AG35" s="143">
        <v>0</v>
      </c>
      <c r="AH35" s="143">
        <v>0</v>
      </c>
      <c r="AI35" s="143">
        <v>0</v>
      </c>
      <c r="AJ35" s="143">
        <v>0</v>
      </c>
      <c r="AK35" s="143">
        <v>1.0251583534435066E-2</v>
      </c>
      <c r="AL35" s="143">
        <v>4.9999999999999992E-3</v>
      </c>
      <c r="AM35" s="143">
        <v>0</v>
      </c>
      <c r="AN35" s="143">
        <v>0</v>
      </c>
      <c r="AO35" s="143">
        <v>0</v>
      </c>
      <c r="AP35" s="143">
        <v>0</v>
      </c>
      <c r="AQ35" s="143">
        <v>0</v>
      </c>
      <c r="AR35" s="143">
        <v>0</v>
      </c>
      <c r="AS35" s="143">
        <v>0</v>
      </c>
      <c r="AT35" s="143">
        <v>0</v>
      </c>
      <c r="AU35" s="143">
        <v>0</v>
      </c>
    </row>
    <row r="36" spans="1:47" customFormat="1" x14ac:dyDescent="0.15">
      <c r="A36" s="181" t="s">
        <v>227</v>
      </c>
      <c r="B36" s="143">
        <v>0</v>
      </c>
      <c r="C36" s="143">
        <v>0</v>
      </c>
      <c r="D36" s="143">
        <v>0</v>
      </c>
      <c r="E36" s="143">
        <v>0</v>
      </c>
      <c r="F36" s="143">
        <v>0</v>
      </c>
      <c r="G36" s="143">
        <v>0</v>
      </c>
      <c r="H36" s="143">
        <v>0</v>
      </c>
      <c r="I36" s="143">
        <v>0</v>
      </c>
      <c r="J36" s="143">
        <v>0</v>
      </c>
      <c r="K36" s="143">
        <v>0</v>
      </c>
      <c r="L36" s="143">
        <v>0</v>
      </c>
      <c r="M36" s="143">
        <v>0</v>
      </c>
      <c r="N36" s="143">
        <v>0</v>
      </c>
      <c r="O36" s="143">
        <v>0</v>
      </c>
      <c r="P36" s="143">
        <v>0</v>
      </c>
      <c r="Q36" s="143">
        <v>8.2868979955250749E-2</v>
      </c>
      <c r="R36" s="143">
        <v>0</v>
      </c>
      <c r="S36" s="143">
        <v>0</v>
      </c>
      <c r="T36" s="143">
        <v>0</v>
      </c>
      <c r="U36" s="143">
        <v>0</v>
      </c>
      <c r="V36" s="143">
        <v>0</v>
      </c>
      <c r="W36" s="143">
        <v>0</v>
      </c>
      <c r="X36" s="143">
        <v>0</v>
      </c>
      <c r="Y36" s="143">
        <v>0</v>
      </c>
      <c r="Z36" s="143">
        <v>1.5E-3</v>
      </c>
      <c r="AA36" s="143">
        <v>1.1382725212688979E-2</v>
      </c>
      <c r="AB36" s="143">
        <v>0</v>
      </c>
      <c r="AC36" s="143">
        <v>0</v>
      </c>
      <c r="AD36" s="143">
        <v>0</v>
      </c>
      <c r="AE36" s="143">
        <v>0</v>
      </c>
      <c r="AF36" s="143">
        <v>0</v>
      </c>
      <c r="AG36" s="143">
        <v>0</v>
      </c>
      <c r="AH36" s="143">
        <v>0</v>
      </c>
      <c r="AI36" s="143">
        <v>0</v>
      </c>
      <c r="AJ36" s="143">
        <v>2.3521855793223457E-2</v>
      </c>
      <c r="AK36" s="143">
        <v>1.0251584234435067E-4</v>
      </c>
      <c r="AL36" s="143">
        <v>4.9999999999999992E-3</v>
      </c>
      <c r="AM36" s="143">
        <v>8.3933035961501132E-3</v>
      </c>
      <c r="AN36" s="143">
        <v>0</v>
      </c>
      <c r="AO36" s="143">
        <v>0</v>
      </c>
      <c r="AP36" s="143">
        <v>0</v>
      </c>
      <c r="AQ36" s="143">
        <v>0</v>
      </c>
      <c r="AR36" s="143">
        <v>0</v>
      </c>
      <c r="AS36" s="143">
        <v>0</v>
      </c>
      <c r="AT36" s="143">
        <v>0</v>
      </c>
      <c r="AU36" s="143">
        <v>0</v>
      </c>
    </row>
    <row r="37" spans="1:47" customFormat="1" x14ac:dyDescent="0.15">
      <c r="A37" s="181" t="s">
        <v>228</v>
      </c>
      <c r="B37" s="143">
        <v>0</v>
      </c>
      <c r="C37" s="143">
        <v>0</v>
      </c>
      <c r="D37" s="143">
        <v>0</v>
      </c>
      <c r="E37" s="143">
        <v>0</v>
      </c>
      <c r="F37" s="143">
        <v>0</v>
      </c>
      <c r="G37" s="143">
        <v>0</v>
      </c>
      <c r="H37" s="143">
        <v>0</v>
      </c>
      <c r="I37" s="143">
        <v>0</v>
      </c>
      <c r="J37" s="143">
        <v>0</v>
      </c>
      <c r="K37" s="143">
        <v>0</v>
      </c>
      <c r="L37" s="143">
        <v>0</v>
      </c>
      <c r="M37" s="143">
        <v>0</v>
      </c>
      <c r="N37" s="143">
        <v>0</v>
      </c>
      <c r="O37" s="143">
        <v>0</v>
      </c>
      <c r="P37" s="143">
        <v>0</v>
      </c>
      <c r="Q37" s="143">
        <v>0</v>
      </c>
      <c r="R37" s="143">
        <v>0</v>
      </c>
      <c r="S37" s="143">
        <v>0</v>
      </c>
      <c r="T37" s="143">
        <v>0</v>
      </c>
      <c r="U37" s="143">
        <v>0</v>
      </c>
      <c r="V37" s="143">
        <v>0</v>
      </c>
      <c r="W37" s="143">
        <v>0</v>
      </c>
      <c r="X37" s="143">
        <v>0</v>
      </c>
      <c r="Y37" s="143">
        <v>0</v>
      </c>
      <c r="Z37" s="143">
        <v>0</v>
      </c>
      <c r="AA37" s="143">
        <v>0</v>
      </c>
      <c r="AB37" s="143">
        <v>0</v>
      </c>
      <c r="AC37" s="143">
        <v>0</v>
      </c>
      <c r="AD37" s="143">
        <v>0</v>
      </c>
      <c r="AE37" s="143">
        <v>0</v>
      </c>
      <c r="AF37" s="143">
        <v>0</v>
      </c>
      <c r="AG37" s="143">
        <v>0</v>
      </c>
      <c r="AH37" s="143">
        <v>0</v>
      </c>
      <c r="AI37" s="143">
        <v>0</v>
      </c>
      <c r="AJ37" s="143">
        <v>0</v>
      </c>
      <c r="AK37" s="143">
        <v>5.1257917872175327E-3</v>
      </c>
      <c r="AL37" s="143">
        <v>4.9999999999999989E-2</v>
      </c>
      <c r="AM37" s="143">
        <v>0</v>
      </c>
      <c r="AN37" s="143">
        <v>0</v>
      </c>
      <c r="AO37" s="143">
        <v>0</v>
      </c>
      <c r="AP37" s="143">
        <v>0</v>
      </c>
      <c r="AQ37" s="143">
        <v>0</v>
      </c>
      <c r="AR37" s="143">
        <v>0</v>
      </c>
      <c r="AS37" s="143">
        <v>0</v>
      </c>
      <c r="AT37" s="143">
        <v>0</v>
      </c>
      <c r="AU37" s="143">
        <v>0</v>
      </c>
    </row>
    <row r="38" spans="1:47" customFormat="1" x14ac:dyDescent="0.15">
      <c r="A38" s="181" t="s">
        <v>229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3">
        <v>0</v>
      </c>
      <c r="H38" s="143">
        <v>0</v>
      </c>
      <c r="I38" s="143">
        <v>0</v>
      </c>
      <c r="J38" s="143">
        <v>0</v>
      </c>
      <c r="K38" s="143">
        <v>0</v>
      </c>
      <c r="L38" s="143">
        <v>0</v>
      </c>
      <c r="M38" s="143">
        <v>0</v>
      </c>
      <c r="N38" s="143">
        <v>0</v>
      </c>
      <c r="O38" s="143">
        <v>0</v>
      </c>
      <c r="P38" s="143">
        <v>0</v>
      </c>
      <c r="Q38" s="143">
        <v>0</v>
      </c>
      <c r="R38" s="143">
        <v>0</v>
      </c>
      <c r="S38" s="143">
        <v>0</v>
      </c>
      <c r="T38" s="143">
        <v>0</v>
      </c>
      <c r="U38" s="143">
        <v>0</v>
      </c>
      <c r="V38" s="143">
        <v>2.5356264495724822E-2</v>
      </c>
      <c r="W38" s="143">
        <v>0</v>
      </c>
      <c r="X38" s="143">
        <v>0</v>
      </c>
      <c r="Y38" s="143">
        <v>0</v>
      </c>
      <c r="Z38" s="143">
        <v>0</v>
      </c>
      <c r="AA38" s="143">
        <v>0</v>
      </c>
      <c r="AB38" s="143">
        <v>0</v>
      </c>
      <c r="AC38" s="143">
        <v>0</v>
      </c>
      <c r="AD38" s="143">
        <v>0</v>
      </c>
      <c r="AE38" s="143">
        <v>0</v>
      </c>
      <c r="AF38" s="143">
        <v>0</v>
      </c>
      <c r="AG38" s="143">
        <v>0</v>
      </c>
      <c r="AH38" s="143">
        <v>0</v>
      </c>
      <c r="AI38" s="143">
        <v>1.1688311534171431E-2</v>
      </c>
      <c r="AJ38" s="143">
        <v>0</v>
      </c>
      <c r="AK38" s="143">
        <v>0</v>
      </c>
      <c r="AL38" s="143">
        <v>2.9999999999999992E-2</v>
      </c>
      <c r="AM38" s="143">
        <v>0</v>
      </c>
      <c r="AN38" s="143">
        <v>0</v>
      </c>
      <c r="AO38" s="143">
        <v>0</v>
      </c>
      <c r="AP38" s="143">
        <v>0</v>
      </c>
      <c r="AQ38" s="143">
        <v>0</v>
      </c>
      <c r="AR38" s="143">
        <v>0</v>
      </c>
      <c r="AS38" s="143">
        <v>0</v>
      </c>
      <c r="AT38" s="143">
        <v>0</v>
      </c>
      <c r="AU38" s="143">
        <v>0</v>
      </c>
    </row>
    <row r="39" spans="1:47" x14ac:dyDescent="0.15">
      <c r="A39" s="181" t="s">
        <v>230</v>
      </c>
      <c r="B39" s="143">
        <v>0</v>
      </c>
      <c r="C39" s="143">
        <v>0</v>
      </c>
      <c r="D39" s="143">
        <v>0</v>
      </c>
      <c r="E39" s="143">
        <v>0</v>
      </c>
      <c r="F39" s="143">
        <v>0</v>
      </c>
      <c r="G39" s="143">
        <v>0</v>
      </c>
      <c r="H39" s="143">
        <v>0</v>
      </c>
      <c r="I39" s="143">
        <v>0</v>
      </c>
      <c r="J39" s="143">
        <v>0</v>
      </c>
      <c r="K39" s="143">
        <v>0</v>
      </c>
      <c r="L39" s="143">
        <v>0</v>
      </c>
      <c r="M39" s="143">
        <v>0</v>
      </c>
      <c r="N39" s="143">
        <v>0</v>
      </c>
      <c r="O39" s="143">
        <v>0</v>
      </c>
      <c r="P39" s="143">
        <v>0</v>
      </c>
      <c r="Q39" s="143">
        <v>0</v>
      </c>
      <c r="R39" s="143">
        <v>0</v>
      </c>
      <c r="S39" s="143">
        <v>0</v>
      </c>
      <c r="T39" s="143">
        <v>0</v>
      </c>
      <c r="U39" s="143">
        <v>0</v>
      </c>
      <c r="V39" s="143">
        <v>0</v>
      </c>
      <c r="W39" s="143">
        <v>0</v>
      </c>
      <c r="X39" s="143">
        <v>0</v>
      </c>
      <c r="Y39" s="143">
        <v>0</v>
      </c>
      <c r="Z39" s="143">
        <v>0</v>
      </c>
      <c r="AA39" s="143">
        <v>0</v>
      </c>
      <c r="AB39" s="143">
        <v>0</v>
      </c>
      <c r="AC39" s="143">
        <v>0</v>
      </c>
      <c r="AD39" s="143">
        <v>0</v>
      </c>
      <c r="AE39" s="143">
        <v>0</v>
      </c>
      <c r="AF39" s="143">
        <v>0</v>
      </c>
      <c r="AG39" s="143">
        <v>0</v>
      </c>
      <c r="AH39" s="143">
        <v>0</v>
      </c>
      <c r="AI39" s="143">
        <v>0</v>
      </c>
      <c r="AJ39" s="143">
        <v>0</v>
      </c>
      <c r="AK39" s="143">
        <v>0</v>
      </c>
      <c r="AL39" s="143">
        <v>1.4999999999999996E-2</v>
      </c>
      <c r="AM39" s="143">
        <v>0</v>
      </c>
      <c r="AN39" s="143">
        <v>0</v>
      </c>
      <c r="AO39" s="143">
        <v>0</v>
      </c>
      <c r="AP39" s="143">
        <v>0</v>
      </c>
      <c r="AQ39" s="143">
        <v>0</v>
      </c>
      <c r="AR39" s="143">
        <v>0</v>
      </c>
      <c r="AS39" s="143">
        <v>1.9997800062069172E-2</v>
      </c>
      <c r="AT39" s="143">
        <v>0</v>
      </c>
      <c r="AU39" s="143">
        <v>0</v>
      </c>
    </row>
    <row r="40" spans="1:47" x14ac:dyDescent="0.15">
      <c r="A40" s="181" t="s">
        <v>231</v>
      </c>
      <c r="B40" s="143">
        <v>0</v>
      </c>
      <c r="C40" s="143">
        <v>0</v>
      </c>
      <c r="D40" s="143">
        <v>0</v>
      </c>
      <c r="E40" s="143">
        <v>0</v>
      </c>
      <c r="F40" s="143">
        <v>0</v>
      </c>
      <c r="G40" s="143">
        <v>0</v>
      </c>
      <c r="H40" s="143">
        <v>0</v>
      </c>
      <c r="I40" s="143">
        <v>0</v>
      </c>
      <c r="J40" s="143">
        <v>0</v>
      </c>
      <c r="K40" s="143">
        <v>0</v>
      </c>
      <c r="L40" s="143">
        <v>0</v>
      </c>
      <c r="M40" s="143">
        <v>0</v>
      </c>
      <c r="N40" s="143">
        <v>0</v>
      </c>
      <c r="O40" s="143">
        <v>0</v>
      </c>
      <c r="P40" s="143">
        <v>0</v>
      </c>
      <c r="Q40" s="143">
        <v>0</v>
      </c>
      <c r="R40" s="143">
        <v>0</v>
      </c>
      <c r="S40" s="143">
        <v>0</v>
      </c>
      <c r="T40" s="143">
        <v>0</v>
      </c>
      <c r="U40" s="143">
        <v>0</v>
      </c>
      <c r="V40" s="143">
        <v>0</v>
      </c>
      <c r="W40" s="143">
        <v>0</v>
      </c>
      <c r="X40" s="143">
        <v>0</v>
      </c>
      <c r="Y40" s="143">
        <v>0</v>
      </c>
      <c r="Z40" s="143">
        <v>0</v>
      </c>
      <c r="AA40" s="143">
        <v>0</v>
      </c>
      <c r="AB40" s="143">
        <v>0</v>
      </c>
      <c r="AC40" s="143">
        <v>0</v>
      </c>
      <c r="AD40" s="143">
        <v>0</v>
      </c>
      <c r="AE40" s="143">
        <v>0</v>
      </c>
      <c r="AF40" s="143">
        <v>0</v>
      </c>
      <c r="AG40" s="143">
        <v>0</v>
      </c>
      <c r="AH40" s="143">
        <v>0</v>
      </c>
      <c r="AI40" s="143">
        <v>0</v>
      </c>
      <c r="AJ40" s="143">
        <v>0</v>
      </c>
      <c r="AK40" s="143">
        <v>0</v>
      </c>
      <c r="AL40" s="143">
        <v>0</v>
      </c>
      <c r="AM40" s="143">
        <v>4.944001062526783E-2</v>
      </c>
      <c r="AN40" s="143">
        <v>0</v>
      </c>
      <c r="AO40" s="143">
        <v>0</v>
      </c>
      <c r="AP40" s="143">
        <v>0</v>
      </c>
      <c r="AQ40" s="143">
        <v>0</v>
      </c>
      <c r="AR40" s="143">
        <v>0</v>
      </c>
      <c r="AS40" s="143">
        <v>2.9996700093103762E-2</v>
      </c>
      <c r="AT40" s="143">
        <v>0</v>
      </c>
      <c r="AU40" s="143">
        <v>0</v>
      </c>
    </row>
    <row r="41" spans="1:47" x14ac:dyDescent="0.15">
      <c r="A41" s="181" t="s">
        <v>232</v>
      </c>
      <c r="B41" s="143">
        <v>0</v>
      </c>
      <c r="C41" s="143">
        <v>0</v>
      </c>
      <c r="D41" s="143">
        <v>0</v>
      </c>
      <c r="E41" s="143">
        <v>0</v>
      </c>
      <c r="F41" s="143">
        <v>0</v>
      </c>
      <c r="G41" s="143">
        <v>0</v>
      </c>
      <c r="H41" s="143">
        <v>0</v>
      </c>
      <c r="I41" s="143">
        <v>0</v>
      </c>
      <c r="J41" s="143">
        <v>0</v>
      </c>
      <c r="K41" s="143">
        <v>0</v>
      </c>
      <c r="L41" s="143">
        <v>0</v>
      </c>
      <c r="M41" s="143">
        <v>0</v>
      </c>
      <c r="N41" s="143">
        <v>0</v>
      </c>
      <c r="O41" s="143">
        <v>0</v>
      </c>
      <c r="P41" s="143">
        <v>0</v>
      </c>
      <c r="Q41" s="143">
        <v>0</v>
      </c>
      <c r="R41" s="143">
        <v>0</v>
      </c>
      <c r="S41" s="143">
        <v>0</v>
      </c>
      <c r="T41" s="143">
        <v>0</v>
      </c>
      <c r="U41" s="143">
        <v>0</v>
      </c>
      <c r="V41" s="143">
        <v>0</v>
      </c>
      <c r="W41" s="143">
        <v>0</v>
      </c>
      <c r="X41" s="143">
        <v>0</v>
      </c>
      <c r="Y41" s="143">
        <v>0</v>
      </c>
      <c r="Z41" s="143">
        <v>0</v>
      </c>
      <c r="AA41" s="143">
        <v>0</v>
      </c>
      <c r="AB41" s="143">
        <v>0</v>
      </c>
      <c r="AC41" s="143">
        <v>0</v>
      </c>
      <c r="AD41" s="143">
        <v>0</v>
      </c>
      <c r="AE41" s="143">
        <v>0</v>
      </c>
      <c r="AF41" s="143">
        <v>0</v>
      </c>
      <c r="AG41" s="143">
        <v>0</v>
      </c>
      <c r="AH41" s="143">
        <v>0</v>
      </c>
      <c r="AI41" s="143">
        <v>0</v>
      </c>
      <c r="AJ41" s="143">
        <v>0</v>
      </c>
      <c r="AK41" s="143">
        <v>0</v>
      </c>
      <c r="AL41" s="143">
        <v>0</v>
      </c>
      <c r="AM41" s="143">
        <v>0</v>
      </c>
      <c r="AN41" s="143">
        <v>0</v>
      </c>
      <c r="AO41" s="143">
        <v>0</v>
      </c>
      <c r="AP41" s="143">
        <v>0</v>
      </c>
      <c r="AQ41" s="143">
        <v>0</v>
      </c>
      <c r="AR41" s="143">
        <v>0</v>
      </c>
      <c r="AS41" s="143">
        <v>9.9989000310345862E-3</v>
      </c>
      <c r="AT41" s="143">
        <v>0</v>
      </c>
      <c r="AU41" s="143">
        <v>0</v>
      </c>
    </row>
    <row r="42" spans="1:47" x14ac:dyDescent="0.15">
      <c r="A42" s="181" t="s">
        <v>233</v>
      </c>
      <c r="B42" s="143">
        <v>0</v>
      </c>
      <c r="C42" s="143">
        <v>0</v>
      </c>
      <c r="D42" s="143">
        <v>0</v>
      </c>
      <c r="E42" s="143">
        <v>0</v>
      </c>
      <c r="F42" s="143">
        <v>0</v>
      </c>
      <c r="G42" s="143">
        <v>0</v>
      </c>
      <c r="H42" s="143">
        <v>0</v>
      </c>
      <c r="I42" s="143">
        <v>0</v>
      </c>
      <c r="J42" s="143">
        <v>0</v>
      </c>
      <c r="K42" s="143">
        <v>0</v>
      </c>
      <c r="L42" s="143">
        <v>0</v>
      </c>
      <c r="M42" s="143">
        <v>0</v>
      </c>
      <c r="N42" s="143">
        <v>0</v>
      </c>
      <c r="O42" s="143">
        <v>0</v>
      </c>
      <c r="P42" s="143">
        <v>0</v>
      </c>
      <c r="Q42" s="143">
        <v>0</v>
      </c>
      <c r="R42" s="143">
        <v>0</v>
      </c>
      <c r="S42" s="143">
        <v>0</v>
      </c>
      <c r="T42" s="143">
        <v>0</v>
      </c>
      <c r="U42" s="143">
        <v>0</v>
      </c>
      <c r="V42" s="143">
        <v>0</v>
      </c>
      <c r="W42" s="143">
        <v>0</v>
      </c>
      <c r="X42" s="143">
        <v>0</v>
      </c>
      <c r="Y42" s="143">
        <v>0</v>
      </c>
      <c r="Z42" s="143">
        <v>0</v>
      </c>
      <c r="AA42" s="143">
        <v>0</v>
      </c>
      <c r="AB42" s="143">
        <v>0</v>
      </c>
      <c r="AC42" s="143">
        <v>0</v>
      </c>
      <c r="AD42" s="143">
        <v>0</v>
      </c>
      <c r="AE42" s="143">
        <v>0</v>
      </c>
      <c r="AF42" s="143">
        <v>0</v>
      </c>
      <c r="AG42" s="143">
        <v>0</v>
      </c>
      <c r="AH42" s="143">
        <v>0</v>
      </c>
      <c r="AI42" s="143">
        <v>0</v>
      </c>
      <c r="AJ42" s="143">
        <v>0</v>
      </c>
      <c r="AK42" s="143">
        <v>0</v>
      </c>
      <c r="AL42" s="143">
        <v>0</v>
      </c>
      <c r="AM42" s="143">
        <v>0</v>
      </c>
      <c r="AN42" s="143">
        <v>0</v>
      </c>
      <c r="AO42" s="143">
        <v>0</v>
      </c>
      <c r="AP42" s="143">
        <v>0</v>
      </c>
      <c r="AQ42" s="143">
        <v>0</v>
      </c>
      <c r="AR42" s="143">
        <v>0</v>
      </c>
      <c r="AS42" s="143">
        <v>9.9989000310345876E-6</v>
      </c>
      <c r="AT42" s="143">
        <v>0</v>
      </c>
      <c r="AU42" s="143">
        <v>0</v>
      </c>
    </row>
    <row r="43" spans="1:47" x14ac:dyDescent="0.15">
      <c r="A43" s="181" t="s">
        <v>234</v>
      </c>
      <c r="B43" s="143">
        <v>0</v>
      </c>
      <c r="C43" s="143">
        <v>0</v>
      </c>
      <c r="D43" s="143">
        <v>0</v>
      </c>
      <c r="E43" s="143">
        <v>0</v>
      </c>
      <c r="F43" s="143">
        <v>0</v>
      </c>
      <c r="G43" s="143">
        <v>0</v>
      </c>
      <c r="H43" s="143">
        <v>0</v>
      </c>
      <c r="I43" s="143">
        <v>0</v>
      </c>
      <c r="J43" s="143">
        <v>0</v>
      </c>
      <c r="K43" s="143">
        <v>0</v>
      </c>
      <c r="L43" s="143">
        <v>0</v>
      </c>
      <c r="M43" s="143">
        <v>0</v>
      </c>
      <c r="N43" s="143">
        <v>0</v>
      </c>
      <c r="O43" s="143">
        <v>0</v>
      </c>
      <c r="P43" s="143">
        <v>0</v>
      </c>
      <c r="Q43" s="143">
        <v>0</v>
      </c>
      <c r="R43" s="143">
        <v>0</v>
      </c>
      <c r="S43" s="143">
        <v>0</v>
      </c>
      <c r="T43" s="143">
        <v>0</v>
      </c>
      <c r="U43" s="143">
        <v>0</v>
      </c>
      <c r="V43" s="143">
        <v>0</v>
      </c>
      <c r="W43" s="143">
        <v>0</v>
      </c>
      <c r="X43" s="143">
        <v>0</v>
      </c>
      <c r="Y43" s="143">
        <v>0</v>
      </c>
      <c r="Z43" s="143">
        <v>0</v>
      </c>
      <c r="AA43" s="143">
        <v>0</v>
      </c>
      <c r="AB43" s="143">
        <v>0</v>
      </c>
      <c r="AC43" s="143">
        <v>0</v>
      </c>
      <c r="AD43" s="143">
        <v>0</v>
      </c>
      <c r="AE43" s="143">
        <v>0</v>
      </c>
      <c r="AF43" s="143">
        <v>0</v>
      </c>
      <c r="AG43" s="143">
        <v>0</v>
      </c>
      <c r="AH43" s="143">
        <v>0</v>
      </c>
      <c r="AI43" s="143">
        <v>0</v>
      </c>
      <c r="AJ43" s="143">
        <v>0</v>
      </c>
      <c r="AK43" s="143">
        <v>0</v>
      </c>
      <c r="AL43" s="143">
        <v>0</v>
      </c>
      <c r="AM43" s="143">
        <v>1.1497676445411118E-4</v>
      </c>
      <c r="AN43" s="143">
        <v>0</v>
      </c>
      <c r="AO43" s="143">
        <v>0</v>
      </c>
      <c r="AP43" s="143">
        <v>0</v>
      </c>
      <c r="AQ43" s="143">
        <v>0</v>
      </c>
      <c r="AR43" s="143">
        <v>0</v>
      </c>
      <c r="AS43" s="143">
        <v>9.9988996510345858E-5</v>
      </c>
      <c r="AT43" s="143">
        <v>0</v>
      </c>
      <c r="AU43" s="143">
        <v>0</v>
      </c>
    </row>
    <row r="44" spans="1:47" x14ac:dyDescent="0.15">
      <c r="A44" s="181" t="s">
        <v>235</v>
      </c>
      <c r="B44" s="143">
        <v>0</v>
      </c>
      <c r="C44" s="143">
        <v>0</v>
      </c>
      <c r="D44" s="143">
        <v>0</v>
      </c>
      <c r="E44" s="143">
        <v>0</v>
      </c>
      <c r="F44" s="143">
        <v>0</v>
      </c>
      <c r="G44" s="143">
        <v>0</v>
      </c>
      <c r="H44" s="143">
        <v>0</v>
      </c>
      <c r="I44" s="143">
        <v>0</v>
      </c>
      <c r="J44" s="143">
        <v>0</v>
      </c>
      <c r="K44" s="143">
        <v>0</v>
      </c>
      <c r="L44" s="143">
        <v>0</v>
      </c>
      <c r="M44" s="143">
        <v>0</v>
      </c>
      <c r="N44" s="143">
        <v>0</v>
      </c>
      <c r="O44" s="143">
        <v>0</v>
      </c>
      <c r="P44" s="143">
        <v>0</v>
      </c>
      <c r="Q44" s="143">
        <v>0</v>
      </c>
      <c r="R44" s="143">
        <v>0</v>
      </c>
      <c r="S44" s="143">
        <v>0</v>
      </c>
      <c r="T44" s="143">
        <v>0</v>
      </c>
      <c r="U44" s="143">
        <v>0</v>
      </c>
      <c r="V44" s="143">
        <v>0</v>
      </c>
      <c r="W44" s="143">
        <v>0</v>
      </c>
      <c r="X44" s="143">
        <v>0</v>
      </c>
      <c r="Y44" s="143">
        <v>0</v>
      </c>
      <c r="Z44" s="143">
        <v>0</v>
      </c>
      <c r="AA44" s="143">
        <v>0</v>
      </c>
      <c r="AB44" s="143">
        <v>0</v>
      </c>
      <c r="AC44" s="143">
        <v>0</v>
      </c>
      <c r="AD44" s="143">
        <v>0</v>
      </c>
      <c r="AE44" s="143">
        <v>0</v>
      </c>
      <c r="AF44" s="143">
        <v>0</v>
      </c>
      <c r="AG44" s="143">
        <v>0</v>
      </c>
      <c r="AH44" s="143">
        <v>0</v>
      </c>
      <c r="AI44" s="143">
        <v>0</v>
      </c>
      <c r="AJ44" s="143">
        <v>0</v>
      </c>
      <c r="AK44" s="143">
        <v>0</v>
      </c>
      <c r="AL44" s="143">
        <v>0</v>
      </c>
      <c r="AM44" s="143">
        <v>0</v>
      </c>
      <c r="AN44" s="143">
        <v>0</v>
      </c>
      <c r="AO44" s="143">
        <v>0</v>
      </c>
      <c r="AP44" s="143">
        <v>0</v>
      </c>
      <c r="AQ44" s="143">
        <v>0</v>
      </c>
      <c r="AR44" s="143">
        <v>0</v>
      </c>
      <c r="AS44" s="143">
        <v>9.998900031034587E-4</v>
      </c>
      <c r="AT44" s="143">
        <v>0</v>
      </c>
      <c r="AU44" s="143">
        <v>0</v>
      </c>
    </row>
    <row r="45" spans="1:47" x14ac:dyDescent="0.15">
      <c r="A45" s="181" t="s">
        <v>236</v>
      </c>
      <c r="B45" s="143">
        <v>0</v>
      </c>
      <c r="C45" s="143">
        <v>0</v>
      </c>
      <c r="D45" s="143">
        <v>0</v>
      </c>
      <c r="E45" s="143">
        <v>0</v>
      </c>
      <c r="F45" s="143">
        <v>0</v>
      </c>
      <c r="G45" s="143">
        <v>0</v>
      </c>
      <c r="H45" s="143">
        <v>0</v>
      </c>
      <c r="I45" s="143">
        <v>0</v>
      </c>
      <c r="J45" s="143">
        <v>0</v>
      </c>
      <c r="K45" s="143">
        <v>0</v>
      </c>
      <c r="L45" s="143">
        <v>0</v>
      </c>
      <c r="M45" s="143">
        <v>0</v>
      </c>
      <c r="N45" s="143">
        <v>0</v>
      </c>
      <c r="O45" s="143">
        <v>0</v>
      </c>
      <c r="P45" s="143">
        <v>0</v>
      </c>
      <c r="Q45" s="143">
        <v>0</v>
      </c>
      <c r="R45" s="143">
        <v>0</v>
      </c>
      <c r="S45" s="143">
        <v>0</v>
      </c>
      <c r="T45" s="143">
        <v>0</v>
      </c>
      <c r="U45" s="143">
        <v>0</v>
      </c>
      <c r="V45" s="143">
        <v>0</v>
      </c>
      <c r="W45" s="143">
        <v>0</v>
      </c>
      <c r="X45" s="143">
        <v>0</v>
      </c>
      <c r="Y45" s="143">
        <v>0</v>
      </c>
      <c r="Z45" s="143">
        <v>0</v>
      </c>
      <c r="AA45" s="143">
        <v>0</v>
      </c>
      <c r="AB45" s="143">
        <v>0</v>
      </c>
      <c r="AC45" s="143">
        <v>0</v>
      </c>
      <c r="AD45" s="143">
        <v>0</v>
      </c>
      <c r="AE45" s="143">
        <v>0</v>
      </c>
      <c r="AF45" s="143">
        <v>0</v>
      </c>
      <c r="AG45" s="143">
        <v>0</v>
      </c>
      <c r="AH45" s="143">
        <v>0</v>
      </c>
      <c r="AI45" s="143">
        <v>0</v>
      </c>
      <c r="AJ45" s="143">
        <v>0</v>
      </c>
      <c r="AK45" s="143">
        <v>0</v>
      </c>
      <c r="AL45" s="143">
        <v>0</v>
      </c>
      <c r="AM45" s="143">
        <v>1.1497677945411138E-3</v>
      </c>
      <c r="AN45" s="143">
        <v>0</v>
      </c>
      <c r="AO45" s="143">
        <v>0</v>
      </c>
      <c r="AP45" s="143">
        <v>0</v>
      </c>
      <c r="AQ45" s="143">
        <v>0</v>
      </c>
      <c r="AR45" s="143">
        <v>0</v>
      </c>
      <c r="AS45" s="143">
        <v>0</v>
      </c>
      <c r="AT45" s="143">
        <v>0</v>
      </c>
      <c r="AU45" s="143">
        <v>0</v>
      </c>
    </row>
    <row r="46" spans="1:47" x14ac:dyDescent="0.15">
      <c r="A46" s="181" t="s">
        <v>237</v>
      </c>
      <c r="B46" s="143">
        <v>0</v>
      </c>
      <c r="C46" s="143">
        <v>0</v>
      </c>
      <c r="D46" s="143">
        <v>0.1</v>
      </c>
      <c r="E46" s="143">
        <v>0.15</v>
      </c>
      <c r="F46" s="143">
        <v>0.125</v>
      </c>
      <c r="G46" s="143">
        <v>0.10159504364848115</v>
      </c>
      <c r="H46" s="143">
        <v>0.79</v>
      </c>
      <c r="I46" s="143">
        <v>0.85</v>
      </c>
      <c r="J46" s="143">
        <v>0.8</v>
      </c>
      <c r="K46" s="143">
        <v>0.81100000000000005</v>
      </c>
      <c r="L46" s="143">
        <v>9.8493342303759279E-3</v>
      </c>
      <c r="M46" s="143">
        <v>9.4166084553836737E-2</v>
      </c>
      <c r="N46" s="143">
        <v>0</v>
      </c>
      <c r="O46" s="143">
        <v>0</v>
      </c>
      <c r="P46" s="143">
        <v>0</v>
      </c>
      <c r="Q46" s="143">
        <v>0</v>
      </c>
      <c r="R46" s="143">
        <v>0.04</v>
      </c>
      <c r="S46" s="143">
        <v>0</v>
      </c>
      <c r="T46" s="143">
        <v>0</v>
      </c>
      <c r="U46" s="143">
        <v>0</v>
      </c>
      <c r="V46" s="143">
        <v>0</v>
      </c>
      <c r="W46" s="143">
        <v>0</v>
      </c>
      <c r="X46" s="143">
        <v>0</v>
      </c>
      <c r="Y46" s="143">
        <v>0</v>
      </c>
      <c r="Z46" s="143">
        <v>0</v>
      </c>
      <c r="AA46" s="143">
        <v>0</v>
      </c>
      <c r="AB46" s="143">
        <v>0</v>
      </c>
      <c r="AC46" s="143">
        <v>0</v>
      </c>
      <c r="AD46" s="143">
        <v>0</v>
      </c>
      <c r="AE46" s="143">
        <v>0</v>
      </c>
      <c r="AF46" s="143">
        <v>0</v>
      </c>
      <c r="AG46" s="143">
        <v>0</v>
      </c>
      <c r="AH46" s="143">
        <v>0</v>
      </c>
      <c r="AI46" s="143">
        <v>0</v>
      </c>
      <c r="AJ46" s="143">
        <v>0</v>
      </c>
      <c r="AK46" s="143">
        <v>0</v>
      </c>
      <c r="AL46" s="143">
        <v>0</v>
      </c>
      <c r="AM46" s="143">
        <v>0</v>
      </c>
      <c r="AN46" s="143">
        <v>0</v>
      </c>
      <c r="AO46" s="143">
        <v>0</v>
      </c>
      <c r="AP46" s="143">
        <v>0</v>
      </c>
      <c r="AQ46" s="143">
        <v>0</v>
      </c>
      <c r="AR46" s="143">
        <v>0</v>
      </c>
      <c r="AS46" s="143">
        <v>0</v>
      </c>
      <c r="AT46" s="143">
        <v>0</v>
      </c>
      <c r="AU46" s="143">
        <v>0</v>
      </c>
    </row>
    <row r="47" spans="1:47" x14ac:dyDescent="0.15">
      <c r="A47" s="181" t="s">
        <v>238</v>
      </c>
      <c r="B47" s="143">
        <v>0</v>
      </c>
      <c r="C47" s="143">
        <v>0</v>
      </c>
      <c r="D47" s="143">
        <v>0</v>
      </c>
      <c r="E47" s="143">
        <v>0</v>
      </c>
      <c r="F47" s="143">
        <v>0</v>
      </c>
      <c r="G47" s="143">
        <v>0</v>
      </c>
      <c r="H47" s="143">
        <v>0</v>
      </c>
      <c r="I47" s="143">
        <v>0</v>
      </c>
      <c r="J47" s="143">
        <v>0</v>
      </c>
      <c r="K47" s="143">
        <v>0</v>
      </c>
      <c r="L47" s="143">
        <v>0</v>
      </c>
      <c r="M47" s="143">
        <v>0</v>
      </c>
      <c r="N47" s="143">
        <v>0</v>
      </c>
      <c r="O47" s="143">
        <v>0</v>
      </c>
      <c r="P47" s="143">
        <v>0</v>
      </c>
      <c r="Q47" s="143">
        <v>0</v>
      </c>
      <c r="R47" s="143">
        <v>0</v>
      </c>
      <c r="S47" s="143">
        <v>0</v>
      </c>
      <c r="T47" s="143">
        <v>0</v>
      </c>
      <c r="U47" s="143">
        <v>0</v>
      </c>
      <c r="V47" s="143">
        <v>0</v>
      </c>
      <c r="W47" s="143">
        <v>0</v>
      </c>
      <c r="X47" s="143">
        <v>0</v>
      </c>
      <c r="Y47" s="143">
        <v>0</v>
      </c>
      <c r="Z47" s="143">
        <v>0</v>
      </c>
      <c r="AA47" s="143">
        <v>0</v>
      </c>
      <c r="AB47" s="143">
        <v>0</v>
      </c>
      <c r="AC47" s="143">
        <v>0</v>
      </c>
      <c r="AD47" s="143">
        <v>0</v>
      </c>
      <c r="AE47" s="143">
        <v>0</v>
      </c>
      <c r="AF47" s="143">
        <v>0</v>
      </c>
      <c r="AG47" s="143">
        <v>0</v>
      </c>
      <c r="AH47" s="143">
        <v>0</v>
      </c>
      <c r="AI47" s="143">
        <v>0</v>
      </c>
      <c r="AJ47" s="143">
        <v>0</v>
      </c>
      <c r="AK47" s="143">
        <v>0</v>
      </c>
      <c r="AL47" s="143">
        <v>0</v>
      </c>
      <c r="AM47" s="143">
        <v>0</v>
      </c>
      <c r="AN47" s="143">
        <v>0</v>
      </c>
      <c r="AO47" s="143">
        <v>0</v>
      </c>
      <c r="AP47" s="143">
        <v>0</v>
      </c>
      <c r="AQ47" s="143">
        <v>0</v>
      </c>
      <c r="AR47" s="143">
        <v>0</v>
      </c>
      <c r="AS47" s="143">
        <v>0</v>
      </c>
      <c r="AT47" s="143">
        <v>0</v>
      </c>
      <c r="AU47" s="143">
        <v>0</v>
      </c>
    </row>
    <row r="48" spans="1:47" x14ac:dyDescent="0.15">
      <c r="A48" s="181" t="s">
        <v>250</v>
      </c>
      <c r="B48" s="143">
        <v>0</v>
      </c>
      <c r="C48" s="143">
        <v>0</v>
      </c>
      <c r="D48" s="143">
        <v>0</v>
      </c>
      <c r="E48" s="143">
        <v>0</v>
      </c>
      <c r="F48" s="143">
        <v>0</v>
      </c>
      <c r="G48" s="143">
        <v>0</v>
      </c>
      <c r="H48" s="143">
        <v>0</v>
      </c>
      <c r="I48" s="143">
        <v>0</v>
      </c>
      <c r="J48" s="143">
        <v>0</v>
      </c>
      <c r="K48" s="143">
        <v>0</v>
      </c>
      <c r="L48" s="143">
        <v>0</v>
      </c>
      <c r="M48" s="143">
        <v>0</v>
      </c>
      <c r="N48" s="143">
        <v>0</v>
      </c>
      <c r="O48" s="143">
        <v>0</v>
      </c>
      <c r="P48" s="143">
        <v>0</v>
      </c>
      <c r="Q48" s="143">
        <v>0</v>
      </c>
      <c r="R48" s="143">
        <v>0</v>
      </c>
      <c r="S48" s="143">
        <v>0</v>
      </c>
      <c r="T48" s="143">
        <v>0</v>
      </c>
      <c r="U48" s="143">
        <v>0</v>
      </c>
      <c r="V48" s="143">
        <v>0</v>
      </c>
      <c r="W48" s="143">
        <v>0</v>
      </c>
      <c r="X48" s="143">
        <v>0</v>
      </c>
      <c r="Y48" s="143">
        <v>0</v>
      </c>
      <c r="Z48" s="143">
        <v>0</v>
      </c>
      <c r="AA48" s="143">
        <v>0</v>
      </c>
      <c r="AB48" s="143">
        <v>0</v>
      </c>
      <c r="AC48" s="143">
        <v>0</v>
      </c>
      <c r="AD48" s="143">
        <v>0</v>
      </c>
      <c r="AE48" s="143">
        <v>0</v>
      </c>
      <c r="AF48" s="143">
        <v>0</v>
      </c>
      <c r="AG48" s="143">
        <v>0</v>
      </c>
      <c r="AH48" s="143">
        <v>0</v>
      </c>
      <c r="AI48" s="143">
        <v>0</v>
      </c>
      <c r="AJ48" s="143">
        <v>0</v>
      </c>
      <c r="AK48" s="143">
        <v>0</v>
      </c>
      <c r="AL48" s="143">
        <v>0</v>
      </c>
      <c r="AM48" s="143">
        <v>0</v>
      </c>
      <c r="AN48" s="143">
        <v>0</v>
      </c>
      <c r="AO48" s="143">
        <v>0</v>
      </c>
      <c r="AP48" s="143">
        <v>0</v>
      </c>
      <c r="AQ48" s="143">
        <v>0</v>
      </c>
      <c r="AR48" s="143">
        <v>0</v>
      </c>
      <c r="AS48" s="143">
        <v>0</v>
      </c>
      <c r="AT48" s="143">
        <v>0</v>
      </c>
      <c r="AU48" s="14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G59" sqref="G59"/>
    </sheetView>
  </sheetViews>
  <sheetFormatPr baseColWidth="10" defaultColWidth="8.83203125" defaultRowHeight="13" x14ac:dyDescent="0.15"/>
  <cols>
    <col min="1" max="1" width="3.33203125" customWidth="1"/>
    <col min="2" max="2" width="27.5" customWidth="1"/>
    <col min="3" max="4" width="14.83203125" style="114" customWidth="1"/>
    <col min="5" max="6" width="14.83203125" style="113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4" t="s">
        <v>237</v>
      </c>
      <c r="D1" s="184" t="s">
        <v>238</v>
      </c>
      <c r="E1" s="184" t="s">
        <v>251</v>
      </c>
      <c r="F1" s="184" t="s">
        <v>252</v>
      </c>
      <c r="G1"/>
      <c r="H1"/>
    </row>
    <row r="2" spans="1:8" x14ac:dyDescent="0.15">
      <c r="A2">
        <v>1</v>
      </c>
      <c r="B2" s="183" t="s">
        <v>193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3" t="s">
        <v>194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3" t="s">
        <v>195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3" t="s">
        <v>196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3" t="s">
        <v>197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3" t="s">
        <v>198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3" t="s">
        <v>199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3" t="s">
        <v>200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3" t="s">
        <v>201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3" t="s">
        <v>202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3" t="s">
        <v>203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3" t="s">
        <v>204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3" t="s">
        <v>205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3" t="s">
        <v>206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3" t="s">
        <v>207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3" t="s">
        <v>208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3" t="s">
        <v>209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3" t="s">
        <v>210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3" t="s">
        <v>211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3" t="s">
        <v>212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3" t="s">
        <v>213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3" t="s">
        <v>214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3" t="s">
        <v>215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3" t="s">
        <v>216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3" t="s">
        <v>217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3" t="s">
        <v>218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3" t="s">
        <v>219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3" t="s">
        <v>220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3" t="s">
        <v>221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3" t="s">
        <v>222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3" t="s">
        <v>223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3" t="s">
        <v>224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3" t="s">
        <v>225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3" t="s">
        <v>226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3" t="s">
        <v>227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3" t="s">
        <v>228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3" t="s">
        <v>229</v>
      </c>
      <c r="C38" s="114">
        <v>1</v>
      </c>
      <c r="D38" s="114">
        <v>0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3" t="s">
        <v>230</v>
      </c>
      <c r="C39" s="114">
        <v>1</v>
      </c>
      <c r="D39" s="114">
        <v>0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3" t="s">
        <v>231</v>
      </c>
      <c r="C40" s="114">
        <v>1</v>
      </c>
      <c r="D40" s="114">
        <v>0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3" t="s">
        <v>232</v>
      </c>
      <c r="C41" s="114">
        <v>1</v>
      </c>
      <c r="D41" s="114">
        <v>0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3" t="s">
        <v>233</v>
      </c>
      <c r="C42" s="114">
        <v>1</v>
      </c>
      <c r="D42" s="114">
        <v>0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3" t="s">
        <v>234</v>
      </c>
      <c r="C43" s="114">
        <v>1</v>
      </c>
      <c r="D43" s="114">
        <v>0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3" t="s">
        <v>235</v>
      </c>
      <c r="C44" s="114">
        <v>1</v>
      </c>
      <c r="D44" s="114">
        <v>0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3" t="s">
        <v>236</v>
      </c>
      <c r="C45" s="114">
        <v>1</v>
      </c>
      <c r="D45" s="114">
        <v>0</v>
      </c>
      <c r="E45" s="113">
        <v>0</v>
      </c>
      <c r="F45" s="113">
        <v>1</v>
      </c>
      <c r="G45"/>
      <c r="H45"/>
    </row>
    <row r="46" spans="1:8" ht="15" customHeight="1" x14ac:dyDescent="0.15">
      <c r="A46">
        <v>45</v>
      </c>
      <c r="B46" s="183" t="s">
        <v>237</v>
      </c>
      <c r="C46" s="114">
        <v>0</v>
      </c>
      <c r="D46" s="114">
        <v>1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3" t="s">
        <v>238</v>
      </c>
      <c r="C47" s="114">
        <v>0</v>
      </c>
      <c r="D47" s="114">
        <v>0</v>
      </c>
      <c r="E47" s="113">
        <v>1</v>
      </c>
      <c r="F47" s="113">
        <v>1</v>
      </c>
      <c r="G47"/>
      <c r="H47"/>
    </row>
    <row r="48" spans="1:8" ht="15" customHeight="1" x14ac:dyDescent="0.15">
      <c r="A48">
        <v>47</v>
      </c>
      <c r="B48" s="183" t="s">
        <v>239</v>
      </c>
      <c r="C48" s="114">
        <v>0</v>
      </c>
      <c r="D48" s="114">
        <v>1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3" t="s">
        <v>240</v>
      </c>
      <c r="C49" s="114">
        <v>0</v>
      </c>
      <c r="D49" s="114">
        <v>1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3" t="s">
        <v>241</v>
      </c>
      <c r="C50" s="114">
        <v>0</v>
      </c>
      <c r="D50" s="114">
        <v>1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3" t="s">
        <v>242</v>
      </c>
      <c r="C51" s="114">
        <v>0</v>
      </c>
      <c r="D51" s="114">
        <v>1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3" t="s">
        <v>243</v>
      </c>
      <c r="C52" s="114">
        <v>0</v>
      </c>
      <c r="D52" s="114">
        <v>1</v>
      </c>
      <c r="E52" s="113">
        <v>0</v>
      </c>
      <c r="F52" s="113">
        <v>1</v>
      </c>
      <c r="G52"/>
      <c r="H52"/>
    </row>
    <row r="53" spans="1:8" ht="15" customHeight="1" x14ac:dyDescent="0.15">
      <c r="A53">
        <v>52</v>
      </c>
      <c r="B53" s="183" t="s">
        <v>244</v>
      </c>
      <c r="C53" s="114">
        <v>0</v>
      </c>
      <c r="D53" s="114">
        <v>1</v>
      </c>
      <c r="E53" s="113">
        <v>0</v>
      </c>
      <c r="F53" s="113">
        <v>1</v>
      </c>
      <c r="G53"/>
      <c r="H53"/>
    </row>
    <row r="54" spans="1:8" ht="15" customHeight="1" x14ac:dyDescent="0.15">
      <c r="A54">
        <v>53</v>
      </c>
      <c r="B54" s="183" t="s">
        <v>245</v>
      </c>
      <c r="C54" s="114">
        <v>0</v>
      </c>
      <c r="D54" s="114">
        <v>1</v>
      </c>
      <c r="E54" s="113">
        <v>0</v>
      </c>
      <c r="F54" s="113">
        <v>1</v>
      </c>
      <c r="G54"/>
      <c r="H54"/>
    </row>
    <row r="55" spans="1:8" ht="15" customHeight="1" x14ac:dyDescent="0.15">
      <c r="A55">
        <v>54</v>
      </c>
      <c r="B55" s="183" t="s">
        <v>246</v>
      </c>
      <c r="C55" s="114">
        <v>0</v>
      </c>
      <c r="D55" s="114">
        <v>1</v>
      </c>
      <c r="E55" s="113">
        <v>0</v>
      </c>
      <c r="F55" s="113">
        <v>1</v>
      </c>
      <c r="G55"/>
      <c r="H55"/>
    </row>
    <row r="56" spans="1:8" ht="15" customHeight="1" x14ac:dyDescent="0.15">
      <c r="A56">
        <v>55</v>
      </c>
      <c r="B56" s="183" t="s">
        <v>247</v>
      </c>
      <c r="C56" s="114">
        <v>0</v>
      </c>
      <c r="D56" s="114">
        <v>1</v>
      </c>
      <c r="E56" s="113">
        <v>0</v>
      </c>
      <c r="F56" s="113">
        <v>1</v>
      </c>
      <c r="G56"/>
      <c r="H56"/>
    </row>
    <row r="57" spans="1:8" ht="15" customHeight="1" x14ac:dyDescent="0.15">
      <c r="A57">
        <v>56</v>
      </c>
      <c r="B57" s="183" t="s">
        <v>248</v>
      </c>
      <c r="C57" s="114">
        <v>0</v>
      </c>
      <c r="D57" s="114">
        <v>1</v>
      </c>
      <c r="E57" s="113">
        <v>0</v>
      </c>
      <c r="F57" s="113">
        <v>1</v>
      </c>
      <c r="G57"/>
      <c r="H57"/>
    </row>
    <row r="58" spans="1:8" ht="15" customHeight="1" x14ac:dyDescent="0.15">
      <c r="A58">
        <v>57</v>
      </c>
      <c r="B58" s="183" t="s">
        <v>249</v>
      </c>
      <c r="C58" s="114">
        <v>0</v>
      </c>
      <c r="D58" s="114">
        <v>1</v>
      </c>
      <c r="E58" s="113">
        <v>0</v>
      </c>
      <c r="F58" s="113">
        <v>1</v>
      </c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N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4" width="14.83203125" bestFit="1" customWidth="1"/>
    <col min="5" max="5" width="14.5" bestFit="1" customWidth="1"/>
    <col min="6" max="9" width="14.83203125" customWidth="1"/>
    <col min="10" max="11" width="11.5" customWidth="1"/>
    <col min="12" max="12" width="8.5" customWidth="1"/>
    <col min="13" max="13" width="10.5" customWidth="1"/>
    <col min="14" max="14" width="15.83203125" customWidth="1"/>
  </cols>
  <sheetData>
    <row r="1" spans="1:14" s="115" customFormat="1" ht="112" x14ac:dyDescent="0.15">
      <c r="A1" s="5" t="s">
        <v>21</v>
      </c>
      <c r="B1" s="3" t="s">
        <v>0</v>
      </c>
      <c r="C1" s="186" t="s">
        <v>239</v>
      </c>
      <c r="D1" s="186" t="s">
        <v>240</v>
      </c>
      <c r="E1" s="186" t="s">
        <v>241</v>
      </c>
      <c r="F1" s="186" t="s">
        <v>242</v>
      </c>
      <c r="G1" s="186" t="s">
        <v>243</v>
      </c>
      <c r="H1" s="186" t="s">
        <v>244</v>
      </c>
      <c r="I1" s="186" t="s">
        <v>245</v>
      </c>
      <c r="J1" s="186" t="s">
        <v>246</v>
      </c>
      <c r="K1" s="186" t="s">
        <v>247</v>
      </c>
      <c r="L1" s="186" t="s">
        <v>248</v>
      </c>
      <c r="M1" s="186" t="s">
        <v>249</v>
      </c>
      <c r="N1" s="186" t="s">
        <v>253</v>
      </c>
    </row>
    <row r="2" spans="1:14" ht="15" customHeight="1" x14ac:dyDescent="0.15">
      <c r="A2">
        <v>1</v>
      </c>
      <c r="B2" s="185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ht="15" customHeight="1" x14ac:dyDescent="0.15">
      <c r="A3">
        <v>2</v>
      </c>
      <c r="B3" s="185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4.6360100000000002E-7</v>
      </c>
      <c r="I3">
        <v>0</v>
      </c>
      <c r="J3">
        <v>0</v>
      </c>
      <c r="K3">
        <v>0</v>
      </c>
      <c r="L3">
        <v>0</v>
      </c>
      <c r="M3">
        <v>0</v>
      </c>
      <c r="N3">
        <v>4.6360100000000002E-7</v>
      </c>
    </row>
    <row r="4" spans="1:14" ht="15" customHeight="1" x14ac:dyDescent="0.15">
      <c r="A4">
        <v>3</v>
      </c>
      <c r="B4" s="185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ht="15" customHeight="1" x14ac:dyDescent="0.15">
      <c r="A5">
        <v>4</v>
      </c>
      <c r="B5" s="18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ht="15" customHeight="1" x14ac:dyDescent="0.15">
      <c r="A6">
        <v>5</v>
      </c>
      <c r="B6" s="185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5.3430000000000003E-8</v>
      </c>
      <c r="I6">
        <v>0</v>
      </c>
      <c r="J6">
        <v>0</v>
      </c>
      <c r="K6">
        <v>0</v>
      </c>
      <c r="L6">
        <v>2.2999999999999998E-13</v>
      </c>
      <c r="M6">
        <v>0</v>
      </c>
      <c r="N6">
        <v>5.3430230000000003E-8</v>
      </c>
    </row>
    <row r="7" spans="1:14" ht="15" customHeight="1" x14ac:dyDescent="0.15">
      <c r="A7">
        <v>6</v>
      </c>
      <c r="B7" s="185" t="s">
        <v>198</v>
      </c>
      <c r="C7">
        <v>1.669844E-6</v>
      </c>
      <c r="D7">
        <v>0</v>
      </c>
      <c r="E7">
        <v>0</v>
      </c>
      <c r="F7">
        <v>0</v>
      </c>
      <c r="G7">
        <v>2.76266037E-5</v>
      </c>
      <c r="H7">
        <v>2.81326444E-4</v>
      </c>
      <c r="I7">
        <v>3.1836706299999997E-4</v>
      </c>
      <c r="J7">
        <v>0</v>
      </c>
      <c r="K7">
        <v>0</v>
      </c>
      <c r="L7">
        <v>2.0000000000000001E-13</v>
      </c>
      <c r="M7">
        <v>0</v>
      </c>
      <c r="N7">
        <v>6.2898995489999994E-4</v>
      </c>
    </row>
    <row r="8" spans="1:14" ht="15" customHeight="1" x14ac:dyDescent="0.15">
      <c r="A8">
        <v>7</v>
      </c>
      <c r="B8" s="185" t="s">
        <v>199</v>
      </c>
      <c r="C8">
        <v>1.02313579E-5</v>
      </c>
      <c r="D8">
        <v>0</v>
      </c>
      <c r="E8">
        <v>0</v>
      </c>
      <c r="F8">
        <v>0</v>
      </c>
      <c r="G8">
        <v>0</v>
      </c>
      <c r="H8">
        <v>2.0517905799999999E-5</v>
      </c>
      <c r="I8">
        <v>0</v>
      </c>
      <c r="J8">
        <v>0</v>
      </c>
      <c r="K8">
        <v>0</v>
      </c>
      <c r="L8">
        <v>0</v>
      </c>
      <c r="M8">
        <v>0</v>
      </c>
      <c r="N8">
        <v>3.0749263700000001E-5</v>
      </c>
    </row>
    <row r="9" spans="1:14" ht="15" customHeight="1" x14ac:dyDescent="0.15">
      <c r="A9">
        <v>8</v>
      </c>
      <c r="B9" s="185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ht="15" customHeight="1" x14ac:dyDescent="0.15">
      <c r="A10">
        <v>9</v>
      </c>
      <c r="B10" s="185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ht="15" customHeight="1" x14ac:dyDescent="0.15">
      <c r="A11">
        <v>10</v>
      </c>
      <c r="B11" s="185" t="s">
        <v>202</v>
      </c>
      <c r="C11">
        <v>3.91802E-7</v>
      </c>
      <c r="D11">
        <v>0</v>
      </c>
      <c r="E11">
        <v>0</v>
      </c>
      <c r="F11">
        <v>0</v>
      </c>
      <c r="G11">
        <v>0</v>
      </c>
      <c r="H11">
        <v>8.0655819999999996E-5</v>
      </c>
      <c r="I11">
        <v>0</v>
      </c>
      <c r="J11">
        <v>0</v>
      </c>
      <c r="K11">
        <v>0</v>
      </c>
      <c r="L11">
        <v>0</v>
      </c>
      <c r="M11">
        <v>0</v>
      </c>
      <c r="N11">
        <v>8.1047621999999993E-5</v>
      </c>
    </row>
    <row r="12" spans="1:14" ht="15" customHeight="1" x14ac:dyDescent="0.15">
      <c r="A12">
        <v>11</v>
      </c>
      <c r="B12" s="185" t="s">
        <v>203</v>
      </c>
      <c r="C12">
        <v>5.0596310000000003E-5</v>
      </c>
      <c r="D12">
        <v>0</v>
      </c>
      <c r="E12">
        <v>2.7139118200000002E-5</v>
      </c>
      <c r="F12">
        <v>0</v>
      </c>
      <c r="G12">
        <v>2.2324264099999999E-5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1.0005969230000001E-4</v>
      </c>
    </row>
    <row r="13" spans="1:14" ht="15" customHeight="1" x14ac:dyDescent="0.15">
      <c r="A13">
        <v>12</v>
      </c>
      <c r="B13" s="185" t="s">
        <v>204</v>
      </c>
      <c r="C13">
        <v>1.5690317399999999E-4</v>
      </c>
      <c r="D13">
        <v>0</v>
      </c>
      <c r="E13">
        <v>0</v>
      </c>
      <c r="F13">
        <v>0</v>
      </c>
      <c r="G13">
        <v>9.4691330000000001E-5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2.51594504E-4</v>
      </c>
    </row>
    <row r="14" spans="1:14" ht="15" customHeight="1" x14ac:dyDescent="0.15">
      <c r="A14">
        <v>13</v>
      </c>
      <c r="B14" s="185" t="s">
        <v>205</v>
      </c>
      <c r="C14">
        <v>2.0856312799999999E-4</v>
      </c>
      <c r="D14">
        <v>0</v>
      </c>
      <c r="E14">
        <v>0</v>
      </c>
      <c r="F14">
        <v>0</v>
      </c>
      <c r="G14">
        <v>2.8063432499999999E-4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4.8919745299999995E-4</v>
      </c>
    </row>
    <row r="15" spans="1:14" ht="15" customHeight="1" x14ac:dyDescent="0.15">
      <c r="A15">
        <v>14</v>
      </c>
      <c r="B15" s="185" t="s">
        <v>206</v>
      </c>
      <c r="C15">
        <v>7.1563809999999995E-5</v>
      </c>
      <c r="D15">
        <v>3.0527904199999998E-4</v>
      </c>
      <c r="E15">
        <v>2.7565136599999999E-3</v>
      </c>
      <c r="F15">
        <v>0</v>
      </c>
      <c r="G15">
        <v>8.3973879999999998E-5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3.2173303920000002E-3</v>
      </c>
    </row>
    <row r="16" spans="1:14" ht="15" customHeight="1" x14ac:dyDescent="0.15">
      <c r="A16">
        <v>15</v>
      </c>
      <c r="B16" s="185" t="s">
        <v>207</v>
      </c>
      <c r="C16">
        <v>7.5181310000000005E-5</v>
      </c>
      <c r="D16">
        <v>0</v>
      </c>
      <c r="E16">
        <v>0</v>
      </c>
      <c r="F16">
        <v>0</v>
      </c>
      <c r="G16">
        <v>9.3519359999999995E-6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8.4533246000000005E-5</v>
      </c>
    </row>
    <row r="17" spans="1:14" ht="15" customHeight="1" x14ac:dyDescent="0.15">
      <c r="A17">
        <v>16</v>
      </c>
      <c r="B17" s="185" t="s">
        <v>208</v>
      </c>
      <c r="C17">
        <v>2.1891060000000001E-6</v>
      </c>
      <c r="D17">
        <v>0</v>
      </c>
      <c r="E17">
        <v>0</v>
      </c>
      <c r="F17">
        <v>2.6435262399999998E-4</v>
      </c>
      <c r="G17">
        <v>2.262815E-6</v>
      </c>
      <c r="H17">
        <v>0</v>
      </c>
      <c r="I17">
        <v>0</v>
      </c>
      <c r="J17">
        <v>1.82475E-7</v>
      </c>
      <c r="K17">
        <v>3.6099999999999999E-8</v>
      </c>
      <c r="L17">
        <v>0</v>
      </c>
      <c r="M17">
        <v>0</v>
      </c>
      <c r="N17">
        <v>2.6902311999999997E-4</v>
      </c>
    </row>
    <row r="18" spans="1:14" ht="15" customHeight="1" x14ac:dyDescent="0.15">
      <c r="A18">
        <v>17</v>
      </c>
      <c r="B18" s="185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ht="15" customHeight="1" x14ac:dyDescent="0.15">
      <c r="A19">
        <v>18</v>
      </c>
      <c r="B19" s="185" t="s">
        <v>210</v>
      </c>
      <c r="C19">
        <v>2.4820710000000002E-6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2.4820710000000002E-6</v>
      </c>
    </row>
    <row r="20" spans="1:14" ht="15" customHeight="1" x14ac:dyDescent="0.15">
      <c r="A20">
        <v>19</v>
      </c>
      <c r="B20" s="185" t="s">
        <v>211</v>
      </c>
      <c r="C20">
        <v>2.3825909999999998E-6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2.3825909999999998E-6</v>
      </c>
    </row>
    <row r="21" spans="1:14" ht="15" customHeight="1" x14ac:dyDescent="0.15">
      <c r="A21">
        <v>20</v>
      </c>
      <c r="B21" s="185" t="s">
        <v>212</v>
      </c>
      <c r="C21">
        <v>2.59266035E-5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2.59266035E-5</v>
      </c>
    </row>
    <row r="22" spans="1:14" ht="15" customHeight="1" x14ac:dyDescent="0.15">
      <c r="A22">
        <v>21</v>
      </c>
      <c r="B22" s="185" t="s">
        <v>213</v>
      </c>
      <c r="C22">
        <v>2.2500028700000001E-4</v>
      </c>
      <c r="D22">
        <v>0</v>
      </c>
      <c r="E22">
        <v>0</v>
      </c>
      <c r="F22">
        <v>0</v>
      </c>
      <c r="G22">
        <v>6.2550799999999999E-6</v>
      </c>
      <c r="H22">
        <v>0</v>
      </c>
      <c r="I22">
        <v>0</v>
      </c>
      <c r="J22">
        <v>0</v>
      </c>
      <c r="K22">
        <v>0</v>
      </c>
      <c r="L22">
        <v>9.9999999999999998E-13</v>
      </c>
      <c r="M22">
        <v>0</v>
      </c>
      <c r="N22">
        <v>2.31255368E-4</v>
      </c>
    </row>
    <row r="23" spans="1:14" ht="15" customHeight="1" x14ac:dyDescent="0.15">
      <c r="A23">
        <v>22</v>
      </c>
      <c r="B23" s="185" t="s">
        <v>214</v>
      </c>
      <c r="C23">
        <v>7.250994E-6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3.3000000000000002E-11</v>
      </c>
      <c r="M23">
        <v>0</v>
      </c>
      <c r="N23">
        <v>7.2510270000000002E-6</v>
      </c>
    </row>
    <row r="24" spans="1:14" ht="15" customHeight="1" x14ac:dyDescent="0.15">
      <c r="A24">
        <v>23</v>
      </c>
      <c r="B24" s="185" t="s">
        <v>215</v>
      </c>
      <c r="C24">
        <v>1.834725E-6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8.1699999999999997E-10</v>
      </c>
      <c r="M24">
        <v>0</v>
      </c>
      <c r="N24">
        <v>1.8355419999999999E-6</v>
      </c>
    </row>
    <row r="25" spans="1:14" ht="15" customHeight="1" x14ac:dyDescent="0.15">
      <c r="A25">
        <v>24</v>
      </c>
      <c r="B25" s="185" t="s">
        <v>216</v>
      </c>
      <c r="C25">
        <v>7.1963529999999998E-5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1.2E-10</v>
      </c>
      <c r="M25">
        <v>3.6751000000000003E-8</v>
      </c>
      <c r="N25">
        <v>7.2000400999999999E-5</v>
      </c>
    </row>
    <row r="26" spans="1:14" ht="15" customHeight="1" x14ac:dyDescent="0.15">
      <c r="A26">
        <v>25</v>
      </c>
      <c r="B26" s="185" t="s">
        <v>217</v>
      </c>
      <c r="C26">
        <v>4.9209350000000004E-4</v>
      </c>
      <c r="D26">
        <v>0</v>
      </c>
      <c r="E26">
        <v>0</v>
      </c>
      <c r="F26">
        <v>0</v>
      </c>
      <c r="G26">
        <v>2.1371524799999999E-5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5.134650248E-4</v>
      </c>
    </row>
    <row r="27" spans="1:14" ht="15" customHeight="1" x14ac:dyDescent="0.15">
      <c r="A27">
        <v>26</v>
      </c>
      <c r="B27" s="185" t="s">
        <v>218</v>
      </c>
      <c r="C27">
        <v>7.5216560000000005E-4</v>
      </c>
      <c r="D27">
        <v>0</v>
      </c>
      <c r="E27">
        <v>0</v>
      </c>
      <c r="F27">
        <v>0</v>
      </c>
      <c r="G27">
        <v>8.8852870000000006E-6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7.6105088700000002E-4</v>
      </c>
    </row>
    <row r="28" spans="1:14" ht="15" customHeight="1" x14ac:dyDescent="0.15">
      <c r="A28">
        <v>27</v>
      </c>
      <c r="B28" s="185" t="s">
        <v>219</v>
      </c>
      <c r="C28">
        <v>6.7530345399999996E-5</v>
      </c>
      <c r="D28">
        <v>0</v>
      </c>
      <c r="E28">
        <v>0</v>
      </c>
      <c r="F28">
        <v>0</v>
      </c>
      <c r="G28">
        <v>1.3552673400000001E-5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8.1083018799999991E-5</v>
      </c>
    </row>
    <row r="29" spans="1:14" ht="15" customHeight="1" x14ac:dyDescent="0.15">
      <c r="A29">
        <v>28</v>
      </c>
      <c r="B29" s="185" t="s">
        <v>220</v>
      </c>
      <c r="C29">
        <v>1.47775354E-4</v>
      </c>
      <c r="D29">
        <v>0</v>
      </c>
      <c r="E29">
        <v>0</v>
      </c>
      <c r="F29">
        <v>0</v>
      </c>
      <c r="G29">
        <v>6.7763370000000002E-6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1.5455169100000001E-4</v>
      </c>
    </row>
    <row r="30" spans="1:14" ht="15" customHeight="1" x14ac:dyDescent="0.15">
      <c r="A30">
        <v>29</v>
      </c>
      <c r="B30" s="185" t="s">
        <v>221</v>
      </c>
      <c r="C30">
        <v>4.1575530000000001E-4</v>
      </c>
      <c r="D30">
        <v>0</v>
      </c>
      <c r="E30">
        <v>0</v>
      </c>
      <c r="F30">
        <v>0</v>
      </c>
      <c r="G30">
        <v>9.1387309999999992E-6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4.2489403100000003E-4</v>
      </c>
    </row>
    <row r="31" spans="1:14" ht="15" customHeight="1" x14ac:dyDescent="0.15">
      <c r="A31">
        <v>30</v>
      </c>
      <c r="B31" s="185" t="s">
        <v>222</v>
      </c>
      <c r="C31">
        <v>1.15309E-4</v>
      </c>
      <c r="D31">
        <v>0</v>
      </c>
      <c r="E31">
        <v>0</v>
      </c>
      <c r="F31">
        <v>0</v>
      </c>
      <c r="G31">
        <v>1.3165227800000001E-5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1.284742278E-4</v>
      </c>
    </row>
    <row r="32" spans="1:14" ht="15" customHeight="1" x14ac:dyDescent="0.15">
      <c r="A32">
        <v>31</v>
      </c>
      <c r="B32" s="185" t="s">
        <v>223</v>
      </c>
      <c r="C32">
        <v>3.3288556700000001E-4</v>
      </c>
      <c r="D32">
        <v>0</v>
      </c>
      <c r="E32">
        <v>0</v>
      </c>
      <c r="F32">
        <v>0</v>
      </c>
      <c r="G32">
        <v>1.5979128899999999E-5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3.488646959E-4</v>
      </c>
    </row>
    <row r="33" spans="1:14" ht="15" customHeight="1" x14ac:dyDescent="0.15">
      <c r="A33">
        <v>32</v>
      </c>
      <c r="B33" s="185" t="s">
        <v>224</v>
      </c>
      <c r="C33">
        <v>1.231963E-4</v>
      </c>
      <c r="D33">
        <v>0</v>
      </c>
      <c r="E33">
        <v>0</v>
      </c>
      <c r="F33">
        <v>0</v>
      </c>
      <c r="G33">
        <v>5.9136520000000002E-6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1.2910995199999999E-4</v>
      </c>
    </row>
    <row r="34" spans="1:14" ht="15" customHeight="1" x14ac:dyDescent="0.15">
      <c r="A34">
        <v>33</v>
      </c>
      <c r="B34" s="185" t="s">
        <v>225</v>
      </c>
      <c r="C34">
        <v>1.1019631100000001E-3</v>
      </c>
      <c r="D34">
        <v>6.4664679999999998E-6</v>
      </c>
      <c r="E34">
        <v>0</v>
      </c>
      <c r="F34">
        <v>0</v>
      </c>
      <c r="G34">
        <v>6.1783739999999999E-5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1.1702133180000001E-3</v>
      </c>
    </row>
    <row r="35" spans="1:14" ht="15" customHeight="1" x14ac:dyDescent="0.15">
      <c r="A35">
        <v>34</v>
      </c>
      <c r="B35" s="185" t="s">
        <v>226</v>
      </c>
      <c r="C35">
        <v>3.1325309999999997E-5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9.9999999999999998E-13</v>
      </c>
      <c r="M35">
        <v>0</v>
      </c>
      <c r="N35">
        <v>3.1325311E-5</v>
      </c>
    </row>
    <row r="36" spans="1:14" ht="15" customHeight="1" x14ac:dyDescent="0.15">
      <c r="A36">
        <v>35</v>
      </c>
      <c r="B36" s="185" t="s">
        <v>227</v>
      </c>
      <c r="C36">
        <v>3.9775543799999997E-3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3.9775543799999997E-3</v>
      </c>
    </row>
    <row r="37" spans="1:14" ht="15" customHeight="1" x14ac:dyDescent="0.15">
      <c r="A37">
        <v>36</v>
      </c>
      <c r="B37" s="185" t="s">
        <v>228</v>
      </c>
      <c r="C37">
        <v>1.5512367800000001E-4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1.5512367800000001E-4</v>
      </c>
    </row>
    <row r="38" spans="1:14" ht="15" customHeight="1" x14ac:dyDescent="0.15">
      <c r="A38">
        <v>37</v>
      </c>
      <c r="B38" s="185" t="s">
        <v>229</v>
      </c>
      <c r="C38">
        <v>3.278461E-4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6.7000000000000001E-11</v>
      </c>
      <c r="M38">
        <v>2.9400000000000002E-9</v>
      </c>
      <c r="N38">
        <v>3.2784910700000002E-4</v>
      </c>
    </row>
    <row r="39" spans="1:14" ht="15" customHeight="1" x14ac:dyDescent="0.15">
      <c r="A39">
        <v>38</v>
      </c>
      <c r="B39" s="185" t="s">
        <v>230</v>
      </c>
      <c r="C39">
        <v>9.9221370000000003E-5</v>
      </c>
      <c r="D39">
        <v>0</v>
      </c>
      <c r="E39">
        <v>0</v>
      </c>
      <c r="F39">
        <v>7.5199746100000002E-4</v>
      </c>
      <c r="G39">
        <v>0</v>
      </c>
      <c r="H39">
        <v>0</v>
      </c>
      <c r="I39">
        <v>0</v>
      </c>
      <c r="J39">
        <v>5.1252100000000001E-7</v>
      </c>
      <c r="K39">
        <v>1.6824900000000001E-7</v>
      </c>
      <c r="L39">
        <v>7.9999999999999998E-12</v>
      </c>
      <c r="M39">
        <v>0</v>
      </c>
      <c r="N39">
        <v>8.5189960899999999E-4</v>
      </c>
    </row>
    <row r="40" spans="1:14" ht="15" customHeight="1" x14ac:dyDescent="0.15">
      <c r="A40">
        <v>39</v>
      </c>
      <c r="B40" s="185" t="s">
        <v>231</v>
      </c>
      <c r="C40">
        <v>1.0832181000000001E-5</v>
      </c>
      <c r="D40">
        <v>6.8325520000000004E-3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6.8433841810000007E-3</v>
      </c>
    </row>
    <row r="41" spans="1:14" ht="15" customHeight="1" x14ac:dyDescent="0.15">
      <c r="A41">
        <v>40</v>
      </c>
      <c r="B41" s="185" t="s">
        <v>232</v>
      </c>
      <c r="C41">
        <v>0</v>
      </c>
      <c r="D41">
        <v>0</v>
      </c>
      <c r="E41">
        <v>0</v>
      </c>
      <c r="F41">
        <v>4.9707300000000001E-6</v>
      </c>
      <c r="G41">
        <v>0</v>
      </c>
      <c r="H41">
        <v>0</v>
      </c>
      <c r="I41">
        <v>0</v>
      </c>
      <c r="J41">
        <v>3.4309999999999998E-9</v>
      </c>
      <c r="K41">
        <v>7.2599999999999997E-10</v>
      </c>
      <c r="L41">
        <v>0</v>
      </c>
      <c r="M41">
        <v>0</v>
      </c>
      <c r="N41">
        <v>4.9748869999999999E-6</v>
      </c>
    </row>
    <row r="42" spans="1:14" ht="15" customHeight="1" x14ac:dyDescent="0.15">
      <c r="A42">
        <v>41</v>
      </c>
      <c r="B42" s="185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ht="15" customHeight="1" x14ac:dyDescent="0.15">
      <c r="A43">
        <v>42</v>
      </c>
      <c r="B43" s="185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ht="15" customHeight="1" x14ac:dyDescent="0.15">
      <c r="A44">
        <v>43</v>
      </c>
      <c r="B44" s="185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ht="15" customHeight="1" x14ac:dyDescent="0.15">
      <c r="A45">
        <v>44</v>
      </c>
      <c r="B45" s="185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ht="15" customHeight="1" x14ac:dyDescent="0.15">
      <c r="A46">
        <v>45</v>
      </c>
      <c r="B46" s="185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ht="15" customHeight="1" x14ac:dyDescent="0.15">
      <c r="A47">
        <v>46</v>
      </c>
      <c r="B47" s="185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N4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5" width="2.33203125" bestFit="1" customWidth="1"/>
    <col min="6" max="14" width="2.33203125" customWidth="1"/>
  </cols>
  <sheetData>
    <row r="1" spans="1:14" s="115" customFormat="1" ht="112" x14ac:dyDescent="0.15">
      <c r="A1" s="5" t="s">
        <v>22</v>
      </c>
      <c r="B1" s="3" t="s">
        <v>0</v>
      </c>
      <c r="C1" s="188" t="s">
        <v>239</v>
      </c>
      <c r="D1" s="188" t="s">
        <v>240</v>
      </c>
      <c r="E1" s="188" t="s">
        <v>241</v>
      </c>
      <c r="F1" s="188" t="s">
        <v>242</v>
      </c>
      <c r="G1" s="188" t="s">
        <v>243</v>
      </c>
      <c r="H1" s="188" t="s">
        <v>244</v>
      </c>
      <c r="I1" s="188" t="s">
        <v>245</v>
      </c>
      <c r="J1" s="188" t="s">
        <v>246</v>
      </c>
      <c r="K1" s="188" t="s">
        <v>247</v>
      </c>
      <c r="L1" s="188" t="s">
        <v>248</v>
      </c>
      <c r="M1" s="188" t="s">
        <v>249</v>
      </c>
      <c r="N1" s="188" t="s">
        <v>253</v>
      </c>
    </row>
    <row r="2" spans="1:14" x14ac:dyDescent="0.15">
      <c r="A2">
        <v>1</v>
      </c>
      <c r="B2" s="18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15">
      <c r="A3">
        <v>2</v>
      </c>
      <c r="B3" s="18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15">
      <c r="A4">
        <v>3</v>
      </c>
      <c r="B4" s="18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4</v>
      </c>
      <c r="B5" s="18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15">
      <c r="A6">
        <v>5</v>
      </c>
      <c r="B6" s="187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6</v>
      </c>
      <c r="B7" s="187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7</v>
      </c>
      <c r="B8" s="187" t="s">
        <v>199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8</v>
      </c>
      <c r="B9" s="187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9</v>
      </c>
      <c r="B10" s="187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15">
      <c r="A11">
        <v>10</v>
      </c>
      <c r="B11" s="187" t="s">
        <v>202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11</v>
      </c>
      <c r="B12" s="187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12</v>
      </c>
      <c r="B13" s="187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15">
      <c r="A14">
        <v>13</v>
      </c>
      <c r="B14" s="187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14</v>
      </c>
      <c r="B15" s="187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15">
      <c r="A16">
        <v>15</v>
      </c>
      <c r="B16" s="18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15">
      <c r="A17">
        <v>16</v>
      </c>
      <c r="B17" s="187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15">
      <c r="A18">
        <v>17</v>
      </c>
      <c r="B18" s="187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18</v>
      </c>
      <c r="B19" s="187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19</v>
      </c>
      <c r="B20" s="187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20</v>
      </c>
      <c r="B21" s="187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15">
      <c r="A22">
        <v>21</v>
      </c>
      <c r="B22" s="187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22</v>
      </c>
      <c r="B23" s="187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15">
      <c r="A24">
        <v>23</v>
      </c>
      <c r="B24" s="187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24</v>
      </c>
      <c r="B25" s="187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15">
      <c r="A26">
        <v>25</v>
      </c>
      <c r="B26" s="187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26</v>
      </c>
      <c r="B27" s="18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15">
      <c r="A28">
        <v>27</v>
      </c>
      <c r="B28" s="187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28</v>
      </c>
      <c r="B29" s="187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15">
      <c r="A30">
        <v>29</v>
      </c>
      <c r="B30" s="187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15">
      <c r="A31">
        <v>30</v>
      </c>
      <c r="B31" s="187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31</v>
      </c>
      <c r="B32" s="187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32</v>
      </c>
      <c r="B33" s="187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33</v>
      </c>
      <c r="B34" s="187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34</v>
      </c>
      <c r="B35" s="187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15">
      <c r="A36">
        <v>35</v>
      </c>
      <c r="B36" s="187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15">
      <c r="A37">
        <v>36</v>
      </c>
      <c r="B37" s="187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37</v>
      </c>
      <c r="B38" s="187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38</v>
      </c>
      <c r="B39" s="187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39</v>
      </c>
      <c r="B40" s="187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40</v>
      </c>
      <c r="B41" s="187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15">
      <c r="A42">
        <v>41</v>
      </c>
      <c r="B42" s="187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15">
      <c r="A43">
        <v>42</v>
      </c>
      <c r="B43" s="187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15">
      <c r="A44">
        <v>43</v>
      </c>
      <c r="B44" s="187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15">
      <c r="A45">
        <v>44</v>
      </c>
      <c r="B45" s="187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15">
      <c r="A46">
        <v>45</v>
      </c>
      <c r="B46" s="187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15">
      <c r="A47">
        <v>46</v>
      </c>
      <c r="B47" s="187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0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89" t="s">
        <v>193</v>
      </c>
      <c r="F2">
        <v>0.98</v>
      </c>
      <c r="G2">
        <v>0.8</v>
      </c>
      <c r="H2">
        <v>0.8</v>
      </c>
      <c r="I2">
        <v>0</v>
      </c>
      <c r="J2" s="114">
        <v>0</v>
      </c>
      <c r="K2" s="114">
        <v>0</v>
      </c>
    </row>
    <row r="3" spans="1:42" x14ac:dyDescent="0.15">
      <c r="A3" s="123" t="s">
        <v>75</v>
      </c>
      <c r="B3" s="125">
        <v>1</v>
      </c>
      <c r="D3">
        <v>2</v>
      </c>
      <c r="E3" s="189" t="s">
        <v>194</v>
      </c>
      <c r="F3">
        <v>0.98</v>
      </c>
      <c r="G3">
        <v>0.8</v>
      </c>
      <c r="H3">
        <v>0.8</v>
      </c>
      <c r="I3">
        <v>0</v>
      </c>
      <c r="J3" s="114">
        <v>0</v>
      </c>
      <c r="K3" s="114">
        <v>0</v>
      </c>
    </row>
    <row r="4" spans="1:42" x14ac:dyDescent="0.15">
      <c r="A4" s="123" t="s">
        <v>76</v>
      </c>
      <c r="B4" s="125">
        <v>1</v>
      </c>
      <c r="D4">
        <v>3</v>
      </c>
      <c r="E4" s="189" t="s">
        <v>195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89" t="s">
        <v>196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89" t="s">
        <v>197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89" t="s">
        <v>198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89" t="s">
        <v>199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59" t="s">
        <v>150</v>
      </c>
      <c r="D9">
        <v>8</v>
      </c>
      <c r="E9" s="189" t="s">
        <v>200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59" t="s">
        <v>150</v>
      </c>
      <c r="D10">
        <v>9</v>
      </c>
      <c r="E10" s="189" t="s">
        <v>201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89" t="s">
        <v>202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89" t="s">
        <v>203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89" t="s">
        <v>204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89" t="s">
        <v>205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89" t="s">
        <v>206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89" t="s">
        <v>207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89" t="s">
        <v>208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89" t="s">
        <v>209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89" t="s">
        <v>210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89" t="s">
        <v>211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89" t="s">
        <v>212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89" t="s">
        <v>213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89" t="s">
        <v>214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89" t="s">
        <v>215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89" t="s">
        <v>216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89" t="s">
        <v>217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89" t="s">
        <v>218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89" t="s">
        <v>219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89" t="s">
        <v>220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89" t="s">
        <v>221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89" t="s">
        <v>222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89" t="s">
        <v>223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89" t="s">
        <v>224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89" t="s">
        <v>225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89" t="s">
        <v>226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89" t="s">
        <v>227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89" t="s">
        <v>228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89" t="s">
        <v>229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89" t="s">
        <v>230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89" t="s">
        <v>231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89" t="s">
        <v>232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89" t="s">
        <v>233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89" t="s">
        <v>234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89" t="s">
        <v>235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89" t="s">
        <v>236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89" t="s">
        <v>237</v>
      </c>
      <c r="F46">
        <v>0.98</v>
      </c>
      <c r="G46">
        <v>0.8</v>
      </c>
      <c r="H46">
        <v>0</v>
      </c>
      <c r="I46">
        <v>0</v>
      </c>
      <c r="J46" s="114">
        <v>0</v>
      </c>
      <c r="K46" s="114">
        <v>0</v>
      </c>
      <c r="Y46"/>
      <c r="AC46"/>
      <c r="AG46"/>
    </row>
    <row r="47" spans="4:33" ht="15" customHeight="1" x14ac:dyDescent="0.15">
      <c r="D47">
        <v>46</v>
      </c>
      <c r="E47" s="189" t="s">
        <v>238</v>
      </c>
      <c r="F47">
        <v>0.98</v>
      </c>
      <c r="G47">
        <v>0.8</v>
      </c>
      <c r="H47">
        <v>0</v>
      </c>
      <c r="I47">
        <v>0</v>
      </c>
      <c r="J47" s="114">
        <v>0</v>
      </c>
      <c r="K47" s="114">
        <v>0</v>
      </c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U48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3" width="2.33203125" style="111" customWidth="1"/>
    <col min="4" max="45" width="3.83203125" style="111" customWidth="1"/>
    <col min="46" max="47" width="2.33203125" style="111" customWidth="1"/>
    <col min="48" max="16384" width="10.83203125" style="111"/>
  </cols>
  <sheetData>
    <row r="1" spans="1:47" x14ac:dyDescent="0.15">
      <c r="A1" s="61" t="s">
        <v>118</v>
      </c>
      <c r="B1" s="191" t="s">
        <v>193</v>
      </c>
      <c r="C1" s="191" t="s">
        <v>194</v>
      </c>
      <c r="D1" s="191" t="s">
        <v>195</v>
      </c>
      <c r="E1" s="191" t="s">
        <v>196</v>
      </c>
      <c r="F1" s="191" t="s">
        <v>197</v>
      </c>
      <c r="G1" s="191" t="s">
        <v>198</v>
      </c>
      <c r="H1" s="191" t="s">
        <v>199</v>
      </c>
      <c r="I1" s="191" t="s">
        <v>200</v>
      </c>
      <c r="J1" s="191" t="s">
        <v>201</v>
      </c>
      <c r="K1" s="191" t="s">
        <v>202</v>
      </c>
      <c r="L1" s="191" t="s">
        <v>203</v>
      </c>
      <c r="M1" s="191" t="s">
        <v>204</v>
      </c>
      <c r="N1" s="191" t="s">
        <v>205</v>
      </c>
      <c r="O1" s="191" t="s">
        <v>206</v>
      </c>
      <c r="P1" s="191" t="s">
        <v>207</v>
      </c>
      <c r="Q1" s="191" t="s">
        <v>208</v>
      </c>
      <c r="R1" s="191" t="s">
        <v>209</v>
      </c>
      <c r="S1" s="191" t="s">
        <v>210</v>
      </c>
      <c r="T1" s="191" t="s">
        <v>211</v>
      </c>
      <c r="U1" s="191" t="s">
        <v>212</v>
      </c>
      <c r="V1" s="191" t="s">
        <v>213</v>
      </c>
      <c r="W1" s="191" t="s">
        <v>214</v>
      </c>
      <c r="X1" s="191" t="s">
        <v>215</v>
      </c>
      <c r="Y1" s="191" t="s">
        <v>216</v>
      </c>
      <c r="Z1" s="191" t="s">
        <v>217</v>
      </c>
      <c r="AA1" s="191" t="s">
        <v>218</v>
      </c>
      <c r="AB1" s="191" t="s">
        <v>219</v>
      </c>
      <c r="AC1" s="191" t="s">
        <v>220</v>
      </c>
      <c r="AD1" s="191" t="s">
        <v>221</v>
      </c>
      <c r="AE1" s="191" t="s">
        <v>222</v>
      </c>
      <c r="AF1" s="191" t="s">
        <v>223</v>
      </c>
      <c r="AG1" s="191" t="s">
        <v>224</v>
      </c>
      <c r="AH1" s="191" t="s">
        <v>225</v>
      </c>
      <c r="AI1" s="191" t="s">
        <v>226</v>
      </c>
      <c r="AJ1" s="191" t="s">
        <v>227</v>
      </c>
      <c r="AK1" s="191" t="s">
        <v>228</v>
      </c>
      <c r="AL1" s="191" t="s">
        <v>229</v>
      </c>
      <c r="AM1" s="191" t="s">
        <v>230</v>
      </c>
      <c r="AN1" s="191" t="s">
        <v>231</v>
      </c>
      <c r="AO1" s="191" t="s">
        <v>232</v>
      </c>
      <c r="AP1" s="191" t="s">
        <v>233</v>
      </c>
      <c r="AQ1" s="191" t="s">
        <v>234</v>
      </c>
      <c r="AR1" s="191" t="s">
        <v>235</v>
      </c>
      <c r="AS1" s="191" t="s">
        <v>236</v>
      </c>
      <c r="AT1" s="191" t="s">
        <v>237</v>
      </c>
      <c r="AU1" s="191" t="s">
        <v>238</v>
      </c>
    </row>
    <row r="2" spans="1:47" customFormat="1" x14ac:dyDescent="0.15">
      <c r="A2" s="190" t="s">
        <v>193</v>
      </c>
      <c r="B2" s="111">
        <v>0</v>
      </c>
      <c r="C2" s="111">
        <v>0</v>
      </c>
      <c r="D2" s="111">
        <v>0.8</v>
      </c>
      <c r="E2" s="111">
        <v>0.8</v>
      </c>
      <c r="F2" s="111">
        <v>0.8</v>
      </c>
      <c r="G2" s="111">
        <v>0</v>
      </c>
      <c r="H2" s="111">
        <v>0</v>
      </c>
      <c r="I2" s="111">
        <v>0.8</v>
      </c>
      <c r="J2" s="111">
        <v>0</v>
      </c>
      <c r="K2" s="111">
        <v>0.8</v>
      </c>
      <c r="L2" s="111">
        <v>0.8</v>
      </c>
      <c r="M2" s="111">
        <v>0.8</v>
      </c>
      <c r="N2" s="111">
        <v>0</v>
      </c>
      <c r="O2" s="111">
        <v>0.8</v>
      </c>
      <c r="P2" s="111">
        <v>0.8</v>
      </c>
      <c r="Q2" s="111">
        <v>0</v>
      </c>
      <c r="R2" s="111">
        <v>0.8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  <c r="AU2" s="111">
        <v>0</v>
      </c>
    </row>
    <row r="3" spans="1:47" customFormat="1" x14ac:dyDescent="0.15">
      <c r="A3" s="190" t="s">
        <v>194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0.8</v>
      </c>
      <c r="L3" s="111">
        <v>0.8</v>
      </c>
      <c r="M3" s="111">
        <v>0</v>
      </c>
      <c r="N3" s="111">
        <v>0.8</v>
      </c>
      <c r="O3" s="111">
        <v>0.8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0.8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  <c r="AU3" s="111">
        <v>0</v>
      </c>
    </row>
    <row r="4" spans="1:47" customFormat="1" x14ac:dyDescent="0.15">
      <c r="A4" s="190" t="s">
        <v>195</v>
      </c>
      <c r="B4" s="111">
        <v>0</v>
      </c>
      <c r="C4" s="111">
        <v>0</v>
      </c>
      <c r="D4" s="111">
        <v>0</v>
      </c>
      <c r="E4" s="111">
        <v>0.8</v>
      </c>
      <c r="F4" s="111">
        <v>0.8</v>
      </c>
      <c r="G4" s="111">
        <v>0.8</v>
      </c>
      <c r="H4" s="111">
        <v>0</v>
      </c>
      <c r="I4" s="111">
        <v>0.8</v>
      </c>
      <c r="J4" s="111">
        <v>0.8</v>
      </c>
      <c r="K4" s="111">
        <v>0.8</v>
      </c>
      <c r="L4" s="111">
        <v>0.8</v>
      </c>
      <c r="M4" s="111">
        <v>0</v>
      </c>
      <c r="N4" s="111">
        <v>0.8</v>
      </c>
      <c r="O4" s="111">
        <v>0.8</v>
      </c>
      <c r="P4" s="111">
        <v>0.8</v>
      </c>
      <c r="Q4" s="111">
        <v>0</v>
      </c>
      <c r="R4" s="111">
        <v>0.8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0.8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0.8</v>
      </c>
      <c r="AQ4" s="111">
        <v>0</v>
      </c>
      <c r="AR4" s="111">
        <v>0.8</v>
      </c>
      <c r="AS4" s="111">
        <v>0</v>
      </c>
      <c r="AT4" s="111">
        <v>0</v>
      </c>
      <c r="AU4" s="111">
        <v>0</v>
      </c>
    </row>
    <row r="5" spans="1:47" customFormat="1" x14ac:dyDescent="0.15">
      <c r="A5" s="190" t="s">
        <v>196</v>
      </c>
      <c r="B5" s="111">
        <v>0</v>
      </c>
      <c r="C5" s="111">
        <v>0</v>
      </c>
      <c r="D5" s="111">
        <v>0</v>
      </c>
      <c r="E5" s="111">
        <v>0.8</v>
      </c>
      <c r="F5" s="111">
        <v>0.8</v>
      </c>
      <c r="G5" s="111">
        <v>0.8</v>
      </c>
      <c r="H5" s="111">
        <v>0</v>
      </c>
      <c r="I5" s="111">
        <v>0</v>
      </c>
      <c r="J5" s="111">
        <v>0</v>
      </c>
      <c r="K5" s="111">
        <v>0</v>
      </c>
      <c r="L5" s="111">
        <v>0.8</v>
      </c>
      <c r="M5" s="111">
        <v>0.8</v>
      </c>
      <c r="N5" s="111">
        <v>0.8</v>
      </c>
      <c r="O5" s="111">
        <v>0.8</v>
      </c>
      <c r="P5" s="111">
        <v>0.8</v>
      </c>
      <c r="Q5" s="111">
        <v>0</v>
      </c>
      <c r="R5" s="111">
        <v>0.8</v>
      </c>
      <c r="S5" s="111">
        <v>0.8</v>
      </c>
      <c r="T5" s="111">
        <v>0.8</v>
      </c>
      <c r="U5" s="111">
        <v>0</v>
      </c>
      <c r="V5" s="111">
        <v>0</v>
      </c>
      <c r="W5" s="111">
        <v>0</v>
      </c>
      <c r="X5" s="111">
        <v>0.8</v>
      </c>
      <c r="Y5" s="111">
        <v>0.8</v>
      </c>
      <c r="Z5" s="111">
        <v>0.8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0.8</v>
      </c>
      <c r="AG5" s="111">
        <v>0.8</v>
      </c>
      <c r="AH5" s="111">
        <v>0.8</v>
      </c>
      <c r="AI5" s="111">
        <v>0.8</v>
      </c>
      <c r="AJ5" s="111">
        <v>0.8</v>
      </c>
      <c r="AK5" s="111">
        <v>0.8</v>
      </c>
      <c r="AL5" s="111">
        <v>0</v>
      </c>
      <c r="AM5" s="111">
        <v>0</v>
      </c>
      <c r="AN5" s="111">
        <v>0.8</v>
      </c>
      <c r="AO5" s="111">
        <v>0.8</v>
      </c>
      <c r="AP5" s="111">
        <v>0.8</v>
      </c>
      <c r="AQ5" s="111">
        <v>0</v>
      </c>
      <c r="AR5" s="111">
        <v>0.8</v>
      </c>
      <c r="AS5" s="111">
        <v>0.8</v>
      </c>
      <c r="AT5" s="111">
        <v>0</v>
      </c>
      <c r="AU5" s="111">
        <v>0</v>
      </c>
    </row>
    <row r="6" spans="1:47" customFormat="1" x14ac:dyDescent="0.15">
      <c r="A6" s="190" t="s">
        <v>197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0.8</v>
      </c>
      <c r="H6" s="111">
        <v>0.8</v>
      </c>
      <c r="I6" s="111">
        <v>0</v>
      </c>
      <c r="J6" s="111">
        <v>0</v>
      </c>
      <c r="K6" s="111">
        <v>0</v>
      </c>
      <c r="L6" s="111">
        <v>0.8</v>
      </c>
      <c r="M6" s="111">
        <v>0.8</v>
      </c>
      <c r="N6" s="111">
        <v>0.8</v>
      </c>
      <c r="O6" s="111">
        <v>0.8</v>
      </c>
      <c r="P6" s="111">
        <v>0.8</v>
      </c>
      <c r="Q6" s="111">
        <v>0</v>
      </c>
      <c r="R6" s="111">
        <v>0.8</v>
      </c>
      <c r="S6" s="111">
        <v>0.8</v>
      </c>
      <c r="T6" s="111">
        <v>0.8</v>
      </c>
      <c r="U6" s="111">
        <v>0.8</v>
      </c>
      <c r="V6" s="111">
        <v>0.8</v>
      </c>
      <c r="W6" s="111">
        <v>0.8</v>
      </c>
      <c r="X6" s="111">
        <v>0.8</v>
      </c>
      <c r="Y6" s="111">
        <v>0.8</v>
      </c>
      <c r="Z6" s="111">
        <v>0.8</v>
      </c>
      <c r="AA6" s="111">
        <v>0.8</v>
      </c>
      <c r="AB6" s="111">
        <v>0.8</v>
      </c>
      <c r="AC6" s="111">
        <v>0.8</v>
      </c>
      <c r="AD6" s="111">
        <v>0.8</v>
      </c>
      <c r="AE6" s="111">
        <v>0</v>
      </c>
      <c r="AF6" s="111">
        <v>0.8</v>
      </c>
      <c r="AG6" s="111">
        <v>0.8</v>
      </c>
      <c r="AH6" s="111">
        <v>0.8</v>
      </c>
      <c r="AI6" s="111">
        <v>0.8</v>
      </c>
      <c r="AJ6" s="111">
        <v>0.8</v>
      </c>
      <c r="AK6" s="111">
        <v>0.8</v>
      </c>
      <c r="AL6" s="111">
        <v>0.8</v>
      </c>
      <c r="AM6" s="111">
        <v>0.8</v>
      </c>
      <c r="AN6" s="111">
        <v>0</v>
      </c>
      <c r="AO6" s="111">
        <v>0</v>
      </c>
      <c r="AP6" s="111">
        <v>0.8</v>
      </c>
      <c r="AQ6" s="111">
        <v>0.8</v>
      </c>
      <c r="AR6" s="111">
        <v>0</v>
      </c>
      <c r="AS6" s="111">
        <v>0</v>
      </c>
      <c r="AT6" s="111">
        <v>0</v>
      </c>
      <c r="AU6" s="111">
        <v>0</v>
      </c>
    </row>
    <row r="7" spans="1:47" customFormat="1" x14ac:dyDescent="0.15">
      <c r="A7" s="190" t="s">
        <v>198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0</v>
      </c>
      <c r="H7" s="111">
        <v>0</v>
      </c>
      <c r="I7" s="111">
        <v>0</v>
      </c>
      <c r="J7" s="111">
        <v>0</v>
      </c>
      <c r="K7" s="111">
        <v>0</v>
      </c>
      <c r="L7" s="111">
        <v>0.8</v>
      </c>
      <c r="M7" s="111">
        <v>0</v>
      </c>
      <c r="N7" s="111">
        <v>0.8</v>
      </c>
      <c r="O7" s="111">
        <v>0.8</v>
      </c>
      <c r="P7" s="111">
        <v>0.8</v>
      </c>
      <c r="Q7" s="111">
        <v>0.8</v>
      </c>
      <c r="R7" s="111">
        <v>0.8</v>
      </c>
      <c r="S7" s="111">
        <v>0.8</v>
      </c>
      <c r="T7" s="111">
        <v>0.8</v>
      </c>
      <c r="U7" s="111">
        <v>0.8</v>
      </c>
      <c r="V7" s="111">
        <v>0.8</v>
      </c>
      <c r="W7" s="111">
        <v>0</v>
      </c>
      <c r="X7" s="111">
        <v>0.8</v>
      </c>
      <c r="Y7" s="111">
        <v>0.8</v>
      </c>
      <c r="Z7" s="111">
        <v>0.8</v>
      </c>
      <c r="AA7" s="111">
        <v>0.8</v>
      </c>
      <c r="AB7" s="111">
        <v>0</v>
      </c>
      <c r="AC7" s="111">
        <v>0</v>
      </c>
      <c r="AD7" s="111">
        <v>0</v>
      </c>
      <c r="AE7" s="111">
        <v>0</v>
      </c>
      <c r="AF7" s="111">
        <v>0.8</v>
      </c>
      <c r="AG7" s="111">
        <v>0</v>
      </c>
      <c r="AH7" s="111">
        <v>0.8</v>
      </c>
      <c r="AI7" s="111">
        <v>0.8</v>
      </c>
      <c r="AJ7" s="111">
        <v>0</v>
      </c>
      <c r="AK7" s="111">
        <v>0.8</v>
      </c>
      <c r="AL7" s="111">
        <v>0.8</v>
      </c>
      <c r="AM7" s="111">
        <v>0.8</v>
      </c>
      <c r="AN7" s="111">
        <v>0.8</v>
      </c>
      <c r="AO7" s="111">
        <v>0.8</v>
      </c>
      <c r="AP7" s="111">
        <v>0.8</v>
      </c>
      <c r="AQ7" s="111">
        <v>0.8</v>
      </c>
      <c r="AR7" s="111">
        <v>0</v>
      </c>
      <c r="AS7" s="111">
        <v>0.8</v>
      </c>
      <c r="AT7" s="111">
        <v>0</v>
      </c>
      <c r="AU7" s="111">
        <v>0</v>
      </c>
    </row>
    <row r="8" spans="1:47" customFormat="1" x14ac:dyDescent="0.15">
      <c r="A8" s="190" t="s">
        <v>199</v>
      </c>
      <c r="B8" s="111">
        <v>0</v>
      </c>
      <c r="C8" s="111">
        <v>0</v>
      </c>
      <c r="D8" s="111">
        <v>0</v>
      </c>
      <c r="E8" s="111">
        <v>0</v>
      </c>
      <c r="F8" s="111">
        <v>0</v>
      </c>
      <c r="G8" s="111">
        <v>0.8</v>
      </c>
      <c r="H8" s="111">
        <v>0.8</v>
      </c>
      <c r="I8" s="111">
        <v>0</v>
      </c>
      <c r="J8" s="111">
        <v>0</v>
      </c>
      <c r="K8" s="111">
        <v>0</v>
      </c>
      <c r="L8" s="111">
        <v>0.8</v>
      </c>
      <c r="M8" s="111">
        <v>0.8</v>
      </c>
      <c r="N8" s="111">
        <v>0.8</v>
      </c>
      <c r="O8" s="111">
        <v>0.8</v>
      </c>
      <c r="P8" s="111">
        <v>0</v>
      </c>
      <c r="Q8" s="111">
        <v>0</v>
      </c>
      <c r="R8" s="111">
        <v>0.8</v>
      </c>
      <c r="S8" s="111">
        <v>0</v>
      </c>
      <c r="T8" s="111">
        <v>0.8</v>
      </c>
      <c r="U8" s="111">
        <v>0.8</v>
      </c>
      <c r="V8" s="111">
        <v>0.8</v>
      </c>
      <c r="W8" s="111">
        <v>0.8</v>
      </c>
      <c r="X8" s="111">
        <v>0</v>
      </c>
      <c r="Y8" s="111">
        <v>0.8</v>
      </c>
      <c r="Z8" s="111">
        <v>0.8</v>
      </c>
      <c r="AA8" s="111">
        <v>0</v>
      </c>
      <c r="AB8" s="111">
        <v>0.8</v>
      </c>
      <c r="AC8" s="111">
        <v>0.8</v>
      </c>
      <c r="AD8" s="111">
        <v>0.8</v>
      </c>
      <c r="AE8" s="111">
        <v>0.8</v>
      </c>
      <c r="AF8" s="111">
        <v>0</v>
      </c>
      <c r="AG8" s="111">
        <v>0.8</v>
      </c>
      <c r="AH8" s="111">
        <v>0</v>
      </c>
      <c r="AI8" s="111">
        <v>0.8</v>
      </c>
      <c r="AJ8" s="111">
        <v>0</v>
      </c>
      <c r="AK8" s="111">
        <v>0.8</v>
      </c>
      <c r="AL8" s="111">
        <v>0.8</v>
      </c>
      <c r="AM8" s="111">
        <v>0.8</v>
      </c>
      <c r="AN8" s="111">
        <v>0</v>
      </c>
      <c r="AO8" s="111">
        <v>0</v>
      </c>
      <c r="AP8" s="111">
        <v>0.8</v>
      </c>
      <c r="AQ8" s="111">
        <v>0.8</v>
      </c>
      <c r="AR8" s="111">
        <v>0</v>
      </c>
      <c r="AS8" s="111">
        <v>0</v>
      </c>
      <c r="AT8" s="111">
        <v>0</v>
      </c>
      <c r="AU8" s="111">
        <v>0</v>
      </c>
    </row>
    <row r="9" spans="1:47" customFormat="1" x14ac:dyDescent="0.15">
      <c r="A9" s="190" t="s">
        <v>200</v>
      </c>
      <c r="B9" s="111">
        <v>0</v>
      </c>
      <c r="C9" s="111">
        <v>0</v>
      </c>
      <c r="D9" s="111">
        <v>0</v>
      </c>
      <c r="E9" s="111">
        <v>0</v>
      </c>
      <c r="F9" s="111">
        <v>0</v>
      </c>
      <c r="G9" s="111">
        <v>0</v>
      </c>
      <c r="H9" s="111">
        <v>0.8</v>
      </c>
      <c r="I9" s="111">
        <v>0</v>
      </c>
      <c r="J9" s="111">
        <v>0</v>
      </c>
      <c r="K9" s="111">
        <v>0</v>
      </c>
      <c r="L9" s="111">
        <v>0.8</v>
      </c>
      <c r="M9" s="111">
        <v>0.8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0.8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0.8</v>
      </c>
      <c r="AF9" s="111">
        <v>0</v>
      </c>
      <c r="AG9" s="111">
        <v>0</v>
      </c>
      <c r="AH9" s="111">
        <v>0</v>
      </c>
      <c r="AI9" s="111">
        <v>0.8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0.8</v>
      </c>
      <c r="AQ9" s="111">
        <v>0</v>
      </c>
      <c r="AR9" s="111">
        <v>0</v>
      </c>
      <c r="AS9" s="111">
        <v>0</v>
      </c>
      <c r="AT9" s="111">
        <v>0</v>
      </c>
      <c r="AU9" s="111">
        <v>0</v>
      </c>
    </row>
    <row r="10" spans="1:47" customFormat="1" x14ac:dyDescent="0.15">
      <c r="A10" s="190" t="s">
        <v>201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0.8</v>
      </c>
      <c r="I10" s="111">
        <v>0</v>
      </c>
      <c r="J10" s="111">
        <v>0</v>
      </c>
      <c r="K10" s="111">
        <v>0.8</v>
      </c>
      <c r="L10" s="111">
        <v>0.8</v>
      </c>
      <c r="M10" s="111">
        <v>0.8</v>
      </c>
      <c r="N10" s="111">
        <v>0.8</v>
      </c>
      <c r="O10" s="111">
        <v>0</v>
      </c>
      <c r="P10" s="111">
        <v>0.8</v>
      </c>
      <c r="Q10" s="111">
        <v>0</v>
      </c>
      <c r="R10" s="111">
        <v>0</v>
      </c>
      <c r="S10" s="111">
        <v>0</v>
      </c>
      <c r="T10" s="111">
        <v>0.8</v>
      </c>
      <c r="U10" s="111">
        <v>0.8</v>
      </c>
      <c r="V10" s="111">
        <v>0</v>
      </c>
      <c r="W10" s="111">
        <v>0.8</v>
      </c>
      <c r="X10" s="111">
        <v>0</v>
      </c>
      <c r="Y10" s="111">
        <v>0.8</v>
      </c>
      <c r="Z10" s="111">
        <v>0.8</v>
      </c>
      <c r="AA10" s="111">
        <v>0</v>
      </c>
      <c r="AB10" s="111">
        <v>0</v>
      </c>
      <c r="AC10" s="111">
        <v>0.8</v>
      </c>
      <c r="AD10" s="111">
        <v>0</v>
      </c>
      <c r="AE10" s="111">
        <v>0.8</v>
      </c>
      <c r="AF10" s="111">
        <v>0</v>
      </c>
      <c r="AG10" s="111">
        <v>0</v>
      </c>
      <c r="AH10" s="111">
        <v>0.8</v>
      </c>
      <c r="AI10" s="111">
        <v>0.8</v>
      </c>
      <c r="AJ10" s="111">
        <v>0</v>
      </c>
      <c r="AK10" s="111">
        <v>0.8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</row>
    <row r="11" spans="1:47" customFormat="1" x14ac:dyDescent="0.15">
      <c r="A11" s="190" t="s">
        <v>202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0.8</v>
      </c>
      <c r="I11" s="111">
        <v>0</v>
      </c>
      <c r="J11" s="111">
        <v>0</v>
      </c>
      <c r="K11" s="111">
        <v>0.8</v>
      </c>
      <c r="L11" s="111">
        <v>0.8</v>
      </c>
      <c r="M11" s="111">
        <v>0.8</v>
      </c>
      <c r="N11" s="111">
        <v>0.8</v>
      </c>
      <c r="O11" s="111">
        <v>0.8</v>
      </c>
      <c r="P11" s="111">
        <v>0.8</v>
      </c>
      <c r="Q11" s="111">
        <v>0</v>
      </c>
      <c r="R11" s="111">
        <v>0</v>
      </c>
      <c r="S11" s="111">
        <v>0</v>
      </c>
      <c r="T11" s="111">
        <v>0</v>
      </c>
      <c r="U11" s="111">
        <v>0.8</v>
      </c>
      <c r="V11" s="111">
        <v>0.8</v>
      </c>
      <c r="W11" s="111">
        <v>0.8</v>
      </c>
      <c r="X11" s="111">
        <v>0.8</v>
      </c>
      <c r="Y11" s="111">
        <v>0.8</v>
      </c>
      <c r="Z11" s="111">
        <v>0.8</v>
      </c>
      <c r="AA11" s="111">
        <v>0</v>
      </c>
      <c r="AB11" s="111">
        <v>0.8</v>
      </c>
      <c r="AC11" s="111">
        <v>0</v>
      </c>
      <c r="AD11" s="111">
        <v>0</v>
      </c>
      <c r="AE11" s="111">
        <v>0.8</v>
      </c>
      <c r="AF11" s="111">
        <v>0.8</v>
      </c>
      <c r="AG11" s="111">
        <v>0.8</v>
      </c>
      <c r="AH11" s="111">
        <v>0.8</v>
      </c>
      <c r="AI11" s="111">
        <v>0.8</v>
      </c>
      <c r="AJ11" s="111">
        <v>0.8</v>
      </c>
      <c r="AK11" s="111">
        <v>0.8</v>
      </c>
      <c r="AL11" s="111">
        <v>0.8</v>
      </c>
      <c r="AM11" s="111">
        <v>0.8</v>
      </c>
      <c r="AN11" s="111">
        <v>0.8</v>
      </c>
      <c r="AO11" s="111">
        <v>0</v>
      </c>
      <c r="AP11" s="111">
        <v>0</v>
      </c>
      <c r="AQ11" s="111">
        <v>0.8</v>
      </c>
      <c r="AR11" s="111">
        <v>0</v>
      </c>
      <c r="AS11" s="111">
        <v>0</v>
      </c>
      <c r="AT11" s="111">
        <v>0</v>
      </c>
      <c r="AU11" s="111">
        <v>0</v>
      </c>
    </row>
    <row r="12" spans="1:47" customFormat="1" x14ac:dyDescent="0.15">
      <c r="A12" s="190" t="s">
        <v>203</v>
      </c>
      <c r="B12" s="111">
        <v>0</v>
      </c>
      <c r="C12" s="111">
        <v>0</v>
      </c>
      <c r="D12" s="111">
        <v>0</v>
      </c>
      <c r="E12" s="111">
        <v>0</v>
      </c>
      <c r="F12" s="111">
        <v>0</v>
      </c>
      <c r="G12" s="111">
        <v>0.8</v>
      </c>
      <c r="H12" s="111">
        <v>0</v>
      </c>
      <c r="I12" s="111">
        <v>0</v>
      </c>
      <c r="J12" s="111">
        <v>0</v>
      </c>
      <c r="K12" s="111">
        <v>0</v>
      </c>
      <c r="L12" s="111">
        <v>0.8</v>
      </c>
      <c r="M12" s="111">
        <v>0.8</v>
      </c>
      <c r="N12" s="111">
        <v>0.8</v>
      </c>
      <c r="O12" s="111">
        <v>0</v>
      </c>
      <c r="P12" s="111">
        <v>0.8</v>
      </c>
      <c r="Q12" s="111">
        <v>0.8</v>
      </c>
      <c r="R12" s="111">
        <v>0</v>
      </c>
      <c r="S12" s="111">
        <v>0</v>
      </c>
      <c r="T12" s="111">
        <v>0.8</v>
      </c>
      <c r="U12" s="111">
        <v>0.8</v>
      </c>
      <c r="V12" s="111">
        <v>0.8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0.8</v>
      </c>
      <c r="AD12" s="111">
        <v>0.8</v>
      </c>
      <c r="AE12" s="111">
        <v>0.8</v>
      </c>
      <c r="AF12" s="111">
        <v>0</v>
      </c>
      <c r="AG12" s="111">
        <v>0</v>
      </c>
      <c r="AH12" s="111">
        <v>0</v>
      </c>
      <c r="AI12" s="111">
        <v>0.8</v>
      </c>
      <c r="AJ12" s="111">
        <v>0</v>
      </c>
      <c r="AK12" s="111">
        <v>0.8</v>
      </c>
      <c r="AL12" s="111">
        <v>0</v>
      </c>
      <c r="AM12" s="111">
        <v>0.8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  <c r="AT12" s="111">
        <v>0</v>
      </c>
      <c r="AU12" s="111">
        <v>0</v>
      </c>
    </row>
    <row r="13" spans="1:47" customFormat="1" x14ac:dyDescent="0.15">
      <c r="A13" s="190" t="s">
        <v>204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0</v>
      </c>
      <c r="K13" s="111">
        <v>0</v>
      </c>
      <c r="L13" s="111">
        <v>0.8</v>
      </c>
      <c r="M13" s="111">
        <v>0.8</v>
      </c>
      <c r="N13" s="111">
        <v>0.8</v>
      </c>
      <c r="O13" s="111">
        <v>0</v>
      </c>
      <c r="P13" s="111">
        <v>0.8</v>
      </c>
      <c r="Q13" s="111">
        <v>0.8</v>
      </c>
      <c r="R13" s="111">
        <v>0</v>
      </c>
      <c r="S13" s="111">
        <v>0</v>
      </c>
      <c r="T13" s="111">
        <v>0.8</v>
      </c>
      <c r="U13" s="111">
        <v>0</v>
      </c>
      <c r="V13" s="111">
        <v>0.8</v>
      </c>
      <c r="W13" s="111">
        <v>0</v>
      </c>
      <c r="X13" s="111">
        <v>0</v>
      </c>
      <c r="Y13" s="111">
        <v>0</v>
      </c>
      <c r="Z13" s="111">
        <v>0.8</v>
      </c>
      <c r="AA13" s="111">
        <v>0.8</v>
      </c>
      <c r="AB13" s="111">
        <v>0</v>
      </c>
      <c r="AC13" s="111">
        <v>0.8</v>
      </c>
      <c r="AD13" s="111">
        <v>0.8</v>
      </c>
      <c r="AE13" s="111">
        <v>0</v>
      </c>
      <c r="AF13" s="111">
        <v>0.8</v>
      </c>
      <c r="AG13" s="111">
        <v>0</v>
      </c>
      <c r="AH13" s="111">
        <v>0</v>
      </c>
      <c r="AI13" s="111">
        <v>0.8</v>
      </c>
      <c r="AJ13" s="111">
        <v>0</v>
      </c>
      <c r="AK13" s="111">
        <v>0.8</v>
      </c>
      <c r="AL13" s="111">
        <v>0</v>
      </c>
      <c r="AM13" s="111">
        <v>0.8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  <c r="AU13" s="111">
        <v>0</v>
      </c>
    </row>
    <row r="14" spans="1:47" customFormat="1" x14ac:dyDescent="0.15">
      <c r="A14" s="190" t="s">
        <v>205</v>
      </c>
      <c r="B14" s="111">
        <v>0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111">
        <v>0.8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0.8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  <c r="AU14" s="111">
        <v>0</v>
      </c>
    </row>
    <row r="15" spans="1:47" customFormat="1" x14ac:dyDescent="0.15">
      <c r="A15" s="190" t="s">
        <v>206</v>
      </c>
      <c r="B15" s="111">
        <v>0</v>
      </c>
      <c r="C15" s="111">
        <v>0</v>
      </c>
      <c r="D15" s="111">
        <v>0</v>
      </c>
      <c r="E15" s="111">
        <v>0</v>
      </c>
      <c r="F15" s="111">
        <v>0</v>
      </c>
      <c r="G15" s="111">
        <v>0.8</v>
      </c>
      <c r="H15" s="111">
        <v>0</v>
      </c>
      <c r="I15" s="111">
        <v>0</v>
      </c>
      <c r="J15" s="111">
        <v>0</v>
      </c>
      <c r="K15" s="111">
        <v>0</v>
      </c>
      <c r="L15" s="111">
        <v>0.8</v>
      </c>
      <c r="M15" s="111">
        <v>0.8</v>
      </c>
      <c r="N15" s="111">
        <v>0.8</v>
      </c>
      <c r="O15" s="111">
        <v>0.8</v>
      </c>
      <c r="P15" s="111">
        <v>0.8</v>
      </c>
      <c r="Q15" s="111">
        <v>0.8</v>
      </c>
      <c r="R15" s="111">
        <v>0.8</v>
      </c>
      <c r="S15" s="111">
        <v>0</v>
      </c>
      <c r="T15" s="111">
        <v>0.8</v>
      </c>
      <c r="U15" s="111">
        <v>0.8</v>
      </c>
      <c r="V15" s="111">
        <v>0.8</v>
      </c>
      <c r="W15" s="111">
        <v>0</v>
      </c>
      <c r="X15" s="111">
        <v>0</v>
      </c>
      <c r="Y15" s="111">
        <v>0</v>
      </c>
      <c r="Z15" s="111">
        <v>0.8</v>
      </c>
      <c r="AA15" s="111">
        <v>0.8</v>
      </c>
      <c r="AB15" s="111">
        <v>0.8</v>
      </c>
      <c r="AC15" s="111">
        <v>0.8</v>
      </c>
      <c r="AD15" s="111">
        <v>0.8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0.8</v>
      </c>
      <c r="AK15" s="111">
        <v>0.8</v>
      </c>
      <c r="AL15" s="111">
        <v>0.8</v>
      </c>
      <c r="AM15" s="111">
        <v>0.8</v>
      </c>
      <c r="AN15" s="111">
        <v>0.8</v>
      </c>
      <c r="AO15" s="111">
        <v>0</v>
      </c>
      <c r="AP15" s="111">
        <v>0.8</v>
      </c>
      <c r="AQ15" s="111">
        <v>0.8</v>
      </c>
      <c r="AR15" s="111">
        <v>0.8</v>
      </c>
      <c r="AS15" s="111">
        <v>0</v>
      </c>
      <c r="AT15" s="111">
        <v>0</v>
      </c>
      <c r="AU15" s="111">
        <v>0</v>
      </c>
    </row>
    <row r="16" spans="1:47" customFormat="1" x14ac:dyDescent="0.15">
      <c r="A16" s="190" t="s">
        <v>207</v>
      </c>
      <c r="B16" s="111">
        <v>0</v>
      </c>
      <c r="C16" s="111">
        <v>0</v>
      </c>
      <c r="D16" s="111">
        <v>0</v>
      </c>
      <c r="E16" s="111">
        <v>0</v>
      </c>
      <c r="F16" s="111">
        <v>0</v>
      </c>
      <c r="G16" s="111">
        <v>0</v>
      </c>
      <c r="H16" s="111">
        <v>0</v>
      </c>
      <c r="I16" s="111">
        <v>0</v>
      </c>
      <c r="J16" s="111">
        <v>0</v>
      </c>
      <c r="K16" s="111">
        <v>0</v>
      </c>
      <c r="L16" s="111">
        <v>0</v>
      </c>
      <c r="M16" s="111">
        <v>0</v>
      </c>
      <c r="N16" s="111">
        <v>0</v>
      </c>
      <c r="O16" s="111">
        <v>0</v>
      </c>
      <c r="P16" s="111">
        <v>0</v>
      </c>
      <c r="Q16" s="111">
        <v>0.8</v>
      </c>
      <c r="R16" s="111">
        <v>0</v>
      </c>
      <c r="S16" s="111">
        <v>0</v>
      </c>
      <c r="T16" s="111">
        <v>0</v>
      </c>
      <c r="U16" s="111">
        <v>0.8</v>
      </c>
      <c r="V16" s="111">
        <v>0.8</v>
      </c>
      <c r="W16" s="111">
        <v>0</v>
      </c>
      <c r="X16" s="111">
        <v>0</v>
      </c>
      <c r="Y16" s="111">
        <v>0.8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0.8</v>
      </c>
      <c r="AJ16" s="111">
        <v>0.8</v>
      </c>
      <c r="AK16" s="111">
        <v>0</v>
      </c>
      <c r="AL16" s="111">
        <v>0.8</v>
      </c>
      <c r="AM16" s="111">
        <v>0.8</v>
      </c>
      <c r="AN16" s="111">
        <v>0.8</v>
      </c>
      <c r="AO16" s="111">
        <v>0</v>
      </c>
      <c r="AP16" s="111">
        <v>0</v>
      </c>
      <c r="AQ16" s="111">
        <v>0.8</v>
      </c>
      <c r="AR16" s="111">
        <v>0</v>
      </c>
      <c r="AS16" s="111">
        <v>0</v>
      </c>
      <c r="AT16" s="111">
        <v>0</v>
      </c>
      <c r="AU16" s="111">
        <v>0</v>
      </c>
    </row>
    <row r="17" spans="1:47" customFormat="1" x14ac:dyDescent="0.15">
      <c r="A17" s="190" t="s">
        <v>208</v>
      </c>
      <c r="B17" s="111">
        <v>0</v>
      </c>
      <c r="C17" s="111">
        <v>0</v>
      </c>
      <c r="D17" s="111">
        <v>0</v>
      </c>
      <c r="E17" s="111">
        <v>0</v>
      </c>
      <c r="F17" s="111">
        <v>0</v>
      </c>
      <c r="G17" s="111">
        <v>0</v>
      </c>
      <c r="H17" s="111">
        <v>0</v>
      </c>
      <c r="I17" s="111">
        <v>0</v>
      </c>
      <c r="J17" s="111">
        <v>0</v>
      </c>
      <c r="K17" s="111">
        <v>0</v>
      </c>
      <c r="L17" s="111">
        <v>0</v>
      </c>
      <c r="M17" s="111">
        <v>0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0.8</v>
      </c>
      <c r="AM17" s="111">
        <v>0.8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  <c r="AU17" s="111">
        <v>0</v>
      </c>
    </row>
    <row r="18" spans="1:47" customFormat="1" x14ac:dyDescent="0.15">
      <c r="A18" s="190" t="s">
        <v>209</v>
      </c>
      <c r="B18" s="111">
        <v>0</v>
      </c>
      <c r="C18" s="111">
        <v>0</v>
      </c>
      <c r="D18" s="111">
        <v>0</v>
      </c>
      <c r="E18" s="111">
        <v>0</v>
      </c>
      <c r="F18" s="111">
        <v>0</v>
      </c>
      <c r="G18" s="111">
        <v>0.8</v>
      </c>
      <c r="H18" s="111">
        <v>0</v>
      </c>
      <c r="I18" s="111">
        <v>0</v>
      </c>
      <c r="J18" s="111">
        <v>0</v>
      </c>
      <c r="K18" s="111">
        <v>0</v>
      </c>
      <c r="L18" s="111">
        <v>0</v>
      </c>
      <c r="M18" s="111">
        <v>0.8</v>
      </c>
      <c r="N18" s="111">
        <v>0</v>
      </c>
      <c r="O18" s="111">
        <v>0</v>
      </c>
      <c r="P18" s="111">
        <v>0</v>
      </c>
      <c r="Q18" s="111">
        <v>0.8</v>
      </c>
      <c r="R18" s="111">
        <v>0.8</v>
      </c>
      <c r="S18" s="111">
        <v>0.8</v>
      </c>
      <c r="T18" s="111">
        <v>0</v>
      </c>
      <c r="U18" s="111">
        <v>0</v>
      </c>
      <c r="V18" s="111">
        <v>0.8</v>
      </c>
      <c r="W18" s="111">
        <v>0</v>
      </c>
      <c r="X18" s="111">
        <v>0.8</v>
      </c>
      <c r="Y18" s="111">
        <v>0.8</v>
      </c>
      <c r="Z18" s="111">
        <v>0.8</v>
      </c>
      <c r="AA18" s="111">
        <v>0.8</v>
      </c>
      <c r="AB18" s="111">
        <v>0</v>
      </c>
      <c r="AC18" s="111">
        <v>0.8</v>
      </c>
      <c r="AD18" s="111">
        <v>0.8</v>
      </c>
      <c r="AE18" s="111">
        <v>0</v>
      </c>
      <c r="AF18" s="111">
        <v>0.8</v>
      </c>
      <c r="AG18" s="111">
        <v>0.8</v>
      </c>
      <c r="AH18" s="111">
        <v>0.8</v>
      </c>
      <c r="AI18" s="111">
        <v>0.8</v>
      </c>
      <c r="AJ18" s="111">
        <v>0.8</v>
      </c>
      <c r="AK18" s="111">
        <v>0.8</v>
      </c>
      <c r="AL18" s="111">
        <v>0.8</v>
      </c>
      <c r="AM18" s="111">
        <v>0.8</v>
      </c>
      <c r="AN18" s="111">
        <v>0</v>
      </c>
      <c r="AO18" s="111">
        <v>0.8</v>
      </c>
      <c r="AP18" s="111">
        <v>0.8</v>
      </c>
      <c r="AQ18" s="111">
        <v>0.8</v>
      </c>
      <c r="AR18" s="111">
        <v>0.8</v>
      </c>
      <c r="AS18" s="111">
        <v>0.8</v>
      </c>
      <c r="AT18" s="111">
        <v>0</v>
      </c>
      <c r="AU18" s="111">
        <v>0</v>
      </c>
    </row>
    <row r="19" spans="1:47" customFormat="1" x14ac:dyDescent="0.15">
      <c r="A19" s="190" t="s">
        <v>210</v>
      </c>
      <c r="B19" s="111">
        <v>0</v>
      </c>
      <c r="C19" s="111">
        <v>0</v>
      </c>
      <c r="D19" s="111">
        <v>0</v>
      </c>
      <c r="E19" s="111">
        <v>0</v>
      </c>
      <c r="F19" s="111">
        <v>0</v>
      </c>
      <c r="G19" s="111">
        <v>0.8</v>
      </c>
      <c r="H19" s="111">
        <v>0</v>
      </c>
      <c r="I19" s="111">
        <v>0</v>
      </c>
      <c r="J19" s="111">
        <v>0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0.8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0.8</v>
      </c>
      <c r="AH19" s="111">
        <v>0</v>
      </c>
      <c r="AI19" s="111">
        <v>0</v>
      </c>
      <c r="AJ19" s="111">
        <v>0</v>
      </c>
      <c r="AK19" s="111">
        <v>0</v>
      </c>
      <c r="AL19" s="111">
        <v>0.8</v>
      </c>
      <c r="AM19" s="111">
        <v>0.8</v>
      </c>
      <c r="AN19" s="111">
        <v>0</v>
      </c>
      <c r="AO19" s="111">
        <v>0</v>
      </c>
      <c r="AP19" s="111">
        <v>0.8</v>
      </c>
      <c r="AQ19" s="111">
        <v>0</v>
      </c>
      <c r="AR19" s="111">
        <v>0</v>
      </c>
      <c r="AS19" s="111">
        <v>0</v>
      </c>
      <c r="AT19" s="111">
        <v>0</v>
      </c>
      <c r="AU19" s="111">
        <v>0</v>
      </c>
    </row>
    <row r="20" spans="1:47" customFormat="1" x14ac:dyDescent="0.15">
      <c r="A20" s="190" t="s">
        <v>211</v>
      </c>
      <c r="B20" s="111">
        <v>0</v>
      </c>
      <c r="C20" s="111">
        <v>0</v>
      </c>
      <c r="D20" s="111">
        <v>0</v>
      </c>
      <c r="E20" s="111">
        <v>0</v>
      </c>
      <c r="F20" s="111">
        <v>0</v>
      </c>
      <c r="G20" s="111">
        <v>0</v>
      </c>
      <c r="H20" s="111">
        <v>0</v>
      </c>
      <c r="I20" s="111">
        <v>0</v>
      </c>
      <c r="J20" s="111">
        <v>0</v>
      </c>
      <c r="K20" s="111">
        <v>0</v>
      </c>
      <c r="L20" s="111">
        <v>0.8</v>
      </c>
      <c r="M20" s="111">
        <v>0.8</v>
      </c>
      <c r="N20" s="111">
        <v>0.8</v>
      </c>
      <c r="O20" s="111">
        <v>0</v>
      </c>
      <c r="P20" s="111">
        <v>0</v>
      </c>
      <c r="Q20" s="111">
        <v>0.8</v>
      </c>
      <c r="R20" s="111">
        <v>0</v>
      </c>
      <c r="S20" s="111">
        <v>0</v>
      </c>
      <c r="T20" s="111">
        <v>0.8</v>
      </c>
      <c r="U20" s="111">
        <v>0.8</v>
      </c>
      <c r="V20" s="111">
        <v>0.8</v>
      </c>
      <c r="W20" s="111">
        <v>0.8</v>
      </c>
      <c r="X20" s="111">
        <v>0.8</v>
      </c>
      <c r="Y20" s="111">
        <v>0.8</v>
      </c>
      <c r="Z20" s="111">
        <v>0.8</v>
      </c>
      <c r="AA20" s="111">
        <v>0.8</v>
      </c>
      <c r="AB20" s="111">
        <v>0.8</v>
      </c>
      <c r="AC20" s="111">
        <v>0.8</v>
      </c>
      <c r="AD20" s="111">
        <v>0.8</v>
      </c>
      <c r="AE20" s="111">
        <v>0.8</v>
      </c>
      <c r="AF20" s="111">
        <v>0.8</v>
      </c>
      <c r="AG20" s="111">
        <v>0.8</v>
      </c>
      <c r="AH20" s="111">
        <v>0.8</v>
      </c>
      <c r="AI20" s="111">
        <v>0.8</v>
      </c>
      <c r="AJ20" s="111">
        <v>0.8</v>
      </c>
      <c r="AK20" s="111">
        <v>0.8</v>
      </c>
      <c r="AL20" s="111">
        <v>0.8</v>
      </c>
      <c r="AM20" s="111">
        <v>0.8</v>
      </c>
      <c r="AN20" s="111">
        <v>0.8</v>
      </c>
      <c r="AO20" s="111">
        <v>0</v>
      </c>
      <c r="AP20" s="111">
        <v>0.8</v>
      </c>
      <c r="AQ20" s="111">
        <v>0.8</v>
      </c>
      <c r="AR20" s="111">
        <v>0</v>
      </c>
      <c r="AS20" s="111">
        <v>0</v>
      </c>
      <c r="AT20" s="111">
        <v>0</v>
      </c>
      <c r="AU20" s="111">
        <v>0</v>
      </c>
    </row>
    <row r="21" spans="1:47" customFormat="1" x14ac:dyDescent="0.15">
      <c r="A21" s="190" t="s">
        <v>212</v>
      </c>
      <c r="B21" s="111">
        <v>0</v>
      </c>
      <c r="C21" s="111">
        <v>0</v>
      </c>
      <c r="D21" s="111">
        <v>0</v>
      </c>
      <c r="E21" s="111">
        <v>0</v>
      </c>
      <c r="F21" s="111">
        <v>0</v>
      </c>
      <c r="G21" s="111">
        <v>0</v>
      </c>
      <c r="H21" s="111">
        <v>0</v>
      </c>
      <c r="I21" s="111">
        <v>0</v>
      </c>
      <c r="J21" s="111">
        <v>0</v>
      </c>
      <c r="K21" s="111">
        <v>0</v>
      </c>
      <c r="L21" s="111">
        <v>0.8</v>
      </c>
      <c r="M21" s="111">
        <v>0</v>
      </c>
      <c r="N21" s="111">
        <v>0</v>
      </c>
      <c r="O21" s="111">
        <v>0</v>
      </c>
      <c r="P21" s="111">
        <v>0</v>
      </c>
      <c r="Q21" s="111">
        <v>0.8</v>
      </c>
      <c r="R21" s="111">
        <v>0</v>
      </c>
      <c r="S21" s="111">
        <v>0</v>
      </c>
      <c r="T21" s="111">
        <v>0</v>
      </c>
      <c r="U21" s="111">
        <v>0</v>
      </c>
      <c r="V21" s="111">
        <v>0.8</v>
      </c>
      <c r="W21" s="111">
        <v>0</v>
      </c>
      <c r="X21" s="111">
        <v>0</v>
      </c>
      <c r="Y21" s="111">
        <v>0</v>
      </c>
      <c r="Z21" s="111">
        <v>0.8</v>
      </c>
      <c r="AA21" s="111">
        <v>0.8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0.8</v>
      </c>
      <c r="AH21" s="111">
        <v>0</v>
      </c>
      <c r="AI21" s="111">
        <v>0</v>
      </c>
      <c r="AJ21" s="111">
        <v>0</v>
      </c>
      <c r="AK21" s="111">
        <v>0.8</v>
      </c>
      <c r="AL21" s="111">
        <v>0.8</v>
      </c>
      <c r="AM21" s="111">
        <v>0.8</v>
      </c>
      <c r="AN21" s="111">
        <v>0.8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  <c r="AU21" s="111">
        <v>0</v>
      </c>
    </row>
    <row r="22" spans="1:47" customFormat="1" x14ac:dyDescent="0.15">
      <c r="A22" s="190" t="s">
        <v>213</v>
      </c>
      <c r="B22" s="111">
        <v>0</v>
      </c>
      <c r="C22" s="111">
        <v>0</v>
      </c>
      <c r="D22" s="111">
        <v>0</v>
      </c>
      <c r="E22" s="111">
        <v>0</v>
      </c>
      <c r="F22" s="111">
        <v>0</v>
      </c>
      <c r="G22" s="111">
        <v>0</v>
      </c>
      <c r="H22" s="111">
        <v>0</v>
      </c>
      <c r="I22" s="111">
        <v>0</v>
      </c>
      <c r="J22" s="111">
        <v>0</v>
      </c>
      <c r="K22" s="111">
        <v>0</v>
      </c>
      <c r="L22" s="111">
        <v>0</v>
      </c>
      <c r="M22" s="111">
        <v>0</v>
      </c>
      <c r="N22" s="111">
        <v>0</v>
      </c>
      <c r="O22" s="111">
        <v>0</v>
      </c>
      <c r="P22" s="111">
        <v>0</v>
      </c>
      <c r="Q22" s="111">
        <v>0.8</v>
      </c>
      <c r="R22" s="111">
        <v>0</v>
      </c>
      <c r="S22" s="111">
        <v>0</v>
      </c>
      <c r="T22" s="111">
        <v>0</v>
      </c>
      <c r="U22" s="111">
        <v>0</v>
      </c>
      <c r="V22" s="111">
        <v>0.8</v>
      </c>
      <c r="W22" s="111">
        <v>0</v>
      </c>
      <c r="X22" s="111">
        <v>0</v>
      </c>
      <c r="Y22" s="111">
        <v>0.8</v>
      </c>
      <c r="Z22" s="111">
        <v>0</v>
      </c>
      <c r="AA22" s="111">
        <v>0.8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0.8</v>
      </c>
      <c r="AL22" s="111">
        <v>0.8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  <c r="AU22" s="111">
        <v>0</v>
      </c>
    </row>
    <row r="23" spans="1:47" customFormat="1" x14ac:dyDescent="0.15">
      <c r="A23" s="190" t="s">
        <v>214</v>
      </c>
      <c r="B23" s="111">
        <v>0</v>
      </c>
      <c r="C23" s="111">
        <v>0</v>
      </c>
      <c r="D23" s="111">
        <v>0</v>
      </c>
      <c r="E23" s="111">
        <v>0</v>
      </c>
      <c r="F23" s="111">
        <v>0</v>
      </c>
      <c r="G23" s="111">
        <v>0.8</v>
      </c>
      <c r="H23" s="111">
        <v>0</v>
      </c>
      <c r="I23" s="111">
        <v>0</v>
      </c>
      <c r="J23" s="111">
        <v>0</v>
      </c>
      <c r="K23" s="111">
        <v>0</v>
      </c>
      <c r="L23" s="111">
        <v>0</v>
      </c>
      <c r="M23" s="111">
        <v>0</v>
      </c>
      <c r="N23" s="111">
        <v>0</v>
      </c>
      <c r="O23" s="111">
        <v>0</v>
      </c>
      <c r="P23" s="111">
        <v>0</v>
      </c>
      <c r="Q23" s="111">
        <v>0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0.8</v>
      </c>
      <c r="X23" s="111">
        <v>0.8</v>
      </c>
      <c r="Y23" s="111">
        <v>0.8</v>
      </c>
      <c r="Z23" s="111">
        <v>0</v>
      </c>
      <c r="AA23" s="111">
        <v>0.8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0.8</v>
      </c>
      <c r="AH23" s="111">
        <v>0</v>
      </c>
      <c r="AI23" s="111">
        <v>0.8</v>
      </c>
      <c r="AJ23" s="111">
        <v>0</v>
      </c>
      <c r="AK23" s="111">
        <v>0</v>
      </c>
      <c r="AL23" s="111">
        <v>0.8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  <c r="AU23" s="111">
        <v>0</v>
      </c>
    </row>
    <row r="24" spans="1:47" customFormat="1" x14ac:dyDescent="0.15">
      <c r="A24" s="190" t="s">
        <v>215</v>
      </c>
      <c r="B24" s="111">
        <v>0</v>
      </c>
      <c r="C24" s="111">
        <v>0</v>
      </c>
      <c r="D24" s="111">
        <v>0</v>
      </c>
      <c r="E24" s="111">
        <v>0</v>
      </c>
      <c r="F24" s="111">
        <v>0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0.8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0.8</v>
      </c>
      <c r="AH24" s="111">
        <v>0</v>
      </c>
      <c r="AI24" s="111">
        <v>0.8</v>
      </c>
      <c r="AJ24" s="111">
        <v>0</v>
      </c>
      <c r="AK24" s="111">
        <v>0</v>
      </c>
      <c r="AL24" s="111">
        <v>0.8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  <c r="AU24" s="111">
        <v>0</v>
      </c>
    </row>
    <row r="25" spans="1:47" customFormat="1" x14ac:dyDescent="0.15">
      <c r="A25" s="190" t="s">
        <v>216</v>
      </c>
      <c r="B25" s="111">
        <v>0</v>
      </c>
      <c r="C25" s="111">
        <v>0</v>
      </c>
      <c r="D25" s="111">
        <v>0</v>
      </c>
      <c r="E25" s="111">
        <v>0</v>
      </c>
      <c r="F25" s="111">
        <v>0</v>
      </c>
      <c r="G25" s="111">
        <v>0</v>
      </c>
      <c r="H25" s="111">
        <v>0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0.8</v>
      </c>
      <c r="AG25" s="111">
        <v>0</v>
      </c>
      <c r="AH25" s="111">
        <v>0</v>
      </c>
      <c r="AI25" s="111">
        <v>0.8</v>
      </c>
      <c r="AJ25" s="111">
        <v>0</v>
      </c>
      <c r="AK25" s="111">
        <v>0</v>
      </c>
      <c r="AL25" s="111">
        <v>0.8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  <c r="AU25" s="111">
        <v>0</v>
      </c>
    </row>
    <row r="26" spans="1:47" customFormat="1" x14ac:dyDescent="0.15">
      <c r="A26" s="190" t="s">
        <v>217</v>
      </c>
      <c r="B26" s="111">
        <v>0</v>
      </c>
      <c r="C26" s="111">
        <v>0</v>
      </c>
      <c r="D26" s="111">
        <v>0</v>
      </c>
      <c r="E26" s="111">
        <v>0</v>
      </c>
      <c r="F26" s="111">
        <v>0</v>
      </c>
      <c r="G26" s="111">
        <v>0</v>
      </c>
      <c r="H26" s="111">
        <v>0</v>
      </c>
      <c r="I26" s="111">
        <v>0</v>
      </c>
      <c r="J26" s="111">
        <v>0</v>
      </c>
      <c r="K26" s="111">
        <v>0</v>
      </c>
      <c r="L26" s="111">
        <v>0</v>
      </c>
      <c r="M26" s="111">
        <v>0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</v>
      </c>
      <c r="Y26" s="111">
        <v>0</v>
      </c>
      <c r="Z26" s="111">
        <v>0.8</v>
      </c>
      <c r="AA26" s="111">
        <v>0.8</v>
      </c>
      <c r="AB26" s="111">
        <v>0</v>
      </c>
      <c r="AC26" s="111">
        <v>0</v>
      </c>
      <c r="AD26" s="111">
        <v>0.8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0.8</v>
      </c>
      <c r="AL26" s="111">
        <v>0.8</v>
      </c>
      <c r="AM26" s="111">
        <v>0.8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  <c r="AU26" s="111">
        <v>0</v>
      </c>
    </row>
    <row r="27" spans="1:47" customFormat="1" x14ac:dyDescent="0.15">
      <c r="A27" s="190" t="s">
        <v>218</v>
      </c>
      <c r="B27" s="111">
        <v>0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111">
        <v>0</v>
      </c>
      <c r="P27" s="111">
        <v>0</v>
      </c>
      <c r="Q27" s="111">
        <v>0</v>
      </c>
      <c r="R27" s="111">
        <v>0</v>
      </c>
      <c r="S27" s="111">
        <v>0</v>
      </c>
      <c r="T27" s="111">
        <v>0</v>
      </c>
      <c r="U27" s="111">
        <v>0</v>
      </c>
      <c r="V27" s="111">
        <v>0</v>
      </c>
      <c r="W27" s="111">
        <v>0</v>
      </c>
      <c r="X27" s="111">
        <v>0</v>
      </c>
      <c r="Y27" s="111">
        <v>0</v>
      </c>
      <c r="Z27" s="111">
        <v>0</v>
      </c>
      <c r="AA27" s="111">
        <v>0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0.8</v>
      </c>
      <c r="AL27" s="111">
        <v>0.8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  <c r="AT27" s="111">
        <v>0</v>
      </c>
      <c r="AU27" s="111">
        <v>0</v>
      </c>
    </row>
    <row r="28" spans="1:47" customFormat="1" x14ac:dyDescent="0.15">
      <c r="A28" s="190" t="s">
        <v>219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0</v>
      </c>
      <c r="H28" s="111">
        <v>0</v>
      </c>
      <c r="I28" s="111">
        <v>0</v>
      </c>
      <c r="J28" s="111">
        <v>0</v>
      </c>
      <c r="K28" s="111">
        <v>0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</v>
      </c>
      <c r="R28" s="111">
        <v>0</v>
      </c>
      <c r="S28" s="111">
        <v>0</v>
      </c>
      <c r="T28" s="111">
        <v>0</v>
      </c>
      <c r="U28" s="111">
        <v>0</v>
      </c>
      <c r="V28" s="111">
        <v>0</v>
      </c>
      <c r="W28" s="111">
        <v>0</v>
      </c>
      <c r="X28" s="111">
        <v>0</v>
      </c>
      <c r="Y28" s="111">
        <v>0</v>
      </c>
      <c r="Z28" s="111">
        <v>0</v>
      </c>
      <c r="AA28" s="111">
        <v>0</v>
      </c>
      <c r="AB28" s="111">
        <v>0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0.8</v>
      </c>
      <c r="AL28" s="111">
        <v>0.8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  <c r="AT28" s="111">
        <v>0</v>
      </c>
      <c r="AU28" s="111">
        <v>0</v>
      </c>
    </row>
    <row r="29" spans="1:47" customFormat="1" x14ac:dyDescent="0.15">
      <c r="A29" s="190" t="s">
        <v>220</v>
      </c>
      <c r="B29" s="111">
        <v>0</v>
      </c>
      <c r="C29" s="111">
        <v>0</v>
      </c>
      <c r="D29" s="111">
        <v>0</v>
      </c>
      <c r="E29" s="111">
        <v>0</v>
      </c>
      <c r="F29" s="111">
        <v>0</v>
      </c>
      <c r="G29" s="111">
        <v>0</v>
      </c>
      <c r="H29" s="111">
        <v>0</v>
      </c>
      <c r="I29" s="111">
        <v>0</v>
      </c>
      <c r="J29" s="111">
        <v>0</v>
      </c>
      <c r="K29" s="111">
        <v>0</v>
      </c>
      <c r="L29" s="111">
        <v>0</v>
      </c>
      <c r="M29" s="111">
        <v>0</v>
      </c>
      <c r="N29" s="111">
        <v>0</v>
      </c>
      <c r="O29" s="111">
        <v>0</v>
      </c>
      <c r="P29" s="111">
        <v>0</v>
      </c>
      <c r="Q29" s="111">
        <v>0</v>
      </c>
      <c r="R29" s="111">
        <v>0</v>
      </c>
      <c r="S29" s="111">
        <v>0</v>
      </c>
      <c r="T29" s="111">
        <v>0</v>
      </c>
      <c r="U29" s="111">
        <v>0</v>
      </c>
      <c r="V29" s="111">
        <v>0</v>
      </c>
      <c r="W29" s="111">
        <v>0</v>
      </c>
      <c r="X29" s="111">
        <v>0</v>
      </c>
      <c r="Y29" s="111">
        <v>0</v>
      </c>
      <c r="Z29" s="111">
        <v>0</v>
      </c>
      <c r="AA29" s="111">
        <v>0</v>
      </c>
      <c r="AB29" s="111">
        <v>0</v>
      </c>
      <c r="AC29" s="111">
        <v>0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0.8</v>
      </c>
      <c r="AL29" s="111">
        <v>0.8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  <c r="AT29" s="111">
        <v>0</v>
      </c>
      <c r="AU29" s="111">
        <v>0</v>
      </c>
    </row>
    <row r="30" spans="1:47" customFormat="1" x14ac:dyDescent="0.15">
      <c r="A30" s="190" t="s">
        <v>221</v>
      </c>
      <c r="B30" s="111">
        <v>0</v>
      </c>
      <c r="C30" s="111">
        <v>0</v>
      </c>
      <c r="D30" s="111">
        <v>0</v>
      </c>
      <c r="E30" s="111">
        <v>0</v>
      </c>
      <c r="F30" s="111">
        <v>0</v>
      </c>
      <c r="G30" s="111">
        <v>0</v>
      </c>
      <c r="H30" s="111">
        <v>0</v>
      </c>
      <c r="I30" s="111">
        <v>0</v>
      </c>
      <c r="J30" s="111">
        <v>0</v>
      </c>
      <c r="K30" s="111">
        <v>0</v>
      </c>
      <c r="L30" s="111">
        <v>0.8</v>
      </c>
      <c r="M30" s="111">
        <v>0</v>
      </c>
      <c r="N30" s="111">
        <v>0.8</v>
      </c>
      <c r="O30" s="111">
        <v>0</v>
      </c>
      <c r="P30" s="111">
        <v>0</v>
      </c>
      <c r="Q30" s="111">
        <v>0</v>
      </c>
      <c r="R30" s="111">
        <v>0</v>
      </c>
      <c r="S30" s="111">
        <v>0</v>
      </c>
      <c r="T30" s="111">
        <v>0</v>
      </c>
      <c r="U30" s="111">
        <v>0</v>
      </c>
      <c r="V30" s="111">
        <v>0</v>
      </c>
      <c r="W30" s="111">
        <v>0</v>
      </c>
      <c r="X30" s="111">
        <v>0</v>
      </c>
      <c r="Y30" s="111">
        <v>0</v>
      </c>
      <c r="Z30" s="111">
        <v>0.8</v>
      </c>
      <c r="AA30" s="111">
        <v>0</v>
      </c>
      <c r="AB30" s="111">
        <v>0</v>
      </c>
      <c r="AC30" s="111">
        <v>0</v>
      </c>
      <c r="AD30" s="111">
        <v>0</v>
      </c>
      <c r="AE30" s="111">
        <v>0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0.8</v>
      </c>
      <c r="AL30" s="111">
        <v>0.8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  <c r="AU30" s="111">
        <v>0</v>
      </c>
    </row>
    <row r="31" spans="1:47" customFormat="1" x14ac:dyDescent="0.15">
      <c r="A31" s="190" t="s">
        <v>222</v>
      </c>
      <c r="B31" s="111">
        <v>0</v>
      </c>
      <c r="C31" s="111">
        <v>0</v>
      </c>
      <c r="D31" s="111">
        <v>0</v>
      </c>
      <c r="E31" s="111">
        <v>0</v>
      </c>
      <c r="F31" s="111">
        <v>0</v>
      </c>
      <c r="G31" s="111">
        <v>0</v>
      </c>
      <c r="H31" s="111">
        <v>0</v>
      </c>
      <c r="I31" s="111">
        <v>0</v>
      </c>
      <c r="J31" s="111">
        <v>0</v>
      </c>
      <c r="K31" s="111">
        <v>0</v>
      </c>
      <c r="L31" s="111">
        <v>0</v>
      </c>
      <c r="M31" s="111">
        <v>0</v>
      </c>
      <c r="N31" s="111">
        <v>0</v>
      </c>
      <c r="O31" s="111">
        <v>0</v>
      </c>
      <c r="P31" s="111">
        <v>0</v>
      </c>
      <c r="Q31" s="111">
        <v>0</v>
      </c>
      <c r="R31" s="111">
        <v>0</v>
      </c>
      <c r="S31" s="111">
        <v>0</v>
      </c>
      <c r="T31" s="111">
        <v>0</v>
      </c>
      <c r="U31" s="111">
        <v>0</v>
      </c>
      <c r="V31" s="111">
        <v>0</v>
      </c>
      <c r="W31" s="111">
        <v>0</v>
      </c>
      <c r="X31" s="111">
        <v>0</v>
      </c>
      <c r="Y31" s="111">
        <v>0</v>
      </c>
      <c r="Z31" s="111">
        <v>0</v>
      </c>
      <c r="AA31" s="111">
        <v>0</v>
      </c>
      <c r="AB31" s="111">
        <v>0</v>
      </c>
      <c r="AC31" s="111">
        <v>0</v>
      </c>
      <c r="AD31" s="111">
        <v>0</v>
      </c>
      <c r="AE31" s="111">
        <v>0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0.8</v>
      </c>
      <c r="AL31" s="111">
        <v>0.8</v>
      </c>
      <c r="AM31" s="111">
        <v>0.8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  <c r="AT31" s="111">
        <v>0</v>
      </c>
      <c r="AU31" s="111">
        <v>0</v>
      </c>
    </row>
    <row r="32" spans="1:47" customFormat="1" x14ac:dyDescent="0.15">
      <c r="A32" s="190" t="s">
        <v>223</v>
      </c>
      <c r="B32" s="111">
        <v>0</v>
      </c>
      <c r="C32" s="111">
        <v>0</v>
      </c>
      <c r="D32" s="111">
        <v>0</v>
      </c>
      <c r="E32" s="111">
        <v>0</v>
      </c>
      <c r="F32" s="111">
        <v>0</v>
      </c>
      <c r="G32" s="111">
        <v>0</v>
      </c>
      <c r="H32" s="111">
        <v>0</v>
      </c>
      <c r="I32" s="111">
        <v>0</v>
      </c>
      <c r="J32" s="111">
        <v>0</v>
      </c>
      <c r="K32" s="111">
        <v>0</v>
      </c>
      <c r="L32" s="111">
        <v>0</v>
      </c>
      <c r="M32" s="111">
        <v>0</v>
      </c>
      <c r="N32" s="111">
        <v>0</v>
      </c>
      <c r="O32" s="111">
        <v>0</v>
      </c>
      <c r="P32" s="111">
        <v>0</v>
      </c>
      <c r="Q32" s="111">
        <v>0.8</v>
      </c>
      <c r="R32" s="111">
        <v>0</v>
      </c>
      <c r="S32" s="111">
        <v>0</v>
      </c>
      <c r="T32" s="111">
        <v>0</v>
      </c>
      <c r="U32" s="111">
        <v>0</v>
      </c>
      <c r="V32" s="111">
        <v>0</v>
      </c>
      <c r="W32" s="111">
        <v>0</v>
      </c>
      <c r="X32" s="111">
        <v>0</v>
      </c>
      <c r="Y32" s="111">
        <v>0</v>
      </c>
      <c r="Z32" s="111">
        <v>0</v>
      </c>
      <c r="AA32" s="111">
        <v>0</v>
      </c>
      <c r="AB32" s="111">
        <v>0</v>
      </c>
      <c r="AC32" s="111">
        <v>0</v>
      </c>
      <c r="AD32" s="111">
        <v>0</v>
      </c>
      <c r="AE32" s="111">
        <v>0</v>
      </c>
      <c r="AF32" s="111">
        <v>0</v>
      </c>
      <c r="AG32" s="111">
        <v>0</v>
      </c>
      <c r="AH32" s="111">
        <v>0</v>
      </c>
      <c r="AI32" s="111">
        <v>0</v>
      </c>
      <c r="AJ32" s="111">
        <v>0</v>
      </c>
      <c r="AK32" s="111">
        <v>0.8</v>
      </c>
      <c r="AL32" s="111">
        <v>0.8</v>
      </c>
      <c r="AM32" s="111">
        <v>0.8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  <c r="AU32" s="111">
        <v>0</v>
      </c>
    </row>
    <row r="33" spans="1:47" x14ac:dyDescent="0.15">
      <c r="A33" s="190" t="s">
        <v>224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0</v>
      </c>
      <c r="H33" s="111">
        <v>0</v>
      </c>
      <c r="I33" s="111">
        <v>0</v>
      </c>
      <c r="J33" s="111">
        <v>0</v>
      </c>
      <c r="K33" s="111">
        <v>0</v>
      </c>
      <c r="L33" s="111">
        <v>0</v>
      </c>
      <c r="M33" s="111">
        <v>0</v>
      </c>
      <c r="N33" s="111">
        <v>0</v>
      </c>
      <c r="O33" s="111">
        <v>0</v>
      </c>
      <c r="P33" s="111">
        <v>0</v>
      </c>
      <c r="Q33" s="111">
        <v>0.8</v>
      </c>
      <c r="R33" s="111">
        <v>0</v>
      </c>
      <c r="S33" s="111">
        <v>0</v>
      </c>
      <c r="T33" s="111">
        <v>0</v>
      </c>
      <c r="U33" s="111">
        <v>0</v>
      </c>
      <c r="V33" s="111">
        <v>0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0.8</v>
      </c>
      <c r="AL33" s="111">
        <v>0.8</v>
      </c>
      <c r="AM33" s="111">
        <v>0.8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  <c r="AU33" s="111">
        <v>0</v>
      </c>
    </row>
    <row r="34" spans="1:47" x14ac:dyDescent="0.15">
      <c r="A34" s="190" t="s">
        <v>225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0</v>
      </c>
      <c r="I34" s="111">
        <v>0</v>
      </c>
      <c r="J34" s="111">
        <v>0</v>
      </c>
      <c r="K34" s="111">
        <v>0</v>
      </c>
      <c r="L34" s="111">
        <v>0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</v>
      </c>
      <c r="V34" s="111">
        <v>0</v>
      </c>
      <c r="W34" s="111">
        <v>0</v>
      </c>
      <c r="X34" s="111">
        <v>0</v>
      </c>
      <c r="Y34" s="111">
        <v>0</v>
      </c>
      <c r="Z34" s="111">
        <v>0</v>
      </c>
      <c r="AA34" s="111">
        <v>0.8</v>
      </c>
      <c r="AB34" s="111">
        <v>0</v>
      </c>
      <c r="AC34" s="111">
        <v>0.8</v>
      </c>
      <c r="AD34" s="111">
        <v>0</v>
      </c>
      <c r="AE34" s="111">
        <v>0</v>
      </c>
      <c r="AF34" s="111">
        <v>0</v>
      </c>
      <c r="AG34" s="111">
        <v>0</v>
      </c>
      <c r="AH34" s="111">
        <v>0</v>
      </c>
      <c r="AI34" s="111">
        <v>0</v>
      </c>
      <c r="AJ34" s="111">
        <v>0</v>
      </c>
      <c r="AK34" s="111">
        <v>0.8</v>
      </c>
      <c r="AL34" s="111">
        <v>0.8</v>
      </c>
      <c r="AM34" s="111">
        <v>0.8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  <c r="AT34" s="111">
        <v>0</v>
      </c>
      <c r="AU34" s="111">
        <v>0</v>
      </c>
    </row>
    <row r="35" spans="1:47" x14ac:dyDescent="0.15">
      <c r="A35" s="190" t="s">
        <v>226</v>
      </c>
      <c r="B35" s="111">
        <v>0</v>
      </c>
      <c r="C35" s="111">
        <v>0</v>
      </c>
      <c r="D35" s="111">
        <v>0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0</v>
      </c>
      <c r="AC35" s="111">
        <v>0</v>
      </c>
      <c r="AD35" s="111">
        <v>0</v>
      </c>
      <c r="AE35" s="111">
        <v>0</v>
      </c>
      <c r="AF35" s="111">
        <v>0</v>
      </c>
      <c r="AG35" s="111">
        <v>0</v>
      </c>
      <c r="AH35" s="111">
        <v>0</v>
      </c>
      <c r="AI35" s="111">
        <v>0</v>
      </c>
      <c r="AJ35" s="111">
        <v>0</v>
      </c>
      <c r="AK35" s="111">
        <v>0.8</v>
      </c>
      <c r="AL35" s="111">
        <v>0.8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  <c r="AU35" s="111">
        <v>0</v>
      </c>
    </row>
    <row r="36" spans="1:47" x14ac:dyDescent="0.15">
      <c r="A36" s="190" t="s">
        <v>227</v>
      </c>
      <c r="B36" s="111">
        <v>0</v>
      </c>
      <c r="C36" s="111">
        <v>0</v>
      </c>
      <c r="D36" s="111">
        <v>0</v>
      </c>
      <c r="E36" s="111">
        <v>0</v>
      </c>
      <c r="F36" s="111">
        <v>0</v>
      </c>
      <c r="G36" s="111">
        <v>0</v>
      </c>
      <c r="H36" s="111">
        <v>0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0</v>
      </c>
      <c r="O36" s="111">
        <v>0</v>
      </c>
      <c r="P36" s="111">
        <v>0</v>
      </c>
      <c r="Q36" s="111">
        <v>0.8</v>
      </c>
      <c r="R36" s="111">
        <v>0</v>
      </c>
      <c r="S36" s="111">
        <v>0</v>
      </c>
      <c r="T36" s="111">
        <v>0</v>
      </c>
      <c r="U36" s="111">
        <v>0</v>
      </c>
      <c r="V36" s="111">
        <v>0</v>
      </c>
      <c r="W36" s="111">
        <v>0</v>
      </c>
      <c r="X36" s="111">
        <v>0</v>
      </c>
      <c r="Y36" s="111">
        <v>0</v>
      </c>
      <c r="Z36" s="111">
        <v>0.8</v>
      </c>
      <c r="AA36" s="111">
        <v>0.8</v>
      </c>
      <c r="AB36" s="111">
        <v>0</v>
      </c>
      <c r="AC36" s="111">
        <v>0</v>
      </c>
      <c r="AD36" s="111">
        <v>0</v>
      </c>
      <c r="AE36" s="111">
        <v>0</v>
      </c>
      <c r="AF36" s="111">
        <v>0</v>
      </c>
      <c r="AG36" s="111">
        <v>0</v>
      </c>
      <c r="AH36" s="111">
        <v>0</v>
      </c>
      <c r="AI36" s="111">
        <v>0</v>
      </c>
      <c r="AJ36" s="111">
        <v>0.8</v>
      </c>
      <c r="AK36" s="111">
        <v>0.8</v>
      </c>
      <c r="AL36" s="111">
        <v>0.8</v>
      </c>
      <c r="AM36" s="111">
        <v>0.8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  <c r="AU36" s="111">
        <v>0</v>
      </c>
    </row>
    <row r="37" spans="1:47" x14ac:dyDescent="0.15">
      <c r="A37" s="190" t="s">
        <v>228</v>
      </c>
      <c r="B37" s="111">
        <v>0</v>
      </c>
      <c r="C37" s="111">
        <v>0</v>
      </c>
      <c r="D37" s="111">
        <v>0</v>
      </c>
      <c r="E37" s="111">
        <v>0</v>
      </c>
      <c r="F37" s="111">
        <v>0</v>
      </c>
      <c r="G37" s="111">
        <v>0</v>
      </c>
      <c r="H37" s="111">
        <v>0</v>
      </c>
      <c r="I37" s="111">
        <v>0</v>
      </c>
      <c r="J37" s="111">
        <v>0</v>
      </c>
      <c r="K37" s="111">
        <v>0</v>
      </c>
      <c r="L37" s="111">
        <v>0</v>
      </c>
      <c r="M37" s="111">
        <v>0</v>
      </c>
      <c r="N37" s="111">
        <v>0</v>
      </c>
      <c r="O37" s="111">
        <v>0</v>
      </c>
      <c r="P37" s="111">
        <v>0</v>
      </c>
      <c r="Q37" s="111">
        <v>0</v>
      </c>
      <c r="R37" s="111">
        <v>0</v>
      </c>
      <c r="S37" s="111">
        <v>0</v>
      </c>
      <c r="T37" s="111">
        <v>0</v>
      </c>
      <c r="U37" s="111">
        <v>0</v>
      </c>
      <c r="V37" s="111">
        <v>0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0</v>
      </c>
      <c r="AC37" s="111">
        <v>0</v>
      </c>
      <c r="AD37" s="111">
        <v>0</v>
      </c>
      <c r="AE37" s="111">
        <v>0</v>
      </c>
      <c r="AF37" s="111">
        <v>0</v>
      </c>
      <c r="AG37" s="111">
        <v>0</v>
      </c>
      <c r="AH37" s="111">
        <v>0</v>
      </c>
      <c r="AI37" s="111">
        <v>0</v>
      </c>
      <c r="AJ37" s="111">
        <v>0</v>
      </c>
      <c r="AK37" s="111">
        <v>0.8</v>
      </c>
      <c r="AL37" s="111">
        <v>0.8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  <c r="AT37" s="111">
        <v>0</v>
      </c>
      <c r="AU37" s="111">
        <v>0</v>
      </c>
    </row>
    <row r="38" spans="1:47" x14ac:dyDescent="0.15">
      <c r="A38" s="190" t="s">
        <v>229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</v>
      </c>
      <c r="T38" s="111">
        <v>0</v>
      </c>
      <c r="U38" s="111">
        <v>0</v>
      </c>
      <c r="V38" s="111">
        <v>0.8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0</v>
      </c>
      <c r="AC38" s="111">
        <v>0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0.8</v>
      </c>
      <c r="AJ38" s="111">
        <v>0</v>
      </c>
      <c r="AK38" s="111">
        <v>0</v>
      </c>
      <c r="AL38" s="111">
        <v>0.8</v>
      </c>
      <c r="AM38" s="111">
        <v>0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</row>
    <row r="39" spans="1:47" x14ac:dyDescent="0.15">
      <c r="A39" s="190" t="s">
        <v>230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0</v>
      </c>
      <c r="AJ39" s="111">
        <v>0</v>
      </c>
      <c r="AK39" s="111">
        <v>0</v>
      </c>
      <c r="AL39" s="111">
        <v>0.8</v>
      </c>
      <c r="AM39" s="111">
        <v>0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0.8</v>
      </c>
      <c r="AT39" s="111">
        <v>0</v>
      </c>
      <c r="AU39" s="111">
        <v>0</v>
      </c>
    </row>
    <row r="40" spans="1:47" x14ac:dyDescent="0.15">
      <c r="A40" s="190" t="s">
        <v>231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>
        <v>0</v>
      </c>
      <c r="Q40" s="111">
        <v>0</v>
      </c>
      <c r="R40" s="111">
        <v>0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0</v>
      </c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0</v>
      </c>
      <c r="AJ40" s="111">
        <v>0</v>
      </c>
      <c r="AK40" s="111">
        <v>0</v>
      </c>
      <c r="AL40" s="111">
        <v>0</v>
      </c>
      <c r="AM40" s="111">
        <v>0.8</v>
      </c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0.8</v>
      </c>
      <c r="AT40" s="111">
        <v>0</v>
      </c>
      <c r="AU40" s="111">
        <v>0</v>
      </c>
    </row>
    <row r="41" spans="1:47" x14ac:dyDescent="0.15">
      <c r="A41" s="190" t="s">
        <v>232</v>
      </c>
      <c r="B41" s="111">
        <v>0</v>
      </c>
      <c r="C41" s="111">
        <v>0</v>
      </c>
      <c r="D41" s="111">
        <v>0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>
        <v>0</v>
      </c>
      <c r="K41" s="111">
        <v>0</v>
      </c>
      <c r="L41" s="111">
        <v>0</v>
      </c>
      <c r="M41" s="111">
        <v>0</v>
      </c>
      <c r="N41" s="111">
        <v>0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0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0</v>
      </c>
      <c r="AH41" s="111">
        <v>0</v>
      </c>
      <c r="AI41" s="111">
        <v>0</v>
      </c>
      <c r="AJ41" s="111">
        <v>0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0.8</v>
      </c>
      <c r="AT41" s="111">
        <v>0</v>
      </c>
      <c r="AU41" s="111">
        <v>0</v>
      </c>
    </row>
    <row r="42" spans="1:47" x14ac:dyDescent="0.15">
      <c r="A42" s="190" t="s">
        <v>233</v>
      </c>
      <c r="B42" s="111">
        <v>0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>
        <v>0</v>
      </c>
      <c r="K42" s="111">
        <v>0</v>
      </c>
      <c r="L42" s="111">
        <v>0</v>
      </c>
      <c r="M42" s="111">
        <v>0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0</v>
      </c>
      <c r="X42" s="111">
        <v>0</v>
      </c>
      <c r="Y42" s="111">
        <v>0</v>
      </c>
      <c r="Z42" s="111">
        <v>0</v>
      </c>
      <c r="AA42" s="111">
        <v>0</v>
      </c>
      <c r="AB42" s="111">
        <v>0</v>
      </c>
      <c r="AC42" s="111">
        <v>0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0.8</v>
      </c>
      <c r="AT42" s="111">
        <v>0</v>
      </c>
      <c r="AU42" s="111">
        <v>0</v>
      </c>
    </row>
    <row r="43" spans="1:47" x14ac:dyDescent="0.15">
      <c r="A43" s="190" t="s">
        <v>234</v>
      </c>
      <c r="B43" s="111">
        <v>0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0</v>
      </c>
      <c r="O43" s="111">
        <v>0</v>
      </c>
      <c r="P43" s="111">
        <v>0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0</v>
      </c>
      <c r="Z43" s="111">
        <v>0</v>
      </c>
      <c r="AA43" s="111">
        <v>0</v>
      </c>
      <c r="AB43" s="111">
        <v>0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0.8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0.8</v>
      </c>
      <c r="AT43" s="111">
        <v>0</v>
      </c>
      <c r="AU43" s="111">
        <v>0</v>
      </c>
    </row>
    <row r="44" spans="1:47" x14ac:dyDescent="0.15">
      <c r="A44" s="190" t="s">
        <v>235</v>
      </c>
      <c r="B44" s="111">
        <v>0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0.8</v>
      </c>
      <c r="AT44" s="111">
        <v>0</v>
      </c>
      <c r="AU44" s="111">
        <v>0</v>
      </c>
    </row>
    <row r="45" spans="1:47" x14ac:dyDescent="0.15">
      <c r="A45" s="190" t="s">
        <v>236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0.8</v>
      </c>
      <c r="AN45" s="111">
        <v>0</v>
      </c>
      <c r="AO45" s="111">
        <v>0</v>
      </c>
      <c r="AP45" s="111">
        <v>0</v>
      </c>
      <c r="AQ45" s="111">
        <v>0</v>
      </c>
      <c r="AR45" s="111">
        <v>0</v>
      </c>
      <c r="AS45" s="111">
        <v>0</v>
      </c>
      <c r="AT45" s="111">
        <v>0</v>
      </c>
      <c r="AU45" s="111">
        <v>0</v>
      </c>
    </row>
    <row r="46" spans="1:47" x14ac:dyDescent="0.15">
      <c r="A46" s="190" t="s">
        <v>237</v>
      </c>
      <c r="B46" s="111">
        <v>0</v>
      </c>
      <c r="C46" s="111">
        <v>0</v>
      </c>
      <c r="D46" s="111">
        <v>0.8</v>
      </c>
      <c r="E46" s="111">
        <v>0.8</v>
      </c>
      <c r="F46" s="111">
        <v>0.8</v>
      </c>
      <c r="G46" s="111">
        <v>0.8</v>
      </c>
      <c r="H46" s="111">
        <v>0.8</v>
      </c>
      <c r="I46" s="111">
        <v>0.8</v>
      </c>
      <c r="J46" s="111">
        <v>0.8</v>
      </c>
      <c r="K46" s="111">
        <v>0.8</v>
      </c>
      <c r="L46" s="111">
        <v>0.8</v>
      </c>
      <c r="M46" s="111">
        <v>0.8</v>
      </c>
      <c r="N46" s="111">
        <v>0</v>
      </c>
      <c r="O46" s="111">
        <v>0</v>
      </c>
      <c r="P46" s="111">
        <v>0</v>
      </c>
      <c r="Q46" s="111">
        <v>0</v>
      </c>
      <c r="R46" s="111">
        <v>0.8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0</v>
      </c>
      <c r="AM46" s="111">
        <v>0</v>
      </c>
      <c r="AN46" s="111">
        <v>0</v>
      </c>
      <c r="AO46" s="111">
        <v>0</v>
      </c>
      <c r="AP46" s="111">
        <v>0</v>
      </c>
      <c r="AQ46" s="111">
        <v>0</v>
      </c>
      <c r="AR46" s="111">
        <v>0</v>
      </c>
      <c r="AS46" s="111">
        <v>0</v>
      </c>
      <c r="AT46" s="111">
        <v>0</v>
      </c>
      <c r="AU46" s="111">
        <v>0</v>
      </c>
    </row>
    <row r="47" spans="1:47" x14ac:dyDescent="0.15">
      <c r="A47" s="190" t="s">
        <v>238</v>
      </c>
      <c r="B47" s="111">
        <v>0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0</v>
      </c>
      <c r="L47" s="111">
        <v>0</v>
      </c>
      <c r="M47" s="111">
        <v>0</v>
      </c>
      <c r="N47" s="111">
        <v>0</v>
      </c>
      <c r="O47" s="111">
        <v>0</v>
      </c>
      <c r="P47" s="111">
        <v>0</v>
      </c>
      <c r="Q47" s="111">
        <v>0</v>
      </c>
      <c r="R47" s="111">
        <v>0</v>
      </c>
      <c r="S47" s="111">
        <v>0</v>
      </c>
      <c r="T47" s="111">
        <v>0</v>
      </c>
      <c r="U47" s="111">
        <v>0</v>
      </c>
      <c r="V47" s="111">
        <v>0</v>
      </c>
      <c r="W47" s="111">
        <v>0</v>
      </c>
      <c r="X47" s="111">
        <v>0</v>
      </c>
      <c r="Y47" s="111">
        <v>0</v>
      </c>
      <c r="Z47" s="111">
        <v>0</v>
      </c>
      <c r="AA47" s="111">
        <v>0</v>
      </c>
      <c r="AB47" s="111">
        <v>0</v>
      </c>
      <c r="AC47" s="111">
        <v>0</v>
      </c>
      <c r="AD47" s="111">
        <v>0</v>
      </c>
      <c r="AE47" s="111">
        <v>0</v>
      </c>
      <c r="AF47" s="111">
        <v>0</v>
      </c>
      <c r="AG47" s="111">
        <v>0</v>
      </c>
      <c r="AH47" s="111">
        <v>0</v>
      </c>
      <c r="AI47" s="111">
        <v>0</v>
      </c>
      <c r="AJ47" s="111">
        <v>0</v>
      </c>
      <c r="AK47" s="111">
        <v>0</v>
      </c>
      <c r="AL47" s="111">
        <v>0</v>
      </c>
      <c r="AM47" s="111">
        <v>0</v>
      </c>
      <c r="AN47" s="111">
        <v>0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0</v>
      </c>
      <c r="AU47" s="111">
        <v>0</v>
      </c>
    </row>
    <row r="48" spans="1:47" x14ac:dyDescent="0.15">
      <c r="A48" s="190" t="s">
        <v>250</v>
      </c>
      <c r="B48" s="111">
        <v>0</v>
      </c>
      <c r="C48" s="111">
        <v>0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</v>
      </c>
      <c r="L48" s="111">
        <v>0</v>
      </c>
      <c r="M48" s="111">
        <v>0</v>
      </c>
      <c r="N48" s="111">
        <v>0</v>
      </c>
      <c r="O48" s="111">
        <v>0</v>
      </c>
      <c r="P48" s="111">
        <v>0</v>
      </c>
      <c r="Q48" s="111">
        <v>0</v>
      </c>
      <c r="R48" s="111">
        <v>0</v>
      </c>
      <c r="S48" s="111">
        <v>0</v>
      </c>
      <c r="T48" s="111">
        <v>0</v>
      </c>
      <c r="U48" s="111">
        <v>0</v>
      </c>
      <c r="V48" s="111">
        <v>0</v>
      </c>
      <c r="W48" s="111">
        <v>0</v>
      </c>
      <c r="X48" s="111">
        <v>0</v>
      </c>
      <c r="Y48" s="111">
        <v>0</v>
      </c>
      <c r="Z48" s="111">
        <v>0</v>
      </c>
      <c r="AA48" s="111">
        <v>0</v>
      </c>
      <c r="AB48" s="111">
        <v>0</v>
      </c>
      <c r="AC48" s="111">
        <v>0</v>
      </c>
      <c r="AD48" s="111">
        <v>0</v>
      </c>
      <c r="AE48" s="111">
        <v>0</v>
      </c>
      <c r="AF48" s="111">
        <v>0</v>
      </c>
      <c r="AG48" s="111">
        <v>0</v>
      </c>
      <c r="AH48" s="111">
        <v>0</v>
      </c>
      <c r="AI48" s="111">
        <v>0</v>
      </c>
      <c r="AJ48" s="111">
        <v>0</v>
      </c>
      <c r="AK48" s="111">
        <v>0</v>
      </c>
      <c r="AL48" s="111">
        <v>0</v>
      </c>
      <c r="AM48" s="111">
        <v>0</v>
      </c>
      <c r="AN48" s="111">
        <v>0</v>
      </c>
      <c r="AO48" s="111">
        <v>0</v>
      </c>
      <c r="AP48" s="111">
        <v>0</v>
      </c>
      <c r="AQ48" s="111">
        <v>0</v>
      </c>
      <c r="AR48" s="111">
        <v>0</v>
      </c>
      <c r="AS48" s="111">
        <v>0</v>
      </c>
      <c r="AT48" s="111">
        <v>0</v>
      </c>
      <c r="AU48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U48"/>
  <sheetViews>
    <sheetView workbookViewId="0">
      <selection activeCell="A3" sqref="A3"/>
    </sheetView>
  </sheetViews>
  <sheetFormatPr baseColWidth="10" defaultRowHeight="13" x14ac:dyDescent="0.15"/>
  <cols>
    <col min="1" max="1" width="21.6640625" style="111" bestFit="1" customWidth="1"/>
    <col min="2" max="47" width="2.33203125" style="111" customWidth="1"/>
    <col min="48" max="16384" width="10.83203125" style="111"/>
  </cols>
  <sheetData>
    <row r="1" spans="1:47" x14ac:dyDescent="0.15">
      <c r="A1" s="61" t="s">
        <v>139</v>
      </c>
      <c r="B1" s="193" t="s">
        <v>193</v>
      </c>
      <c r="C1" s="193" t="s">
        <v>194</v>
      </c>
      <c r="D1" s="193" t="s">
        <v>195</v>
      </c>
      <c r="E1" s="193" t="s">
        <v>196</v>
      </c>
      <c r="F1" s="193" t="s">
        <v>197</v>
      </c>
      <c r="G1" s="193" t="s">
        <v>198</v>
      </c>
      <c r="H1" s="193" t="s">
        <v>199</v>
      </c>
      <c r="I1" s="193" t="s">
        <v>200</v>
      </c>
      <c r="J1" s="193" t="s">
        <v>201</v>
      </c>
      <c r="K1" s="193" t="s">
        <v>202</v>
      </c>
      <c r="L1" s="193" t="s">
        <v>203</v>
      </c>
      <c r="M1" s="193" t="s">
        <v>204</v>
      </c>
      <c r="N1" s="193" t="s">
        <v>205</v>
      </c>
      <c r="O1" s="193" t="s">
        <v>206</v>
      </c>
      <c r="P1" s="193" t="s">
        <v>207</v>
      </c>
      <c r="Q1" s="193" t="s">
        <v>208</v>
      </c>
      <c r="R1" s="193" t="s">
        <v>209</v>
      </c>
      <c r="S1" s="193" t="s">
        <v>210</v>
      </c>
      <c r="T1" s="193" t="s">
        <v>211</v>
      </c>
      <c r="U1" s="193" t="s">
        <v>212</v>
      </c>
      <c r="V1" s="193" t="s">
        <v>213</v>
      </c>
      <c r="W1" s="193" t="s">
        <v>214</v>
      </c>
      <c r="X1" s="193" t="s">
        <v>215</v>
      </c>
      <c r="Y1" s="193" t="s">
        <v>216</v>
      </c>
      <c r="Z1" s="193" t="s">
        <v>217</v>
      </c>
      <c r="AA1" s="193" t="s">
        <v>218</v>
      </c>
      <c r="AB1" s="193" t="s">
        <v>219</v>
      </c>
      <c r="AC1" s="193" t="s">
        <v>220</v>
      </c>
      <c r="AD1" s="193" t="s">
        <v>221</v>
      </c>
      <c r="AE1" s="193" t="s">
        <v>222</v>
      </c>
      <c r="AF1" s="193" t="s">
        <v>223</v>
      </c>
      <c r="AG1" s="193" t="s">
        <v>224</v>
      </c>
      <c r="AH1" s="193" t="s">
        <v>225</v>
      </c>
      <c r="AI1" s="193" t="s">
        <v>226</v>
      </c>
      <c r="AJ1" s="193" t="s">
        <v>227</v>
      </c>
      <c r="AK1" s="193" t="s">
        <v>228</v>
      </c>
      <c r="AL1" s="193" t="s">
        <v>229</v>
      </c>
      <c r="AM1" s="193" t="s">
        <v>230</v>
      </c>
      <c r="AN1" s="193" t="s">
        <v>231</v>
      </c>
      <c r="AO1" s="193" t="s">
        <v>232</v>
      </c>
      <c r="AP1" s="193" t="s">
        <v>233</v>
      </c>
      <c r="AQ1" s="193" t="s">
        <v>234</v>
      </c>
      <c r="AR1" s="193" t="s">
        <v>235</v>
      </c>
      <c r="AS1" s="193" t="s">
        <v>236</v>
      </c>
      <c r="AT1" s="193" t="s">
        <v>237</v>
      </c>
      <c r="AU1" s="193" t="s">
        <v>238</v>
      </c>
    </row>
    <row r="2" spans="1:47" customFormat="1" x14ac:dyDescent="0.15">
      <c r="A2" s="192" t="s">
        <v>193</v>
      </c>
      <c r="B2" s="111">
        <v>0</v>
      </c>
      <c r="C2" s="111">
        <v>0</v>
      </c>
      <c r="D2" s="111">
        <v>1</v>
      </c>
      <c r="E2" s="111">
        <v>1</v>
      </c>
      <c r="F2" s="111">
        <v>1</v>
      </c>
      <c r="G2" s="111">
        <v>0</v>
      </c>
      <c r="H2" s="111">
        <v>0</v>
      </c>
      <c r="I2" s="111">
        <v>1</v>
      </c>
      <c r="J2" s="111">
        <v>0</v>
      </c>
      <c r="K2" s="111">
        <v>1</v>
      </c>
      <c r="L2" s="111">
        <v>1</v>
      </c>
      <c r="M2" s="111">
        <v>1</v>
      </c>
      <c r="N2" s="111">
        <v>0</v>
      </c>
      <c r="O2" s="111">
        <v>1</v>
      </c>
      <c r="P2" s="111">
        <v>1</v>
      </c>
      <c r="Q2" s="111">
        <v>0</v>
      </c>
      <c r="R2" s="111">
        <v>1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  <c r="AL2" s="111">
        <v>0</v>
      </c>
      <c r="AM2" s="111">
        <v>0</v>
      </c>
      <c r="AN2" s="111">
        <v>0</v>
      </c>
      <c r="AO2" s="111">
        <v>0</v>
      </c>
      <c r="AP2" s="111">
        <v>0</v>
      </c>
      <c r="AQ2" s="111">
        <v>0</v>
      </c>
      <c r="AR2" s="111">
        <v>0</v>
      </c>
      <c r="AS2" s="111">
        <v>0</v>
      </c>
      <c r="AT2" s="111">
        <v>0</v>
      </c>
      <c r="AU2" s="111">
        <v>0</v>
      </c>
    </row>
    <row r="3" spans="1:47" customFormat="1" x14ac:dyDescent="0.15">
      <c r="A3" s="192" t="s">
        <v>194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</v>
      </c>
      <c r="H3" s="111">
        <v>0</v>
      </c>
      <c r="I3" s="111">
        <v>0</v>
      </c>
      <c r="J3" s="111">
        <v>0</v>
      </c>
      <c r="K3" s="111">
        <v>1</v>
      </c>
      <c r="L3" s="111">
        <v>1</v>
      </c>
      <c r="M3" s="111">
        <v>0</v>
      </c>
      <c r="N3" s="111">
        <v>1</v>
      </c>
      <c r="O3" s="111">
        <v>1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1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  <c r="AL3" s="111">
        <v>0</v>
      </c>
      <c r="AM3" s="111">
        <v>0</v>
      </c>
      <c r="AN3" s="111">
        <v>0</v>
      </c>
      <c r="AO3" s="111">
        <v>0</v>
      </c>
      <c r="AP3" s="111">
        <v>0</v>
      </c>
      <c r="AQ3" s="111">
        <v>0</v>
      </c>
      <c r="AR3" s="111">
        <v>0</v>
      </c>
      <c r="AS3" s="111">
        <v>0</v>
      </c>
      <c r="AT3" s="111">
        <v>0</v>
      </c>
      <c r="AU3" s="111">
        <v>0</v>
      </c>
    </row>
    <row r="4" spans="1:47" customFormat="1" x14ac:dyDescent="0.15">
      <c r="A4" s="192" t="s">
        <v>195</v>
      </c>
      <c r="B4" s="111">
        <v>0</v>
      </c>
      <c r="C4" s="111">
        <v>0</v>
      </c>
      <c r="D4" s="111">
        <v>0</v>
      </c>
      <c r="E4" s="111">
        <v>1</v>
      </c>
      <c r="F4" s="111">
        <v>1</v>
      </c>
      <c r="G4" s="111">
        <v>1</v>
      </c>
      <c r="H4" s="111">
        <v>0</v>
      </c>
      <c r="I4" s="111">
        <v>1</v>
      </c>
      <c r="J4" s="111">
        <v>1</v>
      </c>
      <c r="K4" s="111">
        <v>1</v>
      </c>
      <c r="L4" s="111">
        <v>1</v>
      </c>
      <c r="M4" s="111">
        <v>0</v>
      </c>
      <c r="N4" s="111">
        <v>1</v>
      </c>
      <c r="O4" s="111">
        <v>1</v>
      </c>
      <c r="P4" s="111">
        <v>1</v>
      </c>
      <c r="Q4" s="111">
        <v>0</v>
      </c>
      <c r="R4" s="111">
        <v>1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1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  <c r="AL4" s="111">
        <v>0</v>
      </c>
      <c r="AM4" s="111">
        <v>0</v>
      </c>
      <c r="AN4" s="111">
        <v>0</v>
      </c>
      <c r="AO4" s="111">
        <v>0</v>
      </c>
      <c r="AP4" s="111">
        <v>1</v>
      </c>
      <c r="AQ4" s="111">
        <v>0</v>
      </c>
      <c r="AR4" s="111">
        <v>1</v>
      </c>
      <c r="AS4" s="111">
        <v>0</v>
      </c>
      <c r="AT4" s="111">
        <v>0</v>
      </c>
      <c r="AU4" s="111">
        <v>0</v>
      </c>
    </row>
    <row r="5" spans="1:47" customFormat="1" x14ac:dyDescent="0.15">
      <c r="A5" s="192" t="s">
        <v>196</v>
      </c>
      <c r="B5" s="111">
        <v>0</v>
      </c>
      <c r="C5" s="111">
        <v>0</v>
      </c>
      <c r="D5" s="111">
        <v>0</v>
      </c>
      <c r="E5" s="111">
        <v>1</v>
      </c>
      <c r="F5" s="111">
        <v>1</v>
      </c>
      <c r="G5" s="111">
        <v>1</v>
      </c>
      <c r="H5" s="111">
        <v>0</v>
      </c>
      <c r="I5" s="111">
        <v>0</v>
      </c>
      <c r="J5" s="111">
        <v>0</v>
      </c>
      <c r="K5" s="111">
        <v>0</v>
      </c>
      <c r="L5" s="111">
        <v>1</v>
      </c>
      <c r="M5" s="111">
        <v>1</v>
      </c>
      <c r="N5" s="111">
        <v>1</v>
      </c>
      <c r="O5" s="111">
        <v>1</v>
      </c>
      <c r="P5" s="111">
        <v>1</v>
      </c>
      <c r="Q5" s="111">
        <v>0</v>
      </c>
      <c r="R5" s="111">
        <v>1</v>
      </c>
      <c r="S5" s="111">
        <v>1</v>
      </c>
      <c r="T5" s="111">
        <v>1</v>
      </c>
      <c r="U5" s="111">
        <v>0</v>
      </c>
      <c r="V5" s="111">
        <v>0</v>
      </c>
      <c r="W5" s="111">
        <v>0</v>
      </c>
      <c r="X5" s="111">
        <v>1</v>
      </c>
      <c r="Y5" s="111">
        <v>1</v>
      </c>
      <c r="Z5" s="111">
        <v>1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1</v>
      </c>
      <c r="AG5" s="111">
        <v>1</v>
      </c>
      <c r="AH5" s="111">
        <v>1</v>
      </c>
      <c r="AI5" s="111">
        <v>1</v>
      </c>
      <c r="AJ5" s="111">
        <v>1</v>
      </c>
      <c r="AK5" s="111">
        <v>1</v>
      </c>
      <c r="AL5" s="111">
        <v>0</v>
      </c>
      <c r="AM5" s="111">
        <v>0</v>
      </c>
      <c r="AN5" s="111">
        <v>1</v>
      </c>
      <c r="AO5" s="111">
        <v>1</v>
      </c>
      <c r="AP5" s="111">
        <v>1</v>
      </c>
      <c r="AQ5" s="111">
        <v>0</v>
      </c>
      <c r="AR5" s="111">
        <v>1</v>
      </c>
      <c r="AS5" s="111">
        <v>1</v>
      </c>
      <c r="AT5" s="111">
        <v>0</v>
      </c>
      <c r="AU5" s="111">
        <v>0</v>
      </c>
    </row>
    <row r="6" spans="1:47" customFormat="1" x14ac:dyDescent="0.15">
      <c r="A6" s="192" t="s">
        <v>197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1</v>
      </c>
      <c r="H6" s="111">
        <v>1</v>
      </c>
      <c r="I6" s="111">
        <v>0</v>
      </c>
      <c r="J6" s="111">
        <v>0</v>
      </c>
      <c r="K6" s="111">
        <v>0</v>
      </c>
      <c r="L6" s="111">
        <v>1</v>
      </c>
      <c r="M6" s="111">
        <v>1</v>
      </c>
      <c r="N6" s="111">
        <v>1</v>
      </c>
      <c r="O6" s="111">
        <v>1</v>
      </c>
      <c r="P6" s="111">
        <v>1</v>
      </c>
      <c r="Q6" s="111">
        <v>0</v>
      </c>
      <c r="R6" s="111">
        <v>1</v>
      </c>
      <c r="S6" s="111">
        <v>1</v>
      </c>
      <c r="T6" s="111">
        <v>1</v>
      </c>
      <c r="U6" s="111">
        <v>1</v>
      </c>
      <c r="V6" s="111">
        <v>1</v>
      </c>
      <c r="W6" s="111">
        <v>1</v>
      </c>
      <c r="X6" s="111">
        <v>1</v>
      </c>
      <c r="Y6" s="111">
        <v>1</v>
      </c>
      <c r="Z6" s="111">
        <v>1</v>
      </c>
      <c r="AA6" s="111">
        <v>1</v>
      </c>
      <c r="AB6" s="111">
        <v>1</v>
      </c>
      <c r="AC6" s="111">
        <v>1</v>
      </c>
      <c r="AD6" s="111">
        <v>1</v>
      </c>
      <c r="AE6" s="111">
        <v>0</v>
      </c>
      <c r="AF6" s="111">
        <v>1</v>
      </c>
      <c r="AG6" s="111">
        <v>1</v>
      </c>
      <c r="AH6" s="111">
        <v>1</v>
      </c>
      <c r="AI6" s="111">
        <v>1</v>
      </c>
      <c r="AJ6" s="111">
        <v>1</v>
      </c>
      <c r="AK6" s="111">
        <v>1</v>
      </c>
      <c r="AL6" s="111">
        <v>1</v>
      </c>
      <c r="AM6" s="111">
        <v>1</v>
      </c>
      <c r="AN6" s="111">
        <v>0</v>
      </c>
      <c r="AO6" s="111">
        <v>0</v>
      </c>
      <c r="AP6" s="111">
        <v>1</v>
      </c>
      <c r="AQ6" s="111">
        <v>1</v>
      </c>
      <c r="AR6" s="111">
        <v>0</v>
      </c>
      <c r="AS6" s="111">
        <v>0</v>
      </c>
      <c r="AT6" s="111">
        <v>0</v>
      </c>
      <c r="AU6" s="111">
        <v>0</v>
      </c>
    </row>
    <row r="7" spans="1:47" customFormat="1" x14ac:dyDescent="0.15">
      <c r="A7" s="192" t="s">
        <v>198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0</v>
      </c>
      <c r="H7" s="111">
        <v>0</v>
      </c>
      <c r="I7" s="111">
        <v>0</v>
      </c>
      <c r="J7" s="111">
        <v>0</v>
      </c>
      <c r="K7" s="111">
        <v>0</v>
      </c>
      <c r="L7" s="111">
        <v>1</v>
      </c>
      <c r="M7" s="111">
        <v>0</v>
      </c>
      <c r="N7" s="111">
        <v>1</v>
      </c>
      <c r="O7" s="111">
        <v>1</v>
      </c>
      <c r="P7" s="111">
        <v>1</v>
      </c>
      <c r="Q7" s="111">
        <v>1</v>
      </c>
      <c r="R7" s="111">
        <v>1</v>
      </c>
      <c r="S7" s="111">
        <v>1</v>
      </c>
      <c r="T7" s="111">
        <v>1</v>
      </c>
      <c r="U7" s="111">
        <v>1</v>
      </c>
      <c r="V7" s="111">
        <v>1</v>
      </c>
      <c r="W7" s="111">
        <v>0</v>
      </c>
      <c r="X7" s="111">
        <v>1</v>
      </c>
      <c r="Y7" s="111">
        <v>1</v>
      </c>
      <c r="Z7" s="111">
        <v>1</v>
      </c>
      <c r="AA7" s="111">
        <v>1</v>
      </c>
      <c r="AB7" s="111">
        <v>0</v>
      </c>
      <c r="AC7" s="111">
        <v>0</v>
      </c>
      <c r="AD7" s="111">
        <v>0</v>
      </c>
      <c r="AE7" s="111">
        <v>0</v>
      </c>
      <c r="AF7" s="111">
        <v>1</v>
      </c>
      <c r="AG7" s="111">
        <v>0</v>
      </c>
      <c r="AH7" s="111">
        <v>1</v>
      </c>
      <c r="AI7" s="111">
        <v>1</v>
      </c>
      <c r="AJ7" s="111">
        <v>0</v>
      </c>
      <c r="AK7" s="111">
        <v>1</v>
      </c>
      <c r="AL7" s="111">
        <v>1</v>
      </c>
      <c r="AM7" s="111">
        <v>1</v>
      </c>
      <c r="AN7" s="111">
        <v>1</v>
      </c>
      <c r="AO7" s="111">
        <v>1</v>
      </c>
      <c r="AP7" s="111">
        <v>1</v>
      </c>
      <c r="AQ7" s="111">
        <v>1</v>
      </c>
      <c r="AR7" s="111">
        <v>0</v>
      </c>
      <c r="AS7" s="111">
        <v>1</v>
      </c>
      <c r="AT7" s="111">
        <v>0</v>
      </c>
      <c r="AU7" s="111">
        <v>0</v>
      </c>
    </row>
    <row r="8" spans="1:47" customFormat="1" x14ac:dyDescent="0.15">
      <c r="A8" s="192" t="s">
        <v>199</v>
      </c>
      <c r="B8" s="111">
        <v>0</v>
      </c>
      <c r="C8" s="111">
        <v>0</v>
      </c>
      <c r="D8" s="111">
        <v>0</v>
      </c>
      <c r="E8" s="111">
        <v>0</v>
      </c>
      <c r="F8" s="111">
        <v>0</v>
      </c>
      <c r="G8" s="111">
        <v>1</v>
      </c>
      <c r="H8" s="111">
        <v>1</v>
      </c>
      <c r="I8" s="111">
        <v>0</v>
      </c>
      <c r="J8" s="111">
        <v>0</v>
      </c>
      <c r="K8" s="111">
        <v>0</v>
      </c>
      <c r="L8" s="111">
        <v>1</v>
      </c>
      <c r="M8" s="111">
        <v>1</v>
      </c>
      <c r="N8" s="111">
        <v>1</v>
      </c>
      <c r="O8" s="111">
        <v>1</v>
      </c>
      <c r="P8" s="111">
        <v>0</v>
      </c>
      <c r="Q8" s="111">
        <v>0</v>
      </c>
      <c r="R8" s="111">
        <v>1</v>
      </c>
      <c r="S8" s="111">
        <v>0</v>
      </c>
      <c r="T8" s="111">
        <v>1</v>
      </c>
      <c r="U8" s="111">
        <v>1</v>
      </c>
      <c r="V8" s="111">
        <v>1</v>
      </c>
      <c r="W8" s="111">
        <v>1</v>
      </c>
      <c r="X8" s="111">
        <v>0</v>
      </c>
      <c r="Y8" s="111">
        <v>1</v>
      </c>
      <c r="Z8" s="111">
        <v>1</v>
      </c>
      <c r="AA8" s="111">
        <v>0</v>
      </c>
      <c r="AB8" s="111">
        <v>1</v>
      </c>
      <c r="AC8" s="111">
        <v>1</v>
      </c>
      <c r="AD8" s="111">
        <v>1</v>
      </c>
      <c r="AE8" s="111">
        <v>1</v>
      </c>
      <c r="AF8" s="111">
        <v>0</v>
      </c>
      <c r="AG8" s="111">
        <v>1</v>
      </c>
      <c r="AH8" s="111">
        <v>0</v>
      </c>
      <c r="AI8" s="111">
        <v>1</v>
      </c>
      <c r="AJ8" s="111">
        <v>0</v>
      </c>
      <c r="AK8" s="111">
        <v>1</v>
      </c>
      <c r="AL8" s="111">
        <v>1</v>
      </c>
      <c r="AM8" s="111">
        <v>1</v>
      </c>
      <c r="AN8" s="111">
        <v>0</v>
      </c>
      <c r="AO8" s="111">
        <v>0</v>
      </c>
      <c r="AP8" s="111">
        <v>1</v>
      </c>
      <c r="AQ8" s="111">
        <v>1</v>
      </c>
      <c r="AR8" s="111">
        <v>0</v>
      </c>
      <c r="AS8" s="111">
        <v>0</v>
      </c>
      <c r="AT8" s="111">
        <v>0</v>
      </c>
      <c r="AU8" s="111">
        <v>0</v>
      </c>
    </row>
    <row r="9" spans="1:47" customFormat="1" x14ac:dyDescent="0.15">
      <c r="A9" s="192" t="s">
        <v>200</v>
      </c>
      <c r="B9" s="111">
        <v>0</v>
      </c>
      <c r="C9" s="111">
        <v>0</v>
      </c>
      <c r="D9" s="111">
        <v>0</v>
      </c>
      <c r="E9" s="111">
        <v>0</v>
      </c>
      <c r="F9" s="111">
        <v>0</v>
      </c>
      <c r="G9" s="111">
        <v>0</v>
      </c>
      <c r="H9" s="111">
        <v>1</v>
      </c>
      <c r="I9" s="111">
        <v>0</v>
      </c>
      <c r="J9" s="111">
        <v>0</v>
      </c>
      <c r="K9" s="111">
        <v>0</v>
      </c>
      <c r="L9" s="111">
        <v>1</v>
      </c>
      <c r="M9" s="111">
        <v>1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1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1</v>
      </c>
      <c r="AF9" s="111">
        <v>0</v>
      </c>
      <c r="AG9" s="111">
        <v>0</v>
      </c>
      <c r="AH9" s="111">
        <v>0</v>
      </c>
      <c r="AI9" s="111">
        <v>1</v>
      </c>
      <c r="AJ9" s="111">
        <v>0</v>
      </c>
      <c r="AK9" s="111">
        <v>0</v>
      </c>
      <c r="AL9" s="111">
        <v>0</v>
      </c>
      <c r="AM9" s="111">
        <v>0</v>
      </c>
      <c r="AN9" s="111">
        <v>0</v>
      </c>
      <c r="AO9" s="111">
        <v>0</v>
      </c>
      <c r="AP9" s="111">
        <v>1</v>
      </c>
      <c r="AQ9" s="111">
        <v>0</v>
      </c>
      <c r="AR9" s="111">
        <v>0</v>
      </c>
      <c r="AS9" s="111">
        <v>0</v>
      </c>
      <c r="AT9" s="111">
        <v>0</v>
      </c>
      <c r="AU9" s="111">
        <v>0</v>
      </c>
    </row>
    <row r="10" spans="1:47" customFormat="1" x14ac:dyDescent="0.15">
      <c r="A10" s="192" t="s">
        <v>201</v>
      </c>
      <c r="B10" s="111">
        <v>0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1</v>
      </c>
      <c r="I10" s="111">
        <v>0</v>
      </c>
      <c r="J10" s="111">
        <v>0</v>
      </c>
      <c r="K10" s="111">
        <v>1</v>
      </c>
      <c r="L10" s="111">
        <v>1</v>
      </c>
      <c r="M10" s="111">
        <v>1</v>
      </c>
      <c r="N10" s="111">
        <v>1</v>
      </c>
      <c r="O10" s="111">
        <v>0</v>
      </c>
      <c r="P10" s="111">
        <v>1</v>
      </c>
      <c r="Q10" s="111">
        <v>0</v>
      </c>
      <c r="R10" s="111">
        <v>0</v>
      </c>
      <c r="S10" s="111">
        <v>0</v>
      </c>
      <c r="T10" s="111">
        <v>1</v>
      </c>
      <c r="U10" s="111">
        <v>1</v>
      </c>
      <c r="V10" s="111">
        <v>0</v>
      </c>
      <c r="W10" s="111">
        <v>1</v>
      </c>
      <c r="X10" s="111">
        <v>0</v>
      </c>
      <c r="Y10" s="111">
        <v>1</v>
      </c>
      <c r="Z10" s="111">
        <v>1</v>
      </c>
      <c r="AA10" s="111">
        <v>0</v>
      </c>
      <c r="AB10" s="111">
        <v>0</v>
      </c>
      <c r="AC10" s="111">
        <v>1</v>
      </c>
      <c r="AD10" s="111">
        <v>0</v>
      </c>
      <c r="AE10" s="111">
        <v>1</v>
      </c>
      <c r="AF10" s="111">
        <v>0</v>
      </c>
      <c r="AG10" s="111">
        <v>0</v>
      </c>
      <c r="AH10" s="111">
        <v>1</v>
      </c>
      <c r="AI10" s="111">
        <v>1</v>
      </c>
      <c r="AJ10" s="111">
        <v>0</v>
      </c>
      <c r="AK10" s="111">
        <v>1</v>
      </c>
      <c r="AL10" s="111">
        <v>0</v>
      </c>
      <c r="AM10" s="111">
        <v>0</v>
      </c>
      <c r="AN10" s="111">
        <v>0</v>
      </c>
      <c r="AO10" s="111">
        <v>0</v>
      </c>
      <c r="AP10" s="111">
        <v>0</v>
      </c>
      <c r="AQ10" s="111">
        <v>0</v>
      </c>
      <c r="AR10" s="111">
        <v>0</v>
      </c>
      <c r="AS10" s="111">
        <v>0</v>
      </c>
      <c r="AT10" s="111">
        <v>0</v>
      </c>
      <c r="AU10" s="111">
        <v>0</v>
      </c>
    </row>
    <row r="11" spans="1:47" customFormat="1" x14ac:dyDescent="0.15">
      <c r="A11" s="192" t="s">
        <v>202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1</v>
      </c>
      <c r="I11" s="111">
        <v>0</v>
      </c>
      <c r="J11" s="111">
        <v>0</v>
      </c>
      <c r="K11" s="111">
        <v>1</v>
      </c>
      <c r="L11" s="111">
        <v>1</v>
      </c>
      <c r="M11" s="111">
        <v>1</v>
      </c>
      <c r="N11" s="111">
        <v>1</v>
      </c>
      <c r="O11" s="111">
        <v>1</v>
      </c>
      <c r="P11" s="111">
        <v>1</v>
      </c>
      <c r="Q11" s="111">
        <v>0</v>
      </c>
      <c r="R11" s="111">
        <v>0</v>
      </c>
      <c r="S11" s="111">
        <v>0</v>
      </c>
      <c r="T11" s="111">
        <v>0</v>
      </c>
      <c r="U11" s="111">
        <v>1</v>
      </c>
      <c r="V11" s="111">
        <v>1</v>
      </c>
      <c r="W11" s="111">
        <v>1</v>
      </c>
      <c r="X11" s="111">
        <v>1</v>
      </c>
      <c r="Y11" s="111">
        <v>1</v>
      </c>
      <c r="Z11" s="111">
        <v>1</v>
      </c>
      <c r="AA11" s="111">
        <v>0</v>
      </c>
      <c r="AB11" s="111">
        <v>1</v>
      </c>
      <c r="AC11" s="111">
        <v>0</v>
      </c>
      <c r="AD11" s="111">
        <v>0</v>
      </c>
      <c r="AE11" s="111">
        <v>1</v>
      </c>
      <c r="AF11" s="111">
        <v>1</v>
      </c>
      <c r="AG11" s="111">
        <v>1</v>
      </c>
      <c r="AH11" s="111">
        <v>1</v>
      </c>
      <c r="AI11" s="111">
        <v>1</v>
      </c>
      <c r="AJ11" s="111">
        <v>1</v>
      </c>
      <c r="AK11" s="111">
        <v>1</v>
      </c>
      <c r="AL11" s="111">
        <v>1</v>
      </c>
      <c r="AM11" s="111">
        <v>1</v>
      </c>
      <c r="AN11" s="111">
        <v>1</v>
      </c>
      <c r="AO11" s="111">
        <v>0</v>
      </c>
      <c r="AP11" s="111">
        <v>0</v>
      </c>
      <c r="AQ11" s="111">
        <v>1</v>
      </c>
      <c r="AR11" s="111">
        <v>0</v>
      </c>
      <c r="AS11" s="111">
        <v>0</v>
      </c>
      <c r="AT11" s="111">
        <v>0</v>
      </c>
      <c r="AU11" s="111">
        <v>0</v>
      </c>
    </row>
    <row r="12" spans="1:47" customFormat="1" x14ac:dyDescent="0.15">
      <c r="A12" s="192" t="s">
        <v>203</v>
      </c>
      <c r="B12" s="111">
        <v>0</v>
      </c>
      <c r="C12" s="111">
        <v>0</v>
      </c>
      <c r="D12" s="111">
        <v>0</v>
      </c>
      <c r="E12" s="111">
        <v>0</v>
      </c>
      <c r="F12" s="111">
        <v>0</v>
      </c>
      <c r="G12" s="111">
        <v>1</v>
      </c>
      <c r="H12" s="111">
        <v>0</v>
      </c>
      <c r="I12" s="111">
        <v>0</v>
      </c>
      <c r="J12" s="111">
        <v>0</v>
      </c>
      <c r="K12" s="111">
        <v>0</v>
      </c>
      <c r="L12" s="111">
        <v>1</v>
      </c>
      <c r="M12" s="111">
        <v>1</v>
      </c>
      <c r="N12" s="111">
        <v>1</v>
      </c>
      <c r="O12" s="111">
        <v>0</v>
      </c>
      <c r="P12" s="111">
        <v>1</v>
      </c>
      <c r="Q12" s="111">
        <v>1</v>
      </c>
      <c r="R12" s="111">
        <v>0</v>
      </c>
      <c r="S12" s="111">
        <v>0</v>
      </c>
      <c r="T12" s="111">
        <v>1</v>
      </c>
      <c r="U12" s="111">
        <v>1</v>
      </c>
      <c r="V12" s="111">
        <v>1</v>
      </c>
      <c r="W12" s="111">
        <v>0</v>
      </c>
      <c r="X12" s="111">
        <v>0</v>
      </c>
      <c r="Y12" s="111">
        <v>0</v>
      </c>
      <c r="Z12" s="111">
        <v>0</v>
      </c>
      <c r="AA12" s="111">
        <v>0</v>
      </c>
      <c r="AB12" s="111">
        <v>0</v>
      </c>
      <c r="AC12" s="111">
        <v>1</v>
      </c>
      <c r="AD12" s="111">
        <v>1</v>
      </c>
      <c r="AE12" s="111">
        <v>1</v>
      </c>
      <c r="AF12" s="111">
        <v>0</v>
      </c>
      <c r="AG12" s="111">
        <v>0</v>
      </c>
      <c r="AH12" s="111">
        <v>0</v>
      </c>
      <c r="AI12" s="111">
        <v>1</v>
      </c>
      <c r="AJ12" s="111">
        <v>0</v>
      </c>
      <c r="AK12" s="111">
        <v>1</v>
      </c>
      <c r="AL12" s="111">
        <v>0</v>
      </c>
      <c r="AM12" s="111">
        <v>1</v>
      </c>
      <c r="AN12" s="111">
        <v>0</v>
      </c>
      <c r="AO12" s="111">
        <v>0</v>
      </c>
      <c r="AP12" s="111">
        <v>0</v>
      </c>
      <c r="AQ12" s="111">
        <v>0</v>
      </c>
      <c r="AR12" s="111">
        <v>0</v>
      </c>
      <c r="AS12" s="111">
        <v>0</v>
      </c>
      <c r="AT12" s="111">
        <v>0</v>
      </c>
      <c r="AU12" s="111">
        <v>0</v>
      </c>
    </row>
    <row r="13" spans="1:47" customFormat="1" x14ac:dyDescent="0.15">
      <c r="A13" s="192" t="s">
        <v>204</v>
      </c>
      <c r="B13" s="111">
        <v>0</v>
      </c>
      <c r="C13" s="111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0</v>
      </c>
      <c r="K13" s="111">
        <v>0</v>
      </c>
      <c r="L13" s="111">
        <v>1</v>
      </c>
      <c r="M13" s="111">
        <v>1</v>
      </c>
      <c r="N13" s="111">
        <v>1</v>
      </c>
      <c r="O13" s="111">
        <v>0</v>
      </c>
      <c r="P13" s="111">
        <v>1</v>
      </c>
      <c r="Q13" s="111">
        <v>1</v>
      </c>
      <c r="R13" s="111">
        <v>0</v>
      </c>
      <c r="S13" s="111">
        <v>0</v>
      </c>
      <c r="T13" s="111">
        <v>1</v>
      </c>
      <c r="U13" s="111">
        <v>0</v>
      </c>
      <c r="V13" s="111">
        <v>1</v>
      </c>
      <c r="W13" s="111">
        <v>0</v>
      </c>
      <c r="X13" s="111">
        <v>0</v>
      </c>
      <c r="Y13" s="111">
        <v>0</v>
      </c>
      <c r="Z13" s="111">
        <v>1</v>
      </c>
      <c r="AA13" s="111">
        <v>1</v>
      </c>
      <c r="AB13" s="111">
        <v>0</v>
      </c>
      <c r="AC13" s="111">
        <v>1</v>
      </c>
      <c r="AD13" s="111">
        <v>1</v>
      </c>
      <c r="AE13" s="111">
        <v>0</v>
      </c>
      <c r="AF13" s="111">
        <v>1</v>
      </c>
      <c r="AG13" s="111">
        <v>0</v>
      </c>
      <c r="AH13" s="111">
        <v>0</v>
      </c>
      <c r="AI13" s="111">
        <v>1</v>
      </c>
      <c r="AJ13" s="111">
        <v>0</v>
      </c>
      <c r="AK13" s="111">
        <v>1</v>
      </c>
      <c r="AL13" s="111">
        <v>0</v>
      </c>
      <c r="AM13" s="111">
        <v>1</v>
      </c>
      <c r="AN13" s="111">
        <v>0</v>
      </c>
      <c r="AO13" s="111">
        <v>0</v>
      </c>
      <c r="AP13" s="111">
        <v>0</v>
      </c>
      <c r="AQ13" s="111">
        <v>0</v>
      </c>
      <c r="AR13" s="111">
        <v>0</v>
      </c>
      <c r="AS13" s="111">
        <v>0</v>
      </c>
      <c r="AT13" s="111">
        <v>0</v>
      </c>
      <c r="AU13" s="111">
        <v>0</v>
      </c>
    </row>
    <row r="14" spans="1:47" customFormat="1" x14ac:dyDescent="0.15">
      <c r="A14" s="192" t="s">
        <v>205</v>
      </c>
      <c r="B14" s="111">
        <v>0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1">
        <v>0</v>
      </c>
      <c r="L14" s="111">
        <v>0</v>
      </c>
      <c r="M14" s="111">
        <v>0</v>
      </c>
      <c r="N14" s="111">
        <v>1</v>
      </c>
      <c r="O14" s="111">
        <v>0</v>
      </c>
      <c r="P14" s="111">
        <v>0</v>
      </c>
      <c r="Q14" s="111">
        <v>0</v>
      </c>
      <c r="R14" s="111">
        <v>0</v>
      </c>
      <c r="S14" s="111">
        <v>0</v>
      </c>
      <c r="T14" s="111">
        <v>0</v>
      </c>
      <c r="U14" s="111">
        <v>0</v>
      </c>
      <c r="V14" s="111">
        <v>0</v>
      </c>
      <c r="W14" s="111">
        <v>0</v>
      </c>
      <c r="X14" s="111">
        <v>0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1</v>
      </c>
      <c r="AL14" s="111">
        <v>0</v>
      </c>
      <c r="AM14" s="111">
        <v>0</v>
      </c>
      <c r="AN14" s="111">
        <v>0</v>
      </c>
      <c r="AO14" s="111">
        <v>0</v>
      </c>
      <c r="AP14" s="111">
        <v>0</v>
      </c>
      <c r="AQ14" s="111">
        <v>0</v>
      </c>
      <c r="AR14" s="111">
        <v>0</v>
      </c>
      <c r="AS14" s="111">
        <v>0</v>
      </c>
      <c r="AT14" s="111">
        <v>0</v>
      </c>
      <c r="AU14" s="111">
        <v>0</v>
      </c>
    </row>
    <row r="15" spans="1:47" customFormat="1" x14ac:dyDescent="0.15">
      <c r="A15" s="192" t="s">
        <v>206</v>
      </c>
      <c r="B15" s="111">
        <v>0</v>
      </c>
      <c r="C15" s="111">
        <v>0</v>
      </c>
      <c r="D15" s="111">
        <v>0</v>
      </c>
      <c r="E15" s="111">
        <v>0</v>
      </c>
      <c r="F15" s="111">
        <v>0</v>
      </c>
      <c r="G15" s="111">
        <v>1</v>
      </c>
      <c r="H15" s="111">
        <v>0</v>
      </c>
      <c r="I15" s="111">
        <v>0</v>
      </c>
      <c r="J15" s="111">
        <v>0</v>
      </c>
      <c r="K15" s="111">
        <v>0</v>
      </c>
      <c r="L15" s="111">
        <v>1</v>
      </c>
      <c r="M15" s="111">
        <v>1</v>
      </c>
      <c r="N15" s="111">
        <v>1</v>
      </c>
      <c r="O15" s="111">
        <v>1</v>
      </c>
      <c r="P15" s="111">
        <v>1</v>
      </c>
      <c r="Q15" s="111">
        <v>1</v>
      </c>
      <c r="R15" s="111">
        <v>1</v>
      </c>
      <c r="S15" s="111">
        <v>0</v>
      </c>
      <c r="T15" s="111">
        <v>1</v>
      </c>
      <c r="U15" s="111">
        <v>1</v>
      </c>
      <c r="V15" s="111">
        <v>1</v>
      </c>
      <c r="W15" s="111">
        <v>0</v>
      </c>
      <c r="X15" s="111">
        <v>0</v>
      </c>
      <c r="Y15" s="111">
        <v>0</v>
      </c>
      <c r="Z15" s="111">
        <v>1</v>
      </c>
      <c r="AA15" s="111">
        <v>1</v>
      </c>
      <c r="AB15" s="111">
        <v>1</v>
      </c>
      <c r="AC15" s="111">
        <v>1</v>
      </c>
      <c r="AD15" s="111">
        <v>1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1</v>
      </c>
      <c r="AK15" s="111">
        <v>1</v>
      </c>
      <c r="AL15" s="111">
        <v>1</v>
      </c>
      <c r="AM15" s="111">
        <v>1</v>
      </c>
      <c r="AN15" s="111">
        <v>1</v>
      </c>
      <c r="AO15" s="111">
        <v>0</v>
      </c>
      <c r="AP15" s="111">
        <v>1</v>
      </c>
      <c r="AQ15" s="111">
        <v>1</v>
      </c>
      <c r="AR15" s="111">
        <v>1</v>
      </c>
      <c r="AS15" s="111">
        <v>0</v>
      </c>
      <c r="AT15" s="111">
        <v>0</v>
      </c>
      <c r="AU15" s="111">
        <v>0</v>
      </c>
    </row>
    <row r="16" spans="1:47" customFormat="1" x14ac:dyDescent="0.15">
      <c r="A16" s="192" t="s">
        <v>207</v>
      </c>
      <c r="B16" s="111">
        <v>0</v>
      </c>
      <c r="C16" s="111">
        <v>0</v>
      </c>
      <c r="D16" s="111">
        <v>0</v>
      </c>
      <c r="E16" s="111">
        <v>0</v>
      </c>
      <c r="F16" s="111">
        <v>0</v>
      </c>
      <c r="G16" s="111">
        <v>0</v>
      </c>
      <c r="H16" s="111">
        <v>0</v>
      </c>
      <c r="I16" s="111">
        <v>0</v>
      </c>
      <c r="J16" s="111">
        <v>0</v>
      </c>
      <c r="K16" s="111">
        <v>0</v>
      </c>
      <c r="L16" s="111">
        <v>0</v>
      </c>
      <c r="M16" s="111">
        <v>0</v>
      </c>
      <c r="N16" s="111">
        <v>0</v>
      </c>
      <c r="O16" s="111">
        <v>0</v>
      </c>
      <c r="P16" s="111">
        <v>0</v>
      </c>
      <c r="Q16" s="111">
        <v>1</v>
      </c>
      <c r="R16" s="111">
        <v>0</v>
      </c>
      <c r="S16" s="111">
        <v>0</v>
      </c>
      <c r="T16" s="111">
        <v>0</v>
      </c>
      <c r="U16" s="111">
        <v>1</v>
      </c>
      <c r="V16" s="111">
        <v>1</v>
      </c>
      <c r="W16" s="111">
        <v>0</v>
      </c>
      <c r="X16" s="111">
        <v>0</v>
      </c>
      <c r="Y16" s="111">
        <v>1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1</v>
      </c>
      <c r="AJ16" s="111">
        <v>1</v>
      </c>
      <c r="AK16" s="111">
        <v>0</v>
      </c>
      <c r="AL16" s="111">
        <v>1</v>
      </c>
      <c r="AM16" s="111">
        <v>1</v>
      </c>
      <c r="AN16" s="111">
        <v>1</v>
      </c>
      <c r="AO16" s="111">
        <v>0</v>
      </c>
      <c r="AP16" s="111">
        <v>0</v>
      </c>
      <c r="AQ16" s="111">
        <v>1</v>
      </c>
      <c r="AR16" s="111">
        <v>0</v>
      </c>
      <c r="AS16" s="111">
        <v>0</v>
      </c>
      <c r="AT16" s="111">
        <v>0</v>
      </c>
      <c r="AU16" s="111">
        <v>0</v>
      </c>
    </row>
    <row r="17" spans="1:47" customFormat="1" x14ac:dyDescent="0.15">
      <c r="A17" s="192" t="s">
        <v>208</v>
      </c>
      <c r="B17" s="111">
        <v>0</v>
      </c>
      <c r="C17" s="111">
        <v>0</v>
      </c>
      <c r="D17" s="111">
        <v>0</v>
      </c>
      <c r="E17" s="111">
        <v>0</v>
      </c>
      <c r="F17" s="111">
        <v>0</v>
      </c>
      <c r="G17" s="111">
        <v>0</v>
      </c>
      <c r="H17" s="111">
        <v>0</v>
      </c>
      <c r="I17" s="111">
        <v>0</v>
      </c>
      <c r="J17" s="111">
        <v>0</v>
      </c>
      <c r="K17" s="111">
        <v>0</v>
      </c>
      <c r="L17" s="111">
        <v>0</v>
      </c>
      <c r="M17" s="111">
        <v>0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  <c r="AL17" s="111">
        <v>1</v>
      </c>
      <c r="AM17" s="111">
        <v>1</v>
      </c>
      <c r="AN17" s="111">
        <v>0</v>
      </c>
      <c r="AO17" s="111">
        <v>0</v>
      </c>
      <c r="AP17" s="111">
        <v>0</v>
      </c>
      <c r="AQ17" s="111">
        <v>0</v>
      </c>
      <c r="AR17" s="111">
        <v>0</v>
      </c>
      <c r="AS17" s="111">
        <v>0</v>
      </c>
      <c r="AT17" s="111">
        <v>0</v>
      </c>
      <c r="AU17" s="111">
        <v>0</v>
      </c>
    </row>
    <row r="18" spans="1:47" customFormat="1" x14ac:dyDescent="0.15">
      <c r="A18" s="192" t="s">
        <v>209</v>
      </c>
      <c r="B18" s="111">
        <v>0</v>
      </c>
      <c r="C18" s="111">
        <v>0</v>
      </c>
      <c r="D18" s="111">
        <v>0</v>
      </c>
      <c r="E18" s="111">
        <v>0</v>
      </c>
      <c r="F18" s="111">
        <v>0</v>
      </c>
      <c r="G18" s="111">
        <v>1</v>
      </c>
      <c r="H18" s="111">
        <v>0</v>
      </c>
      <c r="I18" s="111">
        <v>0</v>
      </c>
      <c r="J18" s="111">
        <v>0</v>
      </c>
      <c r="K18" s="111">
        <v>0</v>
      </c>
      <c r="L18" s="111">
        <v>0</v>
      </c>
      <c r="M18" s="111">
        <v>1</v>
      </c>
      <c r="N18" s="111">
        <v>0</v>
      </c>
      <c r="O18" s="111">
        <v>0</v>
      </c>
      <c r="P18" s="111">
        <v>0</v>
      </c>
      <c r="Q18" s="111">
        <v>1</v>
      </c>
      <c r="R18" s="111">
        <v>1</v>
      </c>
      <c r="S18" s="111">
        <v>1</v>
      </c>
      <c r="T18" s="111">
        <v>0</v>
      </c>
      <c r="U18" s="111">
        <v>0</v>
      </c>
      <c r="V18" s="111">
        <v>1</v>
      </c>
      <c r="W18" s="111">
        <v>0</v>
      </c>
      <c r="X18" s="111">
        <v>1</v>
      </c>
      <c r="Y18" s="111">
        <v>1</v>
      </c>
      <c r="Z18" s="111">
        <v>1</v>
      </c>
      <c r="AA18" s="111">
        <v>1</v>
      </c>
      <c r="AB18" s="111">
        <v>0</v>
      </c>
      <c r="AC18" s="111">
        <v>1</v>
      </c>
      <c r="AD18" s="111">
        <v>1</v>
      </c>
      <c r="AE18" s="111">
        <v>0</v>
      </c>
      <c r="AF18" s="111">
        <v>1</v>
      </c>
      <c r="AG18" s="111">
        <v>1</v>
      </c>
      <c r="AH18" s="111">
        <v>1</v>
      </c>
      <c r="AI18" s="111">
        <v>1</v>
      </c>
      <c r="AJ18" s="111">
        <v>1</v>
      </c>
      <c r="AK18" s="111">
        <v>1</v>
      </c>
      <c r="AL18" s="111">
        <v>1</v>
      </c>
      <c r="AM18" s="111">
        <v>1</v>
      </c>
      <c r="AN18" s="111">
        <v>0</v>
      </c>
      <c r="AO18" s="111">
        <v>1</v>
      </c>
      <c r="AP18" s="111">
        <v>1</v>
      </c>
      <c r="AQ18" s="111">
        <v>1</v>
      </c>
      <c r="AR18" s="111">
        <v>1</v>
      </c>
      <c r="AS18" s="111">
        <v>1</v>
      </c>
      <c r="AT18" s="111">
        <v>0</v>
      </c>
      <c r="AU18" s="111">
        <v>0</v>
      </c>
    </row>
    <row r="19" spans="1:47" customFormat="1" x14ac:dyDescent="0.15">
      <c r="A19" s="192" t="s">
        <v>210</v>
      </c>
      <c r="B19" s="111">
        <v>0</v>
      </c>
      <c r="C19" s="111">
        <v>0</v>
      </c>
      <c r="D19" s="111">
        <v>0</v>
      </c>
      <c r="E19" s="111">
        <v>0</v>
      </c>
      <c r="F19" s="111">
        <v>0</v>
      </c>
      <c r="G19" s="111">
        <v>1</v>
      </c>
      <c r="H19" s="111">
        <v>0</v>
      </c>
      <c r="I19" s="111">
        <v>0</v>
      </c>
      <c r="J19" s="111">
        <v>0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1">
        <v>0</v>
      </c>
      <c r="Z19" s="111">
        <v>1</v>
      </c>
      <c r="AA19" s="111">
        <v>0</v>
      </c>
      <c r="AB19" s="111">
        <v>0</v>
      </c>
      <c r="AC19" s="111">
        <v>0</v>
      </c>
      <c r="AD19" s="111">
        <v>0</v>
      </c>
      <c r="AE19" s="111">
        <v>0</v>
      </c>
      <c r="AF19" s="111">
        <v>0</v>
      </c>
      <c r="AG19" s="111">
        <v>1</v>
      </c>
      <c r="AH19" s="111">
        <v>0</v>
      </c>
      <c r="AI19" s="111">
        <v>0</v>
      </c>
      <c r="AJ19" s="111">
        <v>0</v>
      </c>
      <c r="AK19" s="111">
        <v>0</v>
      </c>
      <c r="AL19" s="111">
        <v>1</v>
      </c>
      <c r="AM19" s="111">
        <v>1</v>
      </c>
      <c r="AN19" s="111">
        <v>0</v>
      </c>
      <c r="AO19" s="111">
        <v>0</v>
      </c>
      <c r="AP19" s="111">
        <v>1</v>
      </c>
      <c r="AQ19" s="111">
        <v>0</v>
      </c>
      <c r="AR19" s="111">
        <v>0</v>
      </c>
      <c r="AS19" s="111">
        <v>0</v>
      </c>
      <c r="AT19" s="111">
        <v>0</v>
      </c>
      <c r="AU19" s="111">
        <v>0</v>
      </c>
    </row>
    <row r="20" spans="1:47" customFormat="1" x14ac:dyDescent="0.15">
      <c r="A20" s="192" t="s">
        <v>211</v>
      </c>
      <c r="B20" s="111">
        <v>0</v>
      </c>
      <c r="C20" s="111">
        <v>0</v>
      </c>
      <c r="D20" s="111">
        <v>0</v>
      </c>
      <c r="E20" s="111">
        <v>0</v>
      </c>
      <c r="F20" s="111">
        <v>0</v>
      </c>
      <c r="G20" s="111">
        <v>0</v>
      </c>
      <c r="H20" s="111">
        <v>0</v>
      </c>
      <c r="I20" s="111">
        <v>0</v>
      </c>
      <c r="J20" s="111">
        <v>0</v>
      </c>
      <c r="K20" s="111">
        <v>0</v>
      </c>
      <c r="L20" s="111">
        <v>1</v>
      </c>
      <c r="M20" s="111">
        <v>1</v>
      </c>
      <c r="N20" s="111">
        <v>1</v>
      </c>
      <c r="O20" s="111">
        <v>0</v>
      </c>
      <c r="P20" s="111">
        <v>0</v>
      </c>
      <c r="Q20" s="111">
        <v>1</v>
      </c>
      <c r="R20" s="111">
        <v>0</v>
      </c>
      <c r="S20" s="111">
        <v>0</v>
      </c>
      <c r="T20" s="111">
        <v>1</v>
      </c>
      <c r="U20" s="111">
        <v>1</v>
      </c>
      <c r="V20" s="111">
        <v>1</v>
      </c>
      <c r="W20" s="111">
        <v>1</v>
      </c>
      <c r="X20" s="111">
        <v>1</v>
      </c>
      <c r="Y20" s="111">
        <v>1</v>
      </c>
      <c r="Z20" s="111">
        <v>1</v>
      </c>
      <c r="AA20" s="111">
        <v>1</v>
      </c>
      <c r="AB20" s="111">
        <v>1</v>
      </c>
      <c r="AC20" s="111">
        <v>1</v>
      </c>
      <c r="AD20" s="111">
        <v>1</v>
      </c>
      <c r="AE20" s="111">
        <v>1</v>
      </c>
      <c r="AF20" s="111">
        <v>1</v>
      </c>
      <c r="AG20" s="111">
        <v>1</v>
      </c>
      <c r="AH20" s="111">
        <v>1</v>
      </c>
      <c r="AI20" s="111">
        <v>1</v>
      </c>
      <c r="AJ20" s="111">
        <v>1</v>
      </c>
      <c r="AK20" s="111">
        <v>1</v>
      </c>
      <c r="AL20" s="111">
        <v>1</v>
      </c>
      <c r="AM20" s="111">
        <v>1</v>
      </c>
      <c r="AN20" s="111">
        <v>1</v>
      </c>
      <c r="AO20" s="111">
        <v>0</v>
      </c>
      <c r="AP20" s="111">
        <v>1</v>
      </c>
      <c r="AQ20" s="111">
        <v>1</v>
      </c>
      <c r="AR20" s="111">
        <v>0</v>
      </c>
      <c r="AS20" s="111">
        <v>0</v>
      </c>
      <c r="AT20" s="111">
        <v>0</v>
      </c>
      <c r="AU20" s="111">
        <v>0</v>
      </c>
    </row>
    <row r="21" spans="1:47" customFormat="1" x14ac:dyDescent="0.15">
      <c r="A21" s="192" t="s">
        <v>212</v>
      </c>
      <c r="B21" s="111">
        <v>0</v>
      </c>
      <c r="C21" s="111">
        <v>0</v>
      </c>
      <c r="D21" s="111">
        <v>0</v>
      </c>
      <c r="E21" s="111">
        <v>0</v>
      </c>
      <c r="F21" s="111">
        <v>0</v>
      </c>
      <c r="G21" s="111">
        <v>0</v>
      </c>
      <c r="H21" s="111">
        <v>0</v>
      </c>
      <c r="I21" s="111">
        <v>0</v>
      </c>
      <c r="J21" s="111">
        <v>0</v>
      </c>
      <c r="K21" s="111">
        <v>0</v>
      </c>
      <c r="L21" s="111">
        <v>1</v>
      </c>
      <c r="M21" s="111">
        <v>0</v>
      </c>
      <c r="N21" s="111">
        <v>0</v>
      </c>
      <c r="O21" s="111">
        <v>0</v>
      </c>
      <c r="P21" s="111">
        <v>0</v>
      </c>
      <c r="Q21" s="111">
        <v>1</v>
      </c>
      <c r="R21" s="111">
        <v>0</v>
      </c>
      <c r="S21" s="111">
        <v>0</v>
      </c>
      <c r="T21" s="111">
        <v>0</v>
      </c>
      <c r="U21" s="111">
        <v>0</v>
      </c>
      <c r="V21" s="111">
        <v>1</v>
      </c>
      <c r="W21" s="111">
        <v>0</v>
      </c>
      <c r="X21" s="111">
        <v>0</v>
      </c>
      <c r="Y21" s="111">
        <v>0</v>
      </c>
      <c r="Z21" s="111">
        <v>1</v>
      </c>
      <c r="AA21" s="111">
        <v>1</v>
      </c>
      <c r="AB21" s="111">
        <v>0</v>
      </c>
      <c r="AC21" s="111">
        <v>0</v>
      </c>
      <c r="AD21" s="111">
        <v>0</v>
      </c>
      <c r="AE21" s="111">
        <v>0</v>
      </c>
      <c r="AF21" s="111">
        <v>0</v>
      </c>
      <c r="AG21" s="111">
        <v>1</v>
      </c>
      <c r="AH21" s="111">
        <v>0</v>
      </c>
      <c r="AI21" s="111">
        <v>0</v>
      </c>
      <c r="AJ21" s="111">
        <v>0</v>
      </c>
      <c r="AK21" s="111">
        <v>1</v>
      </c>
      <c r="AL21" s="111">
        <v>1</v>
      </c>
      <c r="AM21" s="111">
        <v>1</v>
      </c>
      <c r="AN21" s="111">
        <v>1</v>
      </c>
      <c r="AO21" s="111">
        <v>0</v>
      </c>
      <c r="AP21" s="111">
        <v>0</v>
      </c>
      <c r="AQ21" s="111">
        <v>0</v>
      </c>
      <c r="AR21" s="111">
        <v>0</v>
      </c>
      <c r="AS21" s="111">
        <v>0</v>
      </c>
      <c r="AT21" s="111">
        <v>0</v>
      </c>
      <c r="AU21" s="111">
        <v>0</v>
      </c>
    </row>
    <row r="22" spans="1:47" customFormat="1" x14ac:dyDescent="0.15">
      <c r="A22" s="192" t="s">
        <v>213</v>
      </c>
      <c r="B22" s="111">
        <v>0</v>
      </c>
      <c r="C22" s="111">
        <v>0</v>
      </c>
      <c r="D22" s="111">
        <v>0</v>
      </c>
      <c r="E22" s="111">
        <v>0</v>
      </c>
      <c r="F22" s="111">
        <v>0</v>
      </c>
      <c r="G22" s="111">
        <v>0</v>
      </c>
      <c r="H22" s="111">
        <v>0</v>
      </c>
      <c r="I22" s="111">
        <v>0</v>
      </c>
      <c r="J22" s="111">
        <v>0</v>
      </c>
      <c r="K22" s="111">
        <v>0</v>
      </c>
      <c r="L22" s="111">
        <v>0</v>
      </c>
      <c r="M22" s="111">
        <v>0</v>
      </c>
      <c r="N22" s="111">
        <v>0</v>
      </c>
      <c r="O22" s="111">
        <v>0</v>
      </c>
      <c r="P22" s="111">
        <v>0</v>
      </c>
      <c r="Q22" s="111">
        <v>1</v>
      </c>
      <c r="R22" s="111">
        <v>0</v>
      </c>
      <c r="S22" s="111">
        <v>0</v>
      </c>
      <c r="T22" s="111">
        <v>0</v>
      </c>
      <c r="U22" s="111">
        <v>0</v>
      </c>
      <c r="V22" s="111">
        <v>1</v>
      </c>
      <c r="W22" s="111">
        <v>0</v>
      </c>
      <c r="X22" s="111">
        <v>0</v>
      </c>
      <c r="Y22" s="111">
        <v>1</v>
      </c>
      <c r="Z22" s="111">
        <v>0</v>
      </c>
      <c r="AA22" s="111">
        <v>1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1</v>
      </c>
      <c r="AL22" s="111">
        <v>1</v>
      </c>
      <c r="AM22" s="111">
        <v>0</v>
      </c>
      <c r="AN22" s="111">
        <v>0</v>
      </c>
      <c r="AO22" s="111">
        <v>0</v>
      </c>
      <c r="AP22" s="111">
        <v>0</v>
      </c>
      <c r="AQ22" s="111">
        <v>0</v>
      </c>
      <c r="AR22" s="111">
        <v>0</v>
      </c>
      <c r="AS22" s="111">
        <v>0</v>
      </c>
      <c r="AT22" s="111">
        <v>0</v>
      </c>
      <c r="AU22" s="111">
        <v>0</v>
      </c>
    </row>
    <row r="23" spans="1:47" customFormat="1" x14ac:dyDescent="0.15">
      <c r="A23" s="192" t="s">
        <v>214</v>
      </c>
      <c r="B23" s="111">
        <v>0</v>
      </c>
      <c r="C23" s="111">
        <v>0</v>
      </c>
      <c r="D23" s="111">
        <v>0</v>
      </c>
      <c r="E23" s="111">
        <v>0</v>
      </c>
      <c r="F23" s="111">
        <v>0</v>
      </c>
      <c r="G23" s="111">
        <v>1</v>
      </c>
      <c r="H23" s="111">
        <v>0</v>
      </c>
      <c r="I23" s="111">
        <v>0</v>
      </c>
      <c r="J23" s="111">
        <v>0</v>
      </c>
      <c r="K23" s="111">
        <v>0</v>
      </c>
      <c r="L23" s="111">
        <v>0</v>
      </c>
      <c r="M23" s="111">
        <v>0</v>
      </c>
      <c r="N23" s="111">
        <v>0</v>
      </c>
      <c r="O23" s="111">
        <v>0</v>
      </c>
      <c r="P23" s="111">
        <v>0</v>
      </c>
      <c r="Q23" s="111">
        <v>0</v>
      </c>
      <c r="R23" s="111">
        <v>0</v>
      </c>
      <c r="S23" s="111">
        <v>0</v>
      </c>
      <c r="T23" s="111">
        <v>0</v>
      </c>
      <c r="U23" s="111">
        <v>0</v>
      </c>
      <c r="V23" s="111">
        <v>0</v>
      </c>
      <c r="W23" s="111">
        <v>1</v>
      </c>
      <c r="X23" s="111">
        <v>1</v>
      </c>
      <c r="Y23" s="111">
        <v>1</v>
      </c>
      <c r="Z23" s="111">
        <v>0</v>
      </c>
      <c r="AA23" s="111">
        <v>1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1</v>
      </c>
      <c r="AH23" s="111">
        <v>0</v>
      </c>
      <c r="AI23" s="111">
        <v>1</v>
      </c>
      <c r="AJ23" s="111">
        <v>0</v>
      </c>
      <c r="AK23" s="111">
        <v>0</v>
      </c>
      <c r="AL23" s="111">
        <v>1</v>
      </c>
      <c r="AM23" s="111">
        <v>0</v>
      </c>
      <c r="AN23" s="111">
        <v>0</v>
      </c>
      <c r="AO23" s="111">
        <v>0</v>
      </c>
      <c r="AP23" s="111">
        <v>0</v>
      </c>
      <c r="AQ23" s="111">
        <v>0</v>
      </c>
      <c r="AR23" s="111">
        <v>0</v>
      </c>
      <c r="AS23" s="111">
        <v>0</v>
      </c>
      <c r="AT23" s="111">
        <v>0</v>
      </c>
      <c r="AU23" s="111">
        <v>0</v>
      </c>
    </row>
    <row r="24" spans="1:47" customFormat="1" x14ac:dyDescent="0.15">
      <c r="A24" s="192" t="s">
        <v>215</v>
      </c>
      <c r="B24" s="111">
        <v>0</v>
      </c>
      <c r="C24" s="111">
        <v>0</v>
      </c>
      <c r="D24" s="111">
        <v>0</v>
      </c>
      <c r="E24" s="111">
        <v>0</v>
      </c>
      <c r="F24" s="111">
        <v>0</v>
      </c>
      <c r="G24" s="111">
        <v>0</v>
      </c>
      <c r="H24" s="111">
        <v>0</v>
      </c>
      <c r="I24" s="111">
        <v>0</v>
      </c>
      <c r="J24" s="111">
        <v>0</v>
      </c>
      <c r="K24" s="111">
        <v>0</v>
      </c>
      <c r="L24" s="111">
        <v>0</v>
      </c>
      <c r="M24" s="111">
        <v>0</v>
      </c>
      <c r="N24" s="111">
        <v>0</v>
      </c>
      <c r="O24" s="111">
        <v>0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</v>
      </c>
      <c r="W24" s="111">
        <v>0</v>
      </c>
      <c r="X24" s="111">
        <v>0</v>
      </c>
      <c r="Y24" s="111">
        <v>1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1</v>
      </c>
      <c r="AH24" s="111">
        <v>0</v>
      </c>
      <c r="AI24" s="111">
        <v>1</v>
      </c>
      <c r="AJ24" s="111">
        <v>0</v>
      </c>
      <c r="AK24" s="111">
        <v>0</v>
      </c>
      <c r="AL24" s="111">
        <v>1</v>
      </c>
      <c r="AM24" s="111">
        <v>0</v>
      </c>
      <c r="AN24" s="111">
        <v>0</v>
      </c>
      <c r="AO24" s="111">
        <v>0</v>
      </c>
      <c r="AP24" s="111">
        <v>0</v>
      </c>
      <c r="AQ24" s="111">
        <v>0</v>
      </c>
      <c r="AR24" s="111">
        <v>0</v>
      </c>
      <c r="AS24" s="111">
        <v>0</v>
      </c>
      <c r="AT24" s="111">
        <v>0</v>
      </c>
      <c r="AU24" s="111">
        <v>0</v>
      </c>
    </row>
    <row r="25" spans="1:47" customFormat="1" x14ac:dyDescent="0.15">
      <c r="A25" s="192" t="s">
        <v>216</v>
      </c>
      <c r="B25" s="111">
        <v>0</v>
      </c>
      <c r="C25" s="111">
        <v>0</v>
      </c>
      <c r="D25" s="111">
        <v>0</v>
      </c>
      <c r="E25" s="111">
        <v>0</v>
      </c>
      <c r="F25" s="111">
        <v>0</v>
      </c>
      <c r="G25" s="111">
        <v>0</v>
      </c>
      <c r="H25" s="111">
        <v>0</v>
      </c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1">
        <v>0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</v>
      </c>
      <c r="AF25" s="111">
        <v>1</v>
      </c>
      <c r="AG25" s="111">
        <v>0</v>
      </c>
      <c r="AH25" s="111">
        <v>0</v>
      </c>
      <c r="AI25" s="111">
        <v>1</v>
      </c>
      <c r="AJ25" s="111">
        <v>0</v>
      </c>
      <c r="AK25" s="111">
        <v>0</v>
      </c>
      <c r="AL25" s="111">
        <v>1</v>
      </c>
      <c r="AM25" s="111">
        <v>0</v>
      </c>
      <c r="AN25" s="111">
        <v>0</v>
      </c>
      <c r="AO25" s="111">
        <v>0</v>
      </c>
      <c r="AP25" s="111">
        <v>0</v>
      </c>
      <c r="AQ25" s="111">
        <v>0</v>
      </c>
      <c r="AR25" s="111">
        <v>0</v>
      </c>
      <c r="AS25" s="111">
        <v>0</v>
      </c>
      <c r="AT25" s="111">
        <v>0</v>
      </c>
      <c r="AU25" s="111">
        <v>0</v>
      </c>
    </row>
    <row r="26" spans="1:47" customFormat="1" x14ac:dyDescent="0.15">
      <c r="A26" s="192" t="s">
        <v>217</v>
      </c>
      <c r="B26" s="111">
        <v>0</v>
      </c>
      <c r="C26" s="111">
        <v>0</v>
      </c>
      <c r="D26" s="111">
        <v>0</v>
      </c>
      <c r="E26" s="111">
        <v>0</v>
      </c>
      <c r="F26" s="111">
        <v>0</v>
      </c>
      <c r="G26" s="111">
        <v>0</v>
      </c>
      <c r="H26" s="111">
        <v>0</v>
      </c>
      <c r="I26" s="111">
        <v>0</v>
      </c>
      <c r="J26" s="111">
        <v>0</v>
      </c>
      <c r="K26" s="111">
        <v>0</v>
      </c>
      <c r="L26" s="111">
        <v>0</v>
      </c>
      <c r="M26" s="111">
        <v>0</v>
      </c>
      <c r="N26" s="111">
        <v>0</v>
      </c>
      <c r="O26" s="111">
        <v>0</v>
      </c>
      <c r="P26" s="111">
        <v>0</v>
      </c>
      <c r="Q26" s="111">
        <v>0</v>
      </c>
      <c r="R26" s="111">
        <v>0</v>
      </c>
      <c r="S26" s="111">
        <v>0</v>
      </c>
      <c r="T26" s="111">
        <v>0</v>
      </c>
      <c r="U26" s="111">
        <v>0</v>
      </c>
      <c r="V26" s="111">
        <v>0</v>
      </c>
      <c r="W26" s="111">
        <v>0</v>
      </c>
      <c r="X26" s="111">
        <v>0</v>
      </c>
      <c r="Y26" s="111">
        <v>0</v>
      </c>
      <c r="Z26" s="111">
        <v>1</v>
      </c>
      <c r="AA26" s="111">
        <v>1</v>
      </c>
      <c r="AB26" s="111">
        <v>0</v>
      </c>
      <c r="AC26" s="111">
        <v>0</v>
      </c>
      <c r="AD26" s="111">
        <v>1</v>
      </c>
      <c r="AE26" s="111">
        <v>0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1</v>
      </c>
      <c r="AL26" s="111">
        <v>1</v>
      </c>
      <c r="AM26" s="111">
        <v>1</v>
      </c>
      <c r="AN26" s="111">
        <v>0</v>
      </c>
      <c r="AO26" s="111">
        <v>0</v>
      </c>
      <c r="AP26" s="111">
        <v>0</v>
      </c>
      <c r="AQ26" s="111">
        <v>0</v>
      </c>
      <c r="AR26" s="111">
        <v>0</v>
      </c>
      <c r="AS26" s="111">
        <v>0</v>
      </c>
      <c r="AT26" s="111">
        <v>0</v>
      </c>
      <c r="AU26" s="111">
        <v>0</v>
      </c>
    </row>
    <row r="27" spans="1:47" customFormat="1" x14ac:dyDescent="0.15">
      <c r="A27" s="192" t="s">
        <v>218</v>
      </c>
      <c r="B27" s="111">
        <v>0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111">
        <v>0</v>
      </c>
      <c r="P27" s="111">
        <v>0</v>
      </c>
      <c r="Q27" s="111">
        <v>0</v>
      </c>
      <c r="R27" s="111">
        <v>0</v>
      </c>
      <c r="S27" s="111">
        <v>0</v>
      </c>
      <c r="T27" s="111">
        <v>0</v>
      </c>
      <c r="U27" s="111">
        <v>0</v>
      </c>
      <c r="V27" s="111">
        <v>0</v>
      </c>
      <c r="W27" s="111">
        <v>0</v>
      </c>
      <c r="X27" s="111">
        <v>0</v>
      </c>
      <c r="Y27" s="111">
        <v>0</v>
      </c>
      <c r="Z27" s="111">
        <v>0</v>
      </c>
      <c r="AA27" s="111">
        <v>0</v>
      </c>
      <c r="AB27" s="111">
        <v>0</v>
      </c>
      <c r="AC27" s="111">
        <v>0</v>
      </c>
      <c r="AD27" s="111">
        <v>0</v>
      </c>
      <c r="AE27" s="111">
        <v>0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1</v>
      </c>
      <c r="AL27" s="111">
        <v>1</v>
      </c>
      <c r="AM27" s="111">
        <v>0</v>
      </c>
      <c r="AN27" s="111">
        <v>0</v>
      </c>
      <c r="AO27" s="111">
        <v>0</v>
      </c>
      <c r="AP27" s="111">
        <v>0</v>
      </c>
      <c r="AQ27" s="111">
        <v>0</v>
      </c>
      <c r="AR27" s="111">
        <v>0</v>
      </c>
      <c r="AS27" s="111">
        <v>0</v>
      </c>
      <c r="AT27" s="111">
        <v>0</v>
      </c>
      <c r="AU27" s="111">
        <v>0</v>
      </c>
    </row>
    <row r="28" spans="1:47" customFormat="1" x14ac:dyDescent="0.15">
      <c r="A28" s="192" t="s">
        <v>219</v>
      </c>
      <c r="B28" s="111">
        <v>0</v>
      </c>
      <c r="C28" s="111">
        <v>0</v>
      </c>
      <c r="D28" s="111">
        <v>0</v>
      </c>
      <c r="E28" s="111">
        <v>0</v>
      </c>
      <c r="F28" s="111">
        <v>0</v>
      </c>
      <c r="G28" s="111">
        <v>0</v>
      </c>
      <c r="H28" s="111">
        <v>0</v>
      </c>
      <c r="I28" s="111">
        <v>0</v>
      </c>
      <c r="J28" s="111">
        <v>0</v>
      </c>
      <c r="K28" s="111">
        <v>0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</v>
      </c>
      <c r="R28" s="111">
        <v>0</v>
      </c>
      <c r="S28" s="111">
        <v>0</v>
      </c>
      <c r="T28" s="111">
        <v>0</v>
      </c>
      <c r="U28" s="111">
        <v>0</v>
      </c>
      <c r="V28" s="111">
        <v>0</v>
      </c>
      <c r="W28" s="111">
        <v>0</v>
      </c>
      <c r="X28" s="111">
        <v>0</v>
      </c>
      <c r="Y28" s="111">
        <v>0</v>
      </c>
      <c r="Z28" s="111">
        <v>0</v>
      </c>
      <c r="AA28" s="111">
        <v>0</v>
      </c>
      <c r="AB28" s="111">
        <v>0</v>
      </c>
      <c r="AC28" s="111">
        <v>0</v>
      </c>
      <c r="AD28" s="111">
        <v>0</v>
      </c>
      <c r="AE28" s="111">
        <v>0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1</v>
      </c>
      <c r="AL28" s="111">
        <v>1</v>
      </c>
      <c r="AM28" s="111">
        <v>0</v>
      </c>
      <c r="AN28" s="111">
        <v>0</v>
      </c>
      <c r="AO28" s="111">
        <v>0</v>
      </c>
      <c r="AP28" s="111">
        <v>0</v>
      </c>
      <c r="AQ28" s="111">
        <v>0</v>
      </c>
      <c r="AR28" s="111">
        <v>0</v>
      </c>
      <c r="AS28" s="111">
        <v>0</v>
      </c>
      <c r="AT28" s="111">
        <v>0</v>
      </c>
      <c r="AU28" s="111">
        <v>0</v>
      </c>
    </row>
    <row r="29" spans="1:47" customFormat="1" x14ac:dyDescent="0.15">
      <c r="A29" s="192" t="s">
        <v>220</v>
      </c>
      <c r="B29" s="111">
        <v>0</v>
      </c>
      <c r="C29" s="111">
        <v>0</v>
      </c>
      <c r="D29" s="111">
        <v>0</v>
      </c>
      <c r="E29" s="111">
        <v>0</v>
      </c>
      <c r="F29" s="111">
        <v>0</v>
      </c>
      <c r="G29" s="111">
        <v>0</v>
      </c>
      <c r="H29" s="111">
        <v>0</v>
      </c>
      <c r="I29" s="111">
        <v>0</v>
      </c>
      <c r="J29" s="111">
        <v>0</v>
      </c>
      <c r="K29" s="111">
        <v>0</v>
      </c>
      <c r="L29" s="111">
        <v>0</v>
      </c>
      <c r="M29" s="111">
        <v>0</v>
      </c>
      <c r="N29" s="111">
        <v>0</v>
      </c>
      <c r="O29" s="111">
        <v>0</v>
      </c>
      <c r="P29" s="111">
        <v>0</v>
      </c>
      <c r="Q29" s="111">
        <v>0</v>
      </c>
      <c r="R29" s="111">
        <v>0</v>
      </c>
      <c r="S29" s="111">
        <v>0</v>
      </c>
      <c r="T29" s="111">
        <v>0</v>
      </c>
      <c r="U29" s="111">
        <v>0</v>
      </c>
      <c r="V29" s="111">
        <v>0</v>
      </c>
      <c r="W29" s="111">
        <v>0</v>
      </c>
      <c r="X29" s="111">
        <v>0</v>
      </c>
      <c r="Y29" s="111">
        <v>0</v>
      </c>
      <c r="Z29" s="111">
        <v>0</v>
      </c>
      <c r="AA29" s="111">
        <v>0</v>
      </c>
      <c r="AB29" s="111">
        <v>0</v>
      </c>
      <c r="AC29" s="111">
        <v>0</v>
      </c>
      <c r="AD29" s="111">
        <v>0</v>
      </c>
      <c r="AE29" s="111">
        <v>0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1</v>
      </c>
      <c r="AL29" s="111">
        <v>1</v>
      </c>
      <c r="AM29" s="111">
        <v>0</v>
      </c>
      <c r="AN29" s="111">
        <v>0</v>
      </c>
      <c r="AO29" s="111">
        <v>0</v>
      </c>
      <c r="AP29" s="111">
        <v>0</v>
      </c>
      <c r="AQ29" s="111">
        <v>0</v>
      </c>
      <c r="AR29" s="111">
        <v>0</v>
      </c>
      <c r="AS29" s="111">
        <v>0</v>
      </c>
      <c r="AT29" s="111">
        <v>0</v>
      </c>
      <c r="AU29" s="111">
        <v>0</v>
      </c>
    </row>
    <row r="30" spans="1:47" customFormat="1" x14ac:dyDescent="0.15">
      <c r="A30" s="192" t="s">
        <v>221</v>
      </c>
      <c r="B30" s="111">
        <v>0</v>
      </c>
      <c r="C30" s="111">
        <v>0</v>
      </c>
      <c r="D30" s="111">
        <v>0</v>
      </c>
      <c r="E30" s="111">
        <v>0</v>
      </c>
      <c r="F30" s="111">
        <v>0</v>
      </c>
      <c r="G30" s="111">
        <v>0</v>
      </c>
      <c r="H30" s="111">
        <v>0</v>
      </c>
      <c r="I30" s="111">
        <v>0</v>
      </c>
      <c r="J30" s="111">
        <v>0</v>
      </c>
      <c r="K30" s="111">
        <v>0</v>
      </c>
      <c r="L30" s="111">
        <v>1</v>
      </c>
      <c r="M30" s="111">
        <v>0</v>
      </c>
      <c r="N30" s="111">
        <v>1</v>
      </c>
      <c r="O30" s="111">
        <v>0</v>
      </c>
      <c r="P30" s="111">
        <v>0</v>
      </c>
      <c r="Q30" s="111">
        <v>0</v>
      </c>
      <c r="R30" s="111">
        <v>0</v>
      </c>
      <c r="S30" s="111">
        <v>0</v>
      </c>
      <c r="T30" s="111">
        <v>0</v>
      </c>
      <c r="U30" s="111">
        <v>0</v>
      </c>
      <c r="V30" s="111">
        <v>0</v>
      </c>
      <c r="W30" s="111">
        <v>0</v>
      </c>
      <c r="X30" s="111">
        <v>0</v>
      </c>
      <c r="Y30" s="111">
        <v>0</v>
      </c>
      <c r="Z30" s="111">
        <v>1</v>
      </c>
      <c r="AA30" s="111">
        <v>0</v>
      </c>
      <c r="AB30" s="111">
        <v>0</v>
      </c>
      <c r="AC30" s="111">
        <v>0</v>
      </c>
      <c r="AD30" s="111">
        <v>0</v>
      </c>
      <c r="AE30" s="111">
        <v>0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1</v>
      </c>
      <c r="AL30" s="111">
        <v>1</v>
      </c>
      <c r="AM30" s="111">
        <v>0</v>
      </c>
      <c r="AN30" s="111">
        <v>0</v>
      </c>
      <c r="AO30" s="111">
        <v>0</v>
      </c>
      <c r="AP30" s="111">
        <v>0</v>
      </c>
      <c r="AQ30" s="111">
        <v>0</v>
      </c>
      <c r="AR30" s="111">
        <v>0</v>
      </c>
      <c r="AS30" s="111">
        <v>0</v>
      </c>
      <c r="AT30" s="111">
        <v>0</v>
      </c>
      <c r="AU30" s="111">
        <v>0</v>
      </c>
    </row>
    <row r="31" spans="1:47" customFormat="1" x14ac:dyDescent="0.15">
      <c r="A31" s="192" t="s">
        <v>222</v>
      </c>
      <c r="B31" s="111">
        <v>0</v>
      </c>
      <c r="C31" s="111">
        <v>0</v>
      </c>
      <c r="D31" s="111">
        <v>0</v>
      </c>
      <c r="E31" s="111">
        <v>0</v>
      </c>
      <c r="F31" s="111">
        <v>0</v>
      </c>
      <c r="G31" s="111">
        <v>0</v>
      </c>
      <c r="H31" s="111">
        <v>0</v>
      </c>
      <c r="I31" s="111">
        <v>0</v>
      </c>
      <c r="J31" s="111">
        <v>0</v>
      </c>
      <c r="K31" s="111">
        <v>0</v>
      </c>
      <c r="L31" s="111">
        <v>0</v>
      </c>
      <c r="M31" s="111">
        <v>0</v>
      </c>
      <c r="N31" s="111">
        <v>0</v>
      </c>
      <c r="O31" s="111">
        <v>0</v>
      </c>
      <c r="P31" s="111">
        <v>0</v>
      </c>
      <c r="Q31" s="111">
        <v>0</v>
      </c>
      <c r="R31" s="111">
        <v>0</v>
      </c>
      <c r="S31" s="111">
        <v>0</v>
      </c>
      <c r="T31" s="111">
        <v>0</v>
      </c>
      <c r="U31" s="111">
        <v>0</v>
      </c>
      <c r="V31" s="111">
        <v>0</v>
      </c>
      <c r="W31" s="111">
        <v>0</v>
      </c>
      <c r="X31" s="111">
        <v>0</v>
      </c>
      <c r="Y31" s="111">
        <v>0</v>
      </c>
      <c r="Z31" s="111">
        <v>0</v>
      </c>
      <c r="AA31" s="111">
        <v>0</v>
      </c>
      <c r="AB31" s="111">
        <v>0</v>
      </c>
      <c r="AC31" s="111">
        <v>0</v>
      </c>
      <c r="AD31" s="111">
        <v>0</v>
      </c>
      <c r="AE31" s="111">
        <v>0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1</v>
      </c>
      <c r="AL31" s="111">
        <v>1</v>
      </c>
      <c r="AM31" s="111">
        <v>1</v>
      </c>
      <c r="AN31" s="111">
        <v>0</v>
      </c>
      <c r="AO31" s="111">
        <v>0</v>
      </c>
      <c r="AP31" s="111">
        <v>0</v>
      </c>
      <c r="AQ31" s="111">
        <v>0</v>
      </c>
      <c r="AR31" s="111">
        <v>0</v>
      </c>
      <c r="AS31" s="111">
        <v>0</v>
      </c>
      <c r="AT31" s="111">
        <v>0</v>
      </c>
      <c r="AU31" s="111">
        <v>0</v>
      </c>
    </row>
    <row r="32" spans="1:47" x14ac:dyDescent="0.15">
      <c r="A32" s="192" t="s">
        <v>223</v>
      </c>
      <c r="B32" s="111">
        <v>0</v>
      </c>
      <c r="C32" s="111">
        <v>0</v>
      </c>
      <c r="D32" s="111">
        <v>0</v>
      </c>
      <c r="E32" s="111">
        <v>0</v>
      </c>
      <c r="F32" s="111">
        <v>0</v>
      </c>
      <c r="G32" s="111">
        <v>0</v>
      </c>
      <c r="H32" s="111">
        <v>0</v>
      </c>
      <c r="I32" s="111">
        <v>0</v>
      </c>
      <c r="J32" s="111">
        <v>0</v>
      </c>
      <c r="K32" s="111">
        <v>0</v>
      </c>
      <c r="L32" s="111">
        <v>0</v>
      </c>
      <c r="M32" s="111">
        <v>0</v>
      </c>
      <c r="N32" s="111">
        <v>0</v>
      </c>
      <c r="O32" s="111">
        <v>0</v>
      </c>
      <c r="P32" s="111">
        <v>0</v>
      </c>
      <c r="Q32" s="111">
        <v>1</v>
      </c>
      <c r="R32" s="111">
        <v>0</v>
      </c>
      <c r="S32" s="111">
        <v>0</v>
      </c>
      <c r="T32" s="111">
        <v>0</v>
      </c>
      <c r="U32" s="111">
        <v>0</v>
      </c>
      <c r="V32" s="111">
        <v>0</v>
      </c>
      <c r="W32" s="111">
        <v>0</v>
      </c>
      <c r="X32" s="111">
        <v>0</v>
      </c>
      <c r="Y32" s="111">
        <v>0</v>
      </c>
      <c r="Z32" s="111">
        <v>0</v>
      </c>
      <c r="AA32" s="111">
        <v>0</v>
      </c>
      <c r="AB32" s="111">
        <v>0</v>
      </c>
      <c r="AC32" s="111">
        <v>0</v>
      </c>
      <c r="AD32" s="111">
        <v>0</v>
      </c>
      <c r="AE32" s="111">
        <v>0</v>
      </c>
      <c r="AF32" s="111">
        <v>0</v>
      </c>
      <c r="AG32" s="111">
        <v>0</v>
      </c>
      <c r="AH32" s="111">
        <v>0</v>
      </c>
      <c r="AI32" s="111">
        <v>0</v>
      </c>
      <c r="AJ32" s="111">
        <v>0</v>
      </c>
      <c r="AK32" s="111">
        <v>1</v>
      </c>
      <c r="AL32" s="111">
        <v>1</v>
      </c>
      <c r="AM32" s="111">
        <v>1</v>
      </c>
      <c r="AN32" s="111">
        <v>0</v>
      </c>
      <c r="AO32" s="111">
        <v>0</v>
      </c>
      <c r="AP32" s="111">
        <v>0</v>
      </c>
      <c r="AQ32" s="111">
        <v>0</v>
      </c>
      <c r="AR32" s="111">
        <v>0</v>
      </c>
      <c r="AS32" s="111">
        <v>0</v>
      </c>
      <c r="AT32" s="111">
        <v>0</v>
      </c>
      <c r="AU32" s="111">
        <v>0</v>
      </c>
    </row>
    <row r="33" spans="1:47" x14ac:dyDescent="0.15">
      <c r="A33" s="192" t="s">
        <v>224</v>
      </c>
      <c r="B33" s="111">
        <v>0</v>
      </c>
      <c r="C33" s="111">
        <v>0</v>
      </c>
      <c r="D33" s="111">
        <v>0</v>
      </c>
      <c r="E33" s="111">
        <v>0</v>
      </c>
      <c r="F33" s="111">
        <v>0</v>
      </c>
      <c r="G33" s="111">
        <v>0</v>
      </c>
      <c r="H33" s="111">
        <v>0</v>
      </c>
      <c r="I33" s="111">
        <v>0</v>
      </c>
      <c r="J33" s="111">
        <v>0</v>
      </c>
      <c r="K33" s="111">
        <v>0</v>
      </c>
      <c r="L33" s="111">
        <v>0</v>
      </c>
      <c r="M33" s="111">
        <v>0</v>
      </c>
      <c r="N33" s="111">
        <v>0</v>
      </c>
      <c r="O33" s="111">
        <v>0</v>
      </c>
      <c r="P33" s="111">
        <v>0</v>
      </c>
      <c r="Q33" s="111">
        <v>1</v>
      </c>
      <c r="R33" s="111">
        <v>0</v>
      </c>
      <c r="S33" s="111">
        <v>0</v>
      </c>
      <c r="T33" s="111">
        <v>0</v>
      </c>
      <c r="U33" s="111">
        <v>0</v>
      </c>
      <c r="V33" s="111">
        <v>0</v>
      </c>
      <c r="W33" s="111">
        <v>0</v>
      </c>
      <c r="X33" s="111">
        <v>0</v>
      </c>
      <c r="Y33" s="111">
        <v>0</v>
      </c>
      <c r="Z33" s="111">
        <v>0</v>
      </c>
      <c r="AA33" s="111">
        <v>0</v>
      </c>
      <c r="AB33" s="111">
        <v>0</v>
      </c>
      <c r="AC33" s="111">
        <v>0</v>
      </c>
      <c r="AD33" s="111">
        <v>0</v>
      </c>
      <c r="AE33" s="111">
        <v>0</v>
      </c>
      <c r="AF33" s="111">
        <v>0</v>
      </c>
      <c r="AG33" s="111">
        <v>0</v>
      </c>
      <c r="AH33" s="111">
        <v>0</v>
      </c>
      <c r="AI33" s="111">
        <v>0</v>
      </c>
      <c r="AJ33" s="111">
        <v>0</v>
      </c>
      <c r="AK33" s="111">
        <v>1</v>
      </c>
      <c r="AL33" s="111">
        <v>1</v>
      </c>
      <c r="AM33" s="111">
        <v>1</v>
      </c>
      <c r="AN33" s="111">
        <v>0</v>
      </c>
      <c r="AO33" s="111">
        <v>0</v>
      </c>
      <c r="AP33" s="111">
        <v>0</v>
      </c>
      <c r="AQ33" s="111">
        <v>0</v>
      </c>
      <c r="AR33" s="111">
        <v>0</v>
      </c>
      <c r="AS33" s="111">
        <v>0</v>
      </c>
      <c r="AT33" s="111">
        <v>0</v>
      </c>
      <c r="AU33" s="111">
        <v>0</v>
      </c>
    </row>
    <row r="34" spans="1:47" x14ac:dyDescent="0.15">
      <c r="A34" s="192" t="s">
        <v>225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0</v>
      </c>
      <c r="I34" s="111">
        <v>0</v>
      </c>
      <c r="J34" s="111">
        <v>0</v>
      </c>
      <c r="K34" s="111">
        <v>0</v>
      </c>
      <c r="L34" s="111">
        <v>0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</v>
      </c>
      <c r="V34" s="111">
        <v>0</v>
      </c>
      <c r="W34" s="111">
        <v>0</v>
      </c>
      <c r="X34" s="111">
        <v>0</v>
      </c>
      <c r="Y34" s="111">
        <v>0</v>
      </c>
      <c r="Z34" s="111">
        <v>0</v>
      </c>
      <c r="AA34" s="111">
        <v>1</v>
      </c>
      <c r="AB34" s="111">
        <v>0</v>
      </c>
      <c r="AC34" s="111">
        <v>1</v>
      </c>
      <c r="AD34" s="111">
        <v>0</v>
      </c>
      <c r="AE34" s="111">
        <v>0</v>
      </c>
      <c r="AF34" s="111">
        <v>0</v>
      </c>
      <c r="AG34" s="111">
        <v>0</v>
      </c>
      <c r="AH34" s="111">
        <v>0</v>
      </c>
      <c r="AI34" s="111">
        <v>0</v>
      </c>
      <c r="AJ34" s="111">
        <v>0</v>
      </c>
      <c r="AK34" s="111">
        <v>1</v>
      </c>
      <c r="AL34" s="111">
        <v>1</v>
      </c>
      <c r="AM34" s="111">
        <v>1</v>
      </c>
      <c r="AN34" s="111">
        <v>0</v>
      </c>
      <c r="AO34" s="111">
        <v>0</v>
      </c>
      <c r="AP34" s="111">
        <v>0</v>
      </c>
      <c r="AQ34" s="111">
        <v>0</v>
      </c>
      <c r="AR34" s="111">
        <v>0</v>
      </c>
      <c r="AS34" s="111">
        <v>0</v>
      </c>
      <c r="AT34" s="111">
        <v>0</v>
      </c>
      <c r="AU34" s="111">
        <v>0</v>
      </c>
    </row>
    <row r="35" spans="1:47" x14ac:dyDescent="0.15">
      <c r="A35" s="192" t="s">
        <v>226</v>
      </c>
      <c r="B35" s="111">
        <v>0</v>
      </c>
      <c r="C35" s="111">
        <v>0</v>
      </c>
      <c r="D35" s="111">
        <v>0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</v>
      </c>
      <c r="L35" s="111">
        <v>0</v>
      </c>
      <c r="M35" s="111">
        <v>0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</v>
      </c>
      <c r="T35" s="111">
        <v>0</v>
      </c>
      <c r="U35" s="111">
        <v>0</v>
      </c>
      <c r="V35" s="111">
        <v>0</v>
      </c>
      <c r="W35" s="111">
        <v>0</v>
      </c>
      <c r="X35" s="111">
        <v>0</v>
      </c>
      <c r="Y35" s="111">
        <v>0</v>
      </c>
      <c r="Z35" s="111">
        <v>0</v>
      </c>
      <c r="AA35" s="111">
        <v>0</v>
      </c>
      <c r="AB35" s="111">
        <v>0</v>
      </c>
      <c r="AC35" s="111">
        <v>0</v>
      </c>
      <c r="AD35" s="111">
        <v>0</v>
      </c>
      <c r="AE35" s="111">
        <v>0</v>
      </c>
      <c r="AF35" s="111">
        <v>0</v>
      </c>
      <c r="AG35" s="111">
        <v>0</v>
      </c>
      <c r="AH35" s="111">
        <v>0</v>
      </c>
      <c r="AI35" s="111">
        <v>0</v>
      </c>
      <c r="AJ35" s="111">
        <v>0</v>
      </c>
      <c r="AK35" s="111">
        <v>1</v>
      </c>
      <c r="AL35" s="111">
        <v>1</v>
      </c>
      <c r="AM35" s="111">
        <v>0</v>
      </c>
      <c r="AN35" s="111">
        <v>0</v>
      </c>
      <c r="AO35" s="111">
        <v>0</v>
      </c>
      <c r="AP35" s="111">
        <v>0</v>
      </c>
      <c r="AQ35" s="111">
        <v>0</v>
      </c>
      <c r="AR35" s="111">
        <v>0</v>
      </c>
      <c r="AS35" s="111">
        <v>0</v>
      </c>
      <c r="AT35" s="111">
        <v>0</v>
      </c>
      <c r="AU35" s="111">
        <v>0</v>
      </c>
    </row>
    <row r="36" spans="1:47" x14ac:dyDescent="0.15">
      <c r="A36" s="192" t="s">
        <v>227</v>
      </c>
      <c r="B36" s="111">
        <v>0</v>
      </c>
      <c r="C36" s="111">
        <v>0</v>
      </c>
      <c r="D36" s="111">
        <v>0</v>
      </c>
      <c r="E36" s="111">
        <v>0</v>
      </c>
      <c r="F36" s="111">
        <v>0</v>
      </c>
      <c r="G36" s="111">
        <v>0</v>
      </c>
      <c r="H36" s="111">
        <v>0</v>
      </c>
      <c r="I36" s="111">
        <v>0</v>
      </c>
      <c r="J36" s="111">
        <v>0</v>
      </c>
      <c r="K36" s="111">
        <v>0</v>
      </c>
      <c r="L36" s="111">
        <v>0</v>
      </c>
      <c r="M36" s="111">
        <v>0</v>
      </c>
      <c r="N36" s="111">
        <v>0</v>
      </c>
      <c r="O36" s="111">
        <v>0</v>
      </c>
      <c r="P36" s="111">
        <v>0</v>
      </c>
      <c r="Q36" s="111">
        <v>1</v>
      </c>
      <c r="R36" s="111">
        <v>0</v>
      </c>
      <c r="S36" s="111">
        <v>0</v>
      </c>
      <c r="T36" s="111">
        <v>0</v>
      </c>
      <c r="U36" s="111">
        <v>0</v>
      </c>
      <c r="V36" s="111">
        <v>0</v>
      </c>
      <c r="W36" s="111">
        <v>0</v>
      </c>
      <c r="X36" s="111">
        <v>0</v>
      </c>
      <c r="Y36" s="111">
        <v>0</v>
      </c>
      <c r="Z36" s="111">
        <v>1</v>
      </c>
      <c r="AA36" s="111">
        <v>1</v>
      </c>
      <c r="AB36" s="111">
        <v>0</v>
      </c>
      <c r="AC36" s="111">
        <v>0</v>
      </c>
      <c r="AD36" s="111">
        <v>0</v>
      </c>
      <c r="AE36" s="111">
        <v>0</v>
      </c>
      <c r="AF36" s="111">
        <v>0</v>
      </c>
      <c r="AG36" s="111">
        <v>0</v>
      </c>
      <c r="AH36" s="111">
        <v>0</v>
      </c>
      <c r="AI36" s="111">
        <v>0</v>
      </c>
      <c r="AJ36" s="111">
        <v>1</v>
      </c>
      <c r="AK36" s="111">
        <v>1</v>
      </c>
      <c r="AL36" s="111">
        <v>1</v>
      </c>
      <c r="AM36" s="111">
        <v>1</v>
      </c>
      <c r="AN36" s="111">
        <v>0</v>
      </c>
      <c r="AO36" s="111">
        <v>0</v>
      </c>
      <c r="AP36" s="111">
        <v>0</v>
      </c>
      <c r="AQ36" s="111">
        <v>0</v>
      </c>
      <c r="AR36" s="111">
        <v>0</v>
      </c>
      <c r="AS36" s="111">
        <v>0</v>
      </c>
      <c r="AT36" s="111">
        <v>0</v>
      </c>
      <c r="AU36" s="111">
        <v>0</v>
      </c>
    </row>
    <row r="37" spans="1:47" x14ac:dyDescent="0.15">
      <c r="A37" s="192" t="s">
        <v>228</v>
      </c>
      <c r="B37" s="111">
        <v>0</v>
      </c>
      <c r="C37" s="111">
        <v>0</v>
      </c>
      <c r="D37" s="111">
        <v>0</v>
      </c>
      <c r="E37" s="111">
        <v>0</v>
      </c>
      <c r="F37" s="111">
        <v>0</v>
      </c>
      <c r="G37" s="111">
        <v>0</v>
      </c>
      <c r="H37" s="111">
        <v>0</v>
      </c>
      <c r="I37" s="111">
        <v>0</v>
      </c>
      <c r="J37" s="111">
        <v>0</v>
      </c>
      <c r="K37" s="111">
        <v>0</v>
      </c>
      <c r="L37" s="111">
        <v>0</v>
      </c>
      <c r="M37" s="111">
        <v>0</v>
      </c>
      <c r="N37" s="111">
        <v>0</v>
      </c>
      <c r="O37" s="111">
        <v>0</v>
      </c>
      <c r="P37" s="111">
        <v>0</v>
      </c>
      <c r="Q37" s="111">
        <v>0</v>
      </c>
      <c r="R37" s="111">
        <v>0</v>
      </c>
      <c r="S37" s="111">
        <v>0</v>
      </c>
      <c r="T37" s="111">
        <v>0</v>
      </c>
      <c r="U37" s="111">
        <v>0</v>
      </c>
      <c r="V37" s="111">
        <v>0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0</v>
      </c>
      <c r="AC37" s="111">
        <v>0</v>
      </c>
      <c r="AD37" s="111">
        <v>0</v>
      </c>
      <c r="AE37" s="111">
        <v>0</v>
      </c>
      <c r="AF37" s="111">
        <v>0</v>
      </c>
      <c r="AG37" s="111">
        <v>0</v>
      </c>
      <c r="AH37" s="111">
        <v>0</v>
      </c>
      <c r="AI37" s="111">
        <v>0</v>
      </c>
      <c r="AJ37" s="111">
        <v>0</v>
      </c>
      <c r="AK37" s="111">
        <v>1</v>
      </c>
      <c r="AL37" s="111">
        <v>1</v>
      </c>
      <c r="AM37" s="111">
        <v>0</v>
      </c>
      <c r="AN37" s="111">
        <v>0</v>
      </c>
      <c r="AO37" s="111">
        <v>0</v>
      </c>
      <c r="AP37" s="111">
        <v>0</v>
      </c>
      <c r="AQ37" s="111">
        <v>0</v>
      </c>
      <c r="AR37" s="111">
        <v>0</v>
      </c>
      <c r="AS37" s="111">
        <v>0</v>
      </c>
      <c r="AT37" s="111">
        <v>0</v>
      </c>
      <c r="AU37" s="111">
        <v>0</v>
      </c>
    </row>
    <row r="38" spans="1:47" x14ac:dyDescent="0.15">
      <c r="A38" s="192" t="s">
        <v>229</v>
      </c>
      <c r="B38" s="111">
        <v>0</v>
      </c>
      <c r="C38" s="111">
        <v>0</v>
      </c>
      <c r="D38" s="111">
        <v>0</v>
      </c>
      <c r="E38" s="111">
        <v>0</v>
      </c>
      <c r="F38" s="111">
        <v>0</v>
      </c>
      <c r="G38" s="111">
        <v>0</v>
      </c>
      <c r="H38" s="111">
        <v>0</v>
      </c>
      <c r="I38" s="111">
        <v>0</v>
      </c>
      <c r="J38" s="111">
        <v>0</v>
      </c>
      <c r="K38" s="111">
        <v>0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</v>
      </c>
      <c r="T38" s="111">
        <v>0</v>
      </c>
      <c r="U38" s="111">
        <v>0</v>
      </c>
      <c r="V38" s="111">
        <v>1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0</v>
      </c>
      <c r="AC38" s="111">
        <v>0</v>
      </c>
      <c r="AD38" s="111">
        <v>0</v>
      </c>
      <c r="AE38" s="111">
        <v>0</v>
      </c>
      <c r="AF38" s="111">
        <v>0</v>
      </c>
      <c r="AG38" s="111">
        <v>0</v>
      </c>
      <c r="AH38" s="111">
        <v>0</v>
      </c>
      <c r="AI38" s="111">
        <v>1</v>
      </c>
      <c r="AJ38" s="111">
        <v>0</v>
      </c>
      <c r="AK38" s="111">
        <v>0</v>
      </c>
      <c r="AL38" s="111">
        <v>1</v>
      </c>
      <c r="AM38" s="111">
        <v>0</v>
      </c>
      <c r="AN38" s="111">
        <v>0</v>
      </c>
      <c r="AO38" s="111">
        <v>0</v>
      </c>
      <c r="AP38" s="111">
        <v>0</v>
      </c>
      <c r="AQ38" s="111">
        <v>0</v>
      </c>
      <c r="AR38" s="111">
        <v>0</v>
      </c>
      <c r="AS38" s="111">
        <v>0</v>
      </c>
      <c r="AT38" s="111">
        <v>0</v>
      </c>
      <c r="AU38" s="111">
        <v>0</v>
      </c>
    </row>
    <row r="39" spans="1:47" x14ac:dyDescent="0.15">
      <c r="A39" s="192" t="s">
        <v>230</v>
      </c>
      <c r="B39" s="111">
        <v>0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1">
        <v>0</v>
      </c>
      <c r="L39" s="111">
        <v>0</v>
      </c>
      <c r="M39" s="111">
        <v>0</v>
      </c>
      <c r="N39" s="111">
        <v>0</v>
      </c>
      <c r="O39" s="111">
        <v>0</v>
      </c>
      <c r="P39" s="111">
        <v>0</v>
      </c>
      <c r="Q39" s="111">
        <v>0</v>
      </c>
      <c r="R39" s="111">
        <v>0</v>
      </c>
      <c r="S39" s="111">
        <v>0</v>
      </c>
      <c r="T39" s="111">
        <v>0</v>
      </c>
      <c r="U39" s="111">
        <v>0</v>
      </c>
      <c r="V39" s="111">
        <v>0</v>
      </c>
      <c r="W39" s="111">
        <v>0</v>
      </c>
      <c r="X39" s="111">
        <v>0</v>
      </c>
      <c r="Y39" s="111">
        <v>0</v>
      </c>
      <c r="Z39" s="111">
        <v>0</v>
      </c>
      <c r="AA39" s="111">
        <v>0</v>
      </c>
      <c r="AB39" s="111">
        <v>0</v>
      </c>
      <c r="AC39" s="111">
        <v>0</v>
      </c>
      <c r="AD39" s="111">
        <v>0</v>
      </c>
      <c r="AE39" s="111">
        <v>0</v>
      </c>
      <c r="AF39" s="111">
        <v>0</v>
      </c>
      <c r="AG39" s="111">
        <v>0</v>
      </c>
      <c r="AH39" s="111">
        <v>0</v>
      </c>
      <c r="AI39" s="111">
        <v>0</v>
      </c>
      <c r="AJ39" s="111">
        <v>0</v>
      </c>
      <c r="AK39" s="111">
        <v>0</v>
      </c>
      <c r="AL39" s="111">
        <v>1</v>
      </c>
      <c r="AM39" s="111">
        <v>0</v>
      </c>
      <c r="AN39" s="111">
        <v>0</v>
      </c>
      <c r="AO39" s="111">
        <v>0</v>
      </c>
      <c r="AP39" s="111">
        <v>0</v>
      </c>
      <c r="AQ39" s="111">
        <v>0</v>
      </c>
      <c r="AR39" s="111">
        <v>0</v>
      </c>
      <c r="AS39" s="111">
        <v>1</v>
      </c>
      <c r="AT39" s="111">
        <v>0</v>
      </c>
      <c r="AU39" s="111">
        <v>0</v>
      </c>
    </row>
    <row r="40" spans="1:47" x14ac:dyDescent="0.15">
      <c r="A40" s="192" t="s">
        <v>231</v>
      </c>
      <c r="B40" s="111">
        <v>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1">
        <v>0</v>
      </c>
      <c r="L40" s="111">
        <v>0</v>
      </c>
      <c r="M40" s="111">
        <v>0</v>
      </c>
      <c r="N40" s="111">
        <v>0</v>
      </c>
      <c r="O40" s="111">
        <v>0</v>
      </c>
      <c r="P40" s="111">
        <v>0</v>
      </c>
      <c r="Q40" s="111">
        <v>0</v>
      </c>
      <c r="R40" s="111">
        <v>0</v>
      </c>
      <c r="S40" s="111">
        <v>0</v>
      </c>
      <c r="T40" s="111">
        <v>0</v>
      </c>
      <c r="U40" s="111">
        <v>0</v>
      </c>
      <c r="V40" s="111">
        <v>0</v>
      </c>
      <c r="W40" s="111">
        <v>0</v>
      </c>
      <c r="X40" s="111">
        <v>0</v>
      </c>
      <c r="Y40" s="111">
        <v>0</v>
      </c>
      <c r="Z40" s="111">
        <v>0</v>
      </c>
      <c r="AA40" s="111">
        <v>0</v>
      </c>
      <c r="AB40" s="111">
        <v>0</v>
      </c>
      <c r="AC40" s="111">
        <v>0</v>
      </c>
      <c r="AD40" s="111">
        <v>0</v>
      </c>
      <c r="AE40" s="111">
        <v>0</v>
      </c>
      <c r="AF40" s="111">
        <v>0</v>
      </c>
      <c r="AG40" s="111">
        <v>0</v>
      </c>
      <c r="AH40" s="111">
        <v>0</v>
      </c>
      <c r="AI40" s="111">
        <v>0</v>
      </c>
      <c r="AJ40" s="111">
        <v>0</v>
      </c>
      <c r="AK40" s="111">
        <v>0</v>
      </c>
      <c r="AL40" s="111">
        <v>0</v>
      </c>
      <c r="AM40" s="111">
        <v>1</v>
      </c>
      <c r="AN40" s="111">
        <v>0</v>
      </c>
      <c r="AO40" s="111">
        <v>0</v>
      </c>
      <c r="AP40" s="111">
        <v>0</v>
      </c>
      <c r="AQ40" s="111">
        <v>0</v>
      </c>
      <c r="AR40" s="111">
        <v>0</v>
      </c>
      <c r="AS40" s="111">
        <v>1</v>
      </c>
      <c r="AT40" s="111">
        <v>0</v>
      </c>
      <c r="AU40" s="111">
        <v>0</v>
      </c>
    </row>
    <row r="41" spans="1:47" x14ac:dyDescent="0.15">
      <c r="A41" s="192" t="s">
        <v>232</v>
      </c>
      <c r="B41" s="111">
        <v>0</v>
      </c>
      <c r="C41" s="111">
        <v>0</v>
      </c>
      <c r="D41" s="111">
        <v>0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>
        <v>0</v>
      </c>
      <c r="K41" s="111">
        <v>0</v>
      </c>
      <c r="L41" s="111">
        <v>0</v>
      </c>
      <c r="M41" s="111">
        <v>0</v>
      </c>
      <c r="N41" s="111">
        <v>0</v>
      </c>
      <c r="O41" s="111">
        <v>0</v>
      </c>
      <c r="P41" s="111">
        <v>0</v>
      </c>
      <c r="Q41" s="111">
        <v>0</v>
      </c>
      <c r="R41" s="111">
        <v>0</v>
      </c>
      <c r="S41" s="111">
        <v>0</v>
      </c>
      <c r="T41" s="111">
        <v>0</v>
      </c>
      <c r="U41" s="111">
        <v>0</v>
      </c>
      <c r="V41" s="111">
        <v>0</v>
      </c>
      <c r="W41" s="111">
        <v>0</v>
      </c>
      <c r="X41" s="111">
        <v>0</v>
      </c>
      <c r="Y41" s="111">
        <v>0</v>
      </c>
      <c r="Z41" s="111">
        <v>0</v>
      </c>
      <c r="AA41" s="111">
        <v>0</v>
      </c>
      <c r="AB41" s="111">
        <v>0</v>
      </c>
      <c r="AC41" s="111">
        <v>0</v>
      </c>
      <c r="AD41" s="111">
        <v>0</v>
      </c>
      <c r="AE41" s="111">
        <v>0</v>
      </c>
      <c r="AF41" s="111">
        <v>0</v>
      </c>
      <c r="AG41" s="111">
        <v>0</v>
      </c>
      <c r="AH41" s="111">
        <v>0</v>
      </c>
      <c r="AI41" s="111">
        <v>0</v>
      </c>
      <c r="AJ41" s="111">
        <v>0</v>
      </c>
      <c r="AK41" s="111">
        <v>0</v>
      </c>
      <c r="AL41" s="111">
        <v>0</v>
      </c>
      <c r="AM41" s="111">
        <v>0</v>
      </c>
      <c r="AN41" s="111">
        <v>0</v>
      </c>
      <c r="AO41" s="111">
        <v>0</v>
      </c>
      <c r="AP41" s="111">
        <v>0</v>
      </c>
      <c r="AQ41" s="111">
        <v>0</v>
      </c>
      <c r="AR41" s="111">
        <v>0</v>
      </c>
      <c r="AS41" s="111">
        <v>1</v>
      </c>
      <c r="AT41" s="111">
        <v>0</v>
      </c>
      <c r="AU41" s="111">
        <v>0</v>
      </c>
    </row>
    <row r="42" spans="1:47" x14ac:dyDescent="0.15">
      <c r="A42" s="192" t="s">
        <v>233</v>
      </c>
      <c r="B42" s="111">
        <v>0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>
        <v>0</v>
      </c>
      <c r="K42" s="111">
        <v>0</v>
      </c>
      <c r="L42" s="111">
        <v>0</v>
      </c>
      <c r="M42" s="111">
        <v>0</v>
      </c>
      <c r="N42" s="111">
        <v>0</v>
      </c>
      <c r="O42" s="111">
        <v>0</v>
      </c>
      <c r="P42" s="111">
        <v>0</v>
      </c>
      <c r="Q42" s="111">
        <v>0</v>
      </c>
      <c r="R42" s="111">
        <v>0</v>
      </c>
      <c r="S42" s="111">
        <v>0</v>
      </c>
      <c r="T42" s="111">
        <v>0</v>
      </c>
      <c r="U42" s="111">
        <v>0</v>
      </c>
      <c r="V42" s="111">
        <v>0</v>
      </c>
      <c r="W42" s="111">
        <v>0</v>
      </c>
      <c r="X42" s="111">
        <v>0</v>
      </c>
      <c r="Y42" s="111">
        <v>0</v>
      </c>
      <c r="Z42" s="111">
        <v>0</v>
      </c>
      <c r="AA42" s="111">
        <v>0</v>
      </c>
      <c r="AB42" s="111">
        <v>0</v>
      </c>
      <c r="AC42" s="111">
        <v>0</v>
      </c>
      <c r="AD42" s="111">
        <v>0</v>
      </c>
      <c r="AE42" s="111">
        <v>0</v>
      </c>
      <c r="AF42" s="111">
        <v>0</v>
      </c>
      <c r="AG42" s="111">
        <v>0</v>
      </c>
      <c r="AH42" s="111">
        <v>0</v>
      </c>
      <c r="AI42" s="111">
        <v>0</v>
      </c>
      <c r="AJ42" s="111">
        <v>0</v>
      </c>
      <c r="AK42" s="111">
        <v>0</v>
      </c>
      <c r="AL42" s="111">
        <v>0</v>
      </c>
      <c r="AM42" s="111">
        <v>0</v>
      </c>
      <c r="AN42" s="111">
        <v>0</v>
      </c>
      <c r="AO42" s="111">
        <v>0</v>
      </c>
      <c r="AP42" s="111">
        <v>0</v>
      </c>
      <c r="AQ42" s="111">
        <v>0</v>
      </c>
      <c r="AR42" s="111">
        <v>0</v>
      </c>
      <c r="AS42" s="111">
        <v>1</v>
      </c>
      <c r="AT42" s="111">
        <v>0</v>
      </c>
      <c r="AU42" s="111">
        <v>0</v>
      </c>
    </row>
    <row r="43" spans="1:47" x14ac:dyDescent="0.15">
      <c r="A43" s="192" t="s">
        <v>234</v>
      </c>
      <c r="B43" s="111">
        <v>0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1">
        <v>0</v>
      </c>
      <c r="L43" s="111">
        <v>0</v>
      </c>
      <c r="M43" s="111">
        <v>0</v>
      </c>
      <c r="N43" s="111">
        <v>0</v>
      </c>
      <c r="O43" s="111">
        <v>0</v>
      </c>
      <c r="P43" s="111">
        <v>0</v>
      </c>
      <c r="Q43" s="111">
        <v>0</v>
      </c>
      <c r="R43" s="111">
        <v>0</v>
      </c>
      <c r="S43" s="111">
        <v>0</v>
      </c>
      <c r="T43" s="111">
        <v>0</v>
      </c>
      <c r="U43" s="111">
        <v>0</v>
      </c>
      <c r="V43" s="111">
        <v>0</v>
      </c>
      <c r="W43" s="111">
        <v>0</v>
      </c>
      <c r="X43" s="111">
        <v>0</v>
      </c>
      <c r="Y43" s="111">
        <v>0</v>
      </c>
      <c r="Z43" s="111">
        <v>0</v>
      </c>
      <c r="AA43" s="111">
        <v>0</v>
      </c>
      <c r="AB43" s="111">
        <v>0</v>
      </c>
      <c r="AC43" s="111">
        <v>0</v>
      </c>
      <c r="AD43" s="111">
        <v>0</v>
      </c>
      <c r="AE43" s="111">
        <v>0</v>
      </c>
      <c r="AF43" s="111">
        <v>0</v>
      </c>
      <c r="AG43" s="111">
        <v>0</v>
      </c>
      <c r="AH43" s="111">
        <v>0</v>
      </c>
      <c r="AI43" s="111">
        <v>0</v>
      </c>
      <c r="AJ43" s="111">
        <v>0</v>
      </c>
      <c r="AK43" s="111">
        <v>0</v>
      </c>
      <c r="AL43" s="111">
        <v>0</v>
      </c>
      <c r="AM43" s="111">
        <v>1</v>
      </c>
      <c r="AN43" s="111">
        <v>0</v>
      </c>
      <c r="AO43" s="111">
        <v>0</v>
      </c>
      <c r="AP43" s="111">
        <v>0</v>
      </c>
      <c r="AQ43" s="111">
        <v>0</v>
      </c>
      <c r="AR43" s="111">
        <v>0</v>
      </c>
      <c r="AS43" s="111">
        <v>1</v>
      </c>
      <c r="AT43" s="111">
        <v>0</v>
      </c>
      <c r="AU43" s="111">
        <v>0</v>
      </c>
    </row>
    <row r="44" spans="1:47" x14ac:dyDescent="0.15">
      <c r="A44" s="192" t="s">
        <v>235</v>
      </c>
      <c r="B44" s="111">
        <v>0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1">
        <v>0</v>
      </c>
      <c r="L44" s="111">
        <v>0</v>
      </c>
      <c r="M44" s="111">
        <v>0</v>
      </c>
      <c r="N44" s="111">
        <v>0</v>
      </c>
      <c r="O44" s="111">
        <v>0</v>
      </c>
      <c r="P44" s="111">
        <v>0</v>
      </c>
      <c r="Q44" s="111">
        <v>0</v>
      </c>
      <c r="R44" s="111">
        <v>0</v>
      </c>
      <c r="S44" s="111">
        <v>0</v>
      </c>
      <c r="T44" s="111">
        <v>0</v>
      </c>
      <c r="U44" s="111">
        <v>0</v>
      </c>
      <c r="V44" s="111">
        <v>0</v>
      </c>
      <c r="W44" s="111">
        <v>0</v>
      </c>
      <c r="X44" s="111">
        <v>0</v>
      </c>
      <c r="Y44" s="111">
        <v>0</v>
      </c>
      <c r="Z44" s="111">
        <v>0</v>
      </c>
      <c r="AA44" s="111">
        <v>0</v>
      </c>
      <c r="AB44" s="111">
        <v>0</v>
      </c>
      <c r="AC44" s="111">
        <v>0</v>
      </c>
      <c r="AD44" s="111">
        <v>0</v>
      </c>
      <c r="AE44" s="111">
        <v>0</v>
      </c>
      <c r="AF44" s="111">
        <v>0</v>
      </c>
      <c r="AG44" s="111">
        <v>0</v>
      </c>
      <c r="AH44" s="111">
        <v>0</v>
      </c>
      <c r="AI44" s="111">
        <v>0</v>
      </c>
      <c r="AJ44" s="111">
        <v>0</v>
      </c>
      <c r="AK44" s="111">
        <v>0</v>
      </c>
      <c r="AL44" s="111">
        <v>0</v>
      </c>
      <c r="AM44" s="111">
        <v>0</v>
      </c>
      <c r="AN44" s="111">
        <v>0</v>
      </c>
      <c r="AO44" s="111">
        <v>0</v>
      </c>
      <c r="AP44" s="111">
        <v>0</v>
      </c>
      <c r="AQ44" s="111">
        <v>0</v>
      </c>
      <c r="AR44" s="111">
        <v>0</v>
      </c>
      <c r="AS44" s="111">
        <v>1</v>
      </c>
      <c r="AT44" s="111">
        <v>0</v>
      </c>
      <c r="AU44" s="111">
        <v>0</v>
      </c>
    </row>
    <row r="45" spans="1:47" x14ac:dyDescent="0.15">
      <c r="A45" s="192" t="s">
        <v>236</v>
      </c>
      <c r="B45" s="111">
        <v>0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0</v>
      </c>
      <c r="L45" s="111">
        <v>0</v>
      </c>
      <c r="M45" s="111">
        <v>0</v>
      </c>
      <c r="N45" s="111">
        <v>0</v>
      </c>
      <c r="O45" s="111">
        <v>0</v>
      </c>
      <c r="P45" s="111">
        <v>0</v>
      </c>
      <c r="Q45" s="111">
        <v>0</v>
      </c>
      <c r="R45" s="111">
        <v>0</v>
      </c>
      <c r="S45" s="111">
        <v>0</v>
      </c>
      <c r="T45" s="111">
        <v>0</v>
      </c>
      <c r="U45" s="111">
        <v>0</v>
      </c>
      <c r="V45" s="111">
        <v>0</v>
      </c>
      <c r="W45" s="111">
        <v>0</v>
      </c>
      <c r="X45" s="111">
        <v>0</v>
      </c>
      <c r="Y45" s="111">
        <v>0</v>
      </c>
      <c r="Z45" s="111">
        <v>0</v>
      </c>
      <c r="AA45" s="111">
        <v>0</v>
      </c>
      <c r="AB45" s="111">
        <v>0</v>
      </c>
      <c r="AC45" s="111">
        <v>0</v>
      </c>
      <c r="AD45" s="111">
        <v>0</v>
      </c>
      <c r="AE45" s="111">
        <v>0</v>
      </c>
      <c r="AF45" s="111">
        <v>0</v>
      </c>
      <c r="AG45" s="111">
        <v>0</v>
      </c>
      <c r="AH45" s="111">
        <v>0</v>
      </c>
      <c r="AI45" s="111">
        <v>0</v>
      </c>
      <c r="AJ45" s="111">
        <v>0</v>
      </c>
      <c r="AK45" s="111">
        <v>0</v>
      </c>
      <c r="AL45" s="111">
        <v>0</v>
      </c>
      <c r="AM45" s="111">
        <v>1</v>
      </c>
      <c r="AN45" s="111">
        <v>0</v>
      </c>
      <c r="AO45" s="111">
        <v>0</v>
      </c>
      <c r="AP45" s="111">
        <v>0</v>
      </c>
      <c r="AQ45" s="111">
        <v>0</v>
      </c>
      <c r="AR45" s="111">
        <v>0</v>
      </c>
      <c r="AS45" s="111">
        <v>0</v>
      </c>
      <c r="AT45" s="111">
        <v>0</v>
      </c>
      <c r="AU45" s="111">
        <v>0</v>
      </c>
    </row>
    <row r="46" spans="1:47" x14ac:dyDescent="0.15">
      <c r="A46" s="192" t="s">
        <v>237</v>
      </c>
      <c r="B46" s="111">
        <v>0</v>
      </c>
      <c r="C46" s="111">
        <v>0</v>
      </c>
      <c r="D46" s="111">
        <v>1</v>
      </c>
      <c r="E46" s="111">
        <v>1</v>
      </c>
      <c r="F46" s="111">
        <v>1</v>
      </c>
      <c r="G46" s="111">
        <v>1</v>
      </c>
      <c r="H46" s="111">
        <v>1</v>
      </c>
      <c r="I46" s="111">
        <v>1</v>
      </c>
      <c r="J46" s="111">
        <v>1</v>
      </c>
      <c r="K46" s="111">
        <v>1</v>
      </c>
      <c r="L46" s="111">
        <v>1</v>
      </c>
      <c r="M46" s="111">
        <v>1</v>
      </c>
      <c r="N46" s="111">
        <v>0</v>
      </c>
      <c r="O46" s="111">
        <v>0</v>
      </c>
      <c r="P46" s="111">
        <v>0</v>
      </c>
      <c r="Q46" s="111">
        <v>0</v>
      </c>
      <c r="R46" s="111">
        <v>1</v>
      </c>
      <c r="S46" s="111">
        <v>0</v>
      </c>
      <c r="T46" s="111">
        <v>0</v>
      </c>
      <c r="U46" s="111">
        <v>0</v>
      </c>
      <c r="V46" s="111">
        <v>0</v>
      </c>
      <c r="W46" s="111">
        <v>0</v>
      </c>
      <c r="X46" s="111">
        <v>0</v>
      </c>
      <c r="Y46" s="111">
        <v>0</v>
      </c>
      <c r="Z46" s="111">
        <v>0</v>
      </c>
      <c r="AA46" s="111">
        <v>0</v>
      </c>
      <c r="AB46" s="111">
        <v>0</v>
      </c>
      <c r="AC46" s="111">
        <v>0</v>
      </c>
      <c r="AD46" s="111">
        <v>0</v>
      </c>
      <c r="AE46" s="111">
        <v>0</v>
      </c>
      <c r="AF46" s="111">
        <v>0</v>
      </c>
      <c r="AG46" s="111">
        <v>0</v>
      </c>
      <c r="AH46" s="111">
        <v>0</v>
      </c>
      <c r="AI46" s="111">
        <v>0</v>
      </c>
      <c r="AJ46" s="111">
        <v>0</v>
      </c>
      <c r="AK46" s="111">
        <v>0</v>
      </c>
      <c r="AL46" s="111">
        <v>0</v>
      </c>
      <c r="AM46" s="111">
        <v>0</v>
      </c>
      <c r="AN46" s="111">
        <v>0</v>
      </c>
      <c r="AO46" s="111">
        <v>0</v>
      </c>
      <c r="AP46" s="111">
        <v>0</v>
      </c>
      <c r="AQ46" s="111">
        <v>0</v>
      </c>
      <c r="AR46" s="111">
        <v>0</v>
      </c>
      <c r="AS46" s="111">
        <v>0</v>
      </c>
      <c r="AT46" s="111">
        <v>0</v>
      </c>
      <c r="AU46" s="111">
        <v>0</v>
      </c>
    </row>
    <row r="47" spans="1:47" x14ac:dyDescent="0.15">
      <c r="A47" s="192" t="s">
        <v>238</v>
      </c>
      <c r="B47" s="111">
        <v>0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0</v>
      </c>
      <c r="L47" s="111">
        <v>0</v>
      </c>
      <c r="M47" s="111">
        <v>0</v>
      </c>
      <c r="N47" s="111">
        <v>0</v>
      </c>
      <c r="O47" s="111">
        <v>0</v>
      </c>
      <c r="P47" s="111">
        <v>0</v>
      </c>
      <c r="Q47" s="111">
        <v>0</v>
      </c>
      <c r="R47" s="111">
        <v>0</v>
      </c>
      <c r="S47" s="111">
        <v>0</v>
      </c>
      <c r="T47" s="111">
        <v>0</v>
      </c>
      <c r="U47" s="111">
        <v>0</v>
      </c>
      <c r="V47" s="111">
        <v>0</v>
      </c>
      <c r="W47" s="111">
        <v>0</v>
      </c>
      <c r="X47" s="111">
        <v>0</v>
      </c>
      <c r="Y47" s="111">
        <v>0</v>
      </c>
      <c r="Z47" s="111">
        <v>0</v>
      </c>
      <c r="AA47" s="111">
        <v>0</v>
      </c>
      <c r="AB47" s="111">
        <v>0</v>
      </c>
      <c r="AC47" s="111">
        <v>0</v>
      </c>
      <c r="AD47" s="111">
        <v>0</v>
      </c>
      <c r="AE47" s="111">
        <v>0</v>
      </c>
      <c r="AF47" s="111">
        <v>0</v>
      </c>
      <c r="AG47" s="111">
        <v>0</v>
      </c>
      <c r="AH47" s="111">
        <v>0</v>
      </c>
      <c r="AI47" s="111">
        <v>0</v>
      </c>
      <c r="AJ47" s="111">
        <v>0</v>
      </c>
      <c r="AK47" s="111">
        <v>0</v>
      </c>
      <c r="AL47" s="111">
        <v>0</v>
      </c>
      <c r="AM47" s="111">
        <v>0</v>
      </c>
      <c r="AN47" s="111">
        <v>0</v>
      </c>
      <c r="AO47" s="111">
        <v>0</v>
      </c>
      <c r="AP47" s="111">
        <v>0</v>
      </c>
      <c r="AQ47" s="111">
        <v>0</v>
      </c>
      <c r="AR47" s="111">
        <v>0</v>
      </c>
      <c r="AS47" s="111">
        <v>0</v>
      </c>
      <c r="AT47" s="111">
        <v>0</v>
      </c>
      <c r="AU47" s="111">
        <v>0</v>
      </c>
    </row>
    <row r="48" spans="1:47" x14ac:dyDescent="0.15">
      <c r="A48" s="192" t="s">
        <v>250</v>
      </c>
      <c r="B48" s="111">
        <v>0</v>
      </c>
      <c r="C48" s="111">
        <v>0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</v>
      </c>
      <c r="L48" s="111">
        <v>0</v>
      </c>
      <c r="M48" s="111">
        <v>0</v>
      </c>
      <c r="N48" s="111">
        <v>0</v>
      </c>
      <c r="O48" s="111">
        <v>0</v>
      </c>
      <c r="P48" s="111">
        <v>0</v>
      </c>
      <c r="Q48" s="111">
        <v>0</v>
      </c>
      <c r="R48" s="111">
        <v>0</v>
      </c>
      <c r="S48" s="111">
        <v>0</v>
      </c>
      <c r="T48" s="111">
        <v>0</v>
      </c>
      <c r="U48" s="111">
        <v>0</v>
      </c>
      <c r="V48" s="111">
        <v>0</v>
      </c>
      <c r="W48" s="111">
        <v>0</v>
      </c>
      <c r="X48" s="111">
        <v>0</v>
      </c>
      <c r="Y48" s="111">
        <v>0</v>
      </c>
      <c r="Z48" s="111">
        <v>0</v>
      </c>
      <c r="AA48" s="111">
        <v>0</v>
      </c>
      <c r="AB48" s="111">
        <v>0</v>
      </c>
      <c r="AC48" s="111">
        <v>0</v>
      </c>
      <c r="AD48" s="111">
        <v>0</v>
      </c>
      <c r="AE48" s="111">
        <v>0</v>
      </c>
      <c r="AF48" s="111">
        <v>0</v>
      </c>
      <c r="AG48" s="111">
        <v>0</v>
      </c>
      <c r="AH48" s="111">
        <v>0</v>
      </c>
      <c r="AI48" s="111">
        <v>0</v>
      </c>
      <c r="AJ48" s="111">
        <v>0</v>
      </c>
      <c r="AK48" s="111">
        <v>0</v>
      </c>
      <c r="AL48" s="111">
        <v>0</v>
      </c>
      <c r="AM48" s="111">
        <v>0</v>
      </c>
      <c r="AN48" s="111">
        <v>0</v>
      </c>
      <c r="AO48" s="111">
        <v>0</v>
      </c>
      <c r="AP48" s="111">
        <v>0</v>
      </c>
      <c r="AQ48" s="111">
        <v>0</v>
      </c>
      <c r="AR48" s="111">
        <v>0</v>
      </c>
      <c r="AS48" s="111">
        <v>0</v>
      </c>
      <c r="AT48" s="111">
        <v>0</v>
      </c>
      <c r="AU48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M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83</v>
      </c>
      <c r="B1" s="3" t="s">
        <v>0</v>
      </c>
      <c r="C1" s="195" t="s">
        <v>239</v>
      </c>
      <c r="D1" s="195" t="s">
        <v>240</v>
      </c>
      <c r="E1" s="195" t="s">
        <v>241</v>
      </c>
      <c r="F1" s="195" t="s">
        <v>242</v>
      </c>
      <c r="G1" s="195" t="s">
        <v>243</v>
      </c>
      <c r="H1" s="195" t="s">
        <v>244</v>
      </c>
      <c r="I1" s="195" t="s">
        <v>245</v>
      </c>
      <c r="J1" s="195" t="s">
        <v>246</v>
      </c>
      <c r="K1" s="195" t="s">
        <v>247</v>
      </c>
      <c r="L1" s="195" t="s">
        <v>248</v>
      </c>
      <c r="M1" s="195" t="s">
        <v>249</v>
      </c>
    </row>
    <row r="2" spans="1:13" x14ac:dyDescent="0.15">
      <c r="A2">
        <v>1</v>
      </c>
      <c r="B2" s="194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94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0.8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94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94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5</v>
      </c>
      <c r="B6" s="194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0.8</v>
      </c>
      <c r="I6">
        <v>0</v>
      </c>
      <c r="J6">
        <v>0</v>
      </c>
      <c r="K6">
        <v>0</v>
      </c>
      <c r="L6">
        <v>0.8</v>
      </c>
      <c r="M6">
        <v>0</v>
      </c>
    </row>
    <row r="7" spans="1:13" x14ac:dyDescent="0.15">
      <c r="A7">
        <v>6</v>
      </c>
      <c r="B7" s="194" t="s">
        <v>198</v>
      </c>
      <c r="C7">
        <v>0.8</v>
      </c>
      <c r="D7">
        <v>0</v>
      </c>
      <c r="E7">
        <v>0</v>
      </c>
      <c r="F7">
        <v>0</v>
      </c>
      <c r="G7">
        <v>0.8</v>
      </c>
      <c r="H7">
        <v>0.8</v>
      </c>
      <c r="I7">
        <v>0.8</v>
      </c>
      <c r="J7">
        <v>0</v>
      </c>
      <c r="K7">
        <v>0</v>
      </c>
      <c r="L7">
        <v>0.8</v>
      </c>
      <c r="M7">
        <v>0</v>
      </c>
    </row>
    <row r="8" spans="1:13" x14ac:dyDescent="0.15">
      <c r="A8">
        <v>7</v>
      </c>
      <c r="B8" s="194" t="s">
        <v>199</v>
      </c>
      <c r="C8">
        <v>0.8</v>
      </c>
      <c r="D8">
        <v>0</v>
      </c>
      <c r="E8">
        <v>0</v>
      </c>
      <c r="F8">
        <v>0</v>
      </c>
      <c r="G8">
        <v>0</v>
      </c>
      <c r="H8">
        <v>0.8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94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94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15">
      <c r="A11">
        <v>10</v>
      </c>
      <c r="B11" s="194" t="s">
        <v>202</v>
      </c>
      <c r="C11">
        <v>0.8</v>
      </c>
      <c r="D11">
        <v>0</v>
      </c>
      <c r="E11">
        <v>0</v>
      </c>
      <c r="F11">
        <v>0</v>
      </c>
      <c r="G11">
        <v>0</v>
      </c>
      <c r="H11">
        <v>0.8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94" t="s">
        <v>203</v>
      </c>
      <c r="C12">
        <v>0.8</v>
      </c>
      <c r="D12">
        <v>0</v>
      </c>
      <c r="E12">
        <v>0.8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15">
      <c r="A13">
        <v>12</v>
      </c>
      <c r="B13" s="194" t="s">
        <v>204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94" t="s">
        <v>205</v>
      </c>
      <c r="C14">
        <v>0.8</v>
      </c>
      <c r="D14">
        <v>0</v>
      </c>
      <c r="E14">
        <v>0</v>
      </c>
      <c r="F14">
        <v>0</v>
      </c>
      <c r="G14">
        <v>0.8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15">
      <c r="A15">
        <v>14</v>
      </c>
      <c r="B15" s="194" t="s">
        <v>206</v>
      </c>
      <c r="C15">
        <v>0.8</v>
      </c>
      <c r="D15">
        <v>0.8</v>
      </c>
      <c r="E15">
        <v>0.8</v>
      </c>
      <c r="F15">
        <v>0</v>
      </c>
      <c r="G15">
        <v>0.8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94" t="s">
        <v>207</v>
      </c>
      <c r="C16">
        <v>0.8</v>
      </c>
      <c r="D16">
        <v>0</v>
      </c>
      <c r="E16">
        <v>0</v>
      </c>
      <c r="F16">
        <v>0</v>
      </c>
      <c r="G16">
        <v>0.8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15">
      <c r="A17">
        <v>16</v>
      </c>
      <c r="B17" s="194" t="s">
        <v>208</v>
      </c>
      <c r="C17">
        <v>0.8</v>
      </c>
      <c r="D17">
        <v>0</v>
      </c>
      <c r="E17">
        <v>0</v>
      </c>
      <c r="F17">
        <v>0.8</v>
      </c>
      <c r="G17">
        <v>0.8</v>
      </c>
      <c r="H17">
        <v>0</v>
      </c>
      <c r="I17">
        <v>0</v>
      </c>
      <c r="J17">
        <v>0.8</v>
      </c>
      <c r="K17">
        <v>0.8</v>
      </c>
      <c r="L17">
        <v>0</v>
      </c>
      <c r="M17">
        <v>0</v>
      </c>
    </row>
    <row r="18" spans="1:13" x14ac:dyDescent="0.15">
      <c r="A18">
        <v>17</v>
      </c>
      <c r="B18" s="194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194" t="s">
        <v>210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15">
      <c r="A20">
        <v>19</v>
      </c>
      <c r="B20" s="194" t="s">
        <v>211</v>
      </c>
      <c r="C20">
        <v>0.8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94" t="s">
        <v>212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15">
      <c r="A22">
        <v>21</v>
      </c>
      <c r="B22" s="194" t="s">
        <v>213</v>
      </c>
      <c r="C22">
        <v>0.8</v>
      </c>
      <c r="D22">
        <v>0</v>
      </c>
      <c r="E22">
        <v>0</v>
      </c>
      <c r="F22">
        <v>0</v>
      </c>
      <c r="G22">
        <v>0.8</v>
      </c>
      <c r="H22">
        <v>0</v>
      </c>
      <c r="I22">
        <v>0</v>
      </c>
      <c r="J22">
        <v>0</v>
      </c>
      <c r="K22">
        <v>0</v>
      </c>
      <c r="L22">
        <v>0.8</v>
      </c>
      <c r="M22">
        <v>0</v>
      </c>
    </row>
    <row r="23" spans="1:13" x14ac:dyDescent="0.15">
      <c r="A23">
        <v>22</v>
      </c>
      <c r="B23" s="194" t="s">
        <v>214</v>
      </c>
      <c r="C23">
        <v>0.8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0.8</v>
      </c>
      <c r="M23">
        <v>0</v>
      </c>
    </row>
    <row r="24" spans="1:13" x14ac:dyDescent="0.15">
      <c r="A24">
        <v>23</v>
      </c>
      <c r="B24" s="194" t="s">
        <v>215</v>
      </c>
      <c r="C24">
        <v>0.8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0.8</v>
      </c>
      <c r="M24">
        <v>0</v>
      </c>
    </row>
    <row r="25" spans="1:13" x14ac:dyDescent="0.15">
      <c r="A25">
        <v>24</v>
      </c>
      <c r="B25" s="194" t="s">
        <v>216</v>
      </c>
      <c r="C25">
        <v>0.8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0.8</v>
      </c>
      <c r="M25">
        <v>0.8</v>
      </c>
    </row>
    <row r="26" spans="1:13" x14ac:dyDescent="0.15">
      <c r="A26">
        <v>25</v>
      </c>
      <c r="B26" s="194" t="s">
        <v>217</v>
      </c>
      <c r="C26">
        <v>0.8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94" t="s">
        <v>218</v>
      </c>
      <c r="C27">
        <v>0.8</v>
      </c>
      <c r="D27">
        <v>0</v>
      </c>
      <c r="E27">
        <v>0</v>
      </c>
      <c r="F27">
        <v>0</v>
      </c>
      <c r="G27">
        <v>0.8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94" t="s">
        <v>219</v>
      </c>
      <c r="C28">
        <v>0.8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94" t="s">
        <v>220</v>
      </c>
      <c r="C29">
        <v>0.8</v>
      </c>
      <c r="D29">
        <v>0</v>
      </c>
      <c r="E29">
        <v>0</v>
      </c>
      <c r="F29">
        <v>0</v>
      </c>
      <c r="G29">
        <v>0.8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94" t="s">
        <v>221</v>
      </c>
      <c r="C30">
        <v>0.8</v>
      </c>
      <c r="D30">
        <v>0</v>
      </c>
      <c r="E30">
        <v>0</v>
      </c>
      <c r="F30">
        <v>0</v>
      </c>
      <c r="G30">
        <v>0.8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15">
      <c r="A31">
        <v>30</v>
      </c>
      <c r="B31" s="194" t="s">
        <v>222</v>
      </c>
      <c r="C31">
        <v>0.8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94" t="s">
        <v>223</v>
      </c>
      <c r="C32">
        <v>0.8</v>
      </c>
      <c r="D32">
        <v>0</v>
      </c>
      <c r="E32">
        <v>0</v>
      </c>
      <c r="F32">
        <v>0</v>
      </c>
      <c r="G32">
        <v>0.8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94" t="s">
        <v>224</v>
      </c>
      <c r="C33">
        <v>0.8</v>
      </c>
      <c r="D33">
        <v>0</v>
      </c>
      <c r="E33">
        <v>0</v>
      </c>
      <c r="F33">
        <v>0</v>
      </c>
      <c r="G33">
        <v>0.8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94" t="s">
        <v>225</v>
      </c>
      <c r="C34">
        <v>0.8</v>
      </c>
      <c r="D34">
        <v>0.8</v>
      </c>
      <c r="E34">
        <v>0</v>
      </c>
      <c r="F34">
        <v>0</v>
      </c>
      <c r="G34">
        <v>0.8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94" t="s">
        <v>226</v>
      </c>
      <c r="C35">
        <v>0.8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0.8</v>
      </c>
      <c r="M35">
        <v>0</v>
      </c>
    </row>
    <row r="36" spans="1:13" x14ac:dyDescent="0.15">
      <c r="A36">
        <v>35</v>
      </c>
      <c r="B36" s="194" t="s">
        <v>227</v>
      </c>
      <c r="C36">
        <v>0.8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15">
      <c r="A37">
        <v>36</v>
      </c>
      <c r="B37" s="194" t="s">
        <v>228</v>
      </c>
      <c r="C37">
        <v>0.8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15">
      <c r="A38">
        <v>37</v>
      </c>
      <c r="B38" s="194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0.8</v>
      </c>
      <c r="M38">
        <v>0.8</v>
      </c>
    </row>
    <row r="39" spans="1:13" x14ac:dyDescent="0.15">
      <c r="A39">
        <v>38</v>
      </c>
      <c r="B39" s="194" t="s">
        <v>230</v>
      </c>
      <c r="C39">
        <v>0.8</v>
      </c>
      <c r="D39">
        <v>0</v>
      </c>
      <c r="E39">
        <v>0</v>
      </c>
      <c r="F39">
        <v>0.8</v>
      </c>
      <c r="G39">
        <v>0</v>
      </c>
      <c r="H39">
        <v>0</v>
      </c>
      <c r="I39">
        <v>0</v>
      </c>
      <c r="J39">
        <v>0.8</v>
      </c>
      <c r="K39">
        <v>0.8</v>
      </c>
      <c r="L39">
        <v>0.8</v>
      </c>
      <c r="M39">
        <v>0</v>
      </c>
    </row>
    <row r="40" spans="1:13" x14ac:dyDescent="0.15">
      <c r="A40">
        <v>39</v>
      </c>
      <c r="B40" s="194" t="s">
        <v>231</v>
      </c>
      <c r="C40">
        <v>0.8</v>
      </c>
      <c r="D40">
        <v>0.8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94" t="s">
        <v>232</v>
      </c>
      <c r="C41">
        <v>0</v>
      </c>
      <c r="D41">
        <v>0</v>
      </c>
      <c r="E41">
        <v>0</v>
      </c>
      <c r="F41">
        <v>0.8</v>
      </c>
      <c r="G41">
        <v>0</v>
      </c>
      <c r="H41">
        <v>0</v>
      </c>
      <c r="I41">
        <v>0</v>
      </c>
      <c r="J41">
        <v>0.8</v>
      </c>
      <c r="K41">
        <v>0.8</v>
      </c>
      <c r="L41">
        <v>0</v>
      </c>
      <c r="M41">
        <v>0</v>
      </c>
    </row>
    <row r="42" spans="1:13" x14ac:dyDescent="0.15">
      <c r="A42">
        <v>41</v>
      </c>
      <c r="B42" s="194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194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15">
      <c r="A44">
        <v>43</v>
      </c>
      <c r="B44" s="194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15">
      <c r="A45">
        <v>44</v>
      </c>
      <c r="B45" s="194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194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15">
      <c r="A47">
        <v>46</v>
      </c>
      <c r="B47" s="194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M4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13" width="3.83203125" customWidth="1"/>
  </cols>
  <sheetData>
    <row r="1" spans="1:13" ht="112" x14ac:dyDescent="0.15">
      <c r="A1" s="5" t="s">
        <v>82</v>
      </c>
      <c r="B1" s="3" t="s">
        <v>0</v>
      </c>
      <c r="C1" s="197" t="s">
        <v>239</v>
      </c>
      <c r="D1" s="197" t="s">
        <v>240</v>
      </c>
      <c r="E1" s="197" t="s">
        <v>241</v>
      </c>
      <c r="F1" s="197" t="s">
        <v>242</v>
      </c>
      <c r="G1" s="197" t="s">
        <v>243</v>
      </c>
      <c r="H1" s="197" t="s">
        <v>244</v>
      </c>
      <c r="I1" s="197" t="s">
        <v>245</v>
      </c>
      <c r="J1" s="197" t="s">
        <v>246</v>
      </c>
      <c r="K1" s="197" t="s">
        <v>247</v>
      </c>
      <c r="L1" s="197" t="s">
        <v>248</v>
      </c>
      <c r="M1" s="197" t="s">
        <v>249</v>
      </c>
    </row>
    <row r="2" spans="1:13" x14ac:dyDescent="0.15">
      <c r="A2">
        <v>1</v>
      </c>
      <c r="B2" s="196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96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0.8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96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96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5</v>
      </c>
      <c r="B6" s="196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0.8</v>
      </c>
      <c r="I6">
        <v>0</v>
      </c>
      <c r="J6">
        <v>0</v>
      </c>
      <c r="K6">
        <v>0</v>
      </c>
      <c r="L6">
        <v>0.8</v>
      </c>
      <c r="M6">
        <v>0</v>
      </c>
    </row>
    <row r="7" spans="1:13" x14ac:dyDescent="0.15">
      <c r="A7">
        <v>6</v>
      </c>
      <c r="B7" s="196" t="s">
        <v>198</v>
      </c>
      <c r="C7">
        <v>0.8</v>
      </c>
      <c r="D7">
        <v>0</v>
      </c>
      <c r="E7">
        <v>0</v>
      </c>
      <c r="F7">
        <v>0</v>
      </c>
      <c r="G7">
        <v>0.8</v>
      </c>
      <c r="H7">
        <v>0.8</v>
      </c>
      <c r="I7">
        <v>0.8</v>
      </c>
      <c r="J7">
        <v>0</v>
      </c>
      <c r="K7">
        <v>0</v>
      </c>
      <c r="L7">
        <v>0.8</v>
      </c>
      <c r="M7">
        <v>0</v>
      </c>
    </row>
    <row r="8" spans="1:13" x14ac:dyDescent="0.15">
      <c r="A8">
        <v>7</v>
      </c>
      <c r="B8" s="196" t="s">
        <v>199</v>
      </c>
      <c r="C8">
        <v>0.8</v>
      </c>
      <c r="D8">
        <v>0</v>
      </c>
      <c r="E8">
        <v>0</v>
      </c>
      <c r="F8">
        <v>0</v>
      </c>
      <c r="G8">
        <v>0</v>
      </c>
      <c r="H8">
        <v>0.8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96" t="s">
        <v>200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96" t="s">
        <v>201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15">
      <c r="A11">
        <v>10</v>
      </c>
      <c r="B11" s="196" t="s">
        <v>202</v>
      </c>
      <c r="C11">
        <v>0.8</v>
      </c>
      <c r="D11">
        <v>0</v>
      </c>
      <c r="E11">
        <v>0</v>
      </c>
      <c r="F11">
        <v>0</v>
      </c>
      <c r="G11">
        <v>0</v>
      </c>
      <c r="H11">
        <v>0.8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96" t="s">
        <v>203</v>
      </c>
      <c r="C12">
        <v>0.8</v>
      </c>
      <c r="D12">
        <v>0</v>
      </c>
      <c r="E12">
        <v>0.8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15">
      <c r="A13">
        <v>12</v>
      </c>
      <c r="B13" s="196" t="s">
        <v>204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96" t="s">
        <v>205</v>
      </c>
      <c r="C14">
        <v>0.8</v>
      </c>
      <c r="D14">
        <v>0</v>
      </c>
      <c r="E14">
        <v>0</v>
      </c>
      <c r="F14">
        <v>0</v>
      </c>
      <c r="G14">
        <v>0.8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15">
      <c r="A15">
        <v>14</v>
      </c>
      <c r="B15" s="196" t="s">
        <v>206</v>
      </c>
      <c r="C15">
        <v>0.8</v>
      </c>
      <c r="D15">
        <v>0.8</v>
      </c>
      <c r="E15">
        <v>0.8</v>
      </c>
      <c r="F15">
        <v>0</v>
      </c>
      <c r="G15">
        <v>0.8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96" t="s">
        <v>207</v>
      </c>
      <c r="C16">
        <v>0.8</v>
      </c>
      <c r="D16">
        <v>0</v>
      </c>
      <c r="E16">
        <v>0</v>
      </c>
      <c r="F16">
        <v>0</v>
      </c>
      <c r="G16">
        <v>0.8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15">
      <c r="A17">
        <v>16</v>
      </c>
      <c r="B17" s="196" t="s">
        <v>208</v>
      </c>
      <c r="C17">
        <v>0.8</v>
      </c>
      <c r="D17">
        <v>0</v>
      </c>
      <c r="E17">
        <v>0</v>
      </c>
      <c r="F17">
        <v>0.8</v>
      </c>
      <c r="G17">
        <v>0.8</v>
      </c>
      <c r="H17">
        <v>0</v>
      </c>
      <c r="I17">
        <v>0</v>
      </c>
      <c r="J17">
        <v>0.8</v>
      </c>
      <c r="K17">
        <v>0.8</v>
      </c>
      <c r="L17">
        <v>0</v>
      </c>
      <c r="M17">
        <v>0</v>
      </c>
    </row>
    <row r="18" spans="1:13" x14ac:dyDescent="0.15">
      <c r="A18">
        <v>17</v>
      </c>
      <c r="B18" s="196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196" t="s">
        <v>210</v>
      </c>
      <c r="C19">
        <v>0.8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15">
      <c r="A20">
        <v>19</v>
      </c>
      <c r="B20" s="196" t="s">
        <v>211</v>
      </c>
      <c r="C20">
        <v>0.8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96" t="s">
        <v>212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15">
      <c r="A22">
        <v>21</v>
      </c>
      <c r="B22" s="196" t="s">
        <v>213</v>
      </c>
      <c r="C22">
        <v>0.8</v>
      </c>
      <c r="D22">
        <v>0</v>
      </c>
      <c r="E22">
        <v>0</v>
      </c>
      <c r="F22">
        <v>0</v>
      </c>
      <c r="G22">
        <v>0.8</v>
      </c>
      <c r="H22">
        <v>0</v>
      </c>
      <c r="I22">
        <v>0</v>
      </c>
      <c r="J22">
        <v>0</v>
      </c>
      <c r="K22">
        <v>0</v>
      </c>
      <c r="L22">
        <v>0.8</v>
      </c>
      <c r="M22">
        <v>0</v>
      </c>
    </row>
    <row r="23" spans="1:13" x14ac:dyDescent="0.15">
      <c r="A23">
        <v>22</v>
      </c>
      <c r="B23" s="196" t="s">
        <v>214</v>
      </c>
      <c r="C23">
        <v>0.8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0.8</v>
      </c>
      <c r="M23">
        <v>0</v>
      </c>
    </row>
    <row r="24" spans="1:13" x14ac:dyDescent="0.15">
      <c r="A24">
        <v>23</v>
      </c>
      <c r="B24" s="196" t="s">
        <v>215</v>
      </c>
      <c r="C24">
        <v>0.8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0.8</v>
      </c>
      <c r="M24">
        <v>0</v>
      </c>
    </row>
    <row r="25" spans="1:13" x14ac:dyDescent="0.15">
      <c r="A25">
        <v>24</v>
      </c>
      <c r="B25" s="196" t="s">
        <v>216</v>
      </c>
      <c r="C25">
        <v>0.8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0.8</v>
      </c>
      <c r="M25">
        <v>0.8</v>
      </c>
    </row>
    <row r="26" spans="1:13" x14ac:dyDescent="0.15">
      <c r="A26">
        <v>25</v>
      </c>
      <c r="B26" s="196" t="s">
        <v>217</v>
      </c>
      <c r="C26">
        <v>0.8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96" t="s">
        <v>218</v>
      </c>
      <c r="C27">
        <v>0.8</v>
      </c>
      <c r="D27">
        <v>0</v>
      </c>
      <c r="E27">
        <v>0</v>
      </c>
      <c r="F27">
        <v>0</v>
      </c>
      <c r="G27">
        <v>0.8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96" t="s">
        <v>219</v>
      </c>
      <c r="C28">
        <v>0.8</v>
      </c>
      <c r="D28">
        <v>0</v>
      </c>
      <c r="E28">
        <v>0</v>
      </c>
      <c r="F28">
        <v>0</v>
      </c>
      <c r="G28">
        <v>0.8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96" t="s">
        <v>220</v>
      </c>
      <c r="C29">
        <v>0.8</v>
      </c>
      <c r="D29">
        <v>0</v>
      </c>
      <c r="E29">
        <v>0</v>
      </c>
      <c r="F29">
        <v>0</v>
      </c>
      <c r="G29">
        <v>0.8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96" t="s">
        <v>221</v>
      </c>
      <c r="C30">
        <v>0.8</v>
      </c>
      <c r="D30">
        <v>0</v>
      </c>
      <c r="E30">
        <v>0</v>
      </c>
      <c r="F30">
        <v>0</v>
      </c>
      <c r="G30">
        <v>0.8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15">
      <c r="A31">
        <v>30</v>
      </c>
      <c r="B31" s="196" t="s">
        <v>222</v>
      </c>
      <c r="C31">
        <v>0.8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96" t="s">
        <v>223</v>
      </c>
      <c r="C32">
        <v>0.8</v>
      </c>
      <c r="D32">
        <v>0</v>
      </c>
      <c r="E32">
        <v>0</v>
      </c>
      <c r="F32">
        <v>0</v>
      </c>
      <c r="G32">
        <v>0.8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96" t="s">
        <v>224</v>
      </c>
      <c r="C33">
        <v>0.8</v>
      </c>
      <c r="D33">
        <v>0</v>
      </c>
      <c r="E33">
        <v>0</v>
      </c>
      <c r="F33">
        <v>0</v>
      </c>
      <c r="G33">
        <v>0.8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96" t="s">
        <v>225</v>
      </c>
      <c r="C34">
        <v>0.8</v>
      </c>
      <c r="D34">
        <v>0.8</v>
      </c>
      <c r="E34">
        <v>0</v>
      </c>
      <c r="F34">
        <v>0</v>
      </c>
      <c r="G34">
        <v>0.8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96" t="s">
        <v>226</v>
      </c>
      <c r="C35">
        <v>0.8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0.8</v>
      </c>
      <c r="M35">
        <v>0</v>
      </c>
    </row>
    <row r="36" spans="1:13" x14ac:dyDescent="0.15">
      <c r="A36">
        <v>35</v>
      </c>
      <c r="B36" s="196" t="s">
        <v>227</v>
      </c>
      <c r="C36">
        <v>0.8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15">
      <c r="A37">
        <v>36</v>
      </c>
      <c r="B37" s="196" t="s">
        <v>228</v>
      </c>
      <c r="C37">
        <v>0.8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15">
      <c r="A38">
        <v>37</v>
      </c>
      <c r="B38" s="196" t="s">
        <v>229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0.8</v>
      </c>
      <c r="M38">
        <v>0.8</v>
      </c>
    </row>
    <row r="39" spans="1:13" x14ac:dyDescent="0.15">
      <c r="A39">
        <v>38</v>
      </c>
      <c r="B39" s="196" t="s">
        <v>230</v>
      </c>
      <c r="C39">
        <v>0.8</v>
      </c>
      <c r="D39">
        <v>0</v>
      </c>
      <c r="E39">
        <v>0</v>
      </c>
      <c r="F39">
        <v>0.8</v>
      </c>
      <c r="G39">
        <v>0</v>
      </c>
      <c r="H39">
        <v>0</v>
      </c>
      <c r="I39">
        <v>0</v>
      </c>
      <c r="J39">
        <v>0.8</v>
      </c>
      <c r="K39">
        <v>0.8</v>
      </c>
      <c r="L39">
        <v>0.8</v>
      </c>
      <c r="M39">
        <v>0</v>
      </c>
    </row>
    <row r="40" spans="1:13" x14ac:dyDescent="0.15">
      <c r="A40">
        <v>39</v>
      </c>
      <c r="B40" s="196" t="s">
        <v>231</v>
      </c>
      <c r="C40">
        <v>0.8</v>
      </c>
      <c r="D40">
        <v>0.8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96" t="s">
        <v>232</v>
      </c>
      <c r="C41">
        <v>0</v>
      </c>
      <c r="D41">
        <v>0</v>
      </c>
      <c r="E41">
        <v>0</v>
      </c>
      <c r="F41">
        <v>0.8</v>
      </c>
      <c r="G41">
        <v>0</v>
      </c>
      <c r="H41">
        <v>0</v>
      </c>
      <c r="I41">
        <v>0</v>
      </c>
      <c r="J41">
        <v>0.8</v>
      </c>
      <c r="K41">
        <v>0.8</v>
      </c>
      <c r="L41">
        <v>0</v>
      </c>
      <c r="M41">
        <v>0</v>
      </c>
    </row>
    <row r="42" spans="1:13" x14ac:dyDescent="0.15">
      <c r="A42">
        <v>41</v>
      </c>
      <c r="B42" s="196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196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15">
      <c r="A44">
        <v>43</v>
      </c>
      <c r="B44" s="196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15">
      <c r="A45">
        <v>44</v>
      </c>
      <c r="B45" s="196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196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15">
      <c r="A47">
        <v>46</v>
      </c>
      <c r="B47" s="196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9">
        <v>1</v>
      </c>
      <c r="B2" s="149" t="s">
        <v>193</v>
      </c>
      <c r="C2" s="8">
        <v>1</v>
      </c>
      <c r="D2" s="9">
        <v>2.9000000953674316</v>
      </c>
      <c r="E2" s="9">
        <v>576.28582763671875</v>
      </c>
      <c r="F2" s="10"/>
      <c r="G2" s="9">
        <v>0.1205417662858963</v>
      </c>
      <c r="H2" s="10"/>
      <c r="I2">
        <v>0</v>
      </c>
      <c r="J2"/>
    </row>
    <row r="3" spans="1:10" ht="15" customHeight="1" x14ac:dyDescent="0.15">
      <c r="A3" s="150">
        <v>2</v>
      </c>
      <c r="B3" s="150" t="s">
        <v>194</v>
      </c>
      <c r="C3" s="8">
        <v>1</v>
      </c>
      <c r="D3" s="9">
        <v>0.90720683336257935</v>
      </c>
      <c r="E3" s="9">
        <v>4.3400001525878906</v>
      </c>
      <c r="F3" s="10"/>
      <c r="G3" s="9">
        <v>1.6011731699109077E-2</v>
      </c>
      <c r="H3" s="10"/>
      <c r="I3">
        <v>4.6360099759112927E-7</v>
      </c>
      <c r="J3"/>
    </row>
    <row r="4" spans="1:10" ht="15" customHeight="1" x14ac:dyDescent="0.15">
      <c r="A4" s="151">
        <v>3</v>
      </c>
      <c r="B4" s="151" t="s">
        <v>195</v>
      </c>
      <c r="C4" s="8">
        <v>2</v>
      </c>
      <c r="D4" s="9">
        <v>4.5200905799865723</v>
      </c>
      <c r="E4" s="9">
        <v>11.210000038146973</v>
      </c>
      <c r="F4" s="9">
        <v>43.290000915527344</v>
      </c>
      <c r="G4" s="9">
        <v>0.89999985694885254</v>
      </c>
      <c r="H4" s="9">
        <v>0.25895124673843384</v>
      </c>
      <c r="I4">
        <v>0</v>
      </c>
      <c r="J4"/>
    </row>
    <row r="5" spans="1:10" ht="15" customHeight="1" x14ac:dyDescent="0.15">
      <c r="A5" s="152">
        <v>4</v>
      </c>
      <c r="B5" s="152" t="s">
        <v>196</v>
      </c>
      <c r="C5" s="8">
        <v>2.5789473056793213</v>
      </c>
      <c r="D5" s="9">
        <v>3.5079898834228516</v>
      </c>
      <c r="E5" s="9">
        <v>4.7800002098083496</v>
      </c>
      <c r="F5" s="9">
        <v>15.5</v>
      </c>
      <c r="G5" s="9">
        <v>0.90000003576278687</v>
      </c>
      <c r="H5" s="9">
        <v>0.30838710069656372</v>
      </c>
      <c r="I5">
        <v>0</v>
      </c>
      <c r="J5"/>
    </row>
    <row r="6" spans="1:10" ht="15" customHeight="1" x14ac:dyDescent="0.15">
      <c r="A6" s="153">
        <v>5</v>
      </c>
      <c r="B6" s="153" t="s">
        <v>197</v>
      </c>
      <c r="C6" s="8">
        <v>2.7697367668151855</v>
      </c>
      <c r="D6" s="9">
        <v>2.2970585823059082</v>
      </c>
      <c r="E6" s="9">
        <v>1.4500000476837158</v>
      </c>
      <c r="F6" s="9">
        <v>9.6669998168945312</v>
      </c>
      <c r="G6" s="9">
        <v>0.9500001072883606</v>
      </c>
      <c r="H6" s="9">
        <v>0.14999483525753021</v>
      </c>
      <c r="I6">
        <v>5.3430230906315046E-8</v>
      </c>
      <c r="J6"/>
    </row>
    <row r="7" spans="1:10" ht="15" customHeight="1" x14ac:dyDescent="0.15">
      <c r="A7" s="154">
        <v>6</v>
      </c>
      <c r="B7" s="154" t="s">
        <v>198</v>
      </c>
      <c r="C7" s="8">
        <v>3.7237133979797363</v>
      </c>
      <c r="D7" s="9">
        <v>0.324727863073349</v>
      </c>
      <c r="E7" s="9">
        <v>3.2799999713897705</v>
      </c>
      <c r="F7" s="9">
        <v>12.289999961853027</v>
      </c>
      <c r="G7" s="9">
        <v>0.94999963045120239</v>
      </c>
      <c r="H7" s="9">
        <v>0.26688364148139954</v>
      </c>
      <c r="I7">
        <v>6.2898994656279683E-4</v>
      </c>
      <c r="J7"/>
    </row>
    <row r="8" spans="1:10" ht="15" customHeight="1" x14ac:dyDescent="0.15">
      <c r="A8" s="155">
        <v>7</v>
      </c>
      <c r="B8" s="155" t="s">
        <v>199</v>
      </c>
      <c r="C8" s="8">
        <v>2.2616016864776611</v>
      </c>
      <c r="D8" s="9">
        <v>2.0317897796630859</v>
      </c>
      <c r="E8" s="9">
        <v>1.6000000238418579</v>
      </c>
      <c r="F8" s="9">
        <v>10</v>
      </c>
      <c r="G8" s="9">
        <v>0.95000016689300537</v>
      </c>
      <c r="H8" s="9">
        <v>0.15999999642372131</v>
      </c>
      <c r="I8">
        <v>3.0749262805329636E-5</v>
      </c>
      <c r="J8"/>
    </row>
    <row r="9" spans="1:10" ht="15" customHeight="1" x14ac:dyDescent="0.15">
      <c r="A9" s="156">
        <v>8</v>
      </c>
      <c r="B9" s="156" t="s">
        <v>200</v>
      </c>
      <c r="C9" s="8">
        <v>2.0499999523162842</v>
      </c>
      <c r="D9" s="9">
        <v>2.2115178108215332</v>
      </c>
      <c r="E9" s="9">
        <v>0.80000001192092896</v>
      </c>
      <c r="F9" s="9">
        <v>9</v>
      </c>
      <c r="G9" s="9">
        <v>0.94999986886978149</v>
      </c>
      <c r="H9" s="9">
        <v>8.8888891041278839E-2</v>
      </c>
      <c r="I9">
        <v>0</v>
      </c>
      <c r="J9"/>
    </row>
    <row r="10" spans="1:10" ht="15" customHeight="1" x14ac:dyDescent="0.15">
      <c r="A10" s="157">
        <v>9</v>
      </c>
      <c r="B10" s="157" t="s">
        <v>201</v>
      </c>
      <c r="C10" s="8">
        <v>2.2000000476837158</v>
      </c>
      <c r="D10" s="9">
        <v>1.1815251111984253</v>
      </c>
      <c r="E10" s="9">
        <v>2.2799999713897705</v>
      </c>
      <c r="F10" s="9">
        <v>11.399999618530273</v>
      </c>
      <c r="G10" s="9">
        <v>0.94999992847442627</v>
      </c>
      <c r="H10" s="9">
        <v>0.20000000298023224</v>
      </c>
      <c r="I10">
        <v>0</v>
      </c>
      <c r="J10"/>
    </row>
    <row r="11" spans="1:10" ht="15" customHeight="1" x14ac:dyDescent="0.15">
      <c r="A11" s="158">
        <v>10</v>
      </c>
      <c r="B11" s="158" t="s">
        <v>202</v>
      </c>
      <c r="C11" s="8">
        <v>2.1737372875213623</v>
      </c>
      <c r="D11" s="9">
        <v>1.0604056119918823</v>
      </c>
      <c r="E11" s="9">
        <v>3</v>
      </c>
      <c r="F11" s="9">
        <v>10</v>
      </c>
      <c r="G11" s="9">
        <v>0.95000022649765015</v>
      </c>
      <c r="H11" s="9">
        <v>0.30000001192092896</v>
      </c>
      <c r="I11">
        <v>8.1047619460150599E-5</v>
      </c>
      <c r="J11"/>
    </row>
    <row r="12" spans="1:10" ht="15" customHeight="1" x14ac:dyDescent="0.15">
      <c r="A12" s="159">
        <v>11</v>
      </c>
      <c r="B12" s="159" t="s">
        <v>203</v>
      </c>
      <c r="C12" s="8">
        <v>3.1576614379882812</v>
      </c>
      <c r="D12" s="9">
        <v>1.6572259366512299E-2</v>
      </c>
      <c r="E12" s="9">
        <v>2.4923999309539795</v>
      </c>
      <c r="F12" s="9">
        <v>8.3079996109008789</v>
      </c>
      <c r="G12" s="9">
        <v>0.94999986886978149</v>
      </c>
      <c r="H12" s="9">
        <v>0.30000001192092896</v>
      </c>
      <c r="I12">
        <v>1.0005969670601189E-4</v>
      </c>
      <c r="J12"/>
    </row>
    <row r="13" spans="1:10" ht="15" customHeight="1" x14ac:dyDescent="0.15">
      <c r="A13" s="160">
        <v>12</v>
      </c>
      <c r="B13" s="160" t="s">
        <v>204</v>
      </c>
      <c r="C13" s="8">
        <v>3.2778329849243164</v>
      </c>
      <c r="D13" s="9">
        <v>1.9565721973776817E-2</v>
      </c>
      <c r="E13" s="9">
        <v>1.2600001096725464</v>
      </c>
      <c r="F13" s="9">
        <v>6.3000001907348633</v>
      </c>
      <c r="G13" s="9">
        <v>0.9500001072883606</v>
      </c>
      <c r="H13" s="9">
        <v>0.20000001788139343</v>
      </c>
      <c r="I13">
        <v>2.5159449432976544E-4</v>
      </c>
      <c r="J13"/>
    </row>
    <row r="14" spans="1:10" ht="15" customHeight="1" x14ac:dyDescent="0.15">
      <c r="A14" s="161">
        <v>13</v>
      </c>
      <c r="B14" s="161" t="s">
        <v>205</v>
      </c>
      <c r="C14" s="8">
        <v>3.5708866119384766</v>
      </c>
      <c r="D14" s="9">
        <v>2.5343163870275021E-3</v>
      </c>
      <c r="E14" s="9">
        <v>0.44229999184608459</v>
      </c>
      <c r="F14" s="9">
        <v>4.4229998588562012</v>
      </c>
      <c r="G14" s="9">
        <v>0.94999998807907104</v>
      </c>
      <c r="H14" s="9">
        <v>0.10000000149011612</v>
      </c>
      <c r="I14">
        <v>4.8919743858277798E-4</v>
      </c>
      <c r="J14"/>
    </row>
    <row r="15" spans="1:10" ht="15" customHeight="1" x14ac:dyDescent="0.15">
      <c r="A15" s="162">
        <v>14</v>
      </c>
      <c r="B15" s="162" t="s">
        <v>206</v>
      </c>
      <c r="C15" s="8">
        <v>2.9867398738861084</v>
      </c>
      <c r="D15" s="9">
        <v>0.51721310615539551</v>
      </c>
      <c r="E15" s="9">
        <v>2.8422000408172607</v>
      </c>
      <c r="F15" s="9">
        <v>9.4739999771118164</v>
      </c>
      <c r="G15" s="9">
        <v>0.94999998807907104</v>
      </c>
      <c r="H15" s="9">
        <v>0.30000001192092896</v>
      </c>
      <c r="I15">
        <v>3.2173304352909327E-3</v>
      </c>
      <c r="J15"/>
    </row>
    <row r="16" spans="1:10" ht="15" customHeight="1" x14ac:dyDescent="0.15">
      <c r="A16" s="163">
        <v>15</v>
      </c>
      <c r="B16" s="163" t="s">
        <v>207</v>
      </c>
      <c r="C16" s="8">
        <v>3.859520435333252</v>
      </c>
      <c r="D16" s="9">
        <v>0.12305012345314026</v>
      </c>
      <c r="E16" s="9">
        <v>0.86599999666213989</v>
      </c>
      <c r="F16" s="9">
        <v>4.3299999237060547</v>
      </c>
      <c r="G16" s="9">
        <v>0.94999986886978149</v>
      </c>
      <c r="H16" s="9">
        <v>0.20000000298023224</v>
      </c>
      <c r="I16">
        <v>8.4533246990758926E-5</v>
      </c>
      <c r="J16"/>
    </row>
    <row r="17" spans="1:10" ht="15" customHeight="1" x14ac:dyDescent="0.15">
      <c r="A17" s="164">
        <v>16</v>
      </c>
      <c r="B17" s="164" t="s">
        <v>208</v>
      </c>
      <c r="C17" s="8">
        <v>4.468569278717041</v>
      </c>
      <c r="D17" s="9">
        <v>9.2386495089158416E-4</v>
      </c>
      <c r="E17" s="9">
        <v>0.72699999809265137</v>
      </c>
      <c r="F17" s="9">
        <v>2.4960000514984131</v>
      </c>
      <c r="G17" s="9">
        <v>0.95000004768371582</v>
      </c>
      <c r="H17" s="9">
        <v>0.29126602411270142</v>
      </c>
      <c r="I17">
        <v>2.6902311947196722E-4</v>
      </c>
      <c r="J17"/>
    </row>
    <row r="18" spans="1:10" ht="15" customHeight="1" x14ac:dyDescent="0.15">
      <c r="A18" s="165">
        <v>17</v>
      </c>
      <c r="B18" s="165" t="s">
        <v>209</v>
      </c>
      <c r="C18" s="8">
        <v>3.3497829437255859</v>
      </c>
      <c r="D18" s="9">
        <v>0.97826218605041504</v>
      </c>
      <c r="E18" s="9">
        <v>2.5859999656677246</v>
      </c>
      <c r="F18" s="9">
        <v>8.619999885559082</v>
      </c>
      <c r="G18" s="9">
        <v>0.9500001072883606</v>
      </c>
      <c r="H18" s="9">
        <v>0.30000001192092896</v>
      </c>
      <c r="I18">
        <v>0</v>
      </c>
      <c r="J18"/>
    </row>
    <row r="19" spans="1:10" ht="15" customHeight="1" x14ac:dyDescent="0.15">
      <c r="A19" s="166">
        <v>18</v>
      </c>
      <c r="B19" s="166" t="s">
        <v>210</v>
      </c>
      <c r="C19" s="8">
        <v>3.8952023983001709</v>
      </c>
      <c r="D19" s="9">
        <v>0.67691802978515625</v>
      </c>
      <c r="E19" s="9">
        <v>0.43700000643730164</v>
      </c>
      <c r="F19" s="9">
        <v>4.8959999084472656</v>
      </c>
      <c r="G19" s="9">
        <v>0.94999998807907104</v>
      </c>
      <c r="H19" s="9">
        <v>8.9256539940834045E-2</v>
      </c>
      <c r="I19">
        <v>2.4820710677886382E-6</v>
      </c>
      <c r="J19"/>
    </row>
    <row r="20" spans="1:10" ht="15" customHeight="1" x14ac:dyDescent="0.15">
      <c r="A20" s="167">
        <v>19</v>
      </c>
      <c r="B20" s="167" t="s">
        <v>211</v>
      </c>
      <c r="C20" s="8">
        <v>3.5552890300750732</v>
      </c>
      <c r="D20" s="9">
        <v>6.7183330655097961E-2</v>
      </c>
      <c r="E20" s="9">
        <v>2.2287001609802246</v>
      </c>
      <c r="F20" s="9">
        <v>7.4289999008178711</v>
      </c>
      <c r="G20" s="9">
        <v>0.95000016689300537</v>
      </c>
      <c r="H20" s="9">
        <v>0.30000001192092896</v>
      </c>
      <c r="I20">
        <v>2.3825909920560662E-6</v>
      </c>
      <c r="J20"/>
    </row>
    <row r="21" spans="1:10" ht="15" customHeight="1" x14ac:dyDescent="0.15">
      <c r="A21" s="168">
        <v>20</v>
      </c>
      <c r="B21" s="168" t="s">
        <v>212</v>
      </c>
      <c r="C21" s="8">
        <v>3.8311185836791992</v>
      </c>
      <c r="D21" s="9">
        <v>2.0386494696140289E-2</v>
      </c>
      <c r="E21" s="9">
        <v>0.93260002136230469</v>
      </c>
      <c r="F21" s="9">
        <v>4.6630001068115234</v>
      </c>
      <c r="G21" s="9">
        <v>0.94999998807907104</v>
      </c>
      <c r="H21" s="9">
        <v>0.20000000298023224</v>
      </c>
      <c r="I21">
        <v>2.592660348454956E-5</v>
      </c>
      <c r="J21"/>
    </row>
    <row r="22" spans="1:10" ht="15" customHeight="1" x14ac:dyDescent="0.15">
      <c r="A22" s="169">
        <v>21</v>
      </c>
      <c r="B22" s="169" t="s">
        <v>213</v>
      </c>
      <c r="C22" s="8">
        <v>4.3175039291381836</v>
      </c>
      <c r="D22" s="9">
        <v>5.0018853507936001E-3</v>
      </c>
      <c r="E22" s="9">
        <v>0.460999995470047</v>
      </c>
      <c r="F22" s="9">
        <v>3.8180000782012939</v>
      </c>
      <c r="G22" s="9">
        <v>0.95000004768371582</v>
      </c>
      <c r="H22" s="9">
        <v>0.12074384093284607</v>
      </c>
      <c r="I22">
        <v>2.3125536972656846E-4</v>
      </c>
      <c r="J22"/>
    </row>
    <row r="23" spans="1:10" ht="15" customHeight="1" x14ac:dyDescent="0.15">
      <c r="A23" s="170">
        <v>22</v>
      </c>
      <c r="B23" s="170" t="s">
        <v>214</v>
      </c>
      <c r="C23" s="8">
        <v>3.2900493144989014</v>
      </c>
      <c r="D23" s="9">
        <v>0.98451405763626099</v>
      </c>
      <c r="E23" s="9">
        <v>0.49499997496604919</v>
      </c>
      <c r="F23" s="9">
        <v>4.9499998092651367</v>
      </c>
      <c r="G23" s="9">
        <v>0.94999986886978149</v>
      </c>
      <c r="H23" s="9">
        <v>0.10000000149011612</v>
      </c>
      <c r="I23">
        <v>7.2510270001657773E-6</v>
      </c>
      <c r="J23"/>
    </row>
    <row r="24" spans="1:10" ht="15" customHeight="1" x14ac:dyDescent="0.15">
      <c r="A24" s="171">
        <v>23</v>
      </c>
      <c r="B24" s="171" t="s">
        <v>215</v>
      </c>
      <c r="C24" s="8">
        <v>3.8273518085479736</v>
      </c>
      <c r="D24" s="9">
        <v>4.2342711240053177E-3</v>
      </c>
      <c r="E24" s="9">
        <v>0.33100000023841858</v>
      </c>
      <c r="F24" s="9">
        <v>3.309999942779541</v>
      </c>
      <c r="G24" s="9">
        <v>0.94999998807907104</v>
      </c>
      <c r="H24" s="9">
        <v>0.10000000149011612</v>
      </c>
      <c r="I24">
        <v>1.8355419797444483E-6</v>
      </c>
      <c r="J24"/>
    </row>
    <row r="25" spans="1:10" ht="15" customHeight="1" x14ac:dyDescent="0.15">
      <c r="A25" s="172">
        <v>24</v>
      </c>
      <c r="B25" s="172" t="s">
        <v>216</v>
      </c>
      <c r="C25" s="8">
        <v>4.3905582427978516</v>
      </c>
      <c r="D25" s="9">
        <v>7.2879897197708488E-4</v>
      </c>
      <c r="E25" s="9">
        <v>0.35260000824928284</v>
      </c>
      <c r="F25" s="9">
        <v>3.5260000228881836</v>
      </c>
      <c r="G25" s="9">
        <v>0.95000004768371582</v>
      </c>
      <c r="H25" s="9">
        <v>0.10000000149011612</v>
      </c>
      <c r="I25">
        <v>7.2000395448412746E-5</v>
      </c>
      <c r="J25"/>
    </row>
    <row r="26" spans="1:10" ht="15" customHeight="1" x14ac:dyDescent="0.15">
      <c r="A26" s="173">
        <v>25</v>
      </c>
      <c r="B26" s="173" t="s">
        <v>217</v>
      </c>
      <c r="C26" s="8">
        <v>4.0914211273193359</v>
      </c>
      <c r="D26" s="9">
        <v>2.3721523582935333E-2</v>
      </c>
      <c r="E26" s="9">
        <v>0.45660001039505005</v>
      </c>
      <c r="F26" s="9">
        <v>4.5659999847412109</v>
      </c>
      <c r="G26" s="9">
        <v>0.9500001072883606</v>
      </c>
      <c r="H26" s="9">
        <v>0.10000000149011612</v>
      </c>
      <c r="I26">
        <v>5.1346502732485533E-4</v>
      </c>
      <c r="J26"/>
    </row>
    <row r="27" spans="1:10" ht="15" customHeight="1" x14ac:dyDescent="0.15">
      <c r="A27" s="174">
        <v>26</v>
      </c>
      <c r="B27" s="174" t="s">
        <v>218</v>
      </c>
      <c r="C27" s="8">
        <v>4.613677978515625</v>
      </c>
      <c r="D27" s="9">
        <v>7.2153103537857533E-3</v>
      </c>
      <c r="E27" s="9">
        <v>0.13400000333786011</v>
      </c>
      <c r="F27" s="9">
        <v>2.9849998950958252</v>
      </c>
      <c r="G27" s="9">
        <v>0.94999986886978149</v>
      </c>
      <c r="H27" s="9">
        <v>4.4891126453876495E-2</v>
      </c>
      <c r="I27">
        <v>7.6105090556666255E-4</v>
      </c>
      <c r="J27"/>
    </row>
    <row r="28" spans="1:10" ht="15" customHeight="1" x14ac:dyDescent="0.15">
      <c r="A28" s="175">
        <v>27</v>
      </c>
      <c r="B28" s="175" t="s">
        <v>219</v>
      </c>
      <c r="C28" s="8">
        <v>4.0015926361083984</v>
      </c>
      <c r="D28" s="9">
        <v>1.0043832007795572E-3</v>
      </c>
      <c r="E28" s="9">
        <v>0.25</v>
      </c>
      <c r="F28" s="9">
        <v>3.6150000095367432</v>
      </c>
      <c r="G28" s="9">
        <v>0.94999998807907104</v>
      </c>
      <c r="H28" s="9">
        <v>6.915629655122757E-2</v>
      </c>
      <c r="I28">
        <v>8.1083016993943602E-5</v>
      </c>
      <c r="J28"/>
    </row>
    <row r="29" spans="1:10" ht="15" customHeight="1" x14ac:dyDescent="0.15">
      <c r="A29" s="176">
        <v>28</v>
      </c>
      <c r="B29" s="176" t="s">
        <v>220</v>
      </c>
      <c r="C29" s="8">
        <v>4.2452659606933594</v>
      </c>
      <c r="D29" s="9">
        <v>9.7874749917536974E-4</v>
      </c>
      <c r="E29" s="9">
        <v>0.28600001335144043</v>
      </c>
      <c r="F29" s="9">
        <v>4.1040000915527344</v>
      </c>
      <c r="G29" s="9">
        <v>0.94999992847442627</v>
      </c>
      <c r="H29" s="9">
        <v>6.9688111543655396E-2</v>
      </c>
      <c r="I29">
        <v>1.5455168613698334E-4</v>
      </c>
      <c r="J29"/>
    </row>
    <row r="30" spans="1:10" ht="15" customHeight="1" x14ac:dyDescent="0.15">
      <c r="A30" s="177">
        <v>29</v>
      </c>
      <c r="B30" s="177" t="s">
        <v>221</v>
      </c>
      <c r="C30" s="8">
        <v>4.0768518447875977</v>
      </c>
      <c r="D30" s="9">
        <v>5.8880229480564594E-3</v>
      </c>
      <c r="E30" s="9">
        <v>0.21899999678134918</v>
      </c>
      <c r="F30" s="9">
        <v>4.500999927520752</v>
      </c>
      <c r="G30" s="9">
        <v>0.95000016689300537</v>
      </c>
      <c r="H30" s="9">
        <v>4.8655852675437927E-2</v>
      </c>
      <c r="I30">
        <v>4.2489400948397815E-4</v>
      </c>
      <c r="J30"/>
    </row>
    <row r="31" spans="1:10" ht="15" customHeight="1" x14ac:dyDescent="0.15">
      <c r="A31" s="178">
        <v>30</v>
      </c>
      <c r="B31" s="178" t="s">
        <v>222</v>
      </c>
      <c r="C31" s="8">
        <v>3.3947012424468994</v>
      </c>
      <c r="D31" s="9">
        <v>1.3048810651525855E-3</v>
      </c>
      <c r="E31" s="9">
        <v>0.31600001454353333</v>
      </c>
      <c r="F31" s="9">
        <v>4.7329998016357422</v>
      </c>
      <c r="G31" s="9">
        <v>0.95000004768371582</v>
      </c>
      <c r="H31" s="9">
        <v>6.6765271127223969E-2</v>
      </c>
      <c r="I31">
        <v>1.2847423204220831E-4</v>
      </c>
      <c r="J31"/>
    </row>
    <row r="32" spans="1:10" ht="15" customHeight="1" x14ac:dyDescent="0.15">
      <c r="A32" s="206">
        <v>31</v>
      </c>
      <c r="B32" s="206" t="s">
        <v>223</v>
      </c>
      <c r="C32" s="8">
        <v>3.745474100112915</v>
      </c>
      <c r="D32" s="9">
        <v>2.558345440775156E-3</v>
      </c>
      <c r="E32" s="9">
        <v>0.39500001072883606</v>
      </c>
      <c r="F32" s="9">
        <v>3.5750000476837158</v>
      </c>
      <c r="G32" s="9">
        <v>0.94999998807907104</v>
      </c>
      <c r="H32" s="9">
        <v>0.11048950999975204</v>
      </c>
      <c r="I32">
        <v>3.4886470530182123E-4</v>
      </c>
      <c r="J32"/>
    </row>
    <row r="33" spans="1:10" ht="15" customHeight="1" x14ac:dyDescent="0.15">
      <c r="A33" s="207">
        <v>32</v>
      </c>
      <c r="B33" s="207" t="s">
        <v>224</v>
      </c>
      <c r="C33" s="8">
        <v>3.7317898273468018</v>
      </c>
      <c r="D33" s="9">
        <v>2.8603048995137215E-3</v>
      </c>
      <c r="E33" s="9">
        <v>0.26199999451637268</v>
      </c>
      <c r="F33" s="9">
        <v>2.7430000305175781</v>
      </c>
      <c r="G33" s="9">
        <v>0.94999998807907104</v>
      </c>
      <c r="H33" s="9">
        <v>9.551585465669632E-2</v>
      </c>
      <c r="I33">
        <v>1.2910994701087475E-4</v>
      </c>
      <c r="J33"/>
    </row>
    <row r="34" spans="1:10" ht="15" customHeight="1" x14ac:dyDescent="0.15">
      <c r="A34" s="208">
        <v>33</v>
      </c>
      <c r="B34" s="208" t="s">
        <v>225</v>
      </c>
      <c r="C34" s="8">
        <v>4.038428783416748</v>
      </c>
      <c r="D34" s="9">
        <v>1.7257198691368103E-2</v>
      </c>
      <c r="E34" s="9">
        <v>0.30500000715255737</v>
      </c>
      <c r="F34" s="9">
        <v>4.6770000457763672</v>
      </c>
      <c r="G34" s="9">
        <v>0.95000004768371582</v>
      </c>
      <c r="H34" s="9">
        <v>6.5212741494178772E-2</v>
      </c>
      <c r="I34">
        <v>1.1702133342623711E-3</v>
      </c>
      <c r="J34"/>
    </row>
    <row r="35" spans="1:10" ht="15" customHeight="1" x14ac:dyDescent="0.15">
      <c r="A35" s="209">
        <v>34</v>
      </c>
      <c r="B35" s="209" t="s">
        <v>226</v>
      </c>
      <c r="C35" s="8">
        <v>4.2674674987792969</v>
      </c>
      <c r="D35" s="9">
        <v>1.1689368402585387E-3</v>
      </c>
      <c r="E35" s="9">
        <v>0.17000000178813934</v>
      </c>
      <c r="F35" s="9">
        <v>2.6851763725280762</v>
      </c>
      <c r="G35" s="9">
        <v>0.95000004768371582</v>
      </c>
      <c r="H35" s="9">
        <v>6.331055611371994E-2</v>
      </c>
      <c r="I35">
        <v>3.1325311283580959E-5</v>
      </c>
      <c r="J35"/>
    </row>
    <row r="36" spans="1:10" ht="15" customHeight="1" x14ac:dyDescent="0.15">
      <c r="A36" s="210">
        <v>35</v>
      </c>
      <c r="B36" s="210" t="s">
        <v>227</v>
      </c>
      <c r="C36" s="8">
        <v>4.3222150802612305</v>
      </c>
      <c r="D36" s="9">
        <v>4.5681353658437729E-2</v>
      </c>
      <c r="E36" s="9">
        <v>0.25099998712539673</v>
      </c>
      <c r="F36" s="9">
        <v>4.7849998474121094</v>
      </c>
      <c r="G36" s="9">
        <v>0.9500001072883606</v>
      </c>
      <c r="H36" s="9">
        <v>5.2455589175224304E-2</v>
      </c>
      <c r="I36">
        <v>3.9775543846189976E-3</v>
      </c>
      <c r="J36"/>
    </row>
    <row r="37" spans="1:10" ht="15" customHeight="1" x14ac:dyDescent="0.15">
      <c r="A37" s="211">
        <v>36</v>
      </c>
      <c r="B37" s="211" t="s">
        <v>228</v>
      </c>
      <c r="C37" s="8">
        <v>4.1571955680847168</v>
      </c>
      <c r="D37" s="9">
        <v>2.8760747518390417E-3</v>
      </c>
      <c r="E37" s="9">
        <v>0.31259998679161072</v>
      </c>
      <c r="F37" s="9">
        <v>3.125999927520752</v>
      </c>
      <c r="G37" s="9">
        <v>0.94999986886978149</v>
      </c>
      <c r="H37" s="9">
        <v>0.10000000149011612</v>
      </c>
      <c r="I37">
        <v>1.5512367826886475E-4</v>
      </c>
      <c r="J37"/>
    </row>
    <row r="38" spans="1:10" ht="15" customHeight="1" x14ac:dyDescent="0.15">
      <c r="A38" s="212">
        <v>37</v>
      </c>
      <c r="B38" s="212" t="s">
        <v>229</v>
      </c>
      <c r="C38" s="8">
        <v>4.5338549613952637</v>
      </c>
      <c r="D38" s="9">
        <v>3.6618064623326063E-3</v>
      </c>
      <c r="E38" s="9">
        <v>0.35660001635551453</v>
      </c>
      <c r="F38" s="9">
        <v>3.5659999847412109</v>
      </c>
      <c r="G38" s="9">
        <v>0.94999986886978149</v>
      </c>
      <c r="H38" s="9">
        <v>0.10000000149011612</v>
      </c>
      <c r="I38">
        <v>3.2784909126348794E-4</v>
      </c>
      <c r="J38"/>
    </row>
    <row r="39" spans="1:10" ht="15" customHeight="1" x14ac:dyDescent="0.15">
      <c r="A39" s="213">
        <v>38</v>
      </c>
      <c r="B39" s="213" t="s">
        <v>230</v>
      </c>
      <c r="C39" s="8">
        <v>4.2990021705627441</v>
      </c>
      <c r="D39" s="9">
        <v>4.9325514584779739E-2</v>
      </c>
      <c r="E39" s="9">
        <v>0.26780000329017639</v>
      </c>
      <c r="F39" s="9">
        <v>2.6779999732971191</v>
      </c>
      <c r="G39" s="9">
        <v>0.95000004768371582</v>
      </c>
      <c r="H39" s="9">
        <v>0.10000000149011612</v>
      </c>
      <c r="I39">
        <v>8.5189956007525325E-4</v>
      </c>
      <c r="J39"/>
    </row>
    <row r="40" spans="1:10" ht="15" customHeight="1" x14ac:dyDescent="0.15">
      <c r="A40" s="214">
        <v>39</v>
      </c>
      <c r="B40" s="214" t="s">
        <v>231</v>
      </c>
      <c r="C40" s="8">
        <v>4.0922102928161621</v>
      </c>
      <c r="D40" s="9">
        <v>8.8565073907375336E-2</v>
      </c>
      <c r="E40" s="9">
        <v>0.36399999260902405</v>
      </c>
      <c r="F40" s="9">
        <v>3.0269999504089355</v>
      </c>
      <c r="G40" s="9">
        <v>0.95000004768371582</v>
      </c>
      <c r="H40" s="9">
        <v>0.12025107443332672</v>
      </c>
      <c r="I40">
        <v>6.8433843553066254E-3</v>
      </c>
      <c r="J40"/>
    </row>
    <row r="41" spans="1:10" ht="15" customHeight="1" x14ac:dyDescent="0.15">
      <c r="A41" s="215">
        <v>40</v>
      </c>
      <c r="B41" s="215" t="s">
        <v>232</v>
      </c>
      <c r="C41" s="8">
        <v>3.6289365291595459</v>
      </c>
      <c r="D41" s="9">
        <v>4.0389768779277802E-2</v>
      </c>
      <c r="E41" s="9">
        <v>0.15000000596046448</v>
      </c>
      <c r="F41" s="9">
        <v>3.5</v>
      </c>
      <c r="G41" s="9">
        <v>0.95000004768371582</v>
      </c>
      <c r="H41" s="9">
        <v>4.285714402794838E-2</v>
      </c>
      <c r="I41">
        <v>4.9748869059840217E-6</v>
      </c>
      <c r="J41"/>
    </row>
    <row r="42" spans="1:10" ht="15" customHeight="1" x14ac:dyDescent="0.15">
      <c r="A42" s="216">
        <v>41</v>
      </c>
      <c r="B42" s="216" t="s">
        <v>233</v>
      </c>
      <c r="C42" s="8">
        <v>4.1546149253845215</v>
      </c>
      <c r="D42" s="9">
        <v>9.9999997473787516E-5</v>
      </c>
      <c r="E42" s="9">
        <v>0.25</v>
      </c>
      <c r="F42" s="9">
        <v>84.389999389648438</v>
      </c>
      <c r="G42" s="9">
        <v>0.23002272844314575</v>
      </c>
      <c r="H42" s="9">
        <v>2.962436294183135E-3</v>
      </c>
      <c r="I42">
        <v>0</v>
      </c>
      <c r="J42"/>
    </row>
    <row r="43" spans="1:10" ht="15" customHeight="1" x14ac:dyDescent="0.15">
      <c r="A43" s="217">
        <v>42</v>
      </c>
      <c r="B43" s="217" t="s">
        <v>234</v>
      </c>
      <c r="C43" s="8">
        <v>4.3130383491516113</v>
      </c>
      <c r="D43" s="9">
        <v>1.9000000320374966E-3</v>
      </c>
      <c r="E43" s="9">
        <v>0.10000000149011612</v>
      </c>
      <c r="F43" s="9">
        <v>11.409999847412109</v>
      </c>
      <c r="G43" s="9">
        <v>0.38259676098823547</v>
      </c>
      <c r="H43" s="9">
        <v>8.7642418220639229E-3</v>
      </c>
      <c r="I43">
        <v>0</v>
      </c>
      <c r="J43"/>
    </row>
    <row r="44" spans="1:10" ht="15" customHeight="1" x14ac:dyDescent="0.15">
      <c r="A44" s="218">
        <v>43</v>
      </c>
      <c r="B44" s="218" t="s">
        <v>235</v>
      </c>
      <c r="C44" s="8">
        <v>3.4931418895721436</v>
      </c>
      <c r="D44" s="9">
        <v>2.0800000056624413E-2</v>
      </c>
      <c r="E44" s="9">
        <v>5.9999998658895493E-2</v>
      </c>
      <c r="F44" s="9">
        <v>5.559999942779541</v>
      </c>
      <c r="G44" s="9">
        <v>0.46078270673751831</v>
      </c>
      <c r="H44" s="9">
        <v>1.0791366919875145E-2</v>
      </c>
      <c r="I44">
        <v>0</v>
      </c>
      <c r="J44"/>
    </row>
    <row r="45" spans="1:10" ht="15" customHeight="1" x14ac:dyDescent="0.15">
      <c r="A45" s="219">
        <v>44</v>
      </c>
      <c r="B45" s="219" t="s">
        <v>236</v>
      </c>
      <c r="C45" s="8">
        <v>4.6366443634033203</v>
      </c>
      <c r="D45" s="9">
        <v>5.6000001728534698E-2</v>
      </c>
      <c r="E45" s="9">
        <v>1.9999999552965164E-2</v>
      </c>
      <c r="F45" s="9">
        <v>10.270000457763672</v>
      </c>
      <c r="G45" s="9">
        <v>0.13560456037521362</v>
      </c>
      <c r="H45" s="9">
        <v>1.9474194850772619E-3</v>
      </c>
      <c r="I45">
        <v>0</v>
      </c>
      <c r="J45"/>
    </row>
    <row r="46" spans="1:10" ht="15" customHeight="1" x14ac:dyDescent="0.15">
      <c r="A46" s="220">
        <v>45</v>
      </c>
      <c r="B46" s="220" t="s">
        <v>237</v>
      </c>
      <c r="C46" s="8">
        <v>1</v>
      </c>
      <c r="D46" s="9">
        <v>1</v>
      </c>
      <c r="E46" s="10"/>
      <c r="F46" s="10"/>
      <c r="G46" s="7">
        <v>5.3779959678649902E-2</v>
      </c>
      <c r="H46" s="10"/>
      <c r="I46">
        <v>0</v>
      </c>
      <c r="J46"/>
    </row>
    <row r="47" spans="1:10" ht="15" customHeight="1" x14ac:dyDescent="0.15">
      <c r="A47" s="221">
        <v>46</v>
      </c>
      <c r="B47" s="221" t="s">
        <v>238</v>
      </c>
      <c r="C47" s="8">
        <v>1</v>
      </c>
      <c r="D47" s="9">
        <v>5</v>
      </c>
      <c r="E47" s="10"/>
      <c r="F47" s="10"/>
      <c r="G47" s="7">
        <v>0</v>
      </c>
      <c r="H47" s="10"/>
      <c r="I47">
        <v>0</v>
      </c>
      <c r="J47"/>
    </row>
    <row r="48" spans="1:10" ht="15" customHeight="1" x14ac:dyDescent="0.15">
      <c r="A48" s="222">
        <v>47</v>
      </c>
      <c r="B48" s="222" t="s">
        <v>239</v>
      </c>
      <c r="C48" s="8">
        <v>5.1866230964660645</v>
      </c>
      <c r="D48" s="10"/>
      <c r="E48" s="10"/>
      <c r="F48" s="10"/>
      <c r="G48" s="10"/>
      <c r="H48" s="10"/>
      <c r="I48">
        <v>9.0647079050540924E-3</v>
      </c>
      <c r="J48"/>
    </row>
    <row r="49" spans="1:10" ht="15" customHeight="1" x14ac:dyDescent="0.15">
      <c r="A49" s="223">
        <v>48</v>
      </c>
      <c r="B49" s="223" t="s">
        <v>240</v>
      </c>
      <c r="C49" s="8">
        <v>5.044924259185791</v>
      </c>
      <c r="D49" s="10"/>
      <c r="E49" s="10"/>
      <c r="F49" s="10"/>
      <c r="G49" s="10"/>
      <c r="H49" s="10"/>
      <c r="I49">
        <v>7.1442974731326103E-3</v>
      </c>
      <c r="J49"/>
    </row>
    <row r="50" spans="1:10" ht="15" customHeight="1" x14ac:dyDescent="0.15">
      <c r="A50" s="224">
        <v>49</v>
      </c>
      <c r="B50" s="224" t="s">
        <v>241</v>
      </c>
      <c r="C50" s="8">
        <v>3.9884061813354492</v>
      </c>
      <c r="D50" s="10"/>
      <c r="E50" s="10"/>
      <c r="F50" s="10"/>
      <c r="G50" s="10"/>
      <c r="H50" s="10"/>
      <c r="I50">
        <v>2.7836528606712818E-3</v>
      </c>
      <c r="J50"/>
    </row>
    <row r="51" spans="1:10" ht="15" customHeight="1" x14ac:dyDescent="0.15">
      <c r="A51" s="225">
        <v>50</v>
      </c>
      <c r="B51" s="225" t="s">
        <v>242</v>
      </c>
      <c r="C51" s="8">
        <v>5.3396310806274414</v>
      </c>
      <c r="D51" s="10"/>
      <c r="E51" s="10"/>
      <c r="F51" s="10"/>
      <c r="G51" s="10"/>
      <c r="H51" s="10"/>
      <c r="I51">
        <v>1.0213208151981235E-3</v>
      </c>
      <c r="J51"/>
    </row>
    <row r="52" spans="1:10" ht="15" customHeight="1" x14ac:dyDescent="0.15">
      <c r="A52" s="226">
        <v>51</v>
      </c>
      <c r="B52" s="226" t="s">
        <v>243</v>
      </c>
      <c r="C52" s="8">
        <v>4.5611224174499512</v>
      </c>
      <c r="D52" s="10"/>
      <c r="E52" s="10"/>
      <c r="F52" s="10"/>
      <c r="G52" s="10"/>
      <c r="H52" s="10"/>
      <c r="I52">
        <v>6.8368652136996388E-4</v>
      </c>
      <c r="J52"/>
    </row>
    <row r="53" spans="1:10" ht="15" customHeight="1" x14ac:dyDescent="0.15">
      <c r="A53" s="227">
        <v>52</v>
      </c>
      <c r="B53" s="227" t="s">
        <v>244</v>
      </c>
      <c r="C53" s="8">
        <v>4.3155655860900879</v>
      </c>
      <c r="D53" s="10"/>
      <c r="E53" s="10"/>
      <c r="F53" s="10"/>
      <c r="G53" s="10"/>
      <c r="H53" s="10"/>
      <c r="I53">
        <v>3.8301720633171499E-4</v>
      </c>
      <c r="J53"/>
    </row>
    <row r="54" spans="1:10" ht="15" customHeight="1" x14ac:dyDescent="0.15">
      <c r="A54" s="228">
        <v>53</v>
      </c>
      <c r="B54" s="228" t="s">
        <v>245</v>
      </c>
      <c r="C54" s="8">
        <v>4.7237133979797363</v>
      </c>
      <c r="D54" s="10"/>
      <c r="E54" s="10"/>
      <c r="F54" s="10"/>
      <c r="G54" s="10"/>
      <c r="H54" s="10"/>
      <c r="I54">
        <v>3.1836706330068409E-4</v>
      </c>
      <c r="J54"/>
    </row>
    <row r="55" spans="1:10" ht="15" customHeight="1" x14ac:dyDescent="0.15">
      <c r="A55" s="229">
        <v>54</v>
      </c>
      <c r="B55" s="229" t="s">
        <v>246</v>
      </c>
      <c r="C55" s="8">
        <v>5.3400125503540039</v>
      </c>
      <c r="D55" s="10"/>
      <c r="E55" s="10"/>
      <c r="F55" s="10"/>
      <c r="G55" s="10"/>
      <c r="H55" s="10"/>
      <c r="I55">
        <v>6.9842701577726984E-7</v>
      </c>
      <c r="J55"/>
    </row>
    <row r="56" spans="1:10" ht="15" customHeight="1" x14ac:dyDescent="0.15">
      <c r="A56" s="230">
        <v>55</v>
      </c>
      <c r="B56" s="230" t="s">
        <v>247</v>
      </c>
      <c r="C56" s="8">
        <v>5.3264799118041992</v>
      </c>
      <c r="D56" s="10"/>
      <c r="E56" s="10"/>
      <c r="F56" s="10"/>
      <c r="G56" s="10"/>
      <c r="H56" s="10"/>
      <c r="I56">
        <v>2.0507501119482185E-7</v>
      </c>
      <c r="J56"/>
    </row>
    <row r="57" spans="1:10" ht="15" customHeight="1" x14ac:dyDescent="0.15">
      <c r="A57" s="231">
        <v>56</v>
      </c>
      <c r="B57" s="231" t="s">
        <v>248</v>
      </c>
      <c r="C57" s="8">
        <v>4.9243783950805664</v>
      </c>
      <c r="D57" s="10"/>
      <c r="E57" s="10"/>
      <c r="F57" s="10"/>
      <c r="G57" s="10"/>
      <c r="H57" s="10"/>
      <c r="I57">
        <v>1.0474300315976848E-9</v>
      </c>
      <c r="J57"/>
    </row>
    <row r="58" spans="1:10" ht="15" customHeight="1" x14ac:dyDescent="0.15">
      <c r="A58" s="232">
        <v>57</v>
      </c>
      <c r="B58" s="232" t="s">
        <v>249</v>
      </c>
      <c r="C58" s="8">
        <v>5.4011726379394531</v>
      </c>
      <c r="D58" s="10"/>
      <c r="E58" s="10"/>
      <c r="F58" s="10"/>
      <c r="G58" s="10"/>
      <c r="H58" s="10"/>
      <c r="I58">
        <v>3.9690998931973809E-8</v>
      </c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254</v>
      </c>
      <c r="E1" t="s">
        <v>255</v>
      </c>
      <c r="F1" t="s">
        <v>256</v>
      </c>
      <c r="G1" t="s">
        <v>257</v>
      </c>
      <c r="H1" t="s">
        <v>258</v>
      </c>
      <c r="I1" t="s">
        <v>259</v>
      </c>
      <c r="J1" t="s">
        <v>260</v>
      </c>
      <c r="K1" t="s">
        <v>261</v>
      </c>
      <c r="L1" t="s">
        <v>262</v>
      </c>
      <c r="M1" t="s">
        <v>263</v>
      </c>
      <c r="N1" t="s">
        <v>264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219</v>
      </c>
      <c r="AP1" t="s">
        <v>220</v>
      </c>
      <c r="AQ1" t="s">
        <v>221</v>
      </c>
      <c r="AR1" t="s">
        <v>222</v>
      </c>
      <c r="AS1" t="s">
        <v>223</v>
      </c>
      <c r="AT1" t="s">
        <v>224</v>
      </c>
      <c r="AU1" t="s">
        <v>225</v>
      </c>
      <c r="AV1" t="s">
        <v>226</v>
      </c>
      <c r="AW1" t="s">
        <v>227</v>
      </c>
      <c r="AX1" t="s">
        <v>228</v>
      </c>
      <c r="AY1" t="s">
        <v>229</v>
      </c>
      <c r="AZ1" t="s">
        <v>230</v>
      </c>
      <c r="BA1" t="s">
        <v>231</v>
      </c>
      <c r="BB1" t="s">
        <v>232</v>
      </c>
      <c r="BC1" t="s">
        <v>233</v>
      </c>
      <c r="BD1" t="s">
        <v>234</v>
      </c>
      <c r="BE1" t="s">
        <v>235</v>
      </c>
      <c r="BF1" t="s">
        <v>236</v>
      </c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576.28582763671875</v>
      </c>
      <c r="C2">
        <v>506.81930541992188</v>
      </c>
      <c r="D2"/>
      <c r="E2"/>
      <c r="F2"/>
      <c r="G2"/>
      <c r="H2"/>
      <c r="I2"/>
      <c r="J2"/>
      <c r="K2"/>
      <c r="L2"/>
      <c r="M2"/>
      <c r="N2"/>
      <c r="O2"/>
      <c r="P2"/>
      <c r="Q2" s="279">
        <v>60.726638793945312</v>
      </c>
      <c r="R2" s="14">
        <v>5.624880313873291</v>
      </c>
      <c r="S2" s="12">
        <v>1.9142814874649048</v>
      </c>
      <c r="T2"/>
      <c r="U2"/>
      <c r="V2" s="13">
        <v>0.68633311986923218</v>
      </c>
      <c r="W2"/>
      <c r="X2" s="11">
        <v>6.2161706387996674E-2</v>
      </c>
      <c r="Y2" s="11">
        <v>8.4882043302059174E-4</v>
      </c>
      <c r="Z2" s="11">
        <v>3.9094323292374611E-3</v>
      </c>
      <c r="AA2"/>
      <c r="AB2" s="11">
        <v>0.39783954620361328</v>
      </c>
      <c r="AC2" s="11">
        <v>6.0021071694791317E-3</v>
      </c>
      <c r="AD2"/>
      <c r="AE2" s="11">
        <v>4.3616998940706253E-2</v>
      </c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4.3400001525878906</v>
      </c>
      <c r="C3">
        <v>4.2705092430114746</v>
      </c>
      <c r="D3"/>
      <c r="E3"/>
      <c r="F3"/>
      <c r="G3"/>
      <c r="H3"/>
      <c r="I3" s="11">
        <v>5.1102017550874734E-7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 s="22">
        <v>2.3377373814582825E-2</v>
      </c>
      <c r="Y3" s="13">
        <v>1.2293892912566662E-2</v>
      </c>
      <c r="Z3"/>
      <c r="AA3" s="11">
        <v>1.3234814396128058E-3</v>
      </c>
      <c r="AB3" s="21">
        <v>3.2291419804096222E-2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11">
        <v>2.0423131354618818E-4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11.210000038146973</v>
      </c>
      <c r="C4">
        <v>1.1210016012191772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 s="316">
        <v>6.0146851539611816</v>
      </c>
      <c r="S4" s="242">
        <v>1.8422472476959229</v>
      </c>
      <c r="T4" s="22">
        <v>7.4720852077007294E-2</v>
      </c>
      <c r="U4"/>
      <c r="V4" s="20">
        <v>0.2201688289642334</v>
      </c>
      <c r="W4" s="300">
        <v>0.59597861766815186</v>
      </c>
      <c r="X4" s="24">
        <v>0.3518974781036377</v>
      </c>
      <c r="Y4" s="11">
        <v>4.7349641099572182E-3</v>
      </c>
      <c r="Z4"/>
      <c r="AA4" s="11">
        <v>6.8697409005835652E-6</v>
      </c>
      <c r="AB4" s="24">
        <v>0.35451424121856689</v>
      </c>
      <c r="AC4" s="11">
        <v>1.4440621016547084E-3</v>
      </c>
      <c r="AD4"/>
      <c r="AE4" s="62">
        <v>0.6218000054359436</v>
      </c>
      <c r="AF4"/>
      <c r="AG4"/>
      <c r="AH4"/>
      <c r="AI4"/>
      <c r="AJ4"/>
      <c r="AK4" s="11">
        <v>3.5664188908413053E-4</v>
      </c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 s="11">
        <v>4.7048346459632739E-5</v>
      </c>
      <c r="BD4"/>
      <c r="BE4" s="11">
        <v>6.3963322900235653E-3</v>
      </c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4.7800002098083496</v>
      </c>
      <c r="C5">
        <v>0.47799983620643616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 s="295">
        <v>0.77500003576278687</v>
      </c>
      <c r="S5" s="315">
        <v>1.5825064182281494</v>
      </c>
      <c r="T5" s="145">
        <v>0.28895196318626404</v>
      </c>
      <c r="U5"/>
      <c r="V5"/>
      <c r="W5"/>
      <c r="X5"/>
      <c r="Y5" s="11">
        <v>1.9286416936665773E-3</v>
      </c>
      <c r="Z5" s="11">
        <v>5.0016987370327115E-4</v>
      </c>
      <c r="AA5" s="11">
        <v>9.4418668595608324E-5</v>
      </c>
      <c r="AB5" s="65">
        <v>0.30160793662071228</v>
      </c>
      <c r="AC5" s="11">
        <v>2.4033950176090002E-3</v>
      </c>
      <c r="AD5"/>
      <c r="AE5" s="243">
        <v>1.0016770362854004</v>
      </c>
      <c r="AF5" s="258">
        <v>0.23618872463703156</v>
      </c>
      <c r="AG5" s="22">
        <v>3.1433816999197006E-2</v>
      </c>
      <c r="AH5"/>
      <c r="AI5"/>
      <c r="AJ5"/>
      <c r="AK5" s="11">
        <v>7.3969445656985044E-4</v>
      </c>
      <c r="AL5" s="11">
        <v>2.8199394364492036E-5</v>
      </c>
      <c r="AM5" s="11">
        <v>5.3724134340882301E-4</v>
      </c>
      <c r="AN5"/>
      <c r="AO5"/>
      <c r="AP5"/>
      <c r="AQ5"/>
      <c r="AR5"/>
      <c r="AS5" s="11">
        <v>1.0688514448702335E-3</v>
      </c>
      <c r="AT5" s="11">
        <v>3.1311786733567715E-4</v>
      </c>
      <c r="AU5" s="13">
        <v>9.0467827394604683E-3</v>
      </c>
      <c r="AV5" s="11">
        <v>1.6625870557618327E-5</v>
      </c>
      <c r="AW5" s="11">
        <v>1.1121763964183629E-4</v>
      </c>
      <c r="AX5" s="11">
        <v>2.6536465156823397E-4</v>
      </c>
      <c r="AY5"/>
      <c r="AZ5"/>
      <c r="BA5" s="13">
        <v>4.967409186065197E-3</v>
      </c>
      <c r="BB5" s="21">
        <v>3.7879910320043564E-2</v>
      </c>
      <c r="BC5" s="11">
        <v>2.5981033104471862E-5</v>
      </c>
      <c r="BD5"/>
      <c r="BE5" s="12">
        <v>2.1428566426038742E-2</v>
      </c>
      <c r="BF5" s="11">
        <v>3.2785541843622923E-3</v>
      </c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1.4500000476837158</v>
      </c>
      <c r="C6">
        <v>7.2499848902225494E-2</v>
      </c>
      <c r="D6"/>
      <c r="E6"/>
      <c r="F6"/>
      <c r="G6"/>
      <c r="H6"/>
      <c r="I6" s="11">
        <v>2.3260181336581809E-8</v>
      </c>
      <c r="J6"/>
      <c r="K6"/>
      <c r="L6"/>
      <c r="M6" s="9">
        <v>1.0012804929800112E-13</v>
      </c>
      <c r="N6"/>
      <c r="O6"/>
      <c r="P6"/>
      <c r="Q6"/>
      <c r="R6"/>
      <c r="S6"/>
      <c r="T6" s="280">
        <v>0.17651103436946869</v>
      </c>
      <c r="U6" s="109">
        <v>0.26535540819168091</v>
      </c>
      <c r="V6"/>
      <c r="W6"/>
      <c r="X6"/>
      <c r="Y6" s="13">
        <v>2.438421593979001E-3</v>
      </c>
      <c r="Z6" s="13">
        <v>1.9389843801036477E-3</v>
      </c>
      <c r="AA6" s="11">
        <v>3.1992819276638329E-4</v>
      </c>
      <c r="AB6" s="302">
        <v>0.12073091417551041</v>
      </c>
      <c r="AC6" s="12">
        <v>5.919972900301218E-3</v>
      </c>
      <c r="AD6"/>
      <c r="AE6" s="148">
        <v>0.3671051561832428</v>
      </c>
      <c r="AF6" s="141">
        <v>0.14427976310253143</v>
      </c>
      <c r="AG6" s="24">
        <v>4.6471577137708664E-2</v>
      </c>
      <c r="AH6" s="12">
        <v>5.5567491799592972E-3</v>
      </c>
      <c r="AI6" s="11">
        <v>5.830802911077626E-5</v>
      </c>
      <c r="AJ6" s="307">
        <v>0.21108870208263397</v>
      </c>
      <c r="AK6" s="13">
        <v>1.7637100536376238E-3</v>
      </c>
      <c r="AL6" s="11">
        <v>1.4207062486093491E-4</v>
      </c>
      <c r="AM6" s="15">
        <v>2.1836409345269203E-2</v>
      </c>
      <c r="AN6" s="11">
        <v>1.1720487964339554E-4</v>
      </c>
      <c r="AO6" s="11">
        <v>1.7387147818226367E-4</v>
      </c>
      <c r="AP6" s="11">
        <v>1.836095325415954E-4</v>
      </c>
      <c r="AQ6" s="11">
        <v>6.262362003326416E-4</v>
      </c>
      <c r="AR6"/>
      <c r="AS6" s="11">
        <v>9.8735070787370205E-4</v>
      </c>
      <c r="AT6" s="13">
        <v>1.4345488743856549E-3</v>
      </c>
      <c r="AU6" s="11">
        <v>3.3026147866621614E-4</v>
      </c>
      <c r="AV6" s="11">
        <v>1.1220948363188654E-4</v>
      </c>
      <c r="AW6" s="11">
        <v>1.5569379320368171E-4</v>
      </c>
      <c r="AX6" s="11">
        <v>2.2068391263019294E-4</v>
      </c>
      <c r="AY6" s="11">
        <v>7.9585280036553741E-4</v>
      </c>
      <c r="AZ6" s="11">
        <v>1.3223617861513048E-4</v>
      </c>
      <c r="BA6"/>
      <c r="BB6"/>
      <c r="BC6" s="11">
        <v>1.4695314166601747E-4</v>
      </c>
      <c r="BD6" s="11">
        <v>5.6626327568665147E-4</v>
      </c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3.2799999713897705</v>
      </c>
      <c r="C7">
        <v>0.1640012115240097</v>
      </c>
      <c r="D7" s="11">
        <v>5.1422871365502942E-6</v>
      </c>
      <c r="E7"/>
      <c r="F7"/>
      <c r="G7"/>
      <c r="H7" s="11">
        <v>8.5076171671971679E-5</v>
      </c>
      <c r="I7" s="11">
        <v>8.6634524632245302E-4</v>
      </c>
      <c r="J7" s="11">
        <v>9.8041188903152943E-4</v>
      </c>
      <c r="K7"/>
      <c r="L7"/>
      <c r="M7" s="9">
        <v>6.1590034287906104E-13</v>
      </c>
      <c r="N7"/>
      <c r="O7"/>
      <c r="P7"/>
      <c r="Q7"/>
      <c r="R7"/>
      <c r="S7"/>
      <c r="T7"/>
      <c r="U7"/>
      <c r="V7"/>
      <c r="W7"/>
      <c r="X7"/>
      <c r="Y7" s="11">
        <v>1.9518487388268113E-3</v>
      </c>
      <c r="Z7"/>
      <c r="AA7" s="11">
        <v>2.7731023728847504E-3</v>
      </c>
      <c r="AB7" s="23">
        <v>9.3221135437488556E-2</v>
      </c>
      <c r="AC7" s="21">
        <v>2.5126004591584206E-2</v>
      </c>
      <c r="AD7" s="11">
        <v>1.4833546010777354E-3</v>
      </c>
      <c r="AE7" s="259">
        <v>0.12984134256839752</v>
      </c>
      <c r="AF7" s="308">
        <v>1.5309083461761475</v>
      </c>
      <c r="AG7" s="12">
        <v>1.5137414447963238E-2</v>
      </c>
      <c r="AH7" s="11">
        <v>6.7367218434810638E-4</v>
      </c>
      <c r="AI7" s="13">
        <v>8.4522385150194168E-3</v>
      </c>
      <c r="AJ7"/>
      <c r="AK7" s="11">
        <v>1.4370402786880732E-3</v>
      </c>
      <c r="AL7" s="11">
        <v>7.3646078817546368E-4</v>
      </c>
      <c r="AM7" s="13">
        <v>6.6709700040519238E-3</v>
      </c>
      <c r="AN7" s="13">
        <v>5.8035836555063725E-3</v>
      </c>
      <c r="AO7"/>
      <c r="AP7"/>
      <c r="AQ7"/>
      <c r="AR7"/>
      <c r="AS7" s="11">
        <v>2.8162566013634205E-4</v>
      </c>
      <c r="AT7"/>
      <c r="AU7" s="12">
        <v>1.4406583271920681E-2</v>
      </c>
      <c r="AV7" s="11">
        <v>4.924706881865859E-4</v>
      </c>
      <c r="AW7"/>
      <c r="AX7" s="11">
        <v>1.9868202798534185E-4</v>
      </c>
      <c r="AY7" s="13">
        <v>8.0424277111887932E-3</v>
      </c>
      <c r="AZ7" s="13">
        <v>9.3541145324707031E-3</v>
      </c>
      <c r="BA7" s="12">
        <v>1.2383591383695602E-2</v>
      </c>
      <c r="BB7" s="13">
        <v>4.3533123098313808E-3</v>
      </c>
      <c r="BC7" s="13">
        <v>5.0676427781581879E-3</v>
      </c>
      <c r="BD7" s="12">
        <v>1.3352103531360626E-2</v>
      </c>
      <c r="BE7"/>
      <c r="BF7" s="305">
        <v>1.2219129800796509</v>
      </c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1.6000000238418579</v>
      </c>
      <c r="C8">
        <v>7.9999737441539764E-2</v>
      </c>
      <c r="D8" s="11">
        <v>5.0356379688309971E-6</v>
      </c>
      <c r="E8"/>
      <c r="F8"/>
      <c r="G8"/>
      <c r="H8"/>
      <c r="I8" s="11">
        <v>1.0098438906425145E-5</v>
      </c>
      <c r="J8"/>
      <c r="K8"/>
      <c r="L8"/>
      <c r="M8"/>
      <c r="N8"/>
      <c r="O8"/>
      <c r="P8"/>
      <c r="Q8"/>
      <c r="R8"/>
      <c r="S8"/>
      <c r="T8" s="64">
        <v>6.6452205181121826E-2</v>
      </c>
      <c r="U8" s="309">
        <v>0.30000001192092896</v>
      </c>
      <c r="V8"/>
      <c r="W8"/>
      <c r="X8"/>
      <c r="Y8" s="12">
        <v>6.3986312597990036E-3</v>
      </c>
      <c r="Z8" s="12">
        <v>7.8385500237345695E-3</v>
      </c>
      <c r="AA8" s="11">
        <v>9.2716887593269348E-4</v>
      </c>
      <c r="AB8" s="302">
        <v>0.13216795027256012</v>
      </c>
      <c r="AC8"/>
      <c r="AD8"/>
      <c r="AE8" s="72">
        <v>0.12451022118330002</v>
      </c>
      <c r="AF8"/>
      <c r="AG8" s="65">
        <v>0.10049184411764145</v>
      </c>
      <c r="AH8" s="13">
        <v>1.9520799396559596E-3</v>
      </c>
      <c r="AI8" s="11">
        <v>3.7524077924899757E-5</v>
      </c>
      <c r="AJ8" s="275">
        <v>0.76897770166397095</v>
      </c>
      <c r="AK8"/>
      <c r="AL8" s="11">
        <v>6.2741892179474235E-5</v>
      </c>
      <c r="AM8" s="13">
        <v>2.6707756333053112E-3</v>
      </c>
      <c r="AN8"/>
      <c r="AO8" s="11">
        <v>1.9657200027722865E-4</v>
      </c>
      <c r="AP8" s="11">
        <v>2.5542403454892337E-4</v>
      </c>
      <c r="AQ8" s="13">
        <v>4.0119839832186699E-3</v>
      </c>
      <c r="AR8" s="11">
        <v>1.1854773620143533E-3</v>
      </c>
      <c r="AS8"/>
      <c r="AT8" s="11">
        <v>7.7230593888089061E-4</v>
      </c>
      <c r="AU8"/>
      <c r="AV8" s="11">
        <v>7.238087709993124E-5</v>
      </c>
      <c r="AW8"/>
      <c r="AX8" s="11">
        <v>3.2207698677666485E-4</v>
      </c>
      <c r="AY8" s="11">
        <v>3.2134234788827598E-4</v>
      </c>
      <c r="AZ8" s="11">
        <v>7.47504091123119E-5</v>
      </c>
      <c r="BA8"/>
      <c r="BB8"/>
      <c r="BC8" s="11">
        <v>1.7859968647826463E-4</v>
      </c>
      <c r="BD8" s="11">
        <v>1.0669902985682711E-4</v>
      </c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0.80000001192092896</v>
      </c>
      <c r="C9">
        <v>4.0000107139348984E-2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312">
        <v>0.45936545729637146</v>
      </c>
      <c r="V9"/>
      <c r="W9"/>
      <c r="X9"/>
      <c r="Y9" s="11">
        <v>9.9976525234524161E-5</v>
      </c>
      <c r="Z9" s="11">
        <v>4.2720866622403264E-4</v>
      </c>
      <c r="AA9"/>
      <c r="AB9"/>
      <c r="AC9"/>
      <c r="AD9"/>
      <c r="AE9"/>
      <c r="AF9" s="112">
        <v>0.29972091317176819</v>
      </c>
      <c r="AG9"/>
      <c r="AH9"/>
      <c r="AI9"/>
      <c r="AJ9"/>
      <c r="AK9"/>
      <c r="AL9"/>
      <c r="AM9"/>
      <c r="AN9"/>
      <c r="AO9"/>
      <c r="AP9"/>
      <c r="AQ9"/>
      <c r="AR9" s="11">
        <v>3.3511835499666631E-4</v>
      </c>
      <c r="AS9"/>
      <c r="AT9"/>
      <c r="AU9"/>
      <c r="AV9" s="11">
        <v>2.8357588234939612E-5</v>
      </c>
      <c r="AW9"/>
      <c r="AX9"/>
      <c r="AY9"/>
      <c r="AZ9"/>
      <c r="BA9"/>
      <c r="BB9"/>
      <c r="BC9" s="11">
        <v>2.2895588699611835E-5</v>
      </c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2.2799999713897705</v>
      </c>
      <c r="C10">
        <v>0.11400016397237778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310">
        <v>0.51588994264602661</v>
      </c>
      <c r="V10"/>
      <c r="W10"/>
      <c r="X10" s="259">
        <v>8.9748881757259369E-2</v>
      </c>
      <c r="Y10" s="21">
        <v>1.8496021628379822E-2</v>
      </c>
      <c r="Z10" s="12">
        <v>8.1105055287480354E-3</v>
      </c>
      <c r="AA10" s="11">
        <v>2.8033237322233617E-4</v>
      </c>
      <c r="AB10"/>
      <c r="AC10" s="13">
        <v>5.3863516077399254E-3</v>
      </c>
      <c r="AD10"/>
      <c r="AE10"/>
      <c r="AF10"/>
      <c r="AG10" s="22">
        <v>1.1797965504229069E-2</v>
      </c>
      <c r="AH10" s="22">
        <v>1.2678792700171471E-2</v>
      </c>
      <c r="AI10"/>
      <c r="AJ10" s="314">
        <v>1.5001940727233887</v>
      </c>
      <c r="AK10"/>
      <c r="AL10" s="11">
        <v>1.0789303814817686E-6</v>
      </c>
      <c r="AM10" s="11">
        <v>2.0167787442915142E-4</v>
      </c>
      <c r="AN10"/>
      <c r="AO10"/>
      <c r="AP10" s="11">
        <v>1.22387646115385E-5</v>
      </c>
      <c r="AQ10"/>
      <c r="AR10" s="11">
        <v>4.1817151213763282E-5</v>
      </c>
      <c r="AS10"/>
      <c r="AT10"/>
      <c r="AU10" s="13">
        <v>2.8893465641885996E-3</v>
      </c>
      <c r="AV10" s="11">
        <v>7.9617421988587012E-7</v>
      </c>
      <c r="AW10"/>
      <c r="AX10" s="11">
        <v>2.6990642072632909E-4</v>
      </c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3</v>
      </c>
      <c r="C11">
        <v>0.14999932050704956</v>
      </c>
      <c r="D11" s="11">
        <v>3.6948313208995387E-7</v>
      </c>
      <c r="E11"/>
      <c r="F11"/>
      <c r="G11"/>
      <c r="H11"/>
      <c r="I11" s="11">
        <v>7.6061289291828871E-5</v>
      </c>
      <c r="J11"/>
      <c r="K11"/>
      <c r="L11"/>
      <c r="M11"/>
      <c r="N11"/>
      <c r="O11"/>
      <c r="P11"/>
      <c r="Q11"/>
      <c r="R11"/>
      <c r="S11"/>
      <c r="T11"/>
      <c r="U11" s="313">
        <v>1.3412348031997681</v>
      </c>
      <c r="V11"/>
      <c r="W11"/>
      <c r="X11" s="299">
        <v>0.10000000149011612</v>
      </c>
      <c r="Y11" s="16">
        <v>4.2062405496835709E-2</v>
      </c>
      <c r="Z11" s="14">
        <v>3.1692743301391602E-2</v>
      </c>
      <c r="AA11" s="11">
        <v>2.1181362681090832E-3</v>
      </c>
      <c r="AB11" s="304">
        <v>0.35315516591072083</v>
      </c>
      <c r="AC11" s="14">
        <v>2.6878872886300087E-2</v>
      </c>
      <c r="AD11"/>
      <c r="AE11"/>
      <c r="AF11"/>
      <c r="AG11"/>
      <c r="AH11" s="22">
        <v>1.5418573282659054E-2</v>
      </c>
      <c r="AI11" s="11">
        <v>2.5630663149058819E-3</v>
      </c>
      <c r="AJ11" s="311">
        <v>0.91960448026657104</v>
      </c>
      <c r="AK11" s="11">
        <v>7.7344704186543822E-4</v>
      </c>
      <c r="AL11" s="11">
        <v>4.0392769733443856E-5</v>
      </c>
      <c r="AM11" s="13">
        <v>5.4850527085363865E-3</v>
      </c>
      <c r="AN11"/>
      <c r="AO11" s="11">
        <v>4.1088185389526188E-4</v>
      </c>
      <c r="AP11"/>
      <c r="AQ11"/>
      <c r="AR11" s="11">
        <v>1.4676954597234726E-3</v>
      </c>
      <c r="AS11" s="11">
        <v>1.1470211902633309E-3</v>
      </c>
      <c r="AT11" s="11">
        <v>3.6994411493651569E-4</v>
      </c>
      <c r="AU11" s="11">
        <v>7.1541493525728583E-4</v>
      </c>
      <c r="AV11" s="11">
        <v>1.6500303172506392E-4</v>
      </c>
      <c r="AW11" s="11">
        <v>1.2264185352250934E-4</v>
      </c>
      <c r="AX11" s="11">
        <v>8.9872861281037331E-4</v>
      </c>
      <c r="AY11" s="11">
        <v>1.2314158084336668E-4</v>
      </c>
      <c r="AZ11" s="11">
        <v>2.8645098791457713E-4</v>
      </c>
      <c r="BA11" s="11">
        <v>2.7809652965515852E-3</v>
      </c>
      <c r="BB11"/>
      <c r="BC11"/>
      <c r="BD11" s="11">
        <v>4.0888125658966601E-4</v>
      </c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2.4923999309539795</v>
      </c>
      <c r="C12">
        <v>0.12462032586336136</v>
      </c>
      <c r="D12" s="13">
        <v>3.0530726071447134E-3</v>
      </c>
      <c r="E12"/>
      <c r="F12" s="11">
        <v>1.6376232961192727E-3</v>
      </c>
      <c r="G12"/>
      <c r="H12" s="11">
        <v>1.3470863923430443E-3</v>
      </c>
      <c r="I12"/>
      <c r="J12"/>
      <c r="K12"/>
      <c r="L12"/>
      <c r="M12"/>
      <c r="N12"/>
      <c r="O12"/>
      <c r="P12"/>
      <c r="Q12"/>
      <c r="R12"/>
      <c r="S12"/>
      <c r="T12" s="234">
        <v>0.24465958774089813</v>
      </c>
      <c r="U12"/>
      <c r="V12"/>
      <c r="W12"/>
      <c r="X12"/>
      <c r="Y12" s="69">
        <v>0.17716273665428162</v>
      </c>
      <c r="Z12" s="243">
        <v>0.52123165130615234</v>
      </c>
      <c r="AA12" s="64">
        <v>0.1043039932847023</v>
      </c>
      <c r="AB12"/>
      <c r="AC12" s="286">
        <v>0.32595902681350708</v>
      </c>
      <c r="AD12" s="13">
        <v>3.1146695837378502E-3</v>
      </c>
      <c r="AE12"/>
      <c r="AF12"/>
      <c r="AG12" s="280">
        <v>0.30266702175140381</v>
      </c>
      <c r="AH12" s="254">
        <v>0.21522358059883118</v>
      </c>
      <c r="AI12" s="16">
        <v>3.1954973936080933E-2</v>
      </c>
      <c r="AJ12"/>
      <c r="AK12"/>
      <c r="AL12"/>
      <c r="AM12"/>
      <c r="AN12"/>
      <c r="AO12"/>
      <c r="AP12" s="11">
        <v>9.9375692661851645E-4</v>
      </c>
      <c r="AQ12" s="26">
        <v>0.19298925995826721</v>
      </c>
      <c r="AR12" s="15">
        <v>3.7267107516527176E-2</v>
      </c>
      <c r="AS12"/>
      <c r="AT12"/>
      <c r="AU12"/>
      <c r="AV12" s="11">
        <v>2.4408313911408186E-3</v>
      </c>
      <c r="AW12"/>
      <c r="AX12" s="21">
        <v>1.8464451655745506E-2</v>
      </c>
      <c r="AY12"/>
      <c r="AZ12" s="281">
        <v>0.18330909311771393</v>
      </c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1.2600001096725464</v>
      </c>
      <c r="C13">
        <v>6.2999866902828217E-2</v>
      </c>
      <c r="D13" s="22">
        <v>8.0192890018224716E-3</v>
      </c>
      <c r="E13"/>
      <c r="F13"/>
      <c r="G13"/>
      <c r="H13" s="12">
        <v>4.8396540805697441E-3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25">
        <v>3.1641032546758652E-2</v>
      </c>
      <c r="Z13" s="279">
        <v>0.1329975426197052</v>
      </c>
      <c r="AA13" s="23">
        <v>3.3857144415378571E-2</v>
      </c>
      <c r="AB13"/>
      <c r="AC13" s="280">
        <v>0.15290392935276031</v>
      </c>
      <c r="AD13" s="12">
        <v>6.1743701808154583E-3</v>
      </c>
      <c r="AE13"/>
      <c r="AF13"/>
      <c r="AG13" s="249">
        <v>0.28936222195625305</v>
      </c>
      <c r="AH13"/>
      <c r="AI13" s="104">
        <v>0.15628780424594879</v>
      </c>
      <c r="AJ13"/>
      <c r="AK13"/>
      <c r="AL13"/>
      <c r="AM13" s="12">
        <v>5.535829346626997E-3</v>
      </c>
      <c r="AN13" s="69">
        <v>8.8339895009994507E-2</v>
      </c>
      <c r="AO13"/>
      <c r="AP13" s="63">
        <v>2.6893876492977142E-2</v>
      </c>
      <c r="AQ13" s="12">
        <v>4.9014338292181492E-3</v>
      </c>
      <c r="AR13"/>
      <c r="AS13" s="11">
        <v>9.3481554358731955E-5</v>
      </c>
      <c r="AT13"/>
      <c r="AU13"/>
      <c r="AV13" s="14">
        <v>1.1891531758010387E-2</v>
      </c>
      <c r="AW13"/>
      <c r="AX13" s="25">
        <v>3.306901827454567E-2</v>
      </c>
      <c r="AY13"/>
      <c r="AZ13" s="282">
        <v>0.21019209921360016</v>
      </c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0.44229999184608459</v>
      </c>
      <c r="C14">
        <v>2.2115005180239677E-2</v>
      </c>
      <c r="D14" s="233">
        <v>8.2295618951320648E-2</v>
      </c>
      <c r="E14"/>
      <c r="F14"/>
      <c r="G14"/>
      <c r="H14" s="146">
        <v>0.11073374003171921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 s="267">
        <v>8.1683695316314697E-2</v>
      </c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 s="241">
        <v>0.14547193050384521</v>
      </c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2.8422000408172607</v>
      </c>
      <c r="C15">
        <v>0.14211003482341766</v>
      </c>
      <c r="D15" s="11">
        <v>1.383642666041851E-4</v>
      </c>
      <c r="E15" s="11">
        <v>5.9023842914029956E-4</v>
      </c>
      <c r="F15" s="13">
        <v>5.329551175236702E-3</v>
      </c>
      <c r="G15"/>
      <c r="H15" s="11">
        <v>1.6235836665146053E-4</v>
      </c>
      <c r="I15"/>
      <c r="J15"/>
      <c r="K15"/>
      <c r="L15"/>
      <c r="M15"/>
      <c r="N15"/>
      <c r="O15"/>
      <c r="P15"/>
      <c r="Q15"/>
      <c r="R15"/>
      <c r="S15"/>
      <c r="T15" s="66">
        <v>0.26104697585105896</v>
      </c>
      <c r="U15"/>
      <c r="V15"/>
      <c r="W15"/>
      <c r="X15"/>
      <c r="Y15" s="13">
        <v>3.2741620671004057E-3</v>
      </c>
      <c r="Z15" s="14">
        <v>2.5677815079689026E-2</v>
      </c>
      <c r="AA15" s="11">
        <v>1.2267089914530516E-3</v>
      </c>
      <c r="AB15" s="263">
        <v>0.20484834909439087</v>
      </c>
      <c r="AC15" s="108">
        <v>0.84186720848083496</v>
      </c>
      <c r="AD15" s="11">
        <v>1.6923283692449331E-3</v>
      </c>
      <c r="AE15" s="107">
        <v>0.48911869525909424</v>
      </c>
      <c r="AF15"/>
      <c r="AG15" s="25">
        <v>7.4187129735946655E-2</v>
      </c>
      <c r="AH15" s="15">
        <v>4.3565768748521805E-2</v>
      </c>
      <c r="AI15" s="13">
        <v>4.3305903673171997E-3</v>
      </c>
      <c r="AJ15"/>
      <c r="AK15"/>
      <c r="AL15"/>
      <c r="AM15" s="13">
        <v>2.8271104674786329E-3</v>
      </c>
      <c r="AN15" s="12">
        <v>9.8380725830793381E-3</v>
      </c>
      <c r="AO15" s="11">
        <v>1.9656051881611347E-3</v>
      </c>
      <c r="AP15" s="11">
        <v>4.8150430666282773E-4</v>
      </c>
      <c r="AQ15" s="11">
        <v>4.6354244113899767E-4</v>
      </c>
      <c r="AR15"/>
      <c r="AS15"/>
      <c r="AT15"/>
      <c r="AU15"/>
      <c r="AV15"/>
      <c r="AW15" s="145">
        <v>0.17393043637275696</v>
      </c>
      <c r="AX15" s="11">
        <v>1.245626132003963E-3</v>
      </c>
      <c r="AY15" s="11">
        <v>7.5740553438663483E-4</v>
      </c>
      <c r="AZ15" s="236">
        <v>0.12920384109020233</v>
      </c>
      <c r="BA15" s="301">
        <v>0.3913382887840271</v>
      </c>
      <c r="BB15"/>
      <c r="BC15" s="13">
        <v>7.2281169705092907E-3</v>
      </c>
      <c r="BD15" s="12">
        <v>1.2574507854878902E-2</v>
      </c>
      <c r="BE15" s="12">
        <v>1.1179918423295021E-2</v>
      </c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0.86599999666213989</v>
      </c>
      <c r="C16">
        <v>4.3300114572048187E-2</v>
      </c>
      <c r="D16" s="11">
        <v>6.1098119476810098E-4</v>
      </c>
      <c r="E16"/>
      <c r="F16"/>
      <c r="G16"/>
      <c r="H16" s="11">
        <v>7.6001029810868204E-5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13">
        <v>1.2941416352987289E-3</v>
      </c>
      <c r="AE16"/>
      <c r="AF16"/>
      <c r="AG16"/>
      <c r="AH16" s="290">
        <v>9.0823054313659668E-2</v>
      </c>
      <c r="AI16" s="12">
        <v>4.1027124971151352E-3</v>
      </c>
      <c r="AJ16"/>
      <c r="AK16"/>
      <c r="AL16" s="12">
        <v>3.1079610344022512E-3</v>
      </c>
      <c r="AM16"/>
      <c r="AN16"/>
      <c r="AO16"/>
      <c r="AP16"/>
      <c r="AQ16"/>
      <c r="AR16"/>
      <c r="AS16"/>
      <c r="AT16"/>
      <c r="AU16"/>
      <c r="AV16" s="13">
        <v>9.5050979871302843E-4</v>
      </c>
      <c r="AW16" s="297">
        <v>0.31331866979598999</v>
      </c>
      <c r="AX16"/>
      <c r="AY16" s="13">
        <v>1.5917905839160085E-3</v>
      </c>
      <c r="AZ16" s="292">
        <v>0.11478713899850845</v>
      </c>
      <c r="BA16" s="296">
        <v>0.28322800993919373</v>
      </c>
      <c r="BB16"/>
      <c r="BC16"/>
      <c r="BD16" s="14">
        <v>8.8090123608708382E-3</v>
      </c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0.72699999809265137</v>
      </c>
      <c r="C17">
        <v>3.6349963396787643E-2</v>
      </c>
      <c r="D17" s="12">
        <v>2.3695086129009724E-3</v>
      </c>
      <c r="E17"/>
      <c r="F17"/>
      <c r="G17" s="246">
        <v>0.28613772988319397</v>
      </c>
      <c r="H17" s="12">
        <v>2.4492919910699129E-3</v>
      </c>
      <c r="I17"/>
      <c r="J17"/>
      <c r="K17" s="11">
        <v>1.9751263607759029E-4</v>
      </c>
      <c r="L17" s="11">
        <v>3.9074977394193411E-5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 s="234">
        <v>7.0670515298843384E-2</v>
      </c>
      <c r="AZ17" s="268">
        <v>0.32878640294075012</v>
      </c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2.5859999656677246</v>
      </c>
      <c r="C18">
        <v>0.12929971516132355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244">
        <v>0.89814728498458862</v>
      </c>
      <c r="U18"/>
      <c r="V18"/>
      <c r="W18"/>
      <c r="X18"/>
      <c r="Y18"/>
      <c r="Z18" s="11">
        <v>2.3454499896615744E-3</v>
      </c>
      <c r="AA18"/>
      <c r="AB18"/>
      <c r="AC18"/>
      <c r="AD18" s="11">
        <v>1.7771395505405962E-4</v>
      </c>
      <c r="AE18" s="141">
        <v>0.25859999656677246</v>
      </c>
      <c r="AF18" s="274">
        <v>1.0163505077362061</v>
      </c>
      <c r="AG18"/>
      <c r="AH18"/>
      <c r="AI18" s="11">
        <v>1.0531781008467078E-3</v>
      </c>
      <c r="AJ18"/>
      <c r="AK18" s="13">
        <v>2.7493489906191826E-3</v>
      </c>
      <c r="AL18" s="11">
        <v>6.5155501943081617E-5</v>
      </c>
      <c r="AM18" s="13">
        <v>3.4655136987566948E-3</v>
      </c>
      <c r="AN18" s="11">
        <v>1.1008357432729099E-5</v>
      </c>
      <c r="AO18"/>
      <c r="AP18" s="11">
        <v>4.106035760287341E-7</v>
      </c>
      <c r="AQ18" s="11">
        <v>2.2056992165744305E-3</v>
      </c>
      <c r="AR18"/>
      <c r="AS18" s="11">
        <v>1.6453155549243093E-3</v>
      </c>
      <c r="AT18" s="11">
        <v>1.304077566601336E-3</v>
      </c>
      <c r="AU18" s="14">
        <v>2.6108080521225929E-2</v>
      </c>
      <c r="AV18" s="11">
        <v>1.9328217604197562E-4</v>
      </c>
      <c r="AW18" s="23">
        <v>7.277824729681015E-2</v>
      </c>
      <c r="AX18" s="11">
        <v>3.7686411360482452E-6</v>
      </c>
      <c r="AY18" s="11">
        <v>1.0011122794821858E-3</v>
      </c>
      <c r="AZ18" s="22">
        <v>1.5680445358157158E-2</v>
      </c>
      <c r="BA18"/>
      <c r="BB18" s="13">
        <v>7.2252713143825531E-3</v>
      </c>
      <c r="BC18" s="11">
        <v>1.5182677889242768E-3</v>
      </c>
      <c r="BD18" s="13">
        <v>3.5457159392535686E-3</v>
      </c>
      <c r="BE18" s="13">
        <v>5.9108901768922806E-3</v>
      </c>
      <c r="BF18" s="300">
        <v>0.13461422920227051</v>
      </c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0.43700000643730164</v>
      </c>
      <c r="C19">
        <v>2.185000479221344E-2</v>
      </c>
      <c r="D19" s="11">
        <v>3.6667231597675709E-6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303">
        <v>0.3995155394077301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 s="25">
        <v>1.1120575480163097E-2</v>
      </c>
      <c r="AN19"/>
      <c r="AO19"/>
      <c r="AP19"/>
      <c r="AQ19"/>
      <c r="AR19"/>
      <c r="AS19"/>
      <c r="AT19" s="11">
        <v>6.7224878876004368E-5</v>
      </c>
      <c r="AU19"/>
      <c r="AV19"/>
      <c r="AW19"/>
      <c r="AX19"/>
      <c r="AY19" s="22">
        <v>2.4112970568239689E-3</v>
      </c>
      <c r="AZ19" s="12">
        <v>2.0192901138216257E-3</v>
      </c>
      <c r="BA19"/>
      <c r="BB19"/>
      <c r="BC19" s="11">
        <v>1.2466797670640517E-5</v>
      </c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2.2287001609802246</v>
      </c>
      <c r="C20">
        <v>0.11143463850021362</v>
      </c>
      <c r="D20" s="11">
        <v>3.5464021493680775E-5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14">
        <v>2.0492883399128914E-2</v>
      </c>
      <c r="Z20" s="258">
        <v>0.10768017917871475</v>
      </c>
      <c r="AA20" s="13">
        <v>3.3370531164109707E-3</v>
      </c>
      <c r="AB20"/>
      <c r="AC20"/>
      <c r="AD20" s="11">
        <v>3.4328404581174254E-4</v>
      </c>
      <c r="AE20"/>
      <c r="AF20"/>
      <c r="AG20" s="106">
        <v>0.14893676340579987</v>
      </c>
      <c r="AH20" s="65">
        <v>0.14151583611965179</v>
      </c>
      <c r="AI20" s="15">
        <v>3.6007557064294815E-2</v>
      </c>
      <c r="AJ20" s="295">
        <v>0.36487522721290588</v>
      </c>
      <c r="AK20" s="13">
        <v>5.6352522224187851E-3</v>
      </c>
      <c r="AL20" s="12">
        <v>9.4873476773500443E-3</v>
      </c>
      <c r="AM20" s="293">
        <v>0.24037796258926392</v>
      </c>
      <c r="AN20" s="23">
        <v>6.2107563018798828E-2</v>
      </c>
      <c r="AO20" s="14">
        <v>2.053665928542614E-2</v>
      </c>
      <c r="AP20" s="16">
        <v>3.1586181372404099E-2</v>
      </c>
      <c r="AQ20" s="74">
        <v>0.14274388551712036</v>
      </c>
      <c r="AR20" s="12">
        <v>9.192759171128273E-3</v>
      </c>
      <c r="AS20" s="13">
        <v>2.5454929564148188E-3</v>
      </c>
      <c r="AT20" s="11">
        <v>1.226212945766747E-3</v>
      </c>
      <c r="AU20" s="66">
        <v>0.20579560101032257</v>
      </c>
      <c r="AV20" s="13">
        <v>2.5763644371181726E-3</v>
      </c>
      <c r="AW20" s="254">
        <v>0.1913672536611557</v>
      </c>
      <c r="AX20" s="17">
        <v>2.5215292349457741E-2</v>
      </c>
      <c r="AY20" s="22">
        <v>1.1661822907626629E-2</v>
      </c>
      <c r="AZ20" s="66">
        <v>0.20404666662216187</v>
      </c>
      <c r="BA20" s="25">
        <v>5.5865205824375153E-2</v>
      </c>
      <c r="BB20"/>
      <c r="BC20" s="12">
        <v>7.536690216511488E-3</v>
      </c>
      <c r="BD20" s="144">
        <v>6.4536847174167633E-2</v>
      </c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0.93260002136230469</v>
      </c>
      <c r="C21">
        <v>4.6630013734102249E-2</v>
      </c>
      <c r="D21" s="13">
        <v>1.2717539211735129E-3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263">
        <v>6.7964561283588409E-2</v>
      </c>
      <c r="Z21"/>
      <c r="AA21"/>
      <c r="AB21"/>
      <c r="AC21"/>
      <c r="AD21" s="12">
        <v>2.91979662142694E-3</v>
      </c>
      <c r="AE21"/>
      <c r="AF21"/>
      <c r="AG21"/>
      <c r="AH21"/>
      <c r="AI21" s="282">
        <v>0.15484717488288879</v>
      </c>
      <c r="AJ21"/>
      <c r="AK21"/>
      <c r="AL21"/>
      <c r="AM21" s="289">
        <v>0.47497797012329102</v>
      </c>
      <c r="AN21" s="23">
        <v>2.5223685428500175E-2</v>
      </c>
      <c r="AO21"/>
      <c r="AP21"/>
      <c r="AQ21"/>
      <c r="AR21"/>
      <c r="AS21"/>
      <c r="AT21" s="11">
        <v>4.6182435471564531E-4</v>
      </c>
      <c r="AU21"/>
      <c r="AV21"/>
      <c r="AW21"/>
      <c r="AX21" s="11">
        <v>1.356309512630105E-4</v>
      </c>
      <c r="AY21" s="63">
        <v>1.9215665757656097E-2</v>
      </c>
      <c r="AZ21" s="21">
        <v>7.4498886242508888E-3</v>
      </c>
      <c r="BA21" s="75">
        <v>0.13150198757648468</v>
      </c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0.460999995470047</v>
      </c>
      <c r="C22">
        <v>2.3049978539347649E-2</v>
      </c>
      <c r="D22" s="234">
        <v>4.4983096420764923E-2</v>
      </c>
      <c r="E22"/>
      <c r="F22"/>
      <c r="G22"/>
      <c r="H22" s="13">
        <v>1.2505444465205073E-3</v>
      </c>
      <c r="I22"/>
      <c r="J22"/>
      <c r="K22"/>
      <c r="L22"/>
      <c r="M22" s="9">
        <v>1.9992461852691434E-10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 s="27">
        <v>2.1956449374556541E-2</v>
      </c>
      <c r="AE22"/>
      <c r="AF22"/>
      <c r="AG22"/>
      <c r="AH22"/>
      <c r="AI22" s="11">
        <v>3.8176184170879424E-4</v>
      </c>
      <c r="AJ22"/>
      <c r="AK22"/>
      <c r="AL22" s="22">
        <v>2.5559964124113321E-3</v>
      </c>
      <c r="AM22"/>
      <c r="AN22" s="276">
        <v>0.32291769981384277</v>
      </c>
      <c r="AO22"/>
      <c r="AP22"/>
      <c r="AQ22"/>
      <c r="AR22"/>
      <c r="AS22"/>
      <c r="AT22"/>
      <c r="AU22"/>
      <c r="AV22"/>
      <c r="AW22"/>
      <c r="AX22" s="259">
        <v>1.7798298969864845E-2</v>
      </c>
      <c r="AY22" s="247">
        <v>2.6106161996722221E-2</v>
      </c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0.49499997496604919</v>
      </c>
      <c r="C23">
        <v>2.4750063195824623E-2</v>
      </c>
      <c r="D23" s="11">
        <v>7.3650485319376457E-6</v>
      </c>
      <c r="E23"/>
      <c r="F23"/>
      <c r="G23"/>
      <c r="H23"/>
      <c r="I23"/>
      <c r="J23"/>
      <c r="K23"/>
      <c r="L23"/>
      <c r="M23" s="9">
        <v>3.3519072933918537E-11</v>
      </c>
      <c r="N23"/>
      <c r="O23"/>
      <c r="P23"/>
      <c r="Q23"/>
      <c r="R23"/>
      <c r="S23"/>
      <c r="T23" s="306">
        <v>0.41183382272720337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 s="298">
        <v>5.4723341017961502E-2</v>
      </c>
      <c r="AK23" s="13">
        <v>1.4242598554119468E-3</v>
      </c>
      <c r="AL23" s="11">
        <v>3.2370875123888254E-4</v>
      </c>
      <c r="AM23"/>
      <c r="AN23" s="11">
        <v>1.8321906100027263E-4</v>
      </c>
      <c r="AO23"/>
      <c r="AP23"/>
      <c r="AQ23"/>
      <c r="AR23"/>
      <c r="AS23"/>
      <c r="AT23" s="11">
        <v>9.5630730356788263E-6</v>
      </c>
      <c r="AU23"/>
      <c r="AV23" s="13">
        <v>9.488080395385623E-4</v>
      </c>
      <c r="AW23"/>
      <c r="AX23"/>
      <c r="AY23" s="13">
        <v>7.9580390593037009E-4</v>
      </c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0.33100000023841858</v>
      </c>
      <c r="C24">
        <v>1.6550004482269287E-2</v>
      </c>
      <c r="D24" s="13">
        <v>4.3330361950211227E-4</v>
      </c>
      <c r="E24"/>
      <c r="F24"/>
      <c r="G24"/>
      <c r="H24"/>
      <c r="I24"/>
      <c r="J24"/>
      <c r="K24"/>
      <c r="L24"/>
      <c r="M24" s="11">
        <v>1.9294938624625502E-7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 s="269">
        <v>7.5265802443027496E-2</v>
      </c>
      <c r="AM24"/>
      <c r="AN24"/>
      <c r="AO24"/>
      <c r="AP24"/>
      <c r="AQ24"/>
      <c r="AR24"/>
      <c r="AS24"/>
      <c r="AT24" s="258">
        <v>1.6120508313179016E-2</v>
      </c>
      <c r="AU24"/>
      <c r="AV24" s="274">
        <v>0.13011366128921509</v>
      </c>
      <c r="AW24"/>
      <c r="AX24"/>
      <c r="AY24" s="235">
        <v>9.2516526579856873E-2</v>
      </c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0.35260000824928284</v>
      </c>
      <c r="C25">
        <v>1.7629982903599739E-2</v>
      </c>
      <c r="D25" s="235">
        <v>9.8742634057998657E-2</v>
      </c>
      <c r="E25"/>
      <c r="F25"/>
      <c r="G25"/>
      <c r="H25"/>
      <c r="I25"/>
      <c r="J25"/>
      <c r="K25"/>
      <c r="L25"/>
      <c r="M25" s="11">
        <v>1.6465445185076533E-7</v>
      </c>
      <c r="N25" s="11">
        <v>5.0426799134584144E-5</v>
      </c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 s="251">
        <v>5.2702754735946655E-2</v>
      </c>
      <c r="AT25"/>
      <c r="AU25"/>
      <c r="AV25" s="17">
        <v>4.3025119230151176E-3</v>
      </c>
      <c r="AW25"/>
      <c r="AX25"/>
      <c r="AY25" s="264">
        <v>0.17917153239250183</v>
      </c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0.45660001039505005</v>
      </c>
      <c r="C26">
        <v>2.2829951718449593E-2</v>
      </c>
      <c r="D26" s="236">
        <v>2.0744599401950836E-2</v>
      </c>
      <c r="E26"/>
      <c r="F26"/>
      <c r="G26"/>
      <c r="H26" s="13">
        <v>9.0093392645940185E-4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 s="284">
        <v>0.17350801825523376</v>
      </c>
      <c r="AN26" s="283">
        <v>0.15684953331947327</v>
      </c>
      <c r="AO26"/>
      <c r="AP26"/>
      <c r="AQ26" s="277">
        <v>6.8726673722267151E-2</v>
      </c>
      <c r="AR26"/>
      <c r="AS26"/>
      <c r="AT26"/>
      <c r="AU26"/>
      <c r="AV26"/>
      <c r="AW26"/>
      <c r="AX26" s="21">
        <v>3.8854153826832771E-3</v>
      </c>
      <c r="AY26" s="22">
        <v>2.7523532044142485E-3</v>
      </c>
      <c r="AZ26" s="16">
        <v>6.4025027677416801E-3</v>
      </c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0.13400000333786011</v>
      </c>
      <c r="C27">
        <v>6.7000179551541805E-3</v>
      </c>
      <c r="D27" s="237">
        <v>0.10424577444791794</v>
      </c>
      <c r="E27"/>
      <c r="F27"/>
      <c r="G27"/>
      <c r="H27" s="14">
        <v>1.231448957696557E-3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 s="260">
        <v>1.2773944996297359E-2</v>
      </c>
      <c r="AY27" s="106">
        <v>9.0488158166408539E-3</v>
      </c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0.25</v>
      </c>
      <c r="C28">
        <v>1.2500002980232239E-2</v>
      </c>
      <c r="D28" s="238">
        <v>6.7235641181468964E-2</v>
      </c>
      <c r="E28"/>
      <c r="F28"/>
      <c r="G28"/>
      <c r="H28" s="62">
        <v>1.3493528589606285E-2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 s="261">
        <v>9.1765746474266052E-2</v>
      </c>
      <c r="AY28" s="255">
        <v>6.5005078911781311E-2</v>
      </c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0.28600001335144043</v>
      </c>
      <c r="C29">
        <v>1.4300021342933178E-2</v>
      </c>
      <c r="D29" s="239">
        <v>0.15098413825035095</v>
      </c>
      <c r="E29"/>
      <c r="F29"/>
      <c r="G29"/>
      <c r="H29" s="248">
        <v>6.9234785623848438E-3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 s="242">
        <v>4.7084655612707138E-2</v>
      </c>
      <c r="AY29" s="257">
        <v>6.6707715392112732E-2</v>
      </c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0.21899999678134918</v>
      </c>
      <c r="C30">
        <v>1.0949963703751564E-2</v>
      </c>
      <c r="D30" s="240">
        <v>7.061033695936203E-2</v>
      </c>
      <c r="E30"/>
      <c r="F30"/>
      <c r="G30"/>
      <c r="H30" s="21">
        <v>1.5520881861448288E-3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275">
        <v>0.10514219105243683</v>
      </c>
      <c r="Z30"/>
      <c r="AA30" s="263">
        <v>1.5821192413568497E-2</v>
      </c>
      <c r="AB30"/>
      <c r="AC30"/>
      <c r="AD30"/>
      <c r="AE30"/>
      <c r="AF30"/>
      <c r="AG30"/>
      <c r="AH30"/>
      <c r="AI30"/>
      <c r="AJ30"/>
      <c r="AK30"/>
      <c r="AL30"/>
      <c r="AM30" s="18">
        <v>3.6790776066482067E-3</v>
      </c>
      <c r="AN30"/>
      <c r="AO30"/>
      <c r="AP30"/>
      <c r="AQ30"/>
      <c r="AR30"/>
      <c r="AS30"/>
      <c r="AT30"/>
      <c r="AU30"/>
      <c r="AV30"/>
      <c r="AW30"/>
      <c r="AX30" s="11">
        <v>1.5653467562515289E-4</v>
      </c>
      <c r="AY30" s="67">
        <v>1.1088613420724869E-2</v>
      </c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0.31600001454353333</v>
      </c>
      <c r="C31">
        <v>1.5799986198544502E-2</v>
      </c>
      <c r="D31" s="235">
        <v>8.8367439806461334E-2</v>
      </c>
      <c r="E31"/>
      <c r="F31"/>
      <c r="G31"/>
      <c r="H31" s="24">
        <v>1.0089216753840446E-2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 s="252">
        <v>3.5316620022058487E-2</v>
      </c>
      <c r="AY31" s="256">
        <v>5.0035219639539719E-2</v>
      </c>
      <c r="AZ31" s="265">
        <v>0.11639153957366943</v>
      </c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0.39500001072883606</v>
      </c>
      <c r="C32">
        <v>1.9750004634261131E-2</v>
      </c>
      <c r="D32" s="241">
        <v>0.13011752068996429</v>
      </c>
      <c r="E32"/>
      <c r="F32"/>
      <c r="G32"/>
      <c r="H32" s="15">
        <v>6.2458841130137444E-3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 s="19">
        <v>1.7256898805499077E-2</v>
      </c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 s="236">
        <v>1.8013199791312218E-2</v>
      </c>
      <c r="AY32" s="74">
        <v>2.5520404800772667E-2</v>
      </c>
      <c r="AZ32" s="271">
        <v>0.17809608578681946</v>
      </c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0.26199999451637268</v>
      </c>
      <c r="C33">
        <v>1.3100002892315388E-2</v>
      </c>
      <c r="D33" s="242">
        <v>4.3071035295724869E-2</v>
      </c>
      <c r="E33"/>
      <c r="F33"/>
      <c r="G33"/>
      <c r="H33" s="21">
        <v>2.0674900151789188E-3</v>
      </c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 s="63">
        <v>5.5289925076067448E-3</v>
      </c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 s="145">
        <v>1.6111563891172409E-2</v>
      </c>
      <c r="AY33" s="254">
        <v>2.2826241329312325E-2</v>
      </c>
      <c r="AZ33" s="272">
        <v>0.15929466485977173</v>
      </c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0.30500000715255737</v>
      </c>
      <c r="C34">
        <v>1.5249986201524734E-2</v>
      </c>
      <c r="D34" s="243">
        <v>6.3855268061161041E-2</v>
      </c>
      <c r="E34" s="13">
        <v>3.7471135146915913E-4</v>
      </c>
      <c r="F34"/>
      <c r="G34"/>
      <c r="H34" s="17">
        <v>3.5801723133772612E-3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 s="278">
        <v>0.12215442955493927</v>
      </c>
      <c r="AO34"/>
      <c r="AP34" s="23">
        <v>8.5422797128558159E-3</v>
      </c>
      <c r="AQ34"/>
      <c r="AR34"/>
      <c r="AS34"/>
      <c r="AT34"/>
      <c r="AU34"/>
      <c r="AV34"/>
      <c r="AW34"/>
      <c r="AX34" s="249">
        <v>6.9858215749263763E-2</v>
      </c>
      <c r="AY34" s="17">
        <v>3.7833494134247303E-3</v>
      </c>
      <c r="AZ34" s="247">
        <v>1.7601596191525459E-2</v>
      </c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0.17000000178813934</v>
      </c>
      <c r="C35">
        <v>8.4999920800328255E-3</v>
      </c>
      <c r="D35" s="105">
        <v>2.6798121631145477E-2</v>
      </c>
      <c r="E35"/>
      <c r="F35"/>
      <c r="G35"/>
      <c r="H35"/>
      <c r="I35"/>
      <c r="J35"/>
      <c r="K35"/>
      <c r="L35"/>
      <c r="M35" s="11">
        <v>8.5547818828857203E-10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 s="262">
        <v>7.8847691416740417E-2</v>
      </c>
      <c r="AY35" s="241">
        <v>5.5854182690382004E-2</v>
      </c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0.25099998712539673</v>
      </c>
      <c r="C36">
        <v>1.2549972161650658E-2</v>
      </c>
      <c r="D36" s="244">
        <v>8.7071724236011505E-2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 s="15">
        <v>4.1831759735941887E-3</v>
      </c>
      <c r="AE36"/>
      <c r="AF36"/>
      <c r="AG36"/>
      <c r="AH36"/>
      <c r="AI36"/>
      <c r="AJ36"/>
      <c r="AK36"/>
      <c r="AL36"/>
      <c r="AM36" s="16">
        <v>3.556565148755908E-3</v>
      </c>
      <c r="AN36" s="63">
        <v>5.3666909225285053E-3</v>
      </c>
      <c r="AO36"/>
      <c r="AP36"/>
      <c r="AQ36"/>
      <c r="AR36"/>
      <c r="AS36"/>
      <c r="AT36"/>
      <c r="AU36"/>
      <c r="AV36"/>
      <c r="AW36" s="285">
        <v>0.11255207657814026</v>
      </c>
      <c r="AX36" s="11">
        <v>2.0176279576844536E-5</v>
      </c>
      <c r="AY36" s="22">
        <v>1.4292486011981964E-3</v>
      </c>
      <c r="AZ36" s="260">
        <v>2.4270355701446533E-2</v>
      </c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0.31259998679161072</v>
      </c>
      <c r="C37">
        <v>1.5630040317773819E-2</v>
      </c>
      <c r="D37" s="107">
        <v>5.3935900330543518E-2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 s="67">
        <v>1.6023222357034683E-2</v>
      </c>
      <c r="AY37" s="147">
        <v>0.2270108163356781</v>
      </c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0.35660001635551453</v>
      </c>
      <c r="C38">
        <v>1.7830047756433487E-2</v>
      </c>
      <c r="D38" s="146">
        <v>8.9531242847442627E-2</v>
      </c>
      <c r="E38"/>
      <c r="F38"/>
      <c r="G38"/>
      <c r="H38"/>
      <c r="I38"/>
      <c r="J38"/>
      <c r="K38"/>
      <c r="L38"/>
      <c r="M38" s="11">
        <v>1.8296981707521809E-8</v>
      </c>
      <c r="N38" s="11">
        <v>8.0288242543247179E-7</v>
      </c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273">
        <v>0.13223899900913239</v>
      </c>
      <c r="AJ38"/>
      <c r="AK38"/>
      <c r="AL38"/>
      <c r="AM38"/>
      <c r="AN38"/>
      <c r="AO38"/>
      <c r="AP38"/>
      <c r="AQ38"/>
      <c r="AR38"/>
      <c r="AS38"/>
      <c r="AT38"/>
      <c r="AU38"/>
      <c r="AV38" s="23">
        <v>1.0018905624747276E-2</v>
      </c>
      <c r="AW38"/>
      <c r="AX38"/>
      <c r="AY38" s="270">
        <v>0.10698000341653824</v>
      </c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0.26780000329017639</v>
      </c>
      <c r="C39">
        <v>1.338998693972826E-2</v>
      </c>
      <c r="D39" s="21">
        <v>2.0115626975893974E-3</v>
      </c>
      <c r="E39"/>
      <c r="F39"/>
      <c r="G39" s="247">
        <v>1.5245608054101467E-2</v>
      </c>
      <c r="H39"/>
      <c r="I39"/>
      <c r="J39"/>
      <c r="K39" s="11">
        <v>1.0390585885033943E-5</v>
      </c>
      <c r="L39" s="11">
        <v>3.4109932585124625E-6</v>
      </c>
      <c r="M39" s="9">
        <v>1.6218786036414912E-10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 s="15">
        <v>3.9709676057100296E-3</v>
      </c>
      <c r="AZ39"/>
      <c r="BA39"/>
      <c r="BB39"/>
      <c r="BC39"/>
      <c r="BD39"/>
      <c r="BE39"/>
      <c r="BF39" s="291">
        <v>0.23316808044910431</v>
      </c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0.36399999260902405</v>
      </c>
      <c r="C40">
        <v>1.81999821215868E-2</v>
      </c>
      <c r="D40" s="11">
        <v>1.2230759602971375E-4</v>
      </c>
      <c r="E40" s="245">
        <v>7.7147252857685089E-2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288">
        <v>7.3739171028137207E-2</v>
      </c>
      <c r="BA40"/>
      <c r="BB40"/>
      <c r="BC40"/>
      <c r="BD40"/>
      <c r="BE40"/>
      <c r="BF40" s="294">
        <v>0.1947912722826004</v>
      </c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0.15000000596046448</v>
      </c>
      <c r="C41">
        <v>7.4999933131039143E-3</v>
      </c>
      <c r="D41"/>
      <c r="E41"/>
      <c r="F41"/>
      <c r="G41" s="11">
        <v>1.2306903954595327E-4</v>
      </c>
      <c r="H41"/>
      <c r="I41"/>
      <c r="J41"/>
      <c r="K41" s="11">
        <v>8.4947252787515026E-8</v>
      </c>
      <c r="L41" s="11">
        <v>1.797484827648077E-8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 s="287">
        <v>0.14237684011459351</v>
      </c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0.25</v>
      </c>
      <c r="C42">
        <v>0.19249431788921356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 s="249">
        <v>5.7505682110786438E-2</v>
      </c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0.10000000149011612</v>
      </c>
      <c r="C43">
        <v>6.1740323901176453E-2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250">
        <v>7.9935314133763313E-3</v>
      </c>
      <c r="BA43"/>
      <c r="BB43"/>
      <c r="BC43"/>
      <c r="BD43"/>
      <c r="BE43"/>
      <c r="BF43" s="253">
        <v>3.0266145244240761E-2</v>
      </c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5.9999998658895493E-2</v>
      </c>
      <c r="C44">
        <v>3.2353036105632782E-2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 s="110">
        <v>2.7646962553262711E-2</v>
      </c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1.9999999552965164E-2</v>
      </c>
      <c r="C45">
        <v>1.7287908121943474E-2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266">
        <v>2.7120911981910467E-3</v>
      </c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/>
      <c r="C46">
        <v>5.3779959678649902E-2</v>
      </c>
      <c r="D46"/>
      <c r="E46"/>
      <c r="F46"/>
      <c r="G46"/>
      <c r="H46"/>
      <c r="I46"/>
      <c r="J46"/>
      <c r="K46"/>
      <c r="L46"/>
      <c r="M46"/>
      <c r="N46"/>
      <c r="O46"/>
      <c r="P46"/>
      <c r="Q46" s="9">
        <v>19.567472457885742</v>
      </c>
      <c r="R46" s="9">
        <v>8.1560764312744141</v>
      </c>
      <c r="S46" s="9">
        <v>2.7757081985473633</v>
      </c>
      <c r="T46" s="9">
        <v>0.40545618534088135</v>
      </c>
      <c r="U46" s="9">
        <v>16.051139831542969</v>
      </c>
      <c r="V46" s="9">
        <v>16.918111801147461</v>
      </c>
      <c r="W46" s="9">
        <v>10.775508880615234</v>
      </c>
      <c r="X46" s="9">
        <v>8.5998897552490234</v>
      </c>
      <c r="Y46" s="9">
        <v>1.3560792431235313E-3</v>
      </c>
      <c r="Z46" s="9">
        <v>1.1607293039560318E-2</v>
      </c>
      <c r="AA46"/>
      <c r="AB46"/>
      <c r="AC46"/>
      <c r="AD46"/>
      <c r="AE46" s="9">
        <v>0.33730483055114746</v>
      </c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/>
      <c r="C47">
        <v>0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2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7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7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98" t="s">
        <v>193</v>
      </c>
      <c r="E5">
        <v>4</v>
      </c>
      <c r="F5">
        <v>2</v>
      </c>
      <c r="G5">
        <v>4</v>
      </c>
      <c r="H5" s="199" t="s">
        <v>193</v>
      </c>
      <c r="J5" s="55"/>
      <c r="K5" s="56"/>
    </row>
    <row r="6" spans="1:12" ht="14" thickBot="1" x14ac:dyDescent="0.2">
      <c r="A6" s="39" t="s">
        <v>121</v>
      </c>
      <c r="D6" s="198" t="s">
        <v>194</v>
      </c>
      <c r="E6">
        <v>5</v>
      </c>
      <c r="F6">
        <v>2</v>
      </c>
      <c r="G6">
        <v>5</v>
      </c>
      <c r="H6" s="199" t="s">
        <v>194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98" t="s">
        <v>195</v>
      </c>
      <c r="E7">
        <v>6</v>
      </c>
      <c r="F7">
        <v>3.11</v>
      </c>
      <c r="G7">
        <v>6</v>
      </c>
      <c r="H7" s="199" t="s">
        <v>195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98" t="s">
        <v>196</v>
      </c>
      <c r="E8">
        <v>7</v>
      </c>
      <c r="F8">
        <v>3.11</v>
      </c>
      <c r="G8">
        <v>7</v>
      </c>
      <c r="H8" s="199" t="s">
        <v>196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98" t="s">
        <v>197</v>
      </c>
      <c r="E9">
        <v>8</v>
      </c>
      <c r="F9">
        <v>3</v>
      </c>
      <c r="G9">
        <v>8</v>
      </c>
      <c r="H9" s="199" t="s">
        <v>197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98" t="s">
        <v>198</v>
      </c>
      <c r="E10">
        <v>9</v>
      </c>
      <c r="F10">
        <v>3.12</v>
      </c>
      <c r="G10">
        <v>9</v>
      </c>
      <c r="H10" s="199" t="s">
        <v>198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98" t="s">
        <v>199</v>
      </c>
      <c r="E11">
        <v>10</v>
      </c>
      <c r="F11">
        <v>3.21</v>
      </c>
      <c r="G11">
        <v>10</v>
      </c>
      <c r="H11" s="199" t="s">
        <v>199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98" t="s">
        <v>200</v>
      </c>
      <c r="E12">
        <v>11</v>
      </c>
      <c r="F12">
        <v>3.2</v>
      </c>
      <c r="G12">
        <v>11</v>
      </c>
      <c r="H12" s="199" t="s">
        <v>200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98" t="s">
        <v>201</v>
      </c>
      <c r="E13">
        <v>12</v>
      </c>
      <c r="F13">
        <v>3.21</v>
      </c>
      <c r="G13">
        <v>12</v>
      </c>
      <c r="H13" s="199" t="s">
        <v>201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98" t="s">
        <v>202</v>
      </c>
      <c r="E14">
        <v>13</v>
      </c>
      <c r="F14">
        <v>3.2</v>
      </c>
      <c r="G14">
        <v>13</v>
      </c>
      <c r="H14" s="199" t="s">
        <v>202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98" t="s">
        <v>203</v>
      </c>
      <c r="E15">
        <v>14</v>
      </c>
      <c r="F15">
        <v>3</v>
      </c>
      <c r="G15">
        <v>14</v>
      </c>
      <c r="H15" s="199" t="s">
        <v>203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98" t="s">
        <v>204</v>
      </c>
      <c r="E16">
        <v>15</v>
      </c>
      <c r="F16">
        <v>3</v>
      </c>
      <c r="G16">
        <v>15</v>
      </c>
      <c r="H16" s="199" t="s">
        <v>204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98" t="s">
        <v>205</v>
      </c>
      <c r="E17">
        <v>16</v>
      </c>
      <c r="F17">
        <v>3</v>
      </c>
      <c r="G17">
        <v>16</v>
      </c>
      <c r="H17" s="199" t="s">
        <v>205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98" t="s">
        <v>206</v>
      </c>
      <c r="E18">
        <v>17</v>
      </c>
      <c r="F18">
        <v>3.12</v>
      </c>
      <c r="G18">
        <v>17</v>
      </c>
      <c r="H18" s="199" t="s">
        <v>206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98" t="s">
        <v>207</v>
      </c>
      <c r="E19">
        <v>18</v>
      </c>
      <c r="F19">
        <v>3.12</v>
      </c>
      <c r="G19">
        <v>18</v>
      </c>
      <c r="H19" s="199" t="s">
        <v>207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98" t="s">
        <v>208</v>
      </c>
      <c r="E20">
        <v>19</v>
      </c>
      <c r="F20">
        <v>3.12</v>
      </c>
      <c r="G20">
        <v>19</v>
      </c>
      <c r="H20" s="199" t="s">
        <v>208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98" t="s">
        <v>209</v>
      </c>
      <c r="E21">
        <v>20</v>
      </c>
      <c r="F21">
        <v>3.12</v>
      </c>
      <c r="G21">
        <v>20</v>
      </c>
      <c r="H21" s="199" t="s">
        <v>209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98" t="s">
        <v>210</v>
      </c>
      <c r="E22">
        <v>21</v>
      </c>
      <c r="F22">
        <v>3.2</v>
      </c>
      <c r="G22">
        <v>21</v>
      </c>
      <c r="H22" s="199" t="s">
        <v>210</v>
      </c>
    </row>
    <row r="23" spans="1:12" x14ac:dyDescent="0.15">
      <c r="A23" s="34" t="s">
        <v>129</v>
      </c>
      <c r="B23" s="42">
        <v>4</v>
      </c>
      <c r="C23" s="36"/>
      <c r="D23" s="198" t="s">
        <v>211</v>
      </c>
      <c r="E23">
        <v>22</v>
      </c>
      <c r="F23">
        <v>3.21</v>
      </c>
      <c r="G23">
        <v>22</v>
      </c>
      <c r="H23" s="199" t="s">
        <v>211</v>
      </c>
    </row>
    <row r="24" spans="1:12" x14ac:dyDescent="0.15">
      <c r="A24" s="34" t="s">
        <v>122</v>
      </c>
      <c r="B24" s="42">
        <v>4.0999999999999996</v>
      </c>
      <c r="C24" s="36"/>
      <c r="D24" s="198" t="s">
        <v>212</v>
      </c>
      <c r="E24">
        <v>23</v>
      </c>
      <c r="F24">
        <v>3.21</v>
      </c>
      <c r="G24">
        <v>23</v>
      </c>
      <c r="H24" s="199" t="s">
        <v>212</v>
      </c>
    </row>
    <row r="25" spans="1:12" x14ac:dyDescent="0.15">
      <c r="A25" s="34" t="s">
        <v>70</v>
      </c>
      <c r="B25" s="42">
        <v>4.2</v>
      </c>
      <c r="C25" s="36"/>
      <c r="D25" s="198" t="s">
        <v>213</v>
      </c>
      <c r="E25">
        <v>24</v>
      </c>
      <c r="F25">
        <v>3.21</v>
      </c>
      <c r="G25">
        <v>24</v>
      </c>
      <c r="H25" s="199" t="s">
        <v>213</v>
      </c>
    </row>
    <row r="26" spans="1:12" x14ac:dyDescent="0.15">
      <c r="A26" s="34" t="s">
        <v>123</v>
      </c>
      <c r="B26" s="42">
        <v>4.3</v>
      </c>
      <c r="C26" s="36"/>
      <c r="D26" s="198" t="s">
        <v>214</v>
      </c>
      <c r="E26">
        <v>25</v>
      </c>
      <c r="F26">
        <v>3.2</v>
      </c>
      <c r="G26">
        <v>25</v>
      </c>
      <c r="H26" s="199" t="s">
        <v>214</v>
      </c>
    </row>
    <row r="27" spans="1:12" x14ac:dyDescent="0.15">
      <c r="A27" s="34" t="s">
        <v>125</v>
      </c>
      <c r="B27" s="42">
        <v>6.1</v>
      </c>
      <c r="D27" s="198" t="s">
        <v>215</v>
      </c>
      <c r="E27">
        <v>26</v>
      </c>
      <c r="F27">
        <v>3.2</v>
      </c>
      <c r="G27">
        <v>26</v>
      </c>
      <c r="H27" s="199" t="s">
        <v>215</v>
      </c>
    </row>
    <row r="28" spans="1:12" x14ac:dyDescent="0.15">
      <c r="A28" s="34" t="s">
        <v>124</v>
      </c>
      <c r="B28" s="42">
        <v>6.2</v>
      </c>
      <c r="D28" s="198" t="s">
        <v>216</v>
      </c>
      <c r="E28">
        <v>27</v>
      </c>
      <c r="F28">
        <v>3.2</v>
      </c>
      <c r="G28">
        <v>27</v>
      </c>
      <c r="H28" s="199" t="s">
        <v>216</v>
      </c>
    </row>
    <row r="29" spans="1:12" x14ac:dyDescent="0.15">
      <c r="A29" s="34" t="s">
        <v>44</v>
      </c>
      <c r="B29" s="42">
        <v>5</v>
      </c>
      <c r="D29" s="198" t="s">
        <v>217</v>
      </c>
      <c r="E29">
        <v>28</v>
      </c>
      <c r="F29">
        <v>3.12</v>
      </c>
      <c r="G29">
        <v>28</v>
      </c>
      <c r="H29" s="199" t="s">
        <v>217</v>
      </c>
    </row>
    <row r="30" spans="1:12" x14ac:dyDescent="0.15">
      <c r="A30" s="34" t="s">
        <v>73</v>
      </c>
      <c r="B30" s="42">
        <v>7</v>
      </c>
      <c r="D30" s="198" t="s">
        <v>218</v>
      </c>
      <c r="E30">
        <v>29</v>
      </c>
      <c r="F30">
        <v>3.22</v>
      </c>
      <c r="G30">
        <v>29</v>
      </c>
      <c r="H30" s="199" t="s">
        <v>218</v>
      </c>
    </row>
    <row r="31" spans="1:12" x14ac:dyDescent="0.15">
      <c r="A31" s="34" t="s">
        <v>169</v>
      </c>
      <c r="B31" s="42">
        <v>3.14</v>
      </c>
      <c r="D31" s="198" t="s">
        <v>219</v>
      </c>
      <c r="E31">
        <v>30</v>
      </c>
      <c r="F31">
        <v>3.12</v>
      </c>
      <c r="G31">
        <v>30</v>
      </c>
      <c r="H31" s="199" t="s">
        <v>219</v>
      </c>
    </row>
    <row r="32" spans="1:12" ht="12" customHeight="1" thickBot="1" x14ac:dyDescent="0.2">
      <c r="A32" s="40" t="s">
        <v>170</v>
      </c>
      <c r="B32" s="43">
        <v>9</v>
      </c>
      <c r="D32" s="198" t="s">
        <v>220</v>
      </c>
      <c r="E32">
        <v>31</v>
      </c>
      <c r="F32">
        <v>3.22</v>
      </c>
      <c r="G32">
        <v>31</v>
      </c>
      <c r="H32" s="199" t="s">
        <v>220</v>
      </c>
    </row>
    <row r="33" spans="4:8" customFormat="1" ht="12" customHeight="1" x14ac:dyDescent="0.15">
      <c r="D33" s="198" t="s">
        <v>221</v>
      </c>
      <c r="E33">
        <v>32</v>
      </c>
      <c r="F33">
        <v>3.22</v>
      </c>
      <c r="G33">
        <v>32</v>
      </c>
      <c r="H33" s="199" t="s">
        <v>221</v>
      </c>
    </row>
    <row r="34" spans="4:8" customFormat="1" ht="12" customHeight="1" x14ac:dyDescent="0.15">
      <c r="D34" s="198" t="s">
        <v>222</v>
      </c>
      <c r="E34">
        <v>33</v>
      </c>
      <c r="F34">
        <v>3.22</v>
      </c>
      <c r="G34">
        <v>33</v>
      </c>
      <c r="H34" s="199" t="s">
        <v>222</v>
      </c>
    </row>
    <row r="35" spans="4:8" customFormat="1" x14ac:dyDescent="0.15">
      <c r="D35" s="198" t="s">
        <v>223</v>
      </c>
      <c r="E35">
        <v>34</v>
      </c>
      <c r="F35">
        <v>3.22</v>
      </c>
      <c r="G35">
        <v>34</v>
      </c>
      <c r="H35" s="199" t="s">
        <v>223</v>
      </c>
    </row>
    <row r="36" spans="4:8" customFormat="1" x14ac:dyDescent="0.15">
      <c r="D36" s="198" t="s">
        <v>224</v>
      </c>
      <c r="E36">
        <v>35</v>
      </c>
      <c r="F36">
        <v>3.22</v>
      </c>
      <c r="G36">
        <v>35</v>
      </c>
      <c r="H36" s="199" t="s">
        <v>224</v>
      </c>
    </row>
    <row r="37" spans="4:8" customFormat="1" ht="12" customHeight="1" x14ac:dyDescent="0.15">
      <c r="D37" s="198" t="s">
        <v>225</v>
      </c>
      <c r="E37">
        <v>36</v>
      </c>
      <c r="F37">
        <v>3.22</v>
      </c>
      <c r="G37">
        <v>36</v>
      </c>
      <c r="H37" s="199" t="s">
        <v>225</v>
      </c>
    </row>
    <row r="38" spans="4:8" customFormat="1" x14ac:dyDescent="0.15">
      <c r="D38" s="198" t="s">
        <v>226</v>
      </c>
      <c r="E38">
        <v>37</v>
      </c>
      <c r="F38">
        <v>3.22</v>
      </c>
      <c r="G38">
        <v>37</v>
      </c>
      <c r="H38" s="199" t="s">
        <v>226</v>
      </c>
    </row>
    <row r="39" spans="4:8" customFormat="1" x14ac:dyDescent="0.15">
      <c r="D39" s="198" t="s">
        <v>227</v>
      </c>
      <c r="E39">
        <v>38</v>
      </c>
      <c r="F39">
        <v>3.22</v>
      </c>
      <c r="G39">
        <v>38</v>
      </c>
      <c r="H39" s="199" t="s">
        <v>227</v>
      </c>
    </row>
    <row r="40" spans="4:8" customFormat="1" x14ac:dyDescent="0.15">
      <c r="D40" s="198" t="s">
        <v>228</v>
      </c>
      <c r="E40">
        <v>39</v>
      </c>
      <c r="F40">
        <v>3.12</v>
      </c>
      <c r="G40">
        <v>39</v>
      </c>
      <c r="H40" s="199" t="s">
        <v>228</v>
      </c>
    </row>
    <row r="41" spans="4:8" customFormat="1" x14ac:dyDescent="0.15">
      <c r="D41" s="198" t="s">
        <v>229</v>
      </c>
      <c r="E41">
        <v>40</v>
      </c>
      <c r="F41">
        <v>3.12</v>
      </c>
      <c r="G41">
        <v>40</v>
      </c>
      <c r="H41" s="199" t="s">
        <v>229</v>
      </c>
    </row>
    <row r="42" spans="4:8" customFormat="1" x14ac:dyDescent="0.15">
      <c r="D42" s="198" t="s">
        <v>230</v>
      </c>
      <c r="E42">
        <v>41</v>
      </c>
      <c r="F42">
        <v>3.12</v>
      </c>
      <c r="G42">
        <v>41</v>
      </c>
      <c r="H42" s="199" t="s">
        <v>230</v>
      </c>
    </row>
    <row r="43" spans="4:8" customFormat="1" x14ac:dyDescent="0.15">
      <c r="D43" s="198" t="s">
        <v>231</v>
      </c>
      <c r="E43">
        <v>42</v>
      </c>
      <c r="F43">
        <v>3.12</v>
      </c>
      <c r="G43">
        <v>42</v>
      </c>
      <c r="H43" s="199" t="s">
        <v>231</v>
      </c>
    </row>
    <row r="44" spans="4:8" customFormat="1" x14ac:dyDescent="0.15">
      <c r="D44" s="198" t="s">
        <v>232</v>
      </c>
      <c r="E44">
        <v>43</v>
      </c>
      <c r="F44">
        <v>3.12</v>
      </c>
      <c r="G44">
        <v>43</v>
      </c>
      <c r="H44" s="199" t="s">
        <v>232</v>
      </c>
    </row>
    <row r="45" spans="4:8" customFormat="1" x14ac:dyDescent="0.15">
      <c r="D45" s="198" t="s">
        <v>233</v>
      </c>
      <c r="E45">
        <v>44</v>
      </c>
      <c r="F45">
        <v>3.13</v>
      </c>
      <c r="G45">
        <v>44</v>
      </c>
      <c r="H45" s="199" t="s">
        <v>233</v>
      </c>
    </row>
    <row r="46" spans="4:8" customFormat="1" x14ac:dyDescent="0.15">
      <c r="D46" s="198" t="s">
        <v>234</v>
      </c>
      <c r="E46">
        <v>45</v>
      </c>
      <c r="F46">
        <v>3.13</v>
      </c>
      <c r="G46">
        <v>45</v>
      </c>
      <c r="H46" s="199" t="s">
        <v>234</v>
      </c>
    </row>
    <row r="47" spans="4:8" customFormat="1" x14ac:dyDescent="0.15">
      <c r="D47" s="198" t="s">
        <v>235</v>
      </c>
      <c r="E47">
        <v>46</v>
      </c>
      <c r="F47">
        <v>3.13</v>
      </c>
      <c r="G47">
        <v>46</v>
      </c>
      <c r="H47" s="199" t="s">
        <v>235</v>
      </c>
    </row>
    <row r="48" spans="4:8" customFormat="1" x14ac:dyDescent="0.15">
      <c r="D48" s="198" t="s">
        <v>236</v>
      </c>
      <c r="E48">
        <v>47</v>
      </c>
      <c r="F48">
        <v>3.13</v>
      </c>
      <c r="G48">
        <v>47</v>
      </c>
      <c r="H48" s="199" t="s">
        <v>236</v>
      </c>
    </row>
    <row r="49" spans="4:8" customFormat="1" x14ac:dyDescent="0.15">
      <c r="D49" s="198" t="s">
        <v>237</v>
      </c>
      <c r="E49">
        <v>48</v>
      </c>
      <c r="F49">
        <v>4.0999999999999996</v>
      </c>
      <c r="G49">
        <v>48</v>
      </c>
      <c r="H49" s="199" t="s">
        <v>237</v>
      </c>
    </row>
    <row r="50" spans="4:8" customFormat="1" ht="12" customHeight="1" x14ac:dyDescent="0.15">
      <c r="D50" s="198" t="s">
        <v>238</v>
      </c>
      <c r="E50">
        <v>49</v>
      </c>
      <c r="F50">
        <v>4.3</v>
      </c>
      <c r="G50">
        <v>49</v>
      </c>
      <c r="H50" s="199" t="s">
        <v>238</v>
      </c>
    </row>
    <row r="51" spans="4:8" customFormat="1" x14ac:dyDescent="0.15">
      <c r="D51" s="198" t="s">
        <v>239</v>
      </c>
      <c r="E51">
        <v>50</v>
      </c>
      <c r="F51">
        <v>5</v>
      </c>
      <c r="G51">
        <v>50</v>
      </c>
      <c r="H51" s="199" t="s">
        <v>239</v>
      </c>
    </row>
    <row r="52" spans="4:8" customFormat="1" ht="12" customHeight="1" x14ac:dyDescent="0.15">
      <c r="D52" s="198" t="s">
        <v>240</v>
      </c>
      <c r="E52">
        <v>51</v>
      </c>
      <c r="F52">
        <v>5</v>
      </c>
      <c r="G52">
        <v>51</v>
      </c>
      <c r="H52" s="199" t="s">
        <v>240</v>
      </c>
    </row>
    <row r="53" spans="4:8" customFormat="1" x14ac:dyDescent="0.15">
      <c r="D53" s="198" t="s">
        <v>241</v>
      </c>
      <c r="E53">
        <v>52</v>
      </c>
      <c r="F53">
        <v>5</v>
      </c>
      <c r="G53">
        <v>52</v>
      </c>
      <c r="H53" s="199" t="s">
        <v>241</v>
      </c>
    </row>
    <row r="54" spans="4:8" customFormat="1" ht="12" customHeight="1" x14ac:dyDescent="0.15">
      <c r="D54" s="198" t="s">
        <v>242</v>
      </c>
      <c r="E54">
        <v>53</v>
      </c>
      <c r="F54">
        <v>5</v>
      </c>
      <c r="G54">
        <v>53</v>
      </c>
      <c r="H54" s="199" t="s">
        <v>242</v>
      </c>
    </row>
    <row r="55" spans="4:8" customFormat="1" ht="12" customHeight="1" x14ac:dyDescent="0.15">
      <c r="D55" s="198" t="s">
        <v>243</v>
      </c>
      <c r="E55">
        <v>54</v>
      </c>
      <c r="F55">
        <v>5</v>
      </c>
      <c r="G55">
        <v>54</v>
      </c>
      <c r="H55" s="199" t="s">
        <v>243</v>
      </c>
    </row>
    <row r="56" spans="4:8" customFormat="1" x14ac:dyDescent="0.15">
      <c r="D56" s="198" t="s">
        <v>244</v>
      </c>
      <c r="E56">
        <v>55</v>
      </c>
      <c r="F56">
        <v>5</v>
      </c>
      <c r="G56">
        <v>55</v>
      </c>
      <c r="H56" s="199" t="s">
        <v>244</v>
      </c>
    </row>
    <row r="57" spans="4:8" customFormat="1" x14ac:dyDescent="0.15">
      <c r="D57" s="198" t="s">
        <v>245</v>
      </c>
      <c r="E57">
        <v>56</v>
      </c>
      <c r="F57">
        <v>5</v>
      </c>
      <c r="G57">
        <v>56</v>
      </c>
      <c r="H57" s="199" t="s">
        <v>245</v>
      </c>
    </row>
    <row r="58" spans="4:8" customFormat="1" x14ac:dyDescent="0.15">
      <c r="D58" s="198" t="s">
        <v>246</v>
      </c>
      <c r="E58">
        <v>57</v>
      </c>
      <c r="F58">
        <v>5</v>
      </c>
      <c r="G58">
        <v>57</v>
      </c>
      <c r="H58" s="199" t="s">
        <v>246</v>
      </c>
    </row>
    <row r="59" spans="4:8" customFormat="1" x14ac:dyDescent="0.15">
      <c r="D59" s="198" t="s">
        <v>247</v>
      </c>
      <c r="E59">
        <v>58</v>
      </c>
      <c r="F59">
        <v>5</v>
      </c>
      <c r="G59">
        <v>58</v>
      </c>
      <c r="H59" s="199" t="s">
        <v>247</v>
      </c>
    </row>
    <row r="60" spans="4:8" customFormat="1" x14ac:dyDescent="0.15">
      <c r="D60" s="198" t="s">
        <v>248</v>
      </c>
      <c r="E60">
        <v>59</v>
      </c>
      <c r="F60">
        <v>5</v>
      </c>
      <c r="G60">
        <v>59</v>
      </c>
      <c r="H60" s="199" t="s">
        <v>248</v>
      </c>
    </row>
    <row r="61" spans="4:8" customFormat="1" x14ac:dyDescent="0.15">
      <c r="D61" s="198" t="s">
        <v>249</v>
      </c>
      <c r="E61">
        <v>60</v>
      </c>
      <c r="F61">
        <v>5</v>
      </c>
      <c r="G61">
        <v>60</v>
      </c>
      <c r="H61" s="199" t="s">
        <v>249</v>
      </c>
    </row>
    <row r="62" spans="4:8" customFormat="1" x14ac:dyDescent="0.15">
      <c r="D62" s="198" t="s">
        <v>138</v>
      </c>
      <c r="E62">
        <v>61</v>
      </c>
      <c r="F62">
        <v>6.1</v>
      </c>
      <c r="G62">
        <v>61</v>
      </c>
      <c r="H62" s="199" t="s">
        <v>138</v>
      </c>
    </row>
    <row r="63" spans="4:8" customFormat="1" x14ac:dyDescent="0.15">
      <c r="D63" s="198" t="s">
        <v>45</v>
      </c>
      <c r="E63">
        <v>62</v>
      </c>
      <c r="F63">
        <v>6.2</v>
      </c>
      <c r="G63">
        <v>62</v>
      </c>
      <c r="H63" s="199" t="s">
        <v>45</v>
      </c>
    </row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1" bestFit="1" customWidth="1"/>
    <col min="2" max="2" width="12.83203125" style="80" customWidth="1"/>
    <col min="3" max="3" width="13.1640625" style="80" customWidth="1"/>
    <col min="4" max="4" width="10.83203125" style="80" customWidth="1"/>
    <col min="5" max="5" width="12.83203125" style="80" customWidth="1"/>
    <col min="6" max="6" width="27.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0" customWidth="1"/>
    <col min="17" max="17" width="2.33203125" style="80" customWidth="1"/>
    <col min="18" max="18" width="2.33203125" style="71" customWidth="1"/>
    <col min="19" max="16384" width="11.5" style="80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2" t="s">
        <v>48</v>
      </c>
      <c r="L1" s="71"/>
      <c r="M1" s="82" t="s">
        <v>119</v>
      </c>
      <c r="N1" s="71"/>
      <c r="O1" s="82" t="s">
        <v>49</v>
      </c>
      <c r="P1" s="73"/>
      <c r="Q1" s="82" t="s">
        <v>50</v>
      </c>
      <c r="R1" s="68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3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3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200" t="s">
        <v>193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1</v>
      </c>
      <c r="N6" s="80">
        <v>0</v>
      </c>
      <c r="O6" s="80">
        <v>0</v>
      </c>
      <c r="P6" s="70">
        <v>0</v>
      </c>
      <c r="Q6" s="80">
        <v>0</v>
      </c>
      <c r="R6" s="71">
        <v>1</v>
      </c>
      <c r="S6"/>
      <c r="T6"/>
    </row>
    <row r="7" spans="1:23" ht="15" customHeight="1" thickBot="1" x14ac:dyDescent="0.2">
      <c r="F7" s="200" t="s">
        <v>194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1</v>
      </c>
      <c r="N7" s="80">
        <v>0</v>
      </c>
      <c r="O7" s="80">
        <v>0</v>
      </c>
      <c r="P7" s="70">
        <v>0</v>
      </c>
      <c r="Q7" s="80">
        <v>0</v>
      </c>
      <c r="R7" s="71">
        <v>1</v>
      </c>
      <c r="S7"/>
      <c r="T7"/>
    </row>
    <row r="8" spans="1:23" ht="15" customHeight="1" x14ac:dyDescent="0.15">
      <c r="A8" s="82" t="s">
        <v>56</v>
      </c>
      <c r="B8" s="89">
        <v>0.99764961954475373</v>
      </c>
      <c r="C8" s="201" t="s">
        <v>193</v>
      </c>
      <c r="D8" s="84" t="s">
        <v>160</v>
      </c>
      <c r="F8" s="200" t="s">
        <v>195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0">
        <v>0</v>
      </c>
      <c r="Q8" s="80">
        <v>0</v>
      </c>
      <c r="R8" s="71">
        <v>1</v>
      </c>
      <c r="S8"/>
      <c r="T8"/>
      <c r="W8"/>
    </row>
    <row r="9" spans="1:23" ht="15" customHeight="1" x14ac:dyDescent="0.15">
      <c r="A9" s="127" t="s">
        <v>168</v>
      </c>
      <c r="B9" s="91">
        <v>2.3503804552462738E-3</v>
      </c>
      <c r="C9" s="201" t="s">
        <v>194</v>
      </c>
      <c r="D9" s="84" t="s">
        <v>160</v>
      </c>
      <c r="F9" s="200" t="s">
        <v>196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0">
        <v>0</v>
      </c>
      <c r="Q9" s="80">
        <v>0</v>
      </c>
      <c r="R9" s="71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200" t="s">
        <v>197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0">
        <v>0</v>
      </c>
      <c r="Q10" s="80">
        <v>0</v>
      </c>
      <c r="R10" s="71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200" t="s">
        <v>198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70">
        <v>0</v>
      </c>
      <c r="Q11" s="80">
        <v>0</v>
      </c>
      <c r="R11" s="71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200" t="s">
        <v>199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0">
        <v>0</v>
      </c>
      <c r="Q12" s="80">
        <v>0</v>
      </c>
      <c r="R12" s="71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200" t="s">
        <v>200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0">
        <v>0</v>
      </c>
      <c r="Q13" s="80">
        <v>0</v>
      </c>
      <c r="R13" s="71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200" t="s">
        <v>201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0">
        <v>0</v>
      </c>
      <c r="Q14" s="80">
        <v>0</v>
      </c>
      <c r="R14" s="71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200" t="s">
        <v>202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0">
        <v>0</v>
      </c>
      <c r="Q15" s="80">
        <v>0</v>
      </c>
      <c r="R15" s="71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200" t="s">
        <v>203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0">
        <v>0</v>
      </c>
      <c r="Q16" s="80">
        <v>0</v>
      </c>
      <c r="R16" s="71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200" t="s">
        <v>204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0">
        <v>0</v>
      </c>
      <c r="Q17" s="80">
        <v>0</v>
      </c>
      <c r="R17" s="71">
        <v>1</v>
      </c>
      <c r="S17"/>
      <c r="T17"/>
    </row>
    <row r="18" spans="1:20" ht="15" customHeight="1" thickBot="1" x14ac:dyDescent="0.2">
      <c r="B18" s="92"/>
      <c r="F18" s="200" t="s">
        <v>205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0">
        <v>0</v>
      </c>
      <c r="Q18" s="80">
        <v>0</v>
      </c>
      <c r="R18" s="71">
        <v>1</v>
      </c>
      <c r="S18"/>
      <c r="T18"/>
    </row>
    <row r="19" spans="1:20" ht="15" customHeight="1" x14ac:dyDescent="0.15">
      <c r="A19" s="82" t="s">
        <v>57</v>
      </c>
      <c r="B19" s="89">
        <v>0.99764961954475373</v>
      </c>
      <c r="C19" s="202" t="s">
        <v>193</v>
      </c>
      <c r="D19" s="84" t="s">
        <v>160</v>
      </c>
      <c r="F19" s="200" t="s">
        <v>206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0">
        <v>0</v>
      </c>
      <c r="Q19" s="80">
        <v>0</v>
      </c>
      <c r="R19" s="71">
        <v>1</v>
      </c>
      <c r="S19"/>
      <c r="T19"/>
    </row>
    <row r="20" spans="1:20" ht="15" customHeight="1" x14ac:dyDescent="0.15">
      <c r="A20" s="127" t="s">
        <v>168</v>
      </c>
      <c r="B20" s="91">
        <v>2.3503804552462738E-3</v>
      </c>
      <c r="C20" s="202" t="s">
        <v>194</v>
      </c>
      <c r="D20" s="84" t="s">
        <v>160</v>
      </c>
      <c r="F20" s="200" t="s">
        <v>207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0">
        <v>0</v>
      </c>
      <c r="Q20" s="80">
        <v>0</v>
      </c>
      <c r="R20" s="71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200" t="s">
        <v>208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0">
        <v>0</v>
      </c>
      <c r="Q21" s="80">
        <v>0</v>
      </c>
      <c r="R21" s="71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200" t="s">
        <v>209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0">
        <v>0</v>
      </c>
      <c r="Q22" s="80">
        <v>0</v>
      </c>
      <c r="R22" s="71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200" t="s">
        <v>210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0">
        <v>0</v>
      </c>
      <c r="Q23" s="80">
        <v>0</v>
      </c>
      <c r="R23" s="71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200" t="s">
        <v>211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0">
        <v>0</v>
      </c>
      <c r="Q24" s="80">
        <v>0</v>
      </c>
      <c r="R24" s="71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200" t="s">
        <v>212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0">
        <v>0</v>
      </c>
      <c r="Q25" s="80">
        <v>0</v>
      </c>
      <c r="R25" s="71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200" t="s">
        <v>213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0">
        <v>0</v>
      </c>
      <c r="Q26" s="80">
        <v>0</v>
      </c>
      <c r="R26" s="71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200" t="s">
        <v>214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0">
        <v>0</v>
      </c>
      <c r="Q27" s="80">
        <v>0</v>
      </c>
      <c r="R27" s="71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200" t="s">
        <v>215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0">
        <v>0</v>
      </c>
      <c r="Q28" s="80">
        <v>0</v>
      </c>
      <c r="R28" s="71">
        <v>1</v>
      </c>
      <c r="S28"/>
      <c r="T28"/>
    </row>
    <row r="29" spans="1:20" ht="15" customHeight="1" x14ac:dyDescent="0.15">
      <c r="F29" s="200" t="s">
        <v>216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0">
        <v>0</v>
      </c>
      <c r="Q29" s="80">
        <v>0</v>
      </c>
      <c r="R29" s="71">
        <v>1</v>
      </c>
      <c r="S29"/>
      <c r="T29"/>
    </row>
    <row r="30" spans="1:20" ht="15" customHeight="1" x14ac:dyDescent="0.15">
      <c r="F30" s="200" t="s">
        <v>217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0">
        <v>0</v>
      </c>
      <c r="Q30" s="80">
        <v>0</v>
      </c>
      <c r="R30" s="71">
        <v>1</v>
      </c>
      <c r="S30"/>
      <c r="T30"/>
    </row>
    <row r="31" spans="1:20" ht="15" customHeight="1" x14ac:dyDescent="0.15">
      <c r="A31" s="128"/>
      <c r="B31" s="138" t="s">
        <v>17</v>
      </c>
      <c r="C31" s="138" t="s">
        <v>1</v>
      </c>
      <c r="D31" s="138" t="s">
        <v>161</v>
      </c>
      <c r="E31" s="139" t="s">
        <v>163</v>
      </c>
      <c r="F31" s="200" t="s">
        <v>218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0">
        <v>0</v>
      </c>
      <c r="Q31" s="80">
        <v>0</v>
      </c>
      <c r="R31" s="71">
        <v>1</v>
      </c>
      <c r="S31"/>
      <c r="T31"/>
    </row>
    <row r="32" spans="1:20" ht="15" customHeight="1" x14ac:dyDescent="0.15">
      <c r="A32" s="203" t="s">
        <v>193</v>
      </c>
      <c r="B32" s="92">
        <v>2.9</v>
      </c>
      <c r="C32" s="92">
        <v>576.28579999999999</v>
      </c>
      <c r="D32" s="92">
        <v>1671.22882</v>
      </c>
      <c r="E32" s="129">
        <v>0.99764961954475373</v>
      </c>
      <c r="F32" s="200" t="s">
        <v>219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0">
        <v>0</v>
      </c>
      <c r="Q32" s="80">
        <v>0</v>
      </c>
      <c r="R32" s="71">
        <v>1</v>
      </c>
      <c r="S32"/>
      <c r="T32"/>
    </row>
    <row r="33" spans="1:20" ht="15" customHeight="1" x14ac:dyDescent="0.15">
      <c r="A33" s="203" t="s">
        <v>194</v>
      </c>
      <c r="B33" s="92">
        <v>0.90720683300000005</v>
      </c>
      <c r="C33" s="92">
        <v>4.34</v>
      </c>
      <c r="D33" s="92">
        <v>3.93727765522</v>
      </c>
      <c r="E33" s="129">
        <v>2.3503804552462738E-3</v>
      </c>
      <c r="F33" s="200" t="s">
        <v>220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0">
        <v>0</v>
      </c>
      <c r="Q33" s="80">
        <v>0</v>
      </c>
      <c r="R33" s="71">
        <v>1</v>
      </c>
      <c r="S33"/>
      <c r="T33"/>
    </row>
    <row r="34" spans="1:20" ht="15" customHeight="1" x14ac:dyDescent="0.15">
      <c r="A34" s="130"/>
      <c r="B34" s="92"/>
      <c r="C34" s="92"/>
      <c r="D34" s="92"/>
      <c r="E34" s="129"/>
      <c r="F34" s="200" t="s">
        <v>221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0">
        <v>0</v>
      </c>
      <c r="Q34" s="80">
        <v>0</v>
      </c>
      <c r="R34" s="71">
        <v>1</v>
      </c>
      <c r="S34"/>
      <c r="T34"/>
    </row>
    <row r="35" spans="1:20" ht="15" customHeight="1" x14ac:dyDescent="0.15">
      <c r="A35" s="131"/>
      <c r="B35" s="92"/>
      <c r="C35" s="92"/>
      <c r="D35" s="92"/>
      <c r="E35" s="129"/>
      <c r="F35" s="200" t="s">
        <v>222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70">
        <v>0</v>
      </c>
      <c r="Q35" s="80">
        <v>0</v>
      </c>
      <c r="R35" s="71">
        <v>1</v>
      </c>
      <c r="S35"/>
      <c r="T35"/>
    </row>
    <row r="36" spans="1:20" ht="15" customHeight="1" x14ac:dyDescent="0.15">
      <c r="A36" s="132"/>
      <c r="B36" s="92"/>
      <c r="C36" s="92"/>
      <c r="D36" s="92"/>
      <c r="E36" s="129"/>
      <c r="F36" s="200" t="s">
        <v>223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0">
        <v>0</v>
      </c>
      <c r="Q36" s="80">
        <v>0</v>
      </c>
      <c r="R36" s="71">
        <v>1</v>
      </c>
      <c r="S36"/>
      <c r="T36"/>
    </row>
    <row r="37" spans="1:20" ht="15" customHeight="1" x14ac:dyDescent="0.15">
      <c r="A37" s="132"/>
      <c r="B37" s="92"/>
      <c r="C37" s="92"/>
      <c r="D37" s="92"/>
      <c r="E37" s="129"/>
      <c r="F37" s="200" t="s">
        <v>224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70">
        <v>0</v>
      </c>
      <c r="Q37" s="80">
        <v>0</v>
      </c>
      <c r="R37" s="71">
        <v>1</v>
      </c>
      <c r="S37"/>
      <c r="T37"/>
    </row>
    <row r="38" spans="1:20" ht="15" customHeight="1" x14ac:dyDescent="0.15">
      <c r="A38" s="133"/>
      <c r="B38" s="92"/>
      <c r="C38" s="92"/>
      <c r="D38" s="92"/>
      <c r="E38" s="129"/>
      <c r="F38" s="200" t="s">
        <v>225</v>
      </c>
      <c r="G38" s="80">
        <v>0</v>
      </c>
      <c r="H38" s="80">
        <v>0</v>
      </c>
      <c r="I38" s="80">
        <v>0</v>
      </c>
      <c r="J38" s="80">
        <v>0</v>
      </c>
      <c r="K38" s="80">
        <v>1</v>
      </c>
      <c r="L38" s="80">
        <v>0</v>
      </c>
      <c r="M38" s="80">
        <v>1</v>
      </c>
      <c r="N38" s="80">
        <v>0</v>
      </c>
      <c r="O38" s="80">
        <v>1</v>
      </c>
      <c r="P38" s="70">
        <v>0</v>
      </c>
      <c r="Q38" s="80">
        <v>0</v>
      </c>
      <c r="R38" s="71">
        <v>1</v>
      </c>
      <c r="S38"/>
      <c r="T38"/>
    </row>
    <row r="39" spans="1:20" ht="15" customHeight="1" x14ac:dyDescent="0.15">
      <c r="A39" s="133"/>
      <c r="B39" s="92"/>
      <c r="C39" s="92"/>
      <c r="D39" s="92"/>
      <c r="E39" s="129"/>
      <c r="F39" s="200" t="s">
        <v>226</v>
      </c>
      <c r="G39" s="80">
        <v>0</v>
      </c>
      <c r="H39" s="80">
        <v>0</v>
      </c>
      <c r="I39" s="80">
        <v>0</v>
      </c>
      <c r="J39" s="80">
        <v>0</v>
      </c>
      <c r="K39" s="80">
        <v>1</v>
      </c>
      <c r="L39" s="80">
        <v>0</v>
      </c>
      <c r="M39" s="80">
        <v>1</v>
      </c>
      <c r="N39" s="80">
        <v>0</v>
      </c>
      <c r="O39" s="80">
        <v>1</v>
      </c>
      <c r="P39" s="70">
        <v>0</v>
      </c>
      <c r="Q39" s="80">
        <v>0</v>
      </c>
      <c r="R39" s="71">
        <v>1</v>
      </c>
      <c r="S39"/>
      <c r="T39"/>
    </row>
    <row r="40" spans="1:20" ht="15" customHeight="1" x14ac:dyDescent="0.15">
      <c r="A40" s="133"/>
      <c r="B40" s="92"/>
      <c r="C40" s="92"/>
      <c r="D40" s="92"/>
      <c r="E40" s="129"/>
      <c r="F40" s="200" t="s">
        <v>227</v>
      </c>
      <c r="G40" s="80">
        <v>0</v>
      </c>
      <c r="H40" s="80">
        <v>0</v>
      </c>
      <c r="I40" s="80">
        <v>0</v>
      </c>
      <c r="J40" s="80">
        <v>0</v>
      </c>
      <c r="K40" s="80">
        <v>1</v>
      </c>
      <c r="L40" s="80">
        <v>0</v>
      </c>
      <c r="M40" s="80">
        <v>1</v>
      </c>
      <c r="N40" s="80">
        <v>0</v>
      </c>
      <c r="O40" s="80">
        <v>1</v>
      </c>
      <c r="P40" s="70">
        <v>0</v>
      </c>
      <c r="Q40" s="80">
        <v>0</v>
      </c>
      <c r="R40" s="71">
        <v>1</v>
      </c>
      <c r="S40"/>
      <c r="T40"/>
    </row>
    <row r="41" spans="1:20" ht="15" customHeight="1" thickBot="1" x14ac:dyDescent="0.2">
      <c r="A41" s="133"/>
      <c r="B41" s="92"/>
      <c r="C41" s="92"/>
      <c r="D41" s="93"/>
      <c r="E41" s="134"/>
      <c r="F41" s="200" t="s">
        <v>228</v>
      </c>
      <c r="G41" s="80">
        <v>0</v>
      </c>
      <c r="H41" s="80">
        <v>0</v>
      </c>
      <c r="I41" s="80">
        <v>0</v>
      </c>
      <c r="J41" s="80">
        <v>0</v>
      </c>
      <c r="K41" s="80">
        <v>1</v>
      </c>
      <c r="L41" s="80">
        <v>0</v>
      </c>
      <c r="M41" s="80">
        <v>1</v>
      </c>
      <c r="N41" s="80">
        <v>0</v>
      </c>
      <c r="O41" s="80">
        <v>1</v>
      </c>
      <c r="P41" s="70">
        <v>0</v>
      </c>
      <c r="Q41" s="80">
        <v>0</v>
      </c>
      <c r="R41" s="71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1675.16609765522</v>
      </c>
      <c r="E42" s="137">
        <f>SUM(E32:E41)</f>
        <v>1</v>
      </c>
      <c r="F42" s="200" t="s">
        <v>229</v>
      </c>
      <c r="G42" s="80">
        <v>0</v>
      </c>
      <c r="H42" s="80">
        <v>0</v>
      </c>
      <c r="I42" s="80">
        <v>0</v>
      </c>
      <c r="J42" s="80">
        <v>0</v>
      </c>
      <c r="K42" s="80">
        <v>1</v>
      </c>
      <c r="L42" s="80">
        <v>0</v>
      </c>
      <c r="M42" s="80">
        <v>1</v>
      </c>
      <c r="N42" s="80">
        <v>0</v>
      </c>
      <c r="O42" s="80">
        <v>1</v>
      </c>
      <c r="P42" s="70">
        <v>0</v>
      </c>
      <c r="Q42" s="80">
        <v>0</v>
      </c>
      <c r="R42" s="71">
        <v>1</v>
      </c>
      <c r="S42"/>
      <c r="T42"/>
    </row>
    <row r="43" spans="1:20" ht="15" customHeight="1" x14ac:dyDescent="0.15">
      <c r="A43" s="80"/>
      <c r="F43" s="200" t="s">
        <v>230</v>
      </c>
      <c r="G43" s="80">
        <v>0</v>
      </c>
      <c r="H43" s="80">
        <v>0</v>
      </c>
      <c r="I43" s="80">
        <v>0</v>
      </c>
      <c r="J43" s="80">
        <v>0</v>
      </c>
      <c r="K43" s="80">
        <v>1</v>
      </c>
      <c r="L43" s="80">
        <v>0</v>
      </c>
      <c r="M43" s="80">
        <v>1</v>
      </c>
      <c r="N43" s="80">
        <v>0</v>
      </c>
      <c r="O43" s="80">
        <v>1</v>
      </c>
      <c r="P43" s="70">
        <v>0</v>
      </c>
      <c r="Q43" s="80">
        <v>0</v>
      </c>
      <c r="R43" s="71">
        <v>1</v>
      </c>
      <c r="S43"/>
      <c r="T43"/>
    </row>
    <row r="44" spans="1:20" ht="15" customHeight="1" x14ac:dyDescent="0.15">
      <c r="A44" s="80"/>
      <c r="F44" s="200" t="s">
        <v>231</v>
      </c>
      <c r="G44" s="80">
        <v>0</v>
      </c>
      <c r="H44" s="80">
        <v>0</v>
      </c>
      <c r="I44" s="80">
        <v>0</v>
      </c>
      <c r="J44" s="80">
        <v>0</v>
      </c>
      <c r="K44" s="80">
        <v>1</v>
      </c>
      <c r="L44" s="80">
        <v>0</v>
      </c>
      <c r="M44" s="80">
        <v>1</v>
      </c>
      <c r="N44" s="80">
        <v>0</v>
      </c>
      <c r="O44" s="80">
        <v>1</v>
      </c>
      <c r="P44" s="70">
        <v>0</v>
      </c>
      <c r="Q44" s="80">
        <v>0</v>
      </c>
      <c r="R44" s="71">
        <v>1</v>
      </c>
    </row>
    <row r="45" spans="1:20" ht="15" customHeight="1" x14ac:dyDescent="0.15">
      <c r="A45" s="80"/>
      <c r="F45" s="200" t="s">
        <v>232</v>
      </c>
      <c r="G45" s="80">
        <v>0</v>
      </c>
      <c r="H45" s="80">
        <v>0</v>
      </c>
      <c r="I45" s="80">
        <v>0</v>
      </c>
      <c r="J45" s="80">
        <v>0</v>
      </c>
      <c r="K45" s="80">
        <v>1</v>
      </c>
      <c r="L45" s="80">
        <v>0</v>
      </c>
      <c r="M45" s="80">
        <v>1</v>
      </c>
      <c r="N45" s="80">
        <v>0</v>
      </c>
      <c r="O45" s="80">
        <v>1</v>
      </c>
      <c r="P45" s="70">
        <v>0</v>
      </c>
      <c r="Q45" s="80">
        <v>0</v>
      </c>
      <c r="R45" s="71">
        <v>1</v>
      </c>
    </row>
    <row r="46" spans="1:20" ht="15" customHeight="1" x14ac:dyDescent="0.15">
      <c r="A46" s="80"/>
      <c r="F46" s="200" t="s">
        <v>233</v>
      </c>
      <c r="G46" s="80">
        <v>0</v>
      </c>
      <c r="H46" s="80">
        <v>0</v>
      </c>
      <c r="I46" s="80">
        <v>0</v>
      </c>
      <c r="J46" s="80">
        <v>0</v>
      </c>
      <c r="K46" s="80">
        <v>1</v>
      </c>
      <c r="L46" s="80">
        <v>0</v>
      </c>
      <c r="M46" s="80">
        <v>1</v>
      </c>
      <c r="N46" s="80">
        <v>0</v>
      </c>
      <c r="O46" s="80">
        <v>1</v>
      </c>
      <c r="P46" s="70">
        <v>0</v>
      </c>
      <c r="Q46" s="80">
        <v>0</v>
      </c>
      <c r="R46" s="71">
        <v>1</v>
      </c>
    </row>
    <row r="47" spans="1:20" ht="15" customHeight="1" x14ac:dyDescent="0.15">
      <c r="A47" s="80"/>
      <c r="F47" s="200" t="s">
        <v>234</v>
      </c>
      <c r="G47" s="80">
        <v>0</v>
      </c>
      <c r="H47" s="80">
        <v>0</v>
      </c>
      <c r="I47" s="80">
        <v>0</v>
      </c>
      <c r="J47" s="80">
        <v>0</v>
      </c>
      <c r="K47" s="80">
        <v>1</v>
      </c>
      <c r="L47" s="80">
        <v>0</v>
      </c>
      <c r="M47" s="80">
        <v>1</v>
      </c>
      <c r="N47" s="80">
        <v>0</v>
      </c>
      <c r="O47" s="80">
        <v>1</v>
      </c>
      <c r="P47" s="70">
        <v>0</v>
      </c>
      <c r="Q47" s="80">
        <v>0</v>
      </c>
      <c r="R47" s="71">
        <v>1</v>
      </c>
    </row>
    <row r="48" spans="1:20" ht="15" customHeight="1" x14ac:dyDescent="0.15">
      <c r="A48" s="80"/>
      <c r="F48" s="200" t="s">
        <v>235</v>
      </c>
      <c r="G48" s="80">
        <v>0</v>
      </c>
      <c r="H48" s="80">
        <v>0</v>
      </c>
      <c r="I48" s="80">
        <v>0</v>
      </c>
      <c r="J48" s="80">
        <v>0</v>
      </c>
      <c r="K48" s="80">
        <v>1</v>
      </c>
      <c r="L48" s="80">
        <v>0</v>
      </c>
      <c r="M48" s="80">
        <v>1</v>
      </c>
      <c r="N48" s="80">
        <v>0</v>
      </c>
      <c r="O48" s="80">
        <v>1</v>
      </c>
      <c r="P48" s="70">
        <v>0</v>
      </c>
      <c r="Q48" s="80">
        <v>0</v>
      </c>
      <c r="R48" s="71">
        <v>1</v>
      </c>
    </row>
    <row r="49" spans="6:18" s="80" customFormat="1" ht="15" customHeight="1" x14ac:dyDescent="0.15">
      <c r="F49" s="200" t="s">
        <v>236</v>
      </c>
      <c r="G49" s="80">
        <v>0</v>
      </c>
      <c r="H49" s="80">
        <v>0</v>
      </c>
      <c r="I49" s="80">
        <v>0</v>
      </c>
      <c r="J49" s="80">
        <v>0</v>
      </c>
      <c r="K49" s="80">
        <v>1</v>
      </c>
      <c r="L49" s="80">
        <v>0</v>
      </c>
      <c r="M49" s="80">
        <v>1</v>
      </c>
      <c r="N49" s="80">
        <v>0</v>
      </c>
      <c r="O49" s="80">
        <v>1</v>
      </c>
      <c r="P49" s="70">
        <v>0</v>
      </c>
      <c r="Q49" s="80">
        <v>0</v>
      </c>
      <c r="R49" s="71">
        <v>1</v>
      </c>
    </row>
    <row r="50" spans="6:18" s="80" customFormat="1" ht="15" customHeight="1" x14ac:dyDescent="0.15">
      <c r="F50" s="200" t="s">
        <v>237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1</v>
      </c>
      <c r="M50" s="80">
        <v>0</v>
      </c>
      <c r="N50" s="80">
        <v>1</v>
      </c>
      <c r="O50" s="80">
        <v>0</v>
      </c>
      <c r="P50" s="70">
        <v>1</v>
      </c>
      <c r="Q50" s="80">
        <v>0</v>
      </c>
      <c r="R50" s="71">
        <v>1</v>
      </c>
    </row>
    <row r="51" spans="6:18" s="80" customFormat="1" ht="15" customHeight="1" x14ac:dyDescent="0.15">
      <c r="F51" s="200" t="s">
        <v>238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1</v>
      </c>
      <c r="M51" s="80">
        <v>0</v>
      </c>
      <c r="N51" s="80">
        <v>1</v>
      </c>
      <c r="O51" s="80">
        <v>0</v>
      </c>
      <c r="P51" s="70">
        <v>1</v>
      </c>
      <c r="Q51" s="80">
        <v>0</v>
      </c>
      <c r="R51" s="71">
        <v>1</v>
      </c>
    </row>
    <row r="52" spans="6:18" s="80" customFormat="1" ht="15" customHeight="1" x14ac:dyDescent="0.15">
      <c r="F52" s="200" t="s">
        <v>239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1</v>
      </c>
      <c r="M52" s="80">
        <v>0</v>
      </c>
      <c r="N52" s="80">
        <v>0</v>
      </c>
      <c r="O52" s="80">
        <v>0</v>
      </c>
      <c r="P52" s="70">
        <v>0</v>
      </c>
      <c r="Q52" s="80">
        <v>0</v>
      </c>
      <c r="R52" s="71">
        <v>1</v>
      </c>
    </row>
    <row r="53" spans="6:18" s="80" customFormat="1" ht="15" customHeight="1" x14ac:dyDescent="0.15">
      <c r="F53" s="200" t="s">
        <v>240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1</v>
      </c>
      <c r="M53" s="80">
        <v>0</v>
      </c>
      <c r="N53" s="80">
        <v>0</v>
      </c>
      <c r="O53" s="80">
        <v>0</v>
      </c>
      <c r="P53" s="70">
        <v>0</v>
      </c>
      <c r="Q53" s="80">
        <v>0</v>
      </c>
      <c r="R53" s="71">
        <v>1</v>
      </c>
    </row>
    <row r="54" spans="6:18" s="80" customFormat="1" ht="15" customHeight="1" x14ac:dyDescent="0.15">
      <c r="F54" s="200" t="s">
        <v>241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1</v>
      </c>
      <c r="M54" s="80">
        <v>0</v>
      </c>
      <c r="N54" s="80">
        <v>0</v>
      </c>
      <c r="O54" s="80">
        <v>0</v>
      </c>
      <c r="P54" s="70">
        <v>0</v>
      </c>
      <c r="Q54" s="80">
        <v>0</v>
      </c>
      <c r="R54" s="71">
        <v>1</v>
      </c>
    </row>
    <row r="55" spans="6:18" s="80" customFormat="1" ht="15" customHeight="1" x14ac:dyDescent="0.15">
      <c r="F55" s="200" t="s">
        <v>242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1</v>
      </c>
      <c r="M55" s="80">
        <v>0</v>
      </c>
      <c r="N55" s="80">
        <v>0</v>
      </c>
      <c r="O55" s="80">
        <v>0</v>
      </c>
      <c r="P55" s="70">
        <v>0</v>
      </c>
      <c r="Q55" s="80">
        <v>0</v>
      </c>
      <c r="R55" s="71">
        <v>1</v>
      </c>
    </row>
    <row r="56" spans="6:18" s="80" customFormat="1" ht="15" customHeight="1" x14ac:dyDescent="0.15">
      <c r="F56" s="200" t="s">
        <v>243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1</v>
      </c>
      <c r="M56" s="80">
        <v>0</v>
      </c>
      <c r="N56" s="80">
        <v>0</v>
      </c>
      <c r="O56" s="80">
        <v>0</v>
      </c>
      <c r="P56" s="70">
        <v>0</v>
      </c>
      <c r="Q56" s="80">
        <v>0</v>
      </c>
      <c r="R56" s="71">
        <v>1</v>
      </c>
    </row>
    <row r="57" spans="6:18" s="80" customFormat="1" ht="15" customHeight="1" x14ac:dyDescent="0.15">
      <c r="F57" s="200" t="s">
        <v>244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1</v>
      </c>
      <c r="M57" s="80">
        <v>0</v>
      </c>
      <c r="N57" s="80">
        <v>0</v>
      </c>
      <c r="O57" s="80">
        <v>0</v>
      </c>
      <c r="P57" s="70">
        <v>0</v>
      </c>
      <c r="Q57" s="80">
        <v>0</v>
      </c>
      <c r="R57" s="71">
        <v>1</v>
      </c>
    </row>
    <row r="58" spans="6:18" s="80" customFormat="1" ht="15" customHeight="1" x14ac:dyDescent="0.15">
      <c r="F58" s="200" t="s">
        <v>245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1</v>
      </c>
      <c r="M58" s="80">
        <v>0</v>
      </c>
      <c r="N58" s="80">
        <v>0</v>
      </c>
      <c r="O58" s="80">
        <v>0</v>
      </c>
      <c r="P58" s="70">
        <v>0</v>
      </c>
      <c r="Q58" s="80">
        <v>0</v>
      </c>
      <c r="R58" s="71">
        <v>1</v>
      </c>
    </row>
    <row r="59" spans="6:18" s="80" customFormat="1" ht="15" customHeight="1" x14ac:dyDescent="0.15">
      <c r="F59" s="200" t="s">
        <v>246</v>
      </c>
      <c r="G59" s="80">
        <v>0</v>
      </c>
      <c r="H59" s="80">
        <v>0</v>
      </c>
      <c r="I59" s="80">
        <v>0</v>
      </c>
      <c r="J59" s="80">
        <v>0</v>
      </c>
      <c r="K59" s="80">
        <v>0</v>
      </c>
      <c r="L59" s="80">
        <v>1</v>
      </c>
      <c r="M59" s="80">
        <v>0</v>
      </c>
      <c r="N59" s="80">
        <v>0</v>
      </c>
      <c r="O59" s="80">
        <v>0</v>
      </c>
      <c r="P59" s="70">
        <v>0</v>
      </c>
      <c r="Q59" s="80">
        <v>0</v>
      </c>
      <c r="R59" s="71">
        <v>1</v>
      </c>
    </row>
    <row r="60" spans="6:18" s="80" customFormat="1" ht="15" customHeight="1" x14ac:dyDescent="0.15">
      <c r="F60" s="200" t="s">
        <v>247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1</v>
      </c>
      <c r="M60" s="80">
        <v>0</v>
      </c>
      <c r="N60" s="80">
        <v>0</v>
      </c>
      <c r="O60" s="80">
        <v>0</v>
      </c>
      <c r="P60" s="70">
        <v>0</v>
      </c>
      <c r="Q60" s="80">
        <v>0</v>
      </c>
      <c r="R60" s="71">
        <v>1</v>
      </c>
    </row>
    <row r="61" spans="6:18" s="80" customFormat="1" ht="15" customHeight="1" x14ac:dyDescent="0.15">
      <c r="F61" s="200" t="s">
        <v>248</v>
      </c>
      <c r="G61" s="80">
        <v>0</v>
      </c>
      <c r="H61" s="80">
        <v>0</v>
      </c>
      <c r="I61" s="80">
        <v>0</v>
      </c>
      <c r="J61" s="80">
        <v>0</v>
      </c>
      <c r="K61" s="80">
        <v>0</v>
      </c>
      <c r="L61" s="80">
        <v>1</v>
      </c>
      <c r="M61" s="80">
        <v>0</v>
      </c>
      <c r="N61" s="80">
        <v>0</v>
      </c>
      <c r="O61" s="80">
        <v>0</v>
      </c>
      <c r="P61" s="70">
        <v>0</v>
      </c>
      <c r="Q61" s="80">
        <v>0</v>
      </c>
      <c r="R61" s="71">
        <v>1</v>
      </c>
    </row>
    <row r="62" spans="6:18" s="80" customFormat="1" ht="15" customHeight="1" x14ac:dyDescent="0.15">
      <c r="F62" s="200" t="s">
        <v>249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1</v>
      </c>
      <c r="M62" s="80">
        <v>0</v>
      </c>
      <c r="N62" s="80">
        <v>0</v>
      </c>
      <c r="O62" s="80">
        <v>0</v>
      </c>
      <c r="P62" s="70">
        <v>0</v>
      </c>
      <c r="Q62" s="80">
        <v>0</v>
      </c>
      <c r="R62" s="71">
        <v>1</v>
      </c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M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7.5" bestFit="1" customWidth="1"/>
    <col min="2" max="2" width="2.33203125" style="113" customWidth="1"/>
    <col min="3" max="5" width="7.83203125" style="113" customWidth="1"/>
    <col min="6" max="8" width="8.83203125" style="6"/>
    <col min="9" max="9" width="13.1640625" style="6" customWidth="1"/>
    <col min="10" max="10" width="6" style="6" customWidth="1"/>
    <col min="11" max="12" width="16.5" style="6" customWidth="1"/>
    <col min="13" max="13" width="7.1640625" style="6" customWidth="1"/>
    <col min="14" max="14" width="12" style="6" customWidth="1"/>
    <col min="15" max="15" width="6.1640625" style="6" customWidth="1"/>
    <col min="16" max="16" width="18.1640625" style="6" customWidth="1"/>
    <col min="17" max="17" width="13.5" style="6" customWidth="1"/>
    <col min="18" max="18" width="13" style="6" customWidth="1"/>
    <col min="19" max="19" width="14.5" style="6" customWidth="1"/>
    <col min="20" max="20" width="14.83203125" style="6" customWidth="1"/>
    <col min="21" max="21" width="14.33203125" style="6" customWidth="1"/>
    <col min="22" max="22" width="9.33203125" style="6" customWidth="1"/>
    <col min="23" max="23" width="9.5" style="6" customWidth="1"/>
    <col min="24" max="24" width="9" style="6" customWidth="1"/>
    <col min="25" max="25" width="12.6640625" style="6" customWidth="1"/>
    <col min="26" max="26" width="12" style="6" customWidth="1"/>
    <col min="27" max="27" width="11" style="6" customWidth="1"/>
    <col min="28" max="28" width="11.33203125" style="6" customWidth="1"/>
    <col min="29" max="29" width="10.6640625" style="6" customWidth="1"/>
    <col min="30" max="30" width="15.5" style="6" customWidth="1"/>
    <col min="31" max="31" width="15.83203125" style="6" customWidth="1"/>
    <col min="32" max="32" width="15.33203125" style="6" customWidth="1"/>
    <col min="33" max="33" width="14.83203125" style="6" customWidth="1"/>
    <col min="34" max="34" width="13.33203125" style="6" customWidth="1"/>
    <col min="35" max="35" width="13.5" style="6" customWidth="1"/>
    <col min="36" max="36" width="11.33203125" style="6" customWidth="1"/>
    <col min="37" max="37" width="13" style="6" customWidth="1"/>
    <col min="38" max="38" width="13.33203125" style="6" customWidth="1"/>
    <col min="39" max="39" width="15.1640625" customWidth="1"/>
    <col min="40" max="40" width="17.6640625" customWidth="1"/>
    <col min="41" max="41" width="17.33203125" customWidth="1"/>
    <col min="42" max="42" width="10.1640625" customWidth="1"/>
    <col min="43" max="43" width="17.83203125" customWidth="1"/>
    <col min="44" max="44" width="20" customWidth="1"/>
    <col min="45" max="45" width="10.5" customWidth="1"/>
    <col min="46" max="46" width="13.5" customWidth="1"/>
    <col min="47" max="47" width="6.33203125" customWidth="1"/>
    <col min="48" max="48" width="6.83203125" customWidth="1"/>
    <col min="49" max="50" width="8.5" customWidth="1"/>
    <col min="51" max="51" width="13.33203125" customWidth="1"/>
    <col min="52" max="52" width="14.1640625" customWidth="1"/>
    <col min="53" max="53" width="7.6640625" customWidth="1"/>
    <col min="54" max="54" width="21.6640625" customWidth="1"/>
    <col min="55" max="55" width="27.5" customWidth="1"/>
    <col min="56" max="56" width="25.33203125" customWidth="1"/>
    <col min="57" max="57" width="18.5" customWidth="1"/>
    <col min="58" max="58" width="21.33203125" customWidth="1"/>
    <col min="59" max="59" width="17.5" customWidth="1"/>
    <col min="60" max="60" width="23.5" customWidth="1"/>
    <col min="61" max="61" width="12" customWidth="1"/>
    <col min="62" max="62" width="22.33203125" customWidth="1"/>
    <col min="63" max="63" width="20.33203125" customWidth="1"/>
    <col min="64" max="64" width="14.1640625" customWidth="1"/>
    <col min="65" max="65" width="22.83203125" customWidth="1"/>
    <col min="81" max="81" width="22.1640625" bestFit="1" customWidth="1"/>
  </cols>
  <sheetData>
    <row r="1" spans="1:65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205" t="s">
        <v>193</v>
      </c>
      <c r="J1" s="205" t="s">
        <v>194</v>
      </c>
      <c r="K1" s="205" t="s">
        <v>195</v>
      </c>
      <c r="L1" s="205" t="s">
        <v>196</v>
      </c>
      <c r="M1" s="205" t="s">
        <v>197</v>
      </c>
      <c r="N1" s="205" t="s">
        <v>198</v>
      </c>
      <c r="O1" s="205" t="s">
        <v>199</v>
      </c>
      <c r="P1" s="205" t="s">
        <v>200</v>
      </c>
      <c r="Q1" s="205" t="s">
        <v>201</v>
      </c>
      <c r="R1" s="205" t="s">
        <v>202</v>
      </c>
      <c r="S1" s="205" t="s">
        <v>203</v>
      </c>
      <c r="T1" s="205" t="s">
        <v>204</v>
      </c>
      <c r="U1" s="205" t="s">
        <v>205</v>
      </c>
      <c r="V1" s="205" t="s">
        <v>206</v>
      </c>
      <c r="W1" s="205" t="s">
        <v>207</v>
      </c>
      <c r="X1" s="205" t="s">
        <v>208</v>
      </c>
      <c r="Y1" s="205" t="s">
        <v>209</v>
      </c>
      <c r="Z1" s="205" t="s">
        <v>210</v>
      </c>
      <c r="AA1" s="205" t="s">
        <v>211</v>
      </c>
      <c r="AB1" s="205" t="s">
        <v>212</v>
      </c>
      <c r="AC1" s="205" t="s">
        <v>213</v>
      </c>
      <c r="AD1" s="205" t="s">
        <v>214</v>
      </c>
      <c r="AE1" s="205" t="s">
        <v>215</v>
      </c>
      <c r="AF1" s="205" t="s">
        <v>216</v>
      </c>
      <c r="AG1" s="205" t="s">
        <v>217</v>
      </c>
      <c r="AH1" s="205" t="s">
        <v>218</v>
      </c>
      <c r="AI1" s="205" t="s">
        <v>219</v>
      </c>
      <c r="AJ1" s="205" t="s">
        <v>220</v>
      </c>
      <c r="AK1" s="205" t="s">
        <v>221</v>
      </c>
      <c r="AL1" s="205" t="s">
        <v>222</v>
      </c>
      <c r="AM1" s="205" t="s">
        <v>223</v>
      </c>
      <c r="AN1" s="205" t="s">
        <v>224</v>
      </c>
      <c r="AO1" s="205" t="s">
        <v>225</v>
      </c>
      <c r="AP1" s="205" t="s">
        <v>226</v>
      </c>
      <c r="AQ1" s="205" t="s">
        <v>227</v>
      </c>
      <c r="AR1" s="205" t="s">
        <v>228</v>
      </c>
      <c r="AS1" s="205" t="s">
        <v>229</v>
      </c>
      <c r="AT1" s="205" t="s">
        <v>230</v>
      </c>
      <c r="AU1" s="205" t="s">
        <v>231</v>
      </c>
      <c r="AV1" s="205" t="s">
        <v>232</v>
      </c>
      <c r="AW1" s="205" t="s">
        <v>233</v>
      </c>
      <c r="AX1" s="205" t="s">
        <v>234</v>
      </c>
      <c r="AY1" s="205" t="s">
        <v>235</v>
      </c>
      <c r="AZ1" s="205" t="s">
        <v>236</v>
      </c>
      <c r="BA1" s="205" t="s">
        <v>237</v>
      </c>
      <c r="BB1" s="205" t="s">
        <v>238</v>
      </c>
      <c r="BC1" s="205" t="s">
        <v>239</v>
      </c>
      <c r="BD1" s="205" t="s">
        <v>240</v>
      </c>
      <c r="BE1" s="205" t="s">
        <v>241</v>
      </c>
      <c r="BF1" s="205" t="s">
        <v>242</v>
      </c>
      <c r="BG1" s="205" t="s">
        <v>243</v>
      </c>
      <c r="BH1" s="205" t="s">
        <v>244</v>
      </c>
      <c r="BI1" s="205" t="s">
        <v>245</v>
      </c>
      <c r="BJ1" s="205" t="s">
        <v>246</v>
      </c>
      <c r="BK1" s="205" t="s">
        <v>247</v>
      </c>
      <c r="BL1" s="205" t="s">
        <v>248</v>
      </c>
      <c r="BM1" s="205" t="s">
        <v>249</v>
      </c>
    </row>
    <row r="2" spans="1:65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5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5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5" x14ac:dyDescent="0.15">
      <c r="A5" s="204" t="s">
        <v>193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5" x14ac:dyDescent="0.15">
      <c r="A6" s="204" t="s">
        <v>194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5" x14ac:dyDescent="0.15">
      <c r="A7" s="204" t="s">
        <v>195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5" x14ac:dyDescent="0.15">
      <c r="A8" s="204" t="s">
        <v>196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5" x14ac:dyDescent="0.15">
      <c r="A9" s="204" t="s">
        <v>197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5" x14ac:dyDescent="0.15">
      <c r="A10" s="204" t="s">
        <v>198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5" x14ac:dyDescent="0.15">
      <c r="A11" s="204" t="s">
        <v>199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5" x14ac:dyDescent="0.15">
      <c r="A12" s="204" t="s">
        <v>200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5" x14ac:dyDescent="0.15">
      <c r="A13" s="204" t="s">
        <v>201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5" x14ac:dyDescent="0.15">
      <c r="A14" s="204" t="s">
        <v>202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5" x14ac:dyDescent="0.15">
      <c r="A15" s="204" t="s">
        <v>203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5" x14ac:dyDescent="0.15">
      <c r="A16" s="204" t="s">
        <v>204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4" t="s">
        <v>205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4" t="s">
        <v>206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4" t="s">
        <v>207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4" t="s">
        <v>208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4" t="s">
        <v>209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4" t="s">
        <v>210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4" t="s">
        <v>211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4" t="s">
        <v>212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4" t="s">
        <v>213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4" t="s">
        <v>214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4" t="s">
        <v>215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4" t="s">
        <v>216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4" t="s">
        <v>217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4" t="s">
        <v>218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4" t="s">
        <v>219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4" t="s">
        <v>220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4" t="s">
        <v>221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4" t="s">
        <v>222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4" t="s">
        <v>223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4" t="s">
        <v>224</v>
      </c>
      <c r="B36" s="113">
        <v>0</v>
      </c>
      <c r="C36"/>
      <c r="D36"/>
    </row>
    <row r="37" spans="1:38" ht="15" customHeight="1" x14ac:dyDescent="0.15">
      <c r="A37" s="204" t="s">
        <v>225</v>
      </c>
      <c r="B37" s="113">
        <v>0</v>
      </c>
      <c r="C37"/>
      <c r="D37"/>
    </row>
    <row r="38" spans="1:38" ht="15" customHeight="1" x14ac:dyDescent="0.15">
      <c r="A38" s="204" t="s">
        <v>226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4" t="s">
        <v>227</v>
      </c>
      <c r="B39" s="113">
        <v>0</v>
      </c>
      <c r="C39"/>
      <c r="D39"/>
    </row>
    <row r="40" spans="1:38" ht="15" customHeight="1" x14ac:dyDescent="0.15">
      <c r="A40" s="204" t="s">
        <v>228</v>
      </c>
      <c r="B40" s="113">
        <v>0</v>
      </c>
      <c r="C40"/>
      <c r="D40"/>
    </row>
    <row r="41" spans="1:38" ht="15" customHeight="1" x14ac:dyDescent="0.15">
      <c r="A41" s="204" t="s">
        <v>229</v>
      </c>
      <c r="B41" s="113">
        <v>0</v>
      </c>
      <c r="C41"/>
      <c r="D41"/>
    </row>
    <row r="42" spans="1:38" ht="15" customHeight="1" x14ac:dyDescent="0.15">
      <c r="A42" s="204" t="s">
        <v>230</v>
      </c>
      <c r="B42" s="113">
        <v>0</v>
      </c>
    </row>
    <row r="43" spans="1:38" ht="15" customHeight="1" x14ac:dyDescent="0.15">
      <c r="A43" s="204" t="s">
        <v>231</v>
      </c>
      <c r="B43" s="113">
        <v>0</v>
      </c>
    </row>
    <row r="44" spans="1:38" ht="15" customHeight="1" x14ac:dyDescent="0.15">
      <c r="A44" s="204" t="s">
        <v>232</v>
      </c>
      <c r="B44" s="113">
        <v>0</v>
      </c>
    </row>
    <row r="45" spans="1:38" ht="15" customHeight="1" x14ac:dyDescent="0.15">
      <c r="A45" s="204" t="s">
        <v>233</v>
      </c>
      <c r="B45" s="113">
        <v>0</v>
      </c>
    </row>
    <row r="46" spans="1:38" ht="15" customHeight="1" x14ac:dyDescent="0.15">
      <c r="A46" s="204" t="s">
        <v>234</v>
      </c>
      <c r="B46" s="113">
        <v>0</v>
      </c>
    </row>
    <row r="47" spans="1:38" ht="15" customHeight="1" x14ac:dyDescent="0.15">
      <c r="A47" s="204" t="s">
        <v>235</v>
      </c>
      <c r="B47" s="113">
        <v>0</v>
      </c>
    </row>
    <row r="48" spans="1:38" ht="15" customHeight="1" x14ac:dyDescent="0.15">
      <c r="A48" s="204" t="s">
        <v>236</v>
      </c>
      <c r="B48" s="113">
        <v>0</v>
      </c>
    </row>
    <row r="49" spans="1:38" ht="15" customHeight="1" x14ac:dyDescent="0.15">
      <c r="A49" s="204" t="s">
        <v>237</v>
      </c>
      <c r="B49" s="113">
        <v>0</v>
      </c>
    </row>
    <row r="50" spans="1:38" ht="15" customHeight="1" x14ac:dyDescent="0.15">
      <c r="A50" s="204" t="s">
        <v>238</v>
      </c>
      <c r="B50" s="113">
        <v>0</v>
      </c>
    </row>
    <row r="51" spans="1:38" ht="15" customHeight="1" x14ac:dyDescent="0.15">
      <c r="A51" s="204" t="s">
        <v>239</v>
      </c>
      <c r="B51" s="113">
        <v>0</v>
      </c>
    </row>
    <row r="52" spans="1:38" ht="15" customHeight="1" x14ac:dyDescent="0.15">
      <c r="A52" s="204" t="s">
        <v>240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4" t="s">
        <v>241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4" t="s">
        <v>242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4" t="s">
        <v>243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4" t="s">
        <v>244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4" t="s">
        <v>245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4" t="s">
        <v>246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4" t="s">
        <v>247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4" t="s">
        <v>248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4" t="s">
        <v>249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2022-10-24T04:56:29Z</dcterms:modified>
</cp:coreProperties>
</file>