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/Users/jimsebi/Documents/14_Manuscripts/2022_PICES_SmallPelagicFish/EwEmodel_database/ECOTRAN_versions/ECOTRAN_Atlantic/Atlantic_ECOTRAN_K-path_versions/"/>
    </mc:Choice>
  </mc:AlternateContent>
  <xr:revisionPtr revIDLastSave="0" documentId="13_ncr:1_{60E35E62-AD37-524A-875E-FC77B4FE2A4F}" xr6:coauthVersionLast="45" xr6:coauthVersionMax="45" xr10:uidLastSave="{00000000-0000-0000-0000-000000000000}"/>
  <bookViews>
    <workbookView xWindow="0" yWindow="460" windowWidth="25600" windowHeight="14240" tabRatio="728" firstSheet="1" activeTab="3" xr2:uid="{00000000-000D-0000-FFFF-FFFF00000000}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_Parameters" sheetId="87" r:id="rId7"/>
    <sheet name="pedigree_Diet" sheetId="88" r:id="rId8"/>
    <sheet name="pedigree_DietPrefRules" sheetId="89" r:id="rId9"/>
    <sheet name="pedigree_Landings" sheetId="93" r:id="rId10"/>
    <sheet name="pedigree_Discards" sheetId="91" r:id="rId11"/>
    <sheet name="MainOutputs" sheetId="83" r:id="rId12"/>
    <sheet name="Mortalities" sheetId="84" r:id="rId13"/>
    <sheet name="EcotranType" sheetId="85" r:id="rId14"/>
    <sheet name="EcotranRecycling" sheetId="86" r:id="rId15"/>
    <sheet name="FunctionalResponse" sheetId="94" r:id="rId16"/>
  </sheets>
  <functionGroups builtInGroupCount="19"/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#REF!</definedName>
    <definedName name="cornerPedigree">#REF!</definedName>
    <definedName name="FishingLinks">Main!$B$8</definedName>
    <definedName name="matBasic">Main!$C$2:$N$34</definedName>
    <definedName name="matDetritus">Detritus!$C$2:$E$34</definedName>
    <definedName name="matDiet">Diets!$B$2:$AE$34</definedName>
    <definedName name="matDiscards">Discards!$C$2:$C$33</definedName>
    <definedName name="matFishery">Fishing!$C$2:$C$33</definedName>
    <definedName name="matFishing">Fishing!#REF!</definedName>
    <definedName name="matMort">Mortalities!$A$1:$AJ$33</definedName>
    <definedName name="matOut">MainOutputs!$A$2:$I$34</definedName>
    <definedName name="matPedcat">#REF!</definedName>
    <definedName name="matPedigree">#REF!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42" i="86" l="1"/>
  <c r="D42" i="86"/>
  <c r="B10" i="87"/>
  <c r="B8" i="75"/>
  <c r="B7" i="75"/>
  <c r="X6" i="75"/>
</calcChain>
</file>

<file path=xl/sharedStrings.xml><?xml version="1.0" encoding="utf-8"?>
<sst xmlns="http://schemas.openxmlformats.org/spreadsheetml/2006/main" count="974" uniqueCount="230">
  <si>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</si>
  <si>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</si>
  <si>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</si>
  <si>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</si>
  <si>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</si>
  <si>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</si>
  <si>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</si>
  <si>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</si>
  <si>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</si>
  <si>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Number of living</t>
  </si>
  <si>
    <t>Number of detritus</t>
  </si>
  <si>
    <t>Number of gear</t>
  </si>
  <si>
    <t>TL</t>
  </si>
  <si>
    <t>Biomass</t>
  </si>
  <si>
    <t>EE</t>
  </si>
  <si>
    <t>Mortalities</t>
  </si>
  <si>
    <t>M0</t>
  </si>
  <si>
    <t>B</t>
  </si>
  <si>
    <t>MAIN INPUTS</t>
  </si>
  <si>
    <t>DIETS</t>
  </si>
  <si>
    <t>Detritus Fate</t>
  </si>
  <si>
    <t>Retained Fisheries</t>
  </si>
  <si>
    <t>Fisheries Discards</t>
  </si>
  <si>
    <t>Guild</t>
  </si>
  <si>
    <t>Removals</t>
  </si>
  <si>
    <t>NUM</t>
  </si>
  <si>
    <t>GE</t>
  </si>
  <si>
    <t>PredPreyLinks</t>
  </si>
  <si>
    <t>FishingLinks</t>
  </si>
  <si>
    <t>BALANCE</t>
  </si>
  <si>
    <t>EXPORT TO .CSV</t>
  </si>
  <si>
    <t>max EE--&gt;&gt;</t>
  </si>
  <si>
    <t>Resolved Names</t>
  </si>
  <si>
    <t>EcotranNumber</t>
  </si>
  <si>
    <t>GroupType</t>
  </si>
  <si>
    <t>AggregationCode</t>
  </si>
  <si>
    <t>Aggregation Names</t>
  </si>
  <si>
    <t>Number of Nitrogen Nutrients</t>
  </si>
  <si>
    <t>NO3</t>
  </si>
  <si>
    <t>Number of NonNitrogen Nutrients</t>
  </si>
  <si>
    <t>pelagic NH4</t>
  </si>
  <si>
    <t>benthic NH4</t>
  </si>
  <si>
    <t>large phytoplankton</t>
  </si>
  <si>
    <t>small phytoplankton</t>
  </si>
  <si>
    <t>fishery</t>
  </si>
  <si>
    <t>emigration</t>
  </si>
  <si>
    <t>BA</t>
  </si>
  <si>
    <t>EM</t>
  </si>
  <si>
    <t>DetritusFate_feces</t>
  </si>
  <si>
    <t>ExcretionFate</t>
  </si>
  <si>
    <t>ProductionLossScaler</t>
  </si>
  <si>
    <t>PelagicBacterialReduction</t>
  </si>
  <si>
    <t>surface</t>
  </si>
  <si>
    <t>sub-surface</t>
  </si>
  <si>
    <t>BenthicBacterialReduction</t>
  </si>
  <si>
    <t>Oxidation_NH4</t>
  </si>
  <si>
    <t>PhytoUptake_NH4</t>
  </si>
  <si>
    <t>PhytoUptake_NO3</t>
  </si>
  <si>
    <t>consumer</t>
  </si>
  <si>
    <t>autotroph</t>
  </si>
  <si>
    <t>detritus</t>
  </si>
  <si>
    <t>consumer - pelagic - nekton</t>
  </si>
  <si>
    <t>consumer - pelagic - plankton</t>
  </si>
  <si>
    <t>consumer - benthic - vertebrate</t>
  </si>
  <si>
    <t>eggs</t>
  </si>
  <si>
    <t>ECOTRAN types</t>
  </si>
  <si>
    <t>consumer - benthic - invertebrate</t>
  </si>
  <si>
    <t>macrophytes</t>
  </si>
  <si>
    <t>consumer - pelagic - warm-blooded</t>
  </si>
  <si>
    <t>consumer - benthic - warm-blooded</t>
  </si>
  <si>
    <t>offal</t>
  </si>
  <si>
    <t>pelagic detritus</t>
  </si>
  <si>
    <t>benthic detritus</t>
  </si>
  <si>
    <t>assigned in matlab code later (import??)</t>
  </si>
  <si>
    <t>PhysiologyScaler</t>
  </si>
  <si>
    <t>BiomassScaler</t>
  </si>
  <si>
    <t>FisheriesScaler</t>
  </si>
  <si>
    <t>DietScaler</t>
  </si>
  <si>
    <t>BAScaler</t>
  </si>
  <si>
    <t>EMScaler</t>
  </si>
  <si>
    <t>DiscardScaler</t>
  </si>
  <si>
    <t>minBiomass</t>
  </si>
  <si>
    <t>Pedigree Discards</t>
  </si>
  <si>
    <t>Pedigree Landings</t>
  </si>
  <si>
    <t>B (CV)</t>
  </si>
  <si>
    <t>PB (CV)</t>
  </si>
  <si>
    <t>QB (CV)</t>
  </si>
  <si>
    <t>PQ (CV)</t>
  </si>
  <si>
    <t>AE (CV)</t>
  </si>
  <si>
    <t>B (abs min)</t>
  </si>
  <si>
    <t>PQ (abs min)</t>
  </si>
  <si>
    <t>AE (abs min)</t>
  </si>
  <si>
    <t>QB (abs min)</t>
  </si>
  <si>
    <t>PB (abs min)</t>
  </si>
  <si>
    <t>B (abs max)</t>
  </si>
  <si>
    <t>PB (abs max)</t>
  </si>
  <si>
    <t>QB (abs max)</t>
  </si>
  <si>
    <t>PQ (abs max)</t>
  </si>
  <si>
    <t>AE (abs max)</t>
  </si>
  <si>
    <t>max EE</t>
  </si>
  <si>
    <t>BA (CV)</t>
  </si>
  <si>
    <t>EM (CV)</t>
  </si>
  <si>
    <t>Egg rate (CV)</t>
  </si>
  <si>
    <t>BA (abs min)</t>
  </si>
  <si>
    <t>EM (abs min)</t>
  </si>
  <si>
    <t>Egg rate (abs min)</t>
  </si>
  <si>
    <t>BA (abs max)</t>
  </si>
  <si>
    <t>EM (abs max)</t>
  </si>
  <si>
    <t>Egg rate (abs max)</t>
  </si>
  <si>
    <t>DetritusFate_feces (CV)</t>
  </si>
  <si>
    <t>ExcretionFate (CV)</t>
  </si>
  <si>
    <t>DetritusFate_senescence (CV)</t>
  </si>
  <si>
    <t>DetritusFate_feces (max)</t>
  </si>
  <si>
    <t>DetritusFate_senescence (max)</t>
  </si>
  <si>
    <t>ExcretionFate (max)</t>
  </si>
  <si>
    <t>DetritusFate_feces (min)</t>
  </si>
  <si>
    <t>DetritusFate_senescence (min)</t>
  </si>
  <si>
    <t>ExcretionFate (min)</t>
  </si>
  <si>
    <t>DIET PEDIGREE</t>
  </si>
  <si>
    <t>DetritusFate_senescence</t>
  </si>
  <si>
    <t>Eggs</t>
  </si>
  <si>
    <t>ECOTRAN GroupType definitions</t>
  </si>
  <si>
    <t>terminal pelagic detritus</t>
  </si>
  <si>
    <t>terminal benthic detritus</t>
  </si>
  <si>
    <t>emigration (EM)</t>
  </si>
  <si>
    <t>accumulation (BA)</t>
  </si>
  <si>
    <t>any Nitrogen Nutrient</t>
  </si>
  <si>
    <t>any Primary Producer</t>
  </si>
  <si>
    <t>any consumer</t>
  </si>
  <si>
    <t>any detritus (not egg)</t>
  </si>
  <si>
    <t>PreyGuild_Name</t>
  </si>
  <si>
    <t>PreyGuild_code</t>
  </si>
  <si>
    <t>Metabolism</t>
  </si>
  <si>
    <t>(future)</t>
  </si>
  <si>
    <t>Metabolism rate (CV)</t>
  </si>
  <si>
    <t>Metabolism rate (abs min)</t>
  </si>
  <si>
    <t>Metabolism rate (abs max)</t>
  </si>
  <si>
    <t>EwE type codes</t>
  </si>
  <si>
    <t>biomass accumulation</t>
  </si>
  <si>
    <t>DIET PEDIGREE preference rules</t>
  </si>
  <si>
    <t>(NOTE: these are different from ECOTRAN type codes)</t>
  </si>
  <si>
    <t>NOTES:</t>
  </si>
  <si>
    <t>2) Be sure to enter number of functional groups in cells B3 - B5 on "Main" worksheet</t>
  </si>
  <si>
    <t>1) Every model must have a terminal pelagic and terminal benthic detritus group defined</t>
  </si>
  <si>
    <t>3) AggregationCode on "ECOTRANtype" worksheet will both define groups to aggregate (those with same number get lumped) and the order in the ECOTRAN model</t>
  </si>
  <si>
    <t>This Visual Basic version of EwE was provided courtesy of K. Aydin (AFSC NOAA)</t>
  </si>
  <si>
    <t>(ECOTRAN export mods and messing up by J. Ruzicka)</t>
  </si>
  <si>
    <t>4) note that diet matrix includes the columns for producer groups and detritus groups</t>
  </si>
  <si>
    <t xml:space="preserve"> (now assigned dynamically in "EcotranType" worksheet) 8/19/2013</t>
  </si>
  <si>
    <t>minPhysiology</t>
  </si>
  <si>
    <t>&lt;--(minimum fraction of base value)</t>
  </si>
  <si>
    <t>5) PreyGuild_code numbers refer to AggregationCode numbers as given in "EcotranType" worksheet</t>
  </si>
  <si>
    <t>&lt;-- don't make more prey guilds than this</t>
  </si>
  <si>
    <t>6) on EcotranRecycling page, fishery discards are assigned as "DetritusFate_feces"</t>
  </si>
  <si>
    <t>RetentionScaler</t>
  </si>
  <si>
    <t>( 0 = more advection &lt;--&gt; less advection =1)</t>
  </si>
  <si>
    <t>Functional Response</t>
  </si>
  <si>
    <t>A</t>
  </si>
  <si>
    <t>C</t>
  </si>
  <si>
    <t>D</t>
  </si>
  <si>
    <t>&lt;--based on fraction of total primary production</t>
  </si>
  <si>
    <t>P</t>
  </si>
  <si>
    <t>total--&gt;</t>
  </si>
  <si>
    <t>fraction</t>
  </si>
  <si>
    <t>revision date: 5-1-2016</t>
  </si>
  <si>
    <t>7) allows up to 10 primary producers</t>
  </si>
  <si>
    <t>&lt;-NOTE: PreyGuilds are NOT necessary</t>
  </si>
  <si>
    <t>&lt;-- use AggregationCode numbers and brackets "[ ]"</t>
  </si>
  <si>
    <t>NOTE: Maximum of 10 primary producers-&gt;</t>
  </si>
  <si>
    <t>micrograzers</t>
  </si>
  <si>
    <t>bacteria</t>
  </si>
  <si>
    <t>model number</t>
  </si>
  <si>
    <t>model name</t>
  </si>
  <si>
    <t>country</t>
  </si>
  <si>
    <t>area</t>
  </si>
  <si>
    <t>geographic extent</t>
  </si>
  <si>
    <t>ecosystem type</t>
  </si>
  <si>
    <t>currency units</t>
  </si>
  <si>
    <t>description</t>
  </si>
  <si>
    <t>number of groups</t>
  </si>
  <si>
    <t>number of fleets</t>
  </si>
  <si>
    <t>model year</t>
  </si>
  <si>
    <t>model period</t>
  </si>
  <si>
    <t>reference</t>
  </si>
  <si>
    <t>doi</t>
  </si>
  <si>
    <t>Canada, Grand Banks of Newfoundland</t>
  </si>
  <si>
    <t>Canada</t>
  </si>
  <si>
    <t>BOX(-60.7741928100586 46,-42 55.3333320617676)</t>
  </si>
  <si>
    <t>open ocean</t>
  </si>
  <si>
    <t>WetWeight</t>
  </si>
  <si>
    <t>Alida Bundy This is the 1985-1987 2J3KLNO (3rd balance)  model re-parameterised for 2J3KL. Whales are reduced to 60% of the 2J3KLNO biomass.; 9/12/00 7:48:33 PM; 9/12/00 7:49:21 PM; 9/12/00 9:17:03 PM; 9/13/00 6:26:09 PM; 9/14/00 1:07:49 PM; 9/22/00 10:15:46 AM; 09-Apr-01 9:49:02; 21-Jun-01 16:28:38; 29-Jun-01 13:39:07; 02-04-10 15:27:14; 02-04-11 16:55:49; 02-05-07 16:55:28; 02-05-08 11:39:53; 7/2/02 8:46:01 PM; 7/3/02 10:37:31 AM; 6/22/2010 2:55:32 PM; 6/22/2010 2:59:37 PM</t>
  </si>
  <si>
    <t>Bundy A.(2002). Adaptation of a Newfoundland-Labrador Ecopath model for 1985-1987 in statistical area 2J3KLNO to the area 2J3KL Information supporting past and present ecosystem models of Northern British Columbia and the Newfoundland shelf. pp 13-21. In Pitcher T.,Vasconcellos M.,Heymans S.J.J.,Brignall C.,Haggan N.</t>
  </si>
  <si>
    <t>Whales</t>
  </si>
  <si>
    <t>Harp Seals</t>
  </si>
  <si>
    <t>Hooded Seals</t>
  </si>
  <si>
    <t>Seabirds</t>
  </si>
  <si>
    <t>Cod &amp;gt; 35cm</t>
  </si>
  <si>
    <t>Cod &amp;lt;= 35 cm</t>
  </si>
  <si>
    <t>G.halibut&amp;gt;40cm</t>
  </si>
  <si>
    <t>G.halibut&amp;lt;=40cm</t>
  </si>
  <si>
    <t>Aplaice&amp;gt;35cm</t>
  </si>
  <si>
    <t>Aplaice&amp;lt;=35cm</t>
  </si>
  <si>
    <t>Flounders</t>
  </si>
  <si>
    <t>Skates</t>
  </si>
  <si>
    <t>Redfish</t>
  </si>
  <si>
    <t>L.Dem.Feeders</t>
  </si>
  <si>
    <t>S.Dem.Feeders</t>
  </si>
  <si>
    <t>Capelin</t>
  </si>
  <si>
    <t>Sand lance</t>
  </si>
  <si>
    <t>Arctic cod</t>
  </si>
  <si>
    <t>L.Pel.Feeders</t>
  </si>
  <si>
    <t>Pisc. SPF</t>
  </si>
  <si>
    <t>Plankt. SPF</t>
  </si>
  <si>
    <t>Shrimp</t>
  </si>
  <si>
    <t>Large Crustacea</t>
  </si>
  <si>
    <t>Echinoderms</t>
  </si>
  <si>
    <t>Molluscs</t>
  </si>
  <si>
    <t>Polychaetes</t>
  </si>
  <si>
    <t>O.Benthic Inver</t>
  </si>
  <si>
    <t>L.Zooplankton</t>
  </si>
  <si>
    <t>S.Zooplankton</t>
  </si>
  <si>
    <t>Phytoplankton</t>
  </si>
  <si>
    <t>Detritus</t>
  </si>
  <si>
    <t>detritus_TerminalBenthic</t>
  </si>
  <si>
    <t>Fleet1</t>
  </si>
  <si>
    <t>Import</t>
  </si>
  <si>
    <t>export</t>
  </si>
  <si>
    <t>sum</t>
  </si>
  <si>
    <t>TOTAL</t>
  </si>
  <si>
    <t>F Fleet1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</si>
</sst>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</fonts>
  <fills count="141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2FF00"/>
        <bgColor indexed="64"/>
      </patternFill>
    </fill>
    <fill>
      <patternFill patternType="solid">
        <fgColor rgb="FF13FF00"/>
        <bgColor indexed="64"/>
      </patternFill>
    </fill>
    <fill>
      <patternFill patternType="solid">
        <fgColor rgb="FF01FF00"/>
        <bgColor indexed="64"/>
      </patternFill>
    </fill>
    <fill>
      <patternFill patternType="solid">
        <fgColor rgb="FF05FF00"/>
        <bgColor indexed="64"/>
      </patternFill>
    </fill>
    <fill>
      <patternFill patternType="solid">
        <fgColor rgb="FF08FF00"/>
        <bgColor indexed="64"/>
      </patternFill>
    </fill>
    <fill>
      <patternFill patternType="solid">
        <fgColor rgb="FF07FF00"/>
        <bgColor indexed="64"/>
      </patternFill>
    </fill>
    <fill>
      <patternFill patternType="solid">
        <fgColor rgb="FF06FF00"/>
        <bgColor indexed="64"/>
      </patternFill>
    </fill>
    <fill>
      <patternFill patternType="solid">
        <fgColor rgb="FF09FF00"/>
        <bgColor indexed="64"/>
      </patternFill>
    </fill>
    <fill>
      <patternFill patternType="solid">
        <fgColor rgb="FF16FF00"/>
        <bgColor indexed="64"/>
      </patternFill>
    </fill>
    <fill>
      <patternFill patternType="solid">
        <fgColor rgb="FF0AFF00"/>
        <bgColor indexed="64"/>
      </patternFill>
    </fill>
    <fill>
      <patternFill patternType="solid">
        <fgColor rgb="FF04FF00"/>
        <bgColor indexed="64"/>
      </patternFill>
    </fill>
    <fill>
      <patternFill patternType="solid">
        <fgColor rgb="FF03FF00"/>
        <bgColor indexed="64"/>
      </patternFill>
    </fill>
    <fill>
      <patternFill patternType="solid">
        <fgColor rgb="FF0EFF00"/>
        <bgColor indexed="64"/>
      </patternFill>
    </fill>
    <fill>
      <patternFill patternType="solid">
        <fgColor rgb="FF10FF00"/>
        <bgColor indexed="64"/>
      </patternFill>
    </fill>
    <fill>
      <patternFill patternType="solid">
        <fgColor rgb="FF0DFF00"/>
        <bgColor indexed="64"/>
      </patternFill>
    </fill>
    <fill>
      <patternFill patternType="solid">
        <fgColor rgb="FF12FF00"/>
        <bgColor indexed="64"/>
      </patternFill>
    </fill>
    <fill>
      <patternFill patternType="solid">
        <fgColor rgb="FF18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1CFF00"/>
        <bgColor indexed="64"/>
      </patternFill>
    </fill>
    <fill>
      <patternFill patternType="solid">
        <fgColor rgb="FF0BFF00"/>
        <bgColor indexed="64"/>
      </patternFill>
    </fill>
    <fill>
      <patternFill patternType="solid">
        <fgColor rgb="FF15FF00"/>
        <bgColor indexed="64"/>
      </patternFill>
    </fill>
    <fill>
      <patternFill patternType="solid">
        <fgColor rgb="FF1EFF00"/>
        <bgColor indexed="64"/>
      </patternFill>
    </fill>
    <fill>
      <patternFill patternType="solid">
        <fgColor rgb="FF20FF00"/>
        <bgColor indexed="64"/>
      </patternFill>
    </fill>
    <fill>
      <patternFill patternType="solid">
        <fgColor rgb="FF2FFF00"/>
        <bgColor indexed="64"/>
      </patternFill>
    </fill>
    <fill>
      <patternFill patternType="solid">
        <fgColor rgb="FF1AFF00"/>
        <bgColor indexed="64"/>
      </patternFill>
    </fill>
    <fill>
      <patternFill patternType="solid">
        <fgColor rgb="FF24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28FF00"/>
        <bgColor indexed="64"/>
      </patternFill>
    </fill>
    <fill>
      <patternFill patternType="solid">
        <fgColor rgb="FF21FF00"/>
        <bgColor indexed="64"/>
      </patternFill>
    </fill>
    <fill>
      <patternFill patternType="solid">
        <fgColor rgb="FF50FF00"/>
        <bgColor indexed="64"/>
      </patternFill>
    </fill>
    <fill>
      <patternFill patternType="solid">
        <fgColor rgb="FF22FF00"/>
        <bgColor indexed="64"/>
      </patternFill>
    </fill>
    <fill>
      <patternFill patternType="solid">
        <fgColor rgb="FFBFFF00"/>
        <bgColor indexed="64"/>
      </patternFill>
    </fill>
    <fill>
      <patternFill patternType="solid">
        <fgColor rgb="FF42FF00"/>
        <bgColor indexed="64"/>
      </patternFill>
    </fill>
    <fill>
      <patternFill patternType="solid">
        <fgColor rgb="FF3DFF00"/>
        <bgColor indexed="64"/>
      </patternFill>
    </fill>
    <fill>
      <patternFill patternType="solid">
        <fgColor rgb="FF0FFF00"/>
        <bgColor indexed="64"/>
      </patternFill>
    </fill>
    <fill>
      <patternFill patternType="solid">
        <fgColor rgb="FF1FFF00"/>
        <bgColor indexed="64"/>
      </patternFill>
    </fill>
    <fill>
      <patternFill patternType="solid">
        <fgColor rgb="FF80FF00"/>
        <bgColor indexed="64"/>
      </patternFill>
    </fill>
    <fill>
      <patternFill patternType="solid">
        <fgColor rgb="FFB48894"/>
        <bgColor indexed="64"/>
      </patternFill>
    </fill>
    <fill>
      <patternFill patternType="solid">
        <fgColor rgb="FF4A4DC6"/>
        <bgColor indexed="64"/>
      </patternFill>
    </fill>
    <fill>
      <patternFill patternType="solid">
        <fgColor rgb="FF04C2D0"/>
        <bgColor indexed="64"/>
      </patternFill>
    </fill>
    <fill>
      <patternFill patternType="solid">
        <fgColor rgb="FFB50C6A"/>
        <bgColor indexed="64"/>
      </patternFill>
    </fill>
    <fill>
      <patternFill patternType="solid">
        <fgColor rgb="FFDCCA5F"/>
        <bgColor indexed="64"/>
      </patternFill>
    </fill>
    <fill>
      <patternFill patternType="solid">
        <fgColor rgb="FFF5DE0E"/>
        <bgColor indexed="64"/>
      </patternFill>
    </fill>
    <fill>
      <patternFill patternType="solid">
        <fgColor rgb="FFF25D86"/>
        <bgColor indexed="64"/>
      </patternFill>
    </fill>
    <fill>
      <patternFill patternType="solid">
        <fgColor rgb="FFC40E97"/>
        <bgColor indexed="64"/>
      </patternFill>
    </fill>
    <fill>
      <patternFill patternType="solid">
        <fgColor rgb="FF784C9F"/>
        <bgColor indexed="64"/>
      </patternFill>
    </fill>
    <fill>
      <patternFill patternType="solid">
        <fgColor rgb="FFA54347"/>
        <bgColor indexed="64"/>
      </patternFill>
    </fill>
    <fill>
      <patternFill patternType="solid">
        <fgColor rgb="FFD4D296"/>
        <bgColor indexed="64"/>
      </patternFill>
    </fill>
    <fill>
      <patternFill patternType="solid">
        <fgColor rgb="FFFBE83A"/>
        <bgColor indexed="64"/>
      </patternFill>
    </fill>
    <fill>
      <patternFill patternType="solid">
        <fgColor rgb="FFB1FA3E"/>
        <bgColor indexed="64"/>
      </patternFill>
    </fill>
    <fill>
      <patternFill patternType="solid">
        <fgColor rgb="FF881BFF"/>
        <bgColor indexed="64"/>
      </patternFill>
    </fill>
    <fill>
      <patternFill patternType="solid">
        <fgColor rgb="FFAC0493"/>
        <bgColor indexed="64"/>
      </patternFill>
    </fill>
    <fill>
      <patternFill patternType="solid">
        <fgColor rgb="FF1A1ACC"/>
        <bgColor indexed="64"/>
      </patternFill>
    </fill>
    <fill>
      <patternFill patternType="solid">
        <fgColor rgb="FF490C4B"/>
        <bgColor indexed="64"/>
      </patternFill>
    </fill>
    <fill>
      <patternFill patternType="solid">
        <fgColor rgb="FF614DF2"/>
        <bgColor indexed="64"/>
      </patternFill>
    </fill>
    <fill>
      <patternFill patternType="solid">
        <fgColor rgb="FFFA6647"/>
        <bgColor indexed="64"/>
      </patternFill>
    </fill>
    <fill>
      <patternFill patternType="solid">
        <fgColor rgb="FF292AA5"/>
        <bgColor indexed="64"/>
      </patternFill>
    </fill>
    <fill>
      <patternFill patternType="solid">
        <fgColor rgb="FF6969B6"/>
        <bgColor indexed="64"/>
      </patternFill>
    </fill>
    <fill>
      <patternFill patternType="solid">
        <fgColor rgb="FF53A135"/>
        <bgColor indexed="64"/>
      </patternFill>
    </fill>
    <fill>
      <patternFill patternType="solid">
        <fgColor rgb="FF2F9515"/>
        <bgColor indexed="64"/>
      </patternFill>
    </fill>
    <fill>
      <patternFill patternType="solid">
        <fgColor rgb="FF75E743"/>
        <bgColor indexed="64"/>
      </patternFill>
    </fill>
    <fill>
      <patternFill patternType="solid">
        <fgColor rgb="FFC8614A"/>
        <bgColor indexed="64"/>
      </patternFill>
    </fill>
    <fill>
      <patternFill patternType="solid">
        <fgColor rgb="FFEAA1A0"/>
        <bgColor indexed="64"/>
      </patternFill>
    </fill>
    <fill>
      <patternFill patternType="solid">
        <fgColor rgb="FF6D198F"/>
        <bgColor indexed="64"/>
      </patternFill>
    </fill>
    <fill>
      <patternFill patternType="solid">
        <fgColor rgb="FFB1E9D5"/>
        <bgColor indexed="64"/>
      </patternFill>
    </fill>
    <fill>
      <patternFill patternType="solid">
        <fgColor rgb="FF068BEA"/>
        <bgColor indexed="64"/>
      </patternFill>
    </fill>
    <fill>
      <patternFill patternType="solid">
        <fgColor rgb="FF6EAD80"/>
        <bgColor indexed="64"/>
      </patternFill>
    </fill>
    <fill>
      <patternFill patternType="solid">
        <fgColor rgb="FF83765A"/>
        <bgColor indexed="64"/>
      </patternFill>
    </fill>
    <fill>
      <patternFill patternType="solid">
        <fgColor rgb="FF67450E"/>
        <bgColor indexed="64"/>
      </patternFill>
    </fill>
    <fill>
      <patternFill patternType="solid">
        <fgColor rgb="FF3EFA10"/>
        <bgColor indexed="64"/>
      </patternFill>
    </fill>
    <fill>
      <patternFill patternType="solid">
        <fgColor rgb="FF19FF00"/>
        <bgColor indexed="64"/>
      </patternFill>
    </fill>
    <fill>
      <patternFill patternType="solid">
        <fgColor rgb="FFAAFF00"/>
        <bgColor indexed="64"/>
      </patternFill>
    </fill>
    <fill>
      <patternFill patternType="solid">
        <fgColor rgb="FFD4FF00"/>
        <bgColor indexed="64"/>
      </patternFill>
    </fill>
    <fill>
      <patternFill patternType="solid">
        <fgColor rgb="FFAFFF00"/>
        <bgColor indexed="64"/>
      </patternFill>
    </fill>
    <fill>
      <patternFill patternType="solid">
        <fgColor rgb="FF46FF00"/>
        <bgColor indexed="64"/>
      </patternFill>
    </fill>
    <fill>
      <patternFill patternType="solid">
        <fgColor rgb="FF39FF00"/>
        <bgColor indexed="64"/>
      </patternFill>
    </fill>
    <fill>
      <patternFill patternType="solid">
        <fgColor rgb="FF98FF00"/>
        <bgColor indexed="64"/>
      </patternFill>
    </fill>
    <fill>
      <patternFill patternType="solid">
        <fgColor rgb="FF7BFF00"/>
        <bgColor indexed="64"/>
      </patternFill>
    </fill>
    <fill>
      <patternFill patternType="solid">
        <fgColor rgb="FF3CFF00"/>
        <bgColor indexed="64"/>
      </patternFill>
    </fill>
    <fill>
      <patternFill patternType="solid">
        <fgColor rgb="FF9BFF00"/>
        <bgColor indexed="64"/>
      </patternFill>
    </fill>
    <fill>
      <patternFill patternType="solid">
        <fgColor rgb="FF0CFF00"/>
        <bgColor indexed="64"/>
      </patternFill>
    </fill>
    <fill>
      <patternFill patternType="solid">
        <fgColor rgb="FF23FF00"/>
        <bgColor indexed="64"/>
      </patternFill>
    </fill>
    <fill>
      <patternFill patternType="solid">
        <fgColor rgb="FF44FF00"/>
        <bgColor indexed="64"/>
      </patternFill>
    </fill>
    <fill>
      <patternFill patternType="solid">
        <fgColor rgb="FFE3FF00"/>
        <bgColor indexed="64"/>
      </patternFill>
    </fill>
    <fill>
      <patternFill patternType="solid">
        <fgColor rgb="FF5CFF00"/>
        <bgColor indexed="64"/>
      </patternFill>
    </fill>
    <fill>
      <patternFill patternType="solid">
        <fgColor rgb="FF1BFF00"/>
        <bgColor indexed="64"/>
      </patternFill>
    </fill>
    <fill>
      <patternFill patternType="solid">
        <fgColor rgb="FF11FF00"/>
        <bgColor indexed="64"/>
      </patternFill>
    </fill>
    <fill>
      <patternFill patternType="solid">
        <fgColor rgb="FF60FF00"/>
        <bgColor indexed="64"/>
      </patternFill>
    </fill>
    <fill>
      <patternFill patternType="solid">
        <fgColor rgb="FF7FFF00"/>
        <bgColor indexed="64"/>
      </patternFill>
    </fill>
    <fill>
      <patternFill patternType="solid">
        <fgColor rgb="FF32FF00"/>
        <bgColor indexed="64"/>
      </patternFill>
    </fill>
    <fill>
      <patternFill patternType="solid">
        <fgColor rgb="FF3EFF00"/>
        <bgColor indexed="64"/>
      </patternFill>
    </fill>
    <fill>
      <patternFill patternType="solid">
        <fgColor rgb="FF14FF00"/>
        <bgColor indexed="64"/>
      </patternFill>
    </fill>
    <fill>
      <patternFill patternType="solid">
        <fgColor rgb="FF45FF00"/>
        <bgColor indexed="64"/>
      </patternFill>
    </fill>
    <fill>
      <patternFill patternType="solid">
        <fgColor rgb="FF2AFF00"/>
        <bgColor indexed="64"/>
      </patternFill>
    </fill>
    <fill>
      <patternFill patternType="solid">
        <fgColor rgb="FF17FF00"/>
        <bgColor indexed="64"/>
      </patternFill>
    </fill>
    <fill>
      <patternFill patternType="solid">
        <fgColor rgb="FF29FF00"/>
        <bgColor indexed="64"/>
      </patternFill>
    </fill>
    <fill>
      <patternFill patternType="solid">
        <fgColor rgb="FF51FF00"/>
        <bgColor indexed="64"/>
      </patternFill>
    </fill>
    <fill>
      <patternFill patternType="solid">
        <fgColor rgb="FF65FF00"/>
        <bgColor indexed="64"/>
      </patternFill>
    </fill>
    <fill>
      <patternFill patternType="solid">
        <fgColor rgb="FF3BFF00"/>
        <bgColor indexed="64"/>
      </patternFill>
    </fill>
    <fill>
      <patternFill patternType="solid">
        <fgColor rgb="FFFFC800"/>
        <bgColor indexed="64"/>
      </patternFill>
    </fill>
    <fill>
      <patternFill patternType="solid">
        <fgColor rgb="FF1DFF00"/>
        <bgColor indexed="64"/>
      </patternFill>
    </fill>
    <fill>
      <patternFill patternType="solid">
        <fgColor rgb="FF2BFF00"/>
        <bgColor indexed="64"/>
      </patternFill>
    </fill>
    <fill>
      <patternFill patternType="solid">
        <fgColor rgb="FF5AFF00"/>
        <bgColor indexed="64"/>
      </patternFill>
    </fill>
    <fill>
      <patternFill patternType="solid">
        <fgColor rgb="FF2DFF00"/>
        <bgColor indexed="64"/>
      </patternFill>
    </fill>
    <fill>
      <patternFill patternType="solid">
        <fgColor rgb="FFAEFF00"/>
        <bgColor indexed="64"/>
      </patternFill>
    </fill>
    <fill>
      <patternFill patternType="solid">
        <fgColor rgb="FF37FF00"/>
        <bgColor indexed="64"/>
      </patternFill>
    </fill>
    <fill>
      <patternFill patternType="solid">
        <fgColor rgb="FF31FF00"/>
        <bgColor indexed="64"/>
      </patternFill>
    </fill>
    <fill>
      <patternFill patternType="solid">
        <fgColor rgb="FF95FF00"/>
        <bgColor indexed="64"/>
      </patternFill>
    </fill>
    <fill>
      <patternFill patternType="solid">
        <fgColor rgb="FF34FF00"/>
        <bgColor indexed="64"/>
      </patternFill>
    </fill>
    <fill>
      <patternFill patternType="solid">
        <fgColor rgb="FFACFF00"/>
        <bgColor indexed="64"/>
      </patternFill>
    </fill>
    <fill>
      <patternFill patternType="solid">
        <fgColor rgb="FF83FF00"/>
        <bgColor indexed="64"/>
      </patternFill>
    </fill>
    <fill>
      <patternFill patternType="solid">
        <fgColor rgb="FF75FF00"/>
        <bgColor indexed="64"/>
      </patternFill>
    </fill>
    <fill>
      <patternFill patternType="solid">
        <fgColor rgb="FFBCFF00"/>
        <bgColor indexed="64"/>
      </patternFill>
    </fill>
    <fill>
      <patternFill patternType="solid">
        <fgColor rgb="FF54FF00"/>
        <bgColor indexed="64"/>
      </patternFill>
    </fill>
    <fill>
      <patternFill patternType="solid">
        <fgColor rgb="FFA0FF00"/>
        <bgColor indexed="64"/>
      </patternFill>
    </fill>
    <fill>
      <patternFill patternType="solid">
        <fgColor rgb="FFDAFF00"/>
        <bgColor indexed="64"/>
      </patternFill>
    </fill>
    <fill>
      <patternFill patternType="solid">
        <fgColor rgb="FF6AFF00"/>
        <bgColor indexed="64"/>
      </patternFill>
    </fill>
    <fill>
      <patternFill patternType="solid">
        <fgColor rgb="FFB2FF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F00"/>
        <bgColor indexed="64"/>
      </patternFill>
    </fill>
    <fill>
      <patternFill patternType="solid">
        <fgColor rgb="FF3AFF00"/>
        <bgColor indexed="64"/>
      </patternFill>
    </fill>
    <fill>
      <patternFill patternType="solid">
        <fgColor rgb="FF26FF00"/>
        <bgColor indexed="64"/>
      </patternFill>
    </fill>
    <fill>
      <patternFill patternType="solid">
        <fgColor rgb="FFBBFF00"/>
        <bgColor indexed="64"/>
      </patternFill>
    </fill>
    <fill>
      <patternFill patternType="solid">
        <fgColor rgb="FF4CFF00"/>
        <bgColor indexed="64"/>
      </patternFill>
    </fill>
    <fill>
      <patternFill patternType="solid">
        <fgColor rgb="FF53FF00"/>
        <bgColor indexed="64"/>
      </patternFill>
    </fill>
    <fill>
      <patternFill patternType="solid">
        <fgColor rgb="FF59FF00"/>
        <bgColor indexed="64"/>
      </patternFill>
    </fill>
    <fill>
      <patternFill patternType="solid">
        <fgColor rgb="FF6BFF00"/>
        <bgColor indexed="64"/>
      </patternFill>
    </fill>
    <fill>
      <patternFill patternType="solid">
        <fgColor rgb="FF91FF00"/>
        <bgColor indexed="64"/>
      </patternFill>
    </fill>
    <fill>
      <patternFill patternType="solid">
        <fgColor rgb="FFFF7F00"/>
        <bgColor indexed="64"/>
      </patternFill>
    </fill>
  </fills>
  <borders count="5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C0C0C0"/>
      </left>
      <right/>
      <top style="thin">
        <color rgb="FFC0C0C0"/>
      </top>
      <bottom style="thin">
        <color rgb="FFC0C0C0"/>
      </bottom>
      <diagonal/>
    </border>
    <border>
      <left style="thin">
        <color rgb="FFC0C0C0"/>
      </left>
      <right/>
      <top/>
      <bottom style="thin">
        <color rgb="FFC0C0C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rgb="FFC0C0C0"/>
      </top>
      <bottom style="thin">
        <color rgb="FFC0C0C0"/>
      </bottom>
      <diagonal/>
    </border>
    <border>
      <left style="thin">
        <color auto="1"/>
      </left>
      <right/>
      <top/>
      <bottom style="thin">
        <color rgb="FFC0C0C0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3654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264">
    <xf numFmtId="0" fontId="0" fillId="0" borderId="0" xfId="0"/>
    <xf numFmtId="0" fontId="1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0" borderId="0" xfId="0" applyFill="1"/>
    <xf numFmtId="0" fontId="0" fillId="3" borderId="0" xfId="0" applyFill="1"/>
    <xf numFmtId="2" fontId="0" fillId="3" borderId="0" xfId="0" applyNumberForma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1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2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7" fillId="0" borderId="0" xfId="0" applyFont="1" applyAlignment="1">
      <alignment horizontal="right"/>
    </xf>
    <xf numFmtId="0" fontId="1" fillId="0" borderId="0" xfId="0" applyFont="1" applyFill="1" applyBorder="1" applyAlignment="1">
      <alignment horizontal="right"/>
    </xf>
    <xf numFmtId="0" fontId="1" fillId="24" borderId="2" xfId="0" applyFont="1" applyFill="1" applyBorder="1" applyAlignment="1">
      <alignment horizontal="center"/>
    </xf>
    <xf numFmtId="0" fontId="1" fillId="24" borderId="4" xfId="0" applyFont="1" applyFill="1" applyBorder="1" applyAlignment="1">
      <alignment horizontal="center"/>
    </xf>
    <xf numFmtId="0" fontId="1" fillId="24" borderId="3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14" xfId="0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7" xfId="0" applyFill="1" applyBorder="1" applyAlignment="1">
      <alignment horizontal="left"/>
    </xf>
    <xf numFmtId="2" fontId="1" fillId="0" borderId="12" xfId="0" applyNumberFormat="1" applyFont="1" applyBorder="1" applyAlignment="1">
      <alignment horizontal="center"/>
    </xf>
    <xf numFmtId="0" fontId="0" fillId="0" borderId="5" xfId="0" applyBorder="1" applyAlignment="1">
      <alignment horizontal="right"/>
    </xf>
    <xf numFmtId="0" fontId="1" fillId="0" borderId="0" xfId="0" applyFont="1" applyFill="1"/>
    <xf numFmtId="0" fontId="0" fillId="24" borderId="5" xfId="0" applyFill="1" applyBorder="1"/>
    <xf numFmtId="0" fontId="0" fillId="24" borderId="6" xfId="0" applyFill="1" applyBorder="1"/>
    <xf numFmtId="0" fontId="0" fillId="24" borderId="7" xfId="0" applyFill="1" applyBorder="1"/>
    <xf numFmtId="0" fontId="0" fillId="24" borderId="8" xfId="0" applyFill="1" applyBorder="1"/>
    <xf numFmtId="0" fontId="0" fillId="24" borderId="9" xfId="0" applyFill="1" applyBorder="1"/>
    <xf numFmtId="0" fontId="0" fillId="24" borderId="11" xfId="0" applyFill="1" applyBorder="1"/>
    <xf numFmtId="0" fontId="8" fillId="0" borderId="0" xfId="0" applyFont="1"/>
    <xf numFmtId="0" fontId="9" fillId="0" borderId="0" xfId="0" applyFont="1"/>
    <xf numFmtId="0" fontId="1" fillId="2" borderId="0" xfId="0" applyFont="1" applyFill="1" applyBorder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1" fillId="0" borderId="0" xfId="0" applyFont="1" applyAlignment="1">
      <alignment horizontal="center"/>
    </xf>
    <xf numFmtId="0" fontId="0" fillId="37" borderId="0" xfId="0" applyFill="1"/>
    <xf numFmtId="0" fontId="0" fillId="0" borderId="0" xfId="0" applyFont="1" applyFill="1"/>
    <xf numFmtId="0" fontId="0" fillId="0" borderId="0" xfId="0" applyFont="1" applyAlignment="1">
      <alignment horizontal="center"/>
    </xf>
    <xf numFmtId="0" fontId="0" fillId="39" borderId="0" xfId="0" applyFill="1"/>
    <xf numFmtId="0" fontId="0" fillId="0" borderId="0" xfId="0" applyFont="1" applyFill="1" applyAlignment="1">
      <alignment horizontal="center"/>
    </xf>
    <xf numFmtId="0" fontId="0" fillId="40" borderId="0" xfId="0" applyFill="1"/>
    <xf numFmtId="0" fontId="1" fillId="0" borderId="0" xfId="0" applyFont="1" applyAlignment="1"/>
    <xf numFmtId="0" fontId="1" fillId="2" borderId="0" xfId="0" applyFont="1" applyFill="1" applyAlignment="1"/>
    <xf numFmtId="0" fontId="1" fillId="0" borderId="0" xfId="0" applyFont="1" applyFill="1" applyAlignment="1"/>
    <xf numFmtId="0" fontId="0" fillId="0" borderId="0" xfId="0" applyFont="1" applyFill="1" applyAlignment="1">
      <alignment horizontal="left"/>
    </xf>
    <xf numFmtId="0" fontId="0" fillId="0" borderId="0" xfId="0" applyFont="1"/>
    <xf numFmtId="0" fontId="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38" borderId="2" xfId="0" applyNumberFormat="1" applyFont="1" applyFill="1" applyBorder="1"/>
    <xf numFmtId="0" fontId="11" fillId="0" borderId="0" xfId="0" applyFont="1"/>
    <xf numFmtId="0" fontId="0" fillId="0" borderId="1" xfId="0" applyFont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38" borderId="3" xfId="0" applyNumberFormat="1" applyFont="1" applyFill="1" applyBorder="1"/>
    <xf numFmtId="0" fontId="0" fillId="38" borderId="2" xfId="0" applyFont="1" applyFill="1" applyBorder="1"/>
    <xf numFmtId="0" fontId="0" fillId="38" borderId="3" xfId="0" applyFont="1" applyFill="1" applyBorder="1"/>
    <xf numFmtId="0" fontId="0" fillId="38" borderId="4" xfId="0" applyFont="1" applyFill="1" applyBorder="1"/>
    <xf numFmtId="0" fontId="0" fillId="0" borderId="0" xfId="0" applyFont="1" applyBorder="1"/>
    <xf numFmtId="0" fontId="0" fillId="0" borderId="10" xfId="0" applyFont="1" applyBorder="1"/>
    <xf numFmtId="0" fontId="10" fillId="0" borderId="15" xfId="0" applyFont="1" applyFill="1" applyBorder="1" applyAlignment="1">
      <alignment horizontal="left" wrapText="1"/>
    </xf>
    <xf numFmtId="0" fontId="10" fillId="0" borderId="16" xfId="0" applyFont="1" applyFill="1" applyBorder="1" applyAlignment="1">
      <alignment horizontal="left" wrapText="1"/>
    </xf>
    <xf numFmtId="2" fontId="0" fillId="0" borderId="0" xfId="0" applyNumberFormat="1" applyFont="1"/>
    <xf numFmtId="0" fontId="0" fillId="0" borderId="0" xfId="0" applyFont="1" applyAlignment="1"/>
    <xf numFmtId="0" fontId="0" fillId="0" borderId="14" xfId="0" applyFont="1" applyBorder="1"/>
    <xf numFmtId="0" fontId="0" fillId="0" borderId="7" xfId="0" applyFont="1" applyBorder="1" applyAlignment="1">
      <alignment horizontal="right"/>
    </xf>
    <xf numFmtId="0" fontId="0" fillId="0" borderId="8" xfId="0" applyFont="1" applyBorder="1"/>
    <xf numFmtId="0" fontId="0" fillId="0" borderId="9" xfId="0" applyFont="1" applyBorder="1" applyAlignment="1">
      <alignment horizontal="right"/>
    </xf>
    <xf numFmtId="0" fontId="0" fillId="0" borderId="11" xfId="0" applyFont="1" applyBorder="1"/>
    <xf numFmtId="0" fontId="0" fillId="0" borderId="7" xfId="0" applyFont="1" applyFill="1" applyBorder="1" applyAlignment="1">
      <alignment horizontal="left"/>
    </xf>
    <xf numFmtId="0" fontId="0" fillId="41" borderId="0" xfId="0" applyFill="1"/>
    <xf numFmtId="0" fontId="0" fillId="42" borderId="0" xfId="0" applyFill="1"/>
    <xf numFmtId="0" fontId="0" fillId="0" borderId="0" xfId="0" applyBorder="1"/>
    <xf numFmtId="0" fontId="0" fillId="43" borderId="0" xfId="0" applyFill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2" fillId="0" borderId="0" xfId="0" applyFont="1" applyAlignment="1">
      <alignment horizontal="center"/>
    </xf>
    <xf numFmtId="0" fontId="12" fillId="0" borderId="0" xfId="0" applyFont="1" applyFill="1" applyAlignment="1">
      <alignment horizontal="center"/>
    </xf>
    <xf numFmtId="0" fontId="12" fillId="29" borderId="0" xfId="0" applyFont="1" applyFill="1" applyAlignment="1">
      <alignment horizontal="center"/>
    </xf>
    <xf numFmtId="0" fontId="12" fillId="27" borderId="0" xfId="0" applyFont="1" applyFill="1" applyAlignment="1">
      <alignment horizontal="center"/>
    </xf>
    <xf numFmtId="0" fontId="12" fillId="28" borderId="0" xfId="0" applyFont="1" applyFill="1" applyAlignment="1">
      <alignment horizontal="center"/>
    </xf>
    <xf numFmtId="0" fontId="12" fillId="25" borderId="0" xfId="0" applyFont="1" applyFill="1" applyAlignment="1">
      <alignment horizontal="center"/>
    </xf>
    <xf numFmtId="0" fontId="12" fillId="26" borderId="0" xfId="0" applyFont="1" applyFill="1" applyAlignment="1">
      <alignment horizontal="center"/>
    </xf>
    <xf numFmtId="0" fontId="12" fillId="0" borderId="0" xfId="0" applyFont="1" applyFill="1" applyAlignment="1">
      <alignment horizontal="right"/>
    </xf>
    <xf numFmtId="0" fontId="0" fillId="24" borderId="2" xfId="0" applyFill="1" applyBorder="1" applyAlignment="1">
      <alignment horizontal="center"/>
    </xf>
    <xf numFmtId="0" fontId="0" fillId="24" borderId="4" xfId="0" applyFill="1" applyBorder="1" applyAlignment="1">
      <alignment horizontal="center"/>
    </xf>
    <xf numFmtId="0" fontId="0" fillId="24" borderId="3" xfId="0" applyFill="1" applyBorder="1"/>
    <xf numFmtId="0" fontId="9" fillId="0" borderId="0" xfId="0" applyFont="1" applyAlignment="1">
      <alignment horizontal="left"/>
    </xf>
    <xf numFmtId="0" fontId="0" fillId="0" borderId="17" xfId="0" applyFont="1" applyBorder="1"/>
    <xf numFmtId="0" fontId="0" fillId="0" borderId="18" xfId="0" applyBorder="1" applyAlignment="1">
      <alignment horizontal="right"/>
    </xf>
    <xf numFmtId="0" fontId="0" fillId="0" borderId="19" xfId="0" applyFont="1" applyBorder="1"/>
    <xf numFmtId="0" fontId="0" fillId="0" borderId="18" xfId="0" applyBorder="1"/>
    <xf numFmtId="0" fontId="10" fillId="0" borderId="20" xfId="0" applyFont="1" applyFill="1" applyBorder="1" applyAlignment="1">
      <alignment horizontal="right" wrapText="1"/>
    </xf>
    <xf numFmtId="0" fontId="10" fillId="0" borderId="21" xfId="0" applyFont="1" applyFill="1" applyBorder="1" applyAlignment="1">
      <alignment horizontal="right" wrapText="1"/>
    </xf>
    <xf numFmtId="0" fontId="0" fillId="0" borderId="18" xfId="0" applyFont="1" applyFill="1" applyBorder="1" applyAlignment="1">
      <alignment horizontal="right"/>
    </xf>
    <xf numFmtId="0" fontId="0" fillId="0" borderId="22" xfId="0" applyFont="1" applyBorder="1"/>
    <xf numFmtId="0" fontId="0" fillId="0" borderId="23" xfId="0" applyFont="1" applyBorder="1"/>
    <xf numFmtId="0" fontId="0" fillId="0" borderId="1" xfId="0" applyFont="1" applyBorder="1"/>
    <xf numFmtId="0" fontId="0" fillId="0" borderId="24" xfId="0" applyFont="1" applyBorder="1"/>
    <xf numFmtId="0" fontId="1" fillId="0" borderId="26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0" fillId="0" borderId="0" xfId="0" applyBorder="1" applyAlignment="1"/>
    <xf numFmtId="0" fontId="0" fillId="44" borderId="0" xfId="0" applyFill="1"/>
    <xf numFmtId="0" fontId="0" fillId="45" borderId="0" xfId="0" applyFill="1"/>
    <xf numFmtId="0" fontId="1" fillId="2" borderId="0" xfId="0" applyNumberFormat="1" applyFont="1" applyFill="1"/>
    <xf numFmtId="0" fontId="0" fillId="0" borderId="0" xfId="0" applyNumberFormat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49" fontId="0" fillId="0" borderId="27" xfId="0" applyNumberFormat="1" applyBorder="1"/>
    <xf numFmtId="49" fontId="0" fillId="0" borderId="28" xfId="0" applyNumberFormat="1" applyBorder="1"/>
    <xf numFmtId="49" fontId="0" fillId="0" borderId="29" xfId="0" applyNumberFormat="1" applyBorder="1"/>
    <xf numFmtId="49" fontId="0" fillId="0" borderId="30" xfId="0" applyNumberFormat="1" applyBorder="1"/>
    <xf numFmtId="49" fontId="0" fillId="0" borderId="31" xfId="0" applyNumberFormat="1" applyBorder="1"/>
    <xf numFmtId="49" fontId="0" fillId="0" borderId="32" xfId="0" applyNumberFormat="1" applyBorder="1"/>
    <xf numFmtId="49" fontId="0" fillId="0" borderId="33" xfId="0" applyNumberFormat="1" applyBorder="1"/>
    <xf numFmtId="49" fontId="0" fillId="0" borderId="34" xfId="0" applyNumberFormat="1" applyBorder="1"/>
    <xf numFmtId="49" fontId="0" fillId="0" borderId="35" xfId="0" applyNumberFormat="1" applyBorder="1"/>
    <xf numFmtId="49" fontId="0" fillId="0" borderId="36" xfId="0" applyNumberFormat="1" applyBorder="1"/>
    <xf numFmtId="49" fontId="0" fillId="0" borderId="37" xfId="0" applyNumberFormat="1" applyBorder="1"/>
    <xf numFmtId="49" fontId="0" fillId="0" borderId="38" xfId="0" applyNumberFormat="1" applyBorder="1"/>
    <xf numFmtId="49" fontId="0" fillId="0" borderId="39" xfId="0" applyNumberFormat="1" applyBorder="1"/>
    <xf numFmtId="49" fontId="0" fillId="0" borderId="40" xfId="0" applyNumberFormat="1" applyBorder="1"/>
    <xf numFmtId="49" fontId="0" fillId="0" borderId="41" xfId="0" applyNumberFormat="1" applyBorder="1"/>
    <xf numFmtId="49" fontId="0" fillId="0" borderId="42" xfId="0" applyNumberFormat="1" applyBorder="1"/>
    <xf numFmtId="49" fontId="0" fillId="0" borderId="43" xfId="0" applyNumberFormat="1" applyBorder="1"/>
    <xf numFmtId="49" fontId="0" fillId="0" borderId="44" xfId="0" applyNumberFormat="1" applyBorder="1"/>
    <xf numFmtId="49" fontId="0" fillId="0" borderId="45" xfId="0" applyNumberFormat="1" applyBorder="1"/>
    <xf numFmtId="49" fontId="0" fillId="0" borderId="46" xfId="0" applyNumberFormat="1" applyBorder="1"/>
    <xf numFmtId="49" fontId="0" fillId="0" borderId="47" xfId="0" applyNumberFormat="1" applyBorder="1"/>
    <xf numFmtId="49" fontId="0" fillId="0" borderId="48" xfId="0" applyNumberFormat="1" applyBorder="1"/>
    <xf numFmtId="49" fontId="0" fillId="0" borderId="49" xfId="0" applyNumberFormat="1" applyBorder="1"/>
    <xf numFmtId="49" fontId="0" fillId="0" borderId="50" xfId="0" applyNumberFormat="1" applyBorder="1"/>
    <xf numFmtId="49" fontId="0" fillId="0" borderId="51" xfId="0" applyNumberFormat="1" applyBorder="1"/>
    <xf numFmtId="49" fontId="0" fillId="0" borderId="52" xfId="0" applyNumberFormat="1" applyBorder="1"/>
    <xf numFmtId="49" fontId="0" fillId="0" borderId="53" xfId="0" applyNumberFormat="1" applyBorder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0" fontId="0" fillId="107" borderId="0" xfId="0" applyFill="1"/>
    <xf numFmtId="0" fontId="0" fillId="108" borderId="0" xfId="0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0" fillId="115" borderId="0" xfId="0" applyFill="1"/>
    <xf numFmtId="0" fontId="0" fillId="116" borderId="0" xfId="0" applyFill="1"/>
    <xf numFmtId="0" fontId="0" fillId="117" borderId="0" xfId="0" applyFill="1"/>
    <xf numFmtId="0" fontId="0" fillId="118" borderId="0" xfId="0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0" fillId="122" borderId="0" xfId="0" applyFill="1"/>
    <xf numFmtId="0" fontId="0" fillId="123" borderId="0" xfId="0" applyFill="1"/>
    <xf numFmtId="0" fontId="0" fillId="124" borderId="0" xfId="0" applyFill="1"/>
    <xf numFmtId="0" fontId="0" fillId="125" borderId="0" xfId="0" applyFill="1"/>
    <xf numFmtId="0" fontId="0" fillId="126" borderId="0" xfId="0" applyFill="1"/>
    <xf numFmtId="0" fontId="0" fillId="127" borderId="0" xfId="0" applyFill="1"/>
    <xf numFmtId="0" fontId="0" fillId="128" borderId="0" xfId="0" applyFill="1"/>
    <xf numFmtId="0" fontId="0" fillId="129" borderId="0" xfId="0" applyFill="1"/>
    <xf numFmtId="0" fontId="0" fillId="130" borderId="0" xfId="0" applyFill="1"/>
    <xf numFmtId="0" fontId="0" fillId="131" borderId="0" xfId="0" applyFill="1"/>
    <xf numFmtId="0" fontId="0" fillId="132" borderId="0" xfId="0" applyFill="1"/>
    <xf numFmtId="0" fontId="0" fillId="133" borderId="0" xfId="0" applyFill="1"/>
    <xf numFmtId="0" fontId="0" fillId="134" borderId="0" xfId="0" applyFill="1"/>
    <xf numFmtId="0" fontId="0" fillId="135" borderId="0" xfId="0" applyFill="1"/>
    <xf numFmtId="0" fontId="0" fillId="136" borderId="0" xfId="0" applyFill="1"/>
    <xf numFmtId="0" fontId="0" fillId="137" borderId="0" xfId="0" applyFill="1"/>
    <xf numFmtId="0" fontId="0" fillId="138" borderId="0" xfId="0" applyFill="1"/>
    <xf numFmtId="0" fontId="0" fillId="139" borderId="0" xfId="0" applyFill="1"/>
    <xf numFmtId="0" fontId="0" fillId="140" borderId="0" xfId="0" applyFill="1"/>
  </cellXfs>
  <cellStyles count="365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Normal" xfId="0" builtinId="0"/>
    <cellStyle name="Normal 2" xfId="971" xr:uid="{00000000-0005-0000-0000-0000450E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355600</xdr:colOff>
      <xdr:row>10</xdr:row>
      <xdr:rowOff>131233</xdr:rowOff>
    </xdr:from>
    <xdr:to>
      <xdr:col>1</xdr:col>
      <xdr:colOff>80433</xdr:colOff>
      <xdr:row>16</xdr:row>
      <xdr:rowOff>131233</xdr:rowOff>
    </xdr:to>
    <xdr:sp macro="" textlink="">
      <xdr:nvSpPr>
        <xdr:cNvPr id="5123" name="BalanceButton" hidden="1">
          <a:extLst>
            <a:ext uri="{63B3BB69-23CF-44E3-9099-C40C66FF867C}">
              <a14:compatExt xmlns:a14="http://schemas.microsoft.com/office/drawing/2010/main" spid="_x0000_s5123"/>
            </a:ext>
            <a:ext uri="{FF2B5EF4-FFF2-40B4-BE49-F238E27FC236}">
              <a16:creationId xmlns:a16="http://schemas.microsoft.com/office/drawing/2014/main" id="{00000000-0008-0000-0100-000003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18</xdr:col>
      <xdr:colOff>67734</xdr:colOff>
      <xdr:row>1</xdr:row>
      <xdr:rowOff>101599</xdr:rowOff>
    </xdr:from>
    <xdr:to>
      <xdr:col>20</xdr:col>
      <xdr:colOff>541867</xdr:colOff>
      <xdr:row>11</xdr:row>
      <xdr:rowOff>25399</xdr:rowOff>
    </xdr:to>
    <xdr:pic macro="[0]!Sheet8.BalanceButton_Click">
      <xdr:nvPicPr>
        <xdr:cNvPr id="3" name="Picture 2" descr="129498-simple-red-square-icon-signs-scale-sc2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96" t="14113" r="15319" b="16603"/>
        <a:stretch/>
      </xdr:blipFill>
      <xdr:spPr>
        <a:xfrm>
          <a:off x="16594667" y="253999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71966</xdr:colOff>
      <xdr:row>15</xdr:row>
      <xdr:rowOff>63472</xdr:rowOff>
    </xdr:from>
    <xdr:to>
      <xdr:col>20</xdr:col>
      <xdr:colOff>581268</xdr:colOff>
      <xdr:row>24</xdr:row>
      <xdr:rowOff>177772</xdr:rowOff>
    </xdr:to>
    <xdr:pic macro="[0]!WriteEwEResult">
      <xdr:nvPicPr>
        <xdr:cNvPr id="2" name="Picture 1" descr="129217-simple-red-square-icon-natural-wonders-leaves-sc49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65" t="14063" r="15625" b="18229"/>
        <a:stretch/>
      </xdr:blipFill>
      <xdr:spPr>
        <a:xfrm>
          <a:off x="16531166" y="2374872"/>
          <a:ext cx="1855502" cy="182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584200</xdr:colOff>
      <xdr:row>8</xdr:row>
      <xdr:rowOff>0</xdr:rowOff>
    </xdr:from>
    <xdr:to>
      <xdr:col>11</xdr:col>
      <xdr:colOff>541020</xdr:colOff>
      <xdr:row>12</xdr:row>
      <xdr:rowOff>40640</xdr:rowOff>
    </xdr:to>
    <xdr:sp macro="" textlink="">
      <xdr:nvSpPr>
        <xdr:cNvPr id="19459" name="comEvv" hidden="1">
          <a:extLst>
            <a:ext uri="{63B3BB69-23CF-44E3-9099-C40C66FF867C}">
              <a14:compatExt xmlns:a14="http://schemas.microsoft.com/office/drawing/2010/main" spid="_x0000_s19459"/>
            </a:ext>
            <a:ext uri="{FF2B5EF4-FFF2-40B4-BE49-F238E27FC236}">
              <a16:creationId xmlns:a16="http://schemas.microsoft.com/office/drawing/2014/main" id="{00000000-0008-0000-0B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520700</xdr:colOff>
      <xdr:row>1</xdr:row>
      <xdr:rowOff>101600</xdr:rowOff>
    </xdr:from>
    <xdr:to>
      <xdr:col>11</xdr:col>
      <xdr:colOff>477520</xdr:colOff>
      <xdr:row>5</xdr:row>
      <xdr:rowOff>154940</xdr:rowOff>
    </xdr:to>
    <xdr:sp macro="" textlink="">
      <xdr:nvSpPr>
        <xdr:cNvPr id="19460" name="comCexport" hidden="1">
          <a:extLst>
            <a:ext uri="{63B3BB69-23CF-44E3-9099-C40C66FF867C}">
              <a14:compatExt xmlns:a14="http://schemas.microsoft.com/office/drawing/2010/main" spid="_x0000_s19460"/>
            </a:ext>
            <a:ext uri="{FF2B5EF4-FFF2-40B4-BE49-F238E27FC236}">
              <a16:creationId xmlns:a16="http://schemas.microsoft.com/office/drawing/2014/main" id="{00000000-0008-0000-0B00-000004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8"/>
  </sheetPr>
  <dimension ref="B2:D68"/>
  <sheetViews>
    <sheetView topLeftCell="A44" zoomScale="125" zoomScaleNormal="125" zoomScalePageLayoutView="125" workbookViewId="0">
      <selection activeCell="B54" sqref="B54"/>
    </sheetView>
  </sheetViews>
  <sheetFormatPr baseColWidth="10" defaultColWidth="8.83203125" defaultRowHeight="13" x14ac:dyDescent="0.15"/>
  <cols>
    <col min="2" max="2" width="16" customWidth="1"/>
    <col min="3" max="3" width="415.83203125" customWidth="1"/>
  </cols>
  <sheetData>
    <row r="2" spans="2:4" x14ac:dyDescent="0.15">
      <c r="B2" t="s">
        <v>145</v>
      </c>
    </row>
    <row r="3" spans="2:4" x14ac:dyDescent="0.15">
      <c r="B3" t="s">
        <v>146</v>
      </c>
    </row>
    <row r="4" spans="2:4" x14ac:dyDescent="0.15">
      <c r="B4" s="61" t="s">
        <v>164</v>
      </c>
    </row>
    <row r="6" spans="2:4" ht="14" thickBot="1" x14ac:dyDescent="0.2">
      <c r="B6" s="45" t="s">
        <v>141</v>
      </c>
    </row>
    <row r="7" spans="2:4" x14ac:dyDescent="0.15">
      <c r="B7" s="61" t="s">
        <v>143</v>
      </c>
    </row>
    <row r="8" spans="2:4" x14ac:dyDescent="0.15">
      <c r="B8" s="61" t="s">
        <v>142</v>
      </c>
    </row>
    <row r="9" spans="2:4" x14ac:dyDescent="0.15">
      <c r="B9" s="61" t="s">
        <v>144</v>
      </c>
    </row>
    <row r="10" spans="2:4" x14ac:dyDescent="0.15">
      <c r="B10" s="61" t="s">
        <v>147</v>
      </c>
    </row>
    <row r="11" spans="2:4" x14ac:dyDescent="0.15">
      <c r="B11" s="61" t="s">
        <v>151</v>
      </c>
    </row>
    <row r="12" spans="2:4" x14ac:dyDescent="0.15">
      <c r="B12" s="61" t="s">
        <v>153</v>
      </c>
    </row>
    <row r="13" spans="2:4" x14ac:dyDescent="0.15">
      <c r="B13" s="61" t="s">
        <v>165</v>
      </c>
    </row>
    <row r="15" spans="2:4" ht="14" thickBot="1" x14ac:dyDescent="0.2"/>
    <row r="16" spans="2:4" ht="14" thickBot="1" x14ac:dyDescent="0.2">
      <c r="B16" s="46" t="s">
        <v>137</v>
      </c>
      <c r="C16" s="47"/>
      <c r="D16" s="29">
        <v>41373</v>
      </c>
    </row>
    <row r="17" spans="2:4" x14ac:dyDescent="0.15">
      <c r="B17" s="48" t="s">
        <v>58</v>
      </c>
      <c r="C17" s="32">
        <v>0</v>
      </c>
    </row>
    <row r="18" spans="2:4" x14ac:dyDescent="0.15">
      <c r="B18" s="48" t="s">
        <v>59</v>
      </c>
      <c r="C18" s="32">
        <v>1</v>
      </c>
    </row>
    <row r="19" spans="2:4" x14ac:dyDescent="0.15">
      <c r="B19" s="48" t="s">
        <v>60</v>
      </c>
      <c r="C19" s="32">
        <v>2</v>
      </c>
    </row>
    <row r="20" spans="2:4" ht="14" thickBot="1" x14ac:dyDescent="0.2">
      <c r="B20" s="49" t="s">
        <v>44</v>
      </c>
      <c r="C20" s="33">
        <v>3</v>
      </c>
    </row>
    <row r="21" spans="2:4" x14ac:dyDescent="0.15">
      <c r="B21" s="50" t="s">
        <v>140</v>
      </c>
    </row>
    <row r="22" spans="2:4" ht="14" thickBot="1" x14ac:dyDescent="0.2"/>
    <row r="23" spans="2:4" ht="14" thickBot="1" x14ac:dyDescent="0.2">
      <c r="B23" s="46" t="s">
        <v>65</v>
      </c>
      <c r="C23" s="47"/>
      <c r="D23" s="29" t="s">
        <v>148</v>
      </c>
    </row>
    <row r="24" spans="2:4" x14ac:dyDescent="0.15">
      <c r="B24" s="52" t="s">
        <v>38</v>
      </c>
      <c r="C24" s="30">
        <v>1</v>
      </c>
    </row>
    <row r="25" spans="2:4" x14ac:dyDescent="0.15">
      <c r="B25" s="48" t="s">
        <v>40</v>
      </c>
      <c r="C25" s="32">
        <v>1.1000000000000001</v>
      </c>
    </row>
    <row r="26" spans="2:4" x14ac:dyDescent="0.15">
      <c r="B26" s="48" t="s">
        <v>41</v>
      </c>
      <c r="C26" s="32">
        <v>1.2</v>
      </c>
    </row>
    <row r="27" spans="2:4" x14ac:dyDescent="0.15">
      <c r="B27" s="48"/>
      <c r="C27" s="32"/>
    </row>
    <row r="28" spans="2:4" x14ac:dyDescent="0.15">
      <c r="B28" s="48" t="s">
        <v>42</v>
      </c>
      <c r="C28" s="32">
        <v>2.1</v>
      </c>
    </row>
    <row r="29" spans="2:4" x14ac:dyDescent="0.15">
      <c r="B29" s="48" t="s">
        <v>43</v>
      </c>
      <c r="C29" s="32">
        <v>2.2000000000000002</v>
      </c>
    </row>
    <row r="30" spans="2:4" x14ac:dyDescent="0.15">
      <c r="B30" s="48" t="s">
        <v>67</v>
      </c>
      <c r="C30" s="32">
        <v>2.2999999999999998</v>
      </c>
    </row>
    <row r="31" spans="2:4" x14ac:dyDescent="0.15">
      <c r="B31" s="48"/>
      <c r="C31" s="32"/>
    </row>
    <row r="32" spans="2:4" x14ac:dyDescent="0.15">
      <c r="B32" s="48" t="s">
        <v>62</v>
      </c>
      <c r="C32" s="32">
        <v>3.11</v>
      </c>
    </row>
    <row r="33" spans="2:3" x14ac:dyDescent="0.15">
      <c r="B33" s="48" t="s">
        <v>61</v>
      </c>
      <c r="C33" s="32">
        <v>3.12</v>
      </c>
    </row>
    <row r="34" spans="2:3" x14ac:dyDescent="0.15">
      <c r="B34" s="48" t="s">
        <v>68</v>
      </c>
      <c r="C34" s="32">
        <v>3.13</v>
      </c>
    </row>
    <row r="35" spans="2:3" x14ac:dyDescent="0.15">
      <c r="B35" s="48"/>
      <c r="C35" s="32"/>
    </row>
    <row r="36" spans="2:3" x14ac:dyDescent="0.15">
      <c r="B36" s="48" t="s">
        <v>66</v>
      </c>
      <c r="C36" s="32">
        <v>3.21</v>
      </c>
    </row>
    <row r="37" spans="2:3" x14ac:dyDescent="0.15">
      <c r="B37" s="48" t="s">
        <v>63</v>
      </c>
      <c r="C37" s="32">
        <v>3.22</v>
      </c>
    </row>
    <row r="38" spans="2:3" x14ac:dyDescent="0.15">
      <c r="B38" s="48" t="s">
        <v>69</v>
      </c>
      <c r="C38" s="32">
        <v>3.23</v>
      </c>
    </row>
    <row r="39" spans="2:3" x14ac:dyDescent="0.15">
      <c r="B39" s="48"/>
      <c r="C39" s="32"/>
    </row>
    <row r="40" spans="2:3" x14ac:dyDescent="0.15">
      <c r="B40" s="48" t="s">
        <v>64</v>
      </c>
      <c r="C40" s="32">
        <v>8</v>
      </c>
    </row>
    <row r="41" spans="2:3" x14ac:dyDescent="0.15">
      <c r="B41" s="48"/>
      <c r="C41" s="32"/>
    </row>
    <row r="42" spans="2:3" x14ac:dyDescent="0.15">
      <c r="B42" s="48" t="s">
        <v>71</v>
      </c>
      <c r="C42" s="32">
        <v>4.0999999999999996</v>
      </c>
    </row>
    <row r="43" spans="2:3" x14ac:dyDescent="0.15">
      <c r="B43" s="48" t="s">
        <v>70</v>
      </c>
      <c r="C43" s="32">
        <v>4.2</v>
      </c>
    </row>
    <row r="44" spans="2:3" x14ac:dyDescent="0.15">
      <c r="B44" s="48" t="s">
        <v>72</v>
      </c>
      <c r="C44" s="32">
        <v>4.3</v>
      </c>
    </row>
    <row r="45" spans="2:3" x14ac:dyDescent="0.15">
      <c r="B45" s="31"/>
      <c r="C45" s="32"/>
    </row>
    <row r="46" spans="2:3" x14ac:dyDescent="0.15">
      <c r="B46" s="48" t="s">
        <v>138</v>
      </c>
      <c r="C46" s="32">
        <v>6.1</v>
      </c>
    </row>
    <row r="47" spans="2:3" x14ac:dyDescent="0.15">
      <c r="B47" s="48" t="s">
        <v>45</v>
      </c>
      <c r="C47" s="32">
        <v>6.2</v>
      </c>
    </row>
    <row r="48" spans="2:3" x14ac:dyDescent="0.15">
      <c r="B48" s="48"/>
      <c r="C48" s="32"/>
    </row>
    <row r="49" spans="2:4" x14ac:dyDescent="0.15">
      <c r="B49" s="48" t="s">
        <v>44</v>
      </c>
      <c r="C49" s="32">
        <v>5</v>
      </c>
    </row>
    <row r="50" spans="2:4" x14ac:dyDescent="0.15">
      <c r="B50" s="48"/>
      <c r="C50" s="32"/>
    </row>
    <row r="51" spans="2:4" ht="14" thickBot="1" x14ac:dyDescent="0.2">
      <c r="B51" s="49" t="s">
        <v>73</v>
      </c>
      <c r="C51" s="33">
        <v>7</v>
      </c>
    </row>
    <row r="53" spans="2:4" x14ac:dyDescent="0.15">
      <c r="B53" s="175" t="s">
        <v>171</v>
      </c>
      <c r="C53" s="107">
        <v>655</v>
      </c>
      <c r="D53" s="107"/>
    </row>
    <row r="54" spans="2:4" x14ac:dyDescent="0.15">
      <c r="B54" s="175" t="s">
        <v>172</v>
      </c>
      <c r="C54" s="175" t="s">
        <v>185</v>
      </c>
      <c r="D54" s="107"/>
    </row>
    <row r="55" spans="2:4" x14ac:dyDescent="0.15">
      <c r="B55" s="175" t="s">
        <v>173</v>
      </c>
      <c r="C55" s="175" t="s">
        <v>186</v>
      </c>
      <c r="D55" s="107"/>
    </row>
    <row r="56" spans="2:4" x14ac:dyDescent="0.15">
      <c r="B56" s="175" t="s">
        <v>174</v>
      </c>
      <c r="C56" s="107">
        <v>367542</v>
      </c>
      <c r="D56" s="107"/>
    </row>
    <row r="57" spans="2:4" x14ac:dyDescent="0.15">
      <c r="B57" s="175" t="s">
        <v>175</v>
      </c>
      <c r="C57" s="175" t="s">
        <v>187</v>
      </c>
      <c r="D57" s="107"/>
    </row>
    <row r="58" spans="2:4" x14ac:dyDescent="0.15">
      <c r="B58" s="175" t="s">
        <v>176</v>
      </c>
      <c r="C58" s="175" t="s">
        <v>188</v>
      </c>
      <c r="D58" s="107"/>
    </row>
    <row r="59" spans="2:4" x14ac:dyDescent="0.15">
      <c r="B59" s="175" t="s">
        <v>177</v>
      </c>
      <c r="C59" s="175" t="s">
        <v>189</v>
      </c>
      <c r="D59" s="107"/>
    </row>
    <row r="60" spans="2:4" x14ac:dyDescent="0.15">
      <c r="B60" s="175" t="s">
        <v>178</v>
      </c>
      <c r="C60" s="175" t="s">
        <v>190</v>
      </c>
      <c r="D60" s="107"/>
    </row>
    <row r="61" spans="2:4" x14ac:dyDescent="0.15">
      <c r="B61" s="175" t="s">
        <v>179</v>
      </c>
      <c r="C61" s="107">
        <v>31</v>
      </c>
      <c r="D61" s="107"/>
    </row>
    <row r="62" spans="2:4" x14ac:dyDescent="0.15">
      <c r="B62" s="175" t="s">
        <v>180</v>
      </c>
      <c r="C62" s="107">
        <v>1</v>
      </c>
      <c r="D62" s="107"/>
    </row>
    <row r="63" spans="2:4" x14ac:dyDescent="0.15">
      <c r="B63" s="175" t="s">
        <v>181</v>
      </c>
      <c r="C63" s="107">
        <v>1985</v>
      </c>
      <c r="D63" s="107"/>
    </row>
    <row r="64" spans="2:4" x14ac:dyDescent="0.15">
      <c r="B64" s="175" t="s">
        <v>182</v>
      </c>
      <c r="C64" s="107">
        <v>3</v>
      </c>
      <c r="D64" s="107"/>
    </row>
    <row r="65" spans="2:4" x14ac:dyDescent="0.15">
      <c r="B65" s="175" t="s">
        <v>183</v>
      </c>
      <c r="C65" s="175" t="s">
        <v>191</v>
      </c>
      <c r="D65" s="107"/>
    </row>
    <row r="66" spans="2:4" x14ac:dyDescent="0.15">
      <c r="B66" s="175" t="s">
        <v>184</v>
      </c>
      <c r="D66" s="107"/>
    </row>
    <row r="67" spans="2:4" x14ac:dyDescent="0.15">
      <c r="B67" s="107"/>
      <c r="C67" s="107"/>
      <c r="D67" s="107"/>
    </row>
    <row r="68" spans="2:4" x14ac:dyDescent="0.15">
      <c r="B68" s="107"/>
      <c r="C68" s="107"/>
      <c r="D68" s="107"/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45"/>
  </sheetPr>
  <dimension ref="A1:AT193"/>
  <sheetViews>
    <sheetView workbookViewId="0">
      <pane ySplit="1" topLeftCell="A2" activePane="bottomLeft" state="frozenSplit"/>
      <selection activeCell="E1" sqref="E1"/>
      <selection pane="bottomLeft" activeCell="Q5" sqref="Q5"/>
    </sheetView>
  </sheetViews>
  <sheetFormatPr baseColWidth="10" defaultColWidth="8.83203125" defaultRowHeight="15" customHeight="1" x14ac:dyDescent="0.15"/>
  <cols>
    <col min="1" max="1" width="22.5" style="81" customWidth="1"/>
    <col min="2" max="3" width="3.33203125" style="81" customWidth="1"/>
    <col min="4" max="4" width="14.33203125" style="81" customWidth="1"/>
    <col min="5" max="5" width="21.6640625" style="81" bestFit="1" customWidth="1"/>
    <col min="6" max="6" width="2.33203125" style="81" bestFit="1" customWidth="1"/>
    <col min="7" max="7" width="12.83203125" style="81" bestFit="1" customWidth="1"/>
    <col min="8" max="8" width="5.83203125" style="81" customWidth="1"/>
    <col min="9" max="9" width="10.83203125" style="81" customWidth="1"/>
    <col min="10" max="10" width="11.83203125" style="81" customWidth="1"/>
    <col min="11" max="11" width="12.83203125" style="81" customWidth="1"/>
    <col min="12" max="12" width="2.33203125" style="81" customWidth="1"/>
    <col min="13" max="13" width="3.83203125" style="81" customWidth="1"/>
    <col min="14" max="14" width="2.33203125" style="81" customWidth="1"/>
    <col min="16" max="25" width="8.83203125" style="81"/>
    <col min="26" max="26" width="16.1640625" bestFit="1" customWidth="1"/>
    <col min="27" max="27" width="23.6640625" customWidth="1"/>
    <col min="28" max="28" width="18.83203125" bestFit="1" customWidth="1"/>
    <col min="29" max="29" width="18.83203125" customWidth="1"/>
    <col min="30" max="30" width="16.33203125" customWidth="1"/>
    <col min="32" max="32" width="41.83203125" bestFit="1" customWidth="1"/>
    <col min="39" max="39" width="33.33203125" bestFit="1" customWidth="1"/>
    <col min="47" max="16384" width="8.83203125" style="81"/>
  </cols>
  <sheetData>
    <row r="1" spans="1:46" s="98" customFormat="1" ht="15" customHeight="1" x14ac:dyDescent="0.15">
      <c r="A1" s="77" t="s">
        <v>18</v>
      </c>
      <c r="C1" s="78" t="s">
        <v>8</v>
      </c>
      <c r="D1" s="77" t="s">
        <v>23</v>
      </c>
      <c r="E1" s="77" t="s">
        <v>0</v>
      </c>
      <c r="F1" s="77" t="s">
        <v>7</v>
      </c>
      <c r="G1" s="79" t="s">
        <v>13</v>
      </c>
      <c r="H1" s="77" t="s">
        <v>1</v>
      </c>
      <c r="I1" s="77" t="s">
        <v>2</v>
      </c>
      <c r="J1" s="77" t="s">
        <v>14</v>
      </c>
      <c r="K1" s="77" t="s">
        <v>3</v>
      </c>
      <c r="L1" s="77" t="s">
        <v>4</v>
      </c>
      <c r="M1" s="77" t="s">
        <v>5</v>
      </c>
      <c r="N1" s="77" t="s">
        <v>6</v>
      </c>
      <c r="O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</row>
    <row r="2" spans="1:46" ht="15" customHeight="1" x14ac:dyDescent="0.15">
      <c r="C2" s="98">
        <v>1</v>
      </c>
      <c r="D2"/>
      <c r="E2" s="176" t="s">
        <v>192</v>
      </c>
      <c r="F2" s="81">
        <v>0</v>
      </c>
      <c r="G2" s="81">
        <v>0.14599999999999999</v>
      </c>
      <c r="H2" s="81">
        <v>0.1</v>
      </c>
      <c r="I2" s="6">
        <v>11.742000000000001</v>
      </c>
      <c r="J2" s="6">
        <v>0</v>
      </c>
      <c r="K2" s="6">
        <v>8.516437E-3</v>
      </c>
      <c r="L2" s="6">
        <v>0</v>
      </c>
      <c r="M2" s="81">
        <v>0.2</v>
      </c>
      <c r="N2" s="81">
        <v>0</v>
      </c>
    </row>
    <row r="3" spans="1:46" ht="15" customHeight="1" x14ac:dyDescent="0.15">
      <c r="A3" s="1" t="s">
        <v>9</v>
      </c>
      <c r="B3" s="4">
        <v>30</v>
      </c>
      <c r="C3" s="81">
        <v>2</v>
      </c>
      <c r="D3"/>
      <c r="E3" s="176" t="s">
        <v>193</v>
      </c>
      <c r="F3" s="81">
        <v>0</v>
      </c>
      <c r="G3" s="81">
        <v>0.24818999999999999</v>
      </c>
      <c r="H3" s="81">
        <v>0.10199999999999999</v>
      </c>
      <c r="I3" s="81">
        <v>17.411999999999999</v>
      </c>
      <c r="J3" s="81">
        <v>4.7472720000000003E-2</v>
      </c>
      <c r="K3" s="81">
        <v>5.8580289999999998E-3</v>
      </c>
      <c r="L3" s="81">
        <v>0</v>
      </c>
      <c r="M3" s="81">
        <v>0.2</v>
      </c>
      <c r="N3" s="81">
        <v>0</v>
      </c>
    </row>
    <row r="4" spans="1:46" ht="15" customHeight="1" x14ac:dyDescent="0.15">
      <c r="A4" s="1" t="s">
        <v>10</v>
      </c>
      <c r="B4" s="4">
        <v>2</v>
      </c>
      <c r="C4" s="81">
        <v>3</v>
      </c>
      <c r="D4"/>
      <c r="E4" s="176" t="s">
        <v>194</v>
      </c>
      <c r="F4" s="81">
        <v>0</v>
      </c>
      <c r="G4" s="81">
        <v>4.5747473800000001E-2</v>
      </c>
      <c r="H4" s="81">
        <v>0.109</v>
      </c>
      <c r="I4" s="81">
        <v>13.1</v>
      </c>
      <c r="J4" s="81">
        <v>4.8409349999999997E-2</v>
      </c>
      <c r="K4" s="81">
        <v>8.3206100000000009E-3</v>
      </c>
      <c r="L4" s="81">
        <v>0</v>
      </c>
      <c r="M4" s="81">
        <v>0.2</v>
      </c>
      <c r="N4" s="81">
        <v>0</v>
      </c>
      <c r="V4" s="1" t="s">
        <v>29</v>
      </c>
    </row>
    <row r="5" spans="1:46" ht="15" customHeight="1" thickBot="1" x14ac:dyDescent="0.2">
      <c r="A5" s="1" t="s">
        <v>11</v>
      </c>
      <c r="B5" s="4">
        <v>1</v>
      </c>
      <c r="C5" s="81">
        <v>4</v>
      </c>
      <c r="D5"/>
      <c r="E5" s="176" t="s">
        <v>195</v>
      </c>
      <c r="F5" s="81">
        <v>0</v>
      </c>
      <c r="G5" s="81">
        <v>1.2E-2</v>
      </c>
      <c r="H5" s="81">
        <v>0.25</v>
      </c>
      <c r="I5" s="81">
        <v>54.75</v>
      </c>
      <c r="J5" s="81">
        <v>0.333333343</v>
      </c>
      <c r="K5" s="81">
        <v>4.5662100000000002E-3</v>
      </c>
      <c r="L5" s="81">
        <v>0</v>
      </c>
      <c r="M5" s="81">
        <v>0.2</v>
      </c>
      <c r="N5" s="81">
        <v>0</v>
      </c>
      <c r="P5" s="72"/>
      <c r="Q5" s="72"/>
      <c r="R5" s="72"/>
    </row>
    <row r="6" spans="1:46" ht="15" customHeight="1" thickBot="1" x14ac:dyDescent="0.2">
      <c r="B6" s="1"/>
      <c r="C6" s="81">
        <v>5</v>
      </c>
      <c r="D6"/>
      <c r="E6" s="176" t="s">
        <v>196</v>
      </c>
      <c r="F6" s="81">
        <v>0</v>
      </c>
      <c r="G6" s="81">
        <v>2.5724339999999999</v>
      </c>
      <c r="H6" s="81">
        <v>0.65100000000000002</v>
      </c>
      <c r="I6" s="81">
        <v>2.2000000000000002</v>
      </c>
      <c r="J6" s="81">
        <v>0.48203426599999999</v>
      </c>
      <c r="K6" s="81">
        <v>0.29590909999999998</v>
      </c>
      <c r="L6" s="81">
        <v>0</v>
      </c>
      <c r="M6" s="81">
        <v>0.2</v>
      </c>
      <c r="N6" s="81">
        <v>0</v>
      </c>
      <c r="P6" s="72"/>
      <c r="Q6" s="72"/>
      <c r="R6" s="72"/>
      <c r="W6" s="35" t="s">
        <v>31</v>
      </c>
      <c r="X6" s="51">
        <f>MAX(MainOutputs!G:G)</f>
        <v>0.9500001072883606</v>
      </c>
    </row>
    <row r="7" spans="1:46" ht="15" customHeight="1" x14ac:dyDescent="0.15">
      <c r="A7" s="2" t="s">
        <v>27</v>
      </c>
      <c r="B7" s="81">
        <f ca="1">COUNTIF(OFFSET(cornerDiets,1,1,NumLiving+NumDead+1,NumLiving+NumDead),"&gt;0")+NumLiving+NumDead+1</f>
        <v>311</v>
      </c>
      <c r="C7" s="81">
        <v>6</v>
      </c>
      <c r="D7"/>
      <c r="E7" s="176" t="s">
        <v>197</v>
      </c>
      <c r="F7" s="81">
        <v>0</v>
      </c>
      <c r="G7" s="81">
        <v>0.36299999999999999</v>
      </c>
      <c r="H7" s="81">
        <v>1.1850000000000001</v>
      </c>
      <c r="I7" s="81">
        <v>6.09</v>
      </c>
      <c r="J7" s="81">
        <v>0.93027159999999998</v>
      </c>
      <c r="K7" s="81">
        <v>0.19458127</v>
      </c>
      <c r="L7" s="81">
        <v>0</v>
      </c>
      <c r="M7" s="81">
        <v>0.2</v>
      </c>
      <c r="N7" s="81">
        <v>0</v>
      </c>
      <c r="P7" s="72"/>
      <c r="Q7" s="72"/>
      <c r="R7" s="72"/>
    </row>
    <row r="8" spans="1:46" ht="15" customHeight="1" x14ac:dyDescent="0.15">
      <c r="A8" s="2" t="s">
        <v>28</v>
      </c>
      <c r="B8" s="81">
        <f ca="1">COUNTIF(OFFSET(cornerFishing,1,2,NumLiving+NumDead,NumGears),"&gt;0")+NumDead*COUNTIF(OFFSET(cornerDiscards,1,2,NumLiving+NumDead,NumGears),"&gt;0")+NumLiving+NumDead+1</f>
        <v>66</v>
      </c>
      <c r="C8" s="81">
        <v>7</v>
      </c>
      <c r="D8"/>
      <c r="E8" s="176" t="s">
        <v>198</v>
      </c>
      <c r="F8" s="81">
        <v>0</v>
      </c>
      <c r="G8" s="81">
        <v>0.46899999999999997</v>
      </c>
      <c r="H8" s="81">
        <v>0.29599999999999999</v>
      </c>
      <c r="I8" s="81">
        <v>1.478</v>
      </c>
      <c r="J8" s="81">
        <v>0.772610664</v>
      </c>
      <c r="K8" s="81">
        <v>0.200270638</v>
      </c>
      <c r="L8" s="81">
        <v>0</v>
      </c>
      <c r="M8" s="81">
        <v>0.2</v>
      </c>
      <c r="N8" s="81">
        <v>0</v>
      </c>
      <c r="P8" s="72"/>
      <c r="Q8" s="72"/>
      <c r="R8" s="72"/>
    </row>
    <row r="9" spans="1:46" ht="15" customHeight="1" x14ac:dyDescent="0.15">
      <c r="B9" s="1"/>
      <c r="C9" s="81">
        <v>8</v>
      </c>
      <c r="D9"/>
      <c r="E9" s="176" t="s">
        <v>199</v>
      </c>
      <c r="F9" s="81">
        <v>0</v>
      </c>
      <c r="G9" s="81">
        <v>0.81100000000000005</v>
      </c>
      <c r="H9" s="81">
        <v>0.97199999999999998</v>
      </c>
      <c r="I9" s="81">
        <v>4.7430000000000003</v>
      </c>
      <c r="J9" s="81">
        <v>0.91540840000000001</v>
      </c>
      <c r="K9" s="81">
        <v>0.204933584</v>
      </c>
      <c r="L9" s="81">
        <v>0</v>
      </c>
      <c r="M9" s="81">
        <v>0.2</v>
      </c>
      <c r="N9" s="81">
        <v>0</v>
      </c>
      <c r="P9" s="72"/>
      <c r="Q9" s="72"/>
      <c r="R9" s="72"/>
    </row>
    <row r="10" spans="1:46" ht="15" customHeight="1" x14ac:dyDescent="0.15">
      <c r="B10" s="1"/>
      <c r="C10" s="81">
        <v>9</v>
      </c>
      <c r="D10"/>
      <c r="E10" s="176" t="s">
        <v>200</v>
      </c>
      <c r="F10" s="81">
        <v>0</v>
      </c>
      <c r="G10" s="81">
        <v>0.88300000000000001</v>
      </c>
      <c r="H10" s="81">
        <v>0.53800000000000003</v>
      </c>
      <c r="I10" s="81">
        <v>2</v>
      </c>
      <c r="J10" s="81">
        <v>0.145874053</v>
      </c>
      <c r="K10" s="81">
        <v>0.26900000000000002</v>
      </c>
      <c r="L10" s="81">
        <v>0</v>
      </c>
      <c r="M10" s="81">
        <v>0.2</v>
      </c>
      <c r="N10" s="81">
        <v>0</v>
      </c>
    </row>
    <row r="11" spans="1:46" ht="15" customHeight="1" x14ac:dyDescent="0.15">
      <c r="C11" s="81">
        <v>10</v>
      </c>
      <c r="D11"/>
      <c r="E11" s="176" t="s">
        <v>201</v>
      </c>
      <c r="F11" s="81">
        <v>0</v>
      </c>
      <c r="G11" s="81">
        <v>0.74199999999999999</v>
      </c>
      <c r="H11" s="81">
        <v>0.625</v>
      </c>
      <c r="I11" s="81">
        <v>3.7360000000000002</v>
      </c>
      <c r="J11" s="81">
        <v>0.36793327300000001</v>
      </c>
      <c r="K11" s="81">
        <v>0.16729122399999999</v>
      </c>
      <c r="L11" s="81">
        <v>0</v>
      </c>
      <c r="M11" s="81">
        <v>0.2</v>
      </c>
      <c r="N11" s="81">
        <v>0</v>
      </c>
    </row>
    <row r="12" spans="1:46" ht="15" customHeight="1" x14ac:dyDescent="0.15">
      <c r="C12" s="81">
        <v>11</v>
      </c>
      <c r="D12"/>
      <c r="E12" s="176" t="s">
        <v>202</v>
      </c>
      <c r="F12" s="81">
        <v>0</v>
      </c>
      <c r="G12" s="81">
        <v>0.45802926999999999</v>
      </c>
      <c r="H12" s="81">
        <v>0.35099999999999998</v>
      </c>
      <c r="I12" s="81">
        <v>2.34</v>
      </c>
      <c r="J12" s="81">
        <v>0.95</v>
      </c>
      <c r="K12" s="81">
        <v>0.15</v>
      </c>
      <c r="L12" s="81">
        <v>0</v>
      </c>
      <c r="M12" s="81">
        <v>0.2</v>
      </c>
      <c r="N12" s="81">
        <v>0</v>
      </c>
    </row>
    <row r="13" spans="1:46" ht="15" customHeight="1" x14ac:dyDescent="0.15">
      <c r="C13" s="81">
        <v>12</v>
      </c>
      <c r="D13"/>
      <c r="E13" s="176" t="s">
        <v>203</v>
      </c>
      <c r="F13" s="81">
        <v>0</v>
      </c>
      <c r="G13" s="81">
        <v>0.15</v>
      </c>
      <c r="H13" s="81">
        <v>0.30499999999999999</v>
      </c>
      <c r="I13" s="81">
        <v>2.8780000000000001</v>
      </c>
      <c r="J13" s="81">
        <v>0.32473745900000001</v>
      </c>
      <c r="K13" s="81">
        <v>0.105976373</v>
      </c>
      <c r="L13" s="81">
        <v>0</v>
      </c>
      <c r="M13" s="81">
        <v>0.2</v>
      </c>
      <c r="N13" s="81">
        <v>0</v>
      </c>
    </row>
    <row r="14" spans="1:46" ht="15" customHeight="1" x14ac:dyDescent="0.15">
      <c r="C14" s="81">
        <v>13</v>
      </c>
      <c r="D14"/>
      <c r="E14" s="176" t="s">
        <v>204</v>
      </c>
      <c r="F14" s="81">
        <v>0</v>
      </c>
      <c r="G14" s="81">
        <v>1.7338773000000001</v>
      </c>
      <c r="H14" s="81">
        <v>0.30299999999999999</v>
      </c>
      <c r="I14" s="81">
        <v>2</v>
      </c>
      <c r="J14" s="81">
        <v>0.95</v>
      </c>
      <c r="K14" s="81">
        <v>0.1515</v>
      </c>
      <c r="L14" s="81">
        <v>0</v>
      </c>
      <c r="M14" s="81">
        <v>0.2</v>
      </c>
      <c r="N14" s="81">
        <v>0</v>
      </c>
    </row>
    <row r="15" spans="1:46" ht="15" customHeight="1" x14ac:dyDescent="0.15">
      <c r="C15" s="81">
        <v>14</v>
      </c>
      <c r="D15"/>
      <c r="E15" s="176" t="s">
        <v>205</v>
      </c>
      <c r="F15" s="81">
        <v>0</v>
      </c>
      <c r="G15" s="81">
        <v>1.0204519999999999</v>
      </c>
      <c r="H15" s="81">
        <v>0.23499999999999999</v>
      </c>
      <c r="I15" s="81">
        <v>1.5666666</v>
      </c>
      <c r="J15" s="81">
        <v>0.173249334</v>
      </c>
      <c r="K15" s="81">
        <v>0.15</v>
      </c>
      <c r="L15" s="81">
        <v>0</v>
      </c>
      <c r="M15" s="81">
        <v>0.2</v>
      </c>
      <c r="N15" s="81">
        <v>0</v>
      </c>
    </row>
    <row r="16" spans="1:46" ht="15" customHeight="1" x14ac:dyDescent="0.15">
      <c r="C16" s="81">
        <v>15</v>
      </c>
      <c r="D16"/>
      <c r="E16" s="176" t="s">
        <v>206</v>
      </c>
      <c r="F16" s="81">
        <v>0</v>
      </c>
      <c r="G16" s="81">
        <v>2.2097156</v>
      </c>
      <c r="H16" s="81">
        <v>0.4</v>
      </c>
      <c r="I16" s="81">
        <v>2.6666665100000002</v>
      </c>
      <c r="J16" s="81">
        <v>0.95</v>
      </c>
      <c r="K16" s="81">
        <v>0.15</v>
      </c>
      <c r="L16" s="81">
        <v>0</v>
      </c>
      <c r="M16" s="81">
        <v>0.2</v>
      </c>
      <c r="N16" s="81">
        <v>0</v>
      </c>
    </row>
    <row r="17" spans="1:22" ht="15" customHeight="1" x14ac:dyDescent="0.15">
      <c r="C17" s="81">
        <v>16</v>
      </c>
      <c r="D17"/>
      <c r="E17" s="176" t="s">
        <v>207</v>
      </c>
      <c r="F17" s="81">
        <v>0</v>
      </c>
      <c r="G17" s="81">
        <v>16.096635800000001</v>
      </c>
      <c r="H17" s="81">
        <v>1.145</v>
      </c>
      <c r="I17" s="81">
        <v>4.3</v>
      </c>
      <c r="J17" s="81">
        <v>0.95</v>
      </c>
      <c r="K17" s="81">
        <v>0.26627904200000002</v>
      </c>
      <c r="L17" s="81">
        <v>0</v>
      </c>
      <c r="M17" s="81">
        <v>0.2</v>
      </c>
      <c r="N17" s="81">
        <v>0</v>
      </c>
      <c r="V17" s="1" t="s">
        <v>30</v>
      </c>
    </row>
    <row r="18" spans="1:22" ht="15" customHeight="1" x14ac:dyDescent="0.15">
      <c r="C18" s="81">
        <v>17</v>
      </c>
      <c r="D18"/>
      <c r="E18" s="176" t="s">
        <v>208</v>
      </c>
      <c r="F18" s="81">
        <v>0</v>
      </c>
      <c r="G18" s="81">
        <v>1.7219667400000001</v>
      </c>
      <c r="H18" s="81">
        <v>1.1499999999999999</v>
      </c>
      <c r="I18" s="81">
        <v>7.6666660000000002</v>
      </c>
      <c r="J18" s="81">
        <v>0.95</v>
      </c>
      <c r="K18" s="81">
        <v>0.15</v>
      </c>
      <c r="L18" s="81">
        <v>0</v>
      </c>
      <c r="M18" s="81">
        <v>0.2</v>
      </c>
      <c r="N18" s="81">
        <v>0</v>
      </c>
      <c r="V18" s="1"/>
    </row>
    <row r="19" spans="1:22" ht="15" customHeight="1" x14ac:dyDescent="0.15">
      <c r="C19" s="81">
        <v>18</v>
      </c>
      <c r="D19"/>
      <c r="E19" s="176" t="s">
        <v>209</v>
      </c>
      <c r="F19" s="81">
        <v>0</v>
      </c>
      <c r="G19" s="81">
        <v>4.0312967300000002</v>
      </c>
      <c r="H19" s="81">
        <v>0.39500000000000002</v>
      </c>
      <c r="I19" s="81">
        <v>2.63333321</v>
      </c>
      <c r="J19" s="81">
        <v>0.95</v>
      </c>
      <c r="K19" s="81">
        <v>0.15</v>
      </c>
      <c r="L19" s="81">
        <v>0</v>
      </c>
      <c r="M19" s="81">
        <v>0.2</v>
      </c>
      <c r="N19" s="81">
        <v>0</v>
      </c>
    </row>
    <row r="20" spans="1:22" ht="15" customHeight="1" thickBot="1" x14ac:dyDescent="0.2">
      <c r="C20" s="81">
        <v>19</v>
      </c>
      <c r="D20"/>
      <c r="E20" s="176" t="s">
        <v>210</v>
      </c>
      <c r="F20" s="81">
        <v>0</v>
      </c>
      <c r="G20" s="81">
        <v>2.4211976699999999E-2</v>
      </c>
      <c r="H20" s="81">
        <v>0.4</v>
      </c>
      <c r="I20" s="81">
        <v>3.3330000000000002</v>
      </c>
      <c r="J20" s="81">
        <v>0.95</v>
      </c>
      <c r="K20" s="81">
        <v>0.120012008</v>
      </c>
      <c r="L20" s="81">
        <v>0</v>
      </c>
      <c r="M20" s="81">
        <v>0.2</v>
      </c>
      <c r="N20" s="81">
        <v>0</v>
      </c>
    </row>
    <row r="21" spans="1:22" ht="15" customHeight="1" thickBot="1" x14ac:dyDescent="0.2">
      <c r="A21" s="46" t="s">
        <v>137</v>
      </c>
      <c r="B21" s="99"/>
      <c r="C21" s="81">
        <v>20</v>
      </c>
      <c r="D21"/>
      <c r="E21" s="176" t="s">
        <v>211</v>
      </c>
      <c r="F21" s="81">
        <v>0</v>
      </c>
      <c r="G21" s="81">
        <v>0.99299890000000002</v>
      </c>
      <c r="H21" s="81">
        <v>0.6</v>
      </c>
      <c r="I21" s="81">
        <v>4</v>
      </c>
      <c r="J21" s="81">
        <v>0.95</v>
      </c>
      <c r="K21" s="81">
        <v>0.15</v>
      </c>
      <c r="L21" s="81">
        <v>0</v>
      </c>
      <c r="M21" s="81">
        <v>0.2</v>
      </c>
      <c r="N21" s="81">
        <v>0</v>
      </c>
    </row>
    <row r="22" spans="1:22" ht="15" customHeight="1" x14ac:dyDescent="0.15">
      <c r="A22" s="100" t="s">
        <v>58</v>
      </c>
      <c r="B22" s="101">
        <v>0</v>
      </c>
      <c r="C22" s="81">
        <v>21</v>
      </c>
      <c r="D22"/>
      <c r="E22" s="176" t="s">
        <v>212</v>
      </c>
      <c r="F22" s="81">
        <v>0</v>
      </c>
      <c r="G22" s="81">
        <v>3.4175245799999998</v>
      </c>
      <c r="H22" s="81">
        <v>0.5</v>
      </c>
      <c r="I22" s="81">
        <v>3.3333332499999999</v>
      </c>
      <c r="J22" s="81">
        <v>0.95</v>
      </c>
      <c r="K22" s="81">
        <v>0.15</v>
      </c>
      <c r="L22" s="81">
        <v>0</v>
      </c>
      <c r="M22" s="81">
        <v>0.2</v>
      </c>
      <c r="N22" s="81">
        <v>0</v>
      </c>
    </row>
    <row r="23" spans="1:22" ht="15" customHeight="1" x14ac:dyDescent="0.15">
      <c r="A23" s="100" t="s">
        <v>59</v>
      </c>
      <c r="B23" s="101">
        <v>1</v>
      </c>
      <c r="C23" s="81">
        <v>22</v>
      </c>
      <c r="D23"/>
      <c r="E23" s="176" t="s">
        <v>213</v>
      </c>
      <c r="F23" s="81">
        <v>0</v>
      </c>
      <c r="G23" s="81">
        <v>0.99756820000000002</v>
      </c>
      <c r="H23" s="81">
        <v>1.45</v>
      </c>
      <c r="I23" s="81">
        <v>9.6666670000000003</v>
      </c>
      <c r="J23" s="81">
        <v>0.95</v>
      </c>
      <c r="K23" s="81">
        <v>0.15</v>
      </c>
      <c r="L23" s="81">
        <v>0</v>
      </c>
      <c r="M23" s="81">
        <v>0.2</v>
      </c>
      <c r="N23" s="81">
        <v>0</v>
      </c>
    </row>
    <row r="24" spans="1:22" ht="15" customHeight="1" x14ac:dyDescent="0.15">
      <c r="A24" s="100" t="s">
        <v>60</v>
      </c>
      <c r="B24" s="101">
        <v>2</v>
      </c>
      <c r="C24" s="81">
        <v>23</v>
      </c>
      <c r="D24"/>
      <c r="E24" s="176" t="s">
        <v>214</v>
      </c>
      <c r="F24" s="81">
        <v>0</v>
      </c>
      <c r="G24" s="81">
        <v>1.98837256</v>
      </c>
      <c r="H24" s="81">
        <v>0.38200000000000001</v>
      </c>
      <c r="I24" s="81">
        <v>4.42</v>
      </c>
      <c r="J24" s="81">
        <v>0.95</v>
      </c>
      <c r="K24" s="81">
        <v>8.6425334199999995E-2</v>
      </c>
      <c r="L24" s="81">
        <v>0</v>
      </c>
      <c r="M24" s="81">
        <v>0.2</v>
      </c>
      <c r="N24" s="81">
        <v>0</v>
      </c>
    </row>
    <row r="25" spans="1:22" ht="15" customHeight="1" thickBot="1" x14ac:dyDescent="0.2">
      <c r="A25" s="102" t="s">
        <v>44</v>
      </c>
      <c r="B25" s="103">
        <v>3</v>
      </c>
      <c r="C25" s="81">
        <v>24</v>
      </c>
      <c r="D25"/>
      <c r="E25" s="176" t="s">
        <v>215</v>
      </c>
      <c r="F25" s="81">
        <v>0</v>
      </c>
      <c r="G25" s="81">
        <v>70.599999999999994</v>
      </c>
      <c r="H25" s="81">
        <v>0.6</v>
      </c>
      <c r="I25" s="81">
        <v>6.6666665099999998</v>
      </c>
      <c r="J25" s="81">
        <v>0.109016851</v>
      </c>
      <c r="K25" s="81">
        <v>0.09</v>
      </c>
      <c r="L25" s="81">
        <v>0</v>
      </c>
      <c r="M25" s="81">
        <v>0.2</v>
      </c>
      <c r="N25" s="81">
        <v>0</v>
      </c>
    </row>
    <row r="26" spans="1:22" ht="15" customHeight="1" x14ac:dyDescent="0.15">
      <c r="A26" s="104" t="s">
        <v>140</v>
      </c>
      <c r="C26" s="81">
        <v>25</v>
      </c>
      <c r="D26"/>
      <c r="E26" s="176" t="s">
        <v>216</v>
      </c>
      <c r="F26" s="81">
        <v>0</v>
      </c>
      <c r="G26" s="81">
        <v>16.399999999999999</v>
      </c>
      <c r="H26" s="81">
        <v>0.56999999999999995</v>
      </c>
      <c r="I26" s="81">
        <v>6.3333329999999997</v>
      </c>
      <c r="J26" s="81">
        <v>0.21673297899999999</v>
      </c>
      <c r="K26" s="81">
        <v>0.09</v>
      </c>
      <c r="L26" s="81">
        <v>0</v>
      </c>
      <c r="M26" s="81">
        <v>0.2</v>
      </c>
      <c r="N26" s="81">
        <v>0</v>
      </c>
    </row>
    <row r="27" spans="1:22" ht="15" customHeight="1" x14ac:dyDescent="0.15">
      <c r="C27" s="81">
        <v>26</v>
      </c>
      <c r="D27"/>
      <c r="E27" s="176" t="s">
        <v>217</v>
      </c>
      <c r="F27" s="81">
        <v>0</v>
      </c>
      <c r="G27" s="81">
        <v>8.8000000000000007</v>
      </c>
      <c r="H27" s="81">
        <v>2</v>
      </c>
      <c r="I27" s="81">
        <v>22.222221399999999</v>
      </c>
      <c r="J27" s="81">
        <v>0.29211910000000002</v>
      </c>
      <c r="K27" s="81">
        <v>0.09</v>
      </c>
      <c r="L27" s="81">
        <v>0</v>
      </c>
      <c r="M27" s="81">
        <v>0.2</v>
      </c>
      <c r="N27" s="81">
        <v>0</v>
      </c>
    </row>
    <row r="28" spans="1:22" ht="15" customHeight="1" x14ac:dyDescent="0.15">
      <c r="C28" s="81">
        <v>27</v>
      </c>
      <c r="D28"/>
      <c r="E28" s="176" t="s">
        <v>218</v>
      </c>
      <c r="F28" s="81">
        <v>0</v>
      </c>
      <c r="G28" s="81">
        <v>2.7</v>
      </c>
      <c r="H28" s="81">
        <v>2.5</v>
      </c>
      <c r="I28" s="81">
        <v>12.5</v>
      </c>
      <c r="J28" s="81">
        <v>0.87103949999999997</v>
      </c>
      <c r="K28" s="81">
        <v>0.2</v>
      </c>
      <c r="L28" s="81">
        <v>0</v>
      </c>
      <c r="M28" s="81">
        <v>0.2</v>
      </c>
      <c r="N28" s="81">
        <v>0</v>
      </c>
    </row>
    <row r="29" spans="1:22" customFormat="1" ht="15" customHeight="1" x14ac:dyDescent="0.15">
      <c r="C29" s="81">
        <v>28</v>
      </c>
      <c r="E29" s="176" t="s">
        <v>219</v>
      </c>
      <c r="F29" s="81">
        <v>0</v>
      </c>
      <c r="G29" s="81">
        <v>23.334026300000001</v>
      </c>
      <c r="H29" s="81">
        <v>3.4329999999999998</v>
      </c>
      <c r="I29" s="81">
        <v>19.5</v>
      </c>
      <c r="J29" s="81">
        <v>0.95</v>
      </c>
      <c r="K29" s="81">
        <v>0.176051289</v>
      </c>
      <c r="L29" s="81">
        <v>0</v>
      </c>
      <c r="M29" s="81">
        <v>0.2</v>
      </c>
      <c r="N29" s="81">
        <v>0</v>
      </c>
    </row>
    <row r="30" spans="1:22" customFormat="1" ht="15" customHeight="1" x14ac:dyDescent="0.15">
      <c r="C30" s="81">
        <v>29</v>
      </c>
      <c r="E30" s="176" t="s">
        <v>220</v>
      </c>
      <c r="F30" s="81">
        <v>0</v>
      </c>
      <c r="G30" s="81">
        <v>34.646039999999999</v>
      </c>
      <c r="H30" s="81">
        <v>8.4</v>
      </c>
      <c r="I30" s="81">
        <v>27.999998099999999</v>
      </c>
      <c r="J30" s="81">
        <v>0.95</v>
      </c>
      <c r="K30" s="81">
        <v>0.3</v>
      </c>
      <c r="L30" s="81">
        <v>0</v>
      </c>
      <c r="M30" s="81">
        <v>0.2</v>
      </c>
      <c r="N30" s="81">
        <v>0</v>
      </c>
    </row>
    <row r="31" spans="1:22" customFormat="1" ht="15" customHeight="1" x14ac:dyDescent="0.15">
      <c r="C31" s="81">
        <v>30</v>
      </c>
      <c r="E31" s="176" t="s">
        <v>221</v>
      </c>
      <c r="F31" s="81">
        <v>1</v>
      </c>
      <c r="G31" s="81">
        <v>27.25</v>
      </c>
      <c r="H31" s="81">
        <v>103.6</v>
      </c>
      <c r="I31" s="81">
        <v>0</v>
      </c>
      <c r="J31" s="81">
        <v>0.403550625</v>
      </c>
      <c r="K31" s="81">
        <v>0</v>
      </c>
      <c r="L31" s="81">
        <v>0</v>
      </c>
      <c r="M31" s="81">
        <v>0</v>
      </c>
      <c r="N31" s="81">
        <v>0</v>
      </c>
    </row>
    <row r="32" spans="1:22" customFormat="1" ht="15" customHeight="1" x14ac:dyDescent="0.15">
      <c r="C32" s="81">
        <v>31</v>
      </c>
      <c r="E32" s="176" t="s">
        <v>222</v>
      </c>
      <c r="F32" s="81">
        <v>2</v>
      </c>
      <c r="G32" s="81">
        <v>389</v>
      </c>
      <c r="H32" s="81">
        <v>0</v>
      </c>
      <c r="I32" s="81">
        <v>0</v>
      </c>
      <c r="J32" s="81">
        <v>0.58651286400000002</v>
      </c>
      <c r="K32" s="81">
        <v>0</v>
      </c>
      <c r="L32" s="81">
        <v>0</v>
      </c>
      <c r="M32" s="81">
        <v>0</v>
      </c>
      <c r="N32" s="81">
        <v>0</v>
      </c>
    </row>
    <row r="33" spans="3:14" customFormat="1" ht="15" customHeight="1" x14ac:dyDescent="0.15">
      <c r="C33" s="81">
        <v>32</v>
      </c>
      <c r="E33" s="176" t="s">
        <v>223</v>
      </c>
      <c r="F33" s="81">
        <v>2</v>
      </c>
      <c r="G33" s="81">
        <v>5</v>
      </c>
      <c r="H33" s="81">
        <v>0</v>
      </c>
      <c r="I33" s="81">
        <v>0</v>
      </c>
      <c r="J33" s="81">
        <v>0</v>
      </c>
      <c r="K33" s="81">
        <v>0</v>
      </c>
      <c r="L33" s="81">
        <v>0</v>
      </c>
      <c r="M33" s="81">
        <v>0</v>
      </c>
      <c r="N33" s="81">
        <v>0</v>
      </c>
    </row>
    <row r="34" spans="3:14" customFormat="1" ht="15" customHeight="1" x14ac:dyDescent="0.15">
      <c r="C34" s="81">
        <v>33</v>
      </c>
      <c r="E34" s="176" t="s">
        <v>224</v>
      </c>
      <c r="F34" s="81">
        <v>3</v>
      </c>
      <c r="G34" s="81">
        <v>0</v>
      </c>
      <c r="H34" s="81">
        <v>0</v>
      </c>
      <c r="I34" s="81">
        <v>0</v>
      </c>
      <c r="J34" s="81">
        <v>0</v>
      </c>
      <c r="K34" s="81">
        <v>0</v>
      </c>
      <c r="L34" s="81">
        <v>0</v>
      </c>
      <c r="M34" s="81">
        <v>0</v>
      </c>
      <c r="N34" s="81">
        <v>0</v>
      </c>
    </row>
    <row r="35" spans="3:14" customFormat="1" ht="15" customHeight="1" x14ac:dyDescent="0.15"/>
    <row r="36" spans="3:14" customFormat="1" ht="15" customHeight="1" x14ac:dyDescent="0.15"/>
    <row r="37" spans="3:14" customFormat="1" ht="15" customHeight="1" x14ac:dyDescent="0.15"/>
    <row r="38" spans="3:14" customFormat="1" ht="15" customHeight="1" x14ac:dyDescent="0.15"/>
    <row r="39" spans="3:14" customFormat="1" ht="15" customHeight="1" x14ac:dyDescent="0.15"/>
    <row r="40" spans="3:14" customFormat="1" ht="15" customHeight="1" x14ac:dyDescent="0.15"/>
    <row r="41" spans="3:14" customFormat="1" ht="15" customHeight="1" x14ac:dyDescent="0.15"/>
    <row r="42" spans="3:14" customFormat="1" ht="15" customHeight="1" x14ac:dyDescent="0.15"/>
    <row r="43" spans="3:14" customFormat="1" ht="15" customHeight="1" x14ac:dyDescent="0.15"/>
    <row r="44" spans="3:14" customFormat="1" ht="15" customHeight="1" x14ac:dyDescent="0.15"/>
    <row r="45" spans="3:14" customFormat="1" ht="15" customHeight="1" x14ac:dyDescent="0.15"/>
    <row r="46" spans="3:14" customFormat="1" ht="15" customHeight="1" x14ac:dyDescent="0.15"/>
    <row r="47" spans="3:14" customFormat="1" ht="15" customHeight="1" x14ac:dyDescent="0.15"/>
    <row r="48" spans="3:14" customFormat="1" ht="15" customHeight="1" x14ac:dyDescent="0.15"/>
    <row r="49" customFormat="1" ht="15" customHeight="1" x14ac:dyDescent="0.15"/>
    <row r="50" customFormat="1" ht="15" customHeight="1" x14ac:dyDescent="0.15"/>
    <row r="51" customFormat="1" ht="15" customHeight="1" x14ac:dyDescent="0.15"/>
    <row r="52" customFormat="1" ht="15" customHeight="1" x14ac:dyDescent="0.15"/>
    <row r="53" customFormat="1" ht="15" customHeight="1" x14ac:dyDescent="0.15"/>
    <row r="54" customFormat="1" ht="15" customHeight="1" x14ac:dyDescent="0.15"/>
    <row r="55" customFormat="1" ht="15" customHeight="1" x14ac:dyDescent="0.15"/>
    <row r="56" customFormat="1" ht="15" customHeight="1" x14ac:dyDescent="0.15"/>
    <row r="57" customFormat="1" ht="15" customHeight="1" x14ac:dyDescent="0.15"/>
    <row r="58" customFormat="1" ht="15" customHeight="1" x14ac:dyDescent="0.15"/>
    <row r="59" customFormat="1" ht="15" customHeight="1" x14ac:dyDescent="0.15"/>
    <row r="60" customFormat="1" ht="15" customHeight="1" x14ac:dyDescent="0.15"/>
    <row r="61" customFormat="1" ht="15" customHeight="1" x14ac:dyDescent="0.15"/>
    <row r="62" customFormat="1" ht="15" customHeight="1" x14ac:dyDescent="0.15"/>
    <row r="63" customFormat="1" ht="15" customHeight="1" x14ac:dyDescent="0.15"/>
    <row r="64" customFormat="1" ht="15" customHeight="1" x14ac:dyDescent="0.15"/>
    <row r="65" customFormat="1" ht="15" customHeight="1" x14ac:dyDescent="0.15"/>
    <row r="66" customFormat="1" ht="15" customHeight="1" x14ac:dyDescent="0.15"/>
    <row r="67" customFormat="1" ht="15" customHeight="1" x14ac:dyDescent="0.15"/>
    <row r="68" customFormat="1" ht="15" customHeight="1" x14ac:dyDescent="0.15"/>
    <row r="69" customFormat="1" ht="15" customHeight="1" x14ac:dyDescent="0.15"/>
    <row r="70" customFormat="1" ht="15" customHeight="1" x14ac:dyDescent="0.15"/>
    <row r="71" customFormat="1" ht="15" customHeight="1" x14ac:dyDescent="0.15"/>
    <row r="72" customFormat="1" ht="15" customHeight="1" x14ac:dyDescent="0.15"/>
    <row r="73" customFormat="1" ht="15" customHeight="1" x14ac:dyDescent="0.15"/>
    <row r="74" customFormat="1" ht="15" customHeight="1" x14ac:dyDescent="0.15"/>
    <row r="75" customFormat="1" ht="15" customHeight="1" x14ac:dyDescent="0.15"/>
    <row r="76" customFormat="1" ht="15" customHeight="1" x14ac:dyDescent="0.15"/>
    <row r="77" customFormat="1" ht="15" customHeight="1" x14ac:dyDescent="0.15"/>
    <row r="78" customFormat="1" ht="15" customHeight="1" x14ac:dyDescent="0.15"/>
    <row r="79" customFormat="1" ht="15" customHeight="1" x14ac:dyDescent="0.15"/>
    <row r="80" customFormat="1" ht="15" customHeight="1" x14ac:dyDescent="0.15"/>
    <row r="81" customFormat="1" ht="15" customHeight="1" x14ac:dyDescent="0.15"/>
    <row r="82" customFormat="1" ht="15" customHeight="1" x14ac:dyDescent="0.15"/>
    <row r="83" customFormat="1" ht="15" customHeight="1" x14ac:dyDescent="0.15"/>
    <row r="84" customFormat="1" ht="15" customHeight="1" x14ac:dyDescent="0.15"/>
    <row r="85" customFormat="1" ht="15" customHeight="1" x14ac:dyDescent="0.15"/>
    <row r="86" customFormat="1" ht="15" customHeight="1" x14ac:dyDescent="0.15"/>
    <row r="87" customFormat="1" ht="15" customHeight="1" x14ac:dyDescent="0.15"/>
    <row r="88" customFormat="1" ht="15" customHeight="1" x14ac:dyDescent="0.15"/>
    <row r="89" customFormat="1" ht="15" customHeight="1" x14ac:dyDescent="0.15"/>
    <row r="90" customFormat="1" ht="15" customHeight="1" x14ac:dyDescent="0.15"/>
    <row r="91" customFormat="1" ht="15" customHeight="1" x14ac:dyDescent="0.15"/>
    <row r="92" customFormat="1" ht="15" customHeight="1" x14ac:dyDescent="0.15"/>
    <row r="93" customFormat="1" ht="15" customHeight="1" x14ac:dyDescent="0.15"/>
    <row r="94" customFormat="1" ht="15" customHeight="1" x14ac:dyDescent="0.15"/>
    <row r="95" customFormat="1" ht="15" customHeight="1" x14ac:dyDescent="0.15"/>
    <row r="96" customFormat="1" ht="15" customHeight="1" x14ac:dyDescent="0.15"/>
    <row r="97" customFormat="1" ht="15" customHeight="1" x14ac:dyDescent="0.15"/>
    <row r="98" customFormat="1" ht="15" customHeight="1" x14ac:dyDescent="0.15"/>
    <row r="99" customFormat="1" ht="15" customHeight="1" x14ac:dyDescent="0.15"/>
    <row r="100" customFormat="1" ht="15" customHeight="1" x14ac:dyDescent="0.15"/>
    <row r="101" customFormat="1" ht="15" customHeight="1" x14ac:dyDescent="0.15"/>
    <row r="102" customFormat="1" ht="15" customHeight="1" x14ac:dyDescent="0.15"/>
    <row r="103" customFormat="1" ht="15" customHeight="1" x14ac:dyDescent="0.15"/>
    <row r="104" customFormat="1" ht="15" customHeight="1" x14ac:dyDescent="0.15"/>
    <row r="105" customFormat="1" ht="15" customHeight="1" x14ac:dyDescent="0.15"/>
    <row r="106" customFormat="1" ht="15" customHeight="1" x14ac:dyDescent="0.15"/>
    <row r="107" customFormat="1" ht="15" customHeight="1" x14ac:dyDescent="0.15"/>
    <row r="108" customFormat="1" ht="15" customHeight="1" x14ac:dyDescent="0.15"/>
    <row r="109" customFormat="1" ht="15" customHeight="1" x14ac:dyDescent="0.15"/>
    <row r="110" customFormat="1" ht="15" customHeight="1" x14ac:dyDescent="0.15"/>
    <row r="111" customFormat="1" ht="15" customHeight="1" x14ac:dyDescent="0.15"/>
    <row r="112" customFormat="1" ht="15" customHeight="1" x14ac:dyDescent="0.15"/>
    <row r="113" customFormat="1" ht="15" customHeight="1" x14ac:dyDescent="0.15"/>
    <row r="114" customFormat="1" ht="15" customHeight="1" x14ac:dyDescent="0.15"/>
    <row r="115" customFormat="1" ht="15" customHeight="1" x14ac:dyDescent="0.15"/>
    <row r="116" customFormat="1" ht="15" customHeight="1" x14ac:dyDescent="0.15"/>
    <row r="117" customFormat="1" ht="15" customHeight="1" x14ac:dyDescent="0.15"/>
    <row r="118" customFormat="1" ht="15" customHeight="1" x14ac:dyDescent="0.15"/>
    <row r="119" customFormat="1" ht="15" customHeight="1" x14ac:dyDescent="0.15"/>
    <row r="120" customFormat="1" ht="15" customHeight="1" x14ac:dyDescent="0.15"/>
    <row r="121" customFormat="1" ht="15" customHeight="1" x14ac:dyDescent="0.15"/>
    <row r="122" customFormat="1" ht="15" customHeight="1" x14ac:dyDescent="0.15"/>
    <row r="123" customFormat="1" ht="15" customHeight="1" x14ac:dyDescent="0.15"/>
    <row r="124" customFormat="1" ht="15" customHeight="1" x14ac:dyDescent="0.15"/>
    <row r="125" customFormat="1" ht="15" customHeight="1" x14ac:dyDescent="0.15"/>
    <row r="126" customFormat="1" ht="15" customHeight="1" x14ac:dyDescent="0.15"/>
    <row r="127" customFormat="1" ht="15" customHeight="1" x14ac:dyDescent="0.15"/>
    <row r="128" customFormat="1" ht="15" customHeight="1" x14ac:dyDescent="0.15"/>
    <row r="129" customFormat="1" ht="15" customHeight="1" x14ac:dyDescent="0.15"/>
    <row r="130" customFormat="1" ht="15" customHeight="1" x14ac:dyDescent="0.15"/>
    <row r="131" customFormat="1" ht="15" customHeight="1" x14ac:dyDescent="0.15"/>
    <row r="132" customFormat="1" ht="15" customHeight="1" x14ac:dyDescent="0.15"/>
    <row r="133" customFormat="1" ht="15" customHeight="1" x14ac:dyDescent="0.15"/>
    <row r="134" customFormat="1" ht="15" customHeight="1" x14ac:dyDescent="0.15"/>
    <row r="135" customFormat="1" ht="15" customHeight="1" x14ac:dyDescent="0.15"/>
    <row r="136" customFormat="1" ht="15" customHeight="1" x14ac:dyDescent="0.15"/>
    <row r="137" customFormat="1" ht="15" customHeight="1" x14ac:dyDescent="0.15"/>
    <row r="138" customFormat="1" ht="15" customHeight="1" x14ac:dyDescent="0.15"/>
    <row r="139" customFormat="1" ht="15" customHeight="1" x14ac:dyDescent="0.15"/>
    <row r="140" customFormat="1" ht="15" customHeight="1" x14ac:dyDescent="0.15"/>
    <row r="141" customFormat="1" ht="15" customHeight="1" x14ac:dyDescent="0.15"/>
    <row r="142" customFormat="1" ht="15" customHeight="1" x14ac:dyDescent="0.15"/>
    <row r="143" customFormat="1" ht="15" customHeight="1" x14ac:dyDescent="0.15"/>
    <row r="144" customFormat="1" ht="15" customHeight="1" x14ac:dyDescent="0.15"/>
    <row r="145" customFormat="1" ht="15" customHeight="1" x14ac:dyDescent="0.15"/>
    <row r="146" customFormat="1" ht="15" customHeight="1" x14ac:dyDescent="0.15"/>
    <row r="147" customFormat="1" ht="15" customHeight="1" x14ac:dyDescent="0.15"/>
    <row r="148" customFormat="1" ht="15" customHeight="1" x14ac:dyDescent="0.15"/>
    <row r="149" customFormat="1" ht="15" customHeight="1" x14ac:dyDescent="0.15"/>
    <row r="150" customFormat="1" ht="15" customHeight="1" x14ac:dyDescent="0.15"/>
    <row r="151" customFormat="1" ht="15" customHeight="1" x14ac:dyDescent="0.15"/>
    <row r="152" customFormat="1" ht="15" customHeight="1" x14ac:dyDescent="0.15"/>
    <row r="153" customFormat="1" ht="15" customHeight="1" x14ac:dyDescent="0.15"/>
    <row r="154" customFormat="1" ht="15" customHeight="1" x14ac:dyDescent="0.15"/>
    <row r="155" customFormat="1" ht="15" customHeight="1" x14ac:dyDescent="0.15"/>
    <row r="156" customFormat="1" ht="15" customHeight="1" x14ac:dyDescent="0.15"/>
    <row r="157" customFormat="1" ht="15" customHeight="1" x14ac:dyDescent="0.15"/>
    <row r="158" customFormat="1" ht="15" customHeight="1" x14ac:dyDescent="0.15"/>
    <row r="159" customFormat="1" ht="15" customHeight="1" x14ac:dyDescent="0.15"/>
    <row r="160" customFormat="1" ht="15" customHeight="1" x14ac:dyDescent="0.15"/>
    <row r="161" customFormat="1" ht="15" customHeight="1" x14ac:dyDescent="0.15"/>
    <row r="162" customFormat="1" ht="15" customHeight="1" x14ac:dyDescent="0.15"/>
    <row r="163" customFormat="1" ht="15" customHeight="1" x14ac:dyDescent="0.15"/>
    <row r="164" customFormat="1" ht="15" customHeight="1" x14ac:dyDescent="0.15"/>
    <row r="165" customFormat="1" ht="15" customHeight="1" x14ac:dyDescent="0.15"/>
    <row r="166" customFormat="1" ht="15" customHeight="1" x14ac:dyDescent="0.15"/>
    <row r="167" customFormat="1" ht="15" customHeight="1" x14ac:dyDescent="0.15"/>
    <row r="168" customFormat="1" ht="15" customHeight="1" x14ac:dyDescent="0.15"/>
    <row r="169" customFormat="1" ht="15" customHeight="1" x14ac:dyDescent="0.15"/>
    <row r="170" customFormat="1" ht="15" customHeight="1" x14ac:dyDescent="0.15"/>
    <row r="171" customFormat="1" ht="15" customHeight="1" x14ac:dyDescent="0.15"/>
    <row r="172" customFormat="1" ht="15" customHeight="1" x14ac:dyDescent="0.15"/>
    <row r="173" customFormat="1" ht="15" customHeight="1" x14ac:dyDescent="0.15"/>
    <row r="174" customFormat="1" ht="15" customHeight="1" x14ac:dyDescent="0.15"/>
    <row r="175" customFormat="1" ht="15" customHeight="1" x14ac:dyDescent="0.15"/>
    <row r="176" customFormat="1" ht="15" customHeight="1" x14ac:dyDescent="0.15"/>
    <row r="177" customFormat="1" ht="15" customHeight="1" x14ac:dyDescent="0.15"/>
    <row r="178" customFormat="1" ht="15" customHeight="1" x14ac:dyDescent="0.15"/>
    <row r="179" customFormat="1" ht="15" customHeight="1" x14ac:dyDescent="0.15"/>
    <row r="180" customFormat="1" ht="15" customHeight="1" x14ac:dyDescent="0.15"/>
    <row r="181" customFormat="1" ht="15" customHeight="1" x14ac:dyDescent="0.15"/>
    <row r="182" customFormat="1" ht="15" customHeight="1" x14ac:dyDescent="0.15"/>
    <row r="183" customFormat="1" ht="15" customHeight="1" x14ac:dyDescent="0.15"/>
    <row r="184" customFormat="1" ht="15" customHeight="1" x14ac:dyDescent="0.15"/>
    <row r="185" customFormat="1" ht="15" customHeight="1" x14ac:dyDescent="0.15"/>
    <row r="186" customFormat="1" ht="15" customHeight="1" x14ac:dyDescent="0.15"/>
    <row r="187" customFormat="1" ht="15" customHeight="1" x14ac:dyDescent="0.15"/>
    <row r="188" customFormat="1" ht="15" customHeight="1" x14ac:dyDescent="0.15"/>
    <row r="189" customFormat="1" ht="15" customHeight="1" x14ac:dyDescent="0.15"/>
    <row r="190" customFormat="1" ht="15" customHeight="1" x14ac:dyDescent="0.15"/>
    <row r="191" customFormat="1" ht="15" customHeight="1" x14ac:dyDescent="0.15"/>
    <row r="192" customFormat="1" ht="15" customHeight="1" x14ac:dyDescent="0.15"/>
    <row r="193" customFormat="1" ht="15" customHeight="1" x14ac:dyDescent="0.15"/>
  </sheetData>
  <phoneticPr fontId="2" type="noConversion"/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5"/>
  </sheetPr>
  <dimension ref="A1:AH37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21.6640625" style="141" bestFit="1" customWidth="1"/>
    <col min="2" max="2" width="14.83203125" style="141" bestFit="1" customWidth="1"/>
    <col min="3" max="3" width="15.83203125" style="141" bestFit="1" customWidth="1"/>
    <col min="4" max="5" width="14.83203125" style="141" bestFit="1" customWidth="1"/>
    <col min="6" max="10" width="15.83203125" style="141" bestFit="1" customWidth="1"/>
    <col min="11" max="11" width="14.83203125" style="141" bestFit="1" customWidth="1"/>
    <col min="12" max="12" width="5.83203125" style="141" bestFit="1" customWidth="1"/>
    <col min="13" max="13" width="14.83203125" style="141" bestFit="1" customWidth="1"/>
    <col min="14" max="14" width="6.83203125" style="141" bestFit="1" customWidth="1"/>
    <col min="15" max="15" width="15.83203125" style="141" bestFit="1" customWidth="1"/>
    <col min="16" max="17" width="5.83203125" style="141" bestFit="1" customWidth="1"/>
    <col min="18" max="18" width="4.83203125" style="141" bestFit="1" customWidth="1"/>
    <col min="19" max="19" width="5.83203125" style="141" bestFit="1" customWidth="1"/>
    <col min="20" max="20" width="14.83203125" style="141" bestFit="1" customWidth="1"/>
    <col min="21" max="21" width="15.5" style="141" bestFit="1" customWidth="1"/>
    <col min="22" max="22" width="14.83203125" style="141" bestFit="1" customWidth="1"/>
    <col min="23" max="23" width="5.83203125" style="141" bestFit="1" customWidth="1"/>
    <col min="24" max="24" width="4.83203125" style="141" bestFit="1" customWidth="1"/>
    <col min="25" max="28" width="2.33203125" style="141" bestFit="1" customWidth="1"/>
    <col min="29" max="29" width="4.83203125" style="141" bestFit="1" customWidth="1"/>
    <col min="30" max="33" width="2.33203125" style="141" customWidth="1"/>
    <col min="34" max="16384" width="8.83203125" style="141"/>
  </cols>
  <sheetData>
    <row r="1" spans="1:34" x14ac:dyDescent="0.15">
      <c r="A1" s="140" t="s">
        <v>19</v>
      </c>
      <c r="B1" s="178" t="s">
        <v>192</v>
      </c>
      <c r="C1" s="178" t="s">
        <v>193</v>
      </c>
      <c r="D1" s="178" t="s">
        <v>194</v>
      </c>
      <c r="E1" s="178" t="s">
        <v>195</v>
      </c>
      <c r="F1" s="178" t="s">
        <v>196</v>
      </c>
      <c r="G1" s="178" t="s">
        <v>197</v>
      </c>
      <c r="H1" s="178" t="s">
        <v>198</v>
      </c>
      <c r="I1" s="178" t="s">
        <v>199</v>
      </c>
      <c r="J1" s="178" t="s">
        <v>200</v>
      </c>
      <c r="K1" s="178" t="s">
        <v>201</v>
      </c>
      <c r="L1" s="178" t="s">
        <v>202</v>
      </c>
      <c r="M1" s="178" t="s">
        <v>203</v>
      </c>
      <c r="N1" s="178" t="s">
        <v>204</v>
      </c>
      <c r="O1" s="178" t="s">
        <v>205</v>
      </c>
      <c r="P1" s="178" t="s">
        <v>206</v>
      </c>
      <c r="Q1" s="178" t="s">
        <v>207</v>
      </c>
      <c r="R1" s="178" t="s">
        <v>208</v>
      </c>
      <c r="S1" s="178" t="s">
        <v>209</v>
      </c>
      <c r="T1" s="178" t="s">
        <v>210</v>
      </c>
      <c r="U1" s="178" t="s">
        <v>211</v>
      </c>
      <c r="V1" s="178" t="s">
        <v>212</v>
      </c>
      <c r="W1" s="178" t="s">
        <v>213</v>
      </c>
      <c r="X1" s="178" t="s">
        <v>214</v>
      </c>
      <c r="Y1" s="178" t="s">
        <v>215</v>
      </c>
      <c r="Z1" s="178" t="s">
        <v>216</v>
      </c>
      <c r="AA1" s="178" t="s">
        <v>217</v>
      </c>
      <c r="AB1" s="178" t="s">
        <v>218</v>
      </c>
      <c r="AC1" s="178" t="s">
        <v>219</v>
      </c>
      <c r="AD1" s="178" t="s">
        <v>220</v>
      </c>
      <c r="AE1" s="178" t="s">
        <v>221</v>
      </c>
      <c r="AF1" s="178" t="s">
        <v>222</v>
      </c>
      <c r="AG1" s="178" t="s">
        <v>223</v>
      </c>
      <c r="AH1"/>
    </row>
    <row r="2" spans="1:34" customFormat="1" x14ac:dyDescent="0.15">
      <c r="A2" s="177" t="s">
        <v>192</v>
      </c>
      <c r="B2" s="141">
        <v>0</v>
      </c>
      <c r="C2" s="141">
        <v>0</v>
      </c>
      <c r="D2" s="141">
        <v>0</v>
      </c>
      <c r="E2" s="141">
        <v>0</v>
      </c>
      <c r="F2" s="141">
        <v>0</v>
      </c>
      <c r="G2" s="141">
        <v>0</v>
      </c>
      <c r="H2" s="141">
        <v>0</v>
      </c>
      <c r="I2" s="141">
        <v>0</v>
      </c>
      <c r="J2" s="141">
        <v>0</v>
      </c>
      <c r="K2" s="141">
        <v>0</v>
      </c>
      <c r="L2" s="141">
        <v>0</v>
      </c>
      <c r="M2" s="141">
        <v>0</v>
      </c>
      <c r="N2" s="141">
        <v>0</v>
      </c>
      <c r="O2" s="141">
        <v>0</v>
      </c>
      <c r="P2" s="141">
        <v>0</v>
      </c>
      <c r="Q2" s="141">
        <v>0</v>
      </c>
      <c r="R2" s="141">
        <v>0</v>
      </c>
      <c r="S2" s="141">
        <v>0</v>
      </c>
      <c r="T2" s="141">
        <v>0</v>
      </c>
      <c r="U2" s="141">
        <v>0</v>
      </c>
      <c r="V2" s="141">
        <v>0</v>
      </c>
      <c r="W2" s="141">
        <v>0</v>
      </c>
      <c r="X2" s="141">
        <v>0</v>
      </c>
      <c r="Y2" s="141">
        <v>0</v>
      </c>
      <c r="Z2" s="141">
        <v>0</v>
      </c>
      <c r="AA2" s="141">
        <v>0</v>
      </c>
      <c r="AB2" s="141">
        <v>0</v>
      </c>
      <c r="AC2" s="141">
        <v>0</v>
      </c>
      <c r="AD2" s="141">
        <v>0</v>
      </c>
      <c r="AE2" s="141">
        <v>0</v>
      </c>
      <c r="AF2" s="141">
        <v>0</v>
      </c>
      <c r="AG2" s="141">
        <v>0</v>
      </c>
    </row>
    <row r="3" spans="1:34" customFormat="1" x14ac:dyDescent="0.15">
      <c r="A3" s="177" t="s">
        <v>193</v>
      </c>
      <c r="B3" s="141">
        <v>0</v>
      </c>
      <c r="C3" s="141">
        <v>0</v>
      </c>
      <c r="D3" s="141">
        <v>0</v>
      </c>
      <c r="E3" s="141">
        <v>0</v>
      </c>
      <c r="F3" s="141">
        <v>0</v>
      </c>
      <c r="G3" s="141">
        <v>0</v>
      </c>
      <c r="H3" s="141">
        <v>0</v>
      </c>
      <c r="I3" s="141">
        <v>0</v>
      </c>
      <c r="J3" s="141">
        <v>0</v>
      </c>
      <c r="K3" s="141">
        <v>0</v>
      </c>
      <c r="L3" s="141">
        <v>0</v>
      </c>
      <c r="M3" s="141">
        <v>0</v>
      </c>
      <c r="N3" s="141">
        <v>0</v>
      </c>
      <c r="O3" s="141">
        <v>0</v>
      </c>
      <c r="P3" s="141">
        <v>0</v>
      </c>
      <c r="Q3" s="141">
        <v>0</v>
      </c>
      <c r="R3" s="141">
        <v>0</v>
      </c>
      <c r="S3" s="141">
        <v>0</v>
      </c>
      <c r="T3" s="141">
        <v>0</v>
      </c>
      <c r="U3" s="141">
        <v>0</v>
      </c>
      <c r="V3" s="141">
        <v>0</v>
      </c>
      <c r="W3" s="141">
        <v>0</v>
      </c>
      <c r="X3" s="141">
        <v>0</v>
      </c>
      <c r="Y3" s="141">
        <v>0</v>
      </c>
      <c r="Z3" s="141">
        <v>0</v>
      </c>
      <c r="AA3" s="141">
        <v>0</v>
      </c>
      <c r="AB3" s="141">
        <v>0</v>
      </c>
      <c r="AC3" s="141">
        <v>0</v>
      </c>
      <c r="AD3" s="141">
        <v>0</v>
      </c>
      <c r="AE3" s="141">
        <v>0</v>
      </c>
      <c r="AF3" s="141">
        <v>0</v>
      </c>
      <c r="AG3" s="141">
        <v>0</v>
      </c>
    </row>
    <row r="4" spans="1:34" customFormat="1" x14ac:dyDescent="0.15">
      <c r="A4" s="177" t="s">
        <v>194</v>
      </c>
      <c r="B4" s="141">
        <v>0</v>
      </c>
      <c r="C4" s="141">
        <v>0</v>
      </c>
      <c r="D4" s="141">
        <v>0</v>
      </c>
      <c r="E4" s="141">
        <v>0</v>
      </c>
      <c r="F4" s="141">
        <v>0</v>
      </c>
      <c r="G4" s="141">
        <v>0</v>
      </c>
      <c r="H4" s="141">
        <v>0</v>
      </c>
      <c r="I4" s="141">
        <v>0</v>
      </c>
      <c r="J4" s="141">
        <v>0</v>
      </c>
      <c r="K4" s="141">
        <v>0</v>
      </c>
      <c r="L4" s="141">
        <v>0</v>
      </c>
      <c r="M4" s="141">
        <v>0</v>
      </c>
      <c r="N4" s="141">
        <v>0</v>
      </c>
      <c r="O4" s="141">
        <v>0</v>
      </c>
      <c r="P4" s="141">
        <v>0</v>
      </c>
      <c r="Q4" s="141">
        <v>0</v>
      </c>
      <c r="R4" s="141">
        <v>0</v>
      </c>
      <c r="S4" s="141">
        <v>0</v>
      </c>
      <c r="T4" s="141">
        <v>0</v>
      </c>
      <c r="U4" s="141">
        <v>0</v>
      </c>
      <c r="V4" s="141">
        <v>0</v>
      </c>
      <c r="W4" s="141">
        <v>0</v>
      </c>
      <c r="X4" s="141">
        <v>0</v>
      </c>
      <c r="Y4" s="141">
        <v>0</v>
      </c>
      <c r="Z4" s="141">
        <v>0</v>
      </c>
      <c r="AA4" s="141">
        <v>0</v>
      </c>
      <c r="AB4" s="141">
        <v>0</v>
      </c>
      <c r="AC4" s="141">
        <v>0</v>
      </c>
      <c r="AD4" s="141">
        <v>0</v>
      </c>
      <c r="AE4" s="141">
        <v>0</v>
      </c>
      <c r="AF4" s="141">
        <v>0</v>
      </c>
      <c r="AG4" s="141">
        <v>0</v>
      </c>
    </row>
    <row r="5" spans="1:34" customFormat="1" x14ac:dyDescent="0.15">
      <c r="A5" s="177" t="s">
        <v>195</v>
      </c>
      <c r="B5" s="141">
        <v>0</v>
      </c>
      <c r="C5" s="141">
        <v>0</v>
      </c>
      <c r="D5" s="141">
        <v>0</v>
      </c>
      <c r="E5" s="141">
        <v>0</v>
      </c>
      <c r="F5" s="141">
        <v>0</v>
      </c>
      <c r="G5" s="141">
        <v>0</v>
      </c>
      <c r="H5" s="141">
        <v>0</v>
      </c>
      <c r="I5" s="141">
        <v>0</v>
      </c>
      <c r="J5" s="141">
        <v>0</v>
      </c>
      <c r="K5" s="141">
        <v>0</v>
      </c>
      <c r="L5" s="141">
        <v>0</v>
      </c>
      <c r="M5" s="141">
        <v>0</v>
      </c>
      <c r="N5" s="141">
        <v>0</v>
      </c>
      <c r="O5" s="141">
        <v>0</v>
      </c>
      <c r="P5" s="141">
        <v>0</v>
      </c>
      <c r="Q5" s="141">
        <v>0</v>
      </c>
      <c r="R5" s="141">
        <v>0</v>
      </c>
      <c r="S5" s="141">
        <v>0</v>
      </c>
      <c r="T5" s="141">
        <v>0</v>
      </c>
      <c r="U5" s="141">
        <v>0</v>
      </c>
      <c r="V5" s="141">
        <v>0</v>
      </c>
      <c r="W5" s="141">
        <v>0</v>
      </c>
      <c r="X5" s="141">
        <v>0</v>
      </c>
      <c r="Y5" s="141">
        <v>0</v>
      </c>
      <c r="Z5" s="141">
        <v>0</v>
      </c>
      <c r="AA5" s="141">
        <v>0</v>
      </c>
      <c r="AB5" s="141">
        <v>0</v>
      </c>
      <c r="AC5" s="141">
        <v>0</v>
      </c>
      <c r="AD5" s="141">
        <v>0</v>
      </c>
      <c r="AE5" s="141">
        <v>0</v>
      </c>
      <c r="AF5" s="141">
        <v>0</v>
      </c>
      <c r="AG5" s="141">
        <v>0</v>
      </c>
    </row>
    <row r="6" spans="1:34" customFormat="1" x14ac:dyDescent="0.15">
      <c r="A6" s="177" t="s">
        <v>196</v>
      </c>
      <c r="B6" s="141">
        <v>0</v>
      </c>
      <c r="C6" s="141">
        <v>1.2987348932154015E-2</v>
      </c>
      <c r="D6" s="141">
        <v>9.2907097370729136E-2</v>
      </c>
      <c r="E6" s="141">
        <v>0</v>
      </c>
      <c r="F6" s="141">
        <v>0</v>
      </c>
      <c r="G6" s="141">
        <v>0</v>
      </c>
      <c r="H6" s="141">
        <v>0</v>
      </c>
      <c r="I6" s="141">
        <v>0</v>
      </c>
      <c r="J6" s="141">
        <v>0</v>
      </c>
      <c r="K6" s="141">
        <v>0</v>
      </c>
      <c r="L6" s="141">
        <v>0</v>
      </c>
      <c r="M6" s="141">
        <v>0</v>
      </c>
      <c r="N6" s="141">
        <v>0</v>
      </c>
      <c r="O6" s="141">
        <v>0</v>
      </c>
      <c r="P6" s="141">
        <v>0</v>
      </c>
      <c r="Q6" s="141">
        <v>0</v>
      </c>
      <c r="R6" s="141">
        <v>0</v>
      </c>
      <c r="S6" s="141">
        <v>0</v>
      </c>
      <c r="T6" s="141">
        <v>0</v>
      </c>
      <c r="U6" s="141">
        <v>0</v>
      </c>
      <c r="V6" s="141">
        <v>0</v>
      </c>
      <c r="W6" s="141">
        <v>0</v>
      </c>
      <c r="X6" s="141">
        <v>0</v>
      </c>
      <c r="Y6" s="141">
        <v>0</v>
      </c>
      <c r="Z6" s="141">
        <v>0</v>
      </c>
      <c r="AA6" s="141">
        <v>0</v>
      </c>
      <c r="AB6" s="141">
        <v>0</v>
      </c>
      <c r="AC6" s="141">
        <v>0</v>
      </c>
      <c r="AD6" s="141">
        <v>0</v>
      </c>
      <c r="AE6" s="141">
        <v>0</v>
      </c>
      <c r="AF6" s="141">
        <v>0</v>
      </c>
      <c r="AG6" s="141">
        <v>0</v>
      </c>
    </row>
    <row r="7" spans="1:34" customFormat="1" x14ac:dyDescent="0.15">
      <c r="A7" s="177" t="s">
        <v>197</v>
      </c>
      <c r="B7" s="141">
        <v>7.2066324961817555E-3</v>
      </c>
      <c r="C7" s="141">
        <v>3.3966908053325667E-2</v>
      </c>
      <c r="D7" s="141">
        <v>0</v>
      </c>
      <c r="E7" s="141">
        <v>4.9999999871500004E-3</v>
      </c>
      <c r="F7" s="141">
        <v>1.5024579762419573E-2</v>
      </c>
      <c r="G7" s="141">
        <v>6.9890165438338779E-3</v>
      </c>
      <c r="H7" s="141">
        <v>7.5902773925539652E-2</v>
      </c>
      <c r="I7" s="141">
        <v>8.7307151919796978E-3</v>
      </c>
      <c r="J7" s="141">
        <v>1.7210721642348638E-4</v>
      </c>
      <c r="K7" s="141">
        <v>0</v>
      </c>
      <c r="L7" s="141">
        <v>0</v>
      </c>
      <c r="M7" s="141">
        <v>5.0100192824849635E-2</v>
      </c>
      <c r="N7" s="141">
        <v>2E-3</v>
      </c>
      <c r="O7" s="141">
        <v>1.3480849243006727E-3</v>
      </c>
      <c r="P7" s="141">
        <v>0</v>
      </c>
      <c r="Q7" s="141">
        <v>0</v>
      </c>
      <c r="R7" s="141">
        <v>0</v>
      </c>
      <c r="S7" s="141">
        <v>0</v>
      </c>
      <c r="T7" s="141">
        <v>1.9940182757327749E-3</v>
      </c>
      <c r="U7" s="141">
        <v>5.0023089180621797E-3</v>
      </c>
      <c r="V7" s="141">
        <v>0</v>
      </c>
      <c r="W7" s="141">
        <v>0</v>
      </c>
      <c r="X7" s="141">
        <v>0</v>
      </c>
      <c r="Y7" s="141">
        <v>0</v>
      </c>
      <c r="Z7" s="141">
        <v>0</v>
      </c>
      <c r="AA7" s="141">
        <v>0</v>
      </c>
      <c r="AB7" s="141">
        <v>0</v>
      </c>
      <c r="AC7" s="141">
        <v>0</v>
      </c>
      <c r="AD7" s="141">
        <v>0</v>
      </c>
      <c r="AE7" s="141">
        <v>0</v>
      </c>
      <c r="AF7" s="141">
        <v>0</v>
      </c>
      <c r="AG7" s="141">
        <v>0</v>
      </c>
    </row>
    <row r="8" spans="1:34" customFormat="1" x14ac:dyDescent="0.15">
      <c r="A8" s="177" t="s">
        <v>198</v>
      </c>
      <c r="B8" s="141">
        <v>0</v>
      </c>
      <c r="C8" s="141">
        <v>7.9922149090178654E-3</v>
      </c>
      <c r="D8" s="141">
        <v>4.1958044012587355E-2</v>
      </c>
      <c r="E8" s="141">
        <v>0</v>
      </c>
      <c r="F8" s="141">
        <v>0</v>
      </c>
      <c r="G8" s="141">
        <v>0</v>
      </c>
      <c r="H8" s="141">
        <v>0</v>
      </c>
      <c r="I8" s="141">
        <v>0</v>
      </c>
      <c r="J8" s="141">
        <v>0</v>
      </c>
      <c r="K8" s="141">
        <v>0</v>
      </c>
      <c r="L8" s="141">
        <v>0</v>
      </c>
      <c r="M8" s="141">
        <v>0</v>
      </c>
      <c r="N8" s="141">
        <v>0</v>
      </c>
      <c r="O8" s="141">
        <v>0</v>
      </c>
      <c r="P8" s="141">
        <v>0</v>
      </c>
      <c r="Q8" s="141">
        <v>0</v>
      </c>
      <c r="R8" s="141">
        <v>0</v>
      </c>
      <c r="S8" s="141">
        <v>0</v>
      </c>
      <c r="T8" s="141">
        <v>0</v>
      </c>
      <c r="U8" s="141">
        <v>0</v>
      </c>
      <c r="V8" s="141">
        <v>0</v>
      </c>
      <c r="W8" s="141">
        <v>0</v>
      </c>
      <c r="X8" s="141">
        <v>0</v>
      </c>
      <c r="Y8" s="141">
        <v>0</v>
      </c>
      <c r="Z8" s="141">
        <v>0</v>
      </c>
      <c r="AA8" s="141">
        <v>0</v>
      </c>
      <c r="AB8" s="141">
        <v>0</v>
      </c>
      <c r="AC8" s="141">
        <v>0</v>
      </c>
      <c r="AD8" s="141">
        <v>0</v>
      </c>
      <c r="AE8" s="141">
        <v>0</v>
      </c>
      <c r="AF8" s="141">
        <v>0</v>
      </c>
      <c r="AG8" s="141">
        <v>0</v>
      </c>
    </row>
    <row r="9" spans="1:34" customFormat="1" x14ac:dyDescent="0.15">
      <c r="A9" s="177" t="s">
        <v>199</v>
      </c>
      <c r="B9" s="141">
        <v>0</v>
      </c>
      <c r="C9" s="141">
        <v>7.7924083792923621E-2</v>
      </c>
      <c r="D9" s="141">
        <v>0.3366633264724278</v>
      </c>
      <c r="E9" s="141">
        <v>0</v>
      </c>
      <c r="F9" s="141">
        <v>7.0114687291289437E-3</v>
      </c>
      <c r="G9" s="141">
        <v>1.996861869666822E-3</v>
      </c>
      <c r="H9" s="141">
        <v>0.12683750655978215</v>
      </c>
      <c r="I9" s="141">
        <v>5.4517461198784469E-3</v>
      </c>
      <c r="J9" s="141">
        <v>1.1837550486189966E-2</v>
      </c>
      <c r="K9" s="141">
        <v>2.7997199132086823E-3</v>
      </c>
      <c r="L9" s="141">
        <v>0</v>
      </c>
      <c r="M9" s="141">
        <v>1.0020039084969931E-3</v>
      </c>
      <c r="N9" s="141">
        <v>0</v>
      </c>
      <c r="O9" s="141">
        <v>0</v>
      </c>
      <c r="P9" s="141">
        <v>0</v>
      </c>
      <c r="Q9" s="141">
        <v>0</v>
      </c>
      <c r="R9" s="141">
        <v>0</v>
      </c>
      <c r="S9" s="141">
        <v>0</v>
      </c>
      <c r="T9" s="141">
        <v>0</v>
      </c>
      <c r="U9" s="141">
        <v>0</v>
      </c>
      <c r="V9" s="141">
        <v>0</v>
      </c>
      <c r="W9" s="141">
        <v>0</v>
      </c>
      <c r="X9" s="141">
        <v>0</v>
      </c>
      <c r="Y9" s="141">
        <v>0</v>
      </c>
      <c r="Z9" s="141">
        <v>0</v>
      </c>
      <c r="AA9" s="141">
        <v>0</v>
      </c>
      <c r="AB9" s="141">
        <v>0</v>
      </c>
      <c r="AC9" s="141">
        <v>0</v>
      </c>
      <c r="AD9" s="141">
        <v>0</v>
      </c>
      <c r="AE9" s="141">
        <v>0</v>
      </c>
      <c r="AF9" s="141">
        <v>0</v>
      </c>
      <c r="AG9" s="141">
        <v>0</v>
      </c>
    </row>
    <row r="10" spans="1:34" customFormat="1" x14ac:dyDescent="0.15">
      <c r="A10" s="177" t="s">
        <v>200</v>
      </c>
      <c r="B10" s="141">
        <v>0</v>
      </c>
      <c r="C10" s="141">
        <v>8.9594714360986892E-4</v>
      </c>
      <c r="D10" s="141">
        <v>0</v>
      </c>
      <c r="E10" s="141">
        <v>0</v>
      </c>
      <c r="F10" s="141">
        <v>0</v>
      </c>
      <c r="G10" s="141">
        <v>0</v>
      </c>
      <c r="H10" s="141">
        <v>0</v>
      </c>
      <c r="I10" s="141">
        <v>0</v>
      </c>
      <c r="J10" s="141">
        <v>0</v>
      </c>
      <c r="K10" s="141">
        <v>0</v>
      </c>
      <c r="L10" s="141">
        <v>0</v>
      </c>
      <c r="M10" s="141">
        <v>0</v>
      </c>
      <c r="N10" s="141">
        <v>0</v>
      </c>
      <c r="O10" s="141">
        <v>0</v>
      </c>
      <c r="P10" s="141">
        <v>0</v>
      </c>
      <c r="Q10" s="141">
        <v>0</v>
      </c>
      <c r="R10" s="141">
        <v>0</v>
      </c>
      <c r="S10" s="141">
        <v>0</v>
      </c>
      <c r="T10" s="141">
        <v>0</v>
      </c>
      <c r="U10" s="141">
        <v>0</v>
      </c>
      <c r="V10" s="141">
        <v>0</v>
      </c>
      <c r="W10" s="141">
        <v>0</v>
      </c>
      <c r="X10" s="141">
        <v>0</v>
      </c>
      <c r="Y10" s="141">
        <v>0</v>
      </c>
      <c r="Z10" s="141">
        <v>0</v>
      </c>
      <c r="AA10" s="141">
        <v>0</v>
      </c>
      <c r="AB10" s="141">
        <v>0</v>
      </c>
      <c r="AC10" s="141">
        <v>0</v>
      </c>
      <c r="AD10" s="141">
        <v>0</v>
      </c>
      <c r="AE10" s="141">
        <v>0</v>
      </c>
      <c r="AF10" s="141">
        <v>0</v>
      </c>
      <c r="AG10" s="141">
        <v>0</v>
      </c>
    </row>
    <row r="11" spans="1:34" customFormat="1" x14ac:dyDescent="0.15">
      <c r="A11" s="177" t="s">
        <v>201</v>
      </c>
      <c r="B11" s="141">
        <v>0</v>
      </c>
      <c r="C11" s="141">
        <v>1.6983459626663103E-2</v>
      </c>
      <c r="D11" s="141">
        <v>0</v>
      </c>
      <c r="E11" s="141">
        <v>0</v>
      </c>
      <c r="F11" s="141">
        <v>1.1018020345773852E-2</v>
      </c>
      <c r="G11" s="141">
        <v>2.9371538082949072E-4</v>
      </c>
      <c r="H11" s="141">
        <v>9.5188064922936341E-4</v>
      </c>
      <c r="I11" s="141">
        <v>0</v>
      </c>
      <c r="J11" s="141">
        <v>1.225568085281467E-3</v>
      </c>
      <c r="K11" s="141">
        <v>4.4995498605139538E-3</v>
      </c>
      <c r="L11" s="141">
        <v>0</v>
      </c>
      <c r="M11" s="141">
        <v>1.0020039084969931E-3</v>
      </c>
      <c r="N11" s="141">
        <v>0</v>
      </c>
      <c r="O11" s="141">
        <v>9.6906102465678877E-4</v>
      </c>
      <c r="P11" s="141">
        <v>0</v>
      </c>
      <c r="Q11" s="141">
        <v>0</v>
      </c>
      <c r="R11" s="141">
        <v>0</v>
      </c>
      <c r="S11" s="141">
        <v>0</v>
      </c>
      <c r="T11" s="141">
        <v>0</v>
      </c>
      <c r="U11" s="141">
        <v>0</v>
      </c>
      <c r="V11" s="141">
        <v>0</v>
      </c>
      <c r="W11" s="141">
        <v>0</v>
      </c>
      <c r="X11" s="141">
        <v>0</v>
      </c>
      <c r="Y11" s="141">
        <v>0</v>
      </c>
      <c r="Z11" s="141">
        <v>0</v>
      </c>
      <c r="AA11" s="141">
        <v>0</v>
      </c>
      <c r="AB11" s="141">
        <v>0</v>
      </c>
      <c r="AC11" s="141">
        <v>0</v>
      </c>
      <c r="AD11" s="141">
        <v>0</v>
      </c>
      <c r="AE11" s="141">
        <v>0</v>
      </c>
      <c r="AF11" s="141">
        <v>0</v>
      </c>
      <c r="AG11" s="141">
        <v>0</v>
      </c>
    </row>
    <row r="12" spans="1:34" customFormat="1" x14ac:dyDescent="0.15">
      <c r="A12" s="177" t="s">
        <v>202</v>
      </c>
      <c r="B12" s="141">
        <v>0</v>
      </c>
      <c r="C12" s="141">
        <v>6.9931873403905965E-3</v>
      </c>
      <c r="D12" s="141">
        <v>0.16283721739170673</v>
      </c>
      <c r="E12" s="141">
        <v>0</v>
      </c>
      <c r="F12" s="141">
        <v>3.3109961643134717E-4</v>
      </c>
      <c r="G12" s="141">
        <v>1.0317089326613896E-6</v>
      </c>
      <c r="H12" s="141">
        <v>2.4237591253519746E-3</v>
      </c>
      <c r="I12" s="141">
        <v>0</v>
      </c>
      <c r="J12" s="141">
        <v>1.245390068439893E-4</v>
      </c>
      <c r="K12" s="141">
        <v>0</v>
      </c>
      <c r="L12" s="141">
        <v>0</v>
      </c>
      <c r="M12" s="141">
        <v>7.0140283194789601E-3</v>
      </c>
      <c r="N12" s="141">
        <v>0</v>
      </c>
      <c r="O12" s="141">
        <v>0</v>
      </c>
      <c r="P12" s="141">
        <v>0</v>
      </c>
      <c r="Q12" s="141">
        <v>0</v>
      </c>
      <c r="R12" s="141">
        <v>0</v>
      </c>
      <c r="S12" s="141">
        <v>0</v>
      </c>
      <c r="T12" s="141">
        <v>0</v>
      </c>
      <c r="U12" s="141">
        <v>0</v>
      </c>
      <c r="V12" s="141">
        <v>0</v>
      </c>
      <c r="W12" s="141">
        <v>0</v>
      </c>
      <c r="X12" s="141">
        <v>0</v>
      </c>
      <c r="Y12" s="141">
        <v>0</v>
      </c>
      <c r="Z12" s="141">
        <v>0</v>
      </c>
      <c r="AA12" s="141">
        <v>0</v>
      </c>
      <c r="AB12" s="141">
        <v>0</v>
      </c>
      <c r="AC12" s="141">
        <v>0</v>
      </c>
      <c r="AD12" s="141">
        <v>0</v>
      </c>
      <c r="AE12" s="141">
        <v>0</v>
      </c>
      <c r="AF12" s="141">
        <v>0</v>
      </c>
      <c r="AG12" s="141">
        <v>0</v>
      </c>
    </row>
    <row r="13" spans="1:34" customFormat="1" x14ac:dyDescent="0.15">
      <c r="A13" s="177" t="s">
        <v>203</v>
      </c>
      <c r="B13" s="141">
        <v>0</v>
      </c>
      <c r="C13" s="141">
        <v>0</v>
      </c>
      <c r="D13" s="141">
        <v>0</v>
      </c>
      <c r="E13" s="141">
        <v>0</v>
      </c>
      <c r="F13" s="141">
        <v>9.0735119435626741E-6</v>
      </c>
      <c r="G13" s="141">
        <v>0</v>
      </c>
      <c r="H13" s="141">
        <v>9.6609544996452445E-4</v>
      </c>
      <c r="I13" s="141">
        <v>0</v>
      </c>
      <c r="J13" s="141">
        <v>0</v>
      </c>
      <c r="K13" s="141">
        <v>0</v>
      </c>
      <c r="L13" s="141">
        <v>0</v>
      </c>
      <c r="M13" s="141">
        <v>0</v>
      </c>
      <c r="N13" s="141">
        <v>0</v>
      </c>
      <c r="O13" s="141">
        <v>2.9601867553189919E-4</v>
      </c>
      <c r="P13" s="141">
        <v>0</v>
      </c>
      <c r="Q13" s="141">
        <v>0</v>
      </c>
      <c r="R13" s="141">
        <v>0</v>
      </c>
      <c r="S13" s="141">
        <v>0</v>
      </c>
      <c r="T13" s="141">
        <v>0</v>
      </c>
      <c r="U13" s="141">
        <v>0</v>
      </c>
      <c r="V13" s="141">
        <v>0</v>
      </c>
      <c r="W13" s="141">
        <v>0</v>
      </c>
      <c r="X13" s="141">
        <v>0</v>
      </c>
      <c r="Y13" s="141">
        <v>0</v>
      </c>
      <c r="Z13" s="141">
        <v>0</v>
      </c>
      <c r="AA13" s="141">
        <v>0</v>
      </c>
      <c r="AB13" s="141">
        <v>0</v>
      </c>
      <c r="AC13" s="141">
        <v>0</v>
      </c>
      <c r="AD13" s="141">
        <v>0</v>
      </c>
      <c r="AE13" s="141">
        <v>0</v>
      </c>
      <c r="AF13" s="141">
        <v>0</v>
      </c>
      <c r="AG13" s="141">
        <v>0</v>
      </c>
    </row>
    <row r="14" spans="1:34" customFormat="1" x14ac:dyDescent="0.15">
      <c r="A14" s="177" t="s">
        <v>204</v>
      </c>
      <c r="B14" s="141">
        <v>0</v>
      </c>
      <c r="C14" s="141">
        <v>4.9951339731361486E-3</v>
      </c>
      <c r="D14" s="141">
        <v>4.8951043314685472E-2</v>
      </c>
      <c r="E14" s="141">
        <v>0</v>
      </c>
      <c r="F14" s="141">
        <v>9.014744937451441E-3</v>
      </c>
      <c r="G14" s="141">
        <v>6.4739955774487811E-5</v>
      </c>
      <c r="H14" s="141">
        <v>0.25614011324705438</v>
      </c>
      <c r="I14" s="141">
        <v>2.7289050600058939E-5</v>
      </c>
      <c r="J14" s="141">
        <v>0</v>
      </c>
      <c r="K14" s="141">
        <v>1.1998799628037209E-3</v>
      </c>
      <c r="L14" s="141">
        <v>0</v>
      </c>
      <c r="M14" s="141">
        <v>8.617234073074144E-2</v>
      </c>
      <c r="N14" s="141">
        <v>7.0000000000000001E-3</v>
      </c>
      <c r="O14" s="141">
        <v>1.7143078536188492E-2</v>
      </c>
      <c r="P14" s="141">
        <v>0</v>
      </c>
      <c r="Q14" s="141">
        <v>0</v>
      </c>
      <c r="R14" s="141">
        <v>0</v>
      </c>
      <c r="S14" s="141">
        <v>0</v>
      </c>
      <c r="T14" s="141">
        <v>1.9940182757327749E-3</v>
      </c>
      <c r="U14" s="141">
        <v>0</v>
      </c>
      <c r="V14" s="141">
        <v>0</v>
      </c>
      <c r="W14" s="141">
        <v>0</v>
      </c>
      <c r="X14" s="141">
        <v>0</v>
      </c>
      <c r="Y14" s="141">
        <v>0</v>
      </c>
      <c r="Z14" s="141">
        <v>0</v>
      </c>
      <c r="AA14" s="141">
        <v>0</v>
      </c>
      <c r="AB14" s="141">
        <v>0</v>
      </c>
      <c r="AC14" s="141">
        <v>0</v>
      </c>
      <c r="AD14" s="141">
        <v>0</v>
      </c>
      <c r="AE14" s="141">
        <v>0</v>
      </c>
      <c r="AF14" s="141">
        <v>0</v>
      </c>
      <c r="AG14" s="141">
        <v>0</v>
      </c>
    </row>
    <row r="15" spans="1:34" customFormat="1" x14ac:dyDescent="0.15">
      <c r="A15" s="177" t="s">
        <v>205</v>
      </c>
      <c r="B15" s="141">
        <v>7.6530602189540525E-3</v>
      </c>
      <c r="C15" s="141">
        <v>0</v>
      </c>
      <c r="D15" s="141">
        <v>0</v>
      </c>
      <c r="E15" s="141">
        <v>0</v>
      </c>
      <c r="F15" s="141">
        <v>0</v>
      </c>
      <c r="G15" s="141">
        <v>0</v>
      </c>
      <c r="H15" s="141">
        <v>0</v>
      </c>
      <c r="I15" s="141">
        <v>0</v>
      </c>
      <c r="J15" s="141">
        <v>0</v>
      </c>
      <c r="K15" s="141">
        <v>0</v>
      </c>
      <c r="L15" s="141">
        <v>0</v>
      </c>
      <c r="M15" s="141">
        <v>0</v>
      </c>
      <c r="N15" s="141">
        <v>0</v>
      </c>
      <c r="O15" s="141">
        <v>0</v>
      </c>
      <c r="P15" s="141">
        <v>0</v>
      </c>
      <c r="Q15" s="141">
        <v>0</v>
      </c>
      <c r="R15" s="141">
        <v>0</v>
      </c>
      <c r="S15" s="141">
        <v>0</v>
      </c>
      <c r="T15" s="141">
        <v>0</v>
      </c>
      <c r="U15" s="141">
        <v>0</v>
      </c>
      <c r="V15" s="141">
        <v>0</v>
      </c>
      <c r="W15" s="141">
        <v>0</v>
      </c>
      <c r="X15" s="141">
        <v>0</v>
      </c>
      <c r="Y15" s="141">
        <v>0</v>
      </c>
      <c r="Z15" s="141">
        <v>0</v>
      </c>
      <c r="AA15" s="141">
        <v>0</v>
      </c>
      <c r="AB15" s="141">
        <v>0</v>
      </c>
      <c r="AC15" s="141">
        <v>0</v>
      </c>
      <c r="AD15" s="141">
        <v>0</v>
      </c>
      <c r="AE15" s="141">
        <v>0</v>
      </c>
      <c r="AF15" s="141">
        <v>0</v>
      </c>
      <c r="AG15" s="141">
        <v>0</v>
      </c>
    </row>
    <row r="16" spans="1:34" customFormat="1" x14ac:dyDescent="0.15">
      <c r="A16" s="177" t="s">
        <v>206</v>
      </c>
      <c r="B16" s="141">
        <v>7.6530602189540525E-3</v>
      </c>
      <c r="C16" s="141">
        <v>4.6954252285479454E-2</v>
      </c>
      <c r="D16" s="141">
        <v>0.11988010660739297</v>
      </c>
      <c r="E16" s="141">
        <v>1.6000001438879898E-2</v>
      </c>
      <c r="F16" s="141">
        <v>3.9063901062290234E-2</v>
      </c>
      <c r="G16" s="141">
        <v>2.3962338436002126E-2</v>
      </c>
      <c r="H16" s="141">
        <v>8.5802204437518403E-2</v>
      </c>
      <c r="I16" s="141">
        <v>7.5540951661069999E-3</v>
      </c>
      <c r="J16" s="141">
        <v>9.7857905592634627E-3</v>
      </c>
      <c r="K16" s="141">
        <v>8.9991007210278775E-3</v>
      </c>
      <c r="L16" s="141">
        <v>2.1000000000000001E-2</v>
      </c>
      <c r="M16" s="141">
        <v>0.11122248394316665</v>
      </c>
      <c r="N16" s="141">
        <v>1E-3</v>
      </c>
      <c r="O16" s="141">
        <v>4.1402603853447852E-4</v>
      </c>
      <c r="P16" s="141">
        <v>0.01</v>
      </c>
      <c r="Q16" s="141">
        <v>0</v>
      </c>
      <c r="R16" s="141">
        <v>0</v>
      </c>
      <c r="S16" s="141">
        <v>0</v>
      </c>
      <c r="T16" s="141">
        <v>3.4895312925324121E-2</v>
      </c>
      <c r="U16" s="141">
        <v>2.5085379589101482E-5</v>
      </c>
      <c r="V16" s="141">
        <v>0</v>
      </c>
      <c r="W16" s="141">
        <v>0</v>
      </c>
      <c r="X16" s="141">
        <v>0</v>
      </c>
      <c r="Y16" s="141">
        <v>0</v>
      </c>
      <c r="Z16" s="141">
        <v>0</v>
      </c>
      <c r="AA16" s="141">
        <v>0</v>
      </c>
      <c r="AB16" s="141">
        <v>0</v>
      </c>
      <c r="AC16" s="141">
        <v>0</v>
      </c>
      <c r="AD16" s="141">
        <v>0</v>
      </c>
      <c r="AE16" s="141">
        <v>0</v>
      </c>
      <c r="AF16" s="141">
        <v>0</v>
      </c>
      <c r="AG16" s="141">
        <v>0</v>
      </c>
    </row>
    <row r="17" spans="1:33" customFormat="1" x14ac:dyDescent="0.15">
      <c r="A17" s="177" t="s">
        <v>207</v>
      </c>
      <c r="B17" s="141">
        <v>0.5449618855913595</v>
      </c>
      <c r="C17" s="141">
        <v>0.31868960051208883</v>
      </c>
      <c r="D17" s="141">
        <v>7.9920087738261508E-3</v>
      </c>
      <c r="E17" s="141">
        <v>0.69999999720100026</v>
      </c>
      <c r="F17" s="141">
        <v>0.68411897114214759</v>
      </c>
      <c r="G17" s="141">
        <v>0.42932527197836878</v>
      </c>
      <c r="H17" s="141">
        <v>0.38233581977364395</v>
      </c>
      <c r="I17" s="141">
        <v>0.83343461832639398</v>
      </c>
      <c r="J17" s="141">
        <v>0.39740130632174531</v>
      </c>
      <c r="K17" s="141">
        <v>0.43935608637996132</v>
      </c>
      <c r="L17" s="141">
        <v>6.0000000000000001E-3</v>
      </c>
      <c r="M17" s="141">
        <v>0.11322648896016062</v>
      </c>
      <c r="N17" s="141">
        <v>8.5000000000000006E-3</v>
      </c>
      <c r="O17" s="141">
        <v>1.9108208386189256E-2</v>
      </c>
      <c r="P17" s="141">
        <v>0.02</v>
      </c>
      <c r="Q17" s="141">
        <v>0.01</v>
      </c>
      <c r="R17" s="141">
        <v>0</v>
      </c>
      <c r="S17" s="141">
        <v>3.7999999999999999E-2</v>
      </c>
      <c r="T17" s="141">
        <v>0.14456631509062698</v>
      </c>
      <c r="U17" s="141">
        <v>0.75835008757822553</v>
      </c>
      <c r="V17" s="141">
        <v>0</v>
      </c>
      <c r="W17" s="141">
        <v>0</v>
      </c>
      <c r="X17" s="141">
        <v>0</v>
      </c>
      <c r="Y17" s="141">
        <v>0</v>
      </c>
      <c r="Z17" s="141">
        <v>0</v>
      </c>
      <c r="AA17" s="141">
        <v>0</v>
      </c>
      <c r="AB17" s="141">
        <v>0</v>
      </c>
      <c r="AC17" s="141">
        <v>0</v>
      </c>
      <c r="AD17" s="141">
        <v>0</v>
      </c>
      <c r="AE17" s="141">
        <v>0</v>
      </c>
      <c r="AF17" s="141">
        <v>0</v>
      </c>
      <c r="AG17" s="141">
        <v>0</v>
      </c>
    </row>
    <row r="18" spans="1:33" customFormat="1" x14ac:dyDescent="0.15">
      <c r="A18" s="177" t="s">
        <v>208</v>
      </c>
      <c r="B18" s="141">
        <v>5.8120714262833634E-2</v>
      </c>
      <c r="C18" s="141">
        <v>9.4907524619585792E-2</v>
      </c>
      <c r="D18" s="141">
        <v>0</v>
      </c>
      <c r="E18" s="141">
        <v>5.0000000871499937E-2</v>
      </c>
      <c r="F18" s="141">
        <v>4.1067179870613001E-2</v>
      </c>
      <c r="G18" s="141">
        <v>3.0951357979835812E-2</v>
      </c>
      <c r="H18" s="141">
        <v>0</v>
      </c>
      <c r="I18" s="141">
        <v>2.0084440441636763E-4</v>
      </c>
      <c r="J18" s="141">
        <v>6.8841930969242293E-2</v>
      </c>
      <c r="K18" s="141">
        <v>4.1195878722927751E-2</v>
      </c>
      <c r="L18" s="141">
        <v>6.0000000000000001E-3</v>
      </c>
      <c r="M18" s="141">
        <v>0.11322648896016062</v>
      </c>
      <c r="N18" s="141">
        <v>1E-3</v>
      </c>
      <c r="O18" s="141">
        <v>4.7723004914264145E-3</v>
      </c>
      <c r="P18" s="141">
        <v>5.0000000000000001E-3</v>
      </c>
      <c r="Q18" s="141">
        <v>0.01</v>
      </c>
      <c r="R18" s="141">
        <v>0</v>
      </c>
      <c r="S18" s="141">
        <v>0</v>
      </c>
      <c r="T18" s="141">
        <v>1.5952142485862502E-2</v>
      </c>
      <c r="U18" s="141">
        <v>3.0013859508372979E-3</v>
      </c>
      <c r="V18" s="141">
        <v>0</v>
      </c>
      <c r="W18" s="141">
        <v>0</v>
      </c>
      <c r="X18" s="141">
        <v>0</v>
      </c>
      <c r="Y18" s="141">
        <v>0</v>
      </c>
      <c r="Z18" s="141">
        <v>0</v>
      </c>
      <c r="AA18" s="141">
        <v>0</v>
      </c>
      <c r="AB18" s="141">
        <v>0</v>
      </c>
      <c r="AC18" s="141">
        <v>0</v>
      </c>
      <c r="AD18" s="141">
        <v>0</v>
      </c>
      <c r="AE18" s="141">
        <v>0</v>
      </c>
      <c r="AF18" s="141">
        <v>0</v>
      </c>
      <c r="AG18" s="141">
        <v>0</v>
      </c>
    </row>
    <row r="19" spans="1:33" customFormat="1" x14ac:dyDescent="0.15">
      <c r="A19" s="177" t="s">
        <v>209</v>
      </c>
      <c r="B19" s="141">
        <v>0</v>
      </c>
      <c r="C19" s="141">
        <v>0.21878687564936367</v>
      </c>
      <c r="D19" s="141">
        <v>1.3986010604195898E-2</v>
      </c>
      <c r="E19" s="141">
        <v>5.999999804580014E-2</v>
      </c>
      <c r="F19" s="141">
        <v>2.5040958804031843E-2</v>
      </c>
      <c r="G19" s="141">
        <v>3.1949797914668635E-2</v>
      </c>
      <c r="H19" s="141">
        <v>2.6694331380577429E-2</v>
      </c>
      <c r="I19" s="141">
        <v>4.9739921093731133E-2</v>
      </c>
      <c r="J19" s="141">
        <v>8.1833779339357559E-4</v>
      </c>
      <c r="K19" s="141">
        <v>5.4994498295170549E-3</v>
      </c>
      <c r="L19" s="141">
        <v>0</v>
      </c>
      <c r="M19" s="141">
        <v>1.0020039084969931E-3</v>
      </c>
      <c r="N19" s="141">
        <v>0</v>
      </c>
      <c r="O19" s="141">
        <v>0</v>
      </c>
      <c r="P19" s="141">
        <v>0.01</v>
      </c>
      <c r="Q19" s="141">
        <v>0</v>
      </c>
      <c r="R19" s="141">
        <v>0</v>
      </c>
      <c r="S19" s="141">
        <v>2E-3</v>
      </c>
      <c r="T19" s="141">
        <v>0</v>
      </c>
      <c r="U19" s="141">
        <v>0</v>
      </c>
      <c r="V19" s="141">
        <v>0</v>
      </c>
      <c r="W19" s="141">
        <v>0</v>
      </c>
      <c r="X19" s="141">
        <v>0</v>
      </c>
      <c r="Y19" s="141">
        <v>0</v>
      </c>
      <c r="Z19" s="141">
        <v>0</v>
      </c>
      <c r="AA19" s="141">
        <v>0</v>
      </c>
      <c r="AB19" s="141">
        <v>0</v>
      </c>
      <c r="AC19" s="141">
        <v>0</v>
      </c>
      <c r="AD19" s="141">
        <v>0</v>
      </c>
      <c r="AE19" s="141">
        <v>0</v>
      </c>
      <c r="AF19" s="141">
        <v>0</v>
      </c>
      <c r="AG19" s="141">
        <v>0</v>
      </c>
    </row>
    <row r="20" spans="1:33" customFormat="1" x14ac:dyDescent="0.15">
      <c r="A20" s="177" t="s">
        <v>210</v>
      </c>
      <c r="B20" s="141">
        <v>0</v>
      </c>
      <c r="C20" s="141">
        <v>9.9902674862722756E-4</v>
      </c>
      <c r="D20" s="141">
        <v>0</v>
      </c>
      <c r="E20" s="141">
        <v>1.0000000874299936E-3</v>
      </c>
      <c r="F20" s="141">
        <v>0</v>
      </c>
      <c r="G20" s="141">
        <v>0</v>
      </c>
      <c r="H20" s="141">
        <v>1.8528920958278735E-3</v>
      </c>
      <c r="I20" s="141">
        <v>0</v>
      </c>
      <c r="J20" s="141">
        <v>0</v>
      </c>
      <c r="K20" s="141">
        <v>0</v>
      </c>
      <c r="L20" s="141">
        <v>0</v>
      </c>
      <c r="M20" s="141">
        <v>0</v>
      </c>
      <c r="N20" s="141">
        <v>0</v>
      </c>
      <c r="O20" s="141">
        <v>0</v>
      </c>
      <c r="P20" s="141">
        <v>0</v>
      </c>
      <c r="Q20" s="141">
        <v>0</v>
      </c>
      <c r="R20" s="141">
        <v>0</v>
      </c>
      <c r="S20" s="141">
        <v>0</v>
      </c>
      <c r="T20" s="141">
        <v>0</v>
      </c>
      <c r="U20" s="141">
        <v>0</v>
      </c>
      <c r="V20" s="141">
        <v>0</v>
      </c>
      <c r="W20" s="141">
        <v>0</v>
      </c>
      <c r="X20" s="141">
        <v>0</v>
      </c>
      <c r="Y20" s="141">
        <v>0</v>
      </c>
      <c r="Z20" s="141">
        <v>0</v>
      </c>
      <c r="AA20" s="141">
        <v>0</v>
      </c>
      <c r="AB20" s="141">
        <v>0</v>
      </c>
      <c r="AC20" s="141">
        <v>0</v>
      </c>
      <c r="AD20" s="141">
        <v>0</v>
      </c>
      <c r="AE20" s="141">
        <v>0</v>
      </c>
      <c r="AF20" s="141">
        <v>0</v>
      </c>
      <c r="AG20" s="141">
        <v>0</v>
      </c>
    </row>
    <row r="21" spans="1:33" customFormat="1" x14ac:dyDescent="0.15">
      <c r="A21" s="177" t="s">
        <v>211</v>
      </c>
      <c r="B21" s="141">
        <v>0.10157308990600611</v>
      </c>
      <c r="C21" s="141">
        <v>5.095035457998813E-2</v>
      </c>
      <c r="D21" s="141">
        <v>2.797203060839153E-2</v>
      </c>
      <c r="E21" s="141">
        <v>1.6000001438879898E-2</v>
      </c>
      <c r="F21" s="141">
        <v>2.0032769283225712E-3</v>
      </c>
      <c r="G21" s="141">
        <v>4.992154674167055E-3</v>
      </c>
      <c r="H21" s="141">
        <v>5.9923243099110285E-3</v>
      </c>
      <c r="I21" s="141">
        <v>9.995990219801831E-3</v>
      </c>
      <c r="J21" s="141">
        <v>0</v>
      </c>
      <c r="K21" s="141">
        <v>0</v>
      </c>
      <c r="L21" s="141">
        <v>0</v>
      </c>
      <c r="M21" s="141">
        <v>5.8116224192825576E-2</v>
      </c>
      <c r="N21" s="141">
        <v>0</v>
      </c>
      <c r="O21" s="141">
        <v>0</v>
      </c>
      <c r="P21" s="141">
        <v>2E-3</v>
      </c>
      <c r="Q21" s="141">
        <v>0</v>
      </c>
      <c r="R21" s="141">
        <v>0</v>
      </c>
      <c r="S21" s="141">
        <v>0</v>
      </c>
      <c r="T21" s="141">
        <v>0.27218342557752939</v>
      </c>
      <c r="U21" s="141">
        <v>0</v>
      </c>
      <c r="V21" s="141">
        <v>0</v>
      </c>
      <c r="W21" s="141">
        <v>0</v>
      </c>
      <c r="X21" s="141">
        <v>0</v>
      </c>
      <c r="Y21" s="141">
        <v>0</v>
      </c>
      <c r="Z21" s="141">
        <v>0</v>
      </c>
      <c r="AA21" s="141">
        <v>0</v>
      </c>
      <c r="AB21" s="141">
        <v>0</v>
      </c>
      <c r="AC21" s="141">
        <v>0</v>
      </c>
      <c r="AD21" s="141">
        <v>0</v>
      </c>
      <c r="AE21" s="141">
        <v>0</v>
      </c>
      <c r="AF21" s="141">
        <v>0</v>
      </c>
      <c r="AG21" s="141">
        <v>0</v>
      </c>
    </row>
    <row r="22" spans="1:33" customFormat="1" x14ac:dyDescent="0.15">
      <c r="A22" s="177" t="s">
        <v>212</v>
      </c>
      <c r="B22" s="141">
        <v>1.8282278023055973E-2</v>
      </c>
      <c r="C22" s="141">
        <v>3.7963019647834793E-2</v>
      </c>
      <c r="D22" s="141">
        <v>0.14685311484405683</v>
      </c>
      <c r="E22" s="141">
        <v>2.8999998895470083E-2</v>
      </c>
      <c r="F22" s="141">
        <v>5.0081918608063797E-3</v>
      </c>
      <c r="G22" s="141">
        <v>1.3978029087668018E-2</v>
      </c>
      <c r="H22" s="141">
        <v>1.6978250878081177E-2</v>
      </c>
      <c r="I22" s="141">
        <v>2.9987970659405491E-2</v>
      </c>
      <c r="J22" s="141">
        <v>0</v>
      </c>
      <c r="K22" s="141">
        <v>0</v>
      </c>
      <c r="L22" s="141">
        <v>0</v>
      </c>
      <c r="M22" s="141">
        <v>7.0140283194789601E-3</v>
      </c>
      <c r="N22" s="141">
        <v>0.2465</v>
      </c>
      <c r="O22" s="141">
        <v>2.7454727098558077E-2</v>
      </c>
      <c r="P22" s="141">
        <v>3.0000000000000001E-3</v>
      </c>
      <c r="Q22" s="141">
        <v>0</v>
      </c>
      <c r="R22" s="141">
        <v>0</v>
      </c>
      <c r="S22" s="141">
        <v>0</v>
      </c>
      <c r="T22" s="141">
        <v>0.18743771255888125</v>
      </c>
      <c r="U22" s="141">
        <v>4.4020319278947173E-2</v>
      </c>
      <c r="V22" s="141">
        <v>0</v>
      </c>
      <c r="W22" s="141">
        <v>0</v>
      </c>
      <c r="X22" s="141">
        <v>0</v>
      </c>
      <c r="Y22" s="141">
        <v>0</v>
      </c>
      <c r="Z22" s="141">
        <v>0</v>
      </c>
      <c r="AA22" s="141">
        <v>0</v>
      </c>
      <c r="AB22" s="141">
        <v>0</v>
      </c>
      <c r="AC22" s="141">
        <v>0</v>
      </c>
      <c r="AD22" s="141">
        <v>0</v>
      </c>
      <c r="AE22" s="141">
        <v>0</v>
      </c>
      <c r="AF22" s="141">
        <v>0</v>
      </c>
      <c r="AG22" s="141">
        <v>0</v>
      </c>
    </row>
    <row r="23" spans="1:33" customFormat="1" x14ac:dyDescent="0.15">
      <c r="A23" s="177" t="s">
        <v>213</v>
      </c>
      <c r="B23" s="141">
        <v>0</v>
      </c>
      <c r="C23" s="141">
        <v>3.5964956350579863E-2</v>
      </c>
      <c r="D23" s="141">
        <v>0</v>
      </c>
      <c r="E23" s="141">
        <v>6.0000010145799271E-3</v>
      </c>
      <c r="F23" s="141">
        <v>4.2068809874773405E-2</v>
      </c>
      <c r="G23" s="141">
        <v>7.8876054851838753E-2</v>
      </c>
      <c r="H23" s="141">
        <v>1.329463068757171E-2</v>
      </c>
      <c r="I23" s="141">
        <v>2.2178030487672716E-2</v>
      </c>
      <c r="J23" s="141">
        <v>3.748734147321612E-3</v>
      </c>
      <c r="K23" s="141">
        <v>1.7798219448255194E-2</v>
      </c>
      <c r="L23" s="141">
        <v>1.2999999999999999E-2</v>
      </c>
      <c r="M23" s="141">
        <v>2.204408888693387E-2</v>
      </c>
      <c r="N23" s="141">
        <v>3.5000000000000003E-2</v>
      </c>
      <c r="O23" s="141">
        <v>8.3090232114147872E-2</v>
      </c>
      <c r="P23" s="141">
        <v>0.02</v>
      </c>
      <c r="Q23" s="141">
        <v>0</v>
      </c>
      <c r="R23" s="141">
        <v>0</v>
      </c>
      <c r="S23" s="141">
        <v>0</v>
      </c>
      <c r="T23" s="141">
        <v>1.1964110614396568E-2</v>
      </c>
      <c r="U23" s="141">
        <v>4.5153759260381423E-3</v>
      </c>
      <c r="V23" s="141">
        <v>4.9975014160019921E-3</v>
      </c>
      <c r="W23" s="141">
        <v>0</v>
      </c>
      <c r="X23" s="141">
        <v>0.02</v>
      </c>
      <c r="Y23" s="141">
        <v>0</v>
      </c>
      <c r="Z23" s="141">
        <v>0</v>
      </c>
      <c r="AA23" s="141">
        <v>0</v>
      </c>
      <c r="AB23" s="141">
        <v>0</v>
      </c>
      <c r="AC23" s="141">
        <v>0</v>
      </c>
      <c r="AD23" s="141">
        <v>0</v>
      </c>
      <c r="AE23" s="141">
        <v>0</v>
      </c>
      <c r="AF23" s="141">
        <v>0</v>
      </c>
      <c r="AG23" s="141">
        <v>0</v>
      </c>
    </row>
    <row r="24" spans="1:33" customFormat="1" x14ac:dyDescent="0.15">
      <c r="A24" s="177" t="s">
        <v>214</v>
      </c>
      <c r="B24" s="141">
        <v>0</v>
      </c>
      <c r="C24" s="141">
        <v>0</v>
      </c>
      <c r="D24" s="141">
        <v>0</v>
      </c>
      <c r="E24" s="141">
        <v>0</v>
      </c>
      <c r="F24" s="141">
        <v>4.2068809874773405E-2</v>
      </c>
      <c r="G24" s="141">
        <v>2.1965478566335173E-2</v>
      </c>
      <c r="H24" s="141">
        <v>9.6626224997315104E-6</v>
      </c>
      <c r="I24" s="141">
        <v>0</v>
      </c>
      <c r="J24" s="141">
        <v>3.5648232380173304E-2</v>
      </c>
      <c r="K24" s="141">
        <v>1.299869959704031E-2</v>
      </c>
      <c r="L24" s="141">
        <v>1E-3</v>
      </c>
      <c r="M24" s="141">
        <v>0.31162315864256435</v>
      </c>
      <c r="N24" s="141">
        <v>0</v>
      </c>
      <c r="O24" s="141">
        <v>2.2197397964790592E-2</v>
      </c>
      <c r="P24" s="141">
        <v>0.01</v>
      </c>
      <c r="Q24" s="141">
        <v>0</v>
      </c>
      <c r="R24" s="141">
        <v>0</v>
      </c>
      <c r="S24" s="141">
        <v>0</v>
      </c>
      <c r="T24" s="141">
        <v>0</v>
      </c>
      <c r="U24" s="141">
        <v>0</v>
      </c>
      <c r="V24" s="141">
        <v>0</v>
      </c>
      <c r="W24" s="141">
        <v>0</v>
      </c>
      <c r="X24" s="141">
        <v>0.01</v>
      </c>
      <c r="Y24" s="141">
        <v>0</v>
      </c>
      <c r="Z24" s="141">
        <v>0</v>
      </c>
      <c r="AA24" s="141">
        <v>0</v>
      </c>
      <c r="AB24" s="141">
        <v>0</v>
      </c>
      <c r="AC24" s="141">
        <v>0</v>
      </c>
      <c r="AD24" s="141">
        <v>0</v>
      </c>
      <c r="AE24" s="141">
        <v>0</v>
      </c>
      <c r="AF24" s="141">
        <v>0</v>
      </c>
      <c r="AG24" s="141">
        <v>0</v>
      </c>
    </row>
    <row r="25" spans="1:33" customFormat="1" x14ac:dyDescent="0.15">
      <c r="A25" s="177" t="s">
        <v>215</v>
      </c>
      <c r="B25" s="141">
        <v>0</v>
      </c>
      <c r="C25" s="141">
        <v>0</v>
      </c>
      <c r="D25" s="141">
        <v>0</v>
      </c>
      <c r="E25" s="141">
        <v>0</v>
      </c>
      <c r="F25" s="141">
        <v>3.0049149324838089E-3</v>
      </c>
      <c r="G25" s="141">
        <v>0</v>
      </c>
      <c r="H25" s="141">
        <v>0</v>
      </c>
      <c r="I25" s="141">
        <v>7.2196041587518773E-5</v>
      </c>
      <c r="J25" s="141">
        <v>0.30756621500746223</v>
      </c>
      <c r="K25" s="141">
        <v>0.14408559553334652</v>
      </c>
      <c r="L25" s="141">
        <v>3.6999999999999998E-2</v>
      </c>
      <c r="M25" s="141">
        <v>4.00801658398798E-3</v>
      </c>
      <c r="N25" s="141">
        <v>0</v>
      </c>
      <c r="O25" s="141">
        <v>0.24448536922068576</v>
      </c>
      <c r="P25" s="141">
        <v>0.1</v>
      </c>
      <c r="Q25" s="141">
        <v>0</v>
      </c>
      <c r="R25" s="141">
        <v>0</v>
      </c>
      <c r="S25" s="141">
        <v>0</v>
      </c>
      <c r="T25" s="141">
        <v>0</v>
      </c>
      <c r="U25" s="141">
        <v>0</v>
      </c>
      <c r="V25" s="141">
        <v>0</v>
      </c>
      <c r="W25" s="141">
        <v>0</v>
      </c>
      <c r="X25" s="141">
        <v>0.3</v>
      </c>
      <c r="Y25" s="141">
        <v>0</v>
      </c>
      <c r="Z25" s="141">
        <v>0</v>
      </c>
      <c r="AA25" s="141">
        <v>0</v>
      </c>
      <c r="AB25" s="141">
        <v>0</v>
      </c>
      <c r="AC25" s="141">
        <v>0</v>
      </c>
      <c r="AD25" s="141">
        <v>0</v>
      </c>
      <c r="AE25" s="141">
        <v>0</v>
      </c>
      <c r="AF25" s="141">
        <v>0</v>
      </c>
      <c r="AG25" s="141">
        <v>0</v>
      </c>
    </row>
    <row r="26" spans="1:33" customFormat="1" x14ac:dyDescent="0.15">
      <c r="A26" s="177" t="s">
        <v>216</v>
      </c>
      <c r="B26" s="141">
        <v>0</v>
      </c>
      <c r="C26" s="141">
        <v>7.7248249160027642E-5</v>
      </c>
      <c r="D26" s="141">
        <v>0</v>
      </c>
      <c r="E26" s="141">
        <v>1.0000000874299936E-3</v>
      </c>
      <c r="F26" s="141">
        <v>1.1018020345773852E-2</v>
      </c>
      <c r="G26" s="141">
        <v>5.9905856090004669E-3</v>
      </c>
      <c r="H26" s="141">
        <v>2.4516291267933553E-5</v>
      </c>
      <c r="I26" s="141">
        <v>0</v>
      </c>
      <c r="J26" s="141">
        <v>4.0867491611807721E-2</v>
      </c>
      <c r="K26" s="141">
        <v>1.1798819634236589E-2</v>
      </c>
      <c r="L26" s="141">
        <v>5.0999999999999997E-2</v>
      </c>
      <c r="M26" s="141">
        <v>1.5030058227454892E-2</v>
      </c>
      <c r="N26" s="141">
        <v>0</v>
      </c>
      <c r="O26" s="141">
        <v>8.7048488114861738E-2</v>
      </c>
      <c r="P26" s="141">
        <v>0.1</v>
      </c>
      <c r="Q26" s="141">
        <v>0</v>
      </c>
      <c r="R26" s="141">
        <v>0</v>
      </c>
      <c r="S26" s="141">
        <v>0</v>
      </c>
      <c r="T26" s="141">
        <v>0</v>
      </c>
      <c r="U26" s="141">
        <v>0</v>
      </c>
      <c r="V26" s="141">
        <v>0</v>
      </c>
      <c r="W26" s="141">
        <v>0</v>
      </c>
      <c r="X26" s="141">
        <v>0.12</v>
      </c>
      <c r="Y26" s="141">
        <v>0</v>
      </c>
      <c r="Z26" s="141">
        <v>0</v>
      </c>
      <c r="AA26" s="141">
        <v>0</v>
      </c>
      <c r="AB26" s="141">
        <v>0</v>
      </c>
      <c r="AC26" s="141">
        <v>0</v>
      </c>
      <c r="AD26" s="141">
        <v>0</v>
      </c>
      <c r="AE26" s="141">
        <v>0</v>
      </c>
      <c r="AF26" s="141">
        <v>0</v>
      </c>
      <c r="AG26" s="141">
        <v>0</v>
      </c>
    </row>
    <row r="27" spans="1:33" customFormat="1" x14ac:dyDescent="0.15">
      <c r="A27" s="177" t="s">
        <v>217</v>
      </c>
      <c r="B27" s="141">
        <v>0</v>
      </c>
      <c r="C27" s="141">
        <v>0</v>
      </c>
      <c r="D27" s="141">
        <v>0</v>
      </c>
      <c r="E27" s="141">
        <v>0</v>
      </c>
      <c r="F27" s="141">
        <v>4.0065538566451423E-3</v>
      </c>
      <c r="G27" s="141">
        <v>1.697332889216779E-2</v>
      </c>
      <c r="H27" s="141">
        <v>2.2067031141262716E-5</v>
      </c>
      <c r="I27" s="141">
        <v>1.6285170358094613E-5</v>
      </c>
      <c r="J27" s="141">
        <v>2.8009240362979752E-2</v>
      </c>
      <c r="K27" s="141">
        <v>0.13328669586811243</v>
      </c>
      <c r="L27" s="141">
        <v>0.50900000000000001</v>
      </c>
      <c r="M27" s="141">
        <v>8.0160320679759506E-2</v>
      </c>
      <c r="N27" s="141">
        <v>0</v>
      </c>
      <c r="O27" s="141">
        <v>7.6273801940710623E-2</v>
      </c>
      <c r="P27" s="141">
        <v>0.2</v>
      </c>
      <c r="Q27" s="141">
        <v>0</v>
      </c>
      <c r="R27" s="141">
        <v>0</v>
      </c>
      <c r="S27" s="141">
        <v>0</v>
      </c>
      <c r="T27" s="141">
        <v>2.9910262535992574E-3</v>
      </c>
      <c r="U27" s="141">
        <v>0</v>
      </c>
      <c r="V27" s="141">
        <v>0</v>
      </c>
      <c r="W27" s="141">
        <v>1.4999999999999999E-2</v>
      </c>
      <c r="X27" s="141">
        <v>0.3</v>
      </c>
      <c r="Y27" s="141">
        <v>0</v>
      </c>
      <c r="Z27" s="141">
        <v>0</v>
      </c>
      <c r="AA27" s="141">
        <v>0</v>
      </c>
      <c r="AB27" s="141">
        <v>0</v>
      </c>
      <c r="AC27" s="141">
        <v>0</v>
      </c>
      <c r="AD27" s="141">
        <v>0</v>
      </c>
      <c r="AE27" s="141">
        <v>0</v>
      </c>
      <c r="AF27" s="141">
        <v>0</v>
      </c>
      <c r="AG27" s="141">
        <v>0</v>
      </c>
    </row>
    <row r="28" spans="1:33" customFormat="1" x14ac:dyDescent="0.15">
      <c r="A28" s="177" t="s">
        <v>218</v>
      </c>
      <c r="B28" s="141">
        <v>0</v>
      </c>
      <c r="C28" s="141">
        <v>2.997079775881659E-3</v>
      </c>
      <c r="D28" s="141">
        <v>0</v>
      </c>
      <c r="E28" s="141">
        <v>0</v>
      </c>
      <c r="F28" s="141">
        <v>1.1018020345773852E-2</v>
      </c>
      <c r="G28" s="141">
        <v>0.13878189094184473</v>
      </c>
      <c r="H28" s="141">
        <v>6.5555923390421241E-4</v>
      </c>
      <c r="I28" s="141">
        <v>3.4710910763258223E-3</v>
      </c>
      <c r="J28" s="141">
        <v>8.0587347740751714E-2</v>
      </c>
      <c r="K28" s="141">
        <v>0.15458449520788065</v>
      </c>
      <c r="L28" s="141">
        <v>0.34899999999999998</v>
      </c>
      <c r="M28" s="141">
        <v>1.3026048510460891E-2</v>
      </c>
      <c r="N28" s="141">
        <v>0</v>
      </c>
      <c r="O28" s="141">
        <v>0.18020138558504406</v>
      </c>
      <c r="P28" s="141">
        <v>0.42</v>
      </c>
      <c r="Q28" s="141">
        <v>0</v>
      </c>
      <c r="R28" s="141">
        <v>0</v>
      </c>
      <c r="S28" s="141">
        <v>0</v>
      </c>
      <c r="T28" s="141">
        <v>1.8943172239461473E-2</v>
      </c>
      <c r="U28" s="141">
        <v>0</v>
      </c>
      <c r="V28" s="141">
        <v>4.9975013160019961E-2</v>
      </c>
      <c r="W28" s="141">
        <v>1.4999999999999999E-2</v>
      </c>
      <c r="X28" s="141">
        <v>0.12</v>
      </c>
      <c r="Y28" s="141">
        <v>0</v>
      </c>
      <c r="Z28" s="141">
        <v>0</v>
      </c>
      <c r="AA28" s="141">
        <v>0</v>
      </c>
      <c r="AB28" s="141">
        <v>0</v>
      </c>
      <c r="AC28" s="141">
        <v>0</v>
      </c>
      <c r="AD28" s="141">
        <v>0</v>
      </c>
      <c r="AE28" s="141">
        <v>0</v>
      </c>
      <c r="AF28" s="141">
        <v>0</v>
      </c>
      <c r="AG28" s="141">
        <v>0</v>
      </c>
    </row>
    <row r="29" spans="1:33" customFormat="1" x14ac:dyDescent="0.15">
      <c r="A29" s="177" t="s">
        <v>219</v>
      </c>
      <c r="B29" s="141">
        <v>0.1397533899983445</v>
      </c>
      <c r="C29" s="141">
        <v>2.8971777810189697E-2</v>
      </c>
      <c r="D29" s="141">
        <v>0</v>
      </c>
      <c r="E29" s="141">
        <v>0.11100000094472992</v>
      </c>
      <c r="F29" s="141">
        <v>4.8078644999741571E-2</v>
      </c>
      <c r="G29" s="141">
        <v>0.19269718742284725</v>
      </c>
      <c r="H29" s="141">
        <v>3.1050281605858464E-3</v>
      </c>
      <c r="I29" s="141">
        <v>2.9130110640542009E-2</v>
      </c>
      <c r="J29" s="141">
        <v>1.3361729929052032E-2</v>
      </c>
      <c r="K29" s="141">
        <v>2.1897809321167909E-2</v>
      </c>
      <c r="L29" s="141">
        <v>7.0000000000000001E-3</v>
      </c>
      <c r="M29" s="141">
        <v>4.00801658398798E-3</v>
      </c>
      <c r="N29" s="141">
        <v>0.53800000000000003</v>
      </c>
      <c r="O29" s="141">
        <v>0.21711268052421506</v>
      </c>
      <c r="P29" s="141">
        <v>0.05</v>
      </c>
      <c r="Q29" s="141">
        <v>0.434</v>
      </c>
      <c r="R29" s="141">
        <v>0.35</v>
      </c>
      <c r="S29" s="141">
        <v>0.64</v>
      </c>
      <c r="T29" s="141">
        <v>0.29411763477058922</v>
      </c>
      <c r="U29" s="141">
        <v>0.17307989716495129</v>
      </c>
      <c r="V29" s="141">
        <v>0.52673667849860872</v>
      </c>
      <c r="W29" s="141">
        <v>0.12</v>
      </c>
      <c r="X29" s="141">
        <v>0.02</v>
      </c>
      <c r="Y29" s="141">
        <v>0</v>
      </c>
      <c r="Z29" s="141">
        <v>0</v>
      </c>
      <c r="AA29" s="141">
        <v>0</v>
      </c>
      <c r="AB29" s="141">
        <v>0</v>
      </c>
      <c r="AC29" s="141">
        <v>0.05</v>
      </c>
      <c r="AD29" s="141">
        <v>0</v>
      </c>
      <c r="AE29" s="141">
        <v>0</v>
      </c>
      <c r="AF29" s="141">
        <v>0</v>
      </c>
      <c r="AG29" s="141">
        <v>0</v>
      </c>
    </row>
    <row r="30" spans="1:33" customFormat="1" x14ac:dyDescent="0.15">
      <c r="A30" s="177" t="s">
        <v>220</v>
      </c>
      <c r="B30" s="141">
        <v>0.11479588928431039</v>
      </c>
      <c r="C30" s="141">
        <v>0</v>
      </c>
      <c r="D30" s="141">
        <v>0</v>
      </c>
      <c r="E30" s="141">
        <v>4.9999999871500004E-3</v>
      </c>
      <c r="F30" s="141">
        <v>2.4759198674731355E-5</v>
      </c>
      <c r="G30" s="141">
        <v>2.1115818621791628E-4</v>
      </c>
      <c r="H30" s="141">
        <v>1.058414054739058E-5</v>
      </c>
      <c r="I30" s="141">
        <v>9.0963512000196688E-6</v>
      </c>
      <c r="J30" s="141">
        <v>3.8783820679796532E-6</v>
      </c>
      <c r="K30" s="141">
        <v>0</v>
      </c>
      <c r="L30" s="141">
        <v>0</v>
      </c>
      <c r="M30" s="141">
        <v>1.0020039084969931E-3</v>
      </c>
      <c r="N30" s="141">
        <v>0.161</v>
      </c>
      <c r="O30" s="141">
        <v>1.8085139360158285E-2</v>
      </c>
      <c r="P30" s="141">
        <v>0.05</v>
      </c>
      <c r="Q30" s="141">
        <v>0.54600000000000004</v>
      </c>
      <c r="R30" s="141">
        <v>0.65</v>
      </c>
      <c r="S30" s="141">
        <v>0.32</v>
      </c>
      <c r="T30" s="141">
        <v>1.2961110932263683E-2</v>
      </c>
      <c r="U30" s="141">
        <v>1.2005539803349258E-2</v>
      </c>
      <c r="V30" s="141">
        <v>0.41829080692536924</v>
      </c>
      <c r="W30" s="141">
        <v>0.24</v>
      </c>
      <c r="X30" s="141">
        <v>0.01</v>
      </c>
      <c r="Y30" s="141">
        <v>0</v>
      </c>
      <c r="Z30" s="141">
        <v>0</v>
      </c>
      <c r="AA30" s="141">
        <v>0</v>
      </c>
      <c r="AB30" s="141">
        <v>0</v>
      </c>
      <c r="AC30" s="141">
        <v>0.48</v>
      </c>
      <c r="AD30" s="141">
        <v>0</v>
      </c>
      <c r="AE30" s="141">
        <v>0</v>
      </c>
      <c r="AF30" s="141">
        <v>0</v>
      </c>
      <c r="AG30" s="141">
        <v>0</v>
      </c>
    </row>
    <row r="31" spans="1:33" customFormat="1" x14ac:dyDescent="0.15">
      <c r="A31" s="177" t="s">
        <v>221</v>
      </c>
      <c r="B31" s="141">
        <v>0</v>
      </c>
      <c r="C31" s="141">
        <v>0</v>
      </c>
      <c r="D31" s="141">
        <v>0</v>
      </c>
      <c r="E31" s="141">
        <v>0</v>
      </c>
      <c r="F31" s="141">
        <v>0</v>
      </c>
      <c r="G31" s="141">
        <v>0</v>
      </c>
      <c r="H31" s="141">
        <v>0</v>
      </c>
      <c r="I31" s="141">
        <v>0</v>
      </c>
      <c r="J31" s="141">
        <v>0</v>
      </c>
      <c r="K31" s="141">
        <v>0</v>
      </c>
      <c r="L31" s="141">
        <v>0</v>
      </c>
      <c r="M31" s="141">
        <v>0</v>
      </c>
      <c r="N31" s="141">
        <v>0</v>
      </c>
      <c r="O31" s="141">
        <v>0</v>
      </c>
      <c r="P31" s="141">
        <v>0</v>
      </c>
      <c r="Q31" s="141">
        <v>0</v>
      </c>
      <c r="R31" s="141">
        <v>0</v>
      </c>
      <c r="S31" s="141">
        <v>0</v>
      </c>
      <c r="T31" s="141">
        <v>0</v>
      </c>
      <c r="U31" s="141">
        <v>0</v>
      </c>
      <c r="V31" s="141">
        <v>0</v>
      </c>
      <c r="W31" s="141">
        <v>8.5000000000000006E-2</v>
      </c>
      <c r="X31" s="141">
        <v>0</v>
      </c>
      <c r="Y31" s="141">
        <v>0</v>
      </c>
      <c r="Z31" s="141">
        <v>0</v>
      </c>
      <c r="AA31" s="141">
        <v>0</v>
      </c>
      <c r="AB31" s="141">
        <v>0</v>
      </c>
      <c r="AC31" s="141">
        <v>0.37</v>
      </c>
      <c r="AD31" s="141">
        <v>1</v>
      </c>
      <c r="AE31" s="141">
        <v>0</v>
      </c>
      <c r="AF31" s="141">
        <v>0</v>
      </c>
      <c r="AG31" s="141">
        <v>0</v>
      </c>
    </row>
    <row r="32" spans="1:33" customFormat="1" x14ac:dyDescent="0.15">
      <c r="A32" s="177" t="s">
        <v>222</v>
      </c>
      <c r="B32" s="141">
        <v>0</v>
      </c>
      <c r="C32" s="141">
        <v>0</v>
      </c>
      <c r="D32" s="141">
        <v>0</v>
      </c>
      <c r="E32" s="141">
        <v>0</v>
      </c>
      <c r="F32" s="141">
        <v>0</v>
      </c>
      <c r="G32" s="141">
        <v>0</v>
      </c>
      <c r="H32" s="141">
        <v>0</v>
      </c>
      <c r="I32" s="141">
        <v>0</v>
      </c>
      <c r="J32" s="141">
        <v>0</v>
      </c>
      <c r="K32" s="141">
        <v>0</v>
      </c>
      <c r="L32" s="141">
        <v>0</v>
      </c>
      <c r="M32" s="141">
        <v>0</v>
      </c>
      <c r="N32" s="141">
        <v>0</v>
      </c>
      <c r="O32" s="141">
        <v>0</v>
      </c>
      <c r="P32" s="141">
        <v>0</v>
      </c>
      <c r="Q32" s="141">
        <v>0</v>
      </c>
      <c r="R32" s="141">
        <v>0</v>
      </c>
      <c r="S32" s="141">
        <v>0</v>
      </c>
      <c r="T32" s="141">
        <v>0</v>
      </c>
      <c r="U32" s="141">
        <v>0</v>
      </c>
      <c r="V32" s="141">
        <v>0</v>
      </c>
      <c r="W32" s="141">
        <v>0.52500000000000002</v>
      </c>
      <c r="X32" s="141">
        <v>0.1</v>
      </c>
      <c r="Y32" s="141">
        <v>1</v>
      </c>
      <c r="Z32" s="141">
        <v>1</v>
      </c>
      <c r="AA32" s="141">
        <v>1</v>
      </c>
      <c r="AB32" s="141">
        <v>1</v>
      </c>
      <c r="AC32" s="141">
        <v>0.1</v>
      </c>
      <c r="AD32" s="141">
        <v>0</v>
      </c>
      <c r="AE32" s="141">
        <v>0</v>
      </c>
      <c r="AF32" s="141">
        <v>0</v>
      </c>
      <c r="AG32" s="141">
        <v>0</v>
      </c>
    </row>
    <row r="33" spans="1:33" customFormat="1" x14ac:dyDescent="0.15">
      <c r="A33" s="177" t="s">
        <v>223</v>
      </c>
      <c r="B33" s="141">
        <v>0</v>
      </c>
      <c r="C33" s="141">
        <v>0</v>
      </c>
      <c r="D33" s="141">
        <v>0</v>
      </c>
      <c r="E33" s="141">
        <v>0</v>
      </c>
      <c r="F33" s="141">
        <v>0</v>
      </c>
      <c r="G33" s="141">
        <v>0</v>
      </c>
      <c r="H33" s="141">
        <v>0</v>
      </c>
      <c r="I33" s="141">
        <v>0</v>
      </c>
      <c r="J33" s="141">
        <v>0</v>
      </c>
      <c r="K33" s="141">
        <v>0</v>
      </c>
      <c r="L33" s="141">
        <v>0</v>
      </c>
      <c r="M33" s="141">
        <v>0</v>
      </c>
      <c r="N33" s="141">
        <v>0</v>
      </c>
      <c r="O33" s="141">
        <v>0</v>
      </c>
      <c r="P33" s="141">
        <v>0</v>
      </c>
      <c r="Q33" s="141">
        <v>0</v>
      </c>
      <c r="R33" s="141">
        <v>0</v>
      </c>
      <c r="S33" s="141">
        <v>0</v>
      </c>
      <c r="T33" s="141">
        <v>0</v>
      </c>
      <c r="U33" s="141">
        <v>0</v>
      </c>
      <c r="V33" s="141">
        <v>0</v>
      </c>
      <c r="W33" s="141">
        <v>0</v>
      </c>
      <c r="X33" s="141">
        <v>0</v>
      </c>
      <c r="Y33" s="141">
        <v>0</v>
      </c>
      <c r="Z33" s="141">
        <v>0</v>
      </c>
      <c r="AA33" s="141">
        <v>0</v>
      </c>
      <c r="AB33" s="141">
        <v>0</v>
      </c>
      <c r="AC33" s="141">
        <v>0</v>
      </c>
      <c r="AD33" s="141">
        <v>0</v>
      </c>
      <c r="AE33" s="141">
        <v>0</v>
      </c>
      <c r="AF33" s="141">
        <v>0</v>
      </c>
      <c r="AG33" s="141">
        <v>0</v>
      </c>
    </row>
    <row r="34" spans="1:33" customFormat="1" x14ac:dyDescent="0.15">
      <c r="A34" s="177" t="s">
        <v>225</v>
      </c>
      <c r="B34" s="141">
        <v>0</v>
      </c>
      <c r="C34" s="141">
        <v>0</v>
      </c>
      <c r="D34" s="141">
        <v>0</v>
      </c>
      <c r="E34" s="141">
        <v>0</v>
      </c>
      <c r="F34" s="141">
        <v>0</v>
      </c>
      <c r="G34" s="141">
        <v>0</v>
      </c>
      <c r="H34" s="141">
        <v>0</v>
      </c>
      <c r="I34" s="141">
        <v>0</v>
      </c>
      <c r="J34" s="141">
        <v>0</v>
      </c>
      <c r="K34" s="141">
        <v>0</v>
      </c>
      <c r="L34" s="141">
        <v>0</v>
      </c>
      <c r="M34" s="141">
        <v>0</v>
      </c>
      <c r="N34" s="141">
        <v>0</v>
      </c>
      <c r="O34" s="141">
        <v>0</v>
      </c>
      <c r="P34" s="141">
        <v>0</v>
      </c>
      <c r="Q34" s="141">
        <v>0</v>
      </c>
      <c r="R34" s="141">
        <v>0</v>
      </c>
      <c r="S34" s="141">
        <v>0</v>
      </c>
      <c r="T34" s="141">
        <v>0</v>
      </c>
      <c r="U34" s="141">
        <v>0</v>
      </c>
      <c r="V34" s="141">
        <v>0</v>
      </c>
      <c r="W34" s="141">
        <v>0</v>
      </c>
      <c r="X34" s="141">
        <v>0</v>
      </c>
      <c r="Y34" s="141">
        <v>0</v>
      </c>
      <c r="Z34" s="141">
        <v>0</v>
      </c>
      <c r="AA34" s="141">
        <v>0</v>
      </c>
      <c r="AB34" s="141">
        <v>0</v>
      </c>
      <c r="AC34" s="141">
        <v>0</v>
      </c>
      <c r="AD34" s="141">
        <v>0</v>
      </c>
      <c r="AE34" s="141">
        <v>0</v>
      </c>
      <c r="AF34" s="141">
        <v>0</v>
      </c>
      <c r="AG34" s="141">
        <v>0</v>
      </c>
    </row>
    <row r="35" spans="1:33" customFormat="1" x14ac:dyDescent="0.15"/>
    <row r="36" spans="1:33" customFormat="1" x14ac:dyDescent="0.15"/>
    <row r="37" spans="1:33" customFormat="1" x14ac:dyDescent="0.15"/>
    <row r="38" spans="1:33" customForma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  <row r="186" ht="15" customHeight="1" x14ac:dyDescent="0.15"/>
    <row r="187" ht="15" customHeight="1" x14ac:dyDescent="0.15"/>
    <row r="188" ht="15" customHeight="1" x14ac:dyDescent="0.15"/>
    <row r="189" ht="15" customHeight="1" x14ac:dyDescent="0.15"/>
    <row r="190" ht="15" customHeight="1" x14ac:dyDescent="0.15"/>
    <row r="191" ht="15" customHeight="1" x14ac:dyDescent="0.15"/>
    <row r="192" ht="15" customHeight="1" x14ac:dyDescent="0.15"/>
    <row r="193" ht="15" customHeight="1" x14ac:dyDescent="0.15"/>
    <row r="194" ht="15" customHeight="1" x14ac:dyDescent="0.15"/>
    <row r="195" ht="15" customHeight="1" x14ac:dyDescent="0.15"/>
    <row r="196" ht="15" customHeight="1" x14ac:dyDescent="0.15"/>
    <row r="197" ht="15" customHeight="1" x14ac:dyDescent="0.15"/>
    <row r="198" ht="15" customHeight="1" x14ac:dyDescent="0.15"/>
    <row r="199" ht="15" customHeight="1" x14ac:dyDescent="0.15"/>
    <row r="200" ht="15" customHeight="1" x14ac:dyDescent="0.15"/>
    <row r="201" ht="15" customHeight="1" x14ac:dyDescent="0.15"/>
    <row r="202" ht="15" customHeight="1" x14ac:dyDescent="0.15"/>
    <row r="203" ht="15" customHeight="1" x14ac:dyDescent="0.15"/>
    <row r="204" ht="15" customHeight="1" x14ac:dyDescent="0.15"/>
    <row r="205" ht="15" customHeight="1" x14ac:dyDescent="0.15"/>
    <row r="206" ht="15" customHeight="1" x14ac:dyDescent="0.15"/>
    <row r="207" ht="15" customHeight="1" x14ac:dyDescent="0.15"/>
    <row r="208" ht="15" customHeight="1" x14ac:dyDescent="0.15"/>
    <row r="209" ht="15" customHeight="1" x14ac:dyDescent="0.15"/>
    <row r="210" ht="15" customHeight="1" x14ac:dyDescent="0.15"/>
    <row r="211" ht="15" customHeight="1" x14ac:dyDescent="0.15"/>
    <row r="212" ht="15" customHeight="1" x14ac:dyDescent="0.15"/>
    <row r="213" ht="15" customHeight="1" x14ac:dyDescent="0.15"/>
    <row r="214" ht="15" customHeight="1" x14ac:dyDescent="0.15"/>
    <row r="215" ht="15" customHeight="1" x14ac:dyDescent="0.15"/>
    <row r="216" ht="15" customHeight="1" x14ac:dyDescent="0.15"/>
    <row r="217" ht="15" customHeight="1" x14ac:dyDescent="0.15"/>
    <row r="218" ht="15" customHeight="1" x14ac:dyDescent="0.15"/>
    <row r="219" ht="15" customHeight="1" x14ac:dyDescent="0.15"/>
    <row r="220" ht="15" customHeight="1" x14ac:dyDescent="0.15"/>
    <row r="221" ht="15" customHeight="1" x14ac:dyDescent="0.15"/>
    <row r="222" ht="15" customHeight="1" x14ac:dyDescent="0.15"/>
    <row r="223" ht="15" customHeight="1" x14ac:dyDescent="0.15"/>
    <row r="224" ht="15" customHeight="1" x14ac:dyDescent="0.15"/>
    <row r="225" ht="15" customHeight="1" x14ac:dyDescent="0.15"/>
    <row r="226" ht="15" customHeight="1" x14ac:dyDescent="0.15"/>
    <row r="227" ht="15" customHeight="1" x14ac:dyDescent="0.15"/>
    <row r="228" ht="15" customHeight="1" x14ac:dyDescent="0.15"/>
    <row r="229" ht="15" customHeight="1" x14ac:dyDescent="0.15"/>
    <row r="230" ht="15" customHeight="1" x14ac:dyDescent="0.15"/>
    <row r="231" ht="15" customHeight="1" x14ac:dyDescent="0.15"/>
    <row r="232" ht="15" customHeight="1" x14ac:dyDescent="0.15"/>
    <row r="233" ht="15" customHeight="1" x14ac:dyDescent="0.15"/>
    <row r="234" ht="15" customHeight="1" x14ac:dyDescent="0.15"/>
    <row r="235" ht="15" customHeight="1" x14ac:dyDescent="0.15"/>
    <row r="236" ht="15" customHeight="1" x14ac:dyDescent="0.15"/>
    <row r="237" ht="15" customHeight="1" x14ac:dyDescent="0.15"/>
    <row r="238" ht="15" customHeight="1" x14ac:dyDescent="0.15"/>
    <row r="239" ht="15" customHeight="1" x14ac:dyDescent="0.15"/>
    <row r="240" ht="15" customHeight="1" x14ac:dyDescent="0.15"/>
    <row r="241" ht="15" customHeight="1" x14ac:dyDescent="0.15"/>
    <row r="242" ht="15" customHeight="1" x14ac:dyDescent="0.15"/>
    <row r="243" ht="15" customHeight="1" x14ac:dyDescent="0.15"/>
    <row r="244" ht="15" customHeight="1" x14ac:dyDescent="0.15"/>
    <row r="245" ht="15" customHeight="1" x14ac:dyDescent="0.15"/>
    <row r="246" ht="15" customHeight="1" x14ac:dyDescent="0.15"/>
    <row r="247" ht="15" customHeight="1" x14ac:dyDescent="0.15"/>
    <row r="248" ht="15" customHeight="1" x14ac:dyDescent="0.15"/>
    <row r="249" ht="15" customHeight="1" x14ac:dyDescent="0.15"/>
    <row r="250" ht="15" customHeight="1" x14ac:dyDescent="0.15"/>
    <row r="251" ht="15" customHeight="1" x14ac:dyDescent="0.15"/>
    <row r="252" ht="15" customHeight="1" x14ac:dyDescent="0.15"/>
    <row r="253" ht="15" customHeight="1" x14ac:dyDescent="0.15"/>
    <row r="254" ht="15" customHeight="1" x14ac:dyDescent="0.15"/>
    <row r="255" ht="15" customHeight="1" x14ac:dyDescent="0.15"/>
    <row r="256" ht="15" customHeight="1" x14ac:dyDescent="0.15"/>
    <row r="257" ht="15" customHeight="1" x14ac:dyDescent="0.15"/>
    <row r="258" ht="15" customHeight="1" x14ac:dyDescent="0.15"/>
    <row r="259" ht="15" customHeight="1" x14ac:dyDescent="0.15"/>
    <row r="260" ht="15" customHeight="1" x14ac:dyDescent="0.15"/>
    <row r="261" ht="15" customHeight="1" x14ac:dyDescent="0.15"/>
    <row r="262" ht="15" customHeight="1" x14ac:dyDescent="0.15"/>
    <row r="263" ht="15" customHeight="1" x14ac:dyDescent="0.15"/>
    <row r="264" ht="15" customHeight="1" x14ac:dyDescent="0.15"/>
    <row r="265" ht="15" customHeight="1" x14ac:dyDescent="0.15"/>
    <row r="266" ht="15" customHeight="1" x14ac:dyDescent="0.15"/>
    <row r="267" ht="15" customHeight="1" x14ac:dyDescent="0.15"/>
    <row r="268" ht="15" customHeight="1" x14ac:dyDescent="0.15"/>
    <row r="269" ht="15" customHeight="1" x14ac:dyDescent="0.15"/>
    <row r="270" ht="15" customHeight="1" x14ac:dyDescent="0.15"/>
    <row r="271" ht="15" customHeight="1" x14ac:dyDescent="0.15"/>
    <row r="272" ht="15" customHeight="1" x14ac:dyDescent="0.15"/>
    <row r="273" ht="15" customHeight="1" x14ac:dyDescent="0.15"/>
    <row r="274" ht="15" customHeight="1" x14ac:dyDescent="0.15"/>
    <row r="275" ht="15" customHeight="1" x14ac:dyDescent="0.15"/>
    <row r="276" ht="15" customHeight="1" x14ac:dyDescent="0.15"/>
    <row r="277" ht="15" customHeight="1" x14ac:dyDescent="0.15"/>
    <row r="278" ht="15" customHeight="1" x14ac:dyDescent="0.15"/>
    <row r="279" ht="15" customHeight="1" x14ac:dyDescent="0.15"/>
    <row r="280" ht="15" customHeight="1" x14ac:dyDescent="0.15"/>
    <row r="281" ht="15" customHeight="1" x14ac:dyDescent="0.15"/>
    <row r="282" ht="15" customHeight="1" x14ac:dyDescent="0.15"/>
    <row r="283" ht="15" customHeight="1" x14ac:dyDescent="0.15"/>
    <row r="284" ht="15" customHeight="1" x14ac:dyDescent="0.15"/>
    <row r="285" ht="15" customHeight="1" x14ac:dyDescent="0.15"/>
    <row r="286" ht="15" customHeight="1" x14ac:dyDescent="0.15"/>
    <row r="287" ht="15" customHeight="1" x14ac:dyDescent="0.15"/>
    <row r="288" ht="15" customHeight="1" x14ac:dyDescent="0.15"/>
    <row r="289" ht="15" customHeight="1" x14ac:dyDescent="0.15"/>
    <row r="290" ht="15" customHeight="1" x14ac:dyDescent="0.15"/>
    <row r="291" ht="15" customHeight="1" x14ac:dyDescent="0.15"/>
    <row r="292" ht="15" customHeight="1" x14ac:dyDescent="0.15"/>
    <row r="293" ht="15" customHeight="1" x14ac:dyDescent="0.15"/>
    <row r="294" ht="15" customHeight="1" x14ac:dyDescent="0.15"/>
    <row r="295" ht="15" customHeight="1" x14ac:dyDescent="0.15"/>
    <row r="296" ht="15" customHeight="1" x14ac:dyDescent="0.15"/>
    <row r="297" ht="15" customHeight="1" x14ac:dyDescent="0.15"/>
    <row r="298" ht="15" customHeight="1" x14ac:dyDescent="0.15"/>
    <row r="299" ht="15" customHeight="1" x14ac:dyDescent="0.15"/>
    <row r="300" ht="15" customHeight="1" x14ac:dyDescent="0.15"/>
    <row r="301" ht="15" customHeight="1" x14ac:dyDescent="0.15"/>
    <row r="302" ht="15" customHeight="1" x14ac:dyDescent="0.15"/>
    <row r="303" ht="15" customHeight="1" x14ac:dyDescent="0.15"/>
    <row r="304" ht="15" customHeight="1" x14ac:dyDescent="0.15"/>
    <row r="305" ht="15" customHeight="1" x14ac:dyDescent="0.15"/>
    <row r="306" ht="15" customHeight="1" x14ac:dyDescent="0.15"/>
    <row r="307" ht="15" customHeight="1" x14ac:dyDescent="0.15"/>
    <row r="308" ht="15" customHeight="1" x14ac:dyDescent="0.15"/>
    <row r="309" ht="15" customHeight="1" x14ac:dyDescent="0.15"/>
    <row r="310" ht="15" customHeight="1" x14ac:dyDescent="0.15"/>
    <row r="311" ht="15" customHeight="1" x14ac:dyDescent="0.15"/>
    <row r="312" ht="15" customHeight="1" x14ac:dyDescent="0.15"/>
    <row r="313" ht="15" customHeight="1" x14ac:dyDescent="0.15"/>
    <row r="314" ht="15" customHeight="1" x14ac:dyDescent="0.15"/>
    <row r="315" ht="15" customHeight="1" x14ac:dyDescent="0.15"/>
    <row r="316" ht="15" customHeight="1" x14ac:dyDescent="0.15"/>
    <row r="317" ht="15" customHeight="1" x14ac:dyDescent="0.15"/>
    <row r="318" ht="15" customHeight="1" x14ac:dyDescent="0.15"/>
    <row r="319" ht="15" customHeight="1" x14ac:dyDescent="0.15"/>
    <row r="320" ht="15" customHeight="1" x14ac:dyDescent="0.15"/>
    <row r="321" ht="15" customHeight="1" x14ac:dyDescent="0.15"/>
    <row r="322" ht="15" customHeight="1" x14ac:dyDescent="0.15"/>
    <row r="323" ht="15" customHeight="1" x14ac:dyDescent="0.15"/>
    <row r="324" ht="15" customHeight="1" x14ac:dyDescent="0.15"/>
    <row r="325" ht="15" customHeight="1" x14ac:dyDescent="0.15"/>
    <row r="326" ht="15" customHeight="1" x14ac:dyDescent="0.15"/>
    <row r="327" ht="15" customHeight="1" x14ac:dyDescent="0.15"/>
    <row r="328" ht="15" customHeight="1" x14ac:dyDescent="0.15"/>
    <row r="329" ht="15" customHeight="1" x14ac:dyDescent="0.15"/>
    <row r="330" ht="15" customHeight="1" x14ac:dyDescent="0.15"/>
    <row r="331" ht="15" customHeight="1" x14ac:dyDescent="0.15"/>
    <row r="332" ht="15" customHeight="1" x14ac:dyDescent="0.15"/>
    <row r="333" ht="15" customHeight="1" x14ac:dyDescent="0.15"/>
    <row r="334" ht="15" customHeight="1" x14ac:dyDescent="0.15"/>
    <row r="335" ht="15" customHeight="1" x14ac:dyDescent="0.15"/>
    <row r="336" ht="15" customHeight="1" x14ac:dyDescent="0.15"/>
    <row r="337" ht="15" customHeight="1" x14ac:dyDescent="0.15"/>
    <row r="338" ht="15" customHeight="1" x14ac:dyDescent="0.15"/>
    <row r="339" ht="15" customHeight="1" x14ac:dyDescent="0.15"/>
    <row r="340" ht="15" customHeight="1" x14ac:dyDescent="0.15"/>
    <row r="341" ht="15" customHeight="1" x14ac:dyDescent="0.15"/>
    <row r="342" ht="15" customHeight="1" x14ac:dyDescent="0.15"/>
    <row r="343" ht="15" customHeight="1" x14ac:dyDescent="0.15"/>
    <row r="344" ht="15" customHeight="1" x14ac:dyDescent="0.15"/>
    <row r="345" ht="15" customHeight="1" x14ac:dyDescent="0.15"/>
    <row r="346" ht="15" customHeight="1" x14ac:dyDescent="0.15"/>
    <row r="347" ht="15" customHeight="1" x14ac:dyDescent="0.15"/>
    <row r="348" ht="15" customHeight="1" x14ac:dyDescent="0.15"/>
    <row r="349" ht="15" customHeight="1" x14ac:dyDescent="0.15"/>
    <row r="350" ht="15" customHeight="1" x14ac:dyDescent="0.15"/>
    <row r="351" ht="15" customHeight="1" x14ac:dyDescent="0.15"/>
    <row r="352" ht="15" customHeight="1" x14ac:dyDescent="0.15"/>
    <row r="353" ht="15" customHeight="1" x14ac:dyDescent="0.15"/>
    <row r="354" ht="15" customHeight="1" x14ac:dyDescent="0.15"/>
    <row r="355" ht="15" customHeight="1" x14ac:dyDescent="0.15"/>
    <row r="356" ht="15" customHeight="1" x14ac:dyDescent="0.15"/>
    <row r="357" ht="15" customHeight="1" x14ac:dyDescent="0.15"/>
    <row r="358" ht="15" customHeight="1" x14ac:dyDescent="0.15"/>
    <row r="359" ht="15" customHeight="1" x14ac:dyDescent="0.15"/>
    <row r="360" ht="15" customHeight="1" x14ac:dyDescent="0.15"/>
    <row r="361" ht="15" customHeight="1" x14ac:dyDescent="0.15"/>
    <row r="362" ht="15" customHeight="1" x14ac:dyDescent="0.15"/>
    <row r="363" ht="15" customHeight="1" x14ac:dyDescent="0.15"/>
    <row r="364" ht="15" customHeight="1" x14ac:dyDescent="0.15"/>
    <row r="365" ht="15" customHeight="1" x14ac:dyDescent="0.15"/>
    <row r="366" ht="15" customHeight="1" x14ac:dyDescent="0.15"/>
    <row r="367" ht="15" customHeight="1" x14ac:dyDescent="0.15"/>
    <row r="368" ht="15" customHeight="1" x14ac:dyDescent="0.15"/>
    <row r="369" ht="15" customHeight="1" x14ac:dyDescent="0.15"/>
    <row r="370" ht="15" customHeight="1" x14ac:dyDescent="0.15"/>
    <row r="371" ht="15" customHeight="1" x14ac:dyDescent="0.15"/>
    <row r="372" ht="15" customHeight="1" x14ac:dyDescent="0.15"/>
    <row r="373" ht="15" customHeight="1" x14ac:dyDescent="0.15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45"/>
  </sheetPr>
  <dimension ref="A1:H185"/>
  <sheetViews>
    <sheetView tabSelected="1" workbookViewId="0">
      <pane xSplit="2" ySplit="1" topLeftCell="C22" activePane="bottomRight" state="frozen"/>
      <selection pane="topRight" activeCell="C1" sqref="C1"/>
      <selection pane="bottomLeft" activeCell="A2" sqref="A2"/>
      <selection pane="bottomRight" activeCell="G40" sqref="G40"/>
    </sheetView>
  </sheetViews>
  <sheetFormatPr baseColWidth="10" defaultColWidth="8.83203125" defaultRowHeight="13" x14ac:dyDescent="0.15"/>
  <cols>
    <col min="1" max="1" width="3.33203125" customWidth="1"/>
    <col min="2" max="2" width="21.6640625" customWidth="1"/>
    <col min="3" max="4" width="18.83203125" style="110" customWidth="1"/>
    <col min="5" max="6" width="18.83203125" style="109" customWidth="1"/>
    <col min="7" max="8" width="8.83203125" style="110"/>
  </cols>
  <sheetData>
    <row r="1" spans="1:8" ht="70" x14ac:dyDescent="0.15">
      <c r="A1" s="5" t="s">
        <v>20</v>
      </c>
      <c r="B1" s="1" t="s">
        <v>0</v>
      </c>
      <c r="C1" s="180" t="s">
        <v>222</v>
      </c>
      <c r="D1" s="180" t="s">
        <v>223</v>
      </c>
      <c r="E1" s="180" t="s">
        <v>226</v>
      </c>
      <c r="F1" s="180" t="s">
        <v>227</v>
      </c>
      <c r="G1"/>
      <c r="H1"/>
    </row>
    <row r="2" spans="1:8" x14ac:dyDescent="0.15">
      <c r="A2">
        <v>1</v>
      </c>
      <c r="B2" s="179" t="s">
        <v>192</v>
      </c>
      <c r="C2" s="110">
        <v>1</v>
      </c>
      <c r="D2" s="110">
        <v>0</v>
      </c>
      <c r="E2" s="109">
        <v>0</v>
      </c>
      <c r="F2" s="109">
        <v>1</v>
      </c>
      <c r="G2"/>
      <c r="H2"/>
    </row>
    <row r="3" spans="1:8" x14ac:dyDescent="0.15">
      <c r="A3">
        <v>2</v>
      </c>
      <c r="B3" s="179" t="s">
        <v>193</v>
      </c>
      <c r="C3" s="110">
        <v>1</v>
      </c>
      <c r="D3" s="110">
        <v>0</v>
      </c>
      <c r="E3" s="109">
        <v>0</v>
      </c>
      <c r="F3" s="109">
        <v>1</v>
      </c>
      <c r="G3"/>
      <c r="H3"/>
    </row>
    <row r="4" spans="1:8" x14ac:dyDescent="0.15">
      <c r="A4">
        <v>3</v>
      </c>
      <c r="B4" s="179" t="s">
        <v>194</v>
      </c>
      <c r="C4" s="110">
        <v>1</v>
      </c>
      <c r="D4" s="110">
        <v>0</v>
      </c>
      <c r="E4" s="109">
        <v>0</v>
      </c>
      <c r="F4" s="109">
        <v>1</v>
      </c>
      <c r="G4"/>
      <c r="H4"/>
    </row>
    <row r="5" spans="1:8" x14ac:dyDescent="0.15">
      <c r="A5">
        <v>4</v>
      </c>
      <c r="B5" s="179" t="s">
        <v>195</v>
      </c>
      <c r="C5" s="110">
        <v>1</v>
      </c>
      <c r="D5" s="110">
        <v>0</v>
      </c>
      <c r="E5" s="109">
        <v>0</v>
      </c>
      <c r="F5" s="109">
        <v>1</v>
      </c>
      <c r="G5"/>
      <c r="H5"/>
    </row>
    <row r="6" spans="1:8" x14ac:dyDescent="0.15">
      <c r="A6">
        <v>5</v>
      </c>
      <c r="B6" s="179" t="s">
        <v>196</v>
      </c>
      <c r="C6" s="110">
        <v>1</v>
      </c>
      <c r="D6" s="110">
        <v>0</v>
      </c>
      <c r="E6" s="109">
        <v>0</v>
      </c>
      <c r="F6" s="109">
        <v>1</v>
      </c>
      <c r="G6"/>
      <c r="H6"/>
    </row>
    <row r="7" spans="1:8" x14ac:dyDescent="0.15">
      <c r="A7">
        <v>6</v>
      </c>
      <c r="B7" s="179" t="s">
        <v>197</v>
      </c>
      <c r="C7" s="110">
        <v>1</v>
      </c>
      <c r="D7" s="110">
        <v>0</v>
      </c>
      <c r="E7" s="109">
        <v>0</v>
      </c>
      <c r="F7" s="109">
        <v>1</v>
      </c>
      <c r="G7"/>
      <c r="H7"/>
    </row>
    <row r="8" spans="1:8" x14ac:dyDescent="0.15">
      <c r="A8">
        <v>7</v>
      </c>
      <c r="B8" s="179" t="s">
        <v>198</v>
      </c>
      <c r="C8" s="110">
        <v>1</v>
      </c>
      <c r="D8" s="110">
        <v>0</v>
      </c>
      <c r="E8" s="109">
        <v>0</v>
      </c>
      <c r="F8" s="109">
        <v>1</v>
      </c>
      <c r="G8"/>
      <c r="H8"/>
    </row>
    <row r="9" spans="1:8" x14ac:dyDescent="0.15">
      <c r="A9">
        <v>8</v>
      </c>
      <c r="B9" s="179" t="s">
        <v>199</v>
      </c>
      <c r="C9" s="110">
        <v>1</v>
      </c>
      <c r="D9" s="110">
        <v>0</v>
      </c>
      <c r="E9" s="109">
        <v>0</v>
      </c>
      <c r="F9" s="109">
        <v>1</v>
      </c>
      <c r="G9"/>
      <c r="H9"/>
    </row>
    <row r="10" spans="1:8" x14ac:dyDescent="0.15">
      <c r="A10">
        <v>9</v>
      </c>
      <c r="B10" s="179" t="s">
        <v>200</v>
      </c>
      <c r="C10" s="110">
        <v>1</v>
      </c>
      <c r="D10" s="110">
        <v>0</v>
      </c>
      <c r="E10" s="109">
        <v>0</v>
      </c>
      <c r="F10" s="109">
        <v>1</v>
      </c>
      <c r="G10"/>
      <c r="H10"/>
    </row>
    <row r="11" spans="1:8" x14ac:dyDescent="0.15">
      <c r="A11">
        <v>10</v>
      </c>
      <c r="B11" s="179" t="s">
        <v>201</v>
      </c>
      <c r="C11" s="110">
        <v>1</v>
      </c>
      <c r="D11" s="110">
        <v>0</v>
      </c>
      <c r="E11" s="109">
        <v>0</v>
      </c>
      <c r="F11" s="109">
        <v>1</v>
      </c>
      <c r="G11"/>
      <c r="H11"/>
    </row>
    <row r="12" spans="1:8" x14ac:dyDescent="0.15">
      <c r="A12">
        <v>11</v>
      </c>
      <c r="B12" s="179" t="s">
        <v>202</v>
      </c>
      <c r="C12" s="110">
        <v>1</v>
      </c>
      <c r="D12" s="110">
        <v>0</v>
      </c>
      <c r="E12" s="109">
        <v>0</v>
      </c>
      <c r="F12" s="109">
        <v>1</v>
      </c>
      <c r="G12"/>
      <c r="H12"/>
    </row>
    <row r="13" spans="1:8" x14ac:dyDescent="0.15">
      <c r="A13">
        <v>12</v>
      </c>
      <c r="B13" s="179" t="s">
        <v>203</v>
      </c>
      <c r="C13" s="110">
        <v>1</v>
      </c>
      <c r="D13" s="110">
        <v>0</v>
      </c>
      <c r="E13" s="109">
        <v>0</v>
      </c>
      <c r="F13" s="109">
        <v>1</v>
      </c>
      <c r="G13"/>
      <c r="H13"/>
    </row>
    <row r="14" spans="1:8" x14ac:dyDescent="0.15">
      <c r="A14">
        <v>13</v>
      </c>
      <c r="B14" s="179" t="s">
        <v>204</v>
      </c>
      <c r="C14" s="110">
        <v>1</v>
      </c>
      <c r="D14" s="110">
        <v>0</v>
      </c>
      <c r="E14" s="109">
        <v>0</v>
      </c>
      <c r="F14" s="109">
        <v>1</v>
      </c>
      <c r="G14"/>
      <c r="H14"/>
    </row>
    <row r="15" spans="1:8" x14ac:dyDescent="0.15">
      <c r="A15">
        <v>14</v>
      </c>
      <c r="B15" s="179" t="s">
        <v>205</v>
      </c>
      <c r="C15" s="110">
        <v>1</v>
      </c>
      <c r="D15" s="110">
        <v>0</v>
      </c>
      <c r="E15" s="109">
        <v>0</v>
      </c>
      <c r="F15" s="109">
        <v>1</v>
      </c>
      <c r="G15"/>
      <c r="H15"/>
    </row>
    <row r="16" spans="1:8" x14ac:dyDescent="0.15">
      <c r="A16">
        <v>15</v>
      </c>
      <c r="B16" s="179" t="s">
        <v>206</v>
      </c>
      <c r="C16" s="110">
        <v>1</v>
      </c>
      <c r="D16" s="110">
        <v>0</v>
      </c>
      <c r="E16" s="109">
        <v>0</v>
      </c>
      <c r="F16" s="109">
        <v>1</v>
      </c>
      <c r="G16"/>
      <c r="H16"/>
    </row>
    <row r="17" spans="1:8" ht="15" customHeight="1" x14ac:dyDescent="0.15">
      <c r="A17">
        <v>16</v>
      </c>
      <c r="B17" s="179" t="s">
        <v>207</v>
      </c>
      <c r="C17" s="110">
        <v>1</v>
      </c>
      <c r="D17" s="110">
        <v>0</v>
      </c>
      <c r="E17" s="109">
        <v>0</v>
      </c>
      <c r="F17" s="109">
        <v>1</v>
      </c>
      <c r="G17"/>
      <c r="H17"/>
    </row>
    <row r="18" spans="1:8" ht="15" customHeight="1" x14ac:dyDescent="0.15">
      <c r="A18">
        <v>17</v>
      </c>
      <c r="B18" s="179" t="s">
        <v>208</v>
      </c>
      <c r="C18" s="110">
        <v>1</v>
      </c>
      <c r="D18" s="110">
        <v>0</v>
      </c>
      <c r="E18" s="109">
        <v>0</v>
      </c>
      <c r="F18" s="109">
        <v>1</v>
      </c>
      <c r="G18"/>
      <c r="H18"/>
    </row>
    <row r="19" spans="1:8" ht="15" customHeight="1" x14ac:dyDescent="0.15">
      <c r="A19">
        <v>18</v>
      </c>
      <c r="B19" s="179" t="s">
        <v>209</v>
      </c>
      <c r="C19" s="110">
        <v>1</v>
      </c>
      <c r="D19" s="110">
        <v>0</v>
      </c>
      <c r="E19" s="109">
        <v>0</v>
      </c>
      <c r="F19" s="109">
        <v>1</v>
      </c>
      <c r="G19"/>
      <c r="H19"/>
    </row>
    <row r="20" spans="1:8" ht="15" customHeight="1" x14ac:dyDescent="0.15">
      <c r="A20">
        <v>19</v>
      </c>
      <c r="B20" s="179" t="s">
        <v>210</v>
      </c>
      <c r="C20" s="110">
        <v>1</v>
      </c>
      <c r="D20" s="110">
        <v>0</v>
      </c>
      <c r="E20" s="109">
        <v>0</v>
      </c>
      <c r="F20" s="109">
        <v>1</v>
      </c>
      <c r="G20"/>
      <c r="H20"/>
    </row>
    <row r="21" spans="1:8" ht="15" customHeight="1" x14ac:dyDescent="0.15">
      <c r="A21">
        <v>20</v>
      </c>
      <c r="B21" s="179" t="s">
        <v>211</v>
      </c>
      <c r="C21" s="110">
        <v>1</v>
      </c>
      <c r="D21" s="110">
        <v>0</v>
      </c>
      <c r="E21" s="109">
        <v>0</v>
      </c>
      <c r="F21" s="109">
        <v>1</v>
      </c>
      <c r="G21"/>
      <c r="H21"/>
    </row>
    <row r="22" spans="1:8" ht="15" customHeight="1" x14ac:dyDescent="0.15">
      <c r="A22">
        <v>21</v>
      </c>
      <c r="B22" s="179" t="s">
        <v>212</v>
      </c>
      <c r="C22" s="110">
        <v>1</v>
      </c>
      <c r="D22" s="110">
        <v>0</v>
      </c>
      <c r="E22" s="109">
        <v>0</v>
      </c>
      <c r="F22" s="109">
        <v>1</v>
      </c>
      <c r="G22"/>
      <c r="H22"/>
    </row>
    <row r="23" spans="1:8" ht="15" customHeight="1" x14ac:dyDescent="0.15">
      <c r="A23">
        <v>22</v>
      </c>
      <c r="B23" s="179" t="s">
        <v>213</v>
      </c>
      <c r="C23" s="110">
        <v>1</v>
      </c>
      <c r="D23" s="110">
        <v>0</v>
      </c>
      <c r="E23" s="109">
        <v>0</v>
      </c>
      <c r="F23" s="109">
        <v>1</v>
      </c>
      <c r="G23"/>
      <c r="H23"/>
    </row>
    <row r="24" spans="1:8" ht="15" customHeight="1" x14ac:dyDescent="0.15">
      <c r="A24">
        <v>23</v>
      </c>
      <c r="B24" s="179" t="s">
        <v>214</v>
      </c>
      <c r="C24" s="110">
        <v>1</v>
      </c>
      <c r="D24" s="110">
        <v>0</v>
      </c>
      <c r="E24" s="109">
        <v>0</v>
      </c>
      <c r="F24" s="109">
        <v>1</v>
      </c>
      <c r="G24"/>
      <c r="H24"/>
    </row>
    <row r="25" spans="1:8" ht="15" customHeight="1" x14ac:dyDescent="0.15">
      <c r="A25">
        <v>24</v>
      </c>
      <c r="B25" s="179" t="s">
        <v>215</v>
      </c>
      <c r="C25" s="110">
        <v>1</v>
      </c>
      <c r="D25" s="110">
        <v>0</v>
      </c>
      <c r="E25" s="109">
        <v>0</v>
      </c>
      <c r="F25" s="109">
        <v>1</v>
      </c>
      <c r="G25"/>
      <c r="H25"/>
    </row>
    <row r="26" spans="1:8" ht="15" customHeight="1" x14ac:dyDescent="0.15">
      <c r="A26">
        <v>25</v>
      </c>
      <c r="B26" s="179" t="s">
        <v>216</v>
      </c>
      <c r="C26" s="110">
        <v>1</v>
      </c>
      <c r="D26" s="110">
        <v>0</v>
      </c>
      <c r="E26" s="109">
        <v>0</v>
      </c>
      <c r="F26" s="109">
        <v>1</v>
      </c>
      <c r="G26"/>
      <c r="H26"/>
    </row>
    <row r="27" spans="1:8" ht="15" customHeight="1" x14ac:dyDescent="0.15">
      <c r="A27">
        <v>26</v>
      </c>
      <c r="B27" s="179" t="s">
        <v>217</v>
      </c>
      <c r="C27" s="110">
        <v>1</v>
      </c>
      <c r="D27" s="110">
        <v>0</v>
      </c>
      <c r="E27" s="109">
        <v>0</v>
      </c>
      <c r="F27" s="109">
        <v>1</v>
      </c>
      <c r="G27"/>
      <c r="H27"/>
    </row>
    <row r="28" spans="1:8" ht="15" customHeight="1" x14ac:dyDescent="0.15">
      <c r="A28">
        <v>27</v>
      </c>
      <c r="B28" s="179" t="s">
        <v>218</v>
      </c>
      <c r="C28" s="110">
        <v>1</v>
      </c>
      <c r="D28" s="110">
        <v>0</v>
      </c>
      <c r="E28" s="109">
        <v>0</v>
      </c>
      <c r="F28" s="109">
        <v>1</v>
      </c>
      <c r="G28"/>
      <c r="H28"/>
    </row>
    <row r="29" spans="1:8" ht="15" customHeight="1" x14ac:dyDescent="0.15">
      <c r="A29">
        <v>28</v>
      </c>
      <c r="B29" s="179" t="s">
        <v>219</v>
      </c>
      <c r="C29" s="110">
        <v>1</v>
      </c>
      <c r="D29" s="110">
        <v>0</v>
      </c>
      <c r="E29" s="109">
        <v>0</v>
      </c>
      <c r="F29" s="109">
        <v>1</v>
      </c>
      <c r="G29"/>
      <c r="H29"/>
    </row>
    <row r="30" spans="1:8" ht="15" customHeight="1" x14ac:dyDescent="0.15">
      <c r="A30">
        <v>29</v>
      </c>
      <c r="B30" s="179" t="s">
        <v>220</v>
      </c>
      <c r="C30" s="110">
        <v>1</v>
      </c>
      <c r="D30" s="110">
        <v>0</v>
      </c>
      <c r="E30" s="109">
        <v>0</v>
      </c>
      <c r="F30" s="109">
        <v>1</v>
      </c>
      <c r="G30"/>
      <c r="H30"/>
    </row>
    <row r="31" spans="1:8" ht="15" customHeight="1" x14ac:dyDescent="0.15">
      <c r="A31">
        <v>30</v>
      </c>
      <c r="B31" s="179" t="s">
        <v>221</v>
      </c>
      <c r="C31" s="110">
        <v>1</v>
      </c>
      <c r="D31" s="110">
        <v>0</v>
      </c>
      <c r="E31" s="109">
        <v>0</v>
      </c>
      <c r="F31" s="109">
        <v>1</v>
      </c>
      <c r="G31"/>
      <c r="H31"/>
    </row>
    <row r="32" spans="1:8" ht="15" customHeight="1" x14ac:dyDescent="0.15">
      <c r="A32">
        <v>31</v>
      </c>
      <c r="B32" s="179" t="s">
        <v>222</v>
      </c>
      <c r="C32" s="110">
        <v>0</v>
      </c>
      <c r="D32" s="110">
        <v>1</v>
      </c>
      <c r="E32" s="109">
        <v>0</v>
      </c>
      <c r="F32" s="109">
        <v>1</v>
      </c>
    </row>
    <row r="33" spans="1:8" ht="15" customHeight="1" x14ac:dyDescent="0.15">
      <c r="A33">
        <v>32</v>
      </c>
      <c r="B33" s="179" t="s">
        <v>223</v>
      </c>
      <c r="C33" s="110">
        <v>0</v>
      </c>
      <c r="D33" s="110">
        <v>0</v>
      </c>
      <c r="E33" s="109">
        <v>1</v>
      </c>
      <c r="F33" s="109">
        <v>1</v>
      </c>
    </row>
    <row r="34" spans="1:8" ht="15" customHeight="1" x14ac:dyDescent="0.15">
      <c r="A34">
        <v>33</v>
      </c>
      <c r="B34" s="179" t="s">
        <v>224</v>
      </c>
      <c r="C34" s="110">
        <v>0</v>
      </c>
      <c r="D34" s="110">
        <v>1</v>
      </c>
      <c r="E34" s="109">
        <v>0</v>
      </c>
      <c r="F34" s="109">
        <v>1</v>
      </c>
    </row>
    <row r="35" spans="1:8" ht="15" customHeight="1" x14ac:dyDescent="0.15"/>
    <row r="36" spans="1:8" ht="15" customHeight="1" x14ac:dyDescent="0.15">
      <c r="C36"/>
      <c r="D36"/>
      <c r="E36" s="110"/>
      <c r="F36" s="110"/>
      <c r="G36"/>
      <c r="H36"/>
    </row>
    <row r="37" spans="1:8" ht="15" customHeight="1" x14ac:dyDescent="0.15">
      <c r="C37"/>
      <c r="D37"/>
      <c r="E37" s="110"/>
      <c r="F37" s="110"/>
      <c r="G37"/>
      <c r="H37"/>
    </row>
    <row r="38" spans="1:8" ht="15" customHeight="1" x14ac:dyDescent="0.15">
      <c r="C38"/>
      <c r="D38"/>
      <c r="E38" s="110"/>
      <c r="F38" s="110"/>
      <c r="G38"/>
      <c r="H38"/>
    </row>
    <row r="39" spans="1:8" ht="15" customHeight="1" x14ac:dyDescent="0.15">
      <c r="C39"/>
      <c r="D39"/>
      <c r="E39" s="110"/>
      <c r="F39" s="110"/>
      <c r="G39"/>
      <c r="H39"/>
    </row>
    <row r="40" spans="1:8" ht="15" customHeight="1" x14ac:dyDescent="0.15">
      <c r="C40"/>
      <c r="D40"/>
      <c r="E40" s="110"/>
      <c r="F40" s="110"/>
      <c r="G40"/>
      <c r="H40"/>
    </row>
    <row r="41" spans="1:8" ht="15" customHeight="1" x14ac:dyDescent="0.15">
      <c r="C41"/>
      <c r="D41"/>
      <c r="E41" s="110"/>
      <c r="F41" s="110"/>
      <c r="G41"/>
      <c r="H41"/>
    </row>
    <row r="42" spans="1:8" ht="15" customHeight="1" x14ac:dyDescent="0.15">
      <c r="C42"/>
      <c r="D42"/>
      <c r="E42" s="110"/>
      <c r="F42" s="110"/>
      <c r="G42"/>
      <c r="H42"/>
    </row>
    <row r="43" spans="1:8" ht="15" customHeight="1" x14ac:dyDescent="0.15">
      <c r="C43"/>
      <c r="D43"/>
      <c r="E43" s="110"/>
      <c r="F43" s="110"/>
      <c r="G43"/>
      <c r="H43"/>
    </row>
    <row r="44" spans="1:8" ht="15" customHeight="1" x14ac:dyDescent="0.15">
      <c r="C44"/>
      <c r="D44"/>
      <c r="G44"/>
      <c r="H44"/>
    </row>
    <row r="45" spans="1:8" ht="15" customHeight="1" x14ac:dyDescent="0.15">
      <c r="C45"/>
      <c r="D45"/>
      <c r="G45"/>
      <c r="H45"/>
    </row>
    <row r="46" spans="1:8" ht="15" customHeight="1" x14ac:dyDescent="0.15">
      <c r="C46"/>
      <c r="D46"/>
      <c r="E46" s="110"/>
      <c r="F46" s="110"/>
      <c r="G46"/>
      <c r="H46"/>
    </row>
    <row r="47" spans="1:8" ht="15" customHeight="1" x14ac:dyDescent="0.15">
      <c r="C47"/>
      <c r="D47"/>
      <c r="G47"/>
      <c r="H47"/>
    </row>
    <row r="48" spans="1:8" ht="15" customHeight="1" x14ac:dyDescent="0.15">
      <c r="C48"/>
      <c r="D48"/>
      <c r="G48"/>
      <c r="H48"/>
    </row>
    <row r="49" spans="3:8" ht="15" customHeight="1" x14ac:dyDescent="0.15">
      <c r="C49"/>
      <c r="D49"/>
      <c r="G49"/>
      <c r="H49"/>
    </row>
    <row r="50" spans="3:8" ht="15" customHeight="1" x14ac:dyDescent="0.15">
      <c r="C50"/>
      <c r="D50"/>
      <c r="G50"/>
      <c r="H50"/>
    </row>
    <row r="51" spans="3:8" ht="15" customHeight="1" x14ac:dyDescent="0.15">
      <c r="C51"/>
      <c r="D51"/>
      <c r="G51"/>
      <c r="H51"/>
    </row>
    <row r="52" spans="3:8" ht="15" customHeight="1" x14ac:dyDescent="0.15">
      <c r="C52"/>
      <c r="D52"/>
      <c r="E52"/>
      <c r="F52"/>
      <c r="G52"/>
      <c r="H52"/>
    </row>
    <row r="53" spans="3:8" ht="15" customHeight="1" x14ac:dyDescent="0.15">
      <c r="C53"/>
      <c r="D53"/>
      <c r="E53"/>
      <c r="F53"/>
      <c r="G53"/>
      <c r="H53"/>
    </row>
    <row r="54" spans="3:8" ht="15" customHeight="1" x14ac:dyDescent="0.15">
      <c r="C54"/>
      <c r="D54"/>
      <c r="E54"/>
      <c r="F54"/>
      <c r="G54"/>
      <c r="H54"/>
    </row>
    <row r="55" spans="3:8" ht="15" customHeight="1" x14ac:dyDescent="0.15">
      <c r="C55"/>
      <c r="D55"/>
      <c r="E55"/>
      <c r="F55"/>
      <c r="G55"/>
      <c r="H55"/>
    </row>
    <row r="56" spans="3:8" ht="15" customHeight="1" x14ac:dyDescent="0.15">
      <c r="C56"/>
      <c r="D56"/>
      <c r="E56"/>
      <c r="F56"/>
      <c r="G56"/>
      <c r="H56"/>
    </row>
    <row r="57" spans="3:8" ht="15" customHeight="1" x14ac:dyDescent="0.15">
      <c r="C57"/>
      <c r="D57"/>
      <c r="E57"/>
      <c r="F57"/>
      <c r="G57"/>
      <c r="H57"/>
    </row>
    <row r="58" spans="3:8" ht="15" customHeight="1" x14ac:dyDescent="0.15">
      <c r="C58"/>
      <c r="D58"/>
      <c r="E58"/>
      <c r="F58"/>
      <c r="G58"/>
      <c r="H58"/>
    </row>
    <row r="59" spans="3:8" ht="15" customHeight="1" x14ac:dyDescent="0.15">
      <c r="C59"/>
      <c r="D59"/>
      <c r="E59"/>
      <c r="F59"/>
      <c r="G59"/>
      <c r="H59"/>
    </row>
    <row r="60" spans="3:8" ht="15" customHeight="1" x14ac:dyDescent="0.15">
      <c r="C60"/>
      <c r="D60"/>
      <c r="E60"/>
      <c r="F60"/>
      <c r="G60"/>
      <c r="H60"/>
    </row>
    <row r="61" spans="3:8" ht="15" customHeight="1" x14ac:dyDescent="0.15">
      <c r="C61"/>
      <c r="D61"/>
      <c r="E61"/>
      <c r="F61"/>
      <c r="G61"/>
      <c r="H61"/>
    </row>
    <row r="62" spans="3:8" ht="15" customHeight="1" x14ac:dyDescent="0.15">
      <c r="C62"/>
      <c r="D62"/>
      <c r="E62"/>
      <c r="F62"/>
      <c r="G62"/>
      <c r="H62"/>
    </row>
    <row r="63" spans="3:8" ht="15" customHeight="1" x14ac:dyDescent="0.15">
      <c r="C63"/>
      <c r="D63"/>
      <c r="E63"/>
      <c r="F63"/>
      <c r="G63"/>
      <c r="H63"/>
    </row>
    <row r="64" spans="3:8" ht="15" customHeight="1" x14ac:dyDescent="0.15">
      <c r="C64"/>
      <c r="D64"/>
      <c r="E64"/>
      <c r="F64"/>
      <c r="G64"/>
      <c r="H64"/>
    </row>
    <row r="65" spans="3:8" ht="15" customHeight="1" x14ac:dyDescent="0.15">
      <c r="C65"/>
      <c r="D65"/>
      <c r="E65"/>
      <c r="F65"/>
      <c r="G65"/>
      <c r="H65"/>
    </row>
    <row r="66" spans="3:8" ht="15" customHeight="1" x14ac:dyDescent="0.15">
      <c r="C66"/>
      <c r="D66"/>
      <c r="E66"/>
      <c r="F66"/>
      <c r="G66"/>
      <c r="H66"/>
    </row>
    <row r="67" spans="3:8" ht="15" customHeight="1" x14ac:dyDescent="0.15">
      <c r="C67"/>
      <c r="D67"/>
      <c r="E67"/>
      <c r="F67"/>
      <c r="G67"/>
      <c r="H67"/>
    </row>
    <row r="68" spans="3:8" ht="15" customHeight="1" x14ac:dyDescent="0.15">
      <c r="C68"/>
      <c r="D68"/>
      <c r="E68"/>
      <c r="F68"/>
      <c r="G68"/>
      <c r="H68"/>
    </row>
    <row r="69" spans="3:8" ht="15" customHeight="1" x14ac:dyDescent="0.15">
      <c r="C69"/>
      <c r="D69"/>
      <c r="E69"/>
      <c r="F69"/>
      <c r="G69"/>
      <c r="H69"/>
    </row>
    <row r="70" spans="3:8" ht="15" customHeight="1" x14ac:dyDescent="0.15">
      <c r="C70"/>
      <c r="D70"/>
      <c r="E70"/>
      <c r="F70"/>
      <c r="G70"/>
      <c r="H70"/>
    </row>
    <row r="71" spans="3:8" ht="15" customHeight="1" x14ac:dyDescent="0.15">
      <c r="C71"/>
      <c r="D71"/>
      <c r="E71"/>
      <c r="F71"/>
      <c r="G71"/>
      <c r="H71"/>
    </row>
    <row r="72" spans="3:8" ht="15" customHeight="1" x14ac:dyDescent="0.15">
      <c r="C72"/>
      <c r="D72"/>
      <c r="E72"/>
      <c r="F72"/>
      <c r="G72"/>
      <c r="H72"/>
    </row>
    <row r="73" spans="3:8" ht="15" customHeight="1" x14ac:dyDescent="0.15">
      <c r="C73"/>
      <c r="D73"/>
      <c r="E73"/>
      <c r="F73"/>
      <c r="G73"/>
      <c r="H73"/>
    </row>
    <row r="74" spans="3:8" ht="15" customHeight="1" x14ac:dyDescent="0.15">
      <c r="C74"/>
      <c r="D74"/>
      <c r="E74"/>
      <c r="F74"/>
      <c r="G74"/>
      <c r="H74"/>
    </row>
    <row r="75" spans="3:8" ht="15" customHeight="1" x14ac:dyDescent="0.15">
      <c r="C75"/>
      <c r="D75"/>
      <c r="E75"/>
      <c r="F75"/>
      <c r="G75"/>
      <c r="H75"/>
    </row>
    <row r="76" spans="3:8" ht="15" customHeight="1" x14ac:dyDescent="0.15">
      <c r="C76"/>
      <c r="D76"/>
      <c r="E76"/>
      <c r="F76"/>
      <c r="G76"/>
      <c r="H76"/>
    </row>
    <row r="77" spans="3:8" ht="15" customHeight="1" x14ac:dyDescent="0.15">
      <c r="C77"/>
      <c r="D77"/>
      <c r="E77"/>
      <c r="F77"/>
      <c r="G77"/>
      <c r="H77"/>
    </row>
    <row r="78" spans="3:8" ht="15" customHeight="1" x14ac:dyDescent="0.15">
      <c r="C78"/>
      <c r="D78"/>
      <c r="E78"/>
      <c r="F78"/>
      <c r="G78"/>
      <c r="H78"/>
    </row>
    <row r="79" spans="3:8" ht="15" customHeight="1" x14ac:dyDescent="0.15">
      <c r="C79"/>
      <c r="D79"/>
      <c r="E79"/>
      <c r="F79"/>
      <c r="G79"/>
      <c r="H79"/>
    </row>
    <row r="80" spans="3:8" ht="15" customHeight="1" x14ac:dyDescent="0.15">
      <c r="C80"/>
      <c r="D80"/>
      <c r="E80"/>
      <c r="F80"/>
      <c r="G80"/>
      <c r="H80"/>
    </row>
    <row r="81" spans="3:8" ht="15" customHeight="1" x14ac:dyDescent="0.15">
      <c r="C81"/>
      <c r="D81"/>
      <c r="E81"/>
      <c r="F81"/>
      <c r="G81"/>
      <c r="H81"/>
    </row>
    <row r="82" spans="3:8" ht="15" customHeight="1" x14ac:dyDescent="0.15">
      <c r="C82"/>
      <c r="D82"/>
      <c r="E82"/>
      <c r="F82"/>
      <c r="G82"/>
      <c r="H82"/>
    </row>
    <row r="83" spans="3:8" ht="15" customHeight="1" x14ac:dyDescent="0.15">
      <c r="C83"/>
      <c r="D83"/>
      <c r="E83"/>
      <c r="F83"/>
      <c r="G83"/>
      <c r="H83"/>
    </row>
    <row r="84" spans="3:8" ht="15" customHeight="1" x14ac:dyDescent="0.15">
      <c r="C84"/>
      <c r="D84"/>
      <c r="E84"/>
      <c r="F84"/>
      <c r="G84"/>
      <c r="H84"/>
    </row>
    <row r="85" spans="3:8" ht="15" customHeight="1" x14ac:dyDescent="0.15">
      <c r="C85"/>
      <c r="D85"/>
      <c r="E85"/>
      <c r="F85"/>
      <c r="G85"/>
      <c r="H85"/>
    </row>
    <row r="86" spans="3:8" ht="15" customHeight="1" x14ac:dyDescent="0.15">
      <c r="C86"/>
      <c r="D86"/>
      <c r="E86"/>
      <c r="F86"/>
      <c r="G86"/>
      <c r="H86"/>
    </row>
    <row r="87" spans="3:8" ht="15" customHeight="1" x14ac:dyDescent="0.15">
      <c r="C87"/>
      <c r="D87"/>
      <c r="E87"/>
      <c r="F87"/>
      <c r="G87"/>
      <c r="H87"/>
    </row>
    <row r="88" spans="3:8" ht="15" customHeight="1" x14ac:dyDescent="0.15">
      <c r="C88"/>
      <c r="D88"/>
      <c r="E88"/>
      <c r="F88"/>
      <c r="G88"/>
      <c r="H88"/>
    </row>
    <row r="89" spans="3:8" ht="15" customHeight="1" x14ac:dyDescent="0.15">
      <c r="C89"/>
      <c r="D89"/>
      <c r="E89"/>
      <c r="F89"/>
      <c r="G89"/>
      <c r="H89"/>
    </row>
    <row r="90" spans="3:8" ht="15" customHeight="1" x14ac:dyDescent="0.15">
      <c r="C90"/>
      <c r="D90"/>
      <c r="E90"/>
      <c r="F90"/>
      <c r="G90"/>
      <c r="H90"/>
    </row>
    <row r="91" spans="3:8" ht="15" customHeight="1" x14ac:dyDescent="0.15">
      <c r="C91"/>
      <c r="D91"/>
      <c r="E91"/>
      <c r="F91"/>
      <c r="G91"/>
      <c r="H91"/>
    </row>
    <row r="92" spans="3:8" ht="15" customHeight="1" x14ac:dyDescent="0.15">
      <c r="C92"/>
      <c r="D92"/>
      <c r="E92"/>
      <c r="F92"/>
      <c r="G92"/>
      <c r="H92"/>
    </row>
    <row r="93" spans="3:8" ht="15" customHeight="1" x14ac:dyDescent="0.15">
      <c r="C93"/>
      <c r="D93"/>
      <c r="E93"/>
      <c r="F93"/>
      <c r="G93"/>
      <c r="H93"/>
    </row>
    <row r="94" spans="3:8" ht="15" customHeight="1" x14ac:dyDescent="0.15">
      <c r="C94"/>
      <c r="D94"/>
      <c r="E94"/>
      <c r="F94"/>
      <c r="G94"/>
      <c r="H94"/>
    </row>
    <row r="95" spans="3:8" ht="15" customHeight="1" x14ac:dyDescent="0.15">
      <c r="C95"/>
      <c r="D95"/>
      <c r="E95"/>
      <c r="F95"/>
      <c r="G95"/>
      <c r="H95"/>
    </row>
    <row r="96" spans="3:8" ht="15" customHeight="1" x14ac:dyDescent="0.15">
      <c r="C96"/>
      <c r="D96"/>
      <c r="E96"/>
      <c r="F96"/>
      <c r="G96"/>
      <c r="H96"/>
    </row>
    <row r="97" spans="3:8" ht="15" customHeight="1" x14ac:dyDescent="0.15">
      <c r="C97"/>
      <c r="D97"/>
      <c r="E97"/>
      <c r="F97"/>
      <c r="G97"/>
      <c r="H97"/>
    </row>
    <row r="98" spans="3:8" ht="15" customHeight="1" x14ac:dyDescent="0.15">
      <c r="C98"/>
      <c r="D98"/>
      <c r="E98"/>
      <c r="F98"/>
      <c r="G98"/>
      <c r="H98"/>
    </row>
    <row r="99" spans="3:8" ht="15" customHeight="1" x14ac:dyDescent="0.15">
      <c r="C99"/>
      <c r="D99"/>
      <c r="E99"/>
      <c r="F99"/>
      <c r="G99"/>
      <c r="H99"/>
    </row>
    <row r="100" spans="3:8" ht="15" customHeight="1" x14ac:dyDescent="0.15">
      <c r="C100"/>
      <c r="D100"/>
      <c r="E100"/>
      <c r="F100"/>
      <c r="G100"/>
      <c r="H100"/>
    </row>
    <row r="101" spans="3:8" ht="15" customHeight="1" x14ac:dyDescent="0.15">
      <c r="C101"/>
      <c r="D101"/>
      <c r="E101"/>
      <c r="F101"/>
      <c r="G101"/>
      <c r="H101"/>
    </row>
    <row r="102" spans="3:8" ht="15" customHeight="1" x14ac:dyDescent="0.15">
      <c r="C102"/>
      <c r="D102"/>
      <c r="E102"/>
      <c r="F102"/>
      <c r="G102"/>
      <c r="H102"/>
    </row>
    <row r="103" spans="3:8" ht="15" customHeight="1" x14ac:dyDescent="0.15">
      <c r="C103"/>
      <c r="D103"/>
      <c r="E103"/>
      <c r="F103"/>
      <c r="G103"/>
      <c r="H103"/>
    </row>
    <row r="104" spans="3:8" ht="15" customHeight="1" x14ac:dyDescent="0.15">
      <c r="C104"/>
      <c r="D104"/>
      <c r="E104"/>
      <c r="F104"/>
      <c r="G104"/>
      <c r="H104"/>
    </row>
    <row r="105" spans="3:8" ht="15" customHeight="1" x14ac:dyDescent="0.15"/>
    <row r="106" spans="3:8" ht="15" customHeight="1" x14ac:dyDescent="0.15"/>
    <row r="107" spans="3:8" ht="15" customHeight="1" x14ac:dyDescent="0.15"/>
    <row r="108" spans="3:8" ht="15" customHeight="1" x14ac:dyDescent="0.15"/>
    <row r="109" spans="3:8" ht="15" customHeight="1" x14ac:dyDescent="0.15"/>
    <row r="110" spans="3:8" ht="15" customHeight="1" x14ac:dyDescent="0.15"/>
    <row r="111" spans="3:8" ht="15" customHeight="1" x14ac:dyDescent="0.15"/>
    <row r="112" spans="3:8" ht="15" customHeight="1" x14ac:dyDescent="0.15"/>
    <row r="113" spans="3:8" ht="15" customHeight="1" x14ac:dyDescent="0.15"/>
    <row r="114" spans="3:8" ht="15" customHeight="1" x14ac:dyDescent="0.15"/>
    <row r="115" spans="3:8" ht="15" customHeight="1" x14ac:dyDescent="0.15"/>
    <row r="116" spans="3:8" ht="15" customHeight="1" x14ac:dyDescent="0.15">
      <c r="C116"/>
      <c r="D116"/>
      <c r="E116"/>
      <c r="F116"/>
      <c r="G116"/>
      <c r="H116"/>
    </row>
    <row r="117" spans="3:8" ht="15" customHeight="1" x14ac:dyDescent="0.15">
      <c r="C117"/>
      <c r="D117"/>
      <c r="E117"/>
      <c r="F117"/>
      <c r="G117"/>
      <c r="H117"/>
    </row>
    <row r="118" spans="3:8" ht="15" customHeight="1" x14ac:dyDescent="0.15">
      <c r="C118"/>
      <c r="D118"/>
      <c r="E118"/>
      <c r="F118"/>
      <c r="G118"/>
      <c r="H118"/>
    </row>
    <row r="119" spans="3:8" ht="15" customHeight="1" x14ac:dyDescent="0.15">
      <c r="C119"/>
      <c r="D119"/>
      <c r="E119"/>
      <c r="F119"/>
      <c r="G119"/>
      <c r="H119"/>
    </row>
    <row r="120" spans="3:8" ht="15" customHeight="1" x14ac:dyDescent="0.15">
      <c r="C120"/>
      <c r="D120"/>
      <c r="E120"/>
      <c r="F120"/>
      <c r="G120"/>
      <c r="H120"/>
    </row>
    <row r="121" spans="3:8" ht="15" customHeight="1" x14ac:dyDescent="0.15">
      <c r="C121"/>
      <c r="D121"/>
      <c r="E121"/>
      <c r="F121"/>
      <c r="G121"/>
      <c r="H121"/>
    </row>
    <row r="122" spans="3:8" ht="15" customHeight="1" x14ac:dyDescent="0.15">
      <c r="C122"/>
      <c r="D122"/>
      <c r="E122"/>
      <c r="F122"/>
      <c r="G122"/>
      <c r="H122"/>
    </row>
    <row r="123" spans="3:8" ht="15" customHeight="1" x14ac:dyDescent="0.15">
      <c r="C123"/>
      <c r="D123"/>
      <c r="E123"/>
      <c r="F123"/>
      <c r="G123"/>
      <c r="H123"/>
    </row>
    <row r="124" spans="3:8" ht="15" customHeight="1" x14ac:dyDescent="0.15">
      <c r="C124"/>
      <c r="D124"/>
      <c r="E124"/>
      <c r="F124"/>
      <c r="G124"/>
      <c r="H124"/>
    </row>
    <row r="125" spans="3:8" ht="15" customHeight="1" x14ac:dyDescent="0.15">
      <c r="C125"/>
      <c r="D125"/>
      <c r="E125"/>
      <c r="F125"/>
      <c r="G125"/>
      <c r="H125"/>
    </row>
    <row r="126" spans="3:8" ht="15" customHeight="1" x14ac:dyDescent="0.15">
      <c r="C126"/>
      <c r="D126"/>
      <c r="E126"/>
      <c r="F126"/>
      <c r="G126"/>
      <c r="H126"/>
    </row>
    <row r="127" spans="3:8" ht="15" customHeight="1" x14ac:dyDescent="0.15">
      <c r="C127"/>
      <c r="D127"/>
      <c r="E127"/>
      <c r="F127"/>
      <c r="G127"/>
      <c r="H127"/>
    </row>
    <row r="128" spans="3:8" ht="15" customHeight="1" x14ac:dyDescent="0.15">
      <c r="C128"/>
      <c r="D128"/>
      <c r="E128"/>
      <c r="F128"/>
      <c r="G128"/>
      <c r="H128"/>
    </row>
    <row r="129" spans="3:8" ht="15" customHeight="1" x14ac:dyDescent="0.15">
      <c r="C129"/>
      <c r="D129"/>
      <c r="E129"/>
      <c r="F129"/>
      <c r="G129"/>
      <c r="H129"/>
    </row>
    <row r="130" spans="3:8" ht="15" customHeight="1" x14ac:dyDescent="0.15">
      <c r="C130"/>
      <c r="D130"/>
      <c r="E130"/>
      <c r="F130"/>
      <c r="G130"/>
      <c r="H130"/>
    </row>
    <row r="131" spans="3:8" ht="15" customHeight="1" x14ac:dyDescent="0.15">
      <c r="C131"/>
      <c r="D131"/>
      <c r="E131"/>
      <c r="F131"/>
      <c r="G131"/>
      <c r="H131"/>
    </row>
    <row r="132" spans="3:8" ht="15" customHeight="1" x14ac:dyDescent="0.15">
      <c r="C132"/>
      <c r="D132"/>
      <c r="E132"/>
      <c r="F132"/>
      <c r="G132"/>
      <c r="H132"/>
    </row>
    <row r="133" spans="3:8" ht="15" customHeight="1" x14ac:dyDescent="0.15">
      <c r="C133"/>
      <c r="D133"/>
      <c r="E133"/>
      <c r="F133"/>
      <c r="G133"/>
      <c r="H133"/>
    </row>
    <row r="134" spans="3:8" ht="15" customHeight="1" x14ac:dyDescent="0.15">
      <c r="C134"/>
      <c r="D134"/>
      <c r="E134"/>
      <c r="F134"/>
      <c r="G134"/>
      <c r="H134"/>
    </row>
    <row r="135" spans="3:8" ht="15" customHeight="1" x14ac:dyDescent="0.15">
      <c r="C135"/>
      <c r="D135"/>
      <c r="E135"/>
      <c r="F135"/>
      <c r="G135"/>
      <c r="H135"/>
    </row>
    <row r="136" spans="3:8" ht="15" customHeight="1" x14ac:dyDescent="0.15">
      <c r="C136"/>
      <c r="D136"/>
      <c r="E136"/>
      <c r="F136"/>
      <c r="G136"/>
      <c r="H136"/>
    </row>
    <row r="137" spans="3:8" ht="15" customHeight="1" x14ac:dyDescent="0.15">
      <c r="C137"/>
      <c r="D137"/>
      <c r="E137"/>
      <c r="F137"/>
      <c r="G137"/>
      <c r="H137"/>
    </row>
    <row r="138" spans="3:8" ht="15" customHeight="1" x14ac:dyDescent="0.15">
      <c r="C138"/>
      <c r="D138"/>
      <c r="E138"/>
      <c r="F138"/>
      <c r="G138"/>
      <c r="H138"/>
    </row>
    <row r="139" spans="3:8" ht="15" customHeight="1" x14ac:dyDescent="0.15">
      <c r="C139"/>
      <c r="D139"/>
      <c r="E139"/>
      <c r="F139"/>
      <c r="G139"/>
      <c r="H139"/>
    </row>
    <row r="140" spans="3:8" ht="15" customHeight="1" x14ac:dyDescent="0.15">
      <c r="C140"/>
      <c r="D140"/>
      <c r="E140"/>
      <c r="F140"/>
      <c r="G140"/>
      <c r="H140"/>
    </row>
    <row r="141" spans="3:8" ht="15" customHeight="1" x14ac:dyDescent="0.15">
      <c r="C141"/>
      <c r="D141"/>
      <c r="E141"/>
      <c r="F141"/>
      <c r="G141"/>
      <c r="H141"/>
    </row>
    <row r="142" spans="3:8" ht="15" customHeight="1" x14ac:dyDescent="0.15">
      <c r="C142"/>
      <c r="D142"/>
      <c r="E142"/>
      <c r="F142"/>
      <c r="G142"/>
      <c r="H142"/>
    </row>
    <row r="143" spans="3:8" ht="15" customHeight="1" x14ac:dyDescent="0.15">
      <c r="C143"/>
      <c r="D143"/>
      <c r="E143"/>
      <c r="F143"/>
      <c r="G143"/>
      <c r="H143"/>
    </row>
    <row r="144" spans="3:8" ht="15" customHeight="1" x14ac:dyDescent="0.15">
      <c r="C144"/>
      <c r="D144"/>
      <c r="E144"/>
      <c r="F144"/>
      <c r="G144"/>
      <c r="H144"/>
    </row>
    <row r="145" spans="3:8" ht="15" customHeight="1" x14ac:dyDescent="0.15">
      <c r="C145"/>
      <c r="D145"/>
      <c r="E145"/>
      <c r="F145"/>
      <c r="G145"/>
      <c r="H145"/>
    </row>
    <row r="146" spans="3:8" ht="15" customHeight="1" x14ac:dyDescent="0.15">
      <c r="C146"/>
      <c r="D146"/>
      <c r="E146"/>
      <c r="F146"/>
      <c r="G146"/>
      <c r="H146"/>
    </row>
    <row r="147" spans="3:8" ht="15" customHeight="1" x14ac:dyDescent="0.15">
      <c r="C147"/>
      <c r="D147"/>
      <c r="E147"/>
      <c r="F147"/>
      <c r="G147"/>
      <c r="H147"/>
    </row>
    <row r="148" spans="3:8" ht="15" customHeight="1" x14ac:dyDescent="0.15">
      <c r="C148"/>
      <c r="D148"/>
      <c r="E148"/>
      <c r="F148"/>
      <c r="G148"/>
      <c r="H148"/>
    </row>
    <row r="149" spans="3:8" ht="15" customHeight="1" x14ac:dyDescent="0.15">
      <c r="C149"/>
      <c r="D149"/>
      <c r="E149"/>
      <c r="F149"/>
      <c r="G149"/>
      <c r="H149"/>
    </row>
    <row r="150" spans="3:8" ht="15" customHeight="1" x14ac:dyDescent="0.15">
      <c r="C150"/>
      <c r="D150"/>
      <c r="E150"/>
      <c r="F150"/>
      <c r="G150"/>
      <c r="H150"/>
    </row>
    <row r="151" spans="3:8" ht="15" customHeight="1" x14ac:dyDescent="0.15">
      <c r="C151"/>
      <c r="D151"/>
      <c r="E151"/>
      <c r="F151"/>
      <c r="G151"/>
      <c r="H151"/>
    </row>
    <row r="152" spans="3:8" ht="15" customHeight="1" x14ac:dyDescent="0.15">
      <c r="C152"/>
      <c r="D152"/>
      <c r="E152"/>
      <c r="F152"/>
      <c r="G152"/>
      <c r="H152"/>
    </row>
    <row r="153" spans="3:8" ht="15" customHeight="1" x14ac:dyDescent="0.15">
      <c r="C153"/>
      <c r="D153"/>
      <c r="E153"/>
      <c r="F153"/>
      <c r="G153"/>
      <c r="H153"/>
    </row>
    <row r="154" spans="3:8" ht="15" customHeight="1" x14ac:dyDescent="0.15">
      <c r="C154"/>
      <c r="D154"/>
      <c r="E154"/>
      <c r="F154"/>
      <c r="G154"/>
      <c r="H154"/>
    </row>
    <row r="155" spans="3:8" ht="15" customHeight="1" x14ac:dyDescent="0.15">
      <c r="C155"/>
      <c r="D155"/>
      <c r="E155"/>
      <c r="F155"/>
      <c r="G155"/>
      <c r="H155"/>
    </row>
    <row r="156" spans="3:8" ht="15" customHeight="1" x14ac:dyDescent="0.15">
      <c r="C156"/>
      <c r="D156"/>
      <c r="E156"/>
      <c r="F156"/>
      <c r="G156"/>
      <c r="H156"/>
    </row>
    <row r="157" spans="3:8" ht="15" customHeight="1" x14ac:dyDescent="0.15">
      <c r="C157"/>
      <c r="D157"/>
      <c r="E157"/>
      <c r="F157"/>
      <c r="G157"/>
      <c r="H157"/>
    </row>
    <row r="158" spans="3:8" ht="15" customHeight="1" x14ac:dyDescent="0.15">
      <c r="C158"/>
      <c r="D158"/>
      <c r="E158"/>
      <c r="F158"/>
      <c r="G158"/>
      <c r="H158"/>
    </row>
    <row r="159" spans="3:8" ht="15" customHeight="1" x14ac:dyDescent="0.15">
      <c r="C159"/>
      <c r="D159"/>
      <c r="E159"/>
      <c r="F159"/>
      <c r="G159"/>
      <c r="H159"/>
    </row>
    <row r="160" spans="3:8" ht="15" customHeight="1" x14ac:dyDescent="0.15">
      <c r="C160"/>
      <c r="D160"/>
      <c r="E160"/>
      <c r="F160"/>
      <c r="G160"/>
      <c r="H160"/>
    </row>
    <row r="161" spans="3:8" ht="15" customHeight="1" x14ac:dyDescent="0.15">
      <c r="C161"/>
      <c r="D161"/>
      <c r="E161"/>
      <c r="F161"/>
      <c r="G161"/>
      <c r="H161"/>
    </row>
    <row r="162" spans="3:8" ht="15" customHeight="1" x14ac:dyDescent="0.15">
      <c r="C162"/>
      <c r="D162"/>
      <c r="E162"/>
      <c r="F162"/>
      <c r="G162"/>
      <c r="H162"/>
    </row>
    <row r="163" spans="3:8" ht="15" customHeight="1" x14ac:dyDescent="0.15">
      <c r="C163"/>
      <c r="D163"/>
      <c r="E163"/>
      <c r="F163"/>
      <c r="G163"/>
      <c r="H163"/>
    </row>
    <row r="164" spans="3:8" ht="15" customHeight="1" x14ac:dyDescent="0.15">
      <c r="C164"/>
      <c r="D164"/>
      <c r="E164"/>
      <c r="F164"/>
      <c r="G164"/>
      <c r="H164"/>
    </row>
    <row r="165" spans="3:8" ht="15" customHeight="1" x14ac:dyDescent="0.15">
      <c r="C165"/>
      <c r="D165"/>
      <c r="E165"/>
      <c r="F165"/>
      <c r="G165"/>
      <c r="H165"/>
    </row>
    <row r="166" spans="3:8" ht="15" customHeight="1" x14ac:dyDescent="0.15">
      <c r="C166"/>
      <c r="D166"/>
      <c r="E166"/>
      <c r="F166"/>
      <c r="G166"/>
      <c r="H166"/>
    </row>
    <row r="167" spans="3:8" ht="15" customHeight="1" x14ac:dyDescent="0.15">
      <c r="C167"/>
      <c r="D167"/>
      <c r="E167"/>
      <c r="F167"/>
      <c r="G167"/>
      <c r="H167"/>
    </row>
    <row r="168" spans="3:8" ht="15" customHeight="1" x14ac:dyDescent="0.15">
      <c r="C168"/>
      <c r="D168"/>
      <c r="E168"/>
      <c r="F168"/>
      <c r="G168"/>
      <c r="H168"/>
    </row>
    <row r="169" spans="3:8" ht="15" customHeight="1" x14ac:dyDescent="0.15">
      <c r="C169"/>
      <c r="D169"/>
      <c r="E169"/>
      <c r="F169"/>
      <c r="G169"/>
      <c r="H169"/>
    </row>
    <row r="170" spans="3:8" ht="15" customHeight="1" x14ac:dyDescent="0.15">
      <c r="C170"/>
      <c r="D170"/>
      <c r="E170"/>
      <c r="F170"/>
      <c r="G170"/>
      <c r="H170"/>
    </row>
    <row r="171" spans="3:8" ht="15" customHeight="1" x14ac:dyDescent="0.15">
      <c r="C171"/>
      <c r="D171"/>
      <c r="E171"/>
      <c r="F171"/>
      <c r="G171"/>
      <c r="H171"/>
    </row>
    <row r="172" spans="3:8" ht="15" customHeight="1" x14ac:dyDescent="0.15">
      <c r="C172"/>
      <c r="D172"/>
      <c r="E172"/>
      <c r="F172"/>
      <c r="G172"/>
      <c r="H172"/>
    </row>
    <row r="173" spans="3:8" ht="15" customHeight="1" x14ac:dyDescent="0.15">
      <c r="C173"/>
      <c r="D173"/>
      <c r="E173"/>
      <c r="F173"/>
      <c r="G173"/>
      <c r="H173"/>
    </row>
    <row r="174" spans="3:8" ht="15" customHeight="1" x14ac:dyDescent="0.15">
      <c r="C174"/>
      <c r="D174"/>
      <c r="E174"/>
      <c r="F174"/>
      <c r="G174"/>
      <c r="H174"/>
    </row>
    <row r="175" spans="3:8" ht="15" customHeight="1" x14ac:dyDescent="0.15">
      <c r="C175"/>
      <c r="D175"/>
      <c r="E175"/>
      <c r="F175"/>
      <c r="G175"/>
      <c r="H175"/>
    </row>
    <row r="176" spans="3:8" ht="15" customHeight="1" x14ac:dyDescent="0.15">
      <c r="C176"/>
      <c r="D176"/>
      <c r="E176"/>
      <c r="F176"/>
      <c r="G176"/>
      <c r="H176"/>
    </row>
    <row r="177" spans="3:8" ht="15" customHeight="1" x14ac:dyDescent="0.15">
      <c r="C177"/>
      <c r="D177"/>
      <c r="E177"/>
      <c r="F177"/>
      <c r="G177"/>
      <c r="H177"/>
    </row>
    <row r="178" spans="3:8" ht="15" customHeight="1" x14ac:dyDescent="0.15">
      <c r="C178"/>
      <c r="D178"/>
      <c r="E178"/>
      <c r="F178"/>
      <c r="G178"/>
      <c r="H178"/>
    </row>
    <row r="179" spans="3:8" ht="15" customHeight="1" x14ac:dyDescent="0.15">
      <c r="C179"/>
      <c r="D179"/>
      <c r="E179"/>
      <c r="F179"/>
      <c r="G179"/>
      <c r="H179"/>
    </row>
    <row r="180" spans="3:8" ht="15" customHeight="1" x14ac:dyDescent="0.15">
      <c r="C180"/>
      <c r="D180"/>
      <c r="E180"/>
      <c r="F180"/>
      <c r="G180"/>
      <c r="H180"/>
    </row>
    <row r="181" spans="3:8" ht="15" customHeight="1" x14ac:dyDescent="0.15">
      <c r="C181"/>
      <c r="D181"/>
      <c r="E181"/>
      <c r="F181"/>
      <c r="G181"/>
      <c r="H181"/>
    </row>
    <row r="182" spans="3:8" ht="15" customHeight="1" x14ac:dyDescent="0.15">
      <c r="C182"/>
      <c r="D182"/>
      <c r="E182"/>
      <c r="F182"/>
      <c r="G182"/>
      <c r="H182"/>
    </row>
    <row r="183" spans="3:8" ht="15" customHeight="1" x14ac:dyDescent="0.15">
      <c r="C183"/>
      <c r="D183"/>
      <c r="E183"/>
      <c r="F183"/>
      <c r="G183"/>
      <c r="H183"/>
    </row>
    <row r="184" spans="3:8" ht="15" customHeight="1" x14ac:dyDescent="0.15">
      <c r="C184"/>
      <c r="D184"/>
      <c r="E184"/>
      <c r="F184"/>
      <c r="G184"/>
      <c r="H184"/>
    </row>
    <row r="185" spans="3:8" ht="15" customHeight="1" x14ac:dyDescent="0.15">
      <c r="C185"/>
      <c r="D185"/>
      <c r="E185"/>
      <c r="F185"/>
      <c r="G185"/>
      <c r="H185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45"/>
  </sheetPr>
  <dimension ref="A1:E174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17.33203125" bestFit="1" customWidth="1"/>
    <col min="3" max="4" width="11.83203125" bestFit="1" customWidth="1"/>
    <col min="5" max="5" width="12.1640625" bestFit="1" customWidth="1"/>
  </cols>
  <sheetData>
    <row r="1" spans="1:5" s="111" customFormat="1" ht="112" x14ac:dyDescent="0.15">
      <c r="A1" s="5" t="s">
        <v>21</v>
      </c>
      <c r="B1" s="3" t="s">
        <v>0</v>
      </c>
      <c r="C1" s="182" t="s">
        <v>224</v>
      </c>
      <c r="D1" s="182" t="s">
        <v>228</v>
      </c>
      <c r="E1"/>
    </row>
    <row r="2" spans="1:5" ht="15" customHeight="1" x14ac:dyDescent="0.15">
      <c r="A2">
        <v>1</v>
      </c>
      <c r="B2" s="181" t="s">
        <v>192</v>
      </c>
      <c r="C2">
        <v>0</v>
      </c>
      <c r="D2">
        <v>0</v>
      </c>
    </row>
    <row r="3" spans="1:5" ht="15" customHeight="1" x14ac:dyDescent="0.15">
      <c r="A3">
        <v>2</v>
      </c>
      <c r="B3" s="181" t="s">
        <v>193</v>
      </c>
      <c r="C3">
        <v>1.2017900000000001E-3</v>
      </c>
      <c r="D3">
        <v>1.2017900000000001E-3</v>
      </c>
    </row>
    <row r="4" spans="1:5" ht="15" customHeight="1" x14ac:dyDescent="0.15">
      <c r="A4">
        <v>3</v>
      </c>
      <c r="B4" s="181" t="s">
        <v>194</v>
      </c>
      <c r="C4">
        <v>2.41392E-4</v>
      </c>
      <c r="D4">
        <v>2.41392E-4</v>
      </c>
    </row>
    <row r="5" spans="1:5" ht="15" customHeight="1" x14ac:dyDescent="0.15">
      <c r="A5">
        <v>4</v>
      </c>
      <c r="B5" s="181" t="s">
        <v>195</v>
      </c>
      <c r="C5">
        <v>1E-3</v>
      </c>
      <c r="D5">
        <v>1E-3</v>
      </c>
    </row>
    <row r="6" spans="1:5" ht="15" customHeight="1" x14ac:dyDescent="0.15">
      <c r="A6">
        <v>5</v>
      </c>
      <c r="B6" s="181" t="s">
        <v>196</v>
      </c>
      <c r="C6">
        <v>0.66941260000000002</v>
      </c>
      <c r="D6">
        <v>0.66941260000000002</v>
      </c>
    </row>
    <row r="7" spans="1:5" ht="15" customHeight="1" x14ac:dyDescent="0.15">
      <c r="A7">
        <v>6</v>
      </c>
      <c r="B7" s="181" t="s">
        <v>197</v>
      </c>
      <c r="C7">
        <v>0</v>
      </c>
      <c r="D7">
        <v>0</v>
      </c>
    </row>
    <row r="8" spans="1:5" ht="15" customHeight="1" x14ac:dyDescent="0.15">
      <c r="A8">
        <v>7</v>
      </c>
      <c r="B8" s="181" t="s">
        <v>198</v>
      </c>
      <c r="C8">
        <v>4.7573560000000001E-2</v>
      </c>
      <c r="D8">
        <v>4.7573560000000001E-2</v>
      </c>
    </row>
    <row r="9" spans="1:5" ht="15" customHeight="1" x14ac:dyDescent="0.15">
      <c r="A9">
        <v>8</v>
      </c>
      <c r="B9" s="181" t="s">
        <v>199</v>
      </c>
      <c r="C9">
        <v>1.016187E-3</v>
      </c>
      <c r="D9">
        <v>1.016187E-3</v>
      </c>
    </row>
    <row r="10" spans="1:5" ht="15" customHeight="1" x14ac:dyDescent="0.15">
      <c r="A10">
        <v>9</v>
      </c>
      <c r="B10" s="181" t="s">
        <v>200</v>
      </c>
      <c r="C10">
        <v>6.5426230000000002E-2</v>
      </c>
      <c r="D10">
        <v>6.5426230000000002E-2</v>
      </c>
    </row>
    <row r="11" spans="1:5" ht="15" customHeight="1" x14ac:dyDescent="0.15">
      <c r="A11">
        <v>10</v>
      </c>
      <c r="B11" s="181" t="s">
        <v>201</v>
      </c>
      <c r="C11">
        <v>1.334596E-2</v>
      </c>
      <c r="D11">
        <v>1.334596E-2</v>
      </c>
    </row>
    <row r="12" spans="1:5" ht="15" customHeight="1" x14ac:dyDescent="0.15">
      <c r="A12">
        <v>11</v>
      </c>
      <c r="B12" s="181" t="s">
        <v>202</v>
      </c>
      <c r="C12">
        <v>1.7716599999999999E-2</v>
      </c>
      <c r="D12">
        <v>1.7716599999999999E-2</v>
      </c>
    </row>
    <row r="13" spans="1:5" ht="15" customHeight="1" x14ac:dyDescent="0.15">
      <c r="A13">
        <v>12</v>
      </c>
      <c r="B13" s="181" t="s">
        <v>203</v>
      </c>
      <c r="C13">
        <v>1.045388E-2</v>
      </c>
      <c r="D13">
        <v>1.045388E-2</v>
      </c>
    </row>
    <row r="14" spans="1:5" ht="15" customHeight="1" x14ac:dyDescent="0.15">
      <c r="A14">
        <v>13</v>
      </c>
      <c r="B14" s="181" t="s">
        <v>204</v>
      </c>
      <c r="C14">
        <v>0.123725</v>
      </c>
      <c r="D14">
        <v>0.123725</v>
      </c>
    </row>
    <row r="15" spans="1:5" ht="15" customHeight="1" x14ac:dyDescent="0.15">
      <c r="A15">
        <v>14</v>
      </c>
      <c r="B15" s="181" t="s">
        <v>205</v>
      </c>
      <c r="C15">
        <v>2.3802650000000002E-2</v>
      </c>
      <c r="D15">
        <v>2.3802650000000002E-2</v>
      </c>
    </row>
    <row r="16" spans="1:5" ht="15" customHeight="1" x14ac:dyDescent="0.15">
      <c r="A16">
        <v>15</v>
      </c>
      <c r="B16" s="181" t="s">
        <v>206</v>
      </c>
      <c r="C16">
        <v>0</v>
      </c>
      <c r="D16">
        <v>0</v>
      </c>
    </row>
    <row r="17" spans="1:4" ht="15" customHeight="1" x14ac:dyDescent="0.15">
      <c r="A17">
        <v>16</v>
      </c>
      <c r="B17" s="181" t="s">
        <v>207</v>
      </c>
      <c r="C17">
        <v>0.16897989999999999</v>
      </c>
      <c r="D17">
        <v>0.16897989999999999</v>
      </c>
    </row>
    <row r="18" spans="1:4" ht="15" customHeight="1" x14ac:dyDescent="0.15">
      <c r="A18">
        <v>17</v>
      </c>
      <c r="B18" s="181" t="s">
        <v>208</v>
      </c>
      <c r="C18">
        <v>0</v>
      </c>
      <c r="D18">
        <v>0</v>
      </c>
    </row>
    <row r="19" spans="1:4" ht="15" customHeight="1" x14ac:dyDescent="0.15">
      <c r="A19">
        <v>18</v>
      </c>
      <c r="B19" s="181" t="s">
        <v>209</v>
      </c>
      <c r="C19">
        <v>0</v>
      </c>
      <c r="D19">
        <v>0</v>
      </c>
    </row>
    <row r="20" spans="1:4" ht="15" customHeight="1" x14ac:dyDescent="0.15">
      <c r="A20">
        <v>19</v>
      </c>
      <c r="B20" s="181" t="s">
        <v>210</v>
      </c>
      <c r="C20">
        <v>2.9418809999999999E-3</v>
      </c>
      <c r="D20">
        <v>2.9418809999999999E-3</v>
      </c>
    </row>
    <row r="21" spans="1:4" ht="15" customHeight="1" x14ac:dyDescent="0.15">
      <c r="A21">
        <v>20</v>
      </c>
      <c r="B21" s="181" t="s">
        <v>211</v>
      </c>
      <c r="C21">
        <v>2.060677E-2</v>
      </c>
      <c r="D21">
        <v>2.060677E-2</v>
      </c>
    </row>
    <row r="22" spans="1:4" ht="15" customHeight="1" x14ac:dyDescent="0.15">
      <c r="A22">
        <v>21</v>
      </c>
      <c r="B22" s="181" t="s">
        <v>212</v>
      </c>
      <c r="C22">
        <v>2.5127090000000001E-2</v>
      </c>
      <c r="D22">
        <v>2.5127090000000001E-2</v>
      </c>
    </row>
    <row r="23" spans="1:4" ht="15" customHeight="1" x14ac:dyDescent="0.15">
      <c r="A23">
        <v>22</v>
      </c>
      <c r="B23" s="181" t="s">
        <v>213</v>
      </c>
      <c r="C23">
        <v>4.7385780000000002E-3</v>
      </c>
      <c r="D23">
        <v>4.7385780000000002E-3</v>
      </c>
    </row>
    <row r="24" spans="1:4" ht="15" customHeight="1" x14ac:dyDescent="0.15">
      <c r="A24">
        <v>23</v>
      </c>
      <c r="B24" s="181" t="s">
        <v>214</v>
      </c>
      <c r="C24">
        <v>1.8045889999999998E-2</v>
      </c>
      <c r="D24">
        <v>1.8045889999999998E-2</v>
      </c>
    </row>
    <row r="25" spans="1:4" ht="15" customHeight="1" x14ac:dyDescent="0.15">
      <c r="A25">
        <v>24</v>
      </c>
      <c r="B25" s="181" t="s">
        <v>215</v>
      </c>
      <c r="C25">
        <v>0</v>
      </c>
      <c r="D25">
        <v>0</v>
      </c>
    </row>
    <row r="26" spans="1:4" ht="15" customHeight="1" x14ac:dyDescent="0.15">
      <c r="A26">
        <v>25</v>
      </c>
      <c r="B26" s="181" t="s">
        <v>216</v>
      </c>
      <c r="C26">
        <v>3.2929500000000001E-4</v>
      </c>
      <c r="D26">
        <v>3.2929500000000001E-4</v>
      </c>
    </row>
    <row r="27" spans="1:4" ht="15" customHeight="1" x14ac:dyDescent="0.15">
      <c r="A27">
        <v>26</v>
      </c>
      <c r="B27" s="181" t="s">
        <v>217</v>
      </c>
      <c r="C27">
        <v>0</v>
      </c>
      <c r="D27">
        <v>0</v>
      </c>
    </row>
    <row r="28" spans="1:4" ht="15" customHeight="1" x14ac:dyDescent="0.15">
      <c r="A28">
        <v>27</v>
      </c>
      <c r="B28" s="181" t="s">
        <v>218</v>
      </c>
      <c r="C28">
        <v>0</v>
      </c>
      <c r="D28">
        <v>0</v>
      </c>
    </row>
    <row r="29" spans="1:4" ht="15" customHeight="1" x14ac:dyDescent="0.15">
      <c r="A29">
        <v>28</v>
      </c>
      <c r="B29" s="181" t="s">
        <v>219</v>
      </c>
      <c r="C29">
        <v>0</v>
      </c>
      <c r="D29">
        <v>0</v>
      </c>
    </row>
    <row r="30" spans="1:4" ht="15" customHeight="1" x14ac:dyDescent="0.15">
      <c r="A30">
        <v>29</v>
      </c>
      <c r="B30" s="181" t="s">
        <v>220</v>
      </c>
      <c r="C30">
        <v>0</v>
      </c>
      <c r="D30">
        <v>0</v>
      </c>
    </row>
    <row r="31" spans="1:4" ht="15" customHeight="1" x14ac:dyDescent="0.15">
      <c r="A31">
        <v>30</v>
      </c>
      <c r="B31" s="181" t="s">
        <v>221</v>
      </c>
      <c r="C31">
        <v>0</v>
      </c>
      <c r="D31">
        <v>0</v>
      </c>
    </row>
    <row r="32" spans="1:4" ht="15" customHeight="1" x14ac:dyDescent="0.15">
      <c r="A32">
        <v>31</v>
      </c>
      <c r="B32" s="181" t="s">
        <v>222</v>
      </c>
      <c r="C32">
        <v>0</v>
      </c>
      <c r="D32">
        <v>0</v>
      </c>
    </row>
    <row r="33" spans="1:4" ht="15" customHeight="1" x14ac:dyDescent="0.15">
      <c r="A33">
        <v>32</v>
      </c>
      <c r="B33" s="181" t="s">
        <v>223</v>
      </c>
      <c r="C33">
        <v>0</v>
      </c>
      <c r="D33">
        <v>0</v>
      </c>
    </row>
    <row r="34" spans="1:4" ht="15" customHeight="1" x14ac:dyDescent="0.15"/>
    <row r="35" spans="1:4" ht="15" customHeight="1" x14ac:dyDescent="0.15"/>
    <row r="36" spans="1:4" ht="15" customHeight="1" x14ac:dyDescent="0.15"/>
    <row r="37" spans="1:4" ht="15" customHeight="1" x14ac:dyDescent="0.15"/>
    <row r="38" spans="1:4" ht="15" customHeight="1" x14ac:dyDescent="0.15"/>
    <row r="39" spans="1:4" ht="15" customHeight="1" x14ac:dyDescent="0.15"/>
    <row r="40" spans="1:4" ht="15" customHeight="1" x14ac:dyDescent="0.15"/>
    <row r="41" spans="1:4" ht="15" customHeight="1" x14ac:dyDescent="0.15"/>
    <row r="42" spans="1:4" ht="15" customHeight="1" x14ac:dyDescent="0.15"/>
    <row r="43" spans="1:4" ht="15" customHeight="1" x14ac:dyDescent="0.15"/>
    <row r="44" spans="1:4" ht="15" customHeight="1" x14ac:dyDescent="0.15"/>
    <row r="45" spans="1:4" ht="15" customHeight="1" x14ac:dyDescent="0.15"/>
    <row r="46" spans="1:4" ht="15" customHeight="1" x14ac:dyDescent="0.15"/>
    <row r="47" spans="1:4" ht="15" customHeight="1" x14ac:dyDescent="0.15"/>
    <row r="48" spans="1:4" ht="15" customHeight="1" x14ac:dyDescent="0.15"/>
    <row r="49" ht="15" customHeight="1" x14ac:dyDescent="0.15"/>
    <row r="82" ht="15" customHeight="1" x14ac:dyDescent="0.15"/>
    <row r="83" ht="15" customHeight="1" x14ac:dyDescent="0.15"/>
    <row r="84" ht="15" customHeight="1" x14ac:dyDescent="0.15"/>
    <row r="85" ht="15" customHeight="1" x14ac:dyDescent="0.15"/>
    <row r="86" ht="15" customHeight="1" x14ac:dyDescent="0.15"/>
    <row r="87" ht="15" customHeight="1" x14ac:dyDescent="0.15"/>
    <row r="88" ht="15" customHeight="1" x14ac:dyDescent="0.15"/>
    <row r="89" ht="15" customHeight="1" x14ac:dyDescent="0.15"/>
    <row r="90" ht="15" customHeight="1" x14ac:dyDescent="0.15"/>
    <row r="91" ht="15" customHeight="1" x14ac:dyDescent="0.15"/>
    <row r="92" ht="15" customHeight="1" x14ac:dyDescent="0.15"/>
    <row r="93" ht="15" customHeight="1" x14ac:dyDescent="0.15"/>
    <row r="94" ht="15" customHeight="1" x14ac:dyDescent="0.15"/>
    <row r="95" ht="15" customHeight="1" x14ac:dyDescent="0.15"/>
    <row r="96" ht="15" customHeight="1" x14ac:dyDescent="0.15"/>
    <row r="97" ht="15" customHeight="1" x14ac:dyDescent="0.15"/>
    <row r="98" ht="15" customHeight="1" x14ac:dyDescent="0.15"/>
    <row r="99" ht="15" customHeight="1" x14ac:dyDescent="0.15"/>
    <row r="100" ht="15" customHeight="1" x14ac:dyDescent="0.15"/>
    <row r="101" ht="15" customHeight="1" x14ac:dyDescent="0.15"/>
    <row r="102" ht="15" customHeight="1" x14ac:dyDescent="0.15"/>
    <row r="103" ht="15" customHeight="1" x14ac:dyDescent="0.15"/>
    <row r="104" ht="15" customHeight="1" x14ac:dyDescent="0.15"/>
    <row r="105" ht="15" customHeight="1" x14ac:dyDescent="0.15"/>
    <row r="106" ht="15" customHeight="1" x14ac:dyDescent="0.15"/>
    <row r="107" ht="15" customHeight="1" x14ac:dyDescent="0.15"/>
    <row r="108" ht="15" customHeight="1" x14ac:dyDescent="0.15"/>
    <row r="109" ht="15" customHeight="1" x14ac:dyDescent="0.15"/>
    <row r="110" ht="15" customHeight="1" x14ac:dyDescent="0.15"/>
    <row r="111" ht="15" customHeight="1" x14ac:dyDescent="0.15"/>
    <row r="112" ht="15" customHeight="1" x14ac:dyDescent="0.15"/>
    <row r="113" ht="15" customHeight="1" x14ac:dyDescent="0.15"/>
    <row r="114" ht="15" customHeight="1" x14ac:dyDescent="0.15"/>
    <row r="115" ht="15" customHeight="1" x14ac:dyDescent="0.15"/>
    <row r="116" ht="15" customHeight="1" x14ac:dyDescent="0.15"/>
    <row r="117" ht="15" customHeight="1" x14ac:dyDescent="0.15"/>
    <row r="118" ht="15" customHeight="1" x14ac:dyDescent="0.15"/>
    <row r="119" ht="15" customHeight="1" x14ac:dyDescent="0.15"/>
    <row r="120" ht="15" customHeight="1" x14ac:dyDescent="0.15"/>
    <row r="121" ht="15" customHeight="1" x14ac:dyDescent="0.15"/>
    <row r="122" ht="15" customHeight="1" x14ac:dyDescent="0.15"/>
    <row r="123" ht="15" customHeight="1" x14ac:dyDescent="0.15"/>
    <row r="124" ht="15" customHeight="1" x14ac:dyDescent="0.15"/>
    <row r="125" ht="15" customHeight="1" x14ac:dyDescent="0.15"/>
    <row r="126" ht="15" customHeight="1" x14ac:dyDescent="0.15"/>
    <row r="127" ht="15" customHeight="1" x14ac:dyDescent="0.15"/>
    <row r="128" ht="15" customHeight="1" x14ac:dyDescent="0.15"/>
    <row r="129" ht="15" customHeight="1" x14ac:dyDescent="0.15"/>
    <row r="130" ht="15" customHeight="1" x14ac:dyDescent="0.15"/>
    <row r="131" ht="15" customHeight="1" x14ac:dyDescent="0.15"/>
    <row r="132" ht="15" customHeight="1" x14ac:dyDescent="0.15"/>
    <row r="133" ht="15" customHeight="1" x14ac:dyDescent="0.15"/>
    <row r="134" ht="15" customHeight="1" x14ac:dyDescent="0.15"/>
    <row r="135" ht="15" customHeight="1" x14ac:dyDescent="0.15"/>
    <row r="136" ht="15" customHeight="1" x14ac:dyDescent="0.15"/>
    <row r="137" ht="15" customHeight="1" x14ac:dyDescent="0.15"/>
    <row r="138" ht="15" customHeight="1" x14ac:dyDescent="0.15"/>
    <row r="139" ht="15" customHeight="1" x14ac:dyDescent="0.15"/>
    <row r="140" ht="15" customHeight="1" x14ac:dyDescent="0.15"/>
    <row r="141" ht="15" customHeight="1" x14ac:dyDescent="0.15"/>
    <row r="142" ht="15" customHeight="1" x14ac:dyDescent="0.15"/>
    <row r="143" ht="15" customHeight="1" x14ac:dyDescent="0.15"/>
    <row r="144" ht="15" customHeight="1" x14ac:dyDescent="0.15"/>
    <row r="145" ht="15" customHeight="1" x14ac:dyDescent="0.15"/>
    <row r="146" ht="15" customHeight="1" x14ac:dyDescent="0.15"/>
    <row r="147" ht="15" customHeight="1" x14ac:dyDescent="0.15"/>
    <row r="148" ht="15" customHeight="1" x14ac:dyDescent="0.15"/>
    <row r="149" ht="15" customHeight="1" x14ac:dyDescent="0.15"/>
    <row r="150" ht="15" customHeight="1" x14ac:dyDescent="0.15"/>
    <row r="151" ht="15" customHeight="1" x14ac:dyDescent="0.15"/>
    <row r="152" ht="15" customHeight="1" x14ac:dyDescent="0.15"/>
    <row r="153" ht="15" customHeight="1" x14ac:dyDescent="0.15"/>
    <row r="154" ht="15" customHeight="1" x14ac:dyDescent="0.15"/>
    <row r="155" ht="15" customHeight="1" x14ac:dyDescent="0.15"/>
    <row r="156" ht="15" customHeight="1" x14ac:dyDescent="0.15"/>
    <row r="157" ht="15" customHeight="1" x14ac:dyDescent="0.15"/>
    <row r="158" ht="15" customHeight="1" x14ac:dyDescent="0.15"/>
    <row r="159" ht="15" customHeight="1" x14ac:dyDescent="0.15"/>
    <row r="160" ht="15" customHeight="1" x14ac:dyDescent="0.15"/>
    <row r="161" ht="15" customHeight="1" x14ac:dyDescent="0.15"/>
    <row r="162" ht="15" customHeight="1" x14ac:dyDescent="0.15"/>
    <row r="163" ht="15" customHeight="1" x14ac:dyDescent="0.15"/>
    <row r="164" ht="15" customHeight="1" x14ac:dyDescent="0.15"/>
    <row r="165" ht="15" customHeight="1" x14ac:dyDescent="0.15"/>
    <row r="166" ht="15" customHeight="1" x14ac:dyDescent="0.15"/>
    <row r="167" ht="15" customHeight="1" x14ac:dyDescent="0.15"/>
    <row r="168" ht="15" customHeight="1" x14ac:dyDescent="0.15"/>
    <row r="169" ht="15" customHeight="1" x14ac:dyDescent="0.15"/>
    <row r="170" ht="15" customHeight="1" x14ac:dyDescent="0.15"/>
    <row r="173" ht="15" customHeight="1" x14ac:dyDescent="0.15"/>
    <row r="174" ht="15" customHeight="1" x14ac:dyDescent="0.15"/>
  </sheetData>
  <phoneticPr fontId="2" type="noConversion"/>
  <pageMargins left="0.18" right="0.18" top="0.19" bottom="0.18" header="0.18" footer="0.17"/>
  <pageSetup scale="70" fitToWidth="2" fitToHeight="4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indexed="45"/>
  </sheetPr>
  <dimension ref="A1:D33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17.33203125" bestFit="1" customWidth="1"/>
    <col min="3" max="4" width="11.83203125" bestFit="1" customWidth="1"/>
    <col min="5" max="5" width="12.1640625" bestFit="1" customWidth="1"/>
  </cols>
  <sheetData>
    <row r="1" spans="1:4" s="111" customFormat="1" ht="112" x14ac:dyDescent="0.15">
      <c r="A1" s="5" t="s">
        <v>22</v>
      </c>
      <c r="B1" s="3" t="s">
        <v>0</v>
      </c>
      <c r="C1" s="184" t="s">
        <v>224</v>
      </c>
      <c r="D1" s="184" t="s">
        <v>228</v>
      </c>
    </row>
    <row r="2" spans="1:4" x14ac:dyDescent="0.15">
      <c r="A2">
        <v>1</v>
      </c>
      <c r="B2" s="183" t="s">
        <v>192</v>
      </c>
      <c r="C2">
        <v>0</v>
      </c>
      <c r="D2">
        <v>0</v>
      </c>
    </row>
    <row r="3" spans="1:4" x14ac:dyDescent="0.15">
      <c r="A3">
        <v>2</v>
      </c>
      <c r="B3" s="183" t="s">
        <v>193</v>
      </c>
      <c r="C3">
        <v>0</v>
      </c>
      <c r="D3">
        <v>0</v>
      </c>
    </row>
    <row r="4" spans="1:4" x14ac:dyDescent="0.15">
      <c r="A4">
        <v>3</v>
      </c>
      <c r="B4" s="183" t="s">
        <v>194</v>
      </c>
      <c r="C4">
        <v>0</v>
      </c>
      <c r="D4">
        <v>0</v>
      </c>
    </row>
    <row r="5" spans="1:4" x14ac:dyDescent="0.15">
      <c r="A5">
        <v>4</v>
      </c>
      <c r="B5" s="183" t="s">
        <v>195</v>
      </c>
      <c r="C5">
        <v>0</v>
      </c>
      <c r="D5">
        <v>0</v>
      </c>
    </row>
    <row r="6" spans="1:4" x14ac:dyDescent="0.15">
      <c r="A6">
        <v>5</v>
      </c>
      <c r="B6" s="183" t="s">
        <v>196</v>
      </c>
      <c r="C6">
        <v>2.602517E-2</v>
      </c>
      <c r="D6">
        <v>2.602517E-2</v>
      </c>
    </row>
    <row r="7" spans="1:4" x14ac:dyDescent="0.15">
      <c r="A7">
        <v>6</v>
      </c>
      <c r="B7" s="183" t="s">
        <v>197</v>
      </c>
      <c r="C7">
        <v>3.4018000000000002E-6</v>
      </c>
      <c r="D7">
        <v>3.4018000000000002E-6</v>
      </c>
    </row>
    <row r="8" spans="1:4" x14ac:dyDescent="0.15">
      <c r="A8">
        <v>7</v>
      </c>
      <c r="B8" s="183" t="s">
        <v>198</v>
      </c>
      <c r="C8">
        <v>0</v>
      </c>
      <c r="D8">
        <v>0</v>
      </c>
    </row>
    <row r="9" spans="1:4" x14ac:dyDescent="0.15">
      <c r="A9">
        <v>8</v>
      </c>
      <c r="B9" s="183" t="s">
        <v>199</v>
      </c>
      <c r="C9">
        <v>0</v>
      </c>
      <c r="D9">
        <v>0</v>
      </c>
    </row>
    <row r="10" spans="1:4" x14ac:dyDescent="0.15">
      <c r="A10">
        <v>9</v>
      </c>
      <c r="B10" s="183" t="s">
        <v>200</v>
      </c>
      <c r="C10">
        <v>0</v>
      </c>
      <c r="D10">
        <v>0</v>
      </c>
    </row>
    <row r="11" spans="1:4" x14ac:dyDescent="0.15">
      <c r="A11">
        <v>10</v>
      </c>
      <c r="B11" s="183" t="s">
        <v>201</v>
      </c>
      <c r="C11">
        <v>3.6059130000000001E-3</v>
      </c>
      <c r="D11">
        <v>3.6059130000000001E-3</v>
      </c>
    </row>
    <row r="12" spans="1:4" x14ac:dyDescent="0.15">
      <c r="A12">
        <v>11</v>
      </c>
      <c r="B12" s="183" t="s">
        <v>202</v>
      </c>
      <c r="C12">
        <v>4.0119500000000002E-4</v>
      </c>
      <c r="D12">
        <v>4.0119500000000002E-4</v>
      </c>
    </row>
    <row r="13" spans="1:4" x14ac:dyDescent="0.15">
      <c r="A13">
        <v>12</v>
      </c>
      <c r="B13" s="183" t="s">
        <v>203</v>
      </c>
      <c r="C13">
        <v>3.2085820000000002E-3</v>
      </c>
      <c r="D13">
        <v>3.2085820000000002E-3</v>
      </c>
    </row>
    <row r="14" spans="1:4" x14ac:dyDescent="0.15">
      <c r="A14">
        <v>13</v>
      </c>
      <c r="B14" s="183" t="s">
        <v>204</v>
      </c>
      <c r="C14">
        <v>3.2630110000000001E-3</v>
      </c>
      <c r="D14">
        <v>3.2630110000000001E-3</v>
      </c>
    </row>
    <row r="15" spans="1:4" x14ac:dyDescent="0.15">
      <c r="A15">
        <v>14</v>
      </c>
      <c r="B15" s="183" t="s">
        <v>205</v>
      </c>
      <c r="C15">
        <v>4.6237329999999997E-3</v>
      </c>
      <c r="D15">
        <v>4.6237329999999997E-3</v>
      </c>
    </row>
    <row r="16" spans="1:4" x14ac:dyDescent="0.15">
      <c r="A16">
        <v>15</v>
      </c>
      <c r="B16" s="183" t="s">
        <v>206</v>
      </c>
      <c r="C16">
        <v>0</v>
      </c>
      <c r="D16">
        <v>0</v>
      </c>
    </row>
    <row r="17" spans="1:4" x14ac:dyDescent="0.15">
      <c r="A17">
        <v>16</v>
      </c>
      <c r="B17" s="183" t="s">
        <v>207</v>
      </c>
      <c r="C17">
        <v>0</v>
      </c>
      <c r="D17">
        <v>0</v>
      </c>
    </row>
    <row r="18" spans="1:4" x14ac:dyDescent="0.15">
      <c r="A18">
        <v>17</v>
      </c>
      <c r="B18" s="183" t="s">
        <v>208</v>
      </c>
      <c r="C18">
        <v>0</v>
      </c>
      <c r="D18">
        <v>0</v>
      </c>
    </row>
    <row r="19" spans="1:4" x14ac:dyDescent="0.15">
      <c r="A19">
        <v>18</v>
      </c>
      <c r="B19" s="183" t="s">
        <v>209</v>
      </c>
      <c r="C19">
        <v>0</v>
      </c>
      <c r="D19">
        <v>0</v>
      </c>
    </row>
    <row r="20" spans="1:4" x14ac:dyDescent="0.15">
      <c r="A20">
        <v>19</v>
      </c>
      <c r="B20" s="183" t="s">
        <v>210</v>
      </c>
      <c r="C20">
        <v>0</v>
      </c>
      <c r="D20">
        <v>0</v>
      </c>
    </row>
    <row r="21" spans="1:4" x14ac:dyDescent="0.15">
      <c r="A21">
        <v>20</v>
      </c>
      <c r="B21" s="183" t="s">
        <v>211</v>
      </c>
      <c r="C21">
        <v>0</v>
      </c>
      <c r="D21">
        <v>0</v>
      </c>
    </row>
    <row r="22" spans="1:4" x14ac:dyDescent="0.15">
      <c r="A22">
        <v>21</v>
      </c>
      <c r="B22" s="183" t="s">
        <v>212</v>
      </c>
      <c r="C22">
        <v>0</v>
      </c>
      <c r="D22">
        <v>0</v>
      </c>
    </row>
    <row r="23" spans="1:4" x14ac:dyDescent="0.15">
      <c r="A23">
        <v>22</v>
      </c>
      <c r="B23" s="183" t="s">
        <v>213</v>
      </c>
      <c r="C23">
        <v>0</v>
      </c>
      <c r="D23">
        <v>0</v>
      </c>
    </row>
    <row r="24" spans="1:4" x14ac:dyDescent="0.15">
      <c r="A24">
        <v>23</v>
      </c>
      <c r="B24" s="183" t="s">
        <v>214</v>
      </c>
      <c r="C24">
        <v>0</v>
      </c>
      <c r="D24">
        <v>0</v>
      </c>
    </row>
    <row r="25" spans="1:4" x14ac:dyDescent="0.15">
      <c r="A25">
        <v>24</v>
      </c>
      <c r="B25" s="183" t="s">
        <v>215</v>
      </c>
      <c r="C25">
        <v>0</v>
      </c>
      <c r="D25">
        <v>0</v>
      </c>
    </row>
    <row r="26" spans="1:4" x14ac:dyDescent="0.15">
      <c r="A26">
        <v>25</v>
      </c>
      <c r="B26" s="183" t="s">
        <v>216</v>
      </c>
      <c r="C26">
        <v>0</v>
      </c>
      <c r="D26">
        <v>0</v>
      </c>
    </row>
    <row r="27" spans="1:4" x14ac:dyDescent="0.15">
      <c r="A27">
        <v>26</v>
      </c>
      <c r="B27" s="183" t="s">
        <v>217</v>
      </c>
      <c r="C27">
        <v>0</v>
      </c>
      <c r="D27">
        <v>0</v>
      </c>
    </row>
    <row r="28" spans="1:4" x14ac:dyDescent="0.15">
      <c r="A28">
        <v>27</v>
      </c>
      <c r="B28" s="183" t="s">
        <v>218</v>
      </c>
      <c r="C28">
        <v>0</v>
      </c>
      <c r="D28">
        <v>0</v>
      </c>
    </row>
    <row r="29" spans="1:4" x14ac:dyDescent="0.15">
      <c r="A29">
        <v>28</v>
      </c>
      <c r="B29" s="183" t="s">
        <v>219</v>
      </c>
      <c r="C29">
        <v>0</v>
      </c>
      <c r="D29">
        <v>0</v>
      </c>
    </row>
    <row r="30" spans="1:4" x14ac:dyDescent="0.15">
      <c r="A30">
        <v>29</v>
      </c>
      <c r="B30" s="183" t="s">
        <v>220</v>
      </c>
      <c r="C30">
        <v>0</v>
      </c>
      <c r="D30">
        <v>0</v>
      </c>
    </row>
    <row r="31" spans="1:4" x14ac:dyDescent="0.15">
      <c r="A31">
        <v>30</v>
      </c>
      <c r="B31" s="183" t="s">
        <v>221</v>
      </c>
      <c r="C31">
        <v>0</v>
      </c>
      <c r="D31">
        <v>0</v>
      </c>
    </row>
    <row r="32" spans="1:4" x14ac:dyDescent="0.15">
      <c r="A32">
        <v>31</v>
      </c>
      <c r="B32" s="183" t="s">
        <v>222</v>
      </c>
      <c r="C32">
        <v>0</v>
      </c>
      <c r="D32">
        <v>0</v>
      </c>
    </row>
    <row r="33" spans="1:4" x14ac:dyDescent="0.15">
      <c r="A33">
        <v>32</v>
      </c>
      <c r="B33" s="183" t="s">
        <v>223</v>
      </c>
      <c r="C33">
        <v>0</v>
      </c>
      <c r="D33">
        <v>0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indexed="51"/>
  </sheetPr>
  <dimension ref="A1:AP185"/>
  <sheetViews>
    <sheetView workbookViewId="0">
      <selection activeCell="D2" sqref="D2"/>
    </sheetView>
  </sheetViews>
  <sheetFormatPr baseColWidth="10" defaultRowHeight="13" x14ac:dyDescent="0.15"/>
  <cols>
    <col min="1" max="1" width="17.33203125" bestFit="1" customWidth="1"/>
    <col min="4" max="4" width="3.33203125" customWidth="1"/>
    <col min="5" max="5" width="17.33203125" bestFit="1" customWidth="1"/>
    <col min="6" max="6" width="4.83203125" bestFit="1" customWidth="1"/>
    <col min="7" max="9" width="3.83203125" bestFit="1" customWidth="1"/>
    <col min="10" max="11" width="4.83203125" style="110" bestFit="1" customWidth="1"/>
    <col min="12" max="12" width="12.33203125" bestFit="1" customWidth="1"/>
    <col min="13" max="13" width="13.5" bestFit="1" customWidth="1"/>
    <col min="14" max="14" width="13.83203125" bestFit="1" customWidth="1"/>
    <col min="15" max="15" width="13.6640625" bestFit="1" customWidth="1"/>
    <col min="16" max="16" width="13.5" bestFit="1" customWidth="1"/>
    <col min="17" max="17" width="12.83203125" bestFit="1" customWidth="1"/>
    <col min="18" max="18" width="14" bestFit="1" customWidth="1"/>
    <col min="19" max="20" width="14.1640625" bestFit="1" customWidth="1"/>
    <col min="21" max="21" width="14" bestFit="1" customWidth="1"/>
    <col min="22" max="22" width="8.6640625" bestFit="1" customWidth="1"/>
    <col min="23" max="23" width="8.83203125" bestFit="1" customWidth="1"/>
    <col min="24" max="24" width="14" bestFit="1" customWidth="1"/>
    <col min="25" max="25" width="21.33203125" style="6" bestFit="1" customWidth="1"/>
    <col min="26" max="26" width="13.6640625" bestFit="1" customWidth="1"/>
    <col min="27" max="27" width="13.83203125" bestFit="1" customWidth="1"/>
    <col min="28" max="28" width="19" bestFit="1" customWidth="1"/>
    <col min="29" max="29" width="26.33203125" style="6" bestFit="1" customWidth="1"/>
    <col min="30" max="30" width="14.1640625" bestFit="1" customWidth="1"/>
    <col min="31" max="31" width="14.33203125" bestFit="1" customWidth="1"/>
    <col min="32" max="32" width="19.5" bestFit="1" customWidth="1"/>
    <col min="33" max="33" width="26.83203125" style="6" bestFit="1" customWidth="1"/>
    <col min="34" max="34" width="24" bestFit="1" customWidth="1"/>
    <col min="35" max="35" width="30" bestFit="1" customWidth="1"/>
    <col min="36" max="36" width="19.1640625" bestFit="1" customWidth="1"/>
    <col min="37" max="37" width="25.5" bestFit="1" customWidth="1"/>
    <col min="38" max="38" width="31.5" bestFit="1" customWidth="1"/>
    <col min="39" max="39" width="20.6640625" bestFit="1" customWidth="1"/>
    <col min="40" max="40" width="25" bestFit="1" customWidth="1"/>
    <col min="41" max="41" width="31" bestFit="1" customWidth="1"/>
    <col min="42" max="42" width="20.1640625" bestFit="1" customWidth="1"/>
  </cols>
  <sheetData>
    <row r="1" spans="1:42" s="112" customFormat="1" ht="14" thickBot="1" x14ac:dyDescent="0.2">
      <c r="D1" s="113" t="s">
        <v>8</v>
      </c>
      <c r="E1" s="113" t="s">
        <v>0</v>
      </c>
      <c r="F1" s="114" t="s">
        <v>99</v>
      </c>
      <c r="G1" s="115" t="s">
        <v>84</v>
      </c>
      <c r="H1" s="115" t="s">
        <v>85</v>
      </c>
      <c r="I1" s="115" t="s">
        <v>86</v>
      </c>
      <c r="J1" s="115" t="s">
        <v>87</v>
      </c>
      <c r="K1" s="115" t="s">
        <v>88</v>
      </c>
      <c r="L1" s="116" t="s">
        <v>89</v>
      </c>
      <c r="M1" s="116" t="s">
        <v>93</v>
      </c>
      <c r="N1" s="116" t="s">
        <v>92</v>
      </c>
      <c r="O1" s="116" t="s">
        <v>90</v>
      </c>
      <c r="P1" s="116" t="s">
        <v>91</v>
      </c>
      <c r="Q1" s="117" t="s">
        <v>94</v>
      </c>
      <c r="R1" s="117" t="s">
        <v>95</v>
      </c>
      <c r="S1" s="117" t="s">
        <v>96</v>
      </c>
      <c r="T1" s="117" t="s">
        <v>97</v>
      </c>
      <c r="U1" s="117" t="s">
        <v>98</v>
      </c>
      <c r="V1" s="115" t="s">
        <v>100</v>
      </c>
      <c r="W1" s="115" t="s">
        <v>101</v>
      </c>
      <c r="X1" s="115" t="s">
        <v>102</v>
      </c>
      <c r="Y1" s="115" t="s">
        <v>134</v>
      </c>
      <c r="Z1" s="116" t="s">
        <v>103</v>
      </c>
      <c r="AA1" s="116" t="s">
        <v>104</v>
      </c>
      <c r="AB1" s="116" t="s">
        <v>105</v>
      </c>
      <c r="AC1" s="118" t="s">
        <v>135</v>
      </c>
      <c r="AD1" s="117" t="s">
        <v>106</v>
      </c>
      <c r="AE1" s="117" t="s">
        <v>107</v>
      </c>
      <c r="AF1" s="117" t="s">
        <v>108</v>
      </c>
      <c r="AG1" s="117" t="s">
        <v>136</v>
      </c>
      <c r="AH1" s="115" t="s">
        <v>109</v>
      </c>
      <c r="AI1" s="115" t="s">
        <v>111</v>
      </c>
      <c r="AJ1" s="115" t="s">
        <v>110</v>
      </c>
      <c r="AK1" s="116" t="s">
        <v>115</v>
      </c>
      <c r="AL1" s="116" t="s">
        <v>116</v>
      </c>
      <c r="AM1" s="116" t="s">
        <v>117</v>
      </c>
      <c r="AN1" s="117" t="s">
        <v>112</v>
      </c>
      <c r="AO1" s="117" t="s">
        <v>113</v>
      </c>
      <c r="AP1" s="117" t="s">
        <v>114</v>
      </c>
    </row>
    <row r="2" spans="1:42" x14ac:dyDescent="0.15">
      <c r="A2" s="119" t="s">
        <v>74</v>
      </c>
      <c r="B2" s="120">
        <v>1</v>
      </c>
      <c r="D2">
        <v>1</v>
      </c>
      <c r="E2" s="185" t="s">
        <v>192</v>
      </c>
      <c r="F2">
        <v>0.98</v>
      </c>
      <c r="G2">
        <v>0.8</v>
      </c>
      <c r="H2">
        <v>0.8</v>
      </c>
      <c r="I2">
        <v>0.8</v>
      </c>
      <c r="J2" s="110">
        <v>0.25</v>
      </c>
      <c r="K2" s="110">
        <v>0.05</v>
      </c>
    </row>
    <row r="3" spans="1:42" x14ac:dyDescent="0.15">
      <c r="A3" s="119" t="s">
        <v>75</v>
      </c>
      <c r="B3" s="121">
        <v>1</v>
      </c>
      <c r="D3">
        <v>2</v>
      </c>
      <c r="E3" s="185" t="s">
        <v>193</v>
      </c>
      <c r="F3">
        <v>0.98</v>
      </c>
      <c r="G3">
        <v>0.8</v>
      </c>
      <c r="H3">
        <v>0.8</v>
      </c>
      <c r="I3">
        <v>0.8</v>
      </c>
      <c r="J3" s="110">
        <v>0.25</v>
      </c>
      <c r="K3" s="110">
        <v>0.05</v>
      </c>
    </row>
    <row r="4" spans="1:42" x14ac:dyDescent="0.15">
      <c r="A4" s="119" t="s">
        <v>76</v>
      </c>
      <c r="B4" s="121">
        <v>1</v>
      </c>
      <c r="D4">
        <v>3</v>
      </c>
      <c r="E4" s="185" t="s">
        <v>194</v>
      </c>
      <c r="F4">
        <v>0.98</v>
      </c>
      <c r="G4">
        <v>0.8</v>
      </c>
      <c r="H4">
        <v>0.8</v>
      </c>
      <c r="I4">
        <v>0.8</v>
      </c>
      <c r="J4" s="110">
        <v>0.25</v>
      </c>
      <c r="K4" s="110">
        <v>0.05</v>
      </c>
    </row>
    <row r="5" spans="1:42" x14ac:dyDescent="0.15">
      <c r="A5" s="119" t="s">
        <v>77</v>
      </c>
      <c r="B5" s="121">
        <v>1</v>
      </c>
      <c r="D5">
        <v>4</v>
      </c>
      <c r="E5" s="185" t="s">
        <v>195</v>
      </c>
      <c r="F5">
        <v>0.98</v>
      </c>
      <c r="G5">
        <v>0.8</v>
      </c>
      <c r="H5">
        <v>0.8</v>
      </c>
      <c r="I5">
        <v>0.8</v>
      </c>
      <c r="J5" s="110">
        <v>0.25</v>
      </c>
      <c r="K5" s="110">
        <v>0.05</v>
      </c>
    </row>
    <row r="6" spans="1:42" x14ac:dyDescent="0.15">
      <c r="A6" s="119" t="s">
        <v>78</v>
      </c>
      <c r="B6" s="121">
        <v>1</v>
      </c>
      <c r="D6">
        <v>5</v>
      </c>
      <c r="E6" s="185" t="s">
        <v>196</v>
      </c>
      <c r="F6">
        <v>0.98</v>
      </c>
      <c r="G6">
        <v>0.8</v>
      </c>
      <c r="H6">
        <v>0.8</v>
      </c>
      <c r="I6">
        <v>0.8</v>
      </c>
      <c r="J6" s="110">
        <v>0.25</v>
      </c>
      <c r="K6" s="110">
        <v>0.05</v>
      </c>
    </row>
    <row r="7" spans="1:42" x14ac:dyDescent="0.15">
      <c r="A7" s="119" t="s">
        <v>79</v>
      </c>
      <c r="B7" s="121">
        <v>1</v>
      </c>
      <c r="D7">
        <v>6</v>
      </c>
      <c r="E7" s="185" t="s">
        <v>197</v>
      </c>
      <c r="F7">
        <v>0.98</v>
      </c>
      <c r="G7">
        <v>0.8</v>
      </c>
      <c r="H7">
        <v>0.8</v>
      </c>
      <c r="I7">
        <v>0.8</v>
      </c>
      <c r="J7" s="110">
        <v>0.25</v>
      </c>
      <c r="K7" s="110">
        <v>0.05</v>
      </c>
    </row>
    <row r="8" spans="1:42" x14ac:dyDescent="0.15">
      <c r="A8" s="119" t="s">
        <v>80</v>
      </c>
      <c r="B8" s="121">
        <v>1</v>
      </c>
      <c r="D8">
        <v>7</v>
      </c>
      <c r="E8" s="185" t="s">
        <v>198</v>
      </c>
      <c r="F8">
        <v>0.98</v>
      </c>
      <c r="G8">
        <v>0.8</v>
      </c>
      <c r="H8">
        <v>0.8</v>
      </c>
      <c r="I8">
        <v>0.8</v>
      </c>
      <c r="J8" s="110">
        <v>0.25</v>
      </c>
      <c r="K8" s="110">
        <v>0.05</v>
      </c>
    </row>
    <row r="9" spans="1:42" x14ac:dyDescent="0.15">
      <c r="A9" s="119" t="s">
        <v>81</v>
      </c>
      <c r="B9" s="121">
        <v>0.1</v>
      </c>
      <c r="C9" s="60" t="s">
        <v>150</v>
      </c>
      <c r="D9">
        <v>8</v>
      </c>
      <c r="E9" s="185" t="s">
        <v>199</v>
      </c>
      <c r="F9">
        <v>0.98</v>
      </c>
      <c r="G9">
        <v>0.8</v>
      </c>
      <c r="H9">
        <v>0.8</v>
      </c>
      <c r="I9">
        <v>0.8</v>
      </c>
      <c r="J9" s="110">
        <v>0.25</v>
      </c>
      <c r="K9" s="110">
        <v>0.05</v>
      </c>
    </row>
    <row r="10" spans="1:42" ht="14" thickBot="1" x14ac:dyDescent="0.2">
      <c r="A10" s="119" t="s">
        <v>149</v>
      </c>
      <c r="B10" s="122">
        <f>1/3</f>
        <v>0.33333333333333331</v>
      </c>
      <c r="C10" s="60" t="s">
        <v>150</v>
      </c>
      <c r="D10">
        <v>9</v>
      </c>
      <c r="E10" s="185" t="s">
        <v>200</v>
      </c>
      <c r="F10">
        <v>0.98</v>
      </c>
      <c r="G10">
        <v>0.8</v>
      </c>
      <c r="H10">
        <v>0.8</v>
      </c>
      <c r="I10">
        <v>0.8</v>
      </c>
      <c r="J10" s="110">
        <v>0.25</v>
      </c>
      <c r="K10" s="110">
        <v>0.05</v>
      </c>
    </row>
    <row r="11" spans="1:42" x14ac:dyDescent="0.15">
      <c r="D11">
        <v>10</v>
      </c>
      <c r="E11" s="185" t="s">
        <v>201</v>
      </c>
      <c r="F11">
        <v>0.98</v>
      </c>
      <c r="G11">
        <v>0.8</v>
      </c>
      <c r="H11">
        <v>0.8</v>
      </c>
      <c r="I11">
        <v>0.8</v>
      </c>
      <c r="J11" s="110">
        <v>0.25</v>
      </c>
      <c r="K11" s="110">
        <v>0.05</v>
      </c>
    </row>
    <row r="12" spans="1:42" x14ac:dyDescent="0.15">
      <c r="D12">
        <v>11</v>
      </c>
      <c r="E12" s="185" t="s">
        <v>202</v>
      </c>
      <c r="F12">
        <v>0.98</v>
      </c>
      <c r="G12">
        <v>0.8</v>
      </c>
      <c r="H12">
        <v>0.8</v>
      </c>
      <c r="I12">
        <v>0.8</v>
      </c>
      <c r="J12" s="110">
        <v>0.25</v>
      </c>
      <c r="K12" s="110">
        <v>0.05</v>
      </c>
    </row>
    <row r="13" spans="1:42" x14ac:dyDescent="0.15">
      <c r="D13">
        <v>12</v>
      </c>
      <c r="E13" s="185" t="s">
        <v>203</v>
      </c>
      <c r="F13">
        <v>0.98</v>
      </c>
      <c r="G13">
        <v>0.8</v>
      </c>
      <c r="H13">
        <v>0.8</v>
      </c>
      <c r="I13">
        <v>0.8</v>
      </c>
      <c r="J13" s="110">
        <v>0.25</v>
      </c>
      <c r="K13" s="110">
        <v>0.05</v>
      </c>
    </row>
    <row r="14" spans="1:42" x14ac:dyDescent="0.15">
      <c r="D14">
        <v>13</v>
      </c>
      <c r="E14" s="185" t="s">
        <v>204</v>
      </c>
      <c r="F14">
        <v>0.98</v>
      </c>
      <c r="G14">
        <v>0.8</v>
      </c>
      <c r="H14">
        <v>0.8</v>
      </c>
      <c r="I14">
        <v>0.8</v>
      </c>
      <c r="J14" s="110">
        <v>0.25</v>
      </c>
      <c r="K14" s="110">
        <v>0.05</v>
      </c>
    </row>
    <row r="15" spans="1:42" x14ac:dyDescent="0.15">
      <c r="D15">
        <v>14</v>
      </c>
      <c r="E15" s="185" t="s">
        <v>205</v>
      </c>
      <c r="F15">
        <v>0.98</v>
      </c>
      <c r="G15">
        <v>0.8</v>
      </c>
      <c r="H15">
        <v>0.8</v>
      </c>
      <c r="I15">
        <v>0.8</v>
      </c>
      <c r="J15" s="110">
        <v>0.25</v>
      </c>
      <c r="K15" s="110">
        <v>0.05</v>
      </c>
    </row>
    <row r="16" spans="1:42" x14ac:dyDescent="0.15">
      <c r="D16">
        <v>15</v>
      </c>
      <c r="E16" s="185" t="s">
        <v>206</v>
      </c>
      <c r="F16">
        <v>0.98</v>
      </c>
      <c r="G16">
        <v>0.8</v>
      </c>
      <c r="H16">
        <v>0.8</v>
      </c>
      <c r="I16">
        <v>0.8</v>
      </c>
      <c r="J16" s="110">
        <v>0.25</v>
      </c>
      <c r="K16" s="110">
        <v>0.05</v>
      </c>
    </row>
    <row r="17" spans="4:33" ht="15" customHeight="1" x14ac:dyDescent="0.15">
      <c r="D17">
        <v>16</v>
      </c>
      <c r="E17" s="185" t="s">
        <v>207</v>
      </c>
      <c r="F17">
        <v>0.98</v>
      </c>
      <c r="G17">
        <v>0.8</v>
      </c>
      <c r="H17">
        <v>0.8</v>
      </c>
      <c r="I17">
        <v>0.8</v>
      </c>
      <c r="J17" s="110">
        <v>0.25</v>
      </c>
      <c r="K17" s="110">
        <v>0.05</v>
      </c>
    </row>
    <row r="18" spans="4:33" ht="15" customHeight="1" x14ac:dyDescent="0.15">
      <c r="D18">
        <v>17</v>
      </c>
      <c r="E18" s="185" t="s">
        <v>208</v>
      </c>
      <c r="F18">
        <v>0.98</v>
      </c>
      <c r="G18">
        <v>0.8</v>
      </c>
      <c r="H18">
        <v>0.8</v>
      </c>
      <c r="I18">
        <v>0.8</v>
      </c>
      <c r="J18" s="110">
        <v>0.25</v>
      </c>
      <c r="K18" s="110">
        <v>0.05</v>
      </c>
    </row>
    <row r="19" spans="4:33" ht="15" customHeight="1" x14ac:dyDescent="0.15">
      <c r="D19">
        <v>18</v>
      </c>
      <c r="E19" s="185" t="s">
        <v>209</v>
      </c>
      <c r="F19">
        <v>0.98</v>
      </c>
      <c r="G19">
        <v>0.8</v>
      </c>
      <c r="H19">
        <v>0.8</v>
      </c>
      <c r="I19">
        <v>0.8</v>
      </c>
      <c r="J19" s="110">
        <v>0.25</v>
      </c>
      <c r="K19" s="110">
        <v>0.05</v>
      </c>
    </row>
    <row r="20" spans="4:33" ht="15" customHeight="1" x14ac:dyDescent="0.15">
      <c r="D20">
        <v>19</v>
      </c>
      <c r="E20" s="185" t="s">
        <v>210</v>
      </c>
      <c r="F20">
        <v>0.98</v>
      </c>
      <c r="G20">
        <v>0.8</v>
      </c>
      <c r="H20">
        <v>0.8</v>
      </c>
      <c r="I20">
        <v>0.8</v>
      </c>
      <c r="J20" s="110">
        <v>0.25</v>
      </c>
      <c r="K20" s="110">
        <v>0.05</v>
      </c>
    </row>
    <row r="21" spans="4:33" ht="15" customHeight="1" x14ac:dyDescent="0.15">
      <c r="D21">
        <v>20</v>
      </c>
      <c r="E21" s="185" t="s">
        <v>211</v>
      </c>
      <c r="F21">
        <v>0.98</v>
      </c>
      <c r="G21">
        <v>0.8</v>
      </c>
      <c r="H21">
        <v>0.8</v>
      </c>
      <c r="I21">
        <v>0.8</v>
      </c>
      <c r="J21" s="110">
        <v>0.25</v>
      </c>
      <c r="K21" s="110">
        <v>0.05</v>
      </c>
    </row>
    <row r="22" spans="4:33" ht="15" customHeight="1" x14ac:dyDescent="0.15">
      <c r="D22">
        <v>21</v>
      </c>
      <c r="E22" s="185" t="s">
        <v>212</v>
      </c>
      <c r="F22">
        <v>0.98</v>
      </c>
      <c r="G22">
        <v>0.8</v>
      </c>
      <c r="H22">
        <v>0.8</v>
      </c>
      <c r="I22">
        <v>0.8</v>
      </c>
      <c r="J22" s="110">
        <v>0.25</v>
      </c>
      <c r="K22" s="110">
        <v>0.05</v>
      </c>
    </row>
    <row r="23" spans="4:33" ht="15" customHeight="1" x14ac:dyDescent="0.15">
      <c r="D23">
        <v>22</v>
      </c>
      <c r="E23" s="185" t="s">
        <v>213</v>
      </c>
      <c r="F23">
        <v>0.98</v>
      </c>
      <c r="G23">
        <v>0.8</v>
      </c>
      <c r="H23">
        <v>0.8</v>
      </c>
      <c r="I23">
        <v>0.8</v>
      </c>
      <c r="J23" s="110">
        <v>0.25</v>
      </c>
      <c r="K23" s="110">
        <v>0.05</v>
      </c>
    </row>
    <row r="24" spans="4:33" ht="15" customHeight="1" x14ac:dyDescent="0.15">
      <c r="D24">
        <v>23</v>
      </c>
      <c r="E24" s="185" t="s">
        <v>214</v>
      </c>
      <c r="F24">
        <v>0.98</v>
      </c>
      <c r="G24">
        <v>0.8</v>
      </c>
      <c r="H24">
        <v>0.8</v>
      </c>
      <c r="I24">
        <v>0.8</v>
      </c>
      <c r="J24" s="110">
        <v>0.25</v>
      </c>
      <c r="K24" s="110">
        <v>0.05</v>
      </c>
    </row>
    <row r="25" spans="4:33" ht="15" customHeight="1" x14ac:dyDescent="0.15">
      <c r="D25">
        <v>24</v>
      </c>
      <c r="E25" s="185" t="s">
        <v>215</v>
      </c>
      <c r="F25">
        <v>0.98</v>
      </c>
      <c r="G25">
        <v>0.8</v>
      </c>
      <c r="H25">
        <v>0.8</v>
      </c>
      <c r="I25">
        <v>0.8</v>
      </c>
      <c r="J25" s="110">
        <v>0.25</v>
      </c>
      <c r="K25" s="110">
        <v>0.05</v>
      </c>
    </row>
    <row r="26" spans="4:33" ht="15" customHeight="1" x14ac:dyDescent="0.15">
      <c r="D26">
        <v>25</v>
      </c>
      <c r="E26" s="185" t="s">
        <v>216</v>
      </c>
      <c r="F26">
        <v>0.98</v>
      </c>
      <c r="G26">
        <v>0.8</v>
      </c>
      <c r="H26">
        <v>0.8</v>
      </c>
      <c r="I26">
        <v>0.8</v>
      </c>
      <c r="J26" s="110">
        <v>0.25</v>
      </c>
      <c r="K26" s="110">
        <v>0.05</v>
      </c>
    </row>
    <row r="27" spans="4:33" ht="15" customHeight="1" x14ac:dyDescent="0.15">
      <c r="D27">
        <v>26</v>
      </c>
      <c r="E27" s="185" t="s">
        <v>217</v>
      </c>
      <c r="F27">
        <v>0.98</v>
      </c>
      <c r="G27">
        <v>0.8</v>
      </c>
      <c r="H27">
        <v>0.8</v>
      </c>
      <c r="I27">
        <v>0.8</v>
      </c>
      <c r="J27" s="110">
        <v>0.25</v>
      </c>
      <c r="K27" s="110">
        <v>0.05</v>
      </c>
    </row>
    <row r="28" spans="4:33" ht="15" customHeight="1" x14ac:dyDescent="0.15">
      <c r="D28">
        <v>27</v>
      </c>
      <c r="E28" s="185" t="s">
        <v>218</v>
      </c>
      <c r="F28">
        <v>0.98</v>
      </c>
      <c r="G28">
        <v>0.8</v>
      </c>
      <c r="H28">
        <v>0.8</v>
      </c>
      <c r="I28">
        <v>0.8</v>
      </c>
      <c r="J28" s="110">
        <v>0.25</v>
      </c>
      <c r="K28" s="110">
        <v>0.05</v>
      </c>
    </row>
    <row r="29" spans="4:33" ht="15" customHeight="1" x14ac:dyDescent="0.15">
      <c r="D29">
        <v>28</v>
      </c>
      <c r="E29" s="185" t="s">
        <v>219</v>
      </c>
      <c r="F29">
        <v>0.98</v>
      </c>
      <c r="G29">
        <v>0.8</v>
      </c>
      <c r="H29">
        <v>0.8</v>
      </c>
      <c r="I29">
        <v>0.8</v>
      </c>
      <c r="J29" s="110">
        <v>0.25</v>
      </c>
      <c r="K29" s="110">
        <v>0.05</v>
      </c>
      <c r="Y29"/>
      <c r="AC29"/>
      <c r="AG29"/>
    </row>
    <row r="30" spans="4:33" ht="15" customHeight="1" x14ac:dyDescent="0.15">
      <c r="D30">
        <v>29</v>
      </c>
      <c r="E30" s="185" t="s">
        <v>220</v>
      </c>
      <c r="F30">
        <v>0.98</v>
      </c>
      <c r="G30">
        <v>0.8</v>
      </c>
      <c r="H30">
        <v>0.8</v>
      </c>
      <c r="I30">
        <v>0.8</v>
      </c>
      <c r="J30" s="110">
        <v>0.25</v>
      </c>
      <c r="K30" s="110">
        <v>0.05</v>
      </c>
      <c r="Y30"/>
      <c r="AC30"/>
      <c r="AG30"/>
    </row>
    <row r="31" spans="4:33" ht="15" customHeight="1" x14ac:dyDescent="0.15">
      <c r="D31">
        <v>30</v>
      </c>
      <c r="E31" s="185" t="s">
        <v>221</v>
      </c>
      <c r="F31">
        <v>0.98</v>
      </c>
      <c r="G31">
        <v>0.8</v>
      </c>
      <c r="H31">
        <v>0.8</v>
      </c>
      <c r="I31">
        <v>0</v>
      </c>
      <c r="J31" s="110">
        <v>0</v>
      </c>
      <c r="K31" s="110">
        <v>0</v>
      </c>
      <c r="Y31"/>
      <c r="AC31"/>
      <c r="AG31"/>
    </row>
    <row r="32" spans="4:33" ht="15" customHeight="1" x14ac:dyDescent="0.15">
      <c r="D32">
        <v>31</v>
      </c>
      <c r="E32" s="185" t="s">
        <v>222</v>
      </c>
      <c r="F32">
        <v>0.98</v>
      </c>
      <c r="G32">
        <v>0.8</v>
      </c>
      <c r="H32">
        <v>0</v>
      </c>
      <c r="I32">
        <v>0</v>
      </c>
      <c r="J32" s="110">
        <v>0</v>
      </c>
      <c r="K32" s="110">
        <v>0</v>
      </c>
      <c r="Y32"/>
      <c r="AC32"/>
      <c r="AG32"/>
    </row>
    <row r="33" spans="4:33" ht="15" customHeight="1" x14ac:dyDescent="0.15">
      <c r="D33">
        <v>32</v>
      </c>
      <c r="E33" s="185" t="s">
        <v>223</v>
      </c>
      <c r="F33">
        <v>0.98</v>
      </c>
      <c r="G33">
        <v>0.8</v>
      </c>
      <c r="H33">
        <v>0</v>
      </c>
      <c r="I33">
        <v>0</v>
      </c>
      <c r="J33" s="110">
        <v>0</v>
      </c>
      <c r="K33" s="110">
        <v>0</v>
      </c>
      <c r="Y33"/>
      <c r="AC33"/>
      <c r="AG33"/>
    </row>
    <row r="34" spans="4:33" ht="15" customHeight="1" x14ac:dyDescent="0.15">
      <c r="J34"/>
      <c r="K34"/>
      <c r="Y34"/>
      <c r="AC34"/>
      <c r="AG34"/>
    </row>
    <row r="35" spans="4:33" ht="15" customHeight="1" x14ac:dyDescent="0.15">
      <c r="J35"/>
      <c r="K35"/>
      <c r="Y35"/>
      <c r="AC35"/>
      <c r="AG35"/>
    </row>
    <row r="36" spans="4:33" ht="15" customHeight="1" x14ac:dyDescent="0.15">
      <c r="J36"/>
      <c r="K36"/>
      <c r="Y36"/>
      <c r="AC36"/>
      <c r="AG36"/>
    </row>
    <row r="37" spans="4:33" ht="15" customHeight="1" x14ac:dyDescent="0.15">
      <c r="J37"/>
      <c r="K37"/>
      <c r="Y37"/>
      <c r="AC37"/>
      <c r="AG37"/>
    </row>
    <row r="38" spans="4:33" ht="15" customHeight="1" x14ac:dyDescent="0.15">
      <c r="J38"/>
      <c r="K38"/>
      <c r="Y38"/>
      <c r="AC38"/>
      <c r="AG38"/>
    </row>
    <row r="39" spans="4:33" ht="15" customHeight="1" x14ac:dyDescent="0.15">
      <c r="J39"/>
      <c r="K39"/>
    </row>
    <row r="40" spans="4:33" ht="15" customHeight="1" x14ac:dyDescent="0.15">
      <c r="J40"/>
      <c r="K40"/>
      <c r="Y40"/>
      <c r="AC40"/>
      <c r="AG40"/>
    </row>
    <row r="41" spans="4:33" ht="15" customHeight="1" x14ac:dyDescent="0.15">
      <c r="J41"/>
      <c r="K41"/>
      <c r="Y41"/>
      <c r="AC41"/>
      <c r="AG41"/>
    </row>
    <row r="42" spans="4:33" ht="15" customHeight="1" x14ac:dyDescent="0.15">
      <c r="J42"/>
      <c r="K42"/>
      <c r="Y42"/>
      <c r="AC42"/>
      <c r="AG42"/>
    </row>
    <row r="43" spans="4:33" ht="15" customHeight="1" x14ac:dyDescent="0.15">
      <c r="J43"/>
      <c r="K43"/>
      <c r="Y43"/>
      <c r="AC43"/>
      <c r="AG43"/>
    </row>
    <row r="44" spans="4:33" ht="15" customHeight="1" x14ac:dyDescent="0.15">
      <c r="J44"/>
      <c r="K44"/>
      <c r="Y44"/>
      <c r="AC44"/>
      <c r="AG44"/>
    </row>
    <row r="45" spans="4:33" ht="15" customHeight="1" x14ac:dyDescent="0.15">
      <c r="J45"/>
      <c r="K45"/>
      <c r="Y45"/>
      <c r="AC45"/>
      <c r="AG45"/>
    </row>
    <row r="46" spans="4:33" ht="15" customHeight="1" x14ac:dyDescent="0.15">
      <c r="J46"/>
      <c r="K46"/>
      <c r="Y46"/>
      <c r="AC46"/>
      <c r="AG46"/>
    </row>
    <row r="47" spans="4:33" ht="15" customHeight="1" x14ac:dyDescent="0.15">
      <c r="J47"/>
      <c r="K47"/>
      <c r="Y47"/>
      <c r="AC47"/>
      <c r="AG47"/>
    </row>
    <row r="48" spans="4:33" ht="15" customHeight="1" x14ac:dyDescent="0.15">
      <c r="J48"/>
      <c r="K48"/>
      <c r="Y48"/>
      <c r="AC48"/>
      <c r="AG48"/>
    </row>
    <row r="49" spans="10:33" ht="15" customHeight="1" x14ac:dyDescent="0.15">
      <c r="Y49"/>
      <c r="AC49"/>
      <c r="AG49"/>
    </row>
    <row r="50" spans="10:33" ht="15" customHeight="1" x14ac:dyDescent="0.15">
      <c r="Y50"/>
      <c r="AC50"/>
      <c r="AG50"/>
    </row>
    <row r="51" spans="10:33" ht="15" customHeight="1" x14ac:dyDescent="0.15">
      <c r="J51"/>
      <c r="K51"/>
      <c r="Y51"/>
      <c r="AC51"/>
      <c r="AG51"/>
    </row>
    <row r="52" spans="10:33" ht="15" customHeight="1" x14ac:dyDescent="0.15">
      <c r="J52"/>
      <c r="K52"/>
      <c r="Y52"/>
      <c r="AC52"/>
      <c r="AG52"/>
    </row>
    <row r="53" spans="10:33" ht="15" customHeight="1" x14ac:dyDescent="0.15">
      <c r="J53"/>
      <c r="K53"/>
      <c r="Y53"/>
      <c r="AC53"/>
      <c r="AG53"/>
    </row>
    <row r="54" spans="10:33" ht="15" customHeight="1" x14ac:dyDescent="0.15">
      <c r="J54"/>
      <c r="K54"/>
      <c r="Y54"/>
      <c r="AC54"/>
      <c r="AG54"/>
    </row>
    <row r="55" spans="10:33" ht="15" customHeight="1" x14ac:dyDescent="0.15">
      <c r="J55"/>
      <c r="K55"/>
      <c r="Y55"/>
      <c r="AC55"/>
      <c r="AG55"/>
    </row>
    <row r="56" spans="10:33" ht="15" customHeight="1" x14ac:dyDescent="0.15">
      <c r="J56"/>
      <c r="K56"/>
      <c r="Y56"/>
      <c r="AC56"/>
      <c r="AG56"/>
    </row>
    <row r="57" spans="10:33" ht="15" customHeight="1" x14ac:dyDescent="0.15">
      <c r="J57"/>
      <c r="K57"/>
      <c r="Y57"/>
      <c r="AC57"/>
      <c r="AG57"/>
    </row>
    <row r="58" spans="10:33" ht="15" customHeight="1" x14ac:dyDescent="0.15">
      <c r="J58"/>
      <c r="K58"/>
      <c r="Y58"/>
      <c r="AC58"/>
      <c r="AG58"/>
    </row>
    <row r="59" spans="10:33" ht="15" customHeight="1" x14ac:dyDescent="0.15">
      <c r="J59"/>
      <c r="K59"/>
      <c r="Y59"/>
      <c r="AC59"/>
      <c r="AG59"/>
    </row>
    <row r="60" spans="10:33" ht="15" customHeight="1" x14ac:dyDescent="0.15">
      <c r="J60"/>
      <c r="K60"/>
      <c r="Y60"/>
      <c r="AC60"/>
      <c r="AG60"/>
    </row>
    <row r="61" spans="10:33" ht="15" customHeight="1" x14ac:dyDescent="0.15">
      <c r="J61"/>
      <c r="K61"/>
      <c r="Y61"/>
      <c r="AC61"/>
      <c r="AG61"/>
    </row>
    <row r="62" spans="10:33" ht="15" customHeight="1" x14ac:dyDescent="0.15">
      <c r="J62"/>
      <c r="K62"/>
      <c r="Y62"/>
      <c r="AC62"/>
      <c r="AG62"/>
    </row>
    <row r="63" spans="10:33" ht="15" customHeight="1" x14ac:dyDescent="0.15">
      <c r="J63"/>
      <c r="K63"/>
      <c r="Y63"/>
      <c r="AC63"/>
      <c r="AG63"/>
    </row>
    <row r="64" spans="10:33" ht="15" customHeight="1" x14ac:dyDescent="0.15">
      <c r="J64"/>
      <c r="K64"/>
      <c r="Y64"/>
      <c r="AC64"/>
      <c r="AG64"/>
    </row>
    <row r="65" spans="10:33" ht="15" customHeight="1" x14ac:dyDescent="0.15">
      <c r="J65"/>
      <c r="K65"/>
      <c r="Y65"/>
      <c r="AC65"/>
      <c r="AG65"/>
    </row>
    <row r="66" spans="10:33" ht="15" customHeight="1" x14ac:dyDescent="0.15">
      <c r="J66"/>
      <c r="K66"/>
      <c r="Y66"/>
      <c r="AC66"/>
      <c r="AG66"/>
    </row>
    <row r="67" spans="10:33" ht="15" customHeight="1" x14ac:dyDescent="0.15">
      <c r="J67"/>
      <c r="K67"/>
      <c r="Y67"/>
      <c r="AC67"/>
      <c r="AG67"/>
    </row>
    <row r="68" spans="10:33" ht="15" customHeight="1" x14ac:dyDescent="0.15">
      <c r="J68"/>
      <c r="K68"/>
      <c r="Y68"/>
      <c r="AC68"/>
      <c r="AG68"/>
    </row>
    <row r="69" spans="10:33" ht="15" customHeight="1" x14ac:dyDescent="0.15">
      <c r="J69"/>
      <c r="K69"/>
      <c r="Y69"/>
      <c r="AC69"/>
      <c r="AG69"/>
    </row>
    <row r="70" spans="10:33" ht="15" customHeight="1" x14ac:dyDescent="0.15">
      <c r="J70"/>
      <c r="K70"/>
      <c r="Y70"/>
      <c r="AC70"/>
      <c r="AG70"/>
    </row>
    <row r="71" spans="10:33" ht="15" customHeight="1" x14ac:dyDescent="0.15">
      <c r="J71"/>
      <c r="K71"/>
      <c r="Y71"/>
      <c r="AC71"/>
      <c r="AG71"/>
    </row>
    <row r="72" spans="10:33" ht="15" customHeight="1" x14ac:dyDescent="0.15">
      <c r="J72"/>
      <c r="K72"/>
      <c r="Y72"/>
      <c r="AC72"/>
      <c r="AG72"/>
    </row>
    <row r="73" spans="10:33" ht="15" customHeight="1" x14ac:dyDescent="0.15">
      <c r="J73"/>
      <c r="K73"/>
      <c r="Y73"/>
      <c r="AC73"/>
      <c r="AG73"/>
    </row>
    <row r="74" spans="10:33" ht="15" customHeight="1" x14ac:dyDescent="0.15">
      <c r="J74"/>
      <c r="K74"/>
      <c r="Y74"/>
      <c r="AC74"/>
      <c r="AG74"/>
    </row>
    <row r="75" spans="10:33" ht="15" customHeight="1" x14ac:dyDescent="0.15">
      <c r="J75"/>
      <c r="K75"/>
      <c r="Y75"/>
      <c r="AC75"/>
      <c r="AG75"/>
    </row>
    <row r="76" spans="10:33" ht="15" customHeight="1" x14ac:dyDescent="0.15">
      <c r="J76"/>
      <c r="K76"/>
    </row>
    <row r="77" spans="10:33" ht="15" customHeight="1" x14ac:dyDescent="0.15">
      <c r="J77"/>
      <c r="K77"/>
    </row>
    <row r="78" spans="10:33" ht="15" customHeight="1" x14ac:dyDescent="0.15">
      <c r="J78"/>
      <c r="K78"/>
    </row>
    <row r="79" spans="10:33" ht="15" customHeight="1" x14ac:dyDescent="0.15">
      <c r="J79"/>
      <c r="K79"/>
    </row>
    <row r="80" spans="10:33" ht="15" customHeight="1" x14ac:dyDescent="0.15">
      <c r="J80"/>
      <c r="K80"/>
    </row>
    <row r="81" spans="10:33" ht="15" customHeight="1" x14ac:dyDescent="0.15">
      <c r="J81"/>
      <c r="K81"/>
    </row>
    <row r="82" spans="10:33" ht="15" customHeight="1" x14ac:dyDescent="0.15">
      <c r="J82"/>
      <c r="K82"/>
    </row>
    <row r="83" spans="10:33" ht="15" customHeight="1" x14ac:dyDescent="0.15">
      <c r="J83"/>
      <c r="K83"/>
      <c r="Y83"/>
      <c r="AC83"/>
      <c r="AG83"/>
    </row>
    <row r="84" spans="10:33" ht="15" customHeight="1" x14ac:dyDescent="0.15">
      <c r="J84"/>
      <c r="K84"/>
      <c r="Y84"/>
      <c r="AC84"/>
      <c r="AG84"/>
    </row>
    <row r="85" spans="10:33" ht="15" customHeight="1" x14ac:dyDescent="0.15">
      <c r="J85"/>
      <c r="K85"/>
      <c r="Y85"/>
      <c r="AC85"/>
      <c r="AG85"/>
    </row>
    <row r="86" spans="10:33" ht="15" customHeight="1" x14ac:dyDescent="0.15">
      <c r="J86"/>
      <c r="K86"/>
      <c r="Y86"/>
      <c r="AC86"/>
      <c r="AG86"/>
    </row>
    <row r="87" spans="10:33" ht="15" customHeight="1" x14ac:dyDescent="0.15">
      <c r="J87"/>
      <c r="K87"/>
      <c r="Y87"/>
      <c r="AC87"/>
      <c r="AG87"/>
    </row>
    <row r="88" spans="10:33" ht="15" customHeight="1" x14ac:dyDescent="0.15">
      <c r="J88"/>
      <c r="K88"/>
      <c r="Y88"/>
      <c r="AC88"/>
      <c r="AG88"/>
    </row>
    <row r="89" spans="10:33" ht="15" customHeight="1" x14ac:dyDescent="0.15">
      <c r="J89"/>
      <c r="K89"/>
      <c r="Y89"/>
      <c r="AC89"/>
      <c r="AG89"/>
    </row>
    <row r="90" spans="10:33" ht="15" customHeight="1" x14ac:dyDescent="0.15">
      <c r="J90"/>
      <c r="K90"/>
      <c r="Y90"/>
      <c r="AC90"/>
      <c r="AG90"/>
    </row>
    <row r="91" spans="10:33" ht="15" customHeight="1" x14ac:dyDescent="0.15">
      <c r="J91"/>
      <c r="K91"/>
      <c r="Y91"/>
      <c r="AC91"/>
      <c r="AG91"/>
    </row>
    <row r="92" spans="10:33" ht="15" customHeight="1" x14ac:dyDescent="0.15">
      <c r="J92"/>
      <c r="K92"/>
      <c r="Y92"/>
      <c r="AC92"/>
      <c r="AG92"/>
    </row>
    <row r="93" spans="10:33" ht="15" customHeight="1" x14ac:dyDescent="0.15">
      <c r="J93"/>
      <c r="K93"/>
      <c r="Y93"/>
      <c r="AC93"/>
      <c r="AG93"/>
    </row>
    <row r="94" spans="10:33" ht="15" customHeight="1" x14ac:dyDescent="0.15">
      <c r="J94"/>
      <c r="K94"/>
      <c r="Y94"/>
      <c r="AC94"/>
      <c r="AG94"/>
    </row>
    <row r="95" spans="10:33" ht="15" customHeight="1" x14ac:dyDescent="0.15">
      <c r="J95"/>
      <c r="K95"/>
      <c r="Y95"/>
      <c r="AC95"/>
      <c r="AG95"/>
    </row>
    <row r="96" spans="10:33" ht="15" customHeight="1" x14ac:dyDescent="0.15">
      <c r="J96"/>
      <c r="K96"/>
      <c r="Y96"/>
      <c r="AC96"/>
      <c r="AG96"/>
    </row>
    <row r="97" spans="10:33" ht="15" customHeight="1" x14ac:dyDescent="0.15">
      <c r="J97"/>
      <c r="K97"/>
      <c r="Y97"/>
      <c r="AC97"/>
      <c r="AG97"/>
    </row>
    <row r="98" spans="10:33" ht="15" customHeight="1" x14ac:dyDescent="0.15">
      <c r="J98"/>
      <c r="K98"/>
      <c r="Y98"/>
      <c r="AC98"/>
      <c r="AG98"/>
    </row>
    <row r="99" spans="10:33" ht="15" customHeight="1" x14ac:dyDescent="0.15">
      <c r="J99"/>
      <c r="K99"/>
      <c r="Y99"/>
      <c r="AC99"/>
      <c r="AG99"/>
    </row>
    <row r="100" spans="10:33" ht="15" customHeight="1" x14ac:dyDescent="0.15">
      <c r="J100"/>
      <c r="K100"/>
      <c r="Y100"/>
      <c r="AC100"/>
      <c r="AG100"/>
    </row>
    <row r="101" spans="10:33" ht="15" customHeight="1" x14ac:dyDescent="0.15">
      <c r="J101"/>
      <c r="K101"/>
      <c r="Y101"/>
      <c r="AC101"/>
      <c r="AG101"/>
    </row>
    <row r="102" spans="10:33" ht="15" customHeight="1" x14ac:dyDescent="0.15">
      <c r="J102"/>
      <c r="K102"/>
      <c r="Y102"/>
      <c r="AC102"/>
      <c r="AG102"/>
    </row>
    <row r="103" spans="10:33" ht="15" customHeight="1" x14ac:dyDescent="0.15">
      <c r="J103"/>
      <c r="K103"/>
      <c r="Y103"/>
      <c r="AC103"/>
      <c r="AG103"/>
    </row>
    <row r="104" spans="10:33" ht="15" customHeight="1" x14ac:dyDescent="0.15">
      <c r="J104"/>
      <c r="K104"/>
      <c r="Y104"/>
      <c r="AC104"/>
      <c r="AG104"/>
    </row>
    <row r="105" spans="10:33" ht="15" customHeight="1" x14ac:dyDescent="0.15">
      <c r="J105"/>
      <c r="K105"/>
      <c r="Y105"/>
      <c r="AC105"/>
      <c r="AG105"/>
    </row>
    <row r="106" spans="10:33" ht="15" customHeight="1" x14ac:dyDescent="0.15">
      <c r="J106"/>
      <c r="K106"/>
      <c r="Y106"/>
      <c r="AC106"/>
      <c r="AG106"/>
    </row>
    <row r="107" spans="10:33" ht="15" customHeight="1" x14ac:dyDescent="0.15">
      <c r="J107"/>
      <c r="K107"/>
      <c r="Y107"/>
      <c r="AC107"/>
      <c r="AG107"/>
    </row>
    <row r="108" spans="10:33" ht="15" customHeight="1" x14ac:dyDescent="0.15">
      <c r="J108"/>
      <c r="K108"/>
      <c r="Y108"/>
      <c r="AC108"/>
      <c r="AG108"/>
    </row>
    <row r="109" spans="10:33" ht="15" customHeight="1" x14ac:dyDescent="0.15">
      <c r="J109"/>
      <c r="K109"/>
      <c r="Y109"/>
      <c r="AC109"/>
      <c r="AG109"/>
    </row>
    <row r="110" spans="10:33" ht="15" customHeight="1" x14ac:dyDescent="0.15">
      <c r="J110"/>
      <c r="K110"/>
      <c r="Y110"/>
      <c r="AC110"/>
      <c r="AG110"/>
    </row>
    <row r="111" spans="10:33" ht="15" customHeight="1" x14ac:dyDescent="0.15">
      <c r="J111"/>
      <c r="K111"/>
      <c r="Y111"/>
      <c r="AC111"/>
      <c r="AG111"/>
    </row>
    <row r="112" spans="10:33" ht="15" customHeight="1" x14ac:dyDescent="0.15">
      <c r="J112"/>
      <c r="K112"/>
      <c r="Y112"/>
      <c r="AC112"/>
      <c r="AG112"/>
    </row>
    <row r="113" spans="10:33" ht="15" customHeight="1" x14ac:dyDescent="0.15">
      <c r="J113"/>
      <c r="K113"/>
      <c r="Y113"/>
      <c r="AC113"/>
      <c r="AG113"/>
    </row>
    <row r="114" spans="10:33" ht="15" customHeight="1" x14ac:dyDescent="0.15">
      <c r="J114"/>
      <c r="K114"/>
      <c r="Y114"/>
      <c r="AC114"/>
      <c r="AG114"/>
    </row>
    <row r="115" spans="10:33" ht="15" customHeight="1" x14ac:dyDescent="0.15">
      <c r="J115"/>
      <c r="K115"/>
      <c r="Y115"/>
      <c r="AC115"/>
      <c r="AG115"/>
    </row>
    <row r="116" spans="10:33" ht="15" customHeight="1" x14ac:dyDescent="0.15">
      <c r="J116"/>
      <c r="K116"/>
      <c r="Y116"/>
      <c r="AC116"/>
      <c r="AG116"/>
    </row>
    <row r="117" spans="10:33" ht="15" customHeight="1" x14ac:dyDescent="0.15">
      <c r="J117"/>
      <c r="K117"/>
      <c r="Y117"/>
      <c r="AC117"/>
      <c r="AG117"/>
    </row>
    <row r="118" spans="10:33" ht="15" customHeight="1" x14ac:dyDescent="0.15">
      <c r="J118"/>
      <c r="K118"/>
      <c r="Y118"/>
      <c r="AC118"/>
      <c r="AG118"/>
    </row>
    <row r="119" spans="10:33" ht="15" customHeight="1" x14ac:dyDescent="0.15">
      <c r="J119"/>
      <c r="K119"/>
      <c r="Y119"/>
      <c r="AC119"/>
      <c r="AG119"/>
    </row>
    <row r="120" spans="10:33" ht="15" customHeight="1" x14ac:dyDescent="0.15">
      <c r="J120"/>
      <c r="K120"/>
      <c r="Y120"/>
      <c r="AC120"/>
      <c r="AG120"/>
    </row>
    <row r="121" spans="10:33" ht="15" customHeight="1" x14ac:dyDescent="0.15">
      <c r="J121"/>
      <c r="K121"/>
      <c r="Y121"/>
      <c r="AC121"/>
      <c r="AG121"/>
    </row>
    <row r="122" spans="10:33" ht="15" customHeight="1" x14ac:dyDescent="0.15">
      <c r="J122"/>
      <c r="K122"/>
      <c r="Y122"/>
      <c r="AC122"/>
      <c r="AG122"/>
    </row>
    <row r="123" spans="10:33" ht="15" customHeight="1" x14ac:dyDescent="0.15">
      <c r="J123"/>
      <c r="K123"/>
      <c r="Y123"/>
      <c r="AC123"/>
      <c r="AG123"/>
    </row>
    <row r="124" spans="10:33" ht="15" customHeight="1" x14ac:dyDescent="0.15">
      <c r="J124"/>
      <c r="K124"/>
      <c r="Y124"/>
      <c r="AC124"/>
      <c r="AG124"/>
    </row>
    <row r="125" spans="10:33" ht="15" customHeight="1" x14ac:dyDescent="0.15">
      <c r="J125"/>
      <c r="K125"/>
      <c r="Y125"/>
      <c r="AC125"/>
      <c r="AG125"/>
    </row>
    <row r="126" spans="10:33" ht="15" customHeight="1" x14ac:dyDescent="0.15">
      <c r="J126"/>
      <c r="K126"/>
      <c r="Y126"/>
      <c r="AC126"/>
      <c r="AG126"/>
    </row>
    <row r="127" spans="10:33" ht="15" customHeight="1" x14ac:dyDescent="0.15">
      <c r="J127"/>
      <c r="K127"/>
      <c r="Y127"/>
      <c r="AC127"/>
      <c r="AG127"/>
    </row>
    <row r="128" spans="10:33" ht="15" customHeight="1" x14ac:dyDescent="0.15">
      <c r="J128"/>
      <c r="K128"/>
      <c r="Y128"/>
      <c r="AC128"/>
      <c r="AG128"/>
    </row>
    <row r="129" spans="10:33" ht="15" customHeight="1" x14ac:dyDescent="0.15">
      <c r="J129"/>
      <c r="K129"/>
      <c r="Y129"/>
      <c r="AC129"/>
      <c r="AG129"/>
    </row>
    <row r="130" spans="10:33" ht="15" customHeight="1" x14ac:dyDescent="0.15">
      <c r="J130"/>
      <c r="K130"/>
      <c r="Y130"/>
      <c r="AC130"/>
      <c r="AG130"/>
    </row>
    <row r="131" spans="10:33" ht="15" customHeight="1" x14ac:dyDescent="0.15">
      <c r="J131"/>
      <c r="K131"/>
      <c r="Y131"/>
      <c r="AC131"/>
      <c r="AG131"/>
    </row>
    <row r="132" spans="10:33" ht="15" customHeight="1" x14ac:dyDescent="0.15">
      <c r="J132"/>
      <c r="K132"/>
      <c r="Y132"/>
      <c r="AC132"/>
      <c r="AG132"/>
    </row>
    <row r="133" spans="10:33" ht="15" customHeight="1" x14ac:dyDescent="0.15">
      <c r="J133"/>
      <c r="K133"/>
      <c r="Y133"/>
      <c r="AC133"/>
      <c r="AG133"/>
    </row>
    <row r="134" spans="10:33" ht="15" customHeight="1" x14ac:dyDescent="0.15">
      <c r="J134"/>
      <c r="K134"/>
      <c r="Y134"/>
      <c r="AC134"/>
      <c r="AG134"/>
    </row>
    <row r="135" spans="10:33" ht="15" customHeight="1" x14ac:dyDescent="0.15">
      <c r="J135"/>
      <c r="K135"/>
      <c r="Y135"/>
      <c r="AC135"/>
      <c r="AG135"/>
    </row>
    <row r="136" spans="10:33" ht="15" customHeight="1" x14ac:dyDescent="0.15">
      <c r="J136"/>
      <c r="K136"/>
      <c r="Y136"/>
      <c r="AC136"/>
      <c r="AG136"/>
    </row>
    <row r="137" spans="10:33" ht="15" customHeight="1" x14ac:dyDescent="0.15">
      <c r="J137"/>
      <c r="K137"/>
      <c r="Y137"/>
      <c r="AC137"/>
      <c r="AG137"/>
    </row>
    <row r="138" spans="10:33" ht="15" customHeight="1" x14ac:dyDescent="0.15">
      <c r="J138"/>
      <c r="K138"/>
      <c r="Y138"/>
      <c r="AC138"/>
      <c r="AG138"/>
    </row>
    <row r="139" spans="10:33" ht="15" customHeight="1" x14ac:dyDescent="0.15">
      <c r="J139"/>
      <c r="K139"/>
      <c r="Y139"/>
      <c r="AC139"/>
      <c r="AG139"/>
    </row>
    <row r="140" spans="10:33" ht="15" customHeight="1" x14ac:dyDescent="0.15">
      <c r="J140"/>
      <c r="K140"/>
      <c r="Y140"/>
      <c r="AC140"/>
      <c r="AG140"/>
    </row>
    <row r="141" spans="10:33" ht="15" customHeight="1" x14ac:dyDescent="0.15">
      <c r="J141"/>
      <c r="K141"/>
      <c r="Y141"/>
      <c r="AC141"/>
      <c r="AG141"/>
    </row>
    <row r="142" spans="10:33" ht="15" customHeight="1" x14ac:dyDescent="0.15">
      <c r="J142"/>
      <c r="K142"/>
      <c r="Y142"/>
      <c r="AC142"/>
      <c r="AG142"/>
    </row>
    <row r="143" spans="10:33" ht="15" customHeight="1" x14ac:dyDescent="0.15">
      <c r="J143"/>
      <c r="K143"/>
      <c r="Y143"/>
      <c r="AC143"/>
      <c r="AG143"/>
    </row>
    <row r="144" spans="10:33" ht="15" customHeight="1" x14ac:dyDescent="0.15">
      <c r="J144"/>
      <c r="K144"/>
      <c r="Y144"/>
      <c r="AC144"/>
      <c r="AG144"/>
    </row>
    <row r="145" spans="10:33" ht="15" customHeight="1" x14ac:dyDescent="0.15">
      <c r="J145"/>
      <c r="K145"/>
      <c r="Y145"/>
      <c r="AC145"/>
      <c r="AG145"/>
    </row>
    <row r="146" spans="10:33" ht="15" customHeight="1" x14ac:dyDescent="0.15">
      <c r="J146"/>
      <c r="K146"/>
      <c r="Y146"/>
      <c r="AC146"/>
      <c r="AG146"/>
    </row>
    <row r="147" spans="10:33" ht="15" customHeight="1" x14ac:dyDescent="0.15">
      <c r="J147"/>
      <c r="K147"/>
      <c r="Y147"/>
      <c r="AC147"/>
      <c r="AG147"/>
    </row>
    <row r="148" spans="10:33" ht="15" customHeight="1" x14ac:dyDescent="0.15">
      <c r="J148"/>
      <c r="K148"/>
      <c r="Y148"/>
      <c r="AC148"/>
      <c r="AG148"/>
    </row>
    <row r="149" spans="10:33" ht="15" customHeight="1" x14ac:dyDescent="0.15">
      <c r="J149"/>
      <c r="K149"/>
      <c r="Y149"/>
      <c r="AC149"/>
      <c r="AG149"/>
    </row>
    <row r="150" spans="10:33" ht="15" customHeight="1" x14ac:dyDescent="0.15">
      <c r="J150"/>
      <c r="K150"/>
      <c r="Y150"/>
      <c r="AC150"/>
      <c r="AG150"/>
    </row>
    <row r="151" spans="10:33" ht="15" customHeight="1" x14ac:dyDescent="0.15">
      <c r="J151"/>
      <c r="K151"/>
      <c r="Y151"/>
      <c r="AC151"/>
      <c r="AG151"/>
    </row>
    <row r="152" spans="10:33" ht="15" customHeight="1" x14ac:dyDescent="0.15">
      <c r="J152"/>
      <c r="K152"/>
      <c r="Y152"/>
      <c r="AC152"/>
      <c r="AG152"/>
    </row>
    <row r="153" spans="10:33" ht="15" customHeight="1" x14ac:dyDescent="0.15">
      <c r="J153"/>
      <c r="K153"/>
      <c r="Y153"/>
      <c r="AC153"/>
      <c r="AG153"/>
    </row>
    <row r="154" spans="10:33" ht="15" customHeight="1" x14ac:dyDescent="0.15">
      <c r="J154"/>
      <c r="K154"/>
      <c r="Y154"/>
      <c r="AC154"/>
      <c r="AG154"/>
    </row>
    <row r="155" spans="10:33" ht="15" customHeight="1" x14ac:dyDescent="0.15">
      <c r="J155"/>
      <c r="K155"/>
      <c r="Y155"/>
      <c r="AC155"/>
      <c r="AG155"/>
    </row>
    <row r="156" spans="10:33" ht="15" customHeight="1" x14ac:dyDescent="0.15">
      <c r="J156"/>
      <c r="K156"/>
      <c r="Y156"/>
      <c r="AC156"/>
      <c r="AG156"/>
    </row>
    <row r="157" spans="10:33" ht="15" customHeight="1" x14ac:dyDescent="0.15">
      <c r="J157"/>
      <c r="K157"/>
      <c r="Y157"/>
      <c r="AC157"/>
      <c r="AG157"/>
    </row>
    <row r="158" spans="10:33" ht="15" customHeight="1" x14ac:dyDescent="0.15">
      <c r="J158"/>
      <c r="K158"/>
      <c r="Y158"/>
      <c r="AC158"/>
      <c r="AG158"/>
    </row>
    <row r="159" spans="10:33" ht="15" customHeight="1" x14ac:dyDescent="0.15">
      <c r="J159"/>
      <c r="K159"/>
      <c r="Y159"/>
      <c r="AC159"/>
      <c r="AG159"/>
    </row>
    <row r="160" spans="10:33" ht="15" customHeight="1" x14ac:dyDescent="0.15">
      <c r="J160"/>
      <c r="K160"/>
      <c r="Y160"/>
      <c r="AC160"/>
      <c r="AG160"/>
    </row>
    <row r="161" spans="10:33" ht="15" customHeight="1" x14ac:dyDescent="0.15">
      <c r="J161"/>
      <c r="K161"/>
      <c r="Y161"/>
      <c r="AC161"/>
      <c r="AG161"/>
    </row>
    <row r="162" spans="10:33" ht="15" customHeight="1" x14ac:dyDescent="0.15">
      <c r="J162"/>
      <c r="K162"/>
      <c r="Y162"/>
      <c r="AC162"/>
      <c r="AG162"/>
    </row>
    <row r="163" spans="10:33" ht="15" customHeight="1" x14ac:dyDescent="0.15">
      <c r="J163"/>
      <c r="K163"/>
      <c r="Y163"/>
      <c r="AC163"/>
      <c r="AG163"/>
    </row>
    <row r="164" spans="10:33" ht="15" customHeight="1" x14ac:dyDescent="0.15">
      <c r="J164"/>
      <c r="K164"/>
      <c r="Y164"/>
      <c r="AC164"/>
      <c r="AG164"/>
    </row>
    <row r="165" spans="10:33" ht="15" customHeight="1" x14ac:dyDescent="0.15">
      <c r="J165"/>
      <c r="K165"/>
      <c r="Y165"/>
      <c r="AC165"/>
      <c r="AG165"/>
    </row>
    <row r="166" spans="10:33" ht="15" customHeight="1" x14ac:dyDescent="0.15">
      <c r="J166"/>
      <c r="K166"/>
      <c r="Y166"/>
      <c r="AC166"/>
      <c r="AG166"/>
    </row>
    <row r="167" spans="10:33" ht="15" customHeight="1" x14ac:dyDescent="0.15">
      <c r="J167"/>
      <c r="K167"/>
      <c r="Y167"/>
      <c r="AC167"/>
      <c r="AG167"/>
    </row>
    <row r="168" spans="10:33" ht="15" customHeight="1" x14ac:dyDescent="0.15">
      <c r="J168"/>
      <c r="K168"/>
      <c r="Y168"/>
      <c r="AC168"/>
      <c r="AG168"/>
    </row>
    <row r="169" spans="10:33" ht="15" customHeight="1" x14ac:dyDescent="0.15">
      <c r="J169"/>
      <c r="K169"/>
      <c r="Y169"/>
      <c r="AC169"/>
      <c r="AG169"/>
    </row>
    <row r="170" spans="10:33" ht="15" customHeight="1" x14ac:dyDescent="0.15">
      <c r="J170"/>
      <c r="K170"/>
      <c r="Y170"/>
      <c r="AC170"/>
      <c r="AG170"/>
    </row>
    <row r="171" spans="10:33" ht="15" customHeight="1" x14ac:dyDescent="0.15">
      <c r="J171"/>
      <c r="K171"/>
      <c r="Y171"/>
      <c r="AC171"/>
      <c r="AG171"/>
    </row>
    <row r="172" spans="10:33" ht="15" customHeight="1" x14ac:dyDescent="0.15">
      <c r="J172"/>
      <c r="K172"/>
      <c r="Y172"/>
      <c r="AC172"/>
      <c r="AG172"/>
    </row>
    <row r="173" spans="10:33" ht="15" customHeight="1" x14ac:dyDescent="0.15">
      <c r="J173"/>
      <c r="K173"/>
      <c r="Y173"/>
      <c r="AC173"/>
      <c r="AG173"/>
    </row>
    <row r="174" spans="10:33" ht="15" customHeight="1" x14ac:dyDescent="0.15">
      <c r="J174"/>
      <c r="K174"/>
      <c r="Y174"/>
      <c r="AC174"/>
      <c r="AG174"/>
    </row>
    <row r="175" spans="10:33" ht="15" customHeight="1" x14ac:dyDescent="0.15">
      <c r="J175"/>
      <c r="K175"/>
      <c r="Y175"/>
      <c r="AC175"/>
      <c r="AG175"/>
    </row>
    <row r="176" spans="10:33" ht="15" customHeight="1" x14ac:dyDescent="0.15">
      <c r="J176"/>
      <c r="K176"/>
      <c r="Y176"/>
      <c r="AC176"/>
      <c r="AG176"/>
    </row>
    <row r="177" spans="10:33" ht="15" customHeight="1" x14ac:dyDescent="0.15">
      <c r="J177"/>
      <c r="K177"/>
      <c r="Y177"/>
      <c r="AC177"/>
      <c r="AG177"/>
    </row>
    <row r="178" spans="10:33" ht="15" customHeight="1" x14ac:dyDescent="0.15">
      <c r="J178"/>
      <c r="K178"/>
      <c r="Y178"/>
      <c r="AC178"/>
      <c r="AG178"/>
    </row>
    <row r="179" spans="10:33" ht="15" customHeight="1" x14ac:dyDescent="0.15">
      <c r="J179"/>
      <c r="K179"/>
      <c r="Y179"/>
      <c r="AC179"/>
      <c r="AG179"/>
    </row>
    <row r="180" spans="10:33" ht="15" customHeight="1" x14ac:dyDescent="0.15">
      <c r="J180"/>
      <c r="K180"/>
      <c r="Y180"/>
      <c r="AC180"/>
      <c r="AG180"/>
    </row>
    <row r="181" spans="10:33" ht="15" customHeight="1" x14ac:dyDescent="0.15">
      <c r="J181"/>
      <c r="K181"/>
      <c r="Y181"/>
      <c r="AC181"/>
      <c r="AG181"/>
    </row>
    <row r="182" spans="10:33" ht="15" customHeight="1" x14ac:dyDescent="0.15">
      <c r="J182"/>
      <c r="K182"/>
      <c r="Y182"/>
      <c r="AC182"/>
      <c r="AG182"/>
    </row>
    <row r="183" spans="10:33" ht="15" customHeight="1" x14ac:dyDescent="0.15">
      <c r="J183"/>
      <c r="K183"/>
      <c r="Y183"/>
      <c r="AC183"/>
      <c r="AG183"/>
    </row>
    <row r="184" spans="10:33" ht="15" customHeight="1" x14ac:dyDescent="0.15">
      <c r="J184"/>
      <c r="K184"/>
      <c r="Y184"/>
      <c r="AC184"/>
      <c r="AG184"/>
    </row>
    <row r="185" spans="10:33" ht="15" customHeight="1" x14ac:dyDescent="0.15">
      <c r="J185"/>
      <c r="K185"/>
      <c r="Y185"/>
      <c r="AC185"/>
      <c r="AG18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indexed="51"/>
  </sheetPr>
  <dimension ref="A1:AG34"/>
  <sheetViews>
    <sheetView workbookViewId="0">
      <selection activeCell="A3" sqref="A3"/>
    </sheetView>
  </sheetViews>
  <sheetFormatPr baseColWidth="10" defaultRowHeight="13" x14ac:dyDescent="0.15"/>
  <cols>
    <col min="1" max="1" width="21.6640625" style="107" bestFit="1" customWidth="1"/>
    <col min="2" max="30" width="3.83203125" style="107" customWidth="1"/>
    <col min="31" max="33" width="2.33203125" style="107" customWidth="1"/>
    <col min="34" max="16384" width="10.83203125" style="107"/>
  </cols>
  <sheetData>
    <row r="1" spans="1:33" x14ac:dyDescent="0.15">
      <c r="A1" s="62" t="s">
        <v>118</v>
      </c>
      <c r="B1" s="187" t="s">
        <v>192</v>
      </c>
      <c r="C1" s="187" t="s">
        <v>193</v>
      </c>
      <c r="D1" s="187" t="s">
        <v>194</v>
      </c>
      <c r="E1" s="187" t="s">
        <v>195</v>
      </c>
      <c r="F1" s="187" t="s">
        <v>196</v>
      </c>
      <c r="G1" s="187" t="s">
        <v>197</v>
      </c>
      <c r="H1" s="187" t="s">
        <v>198</v>
      </c>
      <c r="I1" s="187" t="s">
        <v>199</v>
      </c>
      <c r="J1" s="187" t="s">
        <v>200</v>
      </c>
      <c r="K1" s="187" t="s">
        <v>201</v>
      </c>
      <c r="L1" s="187" t="s">
        <v>202</v>
      </c>
      <c r="M1" s="187" t="s">
        <v>203</v>
      </c>
      <c r="N1" s="187" t="s">
        <v>204</v>
      </c>
      <c r="O1" s="187" t="s">
        <v>205</v>
      </c>
      <c r="P1" s="187" t="s">
        <v>206</v>
      </c>
      <c r="Q1" s="187" t="s">
        <v>207</v>
      </c>
      <c r="R1" s="187" t="s">
        <v>208</v>
      </c>
      <c r="S1" s="187" t="s">
        <v>209</v>
      </c>
      <c r="T1" s="187" t="s">
        <v>210</v>
      </c>
      <c r="U1" s="187" t="s">
        <v>211</v>
      </c>
      <c r="V1" s="187" t="s">
        <v>212</v>
      </c>
      <c r="W1" s="187" t="s">
        <v>213</v>
      </c>
      <c r="X1" s="187" t="s">
        <v>214</v>
      </c>
      <c r="Y1" s="187" t="s">
        <v>215</v>
      </c>
      <c r="Z1" s="187" t="s">
        <v>216</v>
      </c>
      <c r="AA1" s="187" t="s">
        <v>217</v>
      </c>
      <c r="AB1" s="187" t="s">
        <v>218</v>
      </c>
      <c r="AC1" s="187" t="s">
        <v>219</v>
      </c>
      <c r="AD1" s="187" t="s">
        <v>220</v>
      </c>
      <c r="AE1" s="187" t="s">
        <v>221</v>
      </c>
      <c r="AF1" s="187" t="s">
        <v>222</v>
      </c>
      <c r="AG1" s="187" t="s">
        <v>223</v>
      </c>
    </row>
    <row r="2" spans="1:33" customFormat="1" x14ac:dyDescent="0.15">
      <c r="A2" s="186" t="s">
        <v>192</v>
      </c>
      <c r="B2" s="107">
        <v>0</v>
      </c>
      <c r="C2" s="107">
        <v>0</v>
      </c>
      <c r="D2" s="107">
        <v>0</v>
      </c>
      <c r="E2" s="107">
        <v>0</v>
      </c>
      <c r="F2" s="107">
        <v>0</v>
      </c>
      <c r="G2" s="107">
        <v>0</v>
      </c>
      <c r="H2" s="107">
        <v>0</v>
      </c>
      <c r="I2" s="107">
        <v>0</v>
      </c>
      <c r="J2" s="107">
        <v>0</v>
      </c>
      <c r="K2" s="107">
        <v>0</v>
      </c>
      <c r="L2" s="107">
        <v>0</v>
      </c>
      <c r="M2" s="107">
        <v>0</v>
      </c>
      <c r="N2" s="107">
        <v>0</v>
      </c>
      <c r="O2" s="107">
        <v>0</v>
      </c>
      <c r="P2" s="107">
        <v>0</v>
      </c>
      <c r="Q2" s="107">
        <v>0</v>
      </c>
      <c r="R2" s="107">
        <v>0</v>
      </c>
      <c r="S2" s="107">
        <v>0</v>
      </c>
      <c r="T2" s="107">
        <v>0</v>
      </c>
      <c r="U2" s="107">
        <v>0</v>
      </c>
      <c r="V2" s="107">
        <v>0</v>
      </c>
      <c r="W2" s="107">
        <v>0</v>
      </c>
      <c r="X2" s="107">
        <v>0</v>
      </c>
      <c r="Y2" s="107">
        <v>0</v>
      </c>
      <c r="Z2" s="107">
        <v>0</v>
      </c>
      <c r="AA2" s="107">
        <v>0</v>
      </c>
      <c r="AB2" s="107">
        <v>0</v>
      </c>
      <c r="AC2" s="107">
        <v>0</v>
      </c>
      <c r="AD2" s="107">
        <v>0</v>
      </c>
      <c r="AE2" s="107">
        <v>0</v>
      </c>
      <c r="AF2" s="107">
        <v>0</v>
      </c>
      <c r="AG2" s="107">
        <v>0</v>
      </c>
    </row>
    <row r="3" spans="1:33" customFormat="1" x14ac:dyDescent="0.15">
      <c r="A3" s="186" t="s">
        <v>193</v>
      </c>
      <c r="B3" s="107">
        <v>0</v>
      </c>
      <c r="C3" s="107">
        <v>0</v>
      </c>
      <c r="D3" s="107">
        <v>0</v>
      </c>
      <c r="E3" s="107">
        <v>0</v>
      </c>
      <c r="F3" s="107">
        <v>0</v>
      </c>
      <c r="G3" s="107">
        <v>0</v>
      </c>
      <c r="H3" s="107">
        <v>0</v>
      </c>
      <c r="I3" s="107">
        <v>0</v>
      </c>
      <c r="J3" s="107">
        <v>0</v>
      </c>
      <c r="K3" s="107">
        <v>0</v>
      </c>
      <c r="L3" s="107">
        <v>0</v>
      </c>
      <c r="M3" s="107">
        <v>0</v>
      </c>
      <c r="N3" s="107">
        <v>0</v>
      </c>
      <c r="O3" s="107">
        <v>0</v>
      </c>
      <c r="P3" s="107">
        <v>0</v>
      </c>
      <c r="Q3" s="107">
        <v>0</v>
      </c>
      <c r="R3" s="107">
        <v>0</v>
      </c>
      <c r="S3" s="107">
        <v>0</v>
      </c>
      <c r="T3" s="107">
        <v>0</v>
      </c>
      <c r="U3" s="107">
        <v>0</v>
      </c>
      <c r="V3" s="107">
        <v>0</v>
      </c>
      <c r="W3" s="107">
        <v>0</v>
      </c>
      <c r="X3" s="107">
        <v>0</v>
      </c>
      <c r="Y3" s="107">
        <v>0</v>
      </c>
      <c r="Z3" s="107">
        <v>0</v>
      </c>
      <c r="AA3" s="107">
        <v>0</v>
      </c>
      <c r="AB3" s="107">
        <v>0</v>
      </c>
      <c r="AC3" s="107">
        <v>0</v>
      </c>
      <c r="AD3" s="107">
        <v>0</v>
      </c>
      <c r="AE3" s="107">
        <v>0</v>
      </c>
      <c r="AF3" s="107">
        <v>0</v>
      </c>
      <c r="AG3" s="107">
        <v>0</v>
      </c>
    </row>
    <row r="4" spans="1:33" customFormat="1" x14ac:dyDescent="0.15">
      <c r="A4" s="186" t="s">
        <v>194</v>
      </c>
      <c r="B4" s="107">
        <v>0</v>
      </c>
      <c r="C4" s="107">
        <v>0</v>
      </c>
      <c r="D4" s="107">
        <v>0</v>
      </c>
      <c r="E4" s="107">
        <v>0</v>
      </c>
      <c r="F4" s="107">
        <v>0</v>
      </c>
      <c r="G4" s="107">
        <v>0</v>
      </c>
      <c r="H4" s="107">
        <v>0</v>
      </c>
      <c r="I4" s="107">
        <v>0</v>
      </c>
      <c r="J4" s="107">
        <v>0</v>
      </c>
      <c r="K4" s="107">
        <v>0</v>
      </c>
      <c r="L4" s="107">
        <v>0</v>
      </c>
      <c r="M4" s="107">
        <v>0</v>
      </c>
      <c r="N4" s="107">
        <v>0</v>
      </c>
      <c r="O4" s="107">
        <v>0</v>
      </c>
      <c r="P4" s="107">
        <v>0</v>
      </c>
      <c r="Q4" s="107">
        <v>0</v>
      </c>
      <c r="R4" s="107">
        <v>0</v>
      </c>
      <c r="S4" s="107">
        <v>0</v>
      </c>
      <c r="T4" s="107">
        <v>0</v>
      </c>
      <c r="U4" s="107">
        <v>0</v>
      </c>
      <c r="V4" s="107">
        <v>0</v>
      </c>
      <c r="W4" s="107">
        <v>0</v>
      </c>
      <c r="X4" s="107">
        <v>0</v>
      </c>
      <c r="Y4" s="107">
        <v>0</v>
      </c>
      <c r="Z4" s="107">
        <v>0</v>
      </c>
      <c r="AA4" s="107">
        <v>0</v>
      </c>
      <c r="AB4" s="107">
        <v>0</v>
      </c>
      <c r="AC4" s="107">
        <v>0</v>
      </c>
      <c r="AD4" s="107">
        <v>0</v>
      </c>
      <c r="AE4" s="107">
        <v>0</v>
      </c>
      <c r="AF4" s="107">
        <v>0</v>
      </c>
      <c r="AG4" s="107">
        <v>0</v>
      </c>
    </row>
    <row r="5" spans="1:33" customFormat="1" x14ac:dyDescent="0.15">
      <c r="A5" s="186" t="s">
        <v>195</v>
      </c>
      <c r="B5" s="107">
        <v>0</v>
      </c>
      <c r="C5" s="107">
        <v>0</v>
      </c>
      <c r="D5" s="107">
        <v>0</v>
      </c>
      <c r="E5" s="107">
        <v>0</v>
      </c>
      <c r="F5" s="107">
        <v>0</v>
      </c>
      <c r="G5" s="107">
        <v>0</v>
      </c>
      <c r="H5" s="107">
        <v>0</v>
      </c>
      <c r="I5" s="107">
        <v>0</v>
      </c>
      <c r="J5" s="107">
        <v>0</v>
      </c>
      <c r="K5" s="107">
        <v>0</v>
      </c>
      <c r="L5" s="107">
        <v>0</v>
      </c>
      <c r="M5" s="107">
        <v>0</v>
      </c>
      <c r="N5" s="107">
        <v>0</v>
      </c>
      <c r="O5" s="107">
        <v>0</v>
      </c>
      <c r="P5" s="107">
        <v>0</v>
      </c>
      <c r="Q5" s="107">
        <v>0</v>
      </c>
      <c r="R5" s="107">
        <v>0</v>
      </c>
      <c r="S5" s="107">
        <v>0</v>
      </c>
      <c r="T5" s="107">
        <v>0</v>
      </c>
      <c r="U5" s="107">
        <v>0</v>
      </c>
      <c r="V5" s="107">
        <v>0</v>
      </c>
      <c r="W5" s="107">
        <v>0</v>
      </c>
      <c r="X5" s="107">
        <v>0</v>
      </c>
      <c r="Y5" s="107">
        <v>0</v>
      </c>
      <c r="Z5" s="107">
        <v>0</v>
      </c>
      <c r="AA5" s="107">
        <v>0</v>
      </c>
      <c r="AB5" s="107">
        <v>0</v>
      </c>
      <c r="AC5" s="107">
        <v>0</v>
      </c>
      <c r="AD5" s="107">
        <v>0</v>
      </c>
      <c r="AE5" s="107">
        <v>0</v>
      </c>
      <c r="AF5" s="107">
        <v>0</v>
      </c>
      <c r="AG5" s="107">
        <v>0</v>
      </c>
    </row>
    <row r="6" spans="1:33" customFormat="1" x14ac:dyDescent="0.15">
      <c r="A6" s="186" t="s">
        <v>196</v>
      </c>
      <c r="B6" s="107">
        <v>0</v>
      </c>
      <c r="C6" s="107">
        <v>0.8</v>
      </c>
      <c r="D6" s="107">
        <v>0.8</v>
      </c>
      <c r="E6" s="107">
        <v>0</v>
      </c>
      <c r="F6" s="107">
        <v>0</v>
      </c>
      <c r="G6" s="107">
        <v>0</v>
      </c>
      <c r="H6" s="107">
        <v>0</v>
      </c>
      <c r="I6" s="107">
        <v>0</v>
      </c>
      <c r="J6" s="107">
        <v>0</v>
      </c>
      <c r="K6" s="107">
        <v>0</v>
      </c>
      <c r="L6" s="107">
        <v>0</v>
      </c>
      <c r="M6" s="107">
        <v>0</v>
      </c>
      <c r="N6" s="107">
        <v>0</v>
      </c>
      <c r="O6" s="107">
        <v>0</v>
      </c>
      <c r="P6" s="107">
        <v>0</v>
      </c>
      <c r="Q6" s="107">
        <v>0</v>
      </c>
      <c r="R6" s="107">
        <v>0</v>
      </c>
      <c r="S6" s="107">
        <v>0</v>
      </c>
      <c r="T6" s="107">
        <v>0</v>
      </c>
      <c r="U6" s="107">
        <v>0</v>
      </c>
      <c r="V6" s="107">
        <v>0</v>
      </c>
      <c r="W6" s="107">
        <v>0</v>
      </c>
      <c r="X6" s="107">
        <v>0</v>
      </c>
      <c r="Y6" s="107">
        <v>0</v>
      </c>
      <c r="Z6" s="107">
        <v>0</v>
      </c>
      <c r="AA6" s="107">
        <v>0</v>
      </c>
      <c r="AB6" s="107">
        <v>0</v>
      </c>
      <c r="AC6" s="107">
        <v>0</v>
      </c>
      <c r="AD6" s="107">
        <v>0</v>
      </c>
      <c r="AE6" s="107">
        <v>0</v>
      </c>
      <c r="AF6" s="107">
        <v>0</v>
      </c>
      <c r="AG6" s="107">
        <v>0</v>
      </c>
    </row>
    <row r="7" spans="1:33" customFormat="1" x14ac:dyDescent="0.15">
      <c r="A7" s="186" t="s">
        <v>197</v>
      </c>
      <c r="B7" s="107">
        <v>0.8</v>
      </c>
      <c r="C7" s="107">
        <v>0.8</v>
      </c>
      <c r="D7" s="107">
        <v>0</v>
      </c>
      <c r="E7" s="107">
        <v>0.8</v>
      </c>
      <c r="F7" s="107">
        <v>0.8</v>
      </c>
      <c r="G7" s="107">
        <v>0.8</v>
      </c>
      <c r="H7" s="107">
        <v>0.8</v>
      </c>
      <c r="I7" s="107">
        <v>0.8</v>
      </c>
      <c r="J7" s="107">
        <v>0.8</v>
      </c>
      <c r="K7" s="107">
        <v>0</v>
      </c>
      <c r="L7" s="107">
        <v>0</v>
      </c>
      <c r="M7" s="107">
        <v>0.8</v>
      </c>
      <c r="N7" s="107">
        <v>0.8</v>
      </c>
      <c r="O7" s="107">
        <v>0.8</v>
      </c>
      <c r="P7" s="107">
        <v>0</v>
      </c>
      <c r="Q7" s="107">
        <v>0</v>
      </c>
      <c r="R7" s="107">
        <v>0</v>
      </c>
      <c r="S7" s="107">
        <v>0</v>
      </c>
      <c r="T7" s="107">
        <v>0.8</v>
      </c>
      <c r="U7" s="107">
        <v>0.8</v>
      </c>
      <c r="V7" s="107">
        <v>0</v>
      </c>
      <c r="W7" s="107">
        <v>0</v>
      </c>
      <c r="X7" s="107">
        <v>0</v>
      </c>
      <c r="Y7" s="107">
        <v>0</v>
      </c>
      <c r="Z7" s="107">
        <v>0</v>
      </c>
      <c r="AA7" s="107">
        <v>0</v>
      </c>
      <c r="AB7" s="107">
        <v>0</v>
      </c>
      <c r="AC7" s="107">
        <v>0</v>
      </c>
      <c r="AD7" s="107">
        <v>0</v>
      </c>
      <c r="AE7" s="107">
        <v>0</v>
      </c>
      <c r="AF7" s="107">
        <v>0</v>
      </c>
      <c r="AG7" s="107">
        <v>0</v>
      </c>
    </row>
    <row r="8" spans="1:33" customFormat="1" x14ac:dyDescent="0.15">
      <c r="A8" s="186" t="s">
        <v>198</v>
      </c>
      <c r="B8" s="107">
        <v>0</v>
      </c>
      <c r="C8" s="107">
        <v>0.8</v>
      </c>
      <c r="D8" s="107">
        <v>0.8</v>
      </c>
      <c r="E8" s="107">
        <v>0</v>
      </c>
      <c r="F8" s="107">
        <v>0</v>
      </c>
      <c r="G8" s="107">
        <v>0</v>
      </c>
      <c r="H8" s="107">
        <v>0</v>
      </c>
      <c r="I8" s="107">
        <v>0</v>
      </c>
      <c r="J8" s="107">
        <v>0</v>
      </c>
      <c r="K8" s="107">
        <v>0</v>
      </c>
      <c r="L8" s="107">
        <v>0</v>
      </c>
      <c r="M8" s="107">
        <v>0</v>
      </c>
      <c r="N8" s="107">
        <v>0</v>
      </c>
      <c r="O8" s="107">
        <v>0</v>
      </c>
      <c r="P8" s="107">
        <v>0</v>
      </c>
      <c r="Q8" s="107">
        <v>0</v>
      </c>
      <c r="R8" s="107">
        <v>0</v>
      </c>
      <c r="S8" s="107">
        <v>0</v>
      </c>
      <c r="T8" s="107">
        <v>0</v>
      </c>
      <c r="U8" s="107">
        <v>0</v>
      </c>
      <c r="V8" s="107">
        <v>0</v>
      </c>
      <c r="W8" s="107">
        <v>0</v>
      </c>
      <c r="X8" s="107">
        <v>0</v>
      </c>
      <c r="Y8" s="107">
        <v>0</v>
      </c>
      <c r="Z8" s="107">
        <v>0</v>
      </c>
      <c r="AA8" s="107">
        <v>0</v>
      </c>
      <c r="AB8" s="107">
        <v>0</v>
      </c>
      <c r="AC8" s="107">
        <v>0</v>
      </c>
      <c r="AD8" s="107">
        <v>0</v>
      </c>
      <c r="AE8" s="107">
        <v>0</v>
      </c>
      <c r="AF8" s="107">
        <v>0</v>
      </c>
      <c r="AG8" s="107">
        <v>0</v>
      </c>
    </row>
    <row r="9" spans="1:33" customFormat="1" x14ac:dyDescent="0.15">
      <c r="A9" s="186" t="s">
        <v>199</v>
      </c>
      <c r="B9" s="107">
        <v>0</v>
      </c>
      <c r="C9" s="107">
        <v>0.8</v>
      </c>
      <c r="D9" s="107">
        <v>0.8</v>
      </c>
      <c r="E9" s="107">
        <v>0</v>
      </c>
      <c r="F9" s="107">
        <v>0.8</v>
      </c>
      <c r="G9" s="107">
        <v>0.8</v>
      </c>
      <c r="H9" s="107">
        <v>0.8</v>
      </c>
      <c r="I9" s="107">
        <v>0.8</v>
      </c>
      <c r="J9" s="107">
        <v>0.8</v>
      </c>
      <c r="K9" s="107">
        <v>0.8</v>
      </c>
      <c r="L9" s="107">
        <v>0</v>
      </c>
      <c r="M9" s="107">
        <v>0.8</v>
      </c>
      <c r="N9" s="107">
        <v>0</v>
      </c>
      <c r="O9" s="107">
        <v>0</v>
      </c>
      <c r="P9" s="107">
        <v>0</v>
      </c>
      <c r="Q9" s="107">
        <v>0</v>
      </c>
      <c r="R9" s="107">
        <v>0</v>
      </c>
      <c r="S9" s="107">
        <v>0</v>
      </c>
      <c r="T9" s="107">
        <v>0</v>
      </c>
      <c r="U9" s="107">
        <v>0</v>
      </c>
      <c r="V9" s="107">
        <v>0</v>
      </c>
      <c r="W9" s="107">
        <v>0</v>
      </c>
      <c r="X9" s="107">
        <v>0</v>
      </c>
      <c r="Y9" s="107">
        <v>0</v>
      </c>
      <c r="Z9" s="107">
        <v>0</v>
      </c>
      <c r="AA9" s="107">
        <v>0</v>
      </c>
      <c r="AB9" s="107">
        <v>0</v>
      </c>
      <c r="AC9" s="107">
        <v>0</v>
      </c>
      <c r="AD9" s="107">
        <v>0</v>
      </c>
      <c r="AE9" s="107">
        <v>0</v>
      </c>
      <c r="AF9" s="107">
        <v>0</v>
      </c>
      <c r="AG9" s="107">
        <v>0</v>
      </c>
    </row>
    <row r="10" spans="1:33" customFormat="1" x14ac:dyDescent="0.15">
      <c r="A10" s="186" t="s">
        <v>200</v>
      </c>
      <c r="B10" s="107">
        <v>0</v>
      </c>
      <c r="C10" s="107">
        <v>0.8</v>
      </c>
      <c r="D10" s="107">
        <v>0</v>
      </c>
      <c r="E10" s="107">
        <v>0</v>
      </c>
      <c r="F10" s="107">
        <v>0</v>
      </c>
      <c r="G10" s="107">
        <v>0</v>
      </c>
      <c r="H10" s="107">
        <v>0</v>
      </c>
      <c r="I10" s="107">
        <v>0</v>
      </c>
      <c r="J10" s="107">
        <v>0</v>
      </c>
      <c r="K10" s="107">
        <v>0</v>
      </c>
      <c r="L10" s="107">
        <v>0</v>
      </c>
      <c r="M10" s="107">
        <v>0</v>
      </c>
      <c r="N10" s="107">
        <v>0</v>
      </c>
      <c r="O10" s="107">
        <v>0</v>
      </c>
      <c r="P10" s="107">
        <v>0</v>
      </c>
      <c r="Q10" s="107">
        <v>0</v>
      </c>
      <c r="R10" s="107">
        <v>0</v>
      </c>
      <c r="S10" s="107">
        <v>0</v>
      </c>
      <c r="T10" s="107">
        <v>0</v>
      </c>
      <c r="U10" s="107">
        <v>0</v>
      </c>
      <c r="V10" s="107">
        <v>0</v>
      </c>
      <c r="W10" s="107">
        <v>0</v>
      </c>
      <c r="X10" s="107">
        <v>0</v>
      </c>
      <c r="Y10" s="107">
        <v>0</v>
      </c>
      <c r="Z10" s="107">
        <v>0</v>
      </c>
      <c r="AA10" s="107">
        <v>0</v>
      </c>
      <c r="AB10" s="107">
        <v>0</v>
      </c>
      <c r="AC10" s="107">
        <v>0</v>
      </c>
      <c r="AD10" s="107">
        <v>0</v>
      </c>
      <c r="AE10" s="107">
        <v>0</v>
      </c>
      <c r="AF10" s="107">
        <v>0</v>
      </c>
      <c r="AG10" s="107">
        <v>0</v>
      </c>
    </row>
    <row r="11" spans="1:33" customFormat="1" x14ac:dyDescent="0.15">
      <c r="A11" s="186" t="s">
        <v>201</v>
      </c>
      <c r="B11" s="107">
        <v>0</v>
      </c>
      <c r="C11" s="107">
        <v>0.8</v>
      </c>
      <c r="D11" s="107">
        <v>0</v>
      </c>
      <c r="E11" s="107">
        <v>0</v>
      </c>
      <c r="F11" s="107">
        <v>0.8</v>
      </c>
      <c r="G11" s="107">
        <v>0.8</v>
      </c>
      <c r="H11" s="107">
        <v>0.8</v>
      </c>
      <c r="I11" s="107">
        <v>0</v>
      </c>
      <c r="J11" s="107">
        <v>0.8</v>
      </c>
      <c r="K11" s="107">
        <v>0.8</v>
      </c>
      <c r="L11" s="107">
        <v>0</v>
      </c>
      <c r="M11" s="107">
        <v>0.8</v>
      </c>
      <c r="N11" s="107">
        <v>0</v>
      </c>
      <c r="O11" s="107">
        <v>0.8</v>
      </c>
      <c r="P11" s="107">
        <v>0</v>
      </c>
      <c r="Q11" s="107">
        <v>0</v>
      </c>
      <c r="R11" s="107">
        <v>0</v>
      </c>
      <c r="S11" s="107">
        <v>0</v>
      </c>
      <c r="T11" s="107">
        <v>0</v>
      </c>
      <c r="U11" s="107">
        <v>0</v>
      </c>
      <c r="V11" s="107">
        <v>0</v>
      </c>
      <c r="W11" s="107">
        <v>0</v>
      </c>
      <c r="X11" s="107">
        <v>0</v>
      </c>
      <c r="Y11" s="107">
        <v>0</v>
      </c>
      <c r="Z11" s="107">
        <v>0</v>
      </c>
      <c r="AA11" s="107">
        <v>0</v>
      </c>
      <c r="AB11" s="107">
        <v>0</v>
      </c>
      <c r="AC11" s="107">
        <v>0</v>
      </c>
      <c r="AD11" s="107">
        <v>0</v>
      </c>
      <c r="AE11" s="107">
        <v>0</v>
      </c>
      <c r="AF11" s="107">
        <v>0</v>
      </c>
      <c r="AG11" s="107">
        <v>0</v>
      </c>
    </row>
    <row r="12" spans="1:33" customFormat="1" x14ac:dyDescent="0.15">
      <c r="A12" s="186" t="s">
        <v>202</v>
      </c>
      <c r="B12" s="107">
        <v>0</v>
      </c>
      <c r="C12" s="107">
        <v>0.8</v>
      </c>
      <c r="D12" s="107">
        <v>0.8</v>
      </c>
      <c r="E12" s="107">
        <v>0</v>
      </c>
      <c r="F12" s="107">
        <v>0.8</v>
      </c>
      <c r="G12" s="107">
        <v>0.8</v>
      </c>
      <c r="H12" s="107">
        <v>0.8</v>
      </c>
      <c r="I12" s="107">
        <v>0</v>
      </c>
      <c r="J12" s="107">
        <v>0.8</v>
      </c>
      <c r="K12" s="107">
        <v>0</v>
      </c>
      <c r="L12" s="107">
        <v>0</v>
      </c>
      <c r="M12" s="107">
        <v>0.8</v>
      </c>
      <c r="N12" s="107">
        <v>0</v>
      </c>
      <c r="O12" s="107">
        <v>0</v>
      </c>
      <c r="P12" s="107">
        <v>0</v>
      </c>
      <c r="Q12" s="107">
        <v>0</v>
      </c>
      <c r="R12" s="107">
        <v>0</v>
      </c>
      <c r="S12" s="107">
        <v>0</v>
      </c>
      <c r="T12" s="107">
        <v>0</v>
      </c>
      <c r="U12" s="107">
        <v>0</v>
      </c>
      <c r="V12" s="107">
        <v>0</v>
      </c>
      <c r="W12" s="107">
        <v>0</v>
      </c>
      <c r="X12" s="107">
        <v>0</v>
      </c>
      <c r="Y12" s="107">
        <v>0</v>
      </c>
      <c r="Z12" s="107">
        <v>0</v>
      </c>
      <c r="AA12" s="107">
        <v>0</v>
      </c>
      <c r="AB12" s="107">
        <v>0</v>
      </c>
      <c r="AC12" s="107">
        <v>0</v>
      </c>
      <c r="AD12" s="107">
        <v>0</v>
      </c>
      <c r="AE12" s="107">
        <v>0</v>
      </c>
      <c r="AF12" s="107">
        <v>0</v>
      </c>
      <c r="AG12" s="107">
        <v>0</v>
      </c>
    </row>
    <row r="13" spans="1:33" customFormat="1" x14ac:dyDescent="0.15">
      <c r="A13" s="186" t="s">
        <v>203</v>
      </c>
      <c r="B13" s="107">
        <v>0</v>
      </c>
      <c r="C13" s="107">
        <v>0</v>
      </c>
      <c r="D13" s="107">
        <v>0</v>
      </c>
      <c r="E13" s="107">
        <v>0</v>
      </c>
      <c r="F13" s="107">
        <v>0.8</v>
      </c>
      <c r="G13" s="107">
        <v>0</v>
      </c>
      <c r="H13" s="107">
        <v>0.8</v>
      </c>
      <c r="I13" s="107">
        <v>0</v>
      </c>
      <c r="J13" s="107">
        <v>0</v>
      </c>
      <c r="K13" s="107">
        <v>0</v>
      </c>
      <c r="L13" s="107">
        <v>0</v>
      </c>
      <c r="M13" s="107">
        <v>0</v>
      </c>
      <c r="N13" s="107">
        <v>0</v>
      </c>
      <c r="O13" s="107">
        <v>0.8</v>
      </c>
      <c r="P13" s="107">
        <v>0</v>
      </c>
      <c r="Q13" s="107">
        <v>0</v>
      </c>
      <c r="R13" s="107">
        <v>0</v>
      </c>
      <c r="S13" s="107">
        <v>0</v>
      </c>
      <c r="T13" s="107">
        <v>0</v>
      </c>
      <c r="U13" s="107">
        <v>0</v>
      </c>
      <c r="V13" s="107">
        <v>0</v>
      </c>
      <c r="W13" s="107">
        <v>0</v>
      </c>
      <c r="X13" s="107">
        <v>0</v>
      </c>
      <c r="Y13" s="107">
        <v>0</v>
      </c>
      <c r="Z13" s="107">
        <v>0</v>
      </c>
      <c r="AA13" s="107">
        <v>0</v>
      </c>
      <c r="AB13" s="107">
        <v>0</v>
      </c>
      <c r="AC13" s="107">
        <v>0</v>
      </c>
      <c r="AD13" s="107">
        <v>0</v>
      </c>
      <c r="AE13" s="107">
        <v>0</v>
      </c>
      <c r="AF13" s="107">
        <v>0</v>
      </c>
      <c r="AG13" s="107">
        <v>0</v>
      </c>
    </row>
    <row r="14" spans="1:33" customFormat="1" x14ac:dyDescent="0.15">
      <c r="A14" s="186" t="s">
        <v>204</v>
      </c>
      <c r="B14" s="107">
        <v>0</v>
      </c>
      <c r="C14" s="107">
        <v>0.8</v>
      </c>
      <c r="D14" s="107">
        <v>0.8</v>
      </c>
      <c r="E14" s="107">
        <v>0</v>
      </c>
      <c r="F14" s="107">
        <v>0.8</v>
      </c>
      <c r="G14" s="107">
        <v>0.8</v>
      </c>
      <c r="H14" s="107">
        <v>0.8</v>
      </c>
      <c r="I14" s="107">
        <v>0.8</v>
      </c>
      <c r="J14" s="107">
        <v>0</v>
      </c>
      <c r="K14" s="107">
        <v>0.8</v>
      </c>
      <c r="L14" s="107">
        <v>0</v>
      </c>
      <c r="M14" s="107">
        <v>0.8</v>
      </c>
      <c r="N14" s="107">
        <v>0.8</v>
      </c>
      <c r="O14" s="107">
        <v>0.8</v>
      </c>
      <c r="P14" s="107">
        <v>0</v>
      </c>
      <c r="Q14" s="107">
        <v>0</v>
      </c>
      <c r="R14" s="107">
        <v>0</v>
      </c>
      <c r="S14" s="107">
        <v>0</v>
      </c>
      <c r="T14" s="107">
        <v>0.8</v>
      </c>
      <c r="U14" s="107">
        <v>0</v>
      </c>
      <c r="V14" s="107">
        <v>0</v>
      </c>
      <c r="W14" s="107">
        <v>0</v>
      </c>
      <c r="X14" s="107">
        <v>0</v>
      </c>
      <c r="Y14" s="107">
        <v>0</v>
      </c>
      <c r="Z14" s="107">
        <v>0</v>
      </c>
      <c r="AA14" s="107">
        <v>0</v>
      </c>
      <c r="AB14" s="107">
        <v>0</v>
      </c>
      <c r="AC14" s="107">
        <v>0</v>
      </c>
      <c r="AD14" s="107">
        <v>0</v>
      </c>
      <c r="AE14" s="107">
        <v>0</v>
      </c>
      <c r="AF14" s="107">
        <v>0</v>
      </c>
      <c r="AG14" s="107">
        <v>0</v>
      </c>
    </row>
    <row r="15" spans="1:33" customFormat="1" x14ac:dyDescent="0.15">
      <c r="A15" s="186" t="s">
        <v>205</v>
      </c>
      <c r="B15" s="107">
        <v>0.8</v>
      </c>
      <c r="C15" s="107">
        <v>0</v>
      </c>
      <c r="D15" s="107">
        <v>0</v>
      </c>
      <c r="E15" s="107">
        <v>0</v>
      </c>
      <c r="F15" s="107">
        <v>0</v>
      </c>
      <c r="G15" s="107">
        <v>0</v>
      </c>
      <c r="H15" s="107">
        <v>0</v>
      </c>
      <c r="I15" s="107">
        <v>0</v>
      </c>
      <c r="J15" s="107">
        <v>0</v>
      </c>
      <c r="K15" s="107">
        <v>0</v>
      </c>
      <c r="L15" s="107">
        <v>0</v>
      </c>
      <c r="M15" s="107">
        <v>0</v>
      </c>
      <c r="N15" s="107">
        <v>0</v>
      </c>
      <c r="O15" s="107">
        <v>0</v>
      </c>
      <c r="P15" s="107">
        <v>0</v>
      </c>
      <c r="Q15" s="107">
        <v>0</v>
      </c>
      <c r="R15" s="107">
        <v>0</v>
      </c>
      <c r="S15" s="107">
        <v>0</v>
      </c>
      <c r="T15" s="107">
        <v>0</v>
      </c>
      <c r="U15" s="107">
        <v>0</v>
      </c>
      <c r="V15" s="107">
        <v>0</v>
      </c>
      <c r="W15" s="107">
        <v>0</v>
      </c>
      <c r="X15" s="107">
        <v>0</v>
      </c>
      <c r="Y15" s="107">
        <v>0</v>
      </c>
      <c r="Z15" s="107">
        <v>0</v>
      </c>
      <c r="AA15" s="107">
        <v>0</v>
      </c>
      <c r="AB15" s="107">
        <v>0</v>
      </c>
      <c r="AC15" s="107">
        <v>0</v>
      </c>
      <c r="AD15" s="107">
        <v>0</v>
      </c>
      <c r="AE15" s="107">
        <v>0</v>
      </c>
      <c r="AF15" s="107">
        <v>0</v>
      </c>
      <c r="AG15" s="107">
        <v>0</v>
      </c>
    </row>
    <row r="16" spans="1:33" customFormat="1" x14ac:dyDescent="0.15">
      <c r="A16" s="186" t="s">
        <v>206</v>
      </c>
      <c r="B16" s="107">
        <v>0.8</v>
      </c>
      <c r="C16" s="107">
        <v>0.8</v>
      </c>
      <c r="D16" s="107">
        <v>0.8</v>
      </c>
      <c r="E16" s="107">
        <v>0.8</v>
      </c>
      <c r="F16" s="107">
        <v>0.8</v>
      </c>
      <c r="G16" s="107">
        <v>0.8</v>
      </c>
      <c r="H16" s="107">
        <v>0.8</v>
      </c>
      <c r="I16" s="107">
        <v>0.8</v>
      </c>
      <c r="J16" s="107">
        <v>0.8</v>
      </c>
      <c r="K16" s="107">
        <v>0.8</v>
      </c>
      <c r="L16" s="107">
        <v>0.8</v>
      </c>
      <c r="M16" s="107">
        <v>0.8</v>
      </c>
      <c r="N16" s="107">
        <v>0.8</v>
      </c>
      <c r="O16" s="107">
        <v>0.8</v>
      </c>
      <c r="P16" s="107">
        <v>0.8</v>
      </c>
      <c r="Q16" s="107">
        <v>0</v>
      </c>
      <c r="R16" s="107">
        <v>0</v>
      </c>
      <c r="S16" s="107">
        <v>0</v>
      </c>
      <c r="T16" s="107">
        <v>0.8</v>
      </c>
      <c r="U16" s="107">
        <v>0.8</v>
      </c>
      <c r="V16" s="107">
        <v>0</v>
      </c>
      <c r="W16" s="107">
        <v>0</v>
      </c>
      <c r="X16" s="107">
        <v>0</v>
      </c>
      <c r="Y16" s="107">
        <v>0</v>
      </c>
      <c r="Z16" s="107">
        <v>0</v>
      </c>
      <c r="AA16" s="107">
        <v>0</v>
      </c>
      <c r="AB16" s="107">
        <v>0</v>
      </c>
      <c r="AC16" s="107">
        <v>0</v>
      </c>
      <c r="AD16" s="107">
        <v>0</v>
      </c>
      <c r="AE16" s="107">
        <v>0</v>
      </c>
      <c r="AF16" s="107">
        <v>0</v>
      </c>
      <c r="AG16" s="107">
        <v>0</v>
      </c>
    </row>
    <row r="17" spans="1:33" customFormat="1" x14ac:dyDescent="0.15">
      <c r="A17" s="186" t="s">
        <v>207</v>
      </c>
      <c r="B17" s="107">
        <v>0.8</v>
      </c>
      <c r="C17" s="107">
        <v>0.8</v>
      </c>
      <c r="D17" s="107">
        <v>0.8</v>
      </c>
      <c r="E17" s="107">
        <v>0.8</v>
      </c>
      <c r="F17" s="107">
        <v>0.8</v>
      </c>
      <c r="G17" s="107">
        <v>0.8</v>
      </c>
      <c r="H17" s="107">
        <v>0.8</v>
      </c>
      <c r="I17" s="107">
        <v>0.8</v>
      </c>
      <c r="J17" s="107">
        <v>0.8</v>
      </c>
      <c r="K17" s="107">
        <v>0.8</v>
      </c>
      <c r="L17" s="107">
        <v>0.8</v>
      </c>
      <c r="M17" s="107">
        <v>0.8</v>
      </c>
      <c r="N17" s="107">
        <v>0.8</v>
      </c>
      <c r="O17" s="107">
        <v>0.8</v>
      </c>
      <c r="P17" s="107">
        <v>0.8</v>
      </c>
      <c r="Q17" s="107">
        <v>0.8</v>
      </c>
      <c r="R17" s="107">
        <v>0</v>
      </c>
      <c r="S17" s="107">
        <v>0.8</v>
      </c>
      <c r="T17" s="107">
        <v>0.8</v>
      </c>
      <c r="U17" s="107">
        <v>0.8</v>
      </c>
      <c r="V17" s="107">
        <v>0</v>
      </c>
      <c r="W17" s="107">
        <v>0</v>
      </c>
      <c r="X17" s="107">
        <v>0</v>
      </c>
      <c r="Y17" s="107">
        <v>0</v>
      </c>
      <c r="Z17" s="107">
        <v>0</v>
      </c>
      <c r="AA17" s="107">
        <v>0</v>
      </c>
      <c r="AB17" s="107">
        <v>0</v>
      </c>
      <c r="AC17" s="107">
        <v>0</v>
      </c>
      <c r="AD17" s="107">
        <v>0</v>
      </c>
      <c r="AE17" s="107">
        <v>0</v>
      </c>
      <c r="AF17" s="107">
        <v>0</v>
      </c>
      <c r="AG17" s="107">
        <v>0</v>
      </c>
    </row>
    <row r="18" spans="1:33" customFormat="1" x14ac:dyDescent="0.15">
      <c r="A18" s="186" t="s">
        <v>208</v>
      </c>
      <c r="B18" s="107">
        <v>0.8</v>
      </c>
      <c r="C18" s="107">
        <v>0.8</v>
      </c>
      <c r="D18" s="107">
        <v>0</v>
      </c>
      <c r="E18" s="107">
        <v>0.8</v>
      </c>
      <c r="F18" s="107">
        <v>0.8</v>
      </c>
      <c r="G18" s="107">
        <v>0.8</v>
      </c>
      <c r="H18" s="107">
        <v>0</v>
      </c>
      <c r="I18" s="107">
        <v>0.8</v>
      </c>
      <c r="J18" s="107">
        <v>0.8</v>
      </c>
      <c r="K18" s="107">
        <v>0.8</v>
      </c>
      <c r="L18" s="107">
        <v>0.8</v>
      </c>
      <c r="M18" s="107">
        <v>0.8</v>
      </c>
      <c r="N18" s="107">
        <v>0.8</v>
      </c>
      <c r="O18" s="107">
        <v>0.8</v>
      </c>
      <c r="P18" s="107">
        <v>0.8</v>
      </c>
      <c r="Q18" s="107">
        <v>0.8</v>
      </c>
      <c r="R18" s="107">
        <v>0</v>
      </c>
      <c r="S18" s="107">
        <v>0</v>
      </c>
      <c r="T18" s="107">
        <v>0.8</v>
      </c>
      <c r="U18" s="107">
        <v>0.8</v>
      </c>
      <c r="V18" s="107">
        <v>0</v>
      </c>
      <c r="W18" s="107">
        <v>0</v>
      </c>
      <c r="X18" s="107">
        <v>0</v>
      </c>
      <c r="Y18" s="107">
        <v>0</v>
      </c>
      <c r="Z18" s="107">
        <v>0</v>
      </c>
      <c r="AA18" s="107">
        <v>0</v>
      </c>
      <c r="AB18" s="107">
        <v>0</v>
      </c>
      <c r="AC18" s="107">
        <v>0</v>
      </c>
      <c r="AD18" s="107">
        <v>0</v>
      </c>
      <c r="AE18" s="107">
        <v>0</v>
      </c>
      <c r="AF18" s="107">
        <v>0</v>
      </c>
      <c r="AG18" s="107">
        <v>0</v>
      </c>
    </row>
    <row r="19" spans="1:33" customFormat="1" x14ac:dyDescent="0.15">
      <c r="A19" s="186" t="s">
        <v>209</v>
      </c>
      <c r="B19" s="107">
        <v>0</v>
      </c>
      <c r="C19" s="107">
        <v>0.8</v>
      </c>
      <c r="D19" s="107">
        <v>0.8</v>
      </c>
      <c r="E19" s="107">
        <v>0.8</v>
      </c>
      <c r="F19" s="107">
        <v>0.8</v>
      </c>
      <c r="G19" s="107">
        <v>0.8</v>
      </c>
      <c r="H19" s="107">
        <v>0.8</v>
      </c>
      <c r="I19" s="107">
        <v>0.8</v>
      </c>
      <c r="J19" s="107">
        <v>0.8</v>
      </c>
      <c r="K19" s="107">
        <v>0.8</v>
      </c>
      <c r="L19" s="107">
        <v>0</v>
      </c>
      <c r="M19" s="107">
        <v>0.8</v>
      </c>
      <c r="N19" s="107">
        <v>0</v>
      </c>
      <c r="O19" s="107">
        <v>0</v>
      </c>
      <c r="P19" s="107">
        <v>0.8</v>
      </c>
      <c r="Q19" s="107">
        <v>0</v>
      </c>
      <c r="R19" s="107">
        <v>0</v>
      </c>
      <c r="S19" s="107">
        <v>0.8</v>
      </c>
      <c r="T19" s="107">
        <v>0</v>
      </c>
      <c r="U19" s="107">
        <v>0</v>
      </c>
      <c r="V19" s="107">
        <v>0</v>
      </c>
      <c r="W19" s="107">
        <v>0</v>
      </c>
      <c r="X19" s="107">
        <v>0</v>
      </c>
      <c r="Y19" s="107">
        <v>0</v>
      </c>
      <c r="Z19" s="107">
        <v>0</v>
      </c>
      <c r="AA19" s="107">
        <v>0</v>
      </c>
      <c r="AB19" s="107">
        <v>0</v>
      </c>
      <c r="AC19" s="107">
        <v>0</v>
      </c>
      <c r="AD19" s="107">
        <v>0</v>
      </c>
      <c r="AE19" s="107">
        <v>0</v>
      </c>
      <c r="AF19" s="107">
        <v>0</v>
      </c>
      <c r="AG19" s="107">
        <v>0</v>
      </c>
    </row>
    <row r="20" spans="1:33" customFormat="1" x14ac:dyDescent="0.15">
      <c r="A20" s="186" t="s">
        <v>210</v>
      </c>
      <c r="B20" s="107">
        <v>0</v>
      </c>
      <c r="C20" s="107">
        <v>0.8</v>
      </c>
      <c r="D20" s="107">
        <v>0</v>
      </c>
      <c r="E20" s="107">
        <v>0.8</v>
      </c>
      <c r="F20" s="107">
        <v>0</v>
      </c>
      <c r="G20" s="107">
        <v>0</v>
      </c>
      <c r="H20" s="107">
        <v>0.8</v>
      </c>
      <c r="I20" s="107">
        <v>0</v>
      </c>
      <c r="J20" s="107">
        <v>0</v>
      </c>
      <c r="K20" s="107">
        <v>0</v>
      </c>
      <c r="L20" s="107">
        <v>0</v>
      </c>
      <c r="M20" s="107">
        <v>0</v>
      </c>
      <c r="N20" s="107">
        <v>0</v>
      </c>
      <c r="O20" s="107">
        <v>0</v>
      </c>
      <c r="P20" s="107">
        <v>0</v>
      </c>
      <c r="Q20" s="107">
        <v>0</v>
      </c>
      <c r="R20" s="107">
        <v>0</v>
      </c>
      <c r="S20" s="107">
        <v>0</v>
      </c>
      <c r="T20" s="107">
        <v>0</v>
      </c>
      <c r="U20" s="107">
        <v>0</v>
      </c>
      <c r="V20" s="107">
        <v>0</v>
      </c>
      <c r="W20" s="107">
        <v>0</v>
      </c>
      <c r="X20" s="107">
        <v>0</v>
      </c>
      <c r="Y20" s="107">
        <v>0</v>
      </c>
      <c r="Z20" s="107">
        <v>0</v>
      </c>
      <c r="AA20" s="107">
        <v>0</v>
      </c>
      <c r="AB20" s="107">
        <v>0</v>
      </c>
      <c r="AC20" s="107">
        <v>0</v>
      </c>
      <c r="AD20" s="107">
        <v>0</v>
      </c>
      <c r="AE20" s="107">
        <v>0</v>
      </c>
      <c r="AF20" s="107">
        <v>0</v>
      </c>
      <c r="AG20" s="107">
        <v>0</v>
      </c>
    </row>
    <row r="21" spans="1:33" customFormat="1" x14ac:dyDescent="0.15">
      <c r="A21" s="186" t="s">
        <v>211</v>
      </c>
      <c r="B21" s="107">
        <v>0.8</v>
      </c>
      <c r="C21" s="107">
        <v>0.8</v>
      </c>
      <c r="D21" s="107">
        <v>0.8</v>
      </c>
      <c r="E21" s="107">
        <v>0.8</v>
      </c>
      <c r="F21" s="107">
        <v>0.8</v>
      </c>
      <c r="G21" s="107">
        <v>0.8</v>
      </c>
      <c r="H21" s="107">
        <v>0.8</v>
      </c>
      <c r="I21" s="107">
        <v>0.8</v>
      </c>
      <c r="J21" s="107">
        <v>0</v>
      </c>
      <c r="K21" s="107">
        <v>0</v>
      </c>
      <c r="L21" s="107">
        <v>0</v>
      </c>
      <c r="M21" s="107">
        <v>0.8</v>
      </c>
      <c r="N21" s="107">
        <v>0</v>
      </c>
      <c r="O21" s="107">
        <v>0</v>
      </c>
      <c r="P21" s="107">
        <v>0.8</v>
      </c>
      <c r="Q21" s="107">
        <v>0</v>
      </c>
      <c r="R21" s="107">
        <v>0</v>
      </c>
      <c r="S21" s="107">
        <v>0</v>
      </c>
      <c r="T21" s="107">
        <v>0.8</v>
      </c>
      <c r="U21" s="107">
        <v>0</v>
      </c>
      <c r="V21" s="107">
        <v>0</v>
      </c>
      <c r="W21" s="107">
        <v>0</v>
      </c>
      <c r="X21" s="107">
        <v>0</v>
      </c>
      <c r="Y21" s="107">
        <v>0</v>
      </c>
      <c r="Z21" s="107">
        <v>0</v>
      </c>
      <c r="AA21" s="107">
        <v>0</v>
      </c>
      <c r="AB21" s="107">
        <v>0</v>
      </c>
      <c r="AC21" s="107">
        <v>0</v>
      </c>
      <c r="AD21" s="107">
        <v>0</v>
      </c>
      <c r="AE21" s="107">
        <v>0</v>
      </c>
      <c r="AF21" s="107">
        <v>0</v>
      </c>
      <c r="AG21" s="107">
        <v>0</v>
      </c>
    </row>
    <row r="22" spans="1:33" customFormat="1" x14ac:dyDescent="0.15">
      <c r="A22" s="186" t="s">
        <v>212</v>
      </c>
      <c r="B22" s="107">
        <v>0.8</v>
      </c>
      <c r="C22" s="107">
        <v>0.8</v>
      </c>
      <c r="D22" s="107">
        <v>0.8</v>
      </c>
      <c r="E22" s="107">
        <v>0.8</v>
      </c>
      <c r="F22" s="107">
        <v>0.8</v>
      </c>
      <c r="G22" s="107">
        <v>0.8</v>
      </c>
      <c r="H22" s="107">
        <v>0.8</v>
      </c>
      <c r="I22" s="107">
        <v>0.8</v>
      </c>
      <c r="J22" s="107">
        <v>0</v>
      </c>
      <c r="K22" s="107">
        <v>0</v>
      </c>
      <c r="L22" s="107">
        <v>0</v>
      </c>
      <c r="M22" s="107">
        <v>0.8</v>
      </c>
      <c r="N22" s="107">
        <v>0.8</v>
      </c>
      <c r="O22" s="107">
        <v>0.8</v>
      </c>
      <c r="P22" s="107">
        <v>0.8</v>
      </c>
      <c r="Q22" s="107">
        <v>0</v>
      </c>
      <c r="R22" s="107">
        <v>0</v>
      </c>
      <c r="S22" s="107">
        <v>0</v>
      </c>
      <c r="T22" s="107">
        <v>0.8</v>
      </c>
      <c r="U22" s="107">
        <v>0.8</v>
      </c>
      <c r="V22" s="107">
        <v>0</v>
      </c>
      <c r="W22" s="107">
        <v>0</v>
      </c>
      <c r="X22" s="107">
        <v>0</v>
      </c>
      <c r="Y22" s="107">
        <v>0</v>
      </c>
      <c r="Z22" s="107">
        <v>0</v>
      </c>
      <c r="AA22" s="107">
        <v>0</v>
      </c>
      <c r="AB22" s="107">
        <v>0</v>
      </c>
      <c r="AC22" s="107">
        <v>0</v>
      </c>
      <c r="AD22" s="107">
        <v>0</v>
      </c>
      <c r="AE22" s="107">
        <v>0</v>
      </c>
      <c r="AF22" s="107">
        <v>0</v>
      </c>
      <c r="AG22" s="107">
        <v>0</v>
      </c>
    </row>
    <row r="23" spans="1:33" customFormat="1" x14ac:dyDescent="0.15">
      <c r="A23" s="186" t="s">
        <v>213</v>
      </c>
      <c r="B23" s="107">
        <v>0</v>
      </c>
      <c r="C23" s="107">
        <v>0.8</v>
      </c>
      <c r="D23" s="107">
        <v>0</v>
      </c>
      <c r="E23" s="107">
        <v>0.8</v>
      </c>
      <c r="F23" s="107">
        <v>0.8</v>
      </c>
      <c r="G23" s="107">
        <v>0.8</v>
      </c>
      <c r="H23" s="107">
        <v>0.8</v>
      </c>
      <c r="I23" s="107">
        <v>0.8</v>
      </c>
      <c r="J23" s="107">
        <v>0.8</v>
      </c>
      <c r="K23" s="107">
        <v>0.8</v>
      </c>
      <c r="L23" s="107">
        <v>0.8</v>
      </c>
      <c r="M23" s="107">
        <v>0.8</v>
      </c>
      <c r="N23" s="107">
        <v>0.8</v>
      </c>
      <c r="O23" s="107">
        <v>0.8</v>
      </c>
      <c r="P23" s="107">
        <v>0.8</v>
      </c>
      <c r="Q23" s="107">
        <v>0</v>
      </c>
      <c r="R23" s="107">
        <v>0</v>
      </c>
      <c r="S23" s="107">
        <v>0</v>
      </c>
      <c r="T23" s="107">
        <v>0.8</v>
      </c>
      <c r="U23" s="107">
        <v>0.8</v>
      </c>
      <c r="V23" s="107">
        <v>0.8</v>
      </c>
      <c r="W23" s="107">
        <v>0</v>
      </c>
      <c r="X23" s="107">
        <v>0.8</v>
      </c>
      <c r="Y23" s="107">
        <v>0</v>
      </c>
      <c r="Z23" s="107">
        <v>0</v>
      </c>
      <c r="AA23" s="107">
        <v>0</v>
      </c>
      <c r="AB23" s="107">
        <v>0</v>
      </c>
      <c r="AC23" s="107">
        <v>0</v>
      </c>
      <c r="AD23" s="107">
        <v>0</v>
      </c>
      <c r="AE23" s="107">
        <v>0</v>
      </c>
      <c r="AF23" s="107">
        <v>0</v>
      </c>
      <c r="AG23" s="107">
        <v>0</v>
      </c>
    </row>
    <row r="24" spans="1:33" customFormat="1" x14ac:dyDescent="0.15">
      <c r="A24" s="186" t="s">
        <v>214</v>
      </c>
      <c r="B24" s="107">
        <v>0</v>
      </c>
      <c r="C24" s="107">
        <v>0</v>
      </c>
      <c r="D24" s="107">
        <v>0</v>
      </c>
      <c r="E24" s="107">
        <v>0</v>
      </c>
      <c r="F24" s="107">
        <v>0.8</v>
      </c>
      <c r="G24" s="107">
        <v>0.8</v>
      </c>
      <c r="H24" s="107">
        <v>0.8</v>
      </c>
      <c r="I24" s="107">
        <v>0</v>
      </c>
      <c r="J24" s="107">
        <v>0.8</v>
      </c>
      <c r="K24" s="107">
        <v>0.8</v>
      </c>
      <c r="L24" s="107">
        <v>0.8</v>
      </c>
      <c r="M24" s="107">
        <v>0.8</v>
      </c>
      <c r="N24" s="107">
        <v>0</v>
      </c>
      <c r="O24" s="107">
        <v>0.8</v>
      </c>
      <c r="P24" s="107">
        <v>0.8</v>
      </c>
      <c r="Q24" s="107">
        <v>0</v>
      </c>
      <c r="R24" s="107">
        <v>0</v>
      </c>
      <c r="S24" s="107">
        <v>0</v>
      </c>
      <c r="T24" s="107">
        <v>0</v>
      </c>
      <c r="U24" s="107">
        <v>0</v>
      </c>
      <c r="V24" s="107">
        <v>0</v>
      </c>
      <c r="W24" s="107">
        <v>0</v>
      </c>
      <c r="X24" s="107">
        <v>0.8</v>
      </c>
      <c r="Y24" s="107">
        <v>0</v>
      </c>
      <c r="Z24" s="107">
        <v>0</v>
      </c>
      <c r="AA24" s="107">
        <v>0</v>
      </c>
      <c r="AB24" s="107">
        <v>0</v>
      </c>
      <c r="AC24" s="107">
        <v>0</v>
      </c>
      <c r="AD24" s="107">
        <v>0</v>
      </c>
      <c r="AE24" s="107">
        <v>0</v>
      </c>
      <c r="AF24" s="107">
        <v>0</v>
      </c>
      <c r="AG24" s="107">
        <v>0</v>
      </c>
    </row>
    <row r="25" spans="1:33" customFormat="1" x14ac:dyDescent="0.15">
      <c r="A25" s="186" t="s">
        <v>215</v>
      </c>
      <c r="B25" s="107">
        <v>0</v>
      </c>
      <c r="C25" s="107">
        <v>0</v>
      </c>
      <c r="D25" s="107">
        <v>0</v>
      </c>
      <c r="E25" s="107">
        <v>0</v>
      </c>
      <c r="F25" s="107">
        <v>0.8</v>
      </c>
      <c r="G25" s="107">
        <v>0</v>
      </c>
      <c r="H25" s="107">
        <v>0</v>
      </c>
      <c r="I25" s="107">
        <v>0.8</v>
      </c>
      <c r="J25" s="107">
        <v>0.8</v>
      </c>
      <c r="K25" s="107">
        <v>0.8</v>
      </c>
      <c r="L25" s="107">
        <v>0.8</v>
      </c>
      <c r="M25" s="107">
        <v>0.8</v>
      </c>
      <c r="N25" s="107">
        <v>0</v>
      </c>
      <c r="O25" s="107">
        <v>0.8</v>
      </c>
      <c r="P25" s="107">
        <v>0.8</v>
      </c>
      <c r="Q25" s="107">
        <v>0</v>
      </c>
      <c r="R25" s="107">
        <v>0</v>
      </c>
      <c r="S25" s="107">
        <v>0</v>
      </c>
      <c r="T25" s="107">
        <v>0</v>
      </c>
      <c r="U25" s="107">
        <v>0</v>
      </c>
      <c r="V25" s="107">
        <v>0</v>
      </c>
      <c r="W25" s="107">
        <v>0</v>
      </c>
      <c r="X25" s="107">
        <v>0.8</v>
      </c>
      <c r="Y25" s="107">
        <v>0</v>
      </c>
      <c r="Z25" s="107">
        <v>0</v>
      </c>
      <c r="AA25" s="107">
        <v>0</v>
      </c>
      <c r="AB25" s="107">
        <v>0</v>
      </c>
      <c r="AC25" s="107">
        <v>0</v>
      </c>
      <c r="AD25" s="107">
        <v>0</v>
      </c>
      <c r="AE25" s="107">
        <v>0</v>
      </c>
      <c r="AF25" s="107">
        <v>0</v>
      </c>
      <c r="AG25" s="107">
        <v>0</v>
      </c>
    </row>
    <row r="26" spans="1:33" customFormat="1" x14ac:dyDescent="0.15">
      <c r="A26" s="186" t="s">
        <v>216</v>
      </c>
      <c r="B26" s="107">
        <v>0</v>
      </c>
      <c r="C26" s="107">
        <v>0.8</v>
      </c>
      <c r="D26" s="107">
        <v>0</v>
      </c>
      <c r="E26" s="107">
        <v>0.8</v>
      </c>
      <c r="F26" s="107">
        <v>0.8</v>
      </c>
      <c r="G26" s="107">
        <v>0.8</v>
      </c>
      <c r="H26" s="107">
        <v>0.8</v>
      </c>
      <c r="I26" s="107">
        <v>0</v>
      </c>
      <c r="J26" s="107">
        <v>0.8</v>
      </c>
      <c r="K26" s="107">
        <v>0.8</v>
      </c>
      <c r="L26" s="107">
        <v>0.8</v>
      </c>
      <c r="M26" s="107">
        <v>0.8</v>
      </c>
      <c r="N26" s="107">
        <v>0</v>
      </c>
      <c r="O26" s="107">
        <v>0.8</v>
      </c>
      <c r="P26" s="107">
        <v>0.8</v>
      </c>
      <c r="Q26" s="107">
        <v>0</v>
      </c>
      <c r="R26" s="107">
        <v>0</v>
      </c>
      <c r="S26" s="107">
        <v>0</v>
      </c>
      <c r="T26" s="107">
        <v>0</v>
      </c>
      <c r="U26" s="107">
        <v>0</v>
      </c>
      <c r="V26" s="107">
        <v>0</v>
      </c>
      <c r="W26" s="107">
        <v>0</v>
      </c>
      <c r="X26" s="107">
        <v>0.8</v>
      </c>
      <c r="Y26" s="107">
        <v>0</v>
      </c>
      <c r="Z26" s="107">
        <v>0</v>
      </c>
      <c r="AA26" s="107">
        <v>0</v>
      </c>
      <c r="AB26" s="107">
        <v>0</v>
      </c>
      <c r="AC26" s="107">
        <v>0</v>
      </c>
      <c r="AD26" s="107">
        <v>0</v>
      </c>
      <c r="AE26" s="107">
        <v>0</v>
      </c>
      <c r="AF26" s="107">
        <v>0</v>
      </c>
      <c r="AG26" s="107">
        <v>0</v>
      </c>
    </row>
    <row r="27" spans="1:33" customFormat="1" x14ac:dyDescent="0.15">
      <c r="A27" s="186" t="s">
        <v>217</v>
      </c>
      <c r="B27" s="107">
        <v>0</v>
      </c>
      <c r="C27" s="107">
        <v>0</v>
      </c>
      <c r="D27" s="107">
        <v>0</v>
      </c>
      <c r="E27" s="107">
        <v>0</v>
      </c>
      <c r="F27" s="107">
        <v>0.8</v>
      </c>
      <c r="G27" s="107">
        <v>0.8</v>
      </c>
      <c r="H27" s="107">
        <v>0.8</v>
      </c>
      <c r="I27" s="107">
        <v>0.8</v>
      </c>
      <c r="J27" s="107">
        <v>0.8</v>
      </c>
      <c r="K27" s="107">
        <v>0.8</v>
      </c>
      <c r="L27" s="107">
        <v>0.8</v>
      </c>
      <c r="M27" s="107">
        <v>0.8</v>
      </c>
      <c r="N27" s="107">
        <v>0</v>
      </c>
      <c r="O27" s="107">
        <v>0.8</v>
      </c>
      <c r="P27" s="107">
        <v>0.8</v>
      </c>
      <c r="Q27" s="107">
        <v>0</v>
      </c>
      <c r="R27" s="107">
        <v>0</v>
      </c>
      <c r="S27" s="107">
        <v>0</v>
      </c>
      <c r="T27" s="107">
        <v>0.8</v>
      </c>
      <c r="U27" s="107">
        <v>0</v>
      </c>
      <c r="V27" s="107">
        <v>0</v>
      </c>
      <c r="W27" s="107">
        <v>0.8</v>
      </c>
      <c r="X27" s="107">
        <v>0.8</v>
      </c>
      <c r="Y27" s="107">
        <v>0</v>
      </c>
      <c r="Z27" s="107">
        <v>0</v>
      </c>
      <c r="AA27" s="107">
        <v>0</v>
      </c>
      <c r="AB27" s="107">
        <v>0</v>
      </c>
      <c r="AC27" s="107">
        <v>0</v>
      </c>
      <c r="AD27" s="107">
        <v>0</v>
      </c>
      <c r="AE27" s="107">
        <v>0</v>
      </c>
      <c r="AF27" s="107">
        <v>0</v>
      </c>
      <c r="AG27" s="107">
        <v>0</v>
      </c>
    </row>
    <row r="28" spans="1:33" customFormat="1" x14ac:dyDescent="0.15">
      <c r="A28" s="186" t="s">
        <v>218</v>
      </c>
      <c r="B28" s="107">
        <v>0</v>
      </c>
      <c r="C28" s="107">
        <v>0.8</v>
      </c>
      <c r="D28" s="107">
        <v>0</v>
      </c>
      <c r="E28" s="107">
        <v>0</v>
      </c>
      <c r="F28" s="107">
        <v>0.8</v>
      </c>
      <c r="G28" s="107">
        <v>0.8</v>
      </c>
      <c r="H28" s="107">
        <v>0.8</v>
      </c>
      <c r="I28" s="107">
        <v>0.8</v>
      </c>
      <c r="J28" s="107">
        <v>0.8</v>
      </c>
      <c r="K28" s="107">
        <v>0.8</v>
      </c>
      <c r="L28" s="107">
        <v>0.8</v>
      </c>
      <c r="M28" s="107">
        <v>0.8</v>
      </c>
      <c r="N28" s="107">
        <v>0</v>
      </c>
      <c r="O28" s="107">
        <v>0.8</v>
      </c>
      <c r="P28" s="107">
        <v>0.8</v>
      </c>
      <c r="Q28" s="107">
        <v>0</v>
      </c>
      <c r="R28" s="107">
        <v>0</v>
      </c>
      <c r="S28" s="107">
        <v>0</v>
      </c>
      <c r="T28" s="107">
        <v>0.8</v>
      </c>
      <c r="U28" s="107">
        <v>0</v>
      </c>
      <c r="V28" s="107">
        <v>0.8</v>
      </c>
      <c r="W28" s="107">
        <v>0.8</v>
      </c>
      <c r="X28" s="107">
        <v>0.8</v>
      </c>
      <c r="Y28" s="107">
        <v>0</v>
      </c>
      <c r="Z28" s="107">
        <v>0</v>
      </c>
      <c r="AA28" s="107">
        <v>0</v>
      </c>
      <c r="AB28" s="107">
        <v>0</v>
      </c>
      <c r="AC28" s="107">
        <v>0</v>
      </c>
      <c r="AD28" s="107">
        <v>0</v>
      </c>
      <c r="AE28" s="107">
        <v>0</v>
      </c>
      <c r="AF28" s="107">
        <v>0</v>
      </c>
      <c r="AG28" s="107">
        <v>0</v>
      </c>
    </row>
    <row r="29" spans="1:33" customFormat="1" x14ac:dyDescent="0.15">
      <c r="A29" s="186" t="s">
        <v>219</v>
      </c>
      <c r="B29" s="107">
        <v>0.8</v>
      </c>
      <c r="C29" s="107">
        <v>0.8</v>
      </c>
      <c r="D29" s="107">
        <v>0</v>
      </c>
      <c r="E29" s="107">
        <v>0.8</v>
      </c>
      <c r="F29" s="107">
        <v>0.8</v>
      </c>
      <c r="G29" s="107">
        <v>0.8</v>
      </c>
      <c r="H29" s="107">
        <v>0.8</v>
      </c>
      <c r="I29" s="107">
        <v>0.8</v>
      </c>
      <c r="J29" s="107">
        <v>0.8</v>
      </c>
      <c r="K29" s="107">
        <v>0.8</v>
      </c>
      <c r="L29" s="107">
        <v>0.8</v>
      </c>
      <c r="M29" s="107">
        <v>0.8</v>
      </c>
      <c r="N29" s="107">
        <v>0.8</v>
      </c>
      <c r="O29" s="107">
        <v>0.8</v>
      </c>
      <c r="P29" s="107">
        <v>0.8</v>
      </c>
      <c r="Q29" s="107">
        <v>0.8</v>
      </c>
      <c r="R29" s="107">
        <v>0.8</v>
      </c>
      <c r="S29" s="107">
        <v>0.8</v>
      </c>
      <c r="T29" s="107">
        <v>0.8</v>
      </c>
      <c r="U29" s="107">
        <v>0.8</v>
      </c>
      <c r="V29" s="107">
        <v>0.8</v>
      </c>
      <c r="W29" s="107">
        <v>0.8</v>
      </c>
      <c r="X29" s="107">
        <v>0.8</v>
      </c>
      <c r="Y29" s="107">
        <v>0</v>
      </c>
      <c r="Z29" s="107">
        <v>0</v>
      </c>
      <c r="AA29" s="107">
        <v>0</v>
      </c>
      <c r="AB29" s="107">
        <v>0</v>
      </c>
      <c r="AC29" s="107">
        <v>0.8</v>
      </c>
      <c r="AD29" s="107">
        <v>0</v>
      </c>
      <c r="AE29" s="107">
        <v>0</v>
      </c>
      <c r="AF29" s="107">
        <v>0</v>
      </c>
      <c r="AG29" s="107">
        <v>0</v>
      </c>
    </row>
    <row r="30" spans="1:33" customFormat="1" x14ac:dyDescent="0.15">
      <c r="A30" s="186" t="s">
        <v>220</v>
      </c>
      <c r="B30" s="107">
        <v>0.8</v>
      </c>
      <c r="C30" s="107">
        <v>0</v>
      </c>
      <c r="D30" s="107">
        <v>0</v>
      </c>
      <c r="E30" s="107">
        <v>0.8</v>
      </c>
      <c r="F30" s="107">
        <v>0.8</v>
      </c>
      <c r="G30" s="107">
        <v>0.8</v>
      </c>
      <c r="H30" s="107">
        <v>0.8</v>
      </c>
      <c r="I30" s="107">
        <v>0.8</v>
      </c>
      <c r="J30" s="107">
        <v>0.8</v>
      </c>
      <c r="K30" s="107">
        <v>0</v>
      </c>
      <c r="L30" s="107">
        <v>0</v>
      </c>
      <c r="M30" s="107">
        <v>0.8</v>
      </c>
      <c r="N30" s="107">
        <v>0.8</v>
      </c>
      <c r="O30" s="107">
        <v>0.8</v>
      </c>
      <c r="P30" s="107">
        <v>0.8</v>
      </c>
      <c r="Q30" s="107">
        <v>0.8</v>
      </c>
      <c r="R30" s="107">
        <v>0.8</v>
      </c>
      <c r="S30" s="107">
        <v>0.8</v>
      </c>
      <c r="T30" s="107">
        <v>0.8</v>
      </c>
      <c r="U30" s="107">
        <v>0.8</v>
      </c>
      <c r="V30" s="107">
        <v>0.8</v>
      </c>
      <c r="W30" s="107">
        <v>0.8</v>
      </c>
      <c r="X30" s="107">
        <v>0.8</v>
      </c>
      <c r="Y30" s="107">
        <v>0</v>
      </c>
      <c r="Z30" s="107">
        <v>0</v>
      </c>
      <c r="AA30" s="107">
        <v>0</v>
      </c>
      <c r="AB30" s="107">
        <v>0</v>
      </c>
      <c r="AC30" s="107">
        <v>0.8</v>
      </c>
      <c r="AD30" s="107">
        <v>0</v>
      </c>
      <c r="AE30" s="107">
        <v>0</v>
      </c>
      <c r="AF30" s="107">
        <v>0</v>
      </c>
      <c r="AG30" s="107">
        <v>0</v>
      </c>
    </row>
    <row r="31" spans="1:33" customFormat="1" x14ac:dyDescent="0.15">
      <c r="A31" s="186" t="s">
        <v>221</v>
      </c>
      <c r="B31" s="107">
        <v>0</v>
      </c>
      <c r="C31" s="107">
        <v>0</v>
      </c>
      <c r="D31" s="107">
        <v>0</v>
      </c>
      <c r="E31" s="107">
        <v>0</v>
      </c>
      <c r="F31" s="107">
        <v>0</v>
      </c>
      <c r="G31" s="107">
        <v>0</v>
      </c>
      <c r="H31" s="107">
        <v>0</v>
      </c>
      <c r="I31" s="107">
        <v>0</v>
      </c>
      <c r="J31" s="107">
        <v>0</v>
      </c>
      <c r="K31" s="107">
        <v>0</v>
      </c>
      <c r="L31" s="107">
        <v>0</v>
      </c>
      <c r="M31" s="107">
        <v>0</v>
      </c>
      <c r="N31" s="107">
        <v>0</v>
      </c>
      <c r="O31" s="107">
        <v>0</v>
      </c>
      <c r="P31" s="107">
        <v>0</v>
      </c>
      <c r="Q31" s="107">
        <v>0</v>
      </c>
      <c r="R31" s="107">
        <v>0</v>
      </c>
      <c r="S31" s="107">
        <v>0</v>
      </c>
      <c r="T31" s="107">
        <v>0</v>
      </c>
      <c r="U31" s="107">
        <v>0</v>
      </c>
      <c r="V31" s="107">
        <v>0</v>
      </c>
      <c r="W31" s="107">
        <v>0.8</v>
      </c>
      <c r="X31" s="107">
        <v>0</v>
      </c>
      <c r="Y31" s="107">
        <v>0</v>
      </c>
      <c r="Z31" s="107">
        <v>0</v>
      </c>
      <c r="AA31" s="107">
        <v>0</v>
      </c>
      <c r="AB31" s="107">
        <v>0</v>
      </c>
      <c r="AC31" s="107">
        <v>0.8</v>
      </c>
      <c r="AD31" s="107">
        <v>0.8</v>
      </c>
      <c r="AE31" s="107">
        <v>0</v>
      </c>
      <c r="AF31" s="107">
        <v>0</v>
      </c>
      <c r="AG31" s="107">
        <v>0</v>
      </c>
    </row>
    <row r="32" spans="1:33" customFormat="1" x14ac:dyDescent="0.15">
      <c r="A32" s="186" t="s">
        <v>222</v>
      </c>
      <c r="B32" s="107">
        <v>0</v>
      </c>
      <c r="C32" s="107">
        <v>0</v>
      </c>
      <c r="D32" s="107">
        <v>0</v>
      </c>
      <c r="E32" s="107">
        <v>0</v>
      </c>
      <c r="F32" s="107">
        <v>0</v>
      </c>
      <c r="G32" s="107">
        <v>0</v>
      </c>
      <c r="H32" s="107">
        <v>0</v>
      </c>
      <c r="I32" s="107">
        <v>0</v>
      </c>
      <c r="J32" s="107">
        <v>0</v>
      </c>
      <c r="K32" s="107">
        <v>0</v>
      </c>
      <c r="L32" s="107">
        <v>0</v>
      </c>
      <c r="M32" s="107">
        <v>0</v>
      </c>
      <c r="N32" s="107">
        <v>0</v>
      </c>
      <c r="O32" s="107">
        <v>0</v>
      </c>
      <c r="P32" s="107">
        <v>0</v>
      </c>
      <c r="Q32" s="107">
        <v>0</v>
      </c>
      <c r="R32" s="107">
        <v>0</v>
      </c>
      <c r="S32" s="107">
        <v>0</v>
      </c>
      <c r="T32" s="107">
        <v>0</v>
      </c>
      <c r="U32" s="107">
        <v>0</v>
      </c>
      <c r="V32" s="107">
        <v>0</v>
      </c>
      <c r="W32" s="107">
        <v>0.8</v>
      </c>
      <c r="X32" s="107">
        <v>0.8</v>
      </c>
      <c r="Y32" s="107">
        <v>0.8</v>
      </c>
      <c r="Z32" s="107">
        <v>0.8</v>
      </c>
      <c r="AA32" s="107">
        <v>0.8</v>
      </c>
      <c r="AB32" s="107">
        <v>0.8</v>
      </c>
      <c r="AC32" s="107">
        <v>0.8</v>
      </c>
      <c r="AD32" s="107">
        <v>0</v>
      </c>
      <c r="AE32" s="107">
        <v>0</v>
      </c>
      <c r="AF32" s="107">
        <v>0</v>
      </c>
      <c r="AG32" s="107">
        <v>0</v>
      </c>
    </row>
    <row r="33" spans="1:33" x14ac:dyDescent="0.15">
      <c r="A33" s="186" t="s">
        <v>223</v>
      </c>
      <c r="B33" s="107">
        <v>0</v>
      </c>
      <c r="C33" s="107">
        <v>0</v>
      </c>
      <c r="D33" s="107">
        <v>0</v>
      </c>
      <c r="E33" s="107">
        <v>0</v>
      </c>
      <c r="F33" s="107">
        <v>0</v>
      </c>
      <c r="G33" s="107">
        <v>0</v>
      </c>
      <c r="H33" s="107">
        <v>0</v>
      </c>
      <c r="I33" s="107">
        <v>0</v>
      </c>
      <c r="J33" s="107">
        <v>0</v>
      </c>
      <c r="K33" s="107">
        <v>0</v>
      </c>
      <c r="L33" s="107">
        <v>0</v>
      </c>
      <c r="M33" s="107">
        <v>0</v>
      </c>
      <c r="N33" s="107">
        <v>0</v>
      </c>
      <c r="O33" s="107">
        <v>0</v>
      </c>
      <c r="P33" s="107">
        <v>0</v>
      </c>
      <c r="Q33" s="107">
        <v>0</v>
      </c>
      <c r="R33" s="107">
        <v>0</v>
      </c>
      <c r="S33" s="107">
        <v>0</v>
      </c>
      <c r="T33" s="107">
        <v>0</v>
      </c>
      <c r="U33" s="107">
        <v>0</v>
      </c>
      <c r="V33" s="107">
        <v>0</v>
      </c>
      <c r="W33" s="107">
        <v>0</v>
      </c>
      <c r="X33" s="107">
        <v>0</v>
      </c>
      <c r="Y33" s="107">
        <v>0</v>
      </c>
      <c r="Z33" s="107">
        <v>0</v>
      </c>
      <c r="AA33" s="107">
        <v>0</v>
      </c>
      <c r="AB33" s="107">
        <v>0</v>
      </c>
      <c r="AC33" s="107">
        <v>0</v>
      </c>
      <c r="AD33" s="107">
        <v>0</v>
      </c>
      <c r="AE33" s="107">
        <v>0</v>
      </c>
      <c r="AF33" s="107">
        <v>0</v>
      </c>
      <c r="AG33" s="107">
        <v>0</v>
      </c>
    </row>
    <row r="34" spans="1:33" x14ac:dyDescent="0.15">
      <c r="A34" s="186" t="s">
        <v>225</v>
      </c>
      <c r="B34" s="107">
        <v>0</v>
      </c>
      <c r="C34" s="107">
        <v>0</v>
      </c>
      <c r="D34" s="107">
        <v>0</v>
      </c>
      <c r="E34" s="107">
        <v>0</v>
      </c>
      <c r="F34" s="107">
        <v>0</v>
      </c>
      <c r="G34" s="107">
        <v>0</v>
      </c>
      <c r="H34" s="107">
        <v>0</v>
      </c>
      <c r="I34" s="107">
        <v>0</v>
      </c>
      <c r="J34" s="107">
        <v>0</v>
      </c>
      <c r="K34" s="107">
        <v>0</v>
      </c>
      <c r="L34" s="107">
        <v>0</v>
      </c>
      <c r="M34" s="107">
        <v>0</v>
      </c>
      <c r="N34" s="107">
        <v>0</v>
      </c>
      <c r="O34" s="107">
        <v>0</v>
      </c>
      <c r="P34" s="107">
        <v>0</v>
      </c>
      <c r="Q34" s="107">
        <v>0</v>
      </c>
      <c r="R34" s="107">
        <v>0</v>
      </c>
      <c r="S34" s="107">
        <v>0</v>
      </c>
      <c r="T34" s="107">
        <v>0</v>
      </c>
      <c r="U34" s="107">
        <v>0</v>
      </c>
      <c r="V34" s="107">
        <v>0</v>
      </c>
      <c r="W34" s="107">
        <v>0</v>
      </c>
      <c r="X34" s="107">
        <v>0</v>
      </c>
      <c r="Y34" s="107">
        <v>0</v>
      </c>
      <c r="Z34" s="107">
        <v>0</v>
      </c>
      <c r="AA34" s="107">
        <v>0</v>
      </c>
      <c r="AB34" s="107">
        <v>0</v>
      </c>
      <c r="AC34" s="107">
        <v>0</v>
      </c>
      <c r="AD34" s="107">
        <v>0</v>
      </c>
      <c r="AE34" s="107">
        <v>0</v>
      </c>
      <c r="AF34" s="107">
        <v>0</v>
      </c>
      <c r="AG34" s="107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indexed="51"/>
  </sheetPr>
  <dimension ref="A1:AG34"/>
  <sheetViews>
    <sheetView workbookViewId="0">
      <selection activeCell="A3" sqref="A3"/>
    </sheetView>
  </sheetViews>
  <sheetFormatPr baseColWidth="10" defaultRowHeight="13" x14ac:dyDescent="0.15"/>
  <cols>
    <col min="1" max="1" width="21.6640625" style="107" bestFit="1" customWidth="1"/>
    <col min="2" max="33" width="2.33203125" style="107" customWidth="1"/>
    <col min="34" max="16384" width="10.83203125" style="107"/>
  </cols>
  <sheetData>
    <row r="1" spans="1:33" x14ac:dyDescent="0.15">
      <c r="A1" s="62" t="s">
        <v>139</v>
      </c>
      <c r="B1" s="189" t="s">
        <v>192</v>
      </c>
      <c r="C1" s="189" t="s">
        <v>193</v>
      </c>
      <c r="D1" s="189" t="s">
        <v>194</v>
      </c>
      <c r="E1" s="189" t="s">
        <v>195</v>
      </c>
      <c r="F1" s="189" t="s">
        <v>196</v>
      </c>
      <c r="G1" s="189" t="s">
        <v>197</v>
      </c>
      <c r="H1" s="189" t="s">
        <v>198</v>
      </c>
      <c r="I1" s="189" t="s">
        <v>199</v>
      </c>
      <c r="J1" s="189" t="s">
        <v>200</v>
      </c>
      <c r="K1" s="189" t="s">
        <v>201</v>
      </c>
      <c r="L1" s="189" t="s">
        <v>202</v>
      </c>
      <c r="M1" s="189" t="s">
        <v>203</v>
      </c>
      <c r="N1" s="189" t="s">
        <v>204</v>
      </c>
      <c r="O1" s="189" t="s">
        <v>205</v>
      </c>
      <c r="P1" s="189" t="s">
        <v>206</v>
      </c>
      <c r="Q1" s="189" t="s">
        <v>207</v>
      </c>
      <c r="R1" s="189" t="s">
        <v>208</v>
      </c>
      <c r="S1" s="189" t="s">
        <v>209</v>
      </c>
      <c r="T1" s="189" t="s">
        <v>210</v>
      </c>
      <c r="U1" s="189" t="s">
        <v>211</v>
      </c>
      <c r="V1" s="189" t="s">
        <v>212</v>
      </c>
      <c r="W1" s="189" t="s">
        <v>213</v>
      </c>
      <c r="X1" s="189" t="s">
        <v>214</v>
      </c>
      <c r="Y1" s="189" t="s">
        <v>215</v>
      </c>
      <c r="Z1" s="189" t="s">
        <v>216</v>
      </c>
      <c r="AA1" s="189" t="s">
        <v>217</v>
      </c>
      <c r="AB1" s="189" t="s">
        <v>218</v>
      </c>
      <c r="AC1" s="189" t="s">
        <v>219</v>
      </c>
      <c r="AD1" s="189" t="s">
        <v>220</v>
      </c>
      <c r="AE1" s="189" t="s">
        <v>221</v>
      </c>
      <c r="AF1" s="189" t="s">
        <v>222</v>
      </c>
      <c r="AG1" s="189" t="s">
        <v>223</v>
      </c>
    </row>
    <row r="2" spans="1:33" customFormat="1" x14ac:dyDescent="0.15">
      <c r="A2" s="188" t="s">
        <v>192</v>
      </c>
      <c r="B2" s="107">
        <v>0</v>
      </c>
      <c r="C2" s="107">
        <v>0</v>
      </c>
      <c r="D2" s="107">
        <v>0</v>
      </c>
      <c r="E2" s="107">
        <v>0</v>
      </c>
      <c r="F2" s="107">
        <v>0</v>
      </c>
      <c r="G2" s="107">
        <v>0</v>
      </c>
      <c r="H2" s="107">
        <v>0</v>
      </c>
      <c r="I2" s="107">
        <v>0</v>
      </c>
      <c r="J2" s="107">
        <v>0</v>
      </c>
      <c r="K2" s="107">
        <v>0</v>
      </c>
      <c r="L2" s="107">
        <v>0</v>
      </c>
      <c r="M2" s="107">
        <v>0</v>
      </c>
      <c r="N2" s="107">
        <v>0</v>
      </c>
      <c r="O2" s="107">
        <v>0</v>
      </c>
      <c r="P2" s="107">
        <v>0</v>
      </c>
      <c r="Q2" s="107">
        <v>0</v>
      </c>
      <c r="R2" s="107">
        <v>0</v>
      </c>
      <c r="S2" s="107">
        <v>0</v>
      </c>
      <c r="T2" s="107">
        <v>0</v>
      </c>
      <c r="U2" s="107">
        <v>0</v>
      </c>
      <c r="V2" s="107">
        <v>0</v>
      </c>
      <c r="W2" s="107">
        <v>0</v>
      </c>
      <c r="X2" s="107">
        <v>0</v>
      </c>
      <c r="Y2" s="107">
        <v>0</v>
      </c>
      <c r="Z2" s="107">
        <v>0</v>
      </c>
      <c r="AA2" s="107">
        <v>0</v>
      </c>
      <c r="AB2" s="107">
        <v>0</v>
      </c>
      <c r="AC2" s="107">
        <v>0</v>
      </c>
      <c r="AD2" s="107">
        <v>0</v>
      </c>
      <c r="AE2" s="107">
        <v>0</v>
      </c>
      <c r="AF2" s="107">
        <v>0</v>
      </c>
      <c r="AG2" s="107">
        <v>0</v>
      </c>
    </row>
    <row r="3" spans="1:33" customFormat="1" x14ac:dyDescent="0.15">
      <c r="A3" s="188" t="s">
        <v>193</v>
      </c>
      <c r="B3" s="107">
        <v>0</v>
      </c>
      <c r="C3" s="107">
        <v>0</v>
      </c>
      <c r="D3" s="107">
        <v>0</v>
      </c>
      <c r="E3" s="107">
        <v>0</v>
      </c>
      <c r="F3" s="107">
        <v>0</v>
      </c>
      <c r="G3" s="107">
        <v>0</v>
      </c>
      <c r="H3" s="107">
        <v>0</v>
      </c>
      <c r="I3" s="107">
        <v>0</v>
      </c>
      <c r="J3" s="107">
        <v>0</v>
      </c>
      <c r="K3" s="107">
        <v>0</v>
      </c>
      <c r="L3" s="107">
        <v>0</v>
      </c>
      <c r="M3" s="107">
        <v>0</v>
      </c>
      <c r="N3" s="107">
        <v>0</v>
      </c>
      <c r="O3" s="107">
        <v>0</v>
      </c>
      <c r="P3" s="107">
        <v>0</v>
      </c>
      <c r="Q3" s="107">
        <v>0</v>
      </c>
      <c r="R3" s="107">
        <v>0</v>
      </c>
      <c r="S3" s="107">
        <v>0</v>
      </c>
      <c r="T3" s="107">
        <v>0</v>
      </c>
      <c r="U3" s="107">
        <v>0</v>
      </c>
      <c r="V3" s="107">
        <v>0</v>
      </c>
      <c r="W3" s="107">
        <v>0</v>
      </c>
      <c r="X3" s="107">
        <v>0</v>
      </c>
      <c r="Y3" s="107">
        <v>0</v>
      </c>
      <c r="Z3" s="107">
        <v>0</v>
      </c>
      <c r="AA3" s="107">
        <v>0</v>
      </c>
      <c r="AB3" s="107">
        <v>0</v>
      </c>
      <c r="AC3" s="107">
        <v>0</v>
      </c>
      <c r="AD3" s="107">
        <v>0</v>
      </c>
      <c r="AE3" s="107">
        <v>0</v>
      </c>
      <c r="AF3" s="107">
        <v>0</v>
      </c>
      <c r="AG3" s="107">
        <v>0</v>
      </c>
    </row>
    <row r="4" spans="1:33" customFormat="1" x14ac:dyDescent="0.15">
      <c r="A4" s="188" t="s">
        <v>194</v>
      </c>
      <c r="B4" s="107">
        <v>0</v>
      </c>
      <c r="C4" s="107">
        <v>0</v>
      </c>
      <c r="D4" s="107">
        <v>0</v>
      </c>
      <c r="E4" s="107">
        <v>0</v>
      </c>
      <c r="F4" s="107">
        <v>0</v>
      </c>
      <c r="G4" s="107">
        <v>0</v>
      </c>
      <c r="H4" s="107">
        <v>0</v>
      </c>
      <c r="I4" s="107">
        <v>0</v>
      </c>
      <c r="J4" s="107">
        <v>0</v>
      </c>
      <c r="K4" s="107">
        <v>0</v>
      </c>
      <c r="L4" s="107">
        <v>0</v>
      </c>
      <c r="M4" s="107">
        <v>0</v>
      </c>
      <c r="N4" s="107">
        <v>0</v>
      </c>
      <c r="O4" s="107">
        <v>0</v>
      </c>
      <c r="P4" s="107">
        <v>0</v>
      </c>
      <c r="Q4" s="107">
        <v>0</v>
      </c>
      <c r="R4" s="107">
        <v>0</v>
      </c>
      <c r="S4" s="107">
        <v>0</v>
      </c>
      <c r="T4" s="107">
        <v>0</v>
      </c>
      <c r="U4" s="107">
        <v>0</v>
      </c>
      <c r="V4" s="107">
        <v>0</v>
      </c>
      <c r="W4" s="107">
        <v>0</v>
      </c>
      <c r="X4" s="107">
        <v>0</v>
      </c>
      <c r="Y4" s="107">
        <v>0</v>
      </c>
      <c r="Z4" s="107">
        <v>0</v>
      </c>
      <c r="AA4" s="107">
        <v>0</v>
      </c>
      <c r="AB4" s="107">
        <v>0</v>
      </c>
      <c r="AC4" s="107">
        <v>0</v>
      </c>
      <c r="AD4" s="107">
        <v>0</v>
      </c>
      <c r="AE4" s="107">
        <v>0</v>
      </c>
      <c r="AF4" s="107">
        <v>0</v>
      </c>
      <c r="AG4" s="107">
        <v>0</v>
      </c>
    </row>
    <row r="5" spans="1:33" customFormat="1" x14ac:dyDescent="0.15">
      <c r="A5" s="188" t="s">
        <v>195</v>
      </c>
      <c r="B5" s="107">
        <v>0</v>
      </c>
      <c r="C5" s="107">
        <v>0</v>
      </c>
      <c r="D5" s="107">
        <v>0</v>
      </c>
      <c r="E5" s="107">
        <v>0</v>
      </c>
      <c r="F5" s="107">
        <v>0</v>
      </c>
      <c r="G5" s="107">
        <v>0</v>
      </c>
      <c r="H5" s="107">
        <v>0</v>
      </c>
      <c r="I5" s="107">
        <v>0</v>
      </c>
      <c r="J5" s="107">
        <v>0</v>
      </c>
      <c r="K5" s="107">
        <v>0</v>
      </c>
      <c r="L5" s="107">
        <v>0</v>
      </c>
      <c r="M5" s="107">
        <v>0</v>
      </c>
      <c r="N5" s="107">
        <v>0</v>
      </c>
      <c r="O5" s="107">
        <v>0</v>
      </c>
      <c r="P5" s="107">
        <v>0</v>
      </c>
      <c r="Q5" s="107">
        <v>0</v>
      </c>
      <c r="R5" s="107">
        <v>0</v>
      </c>
      <c r="S5" s="107">
        <v>0</v>
      </c>
      <c r="T5" s="107">
        <v>0</v>
      </c>
      <c r="U5" s="107">
        <v>0</v>
      </c>
      <c r="V5" s="107">
        <v>0</v>
      </c>
      <c r="W5" s="107">
        <v>0</v>
      </c>
      <c r="X5" s="107">
        <v>0</v>
      </c>
      <c r="Y5" s="107">
        <v>0</v>
      </c>
      <c r="Z5" s="107">
        <v>0</v>
      </c>
      <c r="AA5" s="107">
        <v>0</v>
      </c>
      <c r="AB5" s="107">
        <v>0</v>
      </c>
      <c r="AC5" s="107">
        <v>0</v>
      </c>
      <c r="AD5" s="107">
        <v>0</v>
      </c>
      <c r="AE5" s="107">
        <v>0</v>
      </c>
      <c r="AF5" s="107">
        <v>0</v>
      </c>
      <c r="AG5" s="107">
        <v>0</v>
      </c>
    </row>
    <row r="6" spans="1:33" customFormat="1" x14ac:dyDescent="0.15">
      <c r="A6" s="188" t="s">
        <v>196</v>
      </c>
      <c r="B6" s="107">
        <v>0</v>
      </c>
      <c r="C6" s="107">
        <v>1</v>
      </c>
      <c r="D6" s="107">
        <v>1</v>
      </c>
      <c r="E6" s="107">
        <v>0</v>
      </c>
      <c r="F6" s="107">
        <v>0</v>
      </c>
      <c r="G6" s="107">
        <v>0</v>
      </c>
      <c r="H6" s="107">
        <v>0</v>
      </c>
      <c r="I6" s="107">
        <v>0</v>
      </c>
      <c r="J6" s="107">
        <v>0</v>
      </c>
      <c r="K6" s="107">
        <v>0</v>
      </c>
      <c r="L6" s="107">
        <v>0</v>
      </c>
      <c r="M6" s="107">
        <v>0</v>
      </c>
      <c r="N6" s="107">
        <v>0</v>
      </c>
      <c r="O6" s="107">
        <v>0</v>
      </c>
      <c r="P6" s="107">
        <v>0</v>
      </c>
      <c r="Q6" s="107">
        <v>0</v>
      </c>
      <c r="R6" s="107">
        <v>0</v>
      </c>
      <c r="S6" s="107">
        <v>0</v>
      </c>
      <c r="T6" s="107">
        <v>0</v>
      </c>
      <c r="U6" s="107">
        <v>0</v>
      </c>
      <c r="V6" s="107">
        <v>0</v>
      </c>
      <c r="W6" s="107">
        <v>0</v>
      </c>
      <c r="X6" s="107">
        <v>0</v>
      </c>
      <c r="Y6" s="107">
        <v>0</v>
      </c>
      <c r="Z6" s="107">
        <v>0</v>
      </c>
      <c r="AA6" s="107">
        <v>0</v>
      </c>
      <c r="AB6" s="107">
        <v>0</v>
      </c>
      <c r="AC6" s="107">
        <v>0</v>
      </c>
      <c r="AD6" s="107">
        <v>0</v>
      </c>
      <c r="AE6" s="107">
        <v>0</v>
      </c>
      <c r="AF6" s="107">
        <v>0</v>
      </c>
      <c r="AG6" s="107">
        <v>0</v>
      </c>
    </row>
    <row r="7" spans="1:33" customFormat="1" x14ac:dyDescent="0.15">
      <c r="A7" s="188" t="s">
        <v>197</v>
      </c>
      <c r="B7" s="107">
        <v>1</v>
      </c>
      <c r="C7" s="107">
        <v>1</v>
      </c>
      <c r="D7" s="107">
        <v>0</v>
      </c>
      <c r="E7" s="107">
        <v>1</v>
      </c>
      <c r="F7" s="107">
        <v>1</v>
      </c>
      <c r="G7" s="107">
        <v>1</v>
      </c>
      <c r="H7" s="107">
        <v>1</v>
      </c>
      <c r="I7" s="107">
        <v>1</v>
      </c>
      <c r="J7" s="107">
        <v>1</v>
      </c>
      <c r="K7" s="107">
        <v>0</v>
      </c>
      <c r="L7" s="107">
        <v>0</v>
      </c>
      <c r="M7" s="107">
        <v>1</v>
      </c>
      <c r="N7" s="107">
        <v>1</v>
      </c>
      <c r="O7" s="107">
        <v>1</v>
      </c>
      <c r="P7" s="107">
        <v>0</v>
      </c>
      <c r="Q7" s="107">
        <v>0</v>
      </c>
      <c r="R7" s="107">
        <v>0</v>
      </c>
      <c r="S7" s="107">
        <v>0</v>
      </c>
      <c r="T7" s="107">
        <v>1</v>
      </c>
      <c r="U7" s="107">
        <v>1</v>
      </c>
      <c r="V7" s="107">
        <v>0</v>
      </c>
      <c r="W7" s="107">
        <v>0</v>
      </c>
      <c r="X7" s="107">
        <v>0</v>
      </c>
      <c r="Y7" s="107">
        <v>0</v>
      </c>
      <c r="Z7" s="107">
        <v>0</v>
      </c>
      <c r="AA7" s="107">
        <v>0</v>
      </c>
      <c r="AB7" s="107">
        <v>0</v>
      </c>
      <c r="AC7" s="107">
        <v>0</v>
      </c>
      <c r="AD7" s="107">
        <v>0</v>
      </c>
      <c r="AE7" s="107">
        <v>0</v>
      </c>
      <c r="AF7" s="107">
        <v>0</v>
      </c>
      <c r="AG7" s="107">
        <v>0</v>
      </c>
    </row>
    <row r="8" spans="1:33" customFormat="1" x14ac:dyDescent="0.15">
      <c r="A8" s="188" t="s">
        <v>198</v>
      </c>
      <c r="B8" s="107">
        <v>0</v>
      </c>
      <c r="C8" s="107">
        <v>1</v>
      </c>
      <c r="D8" s="107">
        <v>1</v>
      </c>
      <c r="E8" s="107">
        <v>0</v>
      </c>
      <c r="F8" s="107">
        <v>0</v>
      </c>
      <c r="G8" s="107">
        <v>0</v>
      </c>
      <c r="H8" s="107">
        <v>0</v>
      </c>
      <c r="I8" s="107">
        <v>0</v>
      </c>
      <c r="J8" s="107">
        <v>0</v>
      </c>
      <c r="K8" s="107">
        <v>0</v>
      </c>
      <c r="L8" s="107">
        <v>0</v>
      </c>
      <c r="M8" s="107">
        <v>0</v>
      </c>
      <c r="N8" s="107">
        <v>0</v>
      </c>
      <c r="O8" s="107">
        <v>0</v>
      </c>
      <c r="P8" s="107">
        <v>0</v>
      </c>
      <c r="Q8" s="107">
        <v>0</v>
      </c>
      <c r="R8" s="107">
        <v>0</v>
      </c>
      <c r="S8" s="107">
        <v>0</v>
      </c>
      <c r="T8" s="107">
        <v>0</v>
      </c>
      <c r="U8" s="107">
        <v>0</v>
      </c>
      <c r="V8" s="107">
        <v>0</v>
      </c>
      <c r="W8" s="107">
        <v>0</v>
      </c>
      <c r="X8" s="107">
        <v>0</v>
      </c>
      <c r="Y8" s="107">
        <v>0</v>
      </c>
      <c r="Z8" s="107">
        <v>0</v>
      </c>
      <c r="AA8" s="107">
        <v>0</v>
      </c>
      <c r="AB8" s="107">
        <v>0</v>
      </c>
      <c r="AC8" s="107">
        <v>0</v>
      </c>
      <c r="AD8" s="107">
        <v>0</v>
      </c>
      <c r="AE8" s="107">
        <v>0</v>
      </c>
      <c r="AF8" s="107">
        <v>0</v>
      </c>
      <c r="AG8" s="107">
        <v>0</v>
      </c>
    </row>
    <row r="9" spans="1:33" customFormat="1" x14ac:dyDescent="0.15">
      <c r="A9" s="188" t="s">
        <v>199</v>
      </c>
      <c r="B9" s="107">
        <v>0</v>
      </c>
      <c r="C9" s="107">
        <v>1</v>
      </c>
      <c r="D9" s="107">
        <v>1</v>
      </c>
      <c r="E9" s="107">
        <v>0</v>
      </c>
      <c r="F9" s="107">
        <v>1</v>
      </c>
      <c r="G9" s="107">
        <v>1</v>
      </c>
      <c r="H9" s="107">
        <v>1</v>
      </c>
      <c r="I9" s="107">
        <v>1</v>
      </c>
      <c r="J9" s="107">
        <v>1</v>
      </c>
      <c r="K9" s="107">
        <v>1</v>
      </c>
      <c r="L9" s="107">
        <v>0</v>
      </c>
      <c r="M9" s="107">
        <v>1</v>
      </c>
      <c r="N9" s="107">
        <v>0</v>
      </c>
      <c r="O9" s="107">
        <v>0</v>
      </c>
      <c r="P9" s="107">
        <v>0</v>
      </c>
      <c r="Q9" s="107">
        <v>0</v>
      </c>
      <c r="R9" s="107">
        <v>0</v>
      </c>
      <c r="S9" s="107">
        <v>0</v>
      </c>
      <c r="T9" s="107">
        <v>0</v>
      </c>
      <c r="U9" s="107">
        <v>0</v>
      </c>
      <c r="V9" s="107">
        <v>0</v>
      </c>
      <c r="W9" s="107">
        <v>0</v>
      </c>
      <c r="X9" s="107">
        <v>0</v>
      </c>
      <c r="Y9" s="107">
        <v>0</v>
      </c>
      <c r="Z9" s="107">
        <v>0</v>
      </c>
      <c r="AA9" s="107">
        <v>0</v>
      </c>
      <c r="AB9" s="107">
        <v>0</v>
      </c>
      <c r="AC9" s="107">
        <v>0</v>
      </c>
      <c r="AD9" s="107">
        <v>0</v>
      </c>
      <c r="AE9" s="107">
        <v>0</v>
      </c>
      <c r="AF9" s="107">
        <v>0</v>
      </c>
      <c r="AG9" s="107">
        <v>0</v>
      </c>
    </row>
    <row r="10" spans="1:33" customFormat="1" x14ac:dyDescent="0.15">
      <c r="A10" s="188" t="s">
        <v>200</v>
      </c>
      <c r="B10" s="107">
        <v>0</v>
      </c>
      <c r="C10" s="107">
        <v>1</v>
      </c>
      <c r="D10" s="107">
        <v>0</v>
      </c>
      <c r="E10" s="107">
        <v>0</v>
      </c>
      <c r="F10" s="107">
        <v>0</v>
      </c>
      <c r="G10" s="107">
        <v>0</v>
      </c>
      <c r="H10" s="107">
        <v>0</v>
      </c>
      <c r="I10" s="107">
        <v>0</v>
      </c>
      <c r="J10" s="107">
        <v>0</v>
      </c>
      <c r="K10" s="107">
        <v>0</v>
      </c>
      <c r="L10" s="107">
        <v>0</v>
      </c>
      <c r="M10" s="107">
        <v>0</v>
      </c>
      <c r="N10" s="107">
        <v>0</v>
      </c>
      <c r="O10" s="107">
        <v>0</v>
      </c>
      <c r="P10" s="107">
        <v>0</v>
      </c>
      <c r="Q10" s="107">
        <v>0</v>
      </c>
      <c r="R10" s="107">
        <v>0</v>
      </c>
      <c r="S10" s="107">
        <v>0</v>
      </c>
      <c r="T10" s="107">
        <v>0</v>
      </c>
      <c r="U10" s="107">
        <v>0</v>
      </c>
      <c r="V10" s="107">
        <v>0</v>
      </c>
      <c r="W10" s="107">
        <v>0</v>
      </c>
      <c r="X10" s="107">
        <v>0</v>
      </c>
      <c r="Y10" s="107">
        <v>0</v>
      </c>
      <c r="Z10" s="107">
        <v>0</v>
      </c>
      <c r="AA10" s="107">
        <v>0</v>
      </c>
      <c r="AB10" s="107">
        <v>0</v>
      </c>
      <c r="AC10" s="107">
        <v>0</v>
      </c>
      <c r="AD10" s="107">
        <v>0</v>
      </c>
      <c r="AE10" s="107">
        <v>0</v>
      </c>
      <c r="AF10" s="107">
        <v>0</v>
      </c>
      <c r="AG10" s="107">
        <v>0</v>
      </c>
    </row>
    <row r="11" spans="1:33" customFormat="1" x14ac:dyDescent="0.15">
      <c r="A11" s="188" t="s">
        <v>201</v>
      </c>
      <c r="B11" s="107">
        <v>0</v>
      </c>
      <c r="C11" s="107">
        <v>1</v>
      </c>
      <c r="D11" s="107">
        <v>0</v>
      </c>
      <c r="E11" s="107">
        <v>0</v>
      </c>
      <c r="F11" s="107">
        <v>1</v>
      </c>
      <c r="G11" s="107">
        <v>1</v>
      </c>
      <c r="H11" s="107">
        <v>1</v>
      </c>
      <c r="I11" s="107">
        <v>0</v>
      </c>
      <c r="J11" s="107">
        <v>1</v>
      </c>
      <c r="K11" s="107">
        <v>1</v>
      </c>
      <c r="L11" s="107">
        <v>0</v>
      </c>
      <c r="M11" s="107">
        <v>1</v>
      </c>
      <c r="N11" s="107">
        <v>0</v>
      </c>
      <c r="O11" s="107">
        <v>1</v>
      </c>
      <c r="P11" s="107">
        <v>0</v>
      </c>
      <c r="Q11" s="107">
        <v>0</v>
      </c>
      <c r="R11" s="107">
        <v>0</v>
      </c>
      <c r="S11" s="107">
        <v>0</v>
      </c>
      <c r="T11" s="107">
        <v>0</v>
      </c>
      <c r="U11" s="107">
        <v>0</v>
      </c>
      <c r="V11" s="107">
        <v>0</v>
      </c>
      <c r="W11" s="107">
        <v>0</v>
      </c>
      <c r="X11" s="107">
        <v>0</v>
      </c>
      <c r="Y11" s="107">
        <v>0</v>
      </c>
      <c r="Z11" s="107">
        <v>0</v>
      </c>
      <c r="AA11" s="107">
        <v>0</v>
      </c>
      <c r="AB11" s="107">
        <v>0</v>
      </c>
      <c r="AC11" s="107">
        <v>0</v>
      </c>
      <c r="AD11" s="107">
        <v>0</v>
      </c>
      <c r="AE11" s="107">
        <v>0</v>
      </c>
      <c r="AF11" s="107">
        <v>0</v>
      </c>
      <c r="AG11" s="107">
        <v>0</v>
      </c>
    </row>
    <row r="12" spans="1:33" customFormat="1" x14ac:dyDescent="0.15">
      <c r="A12" s="188" t="s">
        <v>202</v>
      </c>
      <c r="B12" s="107">
        <v>0</v>
      </c>
      <c r="C12" s="107">
        <v>1</v>
      </c>
      <c r="D12" s="107">
        <v>1</v>
      </c>
      <c r="E12" s="107">
        <v>0</v>
      </c>
      <c r="F12" s="107">
        <v>1</v>
      </c>
      <c r="G12" s="107">
        <v>1</v>
      </c>
      <c r="H12" s="107">
        <v>1</v>
      </c>
      <c r="I12" s="107">
        <v>0</v>
      </c>
      <c r="J12" s="107">
        <v>1</v>
      </c>
      <c r="K12" s="107">
        <v>0</v>
      </c>
      <c r="L12" s="107">
        <v>0</v>
      </c>
      <c r="M12" s="107">
        <v>1</v>
      </c>
      <c r="N12" s="107">
        <v>0</v>
      </c>
      <c r="O12" s="107">
        <v>0</v>
      </c>
      <c r="P12" s="107">
        <v>0</v>
      </c>
      <c r="Q12" s="107">
        <v>0</v>
      </c>
      <c r="R12" s="107">
        <v>0</v>
      </c>
      <c r="S12" s="107">
        <v>0</v>
      </c>
      <c r="T12" s="107">
        <v>0</v>
      </c>
      <c r="U12" s="107">
        <v>0</v>
      </c>
      <c r="V12" s="107">
        <v>0</v>
      </c>
      <c r="W12" s="107">
        <v>0</v>
      </c>
      <c r="X12" s="107">
        <v>0</v>
      </c>
      <c r="Y12" s="107">
        <v>0</v>
      </c>
      <c r="Z12" s="107">
        <v>0</v>
      </c>
      <c r="AA12" s="107">
        <v>0</v>
      </c>
      <c r="AB12" s="107">
        <v>0</v>
      </c>
      <c r="AC12" s="107">
        <v>0</v>
      </c>
      <c r="AD12" s="107">
        <v>0</v>
      </c>
      <c r="AE12" s="107">
        <v>0</v>
      </c>
      <c r="AF12" s="107">
        <v>0</v>
      </c>
      <c r="AG12" s="107">
        <v>0</v>
      </c>
    </row>
    <row r="13" spans="1:33" customFormat="1" x14ac:dyDescent="0.15">
      <c r="A13" s="188" t="s">
        <v>203</v>
      </c>
      <c r="B13" s="107">
        <v>0</v>
      </c>
      <c r="C13" s="107">
        <v>0</v>
      </c>
      <c r="D13" s="107">
        <v>0</v>
      </c>
      <c r="E13" s="107">
        <v>0</v>
      </c>
      <c r="F13" s="107">
        <v>1</v>
      </c>
      <c r="G13" s="107">
        <v>0</v>
      </c>
      <c r="H13" s="107">
        <v>1</v>
      </c>
      <c r="I13" s="107">
        <v>0</v>
      </c>
      <c r="J13" s="107">
        <v>0</v>
      </c>
      <c r="K13" s="107">
        <v>0</v>
      </c>
      <c r="L13" s="107">
        <v>0</v>
      </c>
      <c r="M13" s="107">
        <v>0</v>
      </c>
      <c r="N13" s="107">
        <v>0</v>
      </c>
      <c r="O13" s="107">
        <v>1</v>
      </c>
      <c r="P13" s="107">
        <v>0</v>
      </c>
      <c r="Q13" s="107">
        <v>0</v>
      </c>
      <c r="R13" s="107">
        <v>0</v>
      </c>
      <c r="S13" s="107">
        <v>0</v>
      </c>
      <c r="T13" s="107">
        <v>0</v>
      </c>
      <c r="U13" s="107">
        <v>0</v>
      </c>
      <c r="V13" s="107">
        <v>0</v>
      </c>
      <c r="W13" s="107">
        <v>0</v>
      </c>
      <c r="X13" s="107">
        <v>0</v>
      </c>
      <c r="Y13" s="107">
        <v>0</v>
      </c>
      <c r="Z13" s="107">
        <v>0</v>
      </c>
      <c r="AA13" s="107">
        <v>0</v>
      </c>
      <c r="AB13" s="107">
        <v>0</v>
      </c>
      <c r="AC13" s="107">
        <v>0</v>
      </c>
      <c r="AD13" s="107">
        <v>0</v>
      </c>
      <c r="AE13" s="107">
        <v>0</v>
      </c>
      <c r="AF13" s="107">
        <v>0</v>
      </c>
      <c r="AG13" s="107">
        <v>0</v>
      </c>
    </row>
    <row r="14" spans="1:33" customFormat="1" x14ac:dyDescent="0.15">
      <c r="A14" s="188" t="s">
        <v>204</v>
      </c>
      <c r="B14" s="107">
        <v>0</v>
      </c>
      <c r="C14" s="107">
        <v>1</v>
      </c>
      <c r="D14" s="107">
        <v>1</v>
      </c>
      <c r="E14" s="107">
        <v>0</v>
      </c>
      <c r="F14" s="107">
        <v>1</v>
      </c>
      <c r="G14" s="107">
        <v>1</v>
      </c>
      <c r="H14" s="107">
        <v>1</v>
      </c>
      <c r="I14" s="107">
        <v>1</v>
      </c>
      <c r="J14" s="107">
        <v>0</v>
      </c>
      <c r="K14" s="107">
        <v>1</v>
      </c>
      <c r="L14" s="107">
        <v>0</v>
      </c>
      <c r="M14" s="107">
        <v>1</v>
      </c>
      <c r="N14" s="107">
        <v>1</v>
      </c>
      <c r="O14" s="107">
        <v>1</v>
      </c>
      <c r="P14" s="107">
        <v>0</v>
      </c>
      <c r="Q14" s="107">
        <v>0</v>
      </c>
      <c r="R14" s="107">
        <v>0</v>
      </c>
      <c r="S14" s="107">
        <v>0</v>
      </c>
      <c r="T14" s="107">
        <v>1</v>
      </c>
      <c r="U14" s="107">
        <v>0</v>
      </c>
      <c r="V14" s="107">
        <v>0</v>
      </c>
      <c r="W14" s="107">
        <v>0</v>
      </c>
      <c r="X14" s="107">
        <v>0</v>
      </c>
      <c r="Y14" s="107">
        <v>0</v>
      </c>
      <c r="Z14" s="107">
        <v>0</v>
      </c>
      <c r="AA14" s="107">
        <v>0</v>
      </c>
      <c r="AB14" s="107">
        <v>0</v>
      </c>
      <c r="AC14" s="107">
        <v>0</v>
      </c>
      <c r="AD14" s="107">
        <v>0</v>
      </c>
      <c r="AE14" s="107">
        <v>0</v>
      </c>
      <c r="AF14" s="107">
        <v>0</v>
      </c>
      <c r="AG14" s="107">
        <v>0</v>
      </c>
    </row>
    <row r="15" spans="1:33" customFormat="1" x14ac:dyDescent="0.15">
      <c r="A15" s="188" t="s">
        <v>205</v>
      </c>
      <c r="B15" s="107">
        <v>1</v>
      </c>
      <c r="C15" s="107">
        <v>0</v>
      </c>
      <c r="D15" s="107">
        <v>0</v>
      </c>
      <c r="E15" s="107">
        <v>0</v>
      </c>
      <c r="F15" s="107">
        <v>0</v>
      </c>
      <c r="G15" s="107">
        <v>0</v>
      </c>
      <c r="H15" s="107">
        <v>0</v>
      </c>
      <c r="I15" s="107">
        <v>0</v>
      </c>
      <c r="J15" s="107">
        <v>0</v>
      </c>
      <c r="K15" s="107">
        <v>0</v>
      </c>
      <c r="L15" s="107">
        <v>0</v>
      </c>
      <c r="M15" s="107">
        <v>0</v>
      </c>
      <c r="N15" s="107">
        <v>0</v>
      </c>
      <c r="O15" s="107">
        <v>0</v>
      </c>
      <c r="P15" s="107">
        <v>0</v>
      </c>
      <c r="Q15" s="107">
        <v>0</v>
      </c>
      <c r="R15" s="107">
        <v>0</v>
      </c>
      <c r="S15" s="107">
        <v>0</v>
      </c>
      <c r="T15" s="107">
        <v>0</v>
      </c>
      <c r="U15" s="107">
        <v>0</v>
      </c>
      <c r="V15" s="107">
        <v>0</v>
      </c>
      <c r="W15" s="107">
        <v>0</v>
      </c>
      <c r="X15" s="107">
        <v>0</v>
      </c>
      <c r="Y15" s="107">
        <v>0</v>
      </c>
      <c r="Z15" s="107">
        <v>0</v>
      </c>
      <c r="AA15" s="107">
        <v>0</v>
      </c>
      <c r="AB15" s="107">
        <v>0</v>
      </c>
      <c r="AC15" s="107">
        <v>0</v>
      </c>
      <c r="AD15" s="107">
        <v>0</v>
      </c>
      <c r="AE15" s="107">
        <v>0</v>
      </c>
      <c r="AF15" s="107">
        <v>0</v>
      </c>
      <c r="AG15" s="107">
        <v>0</v>
      </c>
    </row>
    <row r="16" spans="1:33" customFormat="1" x14ac:dyDescent="0.15">
      <c r="A16" s="188" t="s">
        <v>206</v>
      </c>
      <c r="B16" s="107">
        <v>1</v>
      </c>
      <c r="C16" s="107">
        <v>1</v>
      </c>
      <c r="D16" s="107">
        <v>1</v>
      </c>
      <c r="E16" s="107">
        <v>1</v>
      </c>
      <c r="F16" s="107">
        <v>1</v>
      </c>
      <c r="G16" s="107">
        <v>1</v>
      </c>
      <c r="H16" s="107">
        <v>1</v>
      </c>
      <c r="I16" s="107">
        <v>1</v>
      </c>
      <c r="J16" s="107">
        <v>1</v>
      </c>
      <c r="K16" s="107">
        <v>1</v>
      </c>
      <c r="L16" s="107">
        <v>1</v>
      </c>
      <c r="M16" s="107">
        <v>1</v>
      </c>
      <c r="N16" s="107">
        <v>1</v>
      </c>
      <c r="O16" s="107">
        <v>1</v>
      </c>
      <c r="P16" s="107">
        <v>1</v>
      </c>
      <c r="Q16" s="107">
        <v>0</v>
      </c>
      <c r="R16" s="107">
        <v>0</v>
      </c>
      <c r="S16" s="107">
        <v>0</v>
      </c>
      <c r="T16" s="107">
        <v>1</v>
      </c>
      <c r="U16" s="107">
        <v>1</v>
      </c>
      <c r="V16" s="107">
        <v>0</v>
      </c>
      <c r="W16" s="107">
        <v>0</v>
      </c>
      <c r="X16" s="107">
        <v>0</v>
      </c>
      <c r="Y16" s="107">
        <v>0</v>
      </c>
      <c r="Z16" s="107">
        <v>0</v>
      </c>
      <c r="AA16" s="107">
        <v>0</v>
      </c>
      <c r="AB16" s="107">
        <v>0</v>
      </c>
      <c r="AC16" s="107">
        <v>0</v>
      </c>
      <c r="AD16" s="107">
        <v>0</v>
      </c>
      <c r="AE16" s="107">
        <v>0</v>
      </c>
      <c r="AF16" s="107">
        <v>0</v>
      </c>
      <c r="AG16" s="107">
        <v>0</v>
      </c>
    </row>
    <row r="17" spans="1:33" customFormat="1" x14ac:dyDescent="0.15">
      <c r="A17" s="188" t="s">
        <v>207</v>
      </c>
      <c r="B17" s="107">
        <v>1</v>
      </c>
      <c r="C17" s="107">
        <v>1</v>
      </c>
      <c r="D17" s="107">
        <v>1</v>
      </c>
      <c r="E17" s="107">
        <v>1</v>
      </c>
      <c r="F17" s="107">
        <v>1</v>
      </c>
      <c r="G17" s="107">
        <v>1</v>
      </c>
      <c r="H17" s="107">
        <v>1</v>
      </c>
      <c r="I17" s="107">
        <v>1</v>
      </c>
      <c r="J17" s="107">
        <v>1</v>
      </c>
      <c r="K17" s="107">
        <v>1</v>
      </c>
      <c r="L17" s="107">
        <v>1</v>
      </c>
      <c r="M17" s="107">
        <v>1</v>
      </c>
      <c r="N17" s="107">
        <v>1</v>
      </c>
      <c r="O17" s="107">
        <v>1</v>
      </c>
      <c r="P17" s="107">
        <v>1</v>
      </c>
      <c r="Q17" s="107">
        <v>1</v>
      </c>
      <c r="R17" s="107">
        <v>0</v>
      </c>
      <c r="S17" s="107">
        <v>1</v>
      </c>
      <c r="T17" s="107">
        <v>1</v>
      </c>
      <c r="U17" s="107">
        <v>1</v>
      </c>
      <c r="V17" s="107">
        <v>0</v>
      </c>
      <c r="W17" s="107">
        <v>0</v>
      </c>
      <c r="X17" s="107">
        <v>0</v>
      </c>
      <c r="Y17" s="107">
        <v>0</v>
      </c>
      <c r="Z17" s="107">
        <v>0</v>
      </c>
      <c r="AA17" s="107">
        <v>0</v>
      </c>
      <c r="AB17" s="107">
        <v>0</v>
      </c>
      <c r="AC17" s="107">
        <v>0</v>
      </c>
      <c r="AD17" s="107">
        <v>0</v>
      </c>
      <c r="AE17" s="107">
        <v>0</v>
      </c>
      <c r="AF17" s="107">
        <v>0</v>
      </c>
      <c r="AG17" s="107">
        <v>0</v>
      </c>
    </row>
    <row r="18" spans="1:33" customFormat="1" x14ac:dyDescent="0.15">
      <c r="A18" s="188" t="s">
        <v>208</v>
      </c>
      <c r="B18" s="107">
        <v>1</v>
      </c>
      <c r="C18" s="107">
        <v>1</v>
      </c>
      <c r="D18" s="107">
        <v>0</v>
      </c>
      <c r="E18" s="107">
        <v>1</v>
      </c>
      <c r="F18" s="107">
        <v>1</v>
      </c>
      <c r="G18" s="107">
        <v>1</v>
      </c>
      <c r="H18" s="107">
        <v>0</v>
      </c>
      <c r="I18" s="107">
        <v>1</v>
      </c>
      <c r="J18" s="107">
        <v>1</v>
      </c>
      <c r="K18" s="107">
        <v>1</v>
      </c>
      <c r="L18" s="107">
        <v>1</v>
      </c>
      <c r="M18" s="107">
        <v>1</v>
      </c>
      <c r="N18" s="107">
        <v>1</v>
      </c>
      <c r="O18" s="107">
        <v>1</v>
      </c>
      <c r="P18" s="107">
        <v>1</v>
      </c>
      <c r="Q18" s="107">
        <v>1</v>
      </c>
      <c r="R18" s="107">
        <v>0</v>
      </c>
      <c r="S18" s="107">
        <v>0</v>
      </c>
      <c r="T18" s="107">
        <v>1</v>
      </c>
      <c r="U18" s="107">
        <v>1</v>
      </c>
      <c r="V18" s="107">
        <v>0</v>
      </c>
      <c r="W18" s="107">
        <v>0</v>
      </c>
      <c r="X18" s="107">
        <v>0</v>
      </c>
      <c r="Y18" s="107">
        <v>0</v>
      </c>
      <c r="Z18" s="107">
        <v>0</v>
      </c>
      <c r="AA18" s="107">
        <v>0</v>
      </c>
      <c r="AB18" s="107">
        <v>0</v>
      </c>
      <c r="AC18" s="107">
        <v>0</v>
      </c>
      <c r="AD18" s="107">
        <v>0</v>
      </c>
      <c r="AE18" s="107">
        <v>0</v>
      </c>
      <c r="AF18" s="107">
        <v>0</v>
      </c>
      <c r="AG18" s="107">
        <v>0</v>
      </c>
    </row>
    <row r="19" spans="1:33" customFormat="1" x14ac:dyDescent="0.15">
      <c r="A19" s="188" t="s">
        <v>209</v>
      </c>
      <c r="B19" s="107">
        <v>0</v>
      </c>
      <c r="C19" s="107">
        <v>1</v>
      </c>
      <c r="D19" s="107">
        <v>1</v>
      </c>
      <c r="E19" s="107">
        <v>1</v>
      </c>
      <c r="F19" s="107">
        <v>1</v>
      </c>
      <c r="G19" s="107">
        <v>1</v>
      </c>
      <c r="H19" s="107">
        <v>1</v>
      </c>
      <c r="I19" s="107">
        <v>1</v>
      </c>
      <c r="J19" s="107">
        <v>1</v>
      </c>
      <c r="K19" s="107">
        <v>1</v>
      </c>
      <c r="L19" s="107">
        <v>0</v>
      </c>
      <c r="M19" s="107">
        <v>1</v>
      </c>
      <c r="N19" s="107">
        <v>0</v>
      </c>
      <c r="O19" s="107">
        <v>0</v>
      </c>
      <c r="P19" s="107">
        <v>1</v>
      </c>
      <c r="Q19" s="107">
        <v>0</v>
      </c>
      <c r="R19" s="107">
        <v>0</v>
      </c>
      <c r="S19" s="107">
        <v>1</v>
      </c>
      <c r="T19" s="107">
        <v>0</v>
      </c>
      <c r="U19" s="107">
        <v>0</v>
      </c>
      <c r="V19" s="107">
        <v>0</v>
      </c>
      <c r="W19" s="107">
        <v>0</v>
      </c>
      <c r="X19" s="107">
        <v>0</v>
      </c>
      <c r="Y19" s="107">
        <v>0</v>
      </c>
      <c r="Z19" s="107">
        <v>0</v>
      </c>
      <c r="AA19" s="107">
        <v>0</v>
      </c>
      <c r="AB19" s="107">
        <v>0</v>
      </c>
      <c r="AC19" s="107">
        <v>0</v>
      </c>
      <c r="AD19" s="107">
        <v>0</v>
      </c>
      <c r="AE19" s="107">
        <v>0</v>
      </c>
      <c r="AF19" s="107">
        <v>0</v>
      </c>
      <c r="AG19" s="107">
        <v>0</v>
      </c>
    </row>
    <row r="20" spans="1:33" customFormat="1" x14ac:dyDescent="0.15">
      <c r="A20" s="188" t="s">
        <v>210</v>
      </c>
      <c r="B20" s="107">
        <v>0</v>
      </c>
      <c r="C20" s="107">
        <v>1</v>
      </c>
      <c r="D20" s="107">
        <v>0</v>
      </c>
      <c r="E20" s="107">
        <v>1</v>
      </c>
      <c r="F20" s="107">
        <v>0</v>
      </c>
      <c r="G20" s="107">
        <v>0</v>
      </c>
      <c r="H20" s="107">
        <v>1</v>
      </c>
      <c r="I20" s="107">
        <v>0</v>
      </c>
      <c r="J20" s="107">
        <v>0</v>
      </c>
      <c r="K20" s="107">
        <v>0</v>
      </c>
      <c r="L20" s="107">
        <v>0</v>
      </c>
      <c r="M20" s="107">
        <v>0</v>
      </c>
      <c r="N20" s="107">
        <v>0</v>
      </c>
      <c r="O20" s="107">
        <v>0</v>
      </c>
      <c r="P20" s="107">
        <v>0</v>
      </c>
      <c r="Q20" s="107">
        <v>0</v>
      </c>
      <c r="R20" s="107">
        <v>0</v>
      </c>
      <c r="S20" s="107">
        <v>0</v>
      </c>
      <c r="T20" s="107">
        <v>0</v>
      </c>
      <c r="U20" s="107">
        <v>0</v>
      </c>
      <c r="V20" s="107">
        <v>0</v>
      </c>
      <c r="W20" s="107">
        <v>0</v>
      </c>
      <c r="X20" s="107">
        <v>0</v>
      </c>
      <c r="Y20" s="107">
        <v>0</v>
      </c>
      <c r="Z20" s="107">
        <v>0</v>
      </c>
      <c r="AA20" s="107">
        <v>0</v>
      </c>
      <c r="AB20" s="107">
        <v>0</v>
      </c>
      <c r="AC20" s="107">
        <v>0</v>
      </c>
      <c r="AD20" s="107">
        <v>0</v>
      </c>
      <c r="AE20" s="107">
        <v>0</v>
      </c>
      <c r="AF20" s="107">
        <v>0</v>
      </c>
      <c r="AG20" s="107">
        <v>0</v>
      </c>
    </row>
    <row r="21" spans="1:33" customFormat="1" x14ac:dyDescent="0.15">
      <c r="A21" s="188" t="s">
        <v>211</v>
      </c>
      <c r="B21" s="107">
        <v>1</v>
      </c>
      <c r="C21" s="107">
        <v>1</v>
      </c>
      <c r="D21" s="107">
        <v>1</v>
      </c>
      <c r="E21" s="107">
        <v>1</v>
      </c>
      <c r="F21" s="107">
        <v>1</v>
      </c>
      <c r="G21" s="107">
        <v>1</v>
      </c>
      <c r="H21" s="107">
        <v>1</v>
      </c>
      <c r="I21" s="107">
        <v>1</v>
      </c>
      <c r="J21" s="107">
        <v>0</v>
      </c>
      <c r="K21" s="107">
        <v>0</v>
      </c>
      <c r="L21" s="107">
        <v>0</v>
      </c>
      <c r="M21" s="107">
        <v>1</v>
      </c>
      <c r="N21" s="107">
        <v>0</v>
      </c>
      <c r="O21" s="107">
        <v>0</v>
      </c>
      <c r="P21" s="107">
        <v>1</v>
      </c>
      <c r="Q21" s="107">
        <v>0</v>
      </c>
      <c r="R21" s="107">
        <v>0</v>
      </c>
      <c r="S21" s="107">
        <v>0</v>
      </c>
      <c r="T21" s="107">
        <v>1</v>
      </c>
      <c r="U21" s="107">
        <v>0</v>
      </c>
      <c r="V21" s="107">
        <v>0</v>
      </c>
      <c r="W21" s="107">
        <v>0</v>
      </c>
      <c r="X21" s="107">
        <v>0</v>
      </c>
      <c r="Y21" s="107">
        <v>0</v>
      </c>
      <c r="Z21" s="107">
        <v>0</v>
      </c>
      <c r="AA21" s="107">
        <v>0</v>
      </c>
      <c r="AB21" s="107">
        <v>0</v>
      </c>
      <c r="AC21" s="107">
        <v>0</v>
      </c>
      <c r="AD21" s="107">
        <v>0</v>
      </c>
      <c r="AE21" s="107">
        <v>0</v>
      </c>
      <c r="AF21" s="107">
        <v>0</v>
      </c>
      <c r="AG21" s="107">
        <v>0</v>
      </c>
    </row>
    <row r="22" spans="1:33" customFormat="1" x14ac:dyDescent="0.15">
      <c r="A22" s="188" t="s">
        <v>212</v>
      </c>
      <c r="B22" s="107">
        <v>1</v>
      </c>
      <c r="C22" s="107">
        <v>1</v>
      </c>
      <c r="D22" s="107">
        <v>1</v>
      </c>
      <c r="E22" s="107">
        <v>1</v>
      </c>
      <c r="F22" s="107">
        <v>1</v>
      </c>
      <c r="G22" s="107">
        <v>1</v>
      </c>
      <c r="H22" s="107">
        <v>1</v>
      </c>
      <c r="I22" s="107">
        <v>1</v>
      </c>
      <c r="J22" s="107">
        <v>0</v>
      </c>
      <c r="K22" s="107">
        <v>0</v>
      </c>
      <c r="L22" s="107">
        <v>0</v>
      </c>
      <c r="M22" s="107">
        <v>1</v>
      </c>
      <c r="N22" s="107">
        <v>1</v>
      </c>
      <c r="O22" s="107">
        <v>1</v>
      </c>
      <c r="P22" s="107">
        <v>1</v>
      </c>
      <c r="Q22" s="107">
        <v>0</v>
      </c>
      <c r="R22" s="107">
        <v>0</v>
      </c>
      <c r="S22" s="107">
        <v>0</v>
      </c>
      <c r="T22" s="107">
        <v>1</v>
      </c>
      <c r="U22" s="107">
        <v>1</v>
      </c>
      <c r="V22" s="107">
        <v>0</v>
      </c>
      <c r="W22" s="107">
        <v>0</v>
      </c>
      <c r="X22" s="107">
        <v>0</v>
      </c>
      <c r="Y22" s="107">
        <v>0</v>
      </c>
      <c r="Z22" s="107">
        <v>0</v>
      </c>
      <c r="AA22" s="107">
        <v>0</v>
      </c>
      <c r="AB22" s="107">
        <v>0</v>
      </c>
      <c r="AC22" s="107">
        <v>0</v>
      </c>
      <c r="AD22" s="107">
        <v>0</v>
      </c>
      <c r="AE22" s="107">
        <v>0</v>
      </c>
      <c r="AF22" s="107">
        <v>0</v>
      </c>
      <c r="AG22" s="107">
        <v>0</v>
      </c>
    </row>
    <row r="23" spans="1:33" customFormat="1" x14ac:dyDescent="0.15">
      <c r="A23" s="188" t="s">
        <v>213</v>
      </c>
      <c r="B23" s="107">
        <v>0</v>
      </c>
      <c r="C23" s="107">
        <v>1</v>
      </c>
      <c r="D23" s="107">
        <v>0</v>
      </c>
      <c r="E23" s="107">
        <v>1</v>
      </c>
      <c r="F23" s="107">
        <v>1</v>
      </c>
      <c r="G23" s="107">
        <v>1</v>
      </c>
      <c r="H23" s="107">
        <v>1</v>
      </c>
      <c r="I23" s="107">
        <v>1</v>
      </c>
      <c r="J23" s="107">
        <v>1</v>
      </c>
      <c r="K23" s="107">
        <v>1</v>
      </c>
      <c r="L23" s="107">
        <v>1</v>
      </c>
      <c r="M23" s="107">
        <v>1</v>
      </c>
      <c r="N23" s="107">
        <v>1</v>
      </c>
      <c r="O23" s="107">
        <v>1</v>
      </c>
      <c r="P23" s="107">
        <v>1</v>
      </c>
      <c r="Q23" s="107">
        <v>0</v>
      </c>
      <c r="R23" s="107">
        <v>0</v>
      </c>
      <c r="S23" s="107">
        <v>0</v>
      </c>
      <c r="T23" s="107">
        <v>1</v>
      </c>
      <c r="U23" s="107">
        <v>1</v>
      </c>
      <c r="V23" s="107">
        <v>1</v>
      </c>
      <c r="W23" s="107">
        <v>0</v>
      </c>
      <c r="X23" s="107">
        <v>1</v>
      </c>
      <c r="Y23" s="107">
        <v>0</v>
      </c>
      <c r="Z23" s="107">
        <v>0</v>
      </c>
      <c r="AA23" s="107">
        <v>0</v>
      </c>
      <c r="AB23" s="107">
        <v>0</v>
      </c>
      <c r="AC23" s="107">
        <v>0</v>
      </c>
      <c r="AD23" s="107">
        <v>0</v>
      </c>
      <c r="AE23" s="107">
        <v>0</v>
      </c>
      <c r="AF23" s="107">
        <v>0</v>
      </c>
      <c r="AG23" s="107">
        <v>0</v>
      </c>
    </row>
    <row r="24" spans="1:33" customFormat="1" x14ac:dyDescent="0.15">
      <c r="A24" s="188" t="s">
        <v>214</v>
      </c>
      <c r="B24" s="107">
        <v>0</v>
      </c>
      <c r="C24" s="107">
        <v>0</v>
      </c>
      <c r="D24" s="107">
        <v>0</v>
      </c>
      <c r="E24" s="107">
        <v>0</v>
      </c>
      <c r="F24" s="107">
        <v>1</v>
      </c>
      <c r="G24" s="107">
        <v>1</v>
      </c>
      <c r="H24" s="107">
        <v>1</v>
      </c>
      <c r="I24" s="107">
        <v>0</v>
      </c>
      <c r="J24" s="107">
        <v>1</v>
      </c>
      <c r="K24" s="107">
        <v>1</v>
      </c>
      <c r="L24" s="107">
        <v>1</v>
      </c>
      <c r="M24" s="107">
        <v>1</v>
      </c>
      <c r="N24" s="107">
        <v>0</v>
      </c>
      <c r="O24" s="107">
        <v>1</v>
      </c>
      <c r="P24" s="107">
        <v>1</v>
      </c>
      <c r="Q24" s="107">
        <v>0</v>
      </c>
      <c r="R24" s="107">
        <v>0</v>
      </c>
      <c r="S24" s="107">
        <v>0</v>
      </c>
      <c r="T24" s="107">
        <v>0</v>
      </c>
      <c r="U24" s="107">
        <v>0</v>
      </c>
      <c r="V24" s="107">
        <v>0</v>
      </c>
      <c r="W24" s="107">
        <v>0</v>
      </c>
      <c r="X24" s="107">
        <v>1</v>
      </c>
      <c r="Y24" s="107">
        <v>0</v>
      </c>
      <c r="Z24" s="107">
        <v>0</v>
      </c>
      <c r="AA24" s="107">
        <v>0</v>
      </c>
      <c r="AB24" s="107">
        <v>0</v>
      </c>
      <c r="AC24" s="107">
        <v>0</v>
      </c>
      <c r="AD24" s="107">
        <v>0</v>
      </c>
      <c r="AE24" s="107">
        <v>0</v>
      </c>
      <c r="AF24" s="107">
        <v>0</v>
      </c>
      <c r="AG24" s="107">
        <v>0</v>
      </c>
    </row>
    <row r="25" spans="1:33" customFormat="1" x14ac:dyDescent="0.15">
      <c r="A25" s="188" t="s">
        <v>215</v>
      </c>
      <c r="B25" s="107">
        <v>0</v>
      </c>
      <c r="C25" s="107">
        <v>0</v>
      </c>
      <c r="D25" s="107">
        <v>0</v>
      </c>
      <c r="E25" s="107">
        <v>0</v>
      </c>
      <c r="F25" s="107">
        <v>1</v>
      </c>
      <c r="G25" s="107">
        <v>0</v>
      </c>
      <c r="H25" s="107">
        <v>0</v>
      </c>
      <c r="I25" s="107">
        <v>1</v>
      </c>
      <c r="J25" s="107">
        <v>1</v>
      </c>
      <c r="K25" s="107">
        <v>1</v>
      </c>
      <c r="L25" s="107">
        <v>1</v>
      </c>
      <c r="M25" s="107">
        <v>1</v>
      </c>
      <c r="N25" s="107">
        <v>0</v>
      </c>
      <c r="O25" s="107">
        <v>1</v>
      </c>
      <c r="P25" s="107">
        <v>1</v>
      </c>
      <c r="Q25" s="107">
        <v>0</v>
      </c>
      <c r="R25" s="107">
        <v>0</v>
      </c>
      <c r="S25" s="107">
        <v>0</v>
      </c>
      <c r="T25" s="107">
        <v>0</v>
      </c>
      <c r="U25" s="107">
        <v>0</v>
      </c>
      <c r="V25" s="107">
        <v>0</v>
      </c>
      <c r="W25" s="107">
        <v>0</v>
      </c>
      <c r="X25" s="107">
        <v>1</v>
      </c>
      <c r="Y25" s="107">
        <v>0</v>
      </c>
      <c r="Z25" s="107">
        <v>0</v>
      </c>
      <c r="AA25" s="107">
        <v>0</v>
      </c>
      <c r="AB25" s="107">
        <v>0</v>
      </c>
      <c r="AC25" s="107">
        <v>0</v>
      </c>
      <c r="AD25" s="107">
        <v>0</v>
      </c>
      <c r="AE25" s="107">
        <v>0</v>
      </c>
      <c r="AF25" s="107">
        <v>0</v>
      </c>
      <c r="AG25" s="107">
        <v>0</v>
      </c>
    </row>
    <row r="26" spans="1:33" customFormat="1" x14ac:dyDescent="0.15">
      <c r="A26" s="188" t="s">
        <v>216</v>
      </c>
      <c r="B26" s="107">
        <v>0</v>
      </c>
      <c r="C26" s="107">
        <v>1</v>
      </c>
      <c r="D26" s="107">
        <v>0</v>
      </c>
      <c r="E26" s="107">
        <v>1</v>
      </c>
      <c r="F26" s="107">
        <v>1</v>
      </c>
      <c r="G26" s="107">
        <v>1</v>
      </c>
      <c r="H26" s="107">
        <v>1</v>
      </c>
      <c r="I26" s="107">
        <v>0</v>
      </c>
      <c r="J26" s="107">
        <v>1</v>
      </c>
      <c r="K26" s="107">
        <v>1</v>
      </c>
      <c r="L26" s="107">
        <v>1</v>
      </c>
      <c r="M26" s="107">
        <v>1</v>
      </c>
      <c r="N26" s="107">
        <v>0</v>
      </c>
      <c r="O26" s="107">
        <v>1</v>
      </c>
      <c r="P26" s="107">
        <v>1</v>
      </c>
      <c r="Q26" s="107">
        <v>0</v>
      </c>
      <c r="R26" s="107">
        <v>0</v>
      </c>
      <c r="S26" s="107">
        <v>0</v>
      </c>
      <c r="T26" s="107">
        <v>0</v>
      </c>
      <c r="U26" s="107">
        <v>0</v>
      </c>
      <c r="V26" s="107">
        <v>0</v>
      </c>
      <c r="W26" s="107">
        <v>0</v>
      </c>
      <c r="X26" s="107">
        <v>1</v>
      </c>
      <c r="Y26" s="107">
        <v>0</v>
      </c>
      <c r="Z26" s="107">
        <v>0</v>
      </c>
      <c r="AA26" s="107">
        <v>0</v>
      </c>
      <c r="AB26" s="107">
        <v>0</v>
      </c>
      <c r="AC26" s="107">
        <v>0</v>
      </c>
      <c r="AD26" s="107">
        <v>0</v>
      </c>
      <c r="AE26" s="107">
        <v>0</v>
      </c>
      <c r="AF26" s="107">
        <v>0</v>
      </c>
      <c r="AG26" s="107">
        <v>0</v>
      </c>
    </row>
    <row r="27" spans="1:33" customFormat="1" x14ac:dyDescent="0.15">
      <c r="A27" s="188" t="s">
        <v>217</v>
      </c>
      <c r="B27" s="107">
        <v>0</v>
      </c>
      <c r="C27" s="107">
        <v>0</v>
      </c>
      <c r="D27" s="107">
        <v>0</v>
      </c>
      <c r="E27" s="107">
        <v>0</v>
      </c>
      <c r="F27" s="107">
        <v>1</v>
      </c>
      <c r="G27" s="107">
        <v>1</v>
      </c>
      <c r="H27" s="107">
        <v>1</v>
      </c>
      <c r="I27" s="107">
        <v>1</v>
      </c>
      <c r="J27" s="107">
        <v>1</v>
      </c>
      <c r="K27" s="107">
        <v>1</v>
      </c>
      <c r="L27" s="107">
        <v>1</v>
      </c>
      <c r="M27" s="107">
        <v>1</v>
      </c>
      <c r="N27" s="107">
        <v>0</v>
      </c>
      <c r="O27" s="107">
        <v>1</v>
      </c>
      <c r="P27" s="107">
        <v>1</v>
      </c>
      <c r="Q27" s="107">
        <v>0</v>
      </c>
      <c r="R27" s="107">
        <v>0</v>
      </c>
      <c r="S27" s="107">
        <v>0</v>
      </c>
      <c r="T27" s="107">
        <v>1</v>
      </c>
      <c r="U27" s="107">
        <v>0</v>
      </c>
      <c r="V27" s="107">
        <v>0</v>
      </c>
      <c r="W27" s="107">
        <v>1</v>
      </c>
      <c r="X27" s="107">
        <v>1</v>
      </c>
      <c r="Y27" s="107">
        <v>0</v>
      </c>
      <c r="Z27" s="107">
        <v>0</v>
      </c>
      <c r="AA27" s="107">
        <v>0</v>
      </c>
      <c r="AB27" s="107">
        <v>0</v>
      </c>
      <c r="AC27" s="107">
        <v>0</v>
      </c>
      <c r="AD27" s="107">
        <v>0</v>
      </c>
      <c r="AE27" s="107">
        <v>0</v>
      </c>
      <c r="AF27" s="107">
        <v>0</v>
      </c>
      <c r="AG27" s="107">
        <v>0</v>
      </c>
    </row>
    <row r="28" spans="1:33" customFormat="1" x14ac:dyDescent="0.15">
      <c r="A28" s="188" t="s">
        <v>218</v>
      </c>
      <c r="B28" s="107">
        <v>0</v>
      </c>
      <c r="C28" s="107">
        <v>1</v>
      </c>
      <c r="D28" s="107">
        <v>0</v>
      </c>
      <c r="E28" s="107">
        <v>0</v>
      </c>
      <c r="F28" s="107">
        <v>1</v>
      </c>
      <c r="G28" s="107">
        <v>1</v>
      </c>
      <c r="H28" s="107">
        <v>1</v>
      </c>
      <c r="I28" s="107">
        <v>1</v>
      </c>
      <c r="J28" s="107">
        <v>1</v>
      </c>
      <c r="K28" s="107">
        <v>1</v>
      </c>
      <c r="L28" s="107">
        <v>1</v>
      </c>
      <c r="M28" s="107">
        <v>1</v>
      </c>
      <c r="N28" s="107">
        <v>0</v>
      </c>
      <c r="O28" s="107">
        <v>1</v>
      </c>
      <c r="P28" s="107">
        <v>1</v>
      </c>
      <c r="Q28" s="107">
        <v>0</v>
      </c>
      <c r="R28" s="107">
        <v>0</v>
      </c>
      <c r="S28" s="107">
        <v>0</v>
      </c>
      <c r="T28" s="107">
        <v>1</v>
      </c>
      <c r="U28" s="107">
        <v>0</v>
      </c>
      <c r="V28" s="107">
        <v>1</v>
      </c>
      <c r="W28" s="107">
        <v>1</v>
      </c>
      <c r="X28" s="107">
        <v>1</v>
      </c>
      <c r="Y28" s="107">
        <v>0</v>
      </c>
      <c r="Z28" s="107">
        <v>0</v>
      </c>
      <c r="AA28" s="107">
        <v>0</v>
      </c>
      <c r="AB28" s="107">
        <v>0</v>
      </c>
      <c r="AC28" s="107">
        <v>0</v>
      </c>
      <c r="AD28" s="107">
        <v>0</v>
      </c>
      <c r="AE28" s="107">
        <v>0</v>
      </c>
      <c r="AF28" s="107">
        <v>0</v>
      </c>
      <c r="AG28" s="107">
        <v>0</v>
      </c>
    </row>
    <row r="29" spans="1:33" customFormat="1" x14ac:dyDescent="0.15">
      <c r="A29" s="188" t="s">
        <v>219</v>
      </c>
      <c r="B29" s="107">
        <v>1</v>
      </c>
      <c r="C29" s="107">
        <v>1</v>
      </c>
      <c r="D29" s="107">
        <v>0</v>
      </c>
      <c r="E29" s="107">
        <v>1</v>
      </c>
      <c r="F29" s="107">
        <v>1</v>
      </c>
      <c r="G29" s="107">
        <v>1</v>
      </c>
      <c r="H29" s="107">
        <v>1</v>
      </c>
      <c r="I29" s="107">
        <v>1</v>
      </c>
      <c r="J29" s="107">
        <v>1</v>
      </c>
      <c r="K29" s="107">
        <v>1</v>
      </c>
      <c r="L29" s="107">
        <v>1</v>
      </c>
      <c r="M29" s="107">
        <v>1</v>
      </c>
      <c r="N29" s="107">
        <v>1</v>
      </c>
      <c r="O29" s="107">
        <v>1</v>
      </c>
      <c r="P29" s="107">
        <v>1</v>
      </c>
      <c r="Q29" s="107">
        <v>1</v>
      </c>
      <c r="R29" s="107">
        <v>1</v>
      </c>
      <c r="S29" s="107">
        <v>1</v>
      </c>
      <c r="T29" s="107">
        <v>1</v>
      </c>
      <c r="U29" s="107">
        <v>1</v>
      </c>
      <c r="V29" s="107">
        <v>1</v>
      </c>
      <c r="W29" s="107">
        <v>1</v>
      </c>
      <c r="X29" s="107">
        <v>1</v>
      </c>
      <c r="Y29" s="107">
        <v>0</v>
      </c>
      <c r="Z29" s="107">
        <v>0</v>
      </c>
      <c r="AA29" s="107">
        <v>0</v>
      </c>
      <c r="AB29" s="107">
        <v>0</v>
      </c>
      <c r="AC29" s="107">
        <v>1</v>
      </c>
      <c r="AD29" s="107">
        <v>0</v>
      </c>
      <c r="AE29" s="107">
        <v>0</v>
      </c>
      <c r="AF29" s="107">
        <v>0</v>
      </c>
      <c r="AG29" s="107">
        <v>0</v>
      </c>
    </row>
    <row r="30" spans="1:33" customFormat="1" x14ac:dyDescent="0.15">
      <c r="A30" s="188" t="s">
        <v>220</v>
      </c>
      <c r="B30" s="107">
        <v>1</v>
      </c>
      <c r="C30" s="107">
        <v>0</v>
      </c>
      <c r="D30" s="107">
        <v>0</v>
      </c>
      <c r="E30" s="107">
        <v>1</v>
      </c>
      <c r="F30" s="107">
        <v>1</v>
      </c>
      <c r="G30" s="107">
        <v>1</v>
      </c>
      <c r="H30" s="107">
        <v>1</v>
      </c>
      <c r="I30" s="107">
        <v>1</v>
      </c>
      <c r="J30" s="107">
        <v>1</v>
      </c>
      <c r="K30" s="107">
        <v>0</v>
      </c>
      <c r="L30" s="107">
        <v>0</v>
      </c>
      <c r="M30" s="107">
        <v>1</v>
      </c>
      <c r="N30" s="107">
        <v>1</v>
      </c>
      <c r="O30" s="107">
        <v>1</v>
      </c>
      <c r="P30" s="107">
        <v>1</v>
      </c>
      <c r="Q30" s="107">
        <v>1</v>
      </c>
      <c r="R30" s="107">
        <v>1</v>
      </c>
      <c r="S30" s="107">
        <v>1</v>
      </c>
      <c r="T30" s="107">
        <v>1</v>
      </c>
      <c r="U30" s="107">
        <v>1</v>
      </c>
      <c r="V30" s="107">
        <v>1</v>
      </c>
      <c r="W30" s="107">
        <v>1</v>
      </c>
      <c r="X30" s="107">
        <v>1</v>
      </c>
      <c r="Y30" s="107">
        <v>0</v>
      </c>
      <c r="Z30" s="107">
        <v>0</v>
      </c>
      <c r="AA30" s="107">
        <v>0</v>
      </c>
      <c r="AB30" s="107">
        <v>0</v>
      </c>
      <c r="AC30" s="107">
        <v>1</v>
      </c>
      <c r="AD30" s="107">
        <v>0</v>
      </c>
      <c r="AE30" s="107">
        <v>0</v>
      </c>
      <c r="AF30" s="107">
        <v>0</v>
      </c>
      <c r="AG30" s="107">
        <v>0</v>
      </c>
    </row>
    <row r="31" spans="1:33" customFormat="1" x14ac:dyDescent="0.15">
      <c r="A31" s="188" t="s">
        <v>221</v>
      </c>
      <c r="B31" s="107">
        <v>0</v>
      </c>
      <c r="C31" s="107">
        <v>0</v>
      </c>
      <c r="D31" s="107">
        <v>0</v>
      </c>
      <c r="E31" s="107">
        <v>0</v>
      </c>
      <c r="F31" s="107">
        <v>0</v>
      </c>
      <c r="G31" s="107">
        <v>0</v>
      </c>
      <c r="H31" s="107">
        <v>0</v>
      </c>
      <c r="I31" s="107">
        <v>0</v>
      </c>
      <c r="J31" s="107">
        <v>0</v>
      </c>
      <c r="K31" s="107">
        <v>0</v>
      </c>
      <c r="L31" s="107">
        <v>0</v>
      </c>
      <c r="M31" s="107">
        <v>0</v>
      </c>
      <c r="N31" s="107">
        <v>0</v>
      </c>
      <c r="O31" s="107">
        <v>0</v>
      </c>
      <c r="P31" s="107">
        <v>0</v>
      </c>
      <c r="Q31" s="107">
        <v>0</v>
      </c>
      <c r="R31" s="107">
        <v>0</v>
      </c>
      <c r="S31" s="107">
        <v>0</v>
      </c>
      <c r="T31" s="107">
        <v>0</v>
      </c>
      <c r="U31" s="107">
        <v>0</v>
      </c>
      <c r="V31" s="107">
        <v>0</v>
      </c>
      <c r="W31" s="107">
        <v>1</v>
      </c>
      <c r="X31" s="107">
        <v>0</v>
      </c>
      <c r="Y31" s="107">
        <v>0</v>
      </c>
      <c r="Z31" s="107">
        <v>0</v>
      </c>
      <c r="AA31" s="107">
        <v>0</v>
      </c>
      <c r="AB31" s="107">
        <v>0</v>
      </c>
      <c r="AC31" s="107">
        <v>1</v>
      </c>
      <c r="AD31" s="107">
        <v>1</v>
      </c>
      <c r="AE31" s="107">
        <v>0</v>
      </c>
      <c r="AF31" s="107">
        <v>0</v>
      </c>
      <c r="AG31" s="107">
        <v>0</v>
      </c>
    </row>
    <row r="32" spans="1:33" x14ac:dyDescent="0.15">
      <c r="A32" s="188" t="s">
        <v>222</v>
      </c>
      <c r="B32" s="107">
        <v>0</v>
      </c>
      <c r="C32" s="107">
        <v>0</v>
      </c>
      <c r="D32" s="107">
        <v>0</v>
      </c>
      <c r="E32" s="107">
        <v>0</v>
      </c>
      <c r="F32" s="107">
        <v>0</v>
      </c>
      <c r="G32" s="107">
        <v>0</v>
      </c>
      <c r="H32" s="107">
        <v>0</v>
      </c>
      <c r="I32" s="107">
        <v>0</v>
      </c>
      <c r="J32" s="107">
        <v>0</v>
      </c>
      <c r="K32" s="107">
        <v>0</v>
      </c>
      <c r="L32" s="107">
        <v>0</v>
      </c>
      <c r="M32" s="107">
        <v>0</v>
      </c>
      <c r="N32" s="107">
        <v>0</v>
      </c>
      <c r="O32" s="107">
        <v>0</v>
      </c>
      <c r="P32" s="107">
        <v>0</v>
      </c>
      <c r="Q32" s="107">
        <v>0</v>
      </c>
      <c r="R32" s="107">
        <v>0</v>
      </c>
      <c r="S32" s="107">
        <v>0</v>
      </c>
      <c r="T32" s="107">
        <v>0</v>
      </c>
      <c r="U32" s="107">
        <v>0</v>
      </c>
      <c r="V32" s="107">
        <v>0</v>
      </c>
      <c r="W32" s="107">
        <v>1</v>
      </c>
      <c r="X32" s="107">
        <v>1</v>
      </c>
      <c r="Y32" s="107">
        <v>1</v>
      </c>
      <c r="Z32" s="107">
        <v>1</v>
      </c>
      <c r="AA32" s="107">
        <v>1</v>
      </c>
      <c r="AB32" s="107">
        <v>1</v>
      </c>
      <c r="AC32" s="107">
        <v>1</v>
      </c>
      <c r="AD32" s="107">
        <v>0</v>
      </c>
      <c r="AE32" s="107">
        <v>0</v>
      </c>
      <c r="AF32" s="107">
        <v>0</v>
      </c>
      <c r="AG32" s="107">
        <v>0</v>
      </c>
    </row>
    <row r="33" spans="1:33" x14ac:dyDescent="0.15">
      <c r="A33" s="188" t="s">
        <v>223</v>
      </c>
      <c r="B33" s="107">
        <v>0</v>
      </c>
      <c r="C33" s="107">
        <v>0</v>
      </c>
      <c r="D33" s="107">
        <v>0</v>
      </c>
      <c r="E33" s="107">
        <v>0</v>
      </c>
      <c r="F33" s="107">
        <v>0</v>
      </c>
      <c r="G33" s="107">
        <v>0</v>
      </c>
      <c r="H33" s="107">
        <v>0</v>
      </c>
      <c r="I33" s="107">
        <v>0</v>
      </c>
      <c r="J33" s="107">
        <v>0</v>
      </c>
      <c r="K33" s="107">
        <v>0</v>
      </c>
      <c r="L33" s="107">
        <v>0</v>
      </c>
      <c r="M33" s="107">
        <v>0</v>
      </c>
      <c r="N33" s="107">
        <v>0</v>
      </c>
      <c r="O33" s="107">
        <v>0</v>
      </c>
      <c r="P33" s="107">
        <v>0</v>
      </c>
      <c r="Q33" s="107">
        <v>0</v>
      </c>
      <c r="R33" s="107">
        <v>0</v>
      </c>
      <c r="S33" s="107">
        <v>0</v>
      </c>
      <c r="T33" s="107">
        <v>0</v>
      </c>
      <c r="U33" s="107">
        <v>0</v>
      </c>
      <c r="V33" s="107">
        <v>0</v>
      </c>
      <c r="W33" s="107">
        <v>0</v>
      </c>
      <c r="X33" s="107">
        <v>0</v>
      </c>
      <c r="Y33" s="107">
        <v>0</v>
      </c>
      <c r="Z33" s="107">
        <v>0</v>
      </c>
      <c r="AA33" s="107">
        <v>0</v>
      </c>
      <c r="AB33" s="107">
        <v>0</v>
      </c>
      <c r="AC33" s="107">
        <v>0</v>
      </c>
      <c r="AD33" s="107">
        <v>0</v>
      </c>
      <c r="AE33" s="107">
        <v>0</v>
      </c>
      <c r="AF33" s="107">
        <v>0</v>
      </c>
      <c r="AG33" s="107">
        <v>0</v>
      </c>
    </row>
    <row r="34" spans="1:33" x14ac:dyDescent="0.15">
      <c r="A34" s="188" t="s">
        <v>225</v>
      </c>
      <c r="B34" s="107">
        <v>0</v>
      </c>
      <c r="C34" s="107">
        <v>0</v>
      </c>
      <c r="D34" s="107">
        <v>0</v>
      </c>
      <c r="E34" s="107">
        <v>0</v>
      </c>
      <c r="F34" s="107">
        <v>0</v>
      </c>
      <c r="G34" s="107">
        <v>0</v>
      </c>
      <c r="H34" s="107">
        <v>0</v>
      </c>
      <c r="I34" s="107">
        <v>0</v>
      </c>
      <c r="J34" s="107">
        <v>0</v>
      </c>
      <c r="K34" s="107">
        <v>0</v>
      </c>
      <c r="L34" s="107">
        <v>0</v>
      </c>
      <c r="M34" s="107">
        <v>0</v>
      </c>
      <c r="N34" s="107">
        <v>0</v>
      </c>
      <c r="O34" s="107">
        <v>0</v>
      </c>
      <c r="P34" s="107">
        <v>0</v>
      </c>
      <c r="Q34" s="107">
        <v>0</v>
      </c>
      <c r="R34" s="107">
        <v>0</v>
      </c>
      <c r="S34" s="107">
        <v>0</v>
      </c>
      <c r="T34" s="107">
        <v>0</v>
      </c>
      <c r="U34" s="107">
        <v>0</v>
      </c>
      <c r="V34" s="107">
        <v>0</v>
      </c>
      <c r="W34" s="107">
        <v>0</v>
      </c>
      <c r="X34" s="107">
        <v>0</v>
      </c>
      <c r="Y34" s="107">
        <v>0</v>
      </c>
      <c r="Z34" s="107">
        <v>0</v>
      </c>
      <c r="AA34" s="107">
        <v>0</v>
      </c>
      <c r="AB34" s="107">
        <v>0</v>
      </c>
      <c r="AC34" s="107">
        <v>0</v>
      </c>
      <c r="AD34" s="107">
        <v>0</v>
      </c>
      <c r="AE34" s="107">
        <v>0</v>
      </c>
      <c r="AF34" s="107">
        <v>0</v>
      </c>
      <c r="AG34" s="107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indexed="51"/>
  </sheetPr>
  <dimension ref="A1:C185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17.33203125" bestFit="1" customWidth="1"/>
    <col min="3" max="3" width="3.83203125" bestFit="1" customWidth="1"/>
    <col min="4" max="4" width="16.33203125" bestFit="1" customWidth="1"/>
  </cols>
  <sheetData>
    <row r="1" spans="1:3" ht="112" x14ac:dyDescent="0.15">
      <c r="A1" s="5" t="s">
        <v>83</v>
      </c>
      <c r="B1" s="3" t="s">
        <v>0</v>
      </c>
      <c r="C1" s="191" t="s">
        <v>224</v>
      </c>
    </row>
    <row r="2" spans="1:3" x14ac:dyDescent="0.15">
      <c r="A2">
        <v>1</v>
      </c>
      <c r="B2" s="190" t="s">
        <v>192</v>
      </c>
      <c r="C2">
        <v>0</v>
      </c>
    </row>
    <row r="3" spans="1:3" x14ac:dyDescent="0.15">
      <c r="A3">
        <v>2</v>
      </c>
      <c r="B3" s="190" t="s">
        <v>193</v>
      </c>
      <c r="C3">
        <v>0.8</v>
      </c>
    </row>
    <row r="4" spans="1:3" x14ac:dyDescent="0.15">
      <c r="A4">
        <v>3</v>
      </c>
      <c r="B4" s="190" t="s">
        <v>194</v>
      </c>
      <c r="C4">
        <v>0.8</v>
      </c>
    </row>
    <row r="5" spans="1:3" x14ac:dyDescent="0.15">
      <c r="A5">
        <v>4</v>
      </c>
      <c r="B5" s="190" t="s">
        <v>195</v>
      </c>
      <c r="C5">
        <v>0.8</v>
      </c>
    </row>
    <row r="6" spans="1:3" x14ac:dyDescent="0.15">
      <c r="A6">
        <v>5</v>
      </c>
      <c r="B6" s="190" t="s">
        <v>196</v>
      </c>
      <c r="C6">
        <v>0.8</v>
      </c>
    </row>
    <row r="7" spans="1:3" x14ac:dyDescent="0.15">
      <c r="A7">
        <v>6</v>
      </c>
      <c r="B7" s="190" t="s">
        <v>197</v>
      </c>
      <c r="C7">
        <v>0.8</v>
      </c>
    </row>
    <row r="8" spans="1:3" x14ac:dyDescent="0.15">
      <c r="A8">
        <v>7</v>
      </c>
      <c r="B8" s="190" t="s">
        <v>198</v>
      </c>
      <c r="C8">
        <v>0.8</v>
      </c>
    </row>
    <row r="9" spans="1:3" x14ac:dyDescent="0.15">
      <c r="A9">
        <v>8</v>
      </c>
      <c r="B9" s="190" t="s">
        <v>199</v>
      </c>
      <c r="C9">
        <v>0.8</v>
      </c>
    </row>
    <row r="10" spans="1:3" x14ac:dyDescent="0.15">
      <c r="A10">
        <v>9</v>
      </c>
      <c r="B10" s="190" t="s">
        <v>200</v>
      </c>
      <c r="C10">
        <v>0.8</v>
      </c>
    </row>
    <row r="11" spans="1:3" x14ac:dyDescent="0.15">
      <c r="A11">
        <v>10</v>
      </c>
      <c r="B11" s="190" t="s">
        <v>201</v>
      </c>
      <c r="C11">
        <v>0.8</v>
      </c>
    </row>
    <row r="12" spans="1:3" x14ac:dyDescent="0.15">
      <c r="A12">
        <v>11</v>
      </c>
      <c r="B12" s="190" t="s">
        <v>202</v>
      </c>
      <c r="C12">
        <v>0.8</v>
      </c>
    </row>
    <row r="13" spans="1:3" x14ac:dyDescent="0.15">
      <c r="A13">
        <v>12</v>
      </c>
      <c r="B13" s="190" t="s">
        <v>203</v>
      </c>
      <c r="C13">
        <v>0.8</v>
      </c>
    </row>
    <row r="14" spans="1:3" x14ac:dyDescent="0.15">
      <c r="A14">
        <v>13</v>
      </c>
      <c r="B14" s="190" t="s">
        <v>204</v>
      </c>
      <c r="C14">
        <v>0.8</v>
      </c>
    </row>
    <row r="15" spans="1:3" x14ac:dyDescent="0.15">
      <c r="A15">
        <v>14</v>
      </c>
      <c r="B15" s="190" t="s">
        <v>205</v>
      </c>
      <c r="C15">
        <v>0.8</v>
      </c>
    </row>
    <row r="16" spans="1:3" x14ac:dyDescent="0.15">
      <c r="A16">
        <v>15</v>
      </c>
      <c r="B16" s="190" t="s">
        <v>206</v>
      </c>
      <c r="C16">
        <v>0</v>
      </c>
    </row>
    <row r="17" spans="1:3" x14ac:dyDescent="0.15">
      <c r="A17">
        <v>16</v>
      </c>
      <c r="B17" s="190" t="s">
        <v>207</v>
      </c>
      <c r="C17">
        <v>0.8</v>
      </c>
    </row>
    <row r="18" spans="1:3" x14ac:dyDescent="0.15">
      <c r="A18">
        <v>17</v>
      </c>
      <c r="B18" s="190" t="s">
        <v>208</v>
      </c>
      <c r="C18">
        <v>0</v>
      </c>
    </row>
    <row r="19" spans="1:3" x14ac:dyDescent="0.15">
      <c r="A19">
        <v>18</v>
      </c>
      <c r="B19" s="190" t="s">
        <v>209</v>
      </c>
      <c r="C19">
        <v>0</v>
      </c>
    </row>
    <row r="20" spans="1:3" x14ac:dyDescent="0.15">
      <c r="A20">
        <v>19</v>
      </c>
      <c r="B20" s="190" t="s">
        <v>210</v>
      </c>
      <c r="C20">
        <v>0.8</v>
      </c>
    </row>
    <row r="21" spans="1:3" x14ac:dyDescent="0.15">
      <c r="A21">
        <v>20</v>
      </c>
      <c r="B21" s="190" t="s">
        <v>211</v>
      </c>
      <c r="C21">
        <v>0.8</v>
      </c>
    </row>
    <row r="22" spans="1:3" x14ac:dyDescent="0.15">
      <c r="A22">
        <v>21</v>
      </c>
      <c r="B22" s="190" t="s">
        <v>212</v>
      </c>
      <c r="C22">
        <v>0.8</v>
      </c>
    </row>
    <row r="23" spans="1:3" x14ac:dyDescent="0.15">
      <c r="A23">
        <v>22</v>
      </c>
      <c r="B23" s="190" t="s">
        <v>213</v>
      </c>
      <c r="C23">
        <v>0.8</v>
      </c>
    </row>
    <row r="24" spans="1:3" x14ac:dyDescent="0.15">
      <c r="A24">
        <v>23</v>
      </c>
      <c r="B24" s="190" t="s">
        <v>214</v>
      </c>
      <c r="C24">
        <v>0.8</v>
      </c>
    </row>
    <row r="25" spans="1:3" x14ac:dyDescent="0.15">
      <c r="A25">
        <v>24</v>
      </c>
      <c r="B25" s="190" t="s">
        <v>215</v>
      </c>
      <c r="C25">
        <v>0</v>
      </c>
    </row>
    <row r="26" spans="1:3" x14ac:dyDescent="0.15">
      <c r="A26">
        <v>25</v>
      </c>
      <c r="B26" s="190" t="s">
        <v>216</v>
      </c>
      <c r="C26">
        <v>0.8</v>
      </c>
    </row>
    <row r="27" spans="1:3" x14ac:dyDescent="0.15">
      <c r="A27">
        <v>26</v>
      </c>
      <c r="B27" s="190" t="s">
        <v>217</v>
      </c>
      <c r="C27">
        <v>0</v>
      </c>
    </row>
    <row r="28" spans="1:3" x14ac:dyDescent="0.15">
      <c r="A28">
        <v>27</v>
      </c>
      <c r="B28" s="190" t="s">
        <v>218</v>
      </c>
      <c r="C28">
        <v>0</v>
      </c>
    </row>
    <row r="29" spans="1:3" x14ac:dyDescent="0.15">
      <c r="A29">
        <v>28</v>
      </c>
      <c r="B29" s="190" t="s">
        <v>219</v>
      </c>
      <c r="C29">
        <v>0</v>
      </c>
    </row>
    <row r="30" spans="1:3" x14ac:dyDescent="0.15">
      <c r="A30">
        <v>29</v>
      </c>
      <c r="B30" s="190" t="s">
        <v>220</v>
      </c>
      <c r="C30">
        <v>0</v>
      </c>
    </row>
    <row r="31" spans="1:3" x14ac:dyDescent="0.15">
      <c r="A31">
        <v>30</v>
      </c>
      <c r="B31" s="190" t="s">
        <v>221</v>
      </c>
      <c r="C31">
        <v>0</v>
      </c>
    </row>
    <row r="32" spans="1:3" x14ac:dyDescent="0.15">
      <c r="A32">
        <v>31</v>
      </c>
      <c r="B32" s="190" t="s">
        <v>222</v>
      </c>
      <c r="C32">
        <v>0</v>
      </c>
    </row>
    <row r="33" spans="1:3" x14ac:dyDescent="0.15">
      <c r="A33">
        <v>32</v>
      </c>
      <c r="B33" s="190" t="s">
        <v>223</v>
      </c>
      <c r="C33">
        <v>0</v>
      </c>
    </row>
    <row r="179" ht="15" customHeigh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indexed="51"/>
  </sheetPr>
  <dimension ref="A1:C33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17.33203125" bestFit="1" customWidth="1"/>
    <col min="3" max="3" width="3.83203125" bestFit="1" customWidth="1"/>
    <col min="4" max="4" width="16.33203125" bestFit="1" customWidth="1"/>
  </cols>
  <sheetData>
    <row r="1" spans="1:3" ht="112" x14ac:dyDescent="0.15">
      <c r="A1" s="5" t="s">
        <v>82</v>
      </c>
      <c r="B1" s="3" t="s">
        <v>0</v>
      </c>
      <c r="C1" s="193" t="s">
        <v>224</v>
      </c>
    </row>
    <row r="2" spans="1:3" x14ac:dyDescent="0.15">
      <c r="A2">
        <v>1</v>
      </c>
      <c r="B2" s="192" t="s">
        <v>192</v>
      </c>
      <c r="C2">
        <v>0</v>
      </c>
    </row>
    <row r="3" spans="1:3" x14ac:dyDescent="0.15">
      <c r="A3">
        <v>2</v>
      </c>
      <c r="B3" s="192" t="s">
        <v>193</v>
      </c>
      <c r="C3">
        <v>0.8</v>
      </c>
    </row>
    <row r="4" spans="1:3" x14ac:dyDescent="0.15">
      <c r="A4">
        <v>3</v>
      </c>
      <c r="B4" s="192" t="s">
        <v>194</v>
      </c>
      <c r="C4">
        <v>0.8</v>
      </c>
    </row>
    <row r="5" spans="1:3" x14ac:dyDescent="0.15">
      <c r="A5">
        <v>4</v>
      </c>
      <c r="B5" s="192" t="s">
        <v>195</v>
      </c>
      <c r="C5">
        <v>0.8</v>
      </c>
    </row>
    <row r="6" spans="1:3" x14ac:dyDescent="0.15">
      <c r="A6">
        <v>5</v>
      </c>
      <c r="B6" s="192" t="s">
        <v>196</v>
      </c>
      <c r="C6">
        <v>0.8</v>
      </c>
    </row>
    <row r="7" spans="1:3" x14ac:dyDescent="0.15">
      <c r="A7">
        <v>6</v>
      </c>
      <c r="B7" s="192" t="s">
        <v>197</v>
      </c>
      <c r="C7">
        <v>0.8</v>
      </c>
    </row>
    <row r="8" spans="1:3" x14ac:dyDescent="0.15">
      <c r="A8">
        <v>7</v>
      </c>
      <c r="B8" s="192" t="s">
        <v>198</v>
      </c>
      <c r="C8">
        <v>0.8</v>
      </c>
    </row>
    <row r="9" spans="1:3" x14ac:dyDescent="0.15">
      <c r="A9">
        <v>8</v>
      </c>
      <c r="B9" s="192" t="s">
        <v>199</v>
      </c>
      <c r="C9">
        <v>0.8</v>
      </c>
    </row>
    <row r="10" spans="1:3" x14ac:dyDescent="0.15">
      <c r="A10">
        <v>9</v>
      </c>
      <c r="B10" s="192" t="s">
        <v>200</v>
      </c>
      <c r="C10">
        <v>0.8</v>
      </c>
    </row>
    <row r="11" spans="1:3" x14ac:dyDescent="0.15">
      <c r="A11">
        <v>10</v>
      </c>
      <c r="B11" s="192" t="s">
        <v>201</v>
      </c>
      <c r="C11">
        <v>0.8</v>
      </c>
    </row>
    <row r="12" spans="1:3" x14ac:dyDescent="0.15">
      <c r="A12">
        <v>11</v>
      </c>
      <c r="B12" s="192" t="s">
        <v>202</v>
      </c>
      <c r="C12">
        <v>0.8</v>
      </c>
    </row>
    <row r="13" spans="1:3" x14ac:dyDescent="0.15">
      <c r="A13">
        <v>12</v>
      </c>
      <c r="B13" s="192" t="s">
        <v>203</v>
      </c>
      <c r="C13">
        <v>0.8</v>
      </c>
    </row>
    <row r="14" spans="1:3" x14ac:dyDescent="0.15">
      <c r="A14">
        <v>13</v>
      </c>
      <c r="B14" s="192" t="s">
        <v>204</v>
      </c>
      <c r="C14">
        <v>0.8</v>
      </c>
    </row>
    <row r="15" spans="1:3" x14ac:dyDescent="0.15">
      <c r="A15">
        <v>14</v>
      </c>
      <c r="B15" s="192" t="s">
        <v>205</v>
      </c>
      <c r="C15">
        <v>0.8</v>
      </c>
    </row>
    <row r="16" spans="1:3" x14ac:dyDescent="0.15">
      <c r="A16">
        <v>15</v>
      </c>
      <c r="B16" s="192" t="s">
        <v>206</v>
      </c>
      <c r="C16">
        <v>0</v>
      </c>
    </row>
    <row r="17" spans="1:3" x14ac:dyDescent="0.15">
      <c r="A17">
        <v>16</v>
      </c>
      <c r="B17" s="192" t="s">
        <v>207</v>
      </c>
      <c r="C17">
        <v>0.8</v>
      </c>
    </row>
    <row r="18" spans="1:3" x14ac:dyDescent="0.15">
      <c r="A18">
        <v>17</v>
      </c>
      <c r="B18" s="192" t="s">
        <v>208</v>
      </c>
      <c r="C18">
        <v>0</v>
      </c>
    </row>
    <row r="19" spans="1:3" x14ac:dyDescent="0.15">
      <c r="A19">
        <v>18</v>
      </c>
      <c r="B19" s="192" t="s">
        <v>209</v>
      </c>
      <c r="C19">
        <v>0</v>
      </c>
    </row>
    <row r="20" spans="1:3" x14ac:dyDescent="0.15">
      <c r="A20">
        <v>19</v>
      </c>
      <c r="B20" s="192" t="s">
        <v>210</v>
      </c>
      <c r="C20">
        <v>0.8</v>
      </c>
    </row>
    <row r="21" spans="1:3" x14ac:dyDescent="0.15">
      <c r="A21">
        <v>20</v>
      </c>
      <c r="B21" s="192" t="s">
        <v>211</v>
      </c>
      <c r="C21">
        <v>0.8</v>
      </c>
    </row>
    <row r="22" spans="1:3" x14ac:dyDescent="0.15">
      <c r="A22">
        <v>21</v>
      </c>
      <c r="B22" s="192" t="s">
        <v>212</v>
      </c>
      <c r="C22">
        <v>0.8</v>
      </c>
    </row>
    <row r="23" spans="1:3" x14ac:dyDescent="0.15">
      <c r="A23">
        <v>22</v>
      </c>
      <c r="B23" s="192" t="s">
        <v>213</v>
      </c>
      <c r="C23">
        <v>0.8</v>
      </c>
    </row>
    <row r="24" spans="1:3" x14ac:dyDescent="0.15">
      <c r="A24">
        <v>23</v>
      </c>
      <c r="B24" s="192" t="s">
        <v>214</v>
      </c>
      <c r="C24">
        <v>0.8</v>
      </c>
    </row>
    <row r="25" spans="1:3" x14ac:dyDescent="0.15">
      <c r="A25">
        <v>24</v>
      </c>
      <c r="B25" s="192" t="s">
        <v>215</v>
      </c>
      <c r="C25">
        <v>0</v>
      </c>
    </row>
    <row r="26" spans="1:3" x14ac:dyDescent="0.15">
      <c r="A26">
        <v>25</v>
      </c>
      <c r="B26" s="192" t="s">
        <v>216</v>
      </c>
      <c r="C26">
        <v>0.8</v>
      </c>
    </row>
    <row r="27" spans="1:3" x14ac:dyDescent="0.15">
      <c r="A27">
        <v>26</v>
      </c>
      <c r="B27" s="192" t="s">
        <v>217</v>
      </c>
      <c r="C27">
        <v>0</v>
      </c>
    </row>
    <row r="28" spans="1:3" x14ac:dyDescent="0.15">
      <c r="A28">
        <v>27</v>
      </c>
      <c r="B28" s="192" t="s">
        <v>218</v>
      </c>
      <c r="C28">
        <v>0</v>
      </c>
    </row>
    <row r="29" spans="1:3" x14ac:dyDescent="0.15">
      <c r="A29">
        <v>28</v>
      </c>
      <c r="B29" s="192" t="s">
        <v>219</v>
      </c>
      <c r="C29">
        <v>0</v>
      </c>
    </row>
    <row r="30" spans="1:3" x14ac:dyDescent="0.15">
      <c r="A30">
        <v>29</v>
      </c>
      <c r="B30" s="192" t="s">
        <v>220</v>
      </c>
      <c r="C30">
        <v>0</v>
      </c>
    </row>
    <row r="31" spans="1:3" x14ac:dyDescent="0.15">
      <c r="A31">
        <v>30</v>
      </c>
      <c r="B31" s="192" t="s">
        <v>221</v>
      </c>
      <c r="C31">
        <v>0</v>
      </c>
    </row>
    <row r="32" spans="1:3" x14ac:dyDescent="0.15">
      <c r="A32">
        <v>31</v>
      </c>
      <c r="B32" s="192" t="s">
        <v>222</v>
      </c>
      <c r="C32">
        <v>0</v>
      </c>
    </row>
    <row r="33" spans="1:3" x14ac:dyDescent="0.15">
      <c r="A33">
        <v>32</v>
      </c>
      <c r="B33" s="192" t="s">
        <v>223</v>
      </c>
      <c r="C33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indexed="15"/>
  </sheetPr>
  <dimension ref="A1:N500"/>
  <sheetViews>
    <sheetView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L4" sqref="L4"/>
    </sheetView>
  </sheetViews>
  <sheetFormatPr baseColWidth="10" defaultColWidth="8.83203125" defaultRowHeight="15" customHeight="1" x14ac:dyDescent="0.15"/>
  <cols>
    <col min="1" max="1" width="8.83203125" style="81"/>
    <col min="2" max="2" width="41.83203125" style="81" bestFit="1" customWidth="1"/>
    <col min="3" max="3" width="9.33203125" style="81" bestFit="1" customWidth="1"/>
    <col min="4" max="4" width="13" style="81" bestFit="1" customWidth="1"/>
    <col min="5" max="6" width="9.33203125" style="81" bestFit="1" customWidth="1"/>
    <col min="7" max="7" width="9.33203125" style="97" bestFit="1" customWidth="1"/>
    <col min="8" max="8" width="9.33203125" style="81" bestFit="1" customWidth="1"/>
    <col min="9" max="9" width="11" style="81" customWidth="1"/>
    <col min="10" max="10" width="8.83203125" style="81"/>
    <col min="15" max="16384" width="8.83203125" style="81"/>
  </cols>
  <sheetData>
    <row r="1" spans="1:10" ht="15" customHeight="1" x14ac:dyDescent="0.15">
      <c r="A1" s="4" t="s">
        <v>25</v>
      </c>
      <c r="B1" s="1" t="s">
        <v>0</v>
      </c>
      <c r="C1" s="1" t="s">
        <v>12</v>
      </c>
      <c r="D1" s="1" t="s">
        <v>13</v>
      </c>
      <c r="E1" s="1" t="s">
        <v>1</v>
      </c>
      <c r="F1" s="1" t="s">
        <v>2</v>
      </c>
      <c r="G1" s="34" t="s">
        <v>14</v>
      </c>
      <c r="H1" s="1" t="s">
        <v>26</v>
      </c>
      <c r="I1" s="1" t="s">
        <v>24</v>
      </c>
    </row>
    <row r="2" spans="1:10" ht="15" customHeight="1" x14ac:dyDescent="0.15">
      <c r="A2" s="145">
        <v>1</v>
      </c>
      <c r="B2" s="145" t="s">
        <v>192</v>
      </c>
      <c r="C2" s="8">
        <v>4.1094551086425781</v>
      </c>
      <c r="D2" s="9">
        <v>0.14599999785423279</v>
      </c>
      <c r="E2" s="9">
        <v>0.10000000149011612</v>
      </c>
      <c r="F2" s="9">
        <v>11.741999626159668</v>
      </c>
      <c r="G2" s="7">
        <v>0</v>
      </c>
      <c r="H2" s="9">
        <v>8.5164373740553856E-3</v>
      </c>
      <c r="I2">
        <v>0</v>
      </c>
      <c r="J2"/>
    </row>
    <row r="3" spans="1:10" ht="15" customHeight="1" x14ac:dyDescent="0.15">
      <c r="A3" s="146">
        <v>2</v>
      </c>
      <c r="B3" s="146" t="s">
        <v>193</v>
      </c>
      <c r="C3" s="8">
        <v>4.402320384979248</v>
      </c>
      <c r="D3" s="9">
        <v>0.24819000065326691</v>
      </c>
      <c r="E3" s="9">
        <v>0.10199999809265137</v>
      </c>
      <c r="F3" s="9">
        <v>17.41200065612793</v>
      </c>
      <c r="G3" s="9">
        <v>4.7472719103097916E-2</v>
      </c>
      <c r="H3" s="9">
        <v>5.8580287732183933E-3</v>
      </c>
      <c r="I3">
        <v>1.2017899425700307E-3</v>
      </c>
      <c r="J3"/>
    </row>
    <row r="4" spans="1:10" ht="15" customHeight="1" x14ac:dyDescent="0.15">
      <c r="A4" s="147">
        <v>3</v>
      </c>
      <c r="B4" s="147" t="s">
        <v>194</v>
      </c>
      <c r="C4" s="8">
        <v>4.7297639846801758</v>
      </c>
      <c r="D4" s="9">
        <v>4.5747473835945129E-2</v>
      </c>
      <c r="E4" s="9">
        <v>0.10899999737739563</v>
      </c>
      <c r="F4" s="9">
        <v>13.100000381469727</v>
      </c>
      <c r="G4" s="9">
        <v>4.8409350216388702E-2</v>
      </c>
      <c r="H4" s="9">
        <v>8.3206100389361382E-3</v>
      </c>
      <c r="I4">
        <v>2.4139200104400516E-4</v>
      </c>
      <c r="J4"/>
    </row>
    <row r="5" spans="1:10" ht="15" customHeight="1" x14ac:dyDescent="0.15">
      <c r="A5" s="148">
        <v>4</v>
      </c>
      <c r="B5" s="148" t="s">
        <v>195</v>
      </c>
      <c r="C5" s="8">
        <v>4.1966228485107422</v>
      </c>
      <c r="D5" s="9">
        <v>1.2000000104308128E-2</v>
      </c>
      <c r="E5" s="9">
        <v>0.25</v>
      </c>
      <c r="F5" s="9">
        <v>54.75</v>
      </c>
      <c r="G5" s="9">
        <v>0.3333333432674408</v>
      </c>
      <c r="H5" s="9">
        <v>4.5662098564207554E-3</v>
      </c>
      <c r="I5">
        <v>1.0000000474974513E-3</v>
      </c>
      <c r="J5"/>
    </row>
    <row r="6" spans="1:10" ht="15" customHeight="1" x14ac:dyDescent="0.15">
      <c r="A6" s="149">
        <v>5</v>
      </c>
      <c r="B6" s="149" t="s">
        <v>196</v>
      </c>
      <c r="C6" s="8">
        <v>4.1678128242492676</v>
      </c>
      <c r="D6" s="9">
        <v>2.5724339485168457</v>
      </c>
      <c r="E6" s="9">
        <v>0.65100002288818359</v>
      </c>
      <c r="F6" s="9">
        <v>2.2000000476837158</v>
      </c>
      <c r="G6" s="9">
        <v>0.48203426599502563</v>
      </c>
      <c r="H6" s="9">
        <v>0.29590910673141479</v>
      </c>
      <c r="I6">
        <v>0.69543778896331787</v>
      </c>
      <c r="J6"/>
    </row>
    <row r="7" spans="1:10" ht="15" customHeight="1" x14ac:dyDescent="0.15">
      <c r="A7" s="150">
        <v>6</v>
      </c>
      <c r="B7" s="150" t="s">
        <v>197</v>
      </c>
      <c r="C7" s="8">
        <v>3.8632757663726807</v>
      </c>
      <c r="D7" s="9">
        <v>0.36300000548362732</v>
      </c>
      <c r="E7" s="9">
        <v>1.184999942779541</v>
      </c>
      <c r="F7" s="9">
        <v>6.0900001525878906</v>
      </c>
      <c r="G7" s="9">
        <v>0.9302716851234436</v>
      </c>
      <c r="H7" s="9">
        <v>0.19458127021789551</v>
      </c>
      <c r="I7">
        <v>3.4018000860669417E-6</v>
      </c>
      <c r="J7"/>
    </row>
    <row r="8" spans="1:10" ht="15" customHeight="1" x14ac:dyDescent="0.15">
      <c r="A8" s="151">
        <v>7</v>
      </c>
      <c r="B8" s="151" t="s">
        <v>198</v>
      </c>
      <c r="C8" s="8">
        <v>4.523106575012207</v>
      </c>
      <c r="D8" s="9">
        <v>0.46900001168251038</v>
      </c>
      <c r="E8" s="9">
        <v>0.29600000381469727</v>
      </c>
      <c r="F8" s="9">
        <v>1.4780000448226929</v>
      </c>
      <c r="G8" s="9">
        <v>0.77261066436767578</v>
      </c>
      <c r="H8" s="9">
        <v>0.2002706378698349</v>
      </c>
      <c r="I8">
        <v>4.7573558986186981E-2</v>
      </c>
      <c r="J8"/>
    </row>
    <row r="9" spans="1:10" ht="15" customHeight="1" x14ac:dyDescent="0.15">
      <c r="A9" s="152">
        <v>8</v>
      </c>
      <c r="B9" s="152" t="s">
        <v>199</v>
      </c>
      <c r="C9" s="8">
        <v>4.2495326995849609</v>
      </c>
      <c r="D9" s="9">
        <v>0.81099998950958252</v>
      </c>
      <c r="E9" s="9">
        <v>0.97200000286102295</v>
      </c>
      <c r="F9" s="9">
        <v>4.7430000305175781</v>
      </c>
      <c r="G9" s="9">
        <v>0.91540831327438354</v>
      </c>
      <c r="H9" s="9">
        <v>0.20493358373641968</v>
      </c>
      <c r="I9">
        <v>1.0161870159208775E-3</v>
      </c>
      <c r="J9"/>
    </row>
    <row r="10" spans="1:10" ht="15" customHeight="1" x14ac:dyDescent="0.15">
      <c r="A10" s="153">
        <v>9</v>
      </c>
      <c r="B10" s="153" t="s">
        <v>200</v>
      </c>
      <c r="C10" s="8">
        <v>3.6691498756408691</v>
      </c>
      <c r="D10" s="9">
        <v>0.88300001621246338</v>
      </c>
      <c r="E10" s="9">
        <v>0.53799998760223389</v>
      </c>
      <c r="F10" s="9">
        <v>2</v>
      </c>
      <c r="G10" s="9">
        <v>0.14587405323982239</v>
      </c>
      <c r="H10" s="9">
        <v>0.26899999380111694</v>
      </c>
      <c r="I10">
        <v>6.5426230430603027E-2</v>
      </c>
      <c r="J10"/>
    </row>
    <row r="11" spans="1:10" ht="15" customHeight="1" x14ac:dyDescent="0.15">
      <c r="A11" s="154">
        <v>10</v>
      </c>
      <c r="B11" s="154" t="s">
        <v>201</v>
      </c>
      <c r="C11" s="8">
        <v>3.6717836856842041</v>
      </c>
      <c r="D11" s="9">
        <v>0.74199998378753662</v>
      </c>
      <c r="E11" s="9">
        <v>0.625</v>
      </c>
      <c r="F11" s="9">
        <v>3.7360000610351562</v>
      </c>
      <c r="G11" s="9">
        <v>0.36793327331542969</v>
      </c>
      <c r="H11" s="9">
        <v>0.16729122400283813</v>
      </c>
      <c r="I11">
        <v>1.6951872035861015E-2</v>
      </c>
      <c r="J11"/>
    </row>
    <row r="12" spans="1:10" ht="15" customHeight="1" x14ac:dyDescent="0.15">
      <c r="A12" s="155">
        <v>11</v>
      </c>
      <c r="B12" s="155" t="s">
        <v>202</v>
      </c>
      <c r="C12" s="8">
        <v>3.0488777160644531</v>
      </c>
      <c r="D12" s="9">
        <v>0.45802927017211914</v>
      </c>
      <c r="E12" s="9">
        <v>0.35100001096725464</v>
      </c>
      <c r="F12" s="9">
        <v>2.3399999141693115</v>
      </c>
      <c r="G12" s="9">
        <v>0.94999998807907104</v>
      </c>
      <c r="H12" s="9">
        <v>0.15000000596046448</v>
      </c>
      <c r="I12">
        <v>1.8117794767022133E-2</v>
      </c>
      <c r="J12"/>
    </row>
    <row r="13" spans="1:10" ht="15" customHeight="1" x14ac:dyDescent="0.15">
      <c r="A13" s="156">
        <v>12</v>
      </c>
      <c r="B13" s="156" t="s">
        <v>203</v>
      </c>
      <c r="C13" s="8">
        <v>4.0866036415100098</v>
      </c>
      <c r="D13" s="9">
        <v>0.15000000596046448</v>
      </c>
      <c r="E13" s="9">
        <v>0.30500000715255737</v>
      </c>
      <c r="F13" s="9">
        <v>2.878000020980835</v>
      </c>
      <c r="G13" s="9">
        <v>0.32473745942115784</v>
      </c>
      <c r="H13" s="9">
        <v>0.10597637295722961</v>
      </c>
      <c r="I13">
        <v>1.3662462122738361E-2</v>
      </c>
      <c r="J13"/>
    </row>
    <row r="14" spans="1:10" ht="15" customHeight="1" x14ac:dyDescent="0.15">
      <c r="A14" s="157">
        <v>13</v>
      </c>
      <c r="B14" s="157" t="s">
        <v>204</v>
      </c>
      <c r="C14" s="8">
        <v>3.6640892028808594</v>
      </c>
      <c r="D14" s="9">
        <v>1.7338773012161255</v>
      </c>
      <c r="E14" s="9">
        <v>0.30300000309944153</v>
      </c>
      <c r="F14" s="9">
        <v>2</v>
      </c>
      <c r="G14" s="9">
        <v>0.94999998807907104</v>
      </c>
      <c r="H14" s="9">
        <v>0.15150000154972076</v>
      </c>
      <c r="I14">
        <v>0.1269880086183548</v>
      </c>
      <c r="J14"/>
    </row>
    <row r="15" spans="1:10" ht="15" customHeight="1" x14ac:dyDescent="0.15">
      <c r="A15" s="158">
        <v>14</v>
      </c>
      <c r="B15" s="158" t="s">
        <v>205</v>
      </c>
      <c r="C15" s="8">
        <v>3.2789602279663086</v>
      </c>
      <c r="D15" s="9">
        <v>1.0204520225524902</v>
      </c>
      <c r="E15" s="9">
        <v>0.23499999940395355</v>
      </c>
      <c r="F15" s="9">
        <v>1.5666666030883789</v>
      </c>
      <c r="G15" s="9">
        <v>0.17324933409690857</v>
      </c>
      <c r="H15" s="9">
        <v>0.15000000596046448</v>
      </c>
      <c r="I15">
        <v>2.8426382690668106E-2</v>
      </c>
      <c r="J15"/>
    </row>
    <row r="16" spans="1:10" ht="15" customHeight="1" x14ac:dyDescent="0.15">
      <c r="A16" s="159">
        <v>15</v>
      </c>
      <c r="B16" s="159" t="s">
        <v>206</v>
      </c>
      <c r="C16" s="8">
        <v>3.1109774112701416</v>
      </c>
      <c r="D16" s="9">
        <v>2.2097156047821045</v>
      </c>
      <c r="E16" s="9">
        <v>0.40000000596046448</v>
      </c>
      <c r="F16" s="9">
        <v>2.6666665077209473</v>
      </c>
      <c r="G16" s="9">
        <v>0.94999998807907104</v>
      </c>
      <c r="H16" s="9">
        <v>0.15000000596046448</v>
      </c>
      <c r="I16">
        <v>0</v>
      </c>
      <c r="J16"/>
    </row>
    <row r="17" spans="1:10" ht="15" customHeight="1" x14ac:dyDescent="0.15">
      <c r="A17" s="160">
        <v>16</v>
      </c>
      <c r="B17" s="160" t="s">
        <v>207</v>
      </c>
      <c r="C17" s="8">
        <v>3.2667462825775146</v>
      </c>
      <c r="D17" s="9">
        <v>16.096635818481445</v>
      </c>
      <c r="E17" s="9">
        <v>1.1449999809265137</v>
      </c>
      <c r="F17" s="9">
        <v>4.3000001907348633</v>
      </c>
      <c r="G17" s="9">
        <v>0.94999998807907104</v>
      </c>
      <c r="H17" s="9">
        <v>0.26627904176712036</v>
      </c>
      <c r="I17">
        <v>0.16897989809513092</v>
      </c>
      <c r="J17"/>
    </row>
    <row r="18" spans="1:10" ht="15" customHeight="1" x14ac:dyDescent="0.15">
      <c r="A18" s="161">
        <v>17</v>
      </c>
      <c r="B18" s="161" t="s">
        <v>208</v>
      </c>
      <c r="C18" s="8">
        <v>3.195263147354126</v>
      </c>
      <c r="D18" s="9">
        <v>1.7219667434692383</v>
      </c>
      <c r="E18" s="9">
        <v>1.1499999761581421</v>
      </c>
      <c r="F18" s="9">
        <v>7.6666660308837891</v>
      </c>
      <c r="G18" s="9">
        <v>0.94999992847442627</v>
      </c>
      <c r="H18" s="9">
        <v>0.15000000596046448</v>
      </c>
      <c r="I18">
        <v>0</v>
      </c>
      <c r="J18"/>
    </row>
    <row r="19" spans="1:10" ht="15" customHeight="1" x14ac:dyDescent="0.15">
      <c r="A19" s="162">
        <v>18</v>
      </c>
      <c r="B19" s="162" t="s">
        <v>209</v>
      </c>
      <c r="C19" s="8">
        <v>3.4080052375793457</v>
      </c>
      <c r="D19" s="9">
        <v>4.0312967300415039</v>
      </c>
      <c r="E19" s="9">
        <v>0.39500001072883606</v>
      </c>
      <c r="F19" s="9">
        <v>2.6333332061767578</v>
      </c>
      <c r="G19" s="9">
        <v>0.9500001072883606</v>
      </c>
      <c r="H19" s="9">
        <v>0.15000000596046448</v>
      </c>
      <c r="I19">
        <v>0</v>
      </c>
      <c r="J19"/>
    </row>
    <row r="20" spans="1:10" ht="15" customHeight="1" x14ac:dyDescent="0.15">
      <c r="A20" s="163">
        <v>19</v>
      </c>
      <c r="B20" s="163" t="s">
        <v>210</v>
      </c>
      <c r="C20" s="8">
        <v>4.2400455474853516</v>
      </c>
      <c r="D20" s="9">
        <v>2.4211976677179337E-2</v>
      </c>
      <c r="E20" s="9">
        <v>0.40000000596046448</v>
      </c>
      <c r="F20" s="9">
        <v>3.3329999446868896</v>
      </c>
      <c r="G20" s="9">
        <v>0.94999992847442627</v>
      </c>
      <c r="H20" s="9">
        <v>0.12001200765371323</v>
      </c>
      <c r="I20">
        <v>2.9418810736387968E-3</v>
      </c>
      <c r="J20"/>
    </row>
    <row r="21" spans="1:10" ht="15" customHeight="1" x14ac:dyDescent="0.15">
      <c r="A21" s="164">
        <v>20</v>
      </c>
      <c r="B21" s="164" t="s">
        <v>211</v>
      </c>
      <c r="C21" s="8">
        <v>4.1292533874511719</v>
      </c>
      <c r="D21" s="9">
        <v>0.99299889802932739</v>
      </c>
      <c r="E21" s="9">
        <v>0.60000002384185791</v>
      </c>
      <c r="F21" s="9">
        <v>4</v>
      </c>
      <c r="G21" s="9">
        <v>0.94999992847442627</v>
      </c>
      <c r="H21" s="9">
        <v>0.15000000596046448</v>
      </c>
      <c r="I21">
        <v>2.0606769248843193E-2</v>
      </c>
      <c r="J21"/>
    </row>
    <row r="22" spans="1:10" ht="15" customHeight="1" x14ac:dyDescent="0.15">
      <c r="A22" s="165">
        <v>21</v>
      </c>
      <c r="B22" s="165" t="s">
        <v>212</v>
      </c>
      <c r="C22" s="8">
        <v>3.296147346496582</v>
      </c>
      <c r="D22" s="9">
        <v>3.4175245761871338</v>
      </c>
      <c r="E22" s="9">
        <v>0.5</v>
      </c>
      <c r="F22" s="9">
        <v>3.3333332538604736</v>
      </c>
      <c r="G22" s="9">
        <v>0.94999998807907104</v>
      </c>
      <c r="H22" s="9">
        <v>0.15000000596046448</v>
      </c>
      <c r="I22">
        <v>2.5127090513706207E-2</v>
      </c>
      <c r="J22"/>
    </row>
    <row r="23" spans="1:10" ht="15" customHeight="1" x14ac:dyDescent="0.15">
      <c r="A23" s="166">
        <v>22</v>
      </c>
      <c r="B23" s="166" t="s">
        <v>213</v>
      </c>
      <c r="C23" s="8">
        <v>2.4569473266601562</v>
      </c>
      <c r="D23" s="9">
        <v>0.99756819009780884</v>
      </c>
      <c r="E23" s="9">
        <v>1.4500000476837158</v>
      </c>
      <c r="F23" s="9">
        <v>9.6666669845581055</v>
      </c>
      <c r="G23" s="9">
        <v>0.94999992847442627</v>
      </c>
      <c r="H23" s="9">
        <v>0.15000000596046448</v>
      </c>
      <c r="I23">
        <v>4.7385781072080135E-3</v>
      </c>
      <c r="J23"/>
    </row>
    <row r="24" spans="1:10" ht="15" customHeight="1" x14ac:dyDescent="0.15">
      <c r="A24" s="167">
        <v>23</v>
      </c>
      <c r="B24" s="167" t="s">
        <v>214</v>
      </c>
      <c r="C24" s="8">
        <v>2.9295928478240967</v>
      </c>
      <c r="D24" s="9">
        <v>1.9883725643157959</v>
      </c>
      <c r="E24" s="9">
        <v>0.38199999928474426</v>
      </c>
      <c r="F24" s="9">
        <v>4.4200000762939453</v>
      </c>
      <c r="G24" s="9">
        <v>0.9500001072883606</v>
      </c>
      <c r="H24" s="9">
        <v>8.6425334215164185E-2</v>
      </c>
      <c r="I24">
        <v>1.8045889213681221E-2</v>
      </c>
      <c r="J24"/>
    </row>
    <row r="25" spans="1:10" ht="15" customHeight="1" x14ac:dyDescent="0.15">
      <c r="A25" s="168">
        <v>24</v>
      </c>
      <c r="B25" s="168" t="s">
        <v>215</v>
      </c>
      <c r="C25" s="8">
        <v>2</v>
      </c>
      <c r="D25" s="9">
        <v>70.599998474121094</v>
      </c>
      <c r="E25" s="9">
        <v>0.60000002384185791</v>
      </c>
      <c r="F25" s="9">
        <v>6.6666665077209473</v>
      </c>
      <c r="G25" s="9">
        <v>0.10901685059070587</v>
      </c>
      <c r="H25" s="9">
        <v>9.0000003576278687E-2</v>
      </c>
      <c r="I25">
        <v>0</v>
      </c>
      <c r="J25"/>
    </row>
    <row r="26" spans="1:10" ht="15" customHeight="1" x14ac:dyDescent="0.15">
      <c r="A26" s="169">
        <v>25</v>
      </c>
      <c r="B26" s="169" t="s">
        <v>216</v>
      </c>
      <c r="C26" s="8">
        <v>2</v>
      </c>
      <c r="D26" s="9">
        <v>16.399999618530273</v>
      </c>
      <c r="E26" s="9">
        <v>0.56999999284744263</v>
      </c>
      <c r="F26" s="9">
        <v>6.3333330154418945</v>
      </c>
      <c r="G26" s="9">
        <v>0.21673297882080078</v>
      </c>
      <c r="H26" s="9">
        <v>9.0000003576278687E-2</v>
      </c>
      <c r="I26">
        <v>3.2929499866440892E-4</v>
      </c>
      <c r="J26"/>
    </row>
    <row r="27" spans="1:10" ht="15" customHeight="1" x14ac:dyDescent="0.15">
      <c r="A27" s="170">
        <v>26</v>
      </c>
      <c r="B27" s="170" t="s">
        <v>217</v>
      </c>
      <c r="C27" s="8">
        <v>2</v>
      </c>
      <c r="D27" s="9">
        <v>8.8000001907348633</v>
      </c>
      <c r="E27" s="9">
        <v>2</v>
      </c>
      <c r="F27" s="9">
        <v>22.222221374511719</v>
      </c>
      <c r="G27" s="9">
        <v>0.29211908578872681</v>
      </c>
      <c r="H27" s="9">
        <v>9.0000003576278687E-2</v>
      </c>
      <c r="I27">
        <v>0</v>
      </c>
      <c r="J27"/>
    </row>
    <row r="28" spans="1:10" ht="15" customHeight="1" x14ac:dyDescent="0.15">
      <c r="A28" s="171">
        <v>27</v>
      </c>
      <c r="B28" s="171" t="s">
        <v>218</v>
      </c>
      <c r="C28" s="8">
        <v>2</v>
      </c>
      <c r="D28" s="9">
        <v>2.7000000476837158</v>
      </c>
      <c r="E28" s="9">
        <v>2.5</v>
      </c>
      <c r="F28" s="9">
        <v>12.5</v>
      </c>
      <c r="G28" s="9">
        <v>0.87103950977325439</v>
      </c>
      <c r="H28" s="9">
        <v>0.20000000298023224</v>
      </c>
      <c r="I28">
        <v>0</v>
      </c>
      <c r="J28"/>
    </row>
    <row r="29" spans="1:10" ht="15" customHeight="1" x14ac:dyDescent="0.15">
      <c r="A29" s="172">
        <v>28</v>
      </c>
      <c r="B29" s="172" t="s">
        <v>219</v>
      </c>
      <c r="C29" s="8">
        <v>2.5578949451446533</v>
      </c>
      <c r="D29" s="9">
        <v>23.334026336669922</v>
      </c>
      <c r="E29" s="9">
        <v>3.4330000877380371</v>
      </c>
      <c r="F29" s="9">
        <v>19.5</v>
      </c>
      <c r="G29" s="9">
        <v>0.95000004768371582</v>
      </c>
      <c r="H29" s="9">
        <v>0.17605128884315491</v>
      </c>
      <c r="I29">
        <v>0</v>
      </c>
      <c r="J29"/>
    </row>
    <row r="30" spans="1:10" ht="15" customHeight="1" x14ac:dyDescent="0.15">
      <c r="A30" s="173">
        <v>29</v>
      </c>
      <c r="B30" s="173" t="s">
        <v>220</v>
      </c>
      <c r="C30" s="8">
        <v>2</v>
      </c>
      <c r="D30" s="9">
        <v>34.646041870117188</v>
      </c>
      <c r="E30" s="9">
        <v>8.3999996185302734</v>
      </c>
      <c r="F30" s="9">
        <v>27.999998092651367</v>
      </c>
      <c r="G30" s="9">
        <v>0.94999998807907104</v>
      </c>
      <c r="H30" s="9">
        <v>0.30000001192092896</v>
      </c>
      <c r="I30">
        <v>0</v>
      </c>
      <c r="J30"/>
    </row>
    <row r="31" spans="1:10" ht="15" customHeight="1" x14ac:dyDescent="0.15">
      <c r="A31" s="174">
        <v>30</v>
      </c>
      <c r="B31" s="174" t="s">
        <v>221</v>
      </c>
      <c r="C31" s="8">
        <v>1</v>
      </c>
      <c r="D31" s="9">
        <v>27.25</v>
      </c>
      <c r="E31" s="9">
        <v>103.59999847412109</v>
      </c>
      <c r="F31" s="10"/>
      <c r="G31" s="9">
        <v>0.40355062484741211</v>
      </c>
      <c r="H31" s="10"/>
      <c r="I31">
        <v>0</v>
      </c>
      <c r="J31"/>
    </row>
    <row r="32" spans="1:10" ht="15" customHeight="1" x14ac:dyDescent="0.15">
      <c r="A32" s="202">
        <v>31</v>
      </c>
      <c r="B32" s="202" t="s">
        <v>222</v>
      </c>
      <c r="C32" s="8">
        <v>1</v>
      </c>
      <c r="D32" s="9">
        <v>389</v>
      </c>
      <c r="E32" s="10"/>
      <c r="F32" s="10"/>
      <c r="G32" s="9">
        <v>0.38136756420135498</v>
      </c>
      <c r="H32" s="10"/>
      <c r="I32">
        <v>0</v>
      </c>
      <c r="J32"/>
    </row>
    <row r="33" spans="1:10" ht="15" customHeight="1" x14ac:dyDescent="0.15">
      <c r="A33" s="203">
        <v>32</v>
      </c>
      <c r="B33" s="203" t="s">
        <v>223</v>
      </c>
      <c r="C33" s="8">
        <v>1</v>
      </c>
      <c r="D33" s="9">
        <v>5</v>
      </c>
      <c r="E33" s="10"/>
      <c r="F33" s="10"/>
      <c r="G33" s="7">
        <v>0</v>
      </c>
      <c r="H33" s="10"/>
      <c r="I33">
        <v>0</v>
      </c>
      <c r="J33"/>
    </row>
    <row r="34" spans="1:10" ht="15" customHeight="1" x14ac:dyDescent="0.15">
      <c r="A34" s="204">
        <v>33</v>
      </c>
      <c r="B34" s="204" t="s">
        <v>224</v>
      </c>
      <c r="C34" s="8">
        <v>4.897183895111084</v>
      </c>
      <c r="D34" s="10"/>
      <c r="E34" s="10"/>
      <c r="F34" s="10"/>
      <c r="G34" s="10"/>
      <c r="H34" s="10"/>
      <c r="I34">
        <v>1.2568161487579346</v>
      </c>
      <c r="J34"/>
    </row>
    <row r="35" spans="1:10" ht="15" customHeight="1" x14ac:dyDescent="0.15">
      <c r="A35"/>
      <c r="B35"/>
      <c r="C35"/>
      <c r="D35"/>
      <c r="E35"/>
      <c r="F35"/>
      <c r="G35"/>
      <c r="H35"/>
      <c r="I35"/>
      <c r="J35"/>
    </row>
    <row r="36" spans="1:10" ht="15" customHeight="1" x14ac:dyDescent="0.15">
      <c r="A36"/>
      <c r="B36"/>
      <c r="C36"/>
      <c r="D36"/>
      <c r="E36"/>
      <c r="F36"/>
      <c r="G36"/>
      <c r="H36"/>
      <c r="I36"/>
      <c r="J36"/>
    </row>
    <row r="37" spans="1:10" ht="15" customHeight="1" x14ac:dyDescent="0.15">
      <c r="A37"/>
      <c r="B37"/>
      <c r="C37"/>
      <c r="D37"/>
      <c r="E37"/>
      <c r="F37"/>
      <c r="G37"/>
      <c r="H37"/>
      <c r="I37"/>
      <c r="J37"/>
    </row>
    <row r="38" spans="1:10" ht="15" customHeight="1" x14ac:dyDescent="0.15">
      <c r="A38"/>
      <c r="B38"/>
      <c r="C38"/>
      <c r="D38"/>
      <c r="E38"/>
      <c r="F38"/>
      <c r="G38"/>
      <c r="H38"/>
      <c r="I38"/>
      <c r="J38"/>
    </row>
    <row r="39" spans="1:10" ht="15" customHeight="1" x14ac:dyDescent="0.15">
      <c r="A39"/>
      <c r="B39"/>
      <c r="C39"/>
      <c r="D39"/>
      <c r="E39"/>
      <c r="F39"/>
      <c r="G39"/>
      <c r="H39"/>
      <c r="I39"/>
      <c r="J39"/>
    </row>
    <row r="40" spans="1:10" ht="15" customHeight="1" x14ac:dyDescent="0.15">
      <c r="A40"/>
      <c r="B40"/>
      <c r="C40"/>
      <c r="D40"/>
      <c r="E40"/>
      <c r="F40"/>
      <c r="G40"/>
      <c r="H40"/>
      <c r="I40"/>
      <c r="J40"/>
    </row>
    <row r="41" spans="1:10" ht="15" customHeight="1" x14ac:dyDescent="0.15">
      <c r="A41"/>
      <c r="B41"/>
      <c r="C41"/>
      <c r="D41"/>
      <c r="E41"/>
      <c r="F41"/>
      <c r="G41"/>
      <c r="H41"/>
      <c r="I41"/>
      <c r="J41"/>
    </row>
    <row r="42" spans="1:10" ht="15" customHeight="1" x14ac:dyDescent="0.15">
      <c r="A42"/>
      <c r="B42"/>
      <c r="C42"/>
      <c r="D42"/>
      <c r="E42"/>
      <c r="F42"/>
      <c r="G42"/>
      <c r="H42"/>
      <c r="I42"/>
      <c r="J42"/>
    </row>
    <row r="43" spans="1:10" ht="15" customHeight="1" x14ac:dyDescent="0.15">
      <c r="A43"/>
      <c r="B43"/>
      <c r="C43"/>
      <c r="D43"/>
      <c r="E43"/>
      <c r="F43"/>
      <c r="G43"/>
      <c r="H43"/>
      <c r="I43"/>
      <c r="J43"/>
    </row>
    <row r="44" spans="1:10" ht="15" customHeight="1" x14ac:dyDescent="0.15">
      <c r="A44"/>
      <c r="B44"/>
      <c r="C44"/>
      <c r="D44"/>
      <c r="E44"/>
      <c r="F44"/>
      <c r="G44"/>
      <c r="H44"/>
      <c r="I44"/>
      <c r="J44"/>
    </row>
    <row r="45" spans="1:10" ht="15" customHeight="1" x14ac:dyDescent="0.15">
      <c r="A45"/>
      <c r="B45"/>
      <c r="C45"/>
      <c r="D45"/>
      <c r="E45"/>
      <c r="F45"/>
      <c r="G45"/>
      <c r="H45"/>
      <c r="I45"/>
      <c r="J45"/>
    </row>
    <row r="46" spans="1:10" ht="15" customHeight="1" x14ac:dyDescent="0.15">
      <c r="A46"/>
      <c r="B46"/>
      <c r="C46"/>
      <c r="D46"/>
      <c r="E46"/>
      <c r="F46"/>
      <c r="G46"/>
      <c r="H46"/>
      <c r="I46"/>
      <c r="J46"/>
    </row>
    <row r="47" spans="1:10" ht="15" customHeight="1" x14ac:dyDescent="0.15">
      <c r="A47"/>
      <c r="B47"/>
      <c r="C47"/>
      <c r="D47"/>
      <c r="E47"/>
      <c r="F47"/>
      <c r="G47"/>
      <c r="H47"/>
      <c r="I47"/>
      <c r="J47"/>
    </row>
    <row r="48" spans="1:10" ht="15" customHeight="1" x14ac:dyDescent="0.15">
      <c r="A48"/>
      <c r="B48"/>
      <c r="C48"/>
      <c r="D48"/>
      <c r="E48"/>
      <c r="F48"/>
      <c r="G48"/>
      <c r="H48"/>
      <c r="I48"/>
      <c r="J48"/>
    </row>
    <row r="49" spans="1:10" ht="15" customHeight="1" x14ac:dyDescent="0.15">
      <c r="A49"/>
      <c r="B49"/>
      <c r="C49"/>
      <c r="D49"/>
      <c r="E49"/>
      <c r="F49"/>
      <c r="G49"/>
      <c r="H49"/>
      <c r="I49"/>
      <c r="J49"/>
    </row>
    <row r="50" spans="1:10" ht="15" customHeight="1" x14ac:dyDescent="0.15">
      <c r="A50"/>
      <c r="B50"/>
      <c r="C50"/>
      <c r="D50"/>
      <c r="E50"/>
      <c r="F50"/>
      <c r="G50"/>
      <c r="H50"/>
      <c r="I50"/>
      <c r="J50"/>
    </row>
    <row r="51" spans="1:10" ht="15" customHeight="1" x14ac:dyDescent="0.15">
      <c r="A51"/>
      <c r="B51"/>
      <c r="C51"/>
      <c r="D51"/>
      <c r="E51"/>
      <c r="F51"/>
      <c r="G51"/>
      <c r="H51"/>
      <c r="I51"/>
      <c r="J51"/>
    </row>
    <row r="52" spans="1:10" ht="15" customHeight="1" x14ac:dyDescent="0.15">
      <c r="A52"/>
      <c r="B52"/>
      <c r="C52"/>
      <c r="D52"/>
      <c r="E52"/>
      <c r="F52"/>
      <c r="G52"/>
      <c r="H52"/>
      <c r="I52"/>
      <c r="J52"/>
    </row>
    <row r="53" spans="1:10" ht="15" customHeight="1" x14ac:dyDescent="0.15">
      <c r="A53"/>
      <c r="B53"/>
      <c r="C53"/>
      <c r="D53"/>
      <c r="E53"/>
      <c r="F53"/>
      <c r="G53"/>
      <c r="H53"/>
      <c r="I53"/>
      <c r="J53"/>
    </row>
    <row r="54" spans="1:10" ht="15" customHeight="1" x14ac:dyDescent="0.15">
      <c r="A54"/>
      <c r="B54"/>
      <c r="C54"/>
      <c r="D54"/>
      <c r="E54"/>
      <c r="F54"/>
      <c r="G54"/>
      <c r="H54"/>
      <c r="I54"/>
      <c r="J54"/>
    </row>
    <row r="55" spans="1:10" ht="15" customHeight="1" x14ac:dyDescent="0.15">
      <c r="A55"/>
      <c r="B55"/>
      <c r="C55"/>
      <c r="D55"/>
      <c r="E55"/>
      <c r="F55"/>
      <c r="G55"/>
      <c r="H55"/>
      <c r="I55"/>
      <c r="J55"/>
    </row>
    <row r="56" spans="1:10" ht="15" customHeight="1" x14ac:dyDescent="0.15">
      <c r="A56"/>
      <c r="B56"/>
      <c r="C56"/>
      <c r="D56"/>
      <c r="E56"/>
      <c r="F56"/>
      <c r="G56"/>
      <c r="H56"/>
      <c r="I56"/>
      <c r="J56"/>
    </row>
    <row r="57" spans="1:10" ht="15" customHeight="1" x14ac:dyDescent="0.15">
      <c r="A57"/>
      <c r="B57"/>
      <c r="C57"/>
      <c r="D57"/>
      <c r="E57"/>
      <c r="F57"/>
      <c r="G57"/>
      <c r="H57"/>
      <c r="I57"/>
      <c r="J57"/>
    </row>
    <row r="58" spans="1:10" ht="15" customHeight="1" x14ac:dyDescent="0.15">
      <c r="A58"/>
      <c r="B58"/>
      <c r="C58"/>
      <c r="D58"/>
      <c r="E58"/>
      <c r="F58"/>
      <c r="G58"/>
      <c r="H58"/>
      <c r="I58"/>
      <c r="J58"/>
    </row>
    <row r="59" spans="1:10" ht="15" customHeight="1" x14ac:dyDescent="0.15">
      <c r="A59"/>
      <c r="B59"/>
      <c r="C59"/>
      <c r="D59"/>
      <c r="E59"/>
      <c r="F59"/>
      <c r="G59"/>
      <c r="H59"/>
      <c r="I59"/>
      <c r="J59"/>
    </row>
    <row r="60" spans="1:10" ht="15" customHeight="1" x14ac:dyDescent="0.15">
      <c r="A60"/>
      <c r="B60"/>
      <c r="C60"/>
      <c r="D60"/>
      <c r="E60"/>
      <c r="F60"/>
      <c r="G60"/>
      <c r="H60"/>
      <c r="I60"/>
      <c r="J60"/>
    </row>
    <row r="61" spans="1:10" ht="15" customHeight="1" x14ac:dyDescent="0.15">
      <c r="A61"/>
      <c r="B61"/>
      <c r="C61"/>
      <c r="D61"/>
      <c r="E61"/>
      <c r="F61"/>
      <c r="G61"/>
      <c r="H61"/>
      <c r="I61"/>
      <c r="J61"/>
    </row>
    <row r="62" spans="1:10" ht="15" customHeight="1" x14ac:dyDescent="0.15">
      <c r="A62"/>
      <c r="B62"/>
      <c r="C62"/>
      <c r="D62"/>
      <c r="E62"/>
      <c r="F62"/>
      <c r="G62"/>
      <c r="H62"/>
      <c r="I62"/>
      <c r="J62"/>
    </row>
    <row r="63" spans="1:10" ht="15" customHeight="1" x14ac:dyDescent="0.15">
      <c r="A63"/>
      <c r="B63"/>
      <c r="C63"/>
      <c r="D63"/>
      <c r="E63"/>
      <c r="F63"/>
      <c r="G63"/>
      <c r="H63"/>
      <c r="I63"/>
      <c r="J63"/>
    </row>
    <row r="64" spans="1:10" ht="15" customHeight="1" x14ac:dyDescent="0.15">
      <c r="A64"/>
      <c r="B64"/>
      <c r="C64"/>
      <c r="D64"/>
      <c r="E64"/>
      <c r="F64"/>
      <c r="G64"/>
      <c r="H64"/>
      <c r="I64"/>
      <c r="J64"/>
    </row>
    <row r="65" spans="1:10" ht="15" customHeight="1" x14ac:dyDescent="0.15">
      <c r="A65"/>
      <c r="B65"/>
      <c r="C65"/>
      <c r="D65"/>
      <c r="E65"/>
      <c r="F65"/>
      <c r="G65"/>
      <c r="H65"/>
      <c r="I65"/>
      <c r="J65"/>
    </row>
    <row r="66" spans="1:10" ht="15" customHeight="1" x14ac:dyDescent="0.15">
      <c r="A66"/>
      <c r="B66"/>
      <c r="C66"/>
      <c r="D66"/>
      <c r="E66"/>
      <c r="F66"/>
      <c r="G66"/>
      <c r="H66"/>
      <c r="I66"/>
      <c r="J66"/>
    </row>
    <row r="67" spans="1:10" ht="15" customHeight="1" x14ac:dyDescent="0.15">
      <c r="A67"/>
      <c r="B67"/>
      <c r="C67"/>
      <c r="D67"/>
      <c r="E67"/>
      <c r="F67"/>
      <c r="G67"/>
      <c r="H67"/>
      <c r="I67"/>
      <c r="J67"/>
    </row>
    <row r="68" spans="1:10" ht="15" customHeight="1" x14ac:dyDescent="0.15">
      <c r="A68"/>
      <c r="B68"/>
      <c r="C68"/>
      <c r="D68"/>
      <c r="E68"/>
      <c r="F68"/>
      <c r="G68"/>
      <c r="H68"/>
      <c r="I68"/>
      <c r="J68"/>
    </row>
    <row r="69" spans="1:10" ht="15" customHeight="1" x14ac:dyDescent="0.15">
      <c r="A69"/>
      <c r="B69"/>
      <c r="C69"/>
      <c r="D69"/>
      <c r="E69"/>
      <c r="F69"/>
      <c r="G69"/>
      <c r="H69"/>
      <c r="I69"/>
      <c r="J69"/>
    </row>
    <row r="70" spans="1:10" ht="15" customHeight="1" x14ac:dyDescent="0.15">
      <c r="A70"/>
      <c r="B70"/>
      <c r="C70"/>
      <c r="D70"/>
      <c r="E70"/>
      <c r="F70"/>
      <c r="G70"/>
      <c r="H70"/>
      <c r="I70"/>
      <c r="J70"/>
    </row>
    <row r="71" spans="1:10" ht="15" customHeight="1" x14ac:dyDescent="0.15">
      <c r="A71"/>
      <c r="B71"/>
      <c r="C71"/>
      <c r="D71"/>
      <c r="E71"/>
      <c r="F71"/>
      <c r="G71"/>
      <c r="H71"/>
      <c r="I71"/>
      <c r="J71"/>
    </row>
    <row r="72" spans="1:10" ht="15" customHeight="1" x14ac:dyDescent="0.15">
      <c r="A72"/>
      <c r="B72"/>
      <c r="C72"/>
      <c r="D72"/>
      <c r="E72"/>
      <c r="F72"/>
      <c r="G72"/>
      <c r="H72"/>
      <c r="I72"/>
      <c r="J72"/>
    </row>
    <row r="73" spans="1:10" ht="15" customHeight="1" x14ac:dyDescent="0.15">
      <c r="A73"/>
      <c r="B73"/>
      <c r="C73"/>
      <c r="D73"/>
      <c r="E73"/>
      <c r="F73"/>
      <c r="G73"/>
      <c r="H73"/>
      <c r="I73"/>
      <c r="J73"/>
    </row>
    <row r="74" spans="1:10" ht="15" customHeight="1" x14ac:dyDescent="0.15">
      <c r="A74"/>
      <c r="B74"/>
      <c r="C74"/>
      <c r="D74"/>
      <c r="E74"/>
      <c r="F74"/>
      <c r="G74"/>
      <c r="H74"/>
      <c r="I74"/>
      <c r="J74"/>
    </row>
    <row r="75" spans="1:10" ht="15" customHeight="1" x14ac:dyDescent="0.15">
      <c r="A75"/>
      <c r="B75"/>
      <c r="C75"/>
      <c r="D75"/>
      <c r="E75"/>
      <c r="F75"/>
      <c r="G75"/>
      <c r="H75"/>
      <c r="I75"/>
      <c r="J75"/>
    </row>
    <row r="76" spans="1:10" ht="15" customHeight="1" x14ac:dyDescent="0.15">
      <c r="A76"/>
      <c r="B76"/>
      <c r="C76"/>
      <c r="D76"/>
      <c r="E76"/>
      <c r="F76"/>
      <c r="G76"/>
      <c r="H76"/>
      <c r="I76"/>
      <c r="J76"/>
    </row>
    <row r="77" spans="1:10" ht="15" customHeight="1" x14ac:dyDescent="0.15">
      <c r="A77"/>
      <c r="B77"/>
      <c r="C77"/>
      <c r="D77"/>
      <c r="E77"/>
      <c r="F77"/>
      <c r="G77"/>
      <c r="H77"/>
      <c r="I77"/>
      <c r="J77"/>
    </row>
    <row r="78" spans="1:10" ht="15" customHeight="1" x14ac:dyDescent="0.15">
      <c r="A78"/>
      <c r="B78"/>
      <c r="C78"/>
      <c r="D78"/>
      <c r="E78"/>
      <c r="F78"/>
      <c r="G78"/>
      <c r="H78"/>
      <c r="I78"/>
      <c r="J78"/>
    </row>
    <row r="79" spans="1:10" ht="15" customHeight="1" x14ac:dyDescent="0.15">
      <c r="A79"/>
      <c r="B79"/>
      <c r="C79"/>
      <c r="D79"/>
      <c r="E79"/>
      <c r="F79"/>
      <c r="G79"/>
      <c r="H79"/>
      <c r="I79"/>
      <c r="J79"/>
    </row>
    <row r="80" spans="1:10" ht="15" customHeight="1" x14ac:dyDescent="0.15">
      <c r="A80"/>
      <c r="B80"/>
      <c r="C80"/>
      <c r="D80"/>
      <c r="E80"/>
      <c r="F80"/>
      <c r="G80"/>
      <c r="H80"/>
      <c r="I80"/>
      <c r="J80"/>
    </row>
    <row r="81" spans="1:10" ht="15" customHeight="1" x14ac:dyDescent="0.15">
      <c r="A81"/>
      <c r="B81"/>
      <c r="C81"/>
      <c r="D81"/>
      <c r="E81"/>
      <c r="F81"/>
      <c r="G81"/>
      <c r="H81"/>
      <c r="I81"/>
      <c r="J81"/>
    </row>
    <row r="82" spans="1:10" ht="15" customHeight="1" x14ac:dyDescent="0.15">
      <c r="A82"/>
      <c r="B82"/>
      <c r="C82"/>
      <c r="D82"/>
      <c r="E82"/>
      <c r="F82"/>
      <c r="G82"/>
      <c r="H82"/>
      <c r="I82"/>
      <c r="J82"/>
    </row>
    <row r="83" spans="1:10" ht="15" customHeight="1" x14ac:dyDescent="0.15">
      <c r="A83"/>
      <c r="B83"/>
      <c r="C83"/>
      <c r="D83"/>
      <c r="E83"/>
      <c r="F83"/>
      <c r="G83"/>
      <c r="H83"/>
      <c r="I83"/>
      <c r="J83"/>
    </row>
    <row r="84" spans="1:10" ht="15" customHeight="1" x14ac:dyDescent="0.15">
      <c r="A84"/>
      <c r="B84"/>
      <c r="C84"/>
      <c r="D84"/>
      <c r="E84"/>
      <c r="F84"/>
      <c r="G84"/>
      <c r="H84"/>
      <c r="I84"/>
      <c r="J84"/>
    </row>
    <row r="85" spans="1:10" ht="15" customHeight="1" x14ac:dyDescent="0.15">
      <c r="A85"/>
      <c r="B85"/>
      <c r="C85"/>
      <c r="D85"/>
      <c r="E85"/>
      <c r="F85"/>
      <c r="G85"/>
      <c r="H85"/>
      <c r="I85"/>
      <c r="J85"/>
    </row>
    <row r="86" spans="1:10" ht="15" customHeight="1" x14ac:dyDescent="0.15">
      <c r="A86"/>
      <c r="B86"/>
      <c r="C86"/>
      <c r="D86"/>
      <c r="E86"/>
      <c r="F86"/>
      <c r="G86"/>
      <c r="H86"/>
      <c r="I86"/>
      <c r="J86"/>
    </row>
    <row r="87" spans="1:10" ht="15" customHeight="1" x14ac:dyDescent="0.15">
      <c r="A87"/>
      <c r="B87"/>
      <c r="C87"/>
      <c r="D87"/>
      <c r="E87"/>
      <c r="F87"/>
      <c r="G87"/>
      <c r="H87"/>
      <c r="I87"/>
      <c r="J87"/>
    </row>
    <row r="88" spans="1:10" ht="15" customHeight="1" x14ac:dyDescent="0.15">
      <c r="A88"/>
      <c r="B88"/>
      <c r="C88"/>
      <c r="D88"/>
      <c r="E88"/>
      <c r="F88"/>
      <c r="G88"/>
      <c r="H88"/>
      <c r="I88"/>
      <c r="J88"/>
    </row>
    <row r="89" spans="1:10" ht="15" customHeight="1" x14ac:dyDescent="0.15">
      <c r="A89"/>
      <c r="B89"/>
      <c r="C89"/>
      <c r="D89"/>
      <c r="E89"/>
      <c r="F89"/>
      <c r="G89"/>
      <c r="H89"/>
      <c r="I89"/>
      <c r="J89"/>
    </row>
    <row r="90" spans="1:10" ht="15" customHeight="1" x14ac:dyDescent="0.15">
      <c r="A90"/>
      <c r="B90"/>
      <c r="C90"/>
      <c r="D90"/>
      <c r="E90"/>
      <c r="F90"/>
      <c r="G90"/>
      <c r="H90"/>
      <c r="I90"/>
      <c r="J90"/>
    </row>
    <row r="91" spans="1:10" ht="15" customHeight="1" x14ac:dyDescent="0.15">
      <c r="A91"/>
      <c r="B91"/>
      <c r="C91"/>
      <c r="D91"/>
      <c r="E91"/>
      <c r="F91"/>
      <c r="G91"/>
      <c r="H91"/>
      <c r="I91"/>
      <c r="J91"/>
    </row>
    <row r="92" spans="1:10" ht="15" customHeight="1" x14ac:dyDescent="0.15">
      <c r="A92"/>
      <c r="B92"/>
      <c r="C92"/>
      <c r="D92"/>
      <c r="E92"/>
      <c r="F92"/>
      <c r="G92"/>
      <c r="H92"/>
      <c r="I92"/>
      <c r="J92"/>
    </row>
    <row r="93" spans="1:10" ht="15" customHeight="1" x14ac:dyDescent="0.15">
      <c r="A93"/>
      <c r="B93"/>
      <c r="C93"/>
      <c r="D93"/>
      <c r="E93"/>
      <c r="F93"/>
      <c r="G93"/>
      <c r="H93"/>
      <c r="I93"/>
      <c r="J93"/>
    </row>
    <row r="94" spans="1:10" ht="15" customHeight="1" x14ac:dyDescent="0.15">
      <c r="A94"/>
      <c r="B94"/>
      <c r="C94"/>
      <c r="D94"/>
      <c r="E94"/>
      <c r="F94"/>
      <c r="G94"/>
      <c r="H94"/>
      <c r="I94"/>
      <c r="J94"/>
    </row>
    <row r="95" spans="1:10" ht="15" customHeight="1" x14ac:dyDescent="0.15">
      <c r="A95"/>
      <c r="B95"/>
      <c r="C95"/>
      <c r="D95"/>
      <c r="E95"/>
      <c r="F95"/>
      <c r="G95"/>
      <c r="H95"/>
      <c r="I95"/>
      <c r="J95"/>
    </row>
    <row r="96" spans="1:10" ht="15" customHeight="1" x14ac:dyDescent="0.15">
      <c r="A96"/>
      <c r="B96"/>
      <c r="C96"/>
      <c r="D96"/>
      <c r="E96"/>
      <c r="F96"/>
      <c r="G96"/>
      <c r="H96"/>
      <c r="I96"/>
      <c r="J96"/>
    </row>
    <row r="97" spans="1:10" ht="15" customHeight="1" x14ac:dyDescent="0.15">
      <c r="A97"/>
      <c r="B97"/>
      <c r="C97"/>
      <c r="D97"/>
      <c r="E97"/>
      <c r="F97"/>
      <c r="G97"/>
      <c r="H97"/>
      <c r="I97"/>
      <c r="J97"/>
    </row>
    <row r="98" spans="1:10" ht="15" customHeight="1" x14ac:dyDescent="0.15">
      <c r="A98"/>
      <c r="B98"/>
      <c r="C98"/>
      <c r="D98"/>
      <c r="E98"/>
      <c r="F98"/>
      <c r="G98"/>
      <c r="H98"/>
      <c r="I98"/>
      <c r="J98"/>
    </row>
    <row r="99" spans="1:10" ht="15" customHeight="1" x14ac:dyDescent="0.15">
      <c r="A99"/>
      <c r="B99"/>
      <c r="C99"/>
      <c r="D99"/>
      <c r="E99"/>
      <c r="F99"/>
      <c r="G99"/>
      <c r="H99"/>
      <c r="I99"/>
      <c r="J99"/>
    </row>
    <row r="100" spans="1:10" ht="15" customHeight="1" x14ac:dyDescent="0.15">
      <c r="A100"/>
      <c r="B100"/>
      <c r="C100"/>
      <c r="D100"/>
      <c r="E100"/>
      <c r="F100"/>
      <c r="G100"/>
      <c r="H100"/>
      <c r="I100"/>
      <c r="J100"/>
    </row>
    <row r="101" spans="1:10" ht="15" customHeight="1" x14ac:dyDescent="0.15">
      <c r="A101"/>
      <c r="B101"/>
      <c r="C101"/>
      <c r="D101"/>
      <c r="E101"/>
      <c r="F101"/>
      <c r="G101"/>
      <c r="H101"/>
      <c r="I101"/>
      <c r="J101"/>
    </row>
    <row r="102" spans="1:10" ht="15" customHeight="1" x14ac:dyDescent="0.15">
      <c r="A102"/>
      <c r="B102"/>
      <c r="C102"/>
      <c r="D102"/>
      <c r="E102"/>
      <c r="F102"/>
      <c r="G102"/>
      <c r="H102"/>
      <c r="I102"/>
      <c r="J102"/>
    </row>
    <row r="103" spans="1:10" ht="15" customHeight="1" x14ac:dyDescent="0.15">
      <c r="A103"/>
      <c r="B103"/>
      <c r="C103"/>
      <c r="D103"/>
      <c r="E103"/>
      <c r="F103"/>
      <c r="G103"/>
      <c r="H103"/>
      <c r="I103"/>
      <c r="J103"/>
    </row>
    <row r="104" spans="1:10" ht="15" customHeight="1" x14ac:dyDescent="0.15">
      <c r="A104"/>
      <c r="B104"/>
      <c r="C104"/>
      <c r="D104"/>
      <c r="E104"/>
      <c r="F104"/>
      <c r="G104"/>
      <c r="H104"/>
      <c r="I104"/>
      <c r="J104"/>
    </row>
    <row r="105" spans="1:10" ht="15" customHeight="1" x14ac:dyDescent="0.15">
      <c r="A105"/>
      <c r="B105"/>
      <c r="C105"/>
      <c r="D105"/>
      <c r="E105"/>
      <c r="F105"/>
      <c r="G105"/>
      <c r="H105"/>
      <c r="I105"/>
      <c r="J105"/>
    </row>
    <row r="106" spans="1:10" ht="15" customHeight="1" x14ac:dyDescent="0.15">
      <c r="A106"/>
      <c r="B106"/>
      <c r="C106"/>
      <c r="D106"/>
      <c r="E106"/>
      <c r="F106"/>
      <c r="G106"/>
      <c r="H106"/>
      <c r="I106"/>
      <c r="J106"/>
    </row>
    <row r="107" spans="1:10" ht="15" customHeight="1" x14ac:dyDescent="0.15">
      <c r="A107"/>
      <c r="B107"/>
      <c r="C107"/>
      <c r="D107"/>
      <c r="E107"/>
      <c r="F107"/>
      <c r="G107"/>
      <c r="H107"/>
      <c r="I107"/>
      <c r="J107"/>
    </row>
    <row r="108" spans="1:10" ht="15" customHeight="1" x14ac:dyDescent="0.15">
      <c r="A108"/>
      <c r="B108"/>
      <c r="C108"/>
      <c r="D108"/>
      <c r="E108"/>
      <c r="F108"/>
      <c r="G108"/>
      <c r="H108"/>
      <c r="I108"/>
      <c r="J108"/>
    </row>
    <row r="109" spans="1:10" ht="15" customHeight="1" x14ac:dyDescent="0.15">
      <c r="A109"/>
      <c r="B109"/>
      <c r="C109"/>
      <c r="D109"/>
      <c r="E109"/>
      <c r="F109"/>
      <c r="G109"/>
      <c r="H109"/>
      <c r="I109"/>
      <c r="J109"/>
    </row>
    <row r="110" spans="1:10" ht="15" customHeight="1" x14ac:dyDescent="0.15">
      <c r="A110"/>
      <c r="B110"/>
      <c r="C110"/>
      <c r="D110"/>
      <c r="E110"/>
      <c r="F110"/>
      <c r="G110"/>
      <c r="H110"/>
      <c r="I110"/>
      <c r="J110"/>
    </row>
    <row r="111" spans="1:10" ht="15" customHeight="1" x14ac:dyDescent="0.15">
      <c r="A111"/>
      <c r="B111"/>
      <c r="C111"/>
      <c r="D111"/>
      <c r="E111"/>
      <c r="F111"/>
      <c r="G111"/>
      <c r="H111"/>
      <c r="I111"/>
      <c r="J111"/>
    </row>
    <row r="112" spans="1:10" ht="15" customHeight="1" x14ac:dyDescent="0.15">
      <c r="A112"/>
      <c r="B112"/>
      <c r="C112"/>
      <c r="D112"/>
      <c r="E112"/>
      <c r="F112"/>
      <c r="G112"/>
      <c r="H112"/>
      <c r="I112"/>
      <c r="J112"/>
    </row>
    <row r="113" spans="1:10" ht="15" customHeight="1" x14ac:dyDescent="0.15">
      <c r="A113"/>
      <c r="B113"/>
      <c r="C113"/>
      <c r="D113"/>
      <c r="E113"/>
      <c r="F113"/>
      <c r="G113"/>
      <c r="H113"/>
      <c r="I113"/>
      <c r="J113"/>
    </row>
    <row r="114" spans="1:10" ht="15" customHeight="1" x14ac:dyDescent="0.15">
      <c r="A114"/>
      <c r="B114"/>
      <c r="C114"/>
      <c r="D114"/>
      <c r="E114"/>
      <c r="F114"/>
      <c r="G114"/>
      <c r="H114"/>
      <c r="I114"/>
      <c r="J114"/>
    </row>
    <row r="115" spans="1:10" ht="15" customHeight="1" x14ac:dyDescent="0.15">
      <c r="A115"/>
      <c r="B115"/>
      <c r="C115"/>
      <c r="D115"/>
      <c r="E115"/>
      <c r="F115"/>
      <c r="G115"/>
      <c r="H115"/>
      <c r="I115"/>
      <c r="J115"/>
    </row>
    <row r="116" spans="1:10" ht="15" customHeight="1" x14ac:dyDescent="0.15">
      <c r="A116"/>
      <c r="B116"/>
      <c r="C116"/>
      <c r="D116"/>
      <c r="E116"/>
      <c r="F116"/>
      <c r="G116"/>
      <c r="H116"/>
      <c r="I116"/>
      <c r="J116"/>
    </row>
    <row r="117" spans="1:10" ht="15" customHeight="1" x14ac:dyDescent="0.15">
      <c r="A117"/>
      <c r="B117"/>
      <c r="C117"/>
      <c r="D117"/>
      <c r="E117"/>
      <c r="F117"/>
      <c r="G117"/>
      <c r="H117"/>
      <c r="I117"/>
      <c r="J117"/>
    </row>
    <row r="118" spans="1:10" ht="15" customHeight="1" x14ac:dyDescent="0.15">
      <c r="A118"/>
      <c r="B118"/>
      <c r="C118"/>
      <c r="D118"/>
      <c r="E118"/>
      <c r="F118"/>
      <c r="G118"/>
      <c r="H118"/>
      <c r="I118"/>
      <c r="J118"/>
    </row>
    <row r="119" spans="1:10" ht="15" customHeight="1" x14ac:dyDescent="0.15">
      <c r="A119"/>
      <c r="B119"/>
      <c r="C119"/>
      <c r="D119"/>
      <c r="E119"/>
      <c r="F119"/>
      <c r="G119"/>
      <c r="H119"/>
      <c r="I119"/>
      <c r="J119"/>
    </row>
    <row r="120" spans="1:10" ht="15" customHeight="1" x14ac:dyDescent="0.15">
      <c r="A120"/>
      <c r="B120"/>
      <c r="C120"/>
      <c r="D120"/>
      <c r="E120"/>
      <c r="F120"/>
      <c r="G120"/>
      <c r="H120"/>
      <c r="I120"/>
      <c r="J120"/>
    </row>
    <row r="121" spans="1:10" ht="15" customHeight="1" x14ac:dyDescent="0.15">
      <c r="A121"/>
      <c r="B121"/>
      <c r="C121"/>
      <c r="D121"/>
      <c r="E121"/>
      <c r="F121"/>
      <c r="G121"/>
      <c r="H121"/>
      <c r="I121"/>
      <c r="J121"/>
    </row>
    <row r="122" spans="1:10" ht="15" customHeight="1" x14ac:dyDescent="0.15">
      <c r="A122"/>
      <c r="B122"/>
      <c r="C122"/>
      <c r="D122"/>
      <c r="E122"/>
      <c r="F122"/>
      <c r="G122"/>
      <c r="H122"/>
      <c r="I122"/>
      <c r="J122"/>
    </row>
    <row r="123" spans="1:10" ht="15" customHeight="1" x14ac:dyDescent="0.15">
      <c r="A123"/>
      <c r="B123"/>
      <c r="C123"/>
      <c r="D123"/>
      <c r="E123"/>
      <c r="F123"/>
      <c r="G123"/>
      <c r="H123"/>
      <c r="I123"/>
      <c r="J123"/>
    </row>
    <row r="124" spans="1:10" ht="15" customHeight="1" x14ac:dyDescent="0.15">
      <c r="A124"/>
      <c r="B124"/>
      <c r="C124"/>
      <c r="D124"/>
      <c r="E124"/>
      <c r="F124"/>
      <c r="G124"/>
      <c r="H124"/>
      <c r="I124"/>
      <c r="J124"/>
    </row>
    <row r="125" spans="1:10" ht="15" customHeight="1" x14ac:dyDescent="0.15">
      <c r="A125"/>
      <c r="B125"/>
      <c r="C125"/>
      <c r="D125"/>
      <c r="E125"/>
      <c r="F125"/>
      <c r="G125"/>
      <c r="H125"/>
      <c r="I125"/>
      <c r="J125"/>
    </row>
    <row r="126" spans="1:10" ht="15" customHeight="1" x14ac:dyDescent="0.15">
      <c r="A126"/>
      <c r="B126"/>
      <c r="C126"/>
      <c r="D126"/>
      <c r="E126"/>
      <c r="F126"/>
      <c r="G126"/>
      <c r="H126"/>
      <c r="I126"/>
      <c r="J126"/>
    </row>
    <row r="127" spans="1:10" ht="15" customHeight="1" x14ac:dyDescent="0.15">
      <c r="A127"/>
      <c r="B127"/>
      <c r="C127"/>
      <c r="D127"/>
      <c r="E127"/>
      <c r="F127"/>
      <c r="G127"/>
      <c r="H127"/>
      <c r="I127"/>
      <c r="J127"/>
    </row>
    <row r="128" spans="1:10" ht="15" customHeight="1" x14ac:dyDescent="0.15">
      <c r="A128"/>
      <c r="B128"/>
      <c r="C128"/>
      <c r="D128"/>
      <c r="E128"/>
      <c r="F128"/>
      <c r="G128"/>
      <c r="H128"/>
      <c r="I128"/>
      <c r="J128"/>
    </row>
    <row r="129" spans="1:10" ht="15" customHeight="1" x14ac:dyDescent="0.15">
      <c r="A129"/>
      <c r="B129"/>
      <c r="C129"/>
      <c r="D129"/>
      <c r="E129"/>
      <c r="F129"/>
      <c r="G129"/>
      <c r="H129"/>
      <c r="I129"/>
      <c r="J129"/>
    </row>
    <row r="130" spans="1:10" ht="15" customHeight="1" x14ac:dyDescent="0.15">
      <c r="A130"/>
      <c r="B130"/>
      <c r="C130"/>
      <c r="D130"/>
      <c r="E130"/>
      <c r="F130"/>
      <c r="G130"/>
      <c r="H130"/>
      <c r="I130"/>
      <c r="J130"/>
    </row>
    <row r="131" spans="1:10" ht="15" customHeight="1" x14ac:dyDescent="0.15">
      <c r="A131"/>
      <c r="B131"/>
      <c r="C131"/>
      <c r="D131"/>
      <c r="E131"/>
      <c r="F131"/>
      <c r="G131"/>
      <c r="H131"/>
      <c r="I131"/>
      <c r="J131"/>
    </row>
    <row r="132" spans="1:10" ht="15" customHeight="1" x14ac:dyDescent="0.15">
      <c r="A132"/>
      <c r="B132"/>
      <c r="C132"/>
      <c r="D132"/>
      <c r="E132"/>
      <c r="F132"/>
      <c r="G132"/>
      <c r="H132"/>
      <c r="I132"/>
      <c r="J132"/>
    </row>
    <row r="133" spans="1:10" ht="15" customHeight="1" x14ac:dyDescent="0.15">
      <c r="A133"/>
      <c r="B133"/>
      <c r="C133"/>
      <c r="D133"/>
      <c r="E133"/>
      <c r="F133"/>
      <c r="G133"/>
      <c r="H133"/>
      <c r="I133"/>
      <c r="J133"/>
    </row>
    <row r="134" spans="1:10" ht="15" customHeight="1" x14ac:dyDescent="0.15">
      <c r="A134"/>
      <c r="B134"/>
      <c r="C134"/>
      <c r="D134"/>
      <c r="E134"/>
      <c r="F134"/>
      <c r="G134"/>
      <c r="H134"/>
      <c r="I134"/>
      <c r="J134"/>
    </row>
    <row r="135" spans="1:10" ht="15" customHeight="1" x14ac:dyDescent="0.15">
      <c r="A135"/>
      <c r="B135"/>
      <c r="C135"/>
      <c r="D135"/>
      <c r="E135"/>
      <c r="F135"/>
      <c r="G135"/>
      <c r="H135"/>
      <c r="I135"/>
      <c r="J135"/>
    </row>
    <row r="136" spans="1:10" ht="15" customHeight="1" x14ac:dyDescent="0.15">
      <c r="A136"/>
      <c r="B136"/>
      <c r="C136"/>
      <c r="D136"/>
      <c r="E136"/>
      <c r="F136"/>
      <c r="G136"/>
      <c r="H136"/>
      <c r="I136"/>
      <c r="J136"/>
    </row>
    <row r="137" spans="1:10" ht="15" customHeight="1" x14ac:dyDescent="0.15">
      <c r="A137"/>
      <c r="B137"/>
      <c r="C137"/>
      <c r="D137"/>
      <c r="E137"/>
      <c r="F137"/>
      <c r="G137"/>
      <c r="H137"/>
      <c r="I137"/>
      <c r="J137"/>
    </row>
    <row r="138" spans="1:10" ht="15" customHeight="1" x14ac:dyDescent="0.15">
      <c r="A138"/>
      <c r="B138"/>
      <c r="C138"/>
      <c r="D138"/>
      <c r="E138"/>
      <c r="F138"/>
      <c r="G138"/>
      <c r="H138"/>
      <c r="I138"/>
      <c r="J138"/>
    </row>
    <row r="139" spans="1:10" ht="15" customHeight="1" x14ac:dyDescent="0.15">
      <c r="A139"/>
      <c r="B139"/>
      <c r="C139"/>
      <c r="D139"/>
      <c r="E139"/>
      <c r="F139"/>
      <c r="G139"/>
      <c r="H139"/>
      <c r="I139"/>
      <c r="J139"/>
    </row>
    <row r="140" spans="1:10" ht="15" customHeight="1" x14ac:dyDescent="0.15">
      <c r="A140"/>
      <c r="B140"/>
      <c r="C140"/>
      <c r="D140"/>
      <c r="E140"/>
      <c r="F140"/>
      <c r="G140"/>
      <c r="H140"/>
      <c r="I140"/>
      <c r="J140"/>
    </row>
    <row r="141" spans="1:10" ht="15" customHeight="1" x14ac:dyDescent="0.15">
      <c r="A141"/>
      <c r="B141"/>
      <c r="C141"/>
      <c r="D141"/>
      <c r="E141"/>
      <c r="F141"/>
      <c r="G141"/>
      <c r="H141"/>
      <c r="I141"/>
      <c r="J141"/>
    </row>
    <row r="142" spans="1:10" ht="15" customHeight="1" x14ac:dyDescent="0.15">
      <c r="A142"/>
      <c r="B142"/>
      <c r="C142"/>
      <c r="D142"/>
      <c r="E142"/>
      <c r="F142"/>
      <c r="G142"/>
      <c r="H142"/>
      <c r="I142"/>
      <c r="J142"/>
    </row>
    <row r="143" spans="1:10" ht="15" customHeight="1" x14ac:dyDescent="0.15">
      <c r="A143"/>
      <c r="B143"/>
      <c r="C143"/>
      <c r="D143"/>
      <c r="E143"/>
      <c r="F143"/>
      <c r="G143"/>
      <c r="H143"/>
      <c r="I143"/>
      <c r="J143"/>
    </row>
    <row r="144" spans="1:10" ht="15" customHeight="1" x14ac:dyDescent="0.15">
      <c r="A144"/>
      <c r="B144"/>
      <c r="C144"/>
      <c r="D144"/>
      <c r="E144"/>
      <c r="F144"/>
      <c r="G144"/>
      <c r="H144"/>
      <c r="I144"/>
      <c r="J144"/>
    </row>
    <row r="145" spans="1:10" ht="15" customHeight="1" x14ac:dyDescent="0.15">
      <c r="A145"/>
      <c r="B145"/>
      <c r="C145"/>
      <c r="D145"/>
      <c r="E145"/>
      <c r="F145"/>
      <c r="G145"/>
      <c r="H145"/>
      <c r="I145"/>
      <c r="J145"/>
    </row>
    <row r="146" spans="1:10" ht="15" customHeight="1" x14ac:dyDescent="0.15">
      <c r="A146"/>
      <c r="B146"/>
      <c r="C146"/>
      <c r="D146"/>
      <c r="E146"/>
      <c r="F146"/>
      <c r="G146"/>
      <c r="H146"/>
      <c r="I146"/>
      <c r="J146"/>
    </row>
    <row r="147" spans="1:10" ht="15" customHeight="1" x14ac:dyDescent="0.15">
      <c r="A147"/>
      <c r="B147"/>
      <c r="C147"/>
      <c r="D147"/>
      <c r="E147"/>
      <c r="F147"/>
      <c r="G147"/>
      <c r="H147"/>
      <c r="I147"/>
      <c r="J147"/>
    </row>
    <row r="148" spans="1:10" ht="15" customHeight="1" x14ac:dyDescent="0.15">
      <c r="A148"/>
      <c r="B148"/>
      <c r="C148"/>
      <c r="D148"/>
      <c r="E148"/>
      <c r="F148"/>
      <c r="G148"/>
      <c r="H148"/>
      <c r="I148"/>
      <c r="J148"/>
    </row>
    <row r="149" spans="1:10" ht="15" customHeight="1" x14ac:dyDescent="0.15">
      <c r="A149"/>
      <c r="B149"/>
      <c r="C149"/>
      <c r="D149"/>
      <c r="E149"/>
      <c r="F149"/>
      <c r="G149"/>
      <c r="H149"/>
      <c r="I149"/>
      <c r="J149"/>
    </row>
    <row r="150" spans="1:10" ht="15" customHeight="1" x14ac:dyDescent="0.15">
      <c r="A150"/>
      <c r="B150"/>
      <c r="C150"/>
      <c r="D150"/>
      <c r="E150"/>
      <c r="F150"/>
      <c r="G150"/>
      <c r="H150"/>
      <c r="I150"/>
      <c r="J150"/>
    </row>
    <row r="151" spans="1:10" ht="15" customHeight="1" x14ac:dyDescent="0.15">
      <c r="A151"/>
      <c r="B151"/>
      <c r="C151"/>
      <c r="D151"/>
      <c r="E151"/>
      <c r="F151"/>
      <c r="G151"/>
      <c r="H151"/>
      <c r="I151"/>
      <c r="J151"/>
    </row>
    <row r="152" spans="1:10" ht="15" customHeight="1" x14ac:dyDescent="0.15">
      <c r="A152"/>
      <c r="B152"/>
      <c r="C152"/>
      <c r="D152"/>
      <c r="E152"/>
      <c r="F152"/>
      <c r="G152"/>
      <c r="H152"/>
      <c r="I152"/>
      <c r="J152"/>
    </row>
    <row r="153" spans="1:10" ht="15" customHeight="1" x14ac:dyDescent="0.15">
      <c r="A153"/>
      <c r="B153"/>
      <c r="C153"/>
      <c r="D153"/>
      <c r="E153"/>
      <c r="F153"/>
      <c r="G153"/>
      <c r="H153"/>
      <c r="I153"/>
      <c r="J153"/>
    </row>
    <row r="154" spans="1:10" ht="15" customHeight="1" x14ac:dyDescent="0.15">
      <c r="A154"/>
      <c r="B154"/>
      <c r="C154"/>
      <c r="D154"/>
      <c r="E154"/>
      <c r="F154"/>
      <c r="G154"/>
      <c r="H154"/>
      <c r="I154"/>
      <c r="J154"/>
    </row>
    <row r="155" spans="1:10" ht="15" customHeight="1" x14ac:dyDescent="0.15">
      <c r="A155"/>
      <c r="B155"/>
      <c r="C155"/>
      <c r="D155"/>
      <c r="E155"/>
      <c r="F155"/>
      <c r="G155"/>
      <c r="H155"/>
      <c r="I155"/>
      <c r="J155"/>
    </row>
    <row r="156" spans="1:10" ht="15" customHeight="1" x14ac:dyDescent="0.15">
      <c r="A156"/>
      <c r="B156"/>
      <c r="C156"/>
      <c r="D156"/>
      <c r="E156"/>
      <c r="F156"/>
      <c r="G156"/>
      <c r="H156"/>
      <c r="I156"/>
      <c r="J156"/>
    </row>
    <row r="157" spans="1:10" ht="15" customHeight="1" x14ac:dyDescent="0.15">
      <c r="A157"/>
      <c r="B157"/>
      <c r="C157"/>
      <c r="D157"/>
      <c r="E157"/>
      <c r="F157"/>
      <c r="G157"/>
      <c r="H157"/>
      <c r="I157"/>
      <c r="J157"/>
    </row>
    <row r="158" spans="1:10" ht="15" customHeight="1" x14ac:dyDescent="0.15">
      <c r="A158"/>
      <c r="B158"/>
      <c r="C158"/>
      <c r="D158"/>
      <c r="E158"/>
      <c r="F158"/>
      <c r="G158"/>
      <c r="H158"/>
      <c r="I158"/>
      <c r="J158"/>
    </row>
    <row r="159" spans="1:10" ht="15" customHeight="1" x14ac:dyDescent="0.15">
      <c r="A159"/>
      <c r="B159"/>
      <c r="C159"/>
      <c r="D159"/>
      <c r="E159"/>
      <c r="F159"/>
      <c r="G159"/>
      <c r="H159"/>
      <c r="I159"/>
      <c r="J159"/>
    </row>
    <row r="160" spans="1:10" ht="15" customHeight="1" x14ac:dyDescent="0.15">
      <c r="A160"/>
      <c r="B160"/>
      <c r="C160"/>
      <c r="D160"/>
      <c r="E160"/>
      <c r="F160"/>
      <c r="G160"/>
      <c r="H160"/>
      <c r="I160"/>
      <c r="J160"/>
    </row>
    <row r="161" spans="1:10" ht="15" customHeight="1" x14ac:dyDescent="0.15">
      <c r="A161"/>
      <c r="B161"/>
      <c r="C161"/>
      <c r="D161"/>
      <c r="E161"/>
      <c r="F161"/>
      <c r="G161"/>
      <c r="H161"/>
      <c r="I161"/>
      <c r="J161"/>
    </row>
    <row r="162" spans="1:10" ht="15" customHeight="1" x14ac:dyDescent="0.15">
      <c r="A162"/>
      <c r="B162"/>
      <c r="C162"/>
      <c r="D162"/>
      <c r="E162"/>
      <c r="F162"/>
      <c r="G162"/>
      <c r="H162"/>
      <c r="I162"/>
      <c r="J162"/>
    </row>
    <row r="163" spans="1:10" ht="15" customHeight="1" x14ac:dyDescent="0.15">
      <c r="A163"/>
      <c r="B163"/>
      <c r="C163"/>
      <c r="D163"/>
      <c r="E163"/>
      <c r="F163"/>
      <c r="G163"/>
      <c r="H163"/>
      <c r="I163"/>
      <c r="J163"/>
    </row>
    <row r="164" spans="1:10" ht="15" customHeight="1" x14ac:dyDescent="0.15">
      <c r="A164"/>
      <c r="B164"/>
      <c r="C164"/>
      <c r="D164"/>
      <c r="E164"/>
      <c r="F164"/>
      <c r="G164"/>
      <c r="H164"/>
      <c r="I164"/>
      <c r="J164"/>
    </row>
    <row r="165" spans="1:10" ht="15" customHeight="1" x14ac:dyDescent="0.15">
      <c r="A165"/>
      <c r="B165"/>
      <c r="C165"/>
      <c r="D165"/>
      <c r="E165"/>
      <c r="F165"/>
      <c r="G165"/>
      <c r="H165"/>
      <c r="I165"/>
      <c r="J165"/>
    </row>
    <row r="166" spans="1:10" ht="15" customHeight="1" x14ac:dyDescent="0.15">
      <c r="A166"/>
      <c r="B166"/>
      <c r="C166"/>
      <c r="D166"/>
      <c r="E166"/>
      <c r="F166"/>
      <c r="G166"/>
      <c r="H166"/>
      <c r="I166"/>
      <c r="J166"/>
    </row>
    <row r="167" spans="1:10" ht="15" customHeight="1" x14ac:dyDescent="0.15">
      <c r="A167"/>
      <c r="B167"/>
      <c r="C167"/>
      <c r="D167"/>
      <c r="E167"/>
      <c r="F167"/>
      <c r="G167"/>
      <c r="H167"/>
      <c r="I167"/>
      <c r="J167"/>
    </row>
    <row r="168" spans="1:10" ht="15" customHeight="1" x14ac:dyDescent="0.15">
      <c r="A168"/>
      <c r="B168"/>
      <c r="C168"/>
      <c r="D168"/>
      <c r="E168"/>
      <c r="F168"/>
      <c r="G168"/>
      <c r="H168"/>
      <c r="I168"/>
      <c r="J168"/>
    </row>
    <row r="169" spans="1:10" ht="15" customHeight="1" x14ac:dyDescent="0.15">
      <c r="A169"/>
      <c r="B169"/>
      <c r="C169"/>
      <c r="D169"/>
      <c r="E169"/>
      <c r="F169"/>
      <c r="G169"/>
      <c r="H169"/>
      <c r="I169"/>
      <c r="J169"/>
    </row>
    <row r="170" spans="1:10" ht="15" customHeight="1" x14ac:dyDescent="0.15">
      <c r="A170"/>
      <c r="B170"/>
      <c r="C170"/>
      <c r="D170"/>
      <c r="E170"/>
      <c r="F170"/>
      <c r="G170"/>
      <c r="H170"/>
      <c r="I170"/>
      <c r="J170"/>
    </row>
    <row r="171" spans="1:10" ht="15" customHeight="1" x14ac:dyDescent="0.15">
      <c r="A171"/>
      <c r="B171"/>
      <c r="C171"/>
      <c r="D171"/>
      <c r="E171"/>
      <c r="F171"/>
      <c r="G171"/>
      <c r="H171"/>
      <c r="I171"/>
      <c r="J171"/>
    </row>
    <row r="172" spans="1:10" ht="15" customHeight="1" x14ac:dyDescent="0.15">
      <c r="A172"/>
      <c r="B172"/>
      <c r="C172"/>
      <c r="D172"/>
      <c r="E172"/>
      <c r="F172"/>
      <c r="G172"/>
      <c r="H172"/>
      <c r="I172"/>
      <c r="J172"/>
    </row>
    <row r="173" spans="1:10" ht="15" customHeight="1" x14ac:dyDescent="0.15">
      <c r="A173"/>
      <c r="B173"/>
      <c r="C173"/>
      <c r="D173"/>
      <c r="E173"/>
      <c r="F173"/>
      <c r="G173"/>
      <c r="H173"/>
      <c r="I173"/>
      <c r="J173"/>
    </row>
    <row r="174" spans="1:10" ht="15" customHeight="1" x14ac:dyDescent="0.15">
      <c r="A174"/>
      <c r="B174"/>
      <c r="C174"/>
      <c r="D174"/>
      <c r="E174"/>
      <c r="F174"/>
      <c r="G174"/>
      <c r="H174"/>
      <c r="I174"/>
      <c r="J174"/>
    </row>
    <row r="175" spans="1:10" ht="15" customHeight="1" x14ac:dyDescent="0.15">
      <c r="A175"/>
      <c r="B175"/>
      <c r="C175"/>
      <c r="D175"/>
      <c r="E175"/>
      <c r="F175"/>
      <c r="G175"/>
      <c r="H175"/>
      <c r="I175"/>
      <c r="J175"/>
    </row>
    <row r="176" spans="1:10" ht="15" customHeight="1" x14ac:dyDescent="0.15">
      <c r="A176"/>
      <c r="B176"/>
      <c r="C176"/>
      <c r="D176"/>
      <c r="E176"/>
      <c r="F176"/>
      <c r="G176"/>
      <c r="H176"/>
      <c r="I176"/>
      <c r="J176"/>
    </row>
    <row r="177" spans="1:10" ht="15" customHeight="1" x14ac:dyDescent="0.15">
      <c r="A177"/>
      <c r="B177"/>
      <c r="C177"/>
      <c r="D177"/>
      <c r="E177"/>
      <c r="F177"/>
      <c r="G177"/>
      <c r="H177"/>
      <c r="I177"/>
      <c r="J177"/>
    </row>
    <row r="178" spans="1:10" ht="15" customHeight="1" x14ac:dyDescent="0.15">
      <c r="A178"/>
      <c r="B178"/>
      <c r="C178"/>
      <c r="D178"/>
      <c r="E178"/>
      <c r="F178"/>
      <c r="G178"/>
      <c r="H178"/>
      <c r="I178"/>
      <c r="J178"/>
    </row>
    <row r="179" spans="1:10" ht="15" customHeight="1" x14ac:dyDescent="0.15">
      <c r="A179"/>
      <c r="B179"/>
      <c r="C179"/>
      <c r="D179"/>
      <c r="E179"/>
      <c r="F179"/>
      <c r="G179"/>
      <c r="H179"/>
      <c r="I179"/>
      <c r="J179"/>
    </row>
    <row r="180" spans="1:10" ht="15" customHeight="1" x14ac:dyDescent="0.15">
      <c r="A180"/>
      <c r="B180"/>
      <c r="C180"/>
      <c r="D180"/>
      <c r="E180"/>
      <c r="F180"/>
      <c r="G180"/>
      <c r="H180"/>
      <c r="I180"/>
      <c r="J180"/>
    </row>
    <row r="181" spans="1:10" ht="15" customHeight="1" x14ac:dyDescent="0.15">
      <c r="A181"/>
      <c r="B181"/>
      <c r="C181"/>
      <c r="D181"/>
      <c r="E181"/>
      <c r="F181"/>
      <c r="G181"/>
      <c r="H181"/>
      <c r="I181"/>
      <c r="J181"/>
    </row>
    <row r="182" spans="1:10" ht="15" customHeight="1" x14ac:dyDescent="0.15">
      <c r="A182"/>
      <c r="B182"/>
      <c r="C182"/>
      <c r="D182"/>
      <c r="E182"/>
      <c r="F182"/>
      <c r="G182"/>
      <c r="H182"/>
      <c r="I182"/>
      <c r="J182"/>
    </row>
    <row r="183" spans="1:10" ht="15" customHeight="1" x14ac:dyDescent="0.15">
      <c r="A183"/>
      <c r="B183"/>
      <c r="C183"/>
      <c r="D183"/>
      <c r="E183"/>
      <c r="F183"/>
      <c r="G183"/>
      <c r="H183"/>
      <c r="I183"/>
      <c r="J183"/>
    </row>
    <row r="184" spans="1:10" ht="15" customHeight="1" x14ac:dyDescent="0.15">
      <c r="A184"/>
      <c r="B184"/>
      <c r="C184"/>
      <c r="D184"/>
      <c r="E184"/>
      <c r="F184"/>
      <c r="G184"/>
      <c r="H184"/>
      <c r="I184"/>
      <c r="J184"/>
    </row>
    <row r="185" spans="1:10" ht="15" customHeight="1" x14ac:dyDescent="0.15">
      <c r="A185"/>
      <c r="B185"/>
      <c r="C185"/>
      <c r="D185"/>
      <c r="E185"/>
      <c r="F185"/>
      <c r="G185"/>
      <c r="H185"/>
      <c r="I185"/>
      <c r="J185"/>
    </row>
    <row r="186" spans="1:10" ht="15" customHeight="1" x14ac:dyDescent="0.15">
      <c r="A186"/>
      <c r="B186"/>
      <c r="C186"/>
      <c r="D186"/>
      <c r="E186"/>
      <c r="F186"/>
      <c r="G186"/>
      <c r="H186"/>
      <c r="I186"/>
      <c r="J186"/>
    </row>
    <row r="187" spans="1:10" ht="15" customHeight="1" x14ac:dyDescent="0.15">
      <c r="A187"/>
      <c r="B187"/>
      <c r="C187"/>
      <c r="D187"/>
      <c r="E187"/>
      <c r="F187"/>
      <c r="G187"/>
      <c r="H187"/>
      <c r="I187"/>
      <c r="J187"/>
    </row>
    <row r="188" spans="1:10" ht="15" customHeight="1" x14ac:dyDescent="0.15">
      <c r="A188"/>
      <c r="B188"/>
      <c r="C188"/>
      <c r="D188"/>
      <c r="E188"/>
      <c r="F188"/>
      <c r="G188"/>
      <c r="H188"/>
      <c r="I188"/>
      <c r="J188"/>
    </row>
    <row r="189" spans="1:10" ht="15" customHeight="1" x14ac:dyDescent="0.15">
      <c r="A189"/>
      <c r="B189"/>
      <c r="C189"/>
      <c r="D189"/>
      <c r="E189"/>
      <c r="F189"/>
      <c r="G189"/>
      <c r="H189"/>
      <c r="I189"/>
      <c r="J189"/>
    </row>
    <row r="190" spans="1:10" ht="15" customHeight="1" x14ac:dyDescent="0.15">
      <c r="A190"/>
      <c r="B190"/>
      <c r="C190"/>
      <c r="D190"/>
      <c r="E190"/>
      <c r="F190"/>
      <c r="G190"/>
      <c r="H190"/>
      <c r="I190"/>
      <c r="J190"/>
    </row>
    <row r="191" spans="1:10" ht="15" customHeight="1" x14ac:dyDescent="0.15">
      <c r="A191"/>
      <c r="B191"/>
      <c r="C191"/>
      <c r="D191"/>
      <c r="E191"/>
      <c r="F191"/>
      <c r="G191"/>
      <c r="H191"/>
      <c r="I191"/>
      <c r="J191"/>
    </row>
    <row r="192" spans="1:10" ht="15" customHeight="1" x14ac:dyDescent="0.15">
      <c r="A192"/>
      <c r="B192"/>
      <c r="C192"/>
      <c r="D192"/>
      <c r="E192"/>
      <c r="F192"/>
      <c r="G192"/>
      <c r="H192"/>
      <c r="I192"/>
      <c r="J192"/>
    </row>
    <row r="193" spans="1:10" ht="15" customHeight="1" x14ac:dyDescent="0.15">
      <c r="A193"/>
      <c r="B193"/>
      <c r="C193"/>
      <c r="D193"/>
      <c r="E193"/>
      <c r="F193"/>
      <c r="G193"/>
      <c r="H193"/>
      <c r="I193"/>
      <c r="J193"/>
    </row>
    <row r="194" spans="1:10" ht="15" customHeight="1" x14ac:dyDescent="0.15">
      <c r="A194"/>
      <c r="B194"/>
      <c r="C194"/>
      <c r="D194"/>
      <c r="E194"/>
      <c r="F194"/>
      <c r="G194"/>
      <c r="H194"/>
      <c r="I194"/>
      <c r="J194"/>
    </row>
    <row r="195" spans="1:10" ht="15" customHeight="1" x14ac:dyDescent="0.15">
      <c r="A195"/>
      <c r="B195"/>
      <c r="C195"/>
      <c r="D195"/>
      <c r="E195"/>
      <c r="F195"/>
      <c r="G195"/>
      <c r="H195"/>
      <c r="I195"/>
      <c r="J195"/>
    </row>
    <row r="196" spans="1:10" ht="15" customHeight="1" x14ac:dyDescent="0.15">
      <c r="A196"/>
      <c r="B196"/>
      <c r="C196"/>
      <c r="D196"/>
      <c r="E196"/>
      <c r="F196"/>
      <c r="G196"/>
      <c r="H196"/>
      <c r="I196"/>
      <c r="J196"/>
    </row>
    <row r="197" spans="1:10" ht="15" customHeight="1" x14ac:dyDescent="0.15">
      <c r="A197"/>
      <c r="B197"/>
      <c r="C197"/>
      <c r="D197"/>
      <c r="E197"/>
      <c r="F197"/>
      <c r="G197"/>
      <c r="H197"/>
      <c r="I197"/>
      <c r="J197"/>
    </row>
    <row r="198" spans="1:10" ht="15" customHeight="1" x14ac:dyDescent="0.15">
      <c r="A198"/>
      <c r="B198"/>
      <c r="C198"/>
      <c r="D198"/>
      <c r="E198"/>
      <c r="F198"/>
      <c r="G198"/>
      <c r="H198"/>
      <c r="I198"/>
      <c r="J198"/>
    </row>
    <row r="199" spans="1:10" ht="15" customHeight="1" x14ac:dyDescent="0.15">
      <c r="A199"/>
      <c r="B199"/>
      <c r="C199"/>
      <c r="D199"/>
      <c r="E199"/>
      <c r="F199"/>
      <c r="G199"/>
      <c r="H199"/>
      <c r="I199"/>
      <c r="J199"/>
    </row>
    <row r="200" spans="1:10" ht="15" customHeight="1" x14ac:dyDescent="0.15">
      <c r="A200"/>
      <c r="B200"/>
      <c r="C200"/>
      <c r="D200"/>
      <c r="E200"/>
      <c r="F200"/>
      <c r="G200"/>
      <c r="H200"/>
      <c r="I200"/>
      <c r="J200"/>
    </row>
    <row r="201" spans="1:10" ht="15" customHeight="1" x14ac:dyDescent="0.15">
      <c r="A201"/>
      <c r="B201"/>
      <c r="C201"/>
      <c r="D201"/>
      <c r="E201"/>
      <c r="F201"/>
      <c r="G201"/>
      <c r="H201"/>
      <c r="I201"/>
      <c r="J201"/>
    </row>
    <row r="202" spans="1:10" ht="15" customHeight="1" x14ac:dyDescent="0.15">
      <c r="A202"/>
      <c r="B202"/>
      <c r="C202"/>
      <c r="D202"/>
      <c r="E202"/>
      <c r="F202"/>
      <c r="G202"/>
      <c r="H202"/>
      <c r="I202"/>
      <c r="J202"/>
    </row>
    <row r="203" spans="1:10" ht="15" customHeight="1" x14ac:dyDescent="0.15">
      <c r="A203"/>
      <c r="B203"/>
      <c r="C203"/>
      <c r="D203"/>
      <c r="E203"/>
      <c r="F203"/>
      <c r="G203"/>
      <c r="H203"/>
      <c r="I203"/>
      <c r="J203"/>
    </row>
    <row r="204" spans="1:10" ht="15" customHeight="1" x14ac:dyDescent="0.15">
      <c r="A204"/>
      <c r="B204"/>
      <c r="C204"/>
      <c r="D204"/>
      <c r="E204"/>
      <c r="F204"/>
      <c r="G204"/>
      <c r="H204"/>
      <c r="I204"/>
      <c r="J204"/>
    </row>
    <row r="205" spans="1:10" ht="15" customHeight="1" x14ac:dyDescent="0.15">
      <c r="A205"/>
      <c r="B205"/>
      <c r="C205"/>
      <c r="D205"/>
      <c r="E205"/>
      <c r="F205"/>
      <c r="G205"/>
      <c r="H205"/>
      <c r="I205"/>
      <c r="J205"/>
    </row>
    <row r="206" spans="1:10" ht="15" customHeight="1" x14ac:dyDescent="0.15">
      <c r="A206"/>
      <c r="B206"/>
      <c r="C206"/>
      <c r="D206"/>
      <c r="E206"/>
      <c r="F206"/>
      <c r="G206"/>
      <c r="H206"/>
      <c r="I206"/>
      <c r="J206"/>
    </row>
    <row r="207" spans="1:10" ht="15" customHeight="1" x14ac:dyDescent="0.15">
      <c r="A207"/>
      <c r="B207"/>
      <c r="C207"/>
      <c r="D207"/>
      <c r="E207"/>
      <c r="F207"/>
      <c r="G207"/>
      <c r="H207"/>
      <c r="I207"/>
      <c r="J207"/>
    </row>
    <row r="208" spans="1:10" ht="15" customHeight="1" x14ac:dyDescent="0.15">
      <c r="A208"/>
      <c r="B208"/>
      <c r="C208"/>
      <c r="D208"/>
      <c r="E208"/>
      <c r="F208"/>
      <c r="G208"/>
      <c r="H208"/>
      <c r="I208"/>
      <c r="J208"/>
    </row>
    <row r="209" spans="1:10" ht="15" customHeight="1" x14ac:dyDescent="0.15">
      <c r="A209"/>
      <c r="B209"/>
      <c r="C209"/>
      <c r="D209"/>
      <c r="E209"/>
      <c r="F209"/>
      <c r="G209"/>
      <c r="H209"/>
      <c r="I209"/>
      <c r="J209"/>
    </row>
    <row r="210" spans="1:10" ht="15" customHeight="1" x14ac:dyDescent="0.15">
      <c r="A210"/>
      <c r="B210"/>
      <c r="C210"/>
      <c r="D210"/>
      <c r="E210"/>
      <c r="F210"/>
      <c r="G210"/>
      <c r="H210"/>
      <c r="I210"/>
      <c r="J210"/>
    </row>
    <row r="211" spans="1:10" ht="15" customHeight="1" x14ac:dyDescent="0.15">
      <c r="A211"/>
      <c r="B211"/>
      <c r="C211"/>
      <c r="D211"/>
      <c r="E211"/>
      <c r="F211"/>
      <c r="G211"/>
      <c r="H211"/>
      <c r="I211"/>
      <c r="J211"/>
    </row>
    <row r="212" spans="1:10" ht="15" customHeight="1" x14ac:dyDescent="0.15">
      <c r="A212"/>
      <c r="B212"/>
      <c r="C212"/>
      <c r="D212"/>
      <c r="E212"/>
      <c r="F212"/>
      <c r="G212"/>
      <c r="H212"/>
      <c r="I212"/>
      <c r="J212"/>
    </row>
    <row r="213" spans="1:10" ht="15" customHeight="1" x14ac:dyDescent="0.15">
      <c r="A213"/>
      <c r="B213"/>
      <c r="C213"/>
      <c r="D213"/>
      <c r="E213"/>
      <c r="F213"/>
      <c r="G213"/>
      <c r="H213"/>
      <c r="I213"/>
      <c r="J213"/>
    </row>
    <row r="214" spans="1:10" ht="15" customHeight="1" x14ac:dyDescent="0.15">
      <c r="A214"/>
      <c r="B214"/>
      <c r="C214"/>
      <c r="D214"/>
      <c r="E214"/>
      <c r="F214"/>
      <c r="G214"/>
      <c r="H214"/>
      <c r="I214"/>
      <c r="J214"/>
    </row>
    <row r="215" spans="1:10" ht="15" customHeight="1" x14ac:dyDescent="0.15">
      <c r="A215"/>
      <c r="B215"/>
      <c r="C215"/>
      <c r="D215"/>
      <c r="E215"/>
      <c r="F215"/>
      <c r="G215"/>
      <c r="H215"/>
      <c r="I215"/>
      <c r="J215"/>
    </row>
    <row r="216" spans="1:10" ht="15" customHeight="1" x14ac:dyDescent="0.15">
      <c r="A216"/>
      <c r="B216"/>
      <c r="C216"/>
      <c r="D216"/>
      <c r="E216"/>
      <c r="F216"/>
      <c r="G216"/>
      <c r="H216"/>
      <c r="I216"/>
      <c r="J216"/>
    </row>
    <row r="217" spans="1:10" ht="15" customHeight="1" x14ac:dyDescent="0.15">
      <c r="A217"/>
      <c r="B217"/>
      <c r="C217"/>
      <c r="D217"/>
      <c r="E217"/>
      <c r="F217"/>
      <c r="G217"/>
      <c r="H217"/>
      <c r="I217"/>
      <c r="J217"/>
    </row>
    <row r="218" spans="1:10" ht="15" customHeight="1" x14ac:dyDescent="0.15">
      <c r="A218"/>
      <c r="B218"/>
      <c r="C218"/>
      <c r="D218"/>
      <c r="E218"/>
      <c r="F218"/>
      <c r="G218"/>
      <c r="H218"/>
      <c r="I218"/>
      <c r="J218"/>
    </row>
    <row r="219" spans="1:10" ht="15" customHeight="1" x14ac:dyDescent="0.15">
      <c r="A219"/>
      <c r="B219"/>
      <c r="C219"/>
      <c r="D219"/>
      <c r="E219"/>
      <c r="F219"/>
      <c r="G219"/>
      <c r="H219"/>
      <c r="I219"/>
      <c r="J219"/>
    </row>
    <row r="220" spans="1:10" ht="15" customHeight="1" x14ac:dyDescent="0.15">
      <c r="A220"/>
      <c r="B220"/>
      <c r="C220"/>
      <c r="D220"/>
      <c r="E220"/>
      <c r="F220"/>
      <c r="G220"/>
      <c r="H220"/>
      <c r="I220"/>
      <c r="J220"/>
    </row>
    <row r="221" spans="1:10" ht="15" customHeight="1" x14ac:dyDescent="0.15">
      <c r="A221"/>
      <c r="B221"/>
      <c r="C221"/>
      <c r="D221"/>
      <c r="E221"/>
      <c r="F221"/>
      <c r="G221"/>
      <c r="H221"/>
      <c r="I221"/>
      <c r="J221"/>
    </row>
    <row r="222" spans="1:10" ht="15" customHeight="1" x14ac:dyDescent="0.15">
      <c r="A222"/>
      <c r="B222"/>
      <c r="C222"/>
      <c r="D222"/>
      <c r="E222"/>
      <c r="F222"/>
      <c r="G222"/>
      <c r="H222"/>
      <c r="I222"/>
      <c r="J222"/>
    </row>
    <row r="223" spans="1:10" ht="15" customHeight="1" x14ac:dyDescent="0.15">
      <c r="A223"/>
      <c r="B223"/>
      <c r="C223"/>
      <c r="D223"/>
      <c r="E223"/>
      <c r="F223"/>
      <c r="G223"/>
      <c r="H223"/>
      <c r="I223"/>
      <c r="J223"/>
    </row>
    <row r="224" spans="1:10" ht="15" customHeight="1" x14ac:dyDescent="0.15">
      <c r="A224"/>
      <c r="B224"/>
      <c r="C224"/>
      <c r="D224"/>
      <c r="E224"/>
      <c r="F224"/>
      <c r="G224"/>
      <c r="H224"/>
      <c r="I224"/>
      <c r="J224"/>
    </row>
    <row r="225" spans="1:10" ht="15" customHeight="1" x14ac:dyDescent="0.15">
      <c r="A225"/>
      <c r="B225"/>
      <c r="C225"/>
      <c r="D225"/>
      <c r="E225"/>
      <c r="F225"/>
      <c r="G225"/>
      <c r="H225"/>
      <c r="I225"/>
      <c r="J225"/>
    </row>
    <row r="226" spans="1:10" ht="15" customHeight="1" x14ac:dyDescent="0.15">
      <c r="A226"/>
      <c r="B226"/>
      <c r="C226"/>
      <c r="D226"/>
      <c r="E226"/>
      <c r="F226"/>
      <c r="G226"/>
      <c r="H226"/>
      <c r="I226"/>
      <c r="J226"/>
    </row>
    <row r="227" spans="1:10" ht="15" customHeight="1" x14ac:dyDescent="0.15">
      <c r="A227"/>
      <c r="B227"/>
      <c r="C227"/>
      <c r="D227"/>
      <c r="E227"/>
      <c r="F227"/>
      <c r="G227"/>
      <c r="H227"/>
      <c r="I227"/>
      <c r="J227"/>
    </row>
    <row r="228" spans="1:10" ht="15" customHeight="1" x14ac:dyDescent="0.15">
      <c r="A228"/>
      <c r="B228"/>
      <c r="C228"/>
      <c r="D228"/>
      <c r="E228"/>
      <c r="F228"/>
      <c r="G228"/>
      <c r="H228"/>
      <c r="I228"/>
      <c r="J228"/>
    </row>
    <row r="229" spans="1:10" ht="15" customHeight="1" x14ac:dyDescent="0.15">
      <c r="A229"/>
      <c r="B229"/>
      <c r="C229"/>
      <c r="D229"/>
      <c r="E229"/>
      <c r="F229"/>
      <c r="G229"/>
      <c r="H229"/>
      <c r="I229"/>
      <c r="J229"/>
    </row>
    <row r="230" spans="1:10" ht="15" customHeight="1" x14ac:dyDescent="0.15">
      <c r="A230"/>
      <c r="B230"/>
      <c r="C230"/>
      <c r="D230"/>
      <c r="E230"/>
      <c r="F230"/>
      <c r="G230"/>
      <c r="H230"/>
      <c r="I230"/>
      <c r="J230"/>
    </row>
    <row r="231" spans="1:10" ht="15" customHeight="1" x14ac:dyDescent="0.15">
      <c r="A231"/>
      <c r="B231"/>
      <c r="C231"/>
      <c r="D231"/>
      <c r="E231"/>
      <c r="F231"/>
      <c r="G231"/>
      <c r="H231"/>
      <c r="I231"/>
      <c r="J231"/>
    </row>
    <row r="232" spans="1:10" ht="15" customHeight="1" x14ac:dyDescent="0.15">
      <c r="A232"/>
      <c r="B232"/>
      <c r="C232"/>
      <c r="D232"/>
      <c r="E232"/>
      <c r="F232"/>
      <c r="G232"/>
      <c r="H232"/>
      <c r="I232"/>
      <c r="J232"/>
    </row>
    <row r="233" spans="1:10" ht="15" customHeight="1" x14ac:dyDescent="0.15">
      <c r="A233"/>
      <c r="B233"/>
      <c r="C233"/>
      <c r="D233"/>
      <c r="E233"/>
      <c r="F233"/>
      <c r="G233"/>
      <c r="H233"/>
      <c r="I233"/>
      <c r="J233"/>
    </row>
    <row r="234" spans="1:10" ht="15" customHeight="1" x14ac:dyDescent="0.15">
      <c r="A234"/>
      <c r="B234"/>
      <c r="C234"/>
      <c r="D234"/>
      <c r="E234"/>
      <c r="F234"/>
      <c r="G234"/>
      <c r="H234"/>
      <c r="I234"/>
      <c r="J234"/>
    </row>
    <row r="235" spans="1:10" ht="15" customHeight="1" x14ac:dyDescent="0.15">
      <c r="A235"/>
      <c r="B235"/>
      <c r="C235"/>
      <c r="D235"/>
      <c r="E235"/>
      <c r="F235"/>
      <c r="G235"/>
      <c r="H235"/>
      <c r="I235"/>
      <c r="J235"/>
    </row>
    <row r="236" spans="1:10" ht="15" customHeight="1" x14ac:dyDescent="0.15">
      <c r="A236"/>
      <c r="B236"/>
      <c r="C236"/>
      <c r="D236"/>
      <c r="E236"/>
      <c r="F236"/>
      <c r="G236"/>
      <c r="H236"/>
      <c r="I236"/>
      <c r="J236"/>
    </row>
    <row r="237" spans="1:10" ht="15" customHeight="1" x14ac:dyDescent="0.15">
      <c r="A237"/>
      <c r="B237"/>
      <c r="C237"/>
      <c r="D237"/>
      <c r="E237"/>
      <c r="F237"/>
      <c r="G237"/>
      <c r="H237"/>
      <c r="I237"/>
      <c r="J237"/>
    </row>
    <row r="238" spans="1:10" ht="15" customHeight="1" x14ac:dyDescent="0.15">
      <c r="A238"/>
      <c r="B238"/>
      <c r="C238"/>
      <c r="D238"/>
      <c r="E238"/>
      <c r="F238"/>
      <c r="G238"/>
      <c r="H238"/>
      <c r="I238"/>
      <c r="J238"/>
    </row>
    <row r="239" spans="1:10" ht="15" customHeight="1" x14ac:dyDescent="0.15">
      <c r="A239"/>
      <c r="B239"/>
      <c r="C239"/>
      <c r="D239"/>
      <c r="E239"/>
      <c r="F239"/>
      <c r="G239"/>
      <c r="H239"/>
      <c r="I239"/>
      <c r="J239"/>
    </row>
    <row r="240" spans="1:10" ht="15" customHeight="1" x14ac:dyDescent="0.15">
      <c r="A240"/>
      <c r="B240"/>
      <c r="C240"/>
      <c r="D240"/>
      <c r="E240"/>
      <c r="F240"/>
      <c r="G240"/>
      <c r="H240"/>
      <c r="I240"/>
      <c r="J240"/>
    </row>
    <row r="241" spans="1:10" ht="15" customHeight="1" x14ac:dyDescent="0.15">
      <c r="A241"/>
      <c r="B241"/>
      <c r="C241"/>
      <c r="D241"/>
      <c r="E241"/>
      <c r="F241"/>
      <c r="G241"/>
      <c r="H241"/>
      <c r="I241"/>
      <c r="J241"/>
    </row>
    <row r="242" spans="1:10" ht="15" customHeight="1" x14ac:dyDescent="0.15">
      <c r="A242"/>
      <c r="B242"/>
      <c r="C242"/>
      <c r="D242"/>
      <c r="E242"/>
      <c r="F242"/>
      <c r="G242"/>
      <c r="H242"/>
      <c r="I242"/>
      <c r="J242"/>
    </row>
    <row r="243" spans="1:10" ht="15" customHeight="1" x14ac:dyDescent="0.15">
      <c r="A243"/>
      <c r="B243"/>
      <c r="C243"/>
      <c r="D243"/>
      <c r="E243"/>
      <c r="F243"/>
      <c r="G243"/>
      <c r="H243"/>
      <c r="I243"/>
      <c r="J243"/>
    </row>
    <row r="244" spans="1:10" ht="15" customHeight="1" x14ac:dyDescent="0.15">
      <c r="A244"/>
      <c r="B244"/>
      <c r="C244"/>
      <c r="D244"/>
      <c r="E244"/>
      <c r="F244"/>
      <c r="G244"/>
      <c r="H244"/>
      <c r="I244"/>
      <c r="J244"/>
    </row>
    <row r="245" spans="1:10" ht="15" customHeight="1" x14ac:dyDescent="0.15">
      <c r="A245"/>
      <c r="B245"/>
      <c r="C245"/>
      <c r="D245"/>
      <c r="E245"/>
      <c r="F245"/>
      <c r="G245"/>
      <c r="H245"/>
      <c r="I245"/>
      <c r="J245"/>
    </row>
    <row r="246" spans="1:10" ht="15" customHeight="1" x14ac:dyDescent="0.15">
      <c r="A246"/>
      <c r="B246"/>
      <c r="C246"/>
      <c r="D246"/>
      <c r="E246"/>
      <c r="F246"/>
      <c r="G246"/>
      <c r="H246"/>
      <c r="I246"/>
      <c r="J246"/>
    </row>
    <row r="247" spans="1:10" ht="15" customHeight="1" x14ac:dyDescent="0.15">
      <c r="A247"/>
      <c r="B247"/>
      <c r="C247"/>
      <c r="D247"/>
      <c r="E247"/>
      <c r="F247"/>
      <c r="G247"/>
      <c r="H247"/>
      <c r="I247"/>
      <c r="J247"/>
    </row>
    <row r="248" spans="1:10" ht="15" customHeight="1" x14ac:dyDescent="0.15">
      <c r="A248"/>
      <c r="B248"/>
      <c r="C248"/>
      <c r="D248"/>
      <c r="E248"/>
      <c r="F248"/>
      <c r="G248"/>
      <c r="H248"/>
      <c r="I248"/>
      <c r="J248"/>
    </row>
    <row r="249" spans="1:10" ht="15" customHeight="1" x14ac:dyDescent="0.15">
      <c r="A249"/>
      <c r="B249"/>
      <c r="C249"/>
      <c r="D249"/>
      <c r="E249"/>
      <c r="F249"/>
      <c r="G249"/>
      <c r="H249"/>
      <c r="I249"/>
      <c r="J249"/>
    </row>
    <row r="250" spans="1:10" ht="15" customHeight="1" x14ac:dyDescent="0.15">
      <c r="A250"/>
      <c r="B250"/>
      <c r="C250"/>
      <c r="D250"/>
      <c r="E250"/>
      <c r="F250"/>
      <c r="G250"/>
      <c r="H250"/>
      <c r="I250"/>
      <c r="J250"/>
    </row>
    <row r="251" spans="1:10" ht="15" customHeight="1" x14ac:dyDescent="0.15">
      <c r="A251"/>
      <c r="B251"/>
      <c r="C251"/>
      <c r="D251"/>
      <c r="E251"/>
      <c r="F251"/>
      <c r="G251"/>
      <c r="H251"/>
      <c r="I251"/>
      <c r="J251"/>
    </row>
    <row r="252" spans="1:10" ht="15" customHeight="1" x14ac:dyDescent="0.15">
      <c r="A252"/>
      <c r="B252"/>
      <c r="C252"/>
      <c r="D252"/>
      <c r="E252"/>
      <c r="F252"/>
      <c r="G252"/>
      <c r="H252"/>
      <c r="I252"/>
      <c r="J252"/>
    </row>
    <row r="253" spans="1:10" ht="15" customHeight="1" x14ac:dyDescent="0.15">
      <c r="A253"/>
      <c r="B253"/>
      <c r="C253"/>
      <c r="D253"/>
      <c r="E253"/>
      <c r="F253"/>
      <c r="G253"/>
      <c r="H253"/>
      <c r="I253"/>
      <c r="J253"/>
    </row>
    <row r="254" spans="1:10" ht="15" customHeight="1" x14ac:dyDescent="0.15">
      <c r="A254"/>
      <c r="B254"/>
      <c r="C254"/>
      <c r="D254"/>
      <c r="E254"/>
      <c r="F254"/>
      <c r="G254"/>
      <c r="H254"/>
      <c r="I254"/>
      <c r="J254"/>
    </row>
    <row r="255" spans="1:10" ht="15" customHeight="1" x14ac:dyDescent="0.15">
      <c r="A255"/>
      <c r="B255"/>
      <c r="C255"/>
      <c r="D255"/>
      <c r="E255"/>
      <c r="F255"/>
      <c r="G255"/>
      <c r="H255"/>
      <c r="I255"/>
      <c r="J255"/>
    </row>
    <row r="256" spans="1:10" ht="15" customHeight="1" x14ac:dyDescent="0.15">
      <c r="A256"/>
      <c r="B256"/>
      <c r="C256"/>
      <c r="D256"/>
      <c r="E256"/>
      <c r="F256"/>
      <c r="G256"/>
      <c r="H256"/>
      <c r="I256"/>
      <c r="J256"/>
    </row>
    <row r="257" spans="1:10" ht="15" customHeight="1" x14ac:dyDescent="0.15">
      <c r="A257"/>
      <c r="B257"/>
      <c r="C257"/>
      <c r="D257"/>
      <c r="E257"/>
      <c r="F257"/>
      <c r="G257"/>
      <c r="H257"/>
      <c r="I257"/>
      <c r="J257"/>
    </row>
    <row r="258" spans="1:10" ht="15" customHeight="1" x14ac:dyDescent="0.15">
      <c r="A258"/>
      <c r="B258"/>
      <c r="C258"/>
      <c r="D258"/>
      <c r="E258"/>
      <c r="F258"/>
      <c r="G258"/>
      <c r="H258"/>
      <c r="I258"/>
      <c r="J258"/>
    </row>
    <row r="259" spans="1:10" ht="15" customHeight="1" x14ac:dyDescent="0.15">
      <c r="A259"/>
      <c r="B259"/>
      <c r="C259"/>
      <c r="D259"/>
      <c r="E259"/>
      <c r="F259"/>
      <c r="G259"/>
      <c r="H259"/>
      <c r="I259"/>
      <c r="J259"/>
    </row>
    <row r="260" spans="1:10" ht="15" customHeight="1" x14ac:dyDescent="0.15">
      <c r="A260"/>
      <c r="B260"/>
      <c r="C260"/>
      <c r="D260"/>
      <c r="E260"/>
      <c r="F260"/>
      <c r="G260"/>
      <c r="H260"/>
      <c r="I260"/>
      <c r="J260"/>
    </row>
    <row r="261" spans="1:10" ht="15" customHeight="1" x14ac:dyDescent="0.15">
      <c r="A261"/>
      <c r="B261"/>
      <c r="C261"/>
      <c r="D261"/>
      <c r="E261"/>
      <c r="F261"/>
      <c r="G261"/>
      <c r="H261"/>
      <c r="I261"/>
      <c r="J261"/>
    </row>
    <row r="262" spans="1:10" ht="15" customHeight="1" x14ac:dyDescent="0.15">
      <c r="A262"/>
      <c r="B262"/>
      <c r="C262"/>
      <c r="D262"/>
      <c r="E262"/>
      <c r="F262"/>
      <c r="G262"/>
      <c r="H262"/>
      <c r="I262"/>
      <c r="J262"/>
    </row>
    <row r="263" spans="1:10" ht="15" customHeight="1" x14ac:dyDescent="0.15">
      <c r="A263"/>
      <c r="B263"/>
      <c r="C263"/>
      <c r="D263"/>
      <c r="E263"/>
      <c r="F263"/>
      <c r="G263"/>
      <c r="H263"/>
      <c r="I263"/>
      <c r="J263"/>
    </row>
    <row r="264" spans="1:10" ht="15" customHeight="1" x14ac:dyDescent="0.15">
      <c r="A264"/>
      <c r="B264"/>
      <c r="C264"/>
      <c r="D264"/>
      <c r="E264"/>
      <c r="F264"/>
      <c r="G264"/>
      <c r="H264"/>
      <c r="I264"/>
      <c r="J264"/>
    </row>
    <row r="265" spans="1:10" ht="15" customHeight="1" x14ac:dyDescent="0.15">
      <c r="A265"/>
      <c r="B265"/>
      <c r="C265"/>
      <c r="D265"/>
      <c r="E265"/>
      <c r="F265"/>
      <c r="G265"/>
      <c r="H265"/>
      <c r="I265"/>
      <c r="J265"/>
    </row>
    <row r="266" spans="1:10" ht="15" customHeight="1" x14ac:dyDescent="0.15">
      <c r="A266"/>
      <c r="B266"/>
      <c r="C266"/>
      <c r="D266"/>
      <c r="E266"/>
      <c r="F266"/>
      <c r="G266"/>
      <c r="H266"/>
      <c r="I266"/>
      <c r="J266"/>
    </row>
    <row r="267" spans="1:10" ht="15" customHeight="1" x14ac:dyDescent="0.15">
      <c r="A267"/>
      <c r="B267"/>
      <c r="C267"/>
      <c r="D267"/>
      <c r="E267"/>
      <c r="F267"/>
      <c r="G267"/>
      <c r="H267"/>
      <c r="I267"/>
      <c r="J267"/>
    </row>
    <row r="268" spans="1:10" ht="15" customHeight="1" x14ac:dyDescent="0.15">
      <c r="A268"/>
      <c r="B268"/>
      <c r="C268"/>
      <c r="D268"/>
      <c r="E268"/>
      <c r="F268"/>
      <c r="G268"/>
      <c r="H268"/>
      <c r="I268"/>
      <c r="J268"/>
    </row>
    <row r="269" spans="1:10" ht="15" customHeight="1" x14ac:dyDescent="0.15">
      <c r="A269"/>
      <c r="B269"/>
      <c r="C269"/>
      <c r="D269"/>
      <c r="E269"/>
      <c r="F269"/>
      <c r="G269"/>
      <c r="H269"/>
      <c r="I269"/>
      <c r="J269"/>
    </row>
    <row r="270" spans="1:10" ht="15" customHeight="1" x14ac:dyDescent="0.15">
      <c r="A270"/>
      <c r="B270"/>
      <c r="C270"/>
      <c r="D270"/>
      <c r="E270"/>
      <c r="F270"/>
      <c r="G270"/>
      <c r="H270"/>
      <c r="I270"/>
      <c r="J270"/>
    </row>
    <row r="271" spans="1:10" ht="15" customHeight="1" x14ac:dyDescent="0.15">
      <c r="A271"/>
      <c r="B271"/>
      <c r="C271"/>
      <c r="D271"/>
      <c r="E271"/>
      <c r="F271"/>
      <c r="G271"/>
      <c r="H271"/>
      <c r="I271"/>
      <c r="J271"/>
    </row>
    <row r="272" spans="1:10" ht="15" customHeight="1" x14ac:dyDescent="0.15">
      <c r="A272"/>
      <c r="B272"/>
      <c r="C272"/>
      <c r="D272"/>
      <c r="E272"/>
      <c r="F272"/>
      <c r="G272"/>
      <c r="H272"/>
      <c r="I272"/>
      <c r="J272"/>
    </row>
    <row r="273" spans="1:10" ht="15" customHeight="1" x14ac:dyDescent="0.15">
      <c r="A273"/>
      <c r="B273"/>
      <c r="C273"/>
      <c r="D273"/>
      <c r="E273"/>
      <c r="F273"/>
      <c r="G273"/>
      <c r="H273"/>
      <c r="I273"/>
      <c r="J273"/>
    </row>
    <row r="274" spans="1:10" ht="15" customHeight="1" x14ac:dyDescent="0.15">
      <c r="A274"/>
      <c r="B274"/>
      <c r="C274"/>
      <c r="D274"/>
      <c r="E274"/>
      <c r="F274"/>
      <c r="G274"/>
      <c r="H274"/>
      <c r="I274"/>
      <c r="J274"/>
    </row>
    <row r="275" spans="1:10" ht="15" customHeight="1" x14ac:dyDescent="0.15">
      <c r="A275"/>
      <c r="B275"/>
      <c r="C275"/>
      <c r="D275"/>
      <c r="E275"/>
      <c r="F275"/>
      <c r="G275"/>
      <c r="H275"/>
      <c r="I275"/>
      <c r="J275"/>
    </row>
    <row r="276" spans="1:10" ht="15" customHeight="1" x14ac:dyDescent="0.15">
      <c r="A276"/>
      <c r="B276"/>
      <c r="C276"/>
      <c r="D276"/>
      <c r="E276"/>
      <c r="F276"/>
      <c r="G276"/>
      <c r="H276"/>
      <c r="I276"/>
      <c r="J276"/>
    </row>
    <row r="277" spans="1:10" ht="15" customHeight="1" x14ac:dyDescent="0.15">
      <c r="A277"/>
      <c r="B277"/>
      <c r="C277"/>
      <c r="D277"/>
      <c r="E277"/>
      <c r="F277"/>
      <c r="G277"/>
      <c r="H277"/>
      <c r="I277"/>
      <c r="J277"/>
    </row>
    <row r="278" spans="1:10" ht="15" customHeight="1" x14ac:dyDescent="0.15">
      <c r="A278"/>
      <c r="B278"/>
      <c r="C278"/>
      <c r="D278"/>
      <c r="E278"/>
      <c r="F278"/>
      <c r="G278"/>
      <c r="H278"/>
      <c r="I278"/>
      <c r="J278"/>
    </row>
    <row r="279" spans="1:10" ht="15" customHeight="1" x14ac:dyDescent="0.15">
      <c r="A279"/>
      <c r="B279"/>
      <c r="C279"/>
      <c r="D279"/>
      <c r="E279"/>
      <c r="F279"/>
      <c r="G279"/>
      <c r="H279"/>
      <c r="I279"/>
      <c r="J279"/>
    </row>
    <row r="280" spans="1:10" ht="15" customHeight="1" x14ac:dyDescent="0.15">
      <c r="A280"/>
      <c r="B280"/>
      <c r="C280"/>
      <c r="D280"/>
      <c r="E280"/>
      <c r="F280"/>
      <c r="G280"/>
      <c r="H280"/>
      <c r="I280"/>
      <c r="J280"/>
    </row>
    <row r="281" spans="1:10" ht="15" customHeight="1" x14ac:dyDescent="0.15">
      <c r="A281"/>
      <c r="B281"/>
      <c r="C281"/>
      <c r="D281"/>
      <c r="E281"/>
      <c r="F281"/>
      <c r="G281"/>
      <c r="H281"/>
      <c r="I281"/>
      <c r="J281"/>
    </row>
    <row r="282" spans="1:10" ht="15" customHeight="1" x14ac:dyDescent="0.15">
      <c r="A282"/>
      <c r="B282"/>
      <c r="C282"/>
      <c r="D282"/>
      <c r="E282"/>
      <c r="F282"/>
      <c r="G282"/>
      <c r="H282"/>
      <c r="I282"/>
      <c r="J282"/>
    </row>
    <row r="283" spans="1:10" ht="15" customHeight="1" x14ac:dyDescent="0.15">
      <c r="A283"/>
      <c r="B283"/>
      <c r="C283"/>
      <c r="D283"/>
      <c r="E283"/>
      <c r="F283"/>
      <c r="G283"/>
      <c r="H283"/>
      <c r="I283"/>
      <c r="J283"/>
    </row>
    <row r="284" spans="1:10" ht="15" customHeight="1" x14ac:dyDescent="0.15">
      <c r="A284"/>
      <c r="B284"/>
      <c r="C284"/>
      <c r="D284"/>
      <c r="E284"/>
      <c r="F284"/>
      <c r="G284"/>
      <c r="H284"/>
      <c r="I284"/>
      <c r="J284"/>
    </row>
    <row r="285" spans="1:10" ht="15" customHeight="1" x14ac:dyDescent="0.15">
      <c r="A285"/>
      <c r="B285"/>
      <c r="C285"/>
      <c r="D285"/>
      <c r="E285"/>
      <c r="F285"/>
      <c r="G285"/>
      <c r="H285"/>
      <c r="I285"/>
      <c r="J285"/>
    </row>
    <row r="286" spans="1:10" ht="15" customHeight="1" x14ac:dyDescent="0.15">
      <c r="A286"/>
      <c r="B286"/>
      <c r="C286"/>
      <c r="D286"/>
      <c r="E286"/>
      <c r="F286"/>
      <c r="G286"/>
      <c r="H286"/>
      <c r="I286"/>
      <c r="J286"/>
    </row>
    <row r="287" spans="1:10" ht="15" customHeight="1" x14ac:dyDescent="0.15">
      <c r="A287"/>
      <c r="B287"/>
      <c r="C287"/>
      <c r="D287"/>
      <c r="E287"/>
      <c r="F287"/>
      <c r="G287"/>
      <c r="H287"/>
      <c r="I287"/>
      <c r="J287"/>
    </row>
    <row r="288" spans="1:10" ht="15" customHeight="1" x14ac:dyDescent="0.15">
      <c r="A288"/>
      <c r="B288"/>
      <c r="C288"/>
      <c r="D288"/>
      <c r="E288"/>
      <c r="F288"/>
      <c r="G288"/>
      <c r="H288"/>
      <c r="I288"/>
      <c r="J288"/>
    </row>
    <row r="289" spans="1:10" ht="15" customHeight="1" x14ac:dyDescent="0.15">
      <c r="A289"/>
      <c r="B289"/>
      <c r="C289"/>
      <c r="D289"/>
      <c r="E289"/>
      <c r="F289"/>
      <c r="G289"/>
      <c r="H289"/>
      <c r="I289"/>
      <c r="J289"/>
    </row>
    <row r="290" spans="1:10" ht="15" customHeight="1" x14ac:dyDescent="0.15">
      <c r="A290"/>
      <c r="B290"/>
      <c r="C290"/>
      <c r="D290"/>
      <c r="E290"/>
      <c r="F290"/>
      <c r="G290"/>
      <c r="H290"/>
      <c r="I290"/>
      <c r="J290"/>
    </row>
    <row r="291" spans="1:10" ht="15" customHeight="1" x14ac:dyDescent="0.15">
      <c r="A291"/>
      <c r="B291"/>
      <c r="C291"/>
      <c r="D291"/>
      <c r="E291"/>
      <c r="F291"/>
      <c r="G291"/>
      <c r="H291"/>
      <c r="I291"/>
      <c r="J291"/>
    </row>
    <row r="292" spans="1:10" ht="15" customHeight="1" x14ac:dyDescent="0.15">
      <c r="A292"/>
      <c r="B292"/>
      <c r="C292"/>
      <c r="D292"/>
      <c r="E292"/>
      <c r="F292"/>
      <c r="G292"/>
      <c r="H292"/>
      <c r="I292"/>
      <c r="J292"/>
    </row>
    <row r="293" spans="1:10" ht="15" customHeight="1" x14ac:dyDescent="0.15">
      <c r="A293"/>
      <c r="B293"/>
      <c r="C293"/>
      <c r="D293"/>
      <c r="E293"/>
      <c r="F293"/>
      <c r="G293"/>
      <c r="H293"/>
      <c r="I293"/>
      <c r="J293"/>
    </row>
    <row r="294" spans="1:10" ht="15" customHeight="1" x14ac:dyDescent="0.15">
      <c r="A294"/>
      <c r="B294"/>
      <c r="C294"/>
      <c r="D294"/>
      <c r="E294"/>
      <c r="F294"/>
      <c r="G294"/>
      <c r="H294"/>
      <c r="I294"/>
      <c r="J294"/>
    </row>
    <row r="295" spans="1:10" ht="15" customHeight="1" x14ac:dyDescent="0.15">
      <c r="A295"/>
      <c r="B295"/>
      <c r="C295"/>
      <c r="D295"/>
      <c r="E295"/>
      <c r="F295"/>
      <c r="G295"/>
      <c r="H295"/>
      <c r="I295"/>
      <c r="J295"/>
    </row>
    <row r="296" spans="1:10" ht="15" customHeight="1" x14ac:dyDescent="0.15">
      <c r="A296"/>
      <c r="B296"/>
      <c r="C296"/>
      <c r="D296"/>
      <c r="E296"/>
      <c r="F296"/>
      <c r="G296"/>
      <c r="H296"/>
      <c r="I296"/>
      <c r="J296"/>
    </row>
    <row r="297" spans="1:10" ht="15" customHeight="1" x14ac:dyDescent="0.15">
      <c r="A297"/>
      <c r="B297"/>
      <c r="C297"/>
      <c r="D297"/>
      <c r="E297"/>
      <c r="F297"/>
      <c r="G297"/>
      <c r="H297"/>
      <c r="I297"/>
      <c r="J297"/>
    </row>
    <row r="298" spans="1:10" ht="15" customHeight="1" x14ac:dyDescent="0.15">
      <c r="A298"/>
      <c r="B298"/>
      <c r="C298"/>
      <c r="D298"/>
      <c r="E298"/>
      <c r="F298"/>
      <c r="G298"/>
      <c r="H298"/>
      <c r="I298"/>
      <c r="J298"/>
    </row>
    <row r="299" spans="1:10" ht="15" customHeight="1" x14ac:dyDescent="0.15">
      <c r="A299"/>
      <c r="B299"/>
      <c r="C299"/>
      <c r="D299"/>
      <c r="E299"/>
      <c r="F299"/>
      <c r="G299"/>
      <c r="H299"/>
      <c r="I299"/>
      <c r="J299"/>
    </row>
    <row r="300" spans="1:10" ht="15" customHeight="1" x14ac:dyDescent="0.15">
      <c r="A300"/>
      <c r="B300"/>
      <c r="C300"/>
      <c r="D300"/>
      <c r="E300"/>
      <c r="F300"/>
      <c r="G300"/>
      <c r="H300"/>
      <c r="I300"/>
      <c r="J300"/>
    </row>
    <row r="301" spans="1:10" ht="15" customHeight="1" x14ac:dyDescent="0.15">
      <c r="A301"/>
      <c r="B301"/>
      <c r="C301"/>
      <c r="D301"/>
      <c r="E301"/>
      <c r="F301"/>
      <c r="G301"/>
      <c r="H301"/>
      <c r="I301"/>
      <c r="J301"/>
    </row>
    <row r="302" spans="1:10" ht="15" customHeight="1" x14ac:dyDescent="0.15">
      <c r="A302"/>
      <c r="B302"/>
      <c r="C302"/>
      <c r="D302"/>
      <c r="E302"/>
      <c r="F302"/>
      <c r="G302"/>
      <c r="H302"/>
      <c r="I302"/>
      <c r="J302"/>
    </row>
    <row r="303" spans="1:10" ht="15" customHeight="1" x14ac:dyDescent="0.15">
      <c r="A303"/>
      <c r="B303"/>
      <c r="C303"/>
      <c r="D303"/>
      <c r="E303"/>
      <c r="F303"/>
      <c r="G303"/>
      <c r="H303"/>
      <c r="I303"/>
      <c r="J303"/>
    </row>
    <row r="304" spans="1:10" ht="15" customHeight="1" x14ac:dyDescent="0.15">
      <c r="A304"/>
      <c r="B304"/>
      <c r="C304"/>
      <c r="D304"/>
      <c r="E304"/>
      <c r="F304"/>
      <c r="G304"/>
      <c r="H304"/>
      <c r="I304"/>
      <c r="J304"/>
    </row>
    <row r="305" spans="1:10" ht="15" customHeight="1" x14ac:dyDescent="0.15">
      <c r="A305"/>
      <c r="B305"/>
      <c r="C305"/>
      <c r="D305"/>
      <c r="E305"/>
      <c r="F305"/>
      <c r="G305"/>
      <c r="H305"/>
      <c r="I305"/>
      <c r="J305"/>
    </row>
    <row r="306" spans="1:10" ht="15" customHeight="1" x14ac:dyDescent="0.15">
      <c r="A306"/>
      <c r="B306"/>
      <c r="C306"/>
      <c r="D306"/>
      <c r="E306"/>
      <c r="F306"/>
      <c r="G306"/>
      <c r="H306"/>
      <c r="I306"/>
      <c r="J306"/>
    </row>
    <row r="307" spans="1:10" ht="15" customHeight="1" x14ac:dyDescent="0.15">
      <c r="A307"/>
      <c r="B307"/>
      <c r="C307"/>
      <c r="D307"/>
      <c r="E307"/>
      <c r="F307"/>
      <c r="G307"/>
      <c r="H307"/>
      <c r="I307"/>
      <c r="J307"/>
    </row>
    <row r="308" spans="1:10" ht="15" customHeight="1" x14ac:dyDescent="0.15">
      <c r="A308"/>
      <c r="B308"/>
      <c r="C308"/>
      <c r="D308"/>
      <c r="E308"/>
      <c r="F308"/>
      <c r="G308"/>
      <c r="H308"/>
      <c r="I308"/>
      <c r="J308"/>
    </row>
    <row r="309" spans="1:10" ht="15" customHeight="1" x14ac:dyDescent="0.15">
      <c r="A309"/>
      <c r="B309"/>
      <c r="C309"/>
      <c r="D309"/>
      <c r="E309"/>
      <c r="F309"/>
      <c r="G309"/>
      <c r="H309"/>
      <c r="I309"/>
      <c r="J309"/>
    </row>
    <row r="310" spans="1:10" ht="15" customHeight="1" x14ac:dyDescent="0.15">
      <c r="A310"/>
      <c r="B310"/>
      <c r="C310"/>
      <c r="D310"/>
      <c r="E310"/>
      <c r="F310"/>
      <c r="G310"/>
      <c r="H310"/>
      <c r="I310"/>
      <c r="J310"/>
    </row>
    <row r="311" spans="1:10" ht="15" customHeight="1" x14ac:dyDescent="0.15">
      <c r="A311"/>
      <c r="B311"/>
      <c r="C311"/>
      <c r="D311"/>
      <c r="E311"/>
      <c r="F311"/>
      <c r="G311"/>
      <c r="H311"/>
      <c r="I311"/>
      <c r="J311"/>
    </row>
    <row r="312" spans="1:10" ht="15" customHeight="1" x14ac:dyDescent="0.15">
      <c r="A312"/>
      <c r="B312"/>
      <c r="C312"/>
      <c r="D312"/>
      <c r="E312"/>
      <c r="F312"/>
      <c r="G312"/>
      <c r="H312"/>
      <c r="I312"/>
      <c r="J312"/>
    </row>
    <row r="313" spans="1:10" ht="15" customHeight="1" x14ac:dyDescent="0.15">
      <c r="A313"/>
      <c r="B313"/>
      <c r="C313"/>
      <c r="D313"/>
      <c r="E313"/>
      <c r="F313"/>
      <c r="G313"/>
      <c r="H313"/>
      <c r="I313"/>
      <c r="J313"/>
    </row>
    <row r="314" spans="1:10" ht="15" customHeight="1" x14ac:dyDescent="0.15">
      <c r="A314"/>
      <c r="B314"/>
      <c r="C314"/>
      <c r="D314"/>
      <c r="E314"/>
      <c r="F314"/>
      <c r="G314"/>
      <c r="H314"/>
      <c r="I314"/>
      <c r="J314"/>
    </row>
    <row r="315" spans="1:10" ht="15" customHeight="1" x14ac:dyDescent="0.15">
      <c r="A315"/>
      <c r="B315"/>
      <c r="C315"/>
      <c r="D315"/>
      <c r="E315"/>
      <c r="F315"/>
      <c r="G315"/>
      <c r="H315"/>
      <c r="I315"/>
      <c r="J315"/>
    </row>
    <row r="316" spans="1:10" ht="15" customHeight="1" x14ac:dyDescent="0.15">
      <c r="A316"/>
      <c r="B316"/>
      <c r="C316"/>
      <c r="D316"/>
      <c r="E316"/>
      <c r="F316"/>
      <c r="G316"/>
      <c r="H316"/>
      <c r="I316"/>
      <c r="J316"/>
    </row>
    <row r="317" spans="1:10" ht="15" customHeight="1" x14ac:dyDescent="0.15">
      <c r="A317"/>
      <c r="B317"/>
      <c r="C317"/>
      <c r="D317"/>
      <c r="E317"/>
      <c r="F317"/>
      <c r="G317"/>
      <c r="H317"/>
      <c r="I317"/>
      <c r="J317"/>
    </row>
    <row r="318" spans="1:10" ht="15" customHeight="1" x14ac:dyDescent="0.15">
      <c r="A318"/>
      <c r="B318"/>
      <c r="C318"/>
      <c r="D318"/>
      <c r="E318"/>
      <c r="F318"/>
      <c r="G318"/>
      <c r="H318"/>
      <c r="I318"/>
      <c r="J318"/>
    </row>
    <row r="319" spans="1:10" ht="15" customHeight="1" x14ac:dyDescent="0.15">
      <c r="A319"/>
      <c r="B319"/>
      <c r="C319"/>
      <c r="D319"/>
      <c r="E319"/>
      <c r="F319"/>
      <c r="G319"/>
      <c r="H319"/>
      <c r="I319"/>
      <c r="J319"/>
    </row>
    <row r="320" spans="1:10" ht="15" customHeight="1" x14ac:dyDescent="0.15">
      <c r="A320"/>
      <c r="B320"/>
      <c r="C320"/>
      <c r="D320"/>
      <c r="E320"/>
      <c r="F320"/>
      <c r="G320"/>
      <c r="H320"/>
      <c r="I320"/>
      <c r="J320"/>
    </row>
    <row r="321" spans="1:10" ht="15" customHeight="1" x14ac:dyDescent="0.15">
      <c r="A321"/>
      <c r="B321"/>
      <c r="C321"/>
      <c r="D321"/>
      <c r="E321"/>
      <c r="F321"/>
      <c r="G321"/>
      <c r="H321"/>
      <c r="I321"/>
      <c r="J321"/>
    </row>
    <row r="322" spans="1:10" ht="15" customHeight="1" x14ac:dyDescent="0.15">
      <c r="A322"/>
      <c r="B322"/>
      <c r="C322"/>
      <c r="D322"/>
      <c r="E322"/>
      <c r="F322"/>
      <c r="G322"/>
      <c r="H322"/>
      <c r="I322"/>
      <c r="J322"/>
    </row>
    <row r="323" spans="1:10" ht="15" customHeight="1" x14ac:dyDescent="0.15">
      <c r="A323"/>
      <c r="B323"/>
      <c r="C323"/>
      <c r="D323"/>
      <c r="E323"/>
      <c r="F323"/>
      <c r="G323"/>
      <c r="H323"/>
      <c r="I323"/>
      <c r="J323"/>
    </row>
    <row r="324" spans="1:10" ht="15" customHeight="1" x14ac:dyDescent="0.15">
      <c r="A324"/>
      <c r="B324"/>
      <c r="C324"/>
      <c r="D324"/>
      <c r="E324"/>
      <c r="F324"/>
      <c r="G324"/>
      <c r="H324"/>
      <c r="I324"/>
      <c r="J324"/>
    </row>
    <row r="325" spans="1:10" ht="15" customHeight="1" x14ac:dyDescent="0.15">
      <c r="A325"/>
      <c r="B325"/>
      <c r="C325"/>
      <c r="D325"/>
      <c r="E325"/>
      <c r="F325"/>
      <c r="G325"/>
      <c r="H325"/>
      <c r="I325"/>
      <c r="J325"/>
    </row>
    <row r="326" spans="1:10" ht="15" customHeight="1" x14ac:dyDescent="0.15">
      <c r="A326"/>
      <c r="B326"/>
      <c r="C326"/>
      <c r="D326"/>
      <c r="E326"/>
      <c r="F326"/>
      <c r="G326"/>
      <c r="H326"/>
      <c r="I326"/>
      <c r="J326"/>
    </row>
    <row r="327" spans="1:10" ht="15" customHeight="1" x14ac:dyDescent="0.15">
      <c r="A327"/>
      <c r="B327"/>
      <c r="C327"/>
      <c r="D327"/>
      <c r="E327"/>
      <c r="F327"/>
      <c r="G327"/>
      <c r="H327"/>
      <c r="I327"/>
      <c r="J327"/>
    </row>
    <row r="328" spans="1:10" ht="15" customHeight="1" x14ac:dyDescent="0.15">
      <c r="A328"/>
      <c r="B328"/>
      <c r="C328"/>
      <c r="D328"/>
      <c r="E328"/>
      <c r="F328"/>
      <c r="G328"/>
      <c r="H328"/>
      <c r="I328"/>
      <c r="J328"/>
    </row>
    <row r="329" spans="1:10" ht="15" customHeight="1" x14ac:dyDescent="0.15">
      <c r="A329"/>
      <c r="B329"/>
      <c r="C329"/>
      <c r="D329"/>
      <c r="E329"/>
      <c r="F329"/>
      <c r="G329"/>
      <c r="H329"/>
      <c r="I329"/>
      <c r="J329"/>
    </row>
    <row r="330" spans="1:10" ht="15" customHeight="1" x14ac:dyDescent="0.15">
      <c r="A330"/>
      <c r="B330"/>
      <c r="C330"/>
      <c r="D330"/>
      <c r="E330"/>
      <c r="F330"/>
      <c r="G330"/>
      <c r="H330"/>
      <c r="I330"/>
      <c r="J330"/>
    </row>
    <row r="331" spans="1:10" ht="15" customHeight="1" x14ac:dyDescent="0.15">
      <c r="A331"/>
      <c r="B331"/>
      <c r="C331"/>
      <c r="D331"/>
      <c r="E331"/>
      <c r="F331"/>
      <c r="G331"/>
      <c r="H331"/>
      <c r="I331"/>
      <c r="J331"/>
    </row>
    <row r="332" spans="1:10" ht="15" customHeight="1" x14ac:dyDescent="0.15">
      <c r="A332"/>
      <c r="B332"/>
      <c r="C332"/>
      <c r="D332"/>
      <c r="E332"/>
      <c r="F332"/>
      <c r="G332"/>
      <c r="H332"/>
      <c r="I332"/>
      <c r="J332"/>
    </row>
    <row r="333" spans="1:10" ht="15" customHeight="1" x14ac:dyDescent="0.15">
      <c r="A333"/>
      <c r="B333"/>
      <c r="C333"/>
      <c r="D333"/>
      <c r="E333"/>
      <c r="F333"/>
      <c r="G333"/>
      <c r="H333"/>
      <c r="I333"/>
      <c r="J333"/>
    </row>
    <row r="334" spans="1:10" ht="15" customHeight="1" x14ac:dyDescent="0.15">
      <c r="A334"/>
      <c r="B334"/>
      <c r="C334"/>
      <c r="D334"/>
      <c r="E334"/>
      <c r="F334"/>
      <c r="G334"/>
      <c r="H334"/>
      <c r="I334"/>
      <c r="J334"/>
    </row>
    <row r="335" spans="1:10" ht="15" customHeight="1" x14ac:dyDescent="0.15">
      <c r="A335"/>
      <c r="B335"/>
      <c r="C335"/>
      <c r="D335"/>
      <c r="E335"/>
      <c r="F335"/>
      <c r="G335"/>
      <c r="H335"/>
      <c r="I335"/>
      <c r="J335"/>
    </row>
    <row r="336" spans="1:10" ht="15" customHeight="1" x14ac:dyDescent="0.15">
      <c r="A336"/>
      <c r="B336"/>
      <c r="C336"/>
      <c r="D336"/>
      <c r="E336"/>
      <c r="F336"/>
      <c r="G336"/>
      <c r="H336"/>
      <c r="I336"/>
      <c r="J336"/>
    </row>
    <row r="337" spans="1:10" ht="15" customHeight="1" x14ac:dyDescent="0.15">
      <c r="A337"/>
      <c r="B337"/>
      <c r="C337"/>
      <c r="D337"/>
      <c r="E337"/>
      <c r="F337"/>
      <c r="G337"/>
      <c r="H337"/>
      <c r="I337"/>
      <c r="J337"/>
    </row>
    <row r="338" spans="1:10" ht="15" customHeight="1" x14ac:dyDescent="0.15">
      <c r="A338"/>
      <c r="B338"/>
      <c r="C338"/>
      <c r="D338"/>
      <c r="E338"/>
      <c r="F338"/>
      <c r="G338"/>
      <c r="H338"/>
      <c r="I338"/>
      <c r="J338"/>
    </row>
    <row r="339" spans="1:10" ht="15" customHeight="1" x14ac:dyDescent="0.15">
      <c r="A339"/>
      <c r="B339"/>
      <c r="C339"/>
      <c r="D339"/>
      <c r="E339"/>
      <c r="F339"/>
      <c r="G339"/>
      <c r="H339"/>
      <c r="I339"/>
      <c r="J339"/>
    </row>
    <row r="340" spans="1:10" ht="15" customHeight="1" x14ac:dyDescent="0.15">
      <c r="A340"/>
      <c r="B340"/>
      <c r="C340"/>
      <c r="D340"/>
      <c r="E340"/>
      <c r="F340"/>
      <c r="G340"/>
      <c r="H340"/>
      <c r="I340"/>
      <c r="J340"/>
    </row>
    <row r="341" spans="1:10" ht="15" customHeight="1" x14ac:dyDescent="0.15">
      <c r="A341"/>
      <c r="B341"/>
      <c r="C341"/>
      <c r="D341"/>
      <c r="E341"/>
      <c r="F341"/>
      <c r="G341"/>
      <c r="H341"/>
      <c r="I341"/>
      <c r="J341"/>
    </row>
    <row r="342" spans="1:10" ht="15" customHeight="1" x14ac:dyDescent="0.15">
      <c r="A342"/>
      <c r="B342"/>
      <c r="C342"/>
      <c r="D342"/>
      <c r="E342"/>
      <c r="F342"/>
      <c r="G342"/>
      <c r="H342"/>
      <c r="I342"/>
      <c r="J342"/>
    </row>
    <row r="343" spans="1:10" ht="15" customHeight="1" x14ac:dyDescent="0.15">
      <c r="A343"/>
      <c r="B343"/>
      <c r="C343"/>
      <c r="D343"/>
      <c r="E343"/>
      <c r="F343"/>
      <c r="G343"/>
      <c r="H343"/>
      <c r="I343"/>
      <c r="J343"/>
    </row>
    <row r="344" spans="1:10" ht="15" customHeight="1" x14ac:dyDescent="0.15">
      <c r="A344"/>
      <c r="B344"/>
      <c r="C344"/>
      <c r="D344"/>
      <c r="E344"/>
      <c r="F344"/>
      <c r="G344"/>
      <c r="H344"/>
      <c r="I344"/>
      <c r="J344"/>
    </row>
    <row r="345" spans="1:10" ht="15" customHeight="1" x14ac:dyDescent="0.15">
      <c r="A345"/>
      <c r="B345"/>
      <c r="C345"/>
      <c r="D345"/>
      <c r="E345"/>
      <c r="F345"/>
      <c r="G345"/>
      <c r="H345"/>
      <c r="I345"/>
      <c r="J345"/>
    </row>
    <row r="346" spans="1:10" ht="15" customHeight="1" x14ac:dyDescent="0.15">
      <c r="A346"/>
      <c r="B346"/>
      <c r="C346"/>
      <c r="D346"/>
      <c r="E346"/>
      <c r="F346"/>
      <c r="G346"/>
      <c r="H346"/>
      <c r="I346"/>
      <c r="J346"/>
    </row>
    <row r="347" spans="1:10" ht="15" customHeight="1" x14ac:dyDescent="0.15">
      <c r="A347"/>
      <c r="B347"/>
      <c r="C347"/>
      <c r="D347"/>
      <c r="E347"/>
      <c r="F347"/>
      <c r="G347"/>
      <c r="H347"/>
      <c r="I347"/>
      <c r="J347"/>
    </row>
    <row r="348" spans="1:10" ht="15" customHeight="1" x14ac:dyDescent="0.15">
      <c r="A348"/>
      <c r="B348"/>
      <c r="C348"/>
      <c r="D348"/>
      <c r="E348"/>
      <c r="F348"/>
      <c r="G348"/>
      <c r="H348"/>
      <c r="I348"/>
      <c r="J348"/>
    </row>
    <row r="349" spans="1:10" ht="15" customHeight="1" x14ac:dyDescent="0.15">
      <c r="A349"/>
      <c r="B349"/>
      <c r="C349"/>
      <c r="D349"/>
      <c r="E349"/>
      <c r="F349"/>
      <c r="G349"/>
      <c r="H349"/>
      <c r="I349"/>
      <c r="J349"/>
    </row>
    <row r="350" spans="1:10" ht="15" customHeight="1" x14ac:dyDescent="0.15">
      <c r="A350"/>
      <c r="B350"/>
      <c r="C350"/>
      <c r="D350"/>
      <c r="E350"/>
      <c r="F350"/>
      <c r="G350"/>
      <c r="H350"/>
      <c r="I350"/>
      <c r="J350"/>
    </row>
    <row r="351" spans="1:10" ht="15" customHeight="1" x14ac:dyDescent="0.15">
      <c r="A351"/>
      <c r="B351"/>
      <c r="C351"/>
      <c r="D351"/>
      <c r="E351"/>
      <c r="F351"/>
      <c r="G351"/>
      <c r="H351"/>
      <c r="I351"/>
      <c r="J351"/>
    </row>
    <row r="352" spans="1:10" ht="15" customHeight="1" x14ac:dyDescent="0.15">
      <c r="A352"/>
      <c r="B352"/>
      <c r="C352"/>
      <c r="D352"/>
      <c r="E352"/>
      <c r="F352"/>
      <c r="G352"/>
      <c r="H352"/>
      <c r="I352"/>
      <c r="J352"/>
    </row>
    <row r="353" spans="1:10" ht="15" customHeight="1" x14ac:dyDescent="0.15">
      <c r="A353"/>
      <c r="B353"/>
      <c r="C353"/>
      <c r="D353"/>
      <c r="E353"/>
      <c r="F353"/>
      <c r="G353"/>
      <c r="H353"/>
      <c r="I353"/>
      <c r="J353"/>
    </row>
    <row r="354" spans="1:10" ht="15" customHeight="1" x14ac:dyDescent="0.15">
      <c r="A354"/>
      <c r="B354"/>
      <c r="C354"/>
      <c r="D354"/>
      <c r="E354"/>
      <c r="F354"/>
      <c r="G354"/>
      <c r="H354"/>
      <c r="I354"/>
      <c r="J354"/>
    </row>
    <row r="355" spans="1:10" ht="15" customHeight="1" x14ac:dyDescent="0.15">
      <c r="A355"/>
      <c r="B355"/>
      <c r="C355"/>
      <c r="D355"/>
      <c r="E355"/>
      <c r="F355"/>
      <c r="G355"/>
      <c r="H355"/>
      <c r="I355"/>
      <c r="J355"/>
    </row>
    <row r="356" spans="1:10" ht="15" customHeight="1" x14ac:dyDescent="0.15">
      <c r="A356"/>
      <c r="B356"/>
      <c r="C356"/>
      <c r="D356"/>
      <c r="E356"/>
      <c r="F356"/>
      <c r="G356"/>
      <c r="H356"/>
      <c r="I356"/>
      <c r="J356"/>
    </row>
    <row r="357" spans="1:10" ht="15" customHeight="1" x14ac:dyDescent="0.15">
      <c r="A357"/>
      <c r="B357"/>
      <c r="C357"/>
      <c r="D357"/>
      <c r="E357"/>
      <c r="F357"/>
      <c r="G357"/>
      <c r="H357"/>
      <c r="I357"/>
      <c r="J357"/>
    </row>
    <row r="358" spans="1:10" ht="15" customHeight="1" x14ac:dyDescent="0.15">
      <c r="A358"/>
      <c r="B358"/>
      <c r="C358"/>
      <c r="D358"/>
      <c r="E358"/>
      <c r="F358"/>
      <c r="G358"/>
      <c r="H358"/>
      <c r="I358"/>
      <c r="J358"/>
    </row>
    <row r="359" spans="1:10" ht="15" customHeight="1" x14ac:dyDescent="0.15">
      <c r="A359"/>
      <c r="B359"/>
      <c r="C359"/>
      <c r="D359"/>
      <c r="E359"/>
      <c r="F359"/>
      <c r="G359"/>
      <c r="H359"/>
      <c r="I359"/>
      <c r="J359"/>
    </row>
    <row r="360" spans="1:10" ht="15" customHeight="1" x14ac:dyDescent="0.15">
      <c r="A360"/>
      <c r="B360"/>
      <c r="C360"/>
      <c r="D360"/>
      <c r="E360"/>
      <c r="F360"/>
      <c r="G360"/>
      <c r="H360"/>
      <c r="I360"/>
      <c r="J360"/>
    </row>
    <row r="361" spans="1:10" ht="15" customHeight="1" x14ac:dyDescent="0.15">
      <c r="A361"/>
      <c r="B361"/>
      <c r="C361"/>
      <c r="D361"/>
      <c r="E361"/>
      <c r="F361"/>
      <c r="G361"/>
      <c r="H361"/>
      <c r="I361"/>
      <c r="J361"/>
    </row>
    <row r="362" spans="1:10" ht="15" customHeight="1" x14ac:dyDescent="0.15">
      <c r="A362"/>
      <c r="B362"/>
      <c r="C362"/>
      <c r="D362"/>
      <c r="E362"/>
      <c r="F362"/>
      <c r="G362"/>
      <c r="H362"/>
      <c r="I362"/>
      <c r="J362"/>
    </row>
    <row r="363" spans="1:10" ht="15" customHeight="1" x14ac:dyDescent="0.15">
      <c r="A363"/>
      <c r="B363"/>
      <c r="C363"/>
      <c r="D363"/>
      <c r="E363"/>
      <c r="F363"/>
      <c r="G363"/>
      <c r="H363"/>
      <c r="I363"/>
      <c r="J363"/>
    </row>
    <row r="364" spans="1:10" ht="15" customHeight="1" x14ac:dyDescent="0.15">
      <c r="A364"/>
      <c r="B364"/>
      <c r="C364"/>
      <c r="D364"/>
      <c r="E364"/>
      <c r="F364"/>
      <c r="G364"/>
      <c r="H364"/>
      <c r="I364"/>
      <c r="J364"/>
    </row>
    <row r="365" spans="1:10" ht="15" customHeight="1" x14ac:dyDescent="0.15">
      <c r="A365"/>
      <c r="B365"/>
      <c r="C365"/>
      <c r="D365"/>
      <c r="E365"/>
      <c r="F365"/>
      <c r="G365"/>
      <c r="H365"/>
      <c r="I365"/>
      <c r="J365"/>
    </row>
    <row r="366" spans="1:10" ht="15" customHeight="1" x14ac:dyDescent="0.15">
      <c r="A366"/>
      <c r="B366"/>
      <c r="C366"/>
      <c r="D366"/>
      <c r="E366"/>
      <c r="F366"/>
      <c r="G366"/>
      <c r="H366"/>
      <c r="I366"/>
      <c r="J366"/>
    </row>
    <row r="367" spans="1:10" ht="15" customHeight="1" x14ac:dyDescent="0.15">
      <c r="A367"/>
      <c r="B367"/>
      <c r="C367"/>
      <c r="D367"/>
      <c r="E367"/>
      <c r="F367"/>
      <c r="G367"/>
      <c r="H367"/>
      <c r="I367"/>
      <c r="J367"/>
    </row>
    <row r="368" spans="1:10" ht="15" customHeight="1" x14ac:dyDescent="0.15">
      <c r="A368"/>
      <c r="B368"/>
      <c r="C368"/>
      <c r="D368"/>
      <c r="E368"/>
      <c r="F368"/>
      <c r="G368"/>
      <c r="H368"/>
      <c r="I368"/>
      <c r="J368"/>
    </row>
    <row r="369" spans="1:10" ht="15" customHeight="1" x14ac:dyDescent="0.15">
      <c r="A369"/>
      <c r="B369"/>
      <c r="C369"/>
      <c r="D369"/>
      <c r="E369"/>
      <c r="F369"/>
      <c r="G369"/>
      <c r="H369"/>
      <c r="I369"/>
      <c r="J369"/>
    </row>
    <row r="370" spans="1:10" ht="15" customHeight="1" x14ac:dyDescent="0.15">
      <c r="A370"/>
      <c r="B370"/>
      <c r="C370"/>
      <c r="D370"/>
      <c r="E370"/>
      <c r="F370"/>
      <c r="G370"/>
      <c r="H370"/>
      <c r="I370"/>
      <c r="J370"/>
    </row>
    <row r="371" spans="1:10" ht="15" customHeight="1" x14ac:dyDescent="0.15">
      <c r="A371"/>
      <c r="B371"/>
      <c r="C371"/>
      <c r="D371"/>
      <c r="E371"/>
      <c r="F371"/>
      <c r="G371"/>
      <c r="H371"/>
      <c r="I371"/>
      <c r="J371"/>
    </row>
    <row r="372" spans="1:10" ht="15" customHeight="1" x14ac:dyDescent="0.15">
      <c r="A372"/>
      <c r="B372"/>
      <c r="C372"/>
      <c r="D372"/>
      <c r="E372"/>
      <c r="F372"/>
      <c r="G372"/>
      <c r="H372"/>
      <c r="I372"/>
      <c r="J372"/>
    </row>
    <row r="373" spans="1:10" ht="15" customHeight="1" x14ac:dyDescent="0.15">
      <c r="A373"/>
      <c r="B373"/>
      <c r="C373"/>
      <c r="D373"/>
      <c r="E373"/>
      <c r="F373"/>
      <c r="G373"/>
      <c r="H373"/>
      <c r="I373"/>
      <c r="J373"/>
    </row>
    <row r="374" spans="1:10" ht="15" customHeight="1" x14ac:dyDescent="0.15">
      <c r="A374"/>
      <c r="B374"/>
      <c r="C374"/>
      <c r="D374"/>
      <c r="E374"/>
      <c r="F374"/>
      <c r="G374"/>
      <c r="H374"/>
      <c r="I374"/>
      <c r="J374"/>
    </row>
    <row r="375" spans="1:10" ht="15" customHeight="1" x14ac:dyDescent="0.15">
      <c r="A375"/>
      <c r="B375"/>
      <c r="C375"/>
      <c r="D375"/>
      <c r="E375"/>
      <c r="F375"/>
      <c r="G375"/>
      <c r="H375"/>
      <c r="I375"/>
      <c r="J375"/>
    </row>
    <row r="376" spans="1:10" ht="15" customHeight="1" x14ac:dyDescent="0.15">
      <c r="A376"/>
      <c r="B376"/>
      <c r="C376"/>
      <c r="D376"/>
      <c r="E376"/>
      <c r="F376"/>
      <c r="G376"/>
      <c r="H376"/>
      <c r="I376"/>
      <c r="J376"/>
    </row>
    <row r="377" spans="1:10" ht="15" customHeight="1" x14ac:dyDescent="0.15">
      <c r="A377"/>
      <c r="B377"/>
      <c r="C377"/>
      <c r="D377"/>
      <c r="E377"/>
      <c r="F377"/>
      <c r="G377"/>
      <c r="H377"/>
      <c r="I377"/>
      <c r="J377"/>
    </row>
    <row r="378" spans="1:10" ht="15" customHeight="1" x14ac:dyDescent="0.15">
      <c r="A378"/>
      <c r="B378"/>
      <c r="C378"/>
      <c r="D378"/>
      <c r="E378"/>
      <c r="F378"/>
      <c r="G378"/>
      <c r="H378"/>
      <c r="I378"/>
      <c r="J378"/>
    </row>
    <row r="379" spans="1:10" ht="15" customHeight="1" x14ac:dyDescent="0.15">
      <c r="A379"/>
      <c r="B379"/>
      <c r="C379"/>
      <c r="D379"/>
      <c r="E379"/>
      <c r="F379"/>
      <c r="G379"/>
      <c r="H379"/>
      <c r="I379"/>
      <c r="J379"/>
    </row>
    <row r="380" spans="1:10" ht="15" customHeight="1" x14ac:dyDescent="0.15">
      <c r="A380"/>
      <c r="B380"/>
      <c r="C380"/>
      <c r="D380"/>
      <c r="E380"/>
      <c r="F380"/>
      <c r="G380"/>
      <c r="H380"/>
      <c r="I380"/>
      <c r="J380"/>
    </row>
    <row r="381" spans="1:10" ht="15" customHeight="1" x14ac:dyDescent="0.15">
      <c r="A381"/>
      <c r="B381"/>
      <c r="C381"/>
      <c r="D381"/>
      <c r="E381"/>
      <c r="F381"/>
      <c r="G381"/>
      <c r="H381"/>
      <c r="I381"/>
      <c r="J381"/>
    </row>
    <row r="382" spans="1:10" ht="15" customHeight="1" x14ac:dyDescent="0.15">
      <c r="A382"/>
      <c r="B382"/>
      <c r="C382"/>
      <c r="D382"/>
      <c r="E382"/>
      <c r="F382"/>
      <c r="G382"/>
      <c r="H382"/>
      <c r="I382"/>
      <c r="J382"/>
    </row>
    <row r="383" spans="1:10" ht="15" customHeight="1" x14ac:dyDescent="0.15">
      <c r="A383"/>
      <c r="B383"/>
      <c r="C383"/>
      <c r="D383"/>
      <c r="E383"/>
      <c r="F383"/>
      <c r="G383"/>
      <c r="H383"/>
      <c r="I383"/>
      <c r="J383"/>
    </row>
    <row r="384" spans="1:10" ht="15" customHeight="1" x14ac:dyDescent="0.15">
      <c r="A384"/>
      <c r="B384"/>
      <c r="C384"/>
      <c r="D384"/>
      <c r="E384"/>
      <c r="F384"/>
      <c r="G384"/>
      <c r="H384"/>
      <c r="I384"/>
      <c r="J384"/>
    </row>
    <row r="385" spans="1:10" ht="15" customHeight="1" x14ac:dyDescent="0.15">
      <c r="A385"/>
      <c r="B385"/>
      <c r="C385"/>
      <c r="D385"/>
      <c r="E385"/>
      <c r="F385"/>
      <c r="G385"/>
      <c r="H385"/>
      <c r="I385"/>
      <c r="J385"/>
    </row>
    <row r="386" spans="1:10" ht="15" customHeight="1" x14ac:dyDescent="0.15">
      <c r="A386"/>
      <c r="B386"/>
      <c r="C386"/>
      <c r="D386"/>
      <c r="E386"/>
      <c r="F386"/>
      <c r="G386"/>
      <c r="H386"/>
      <c r="I386"/>
      <c r="J386"/>
    </row>
    <row r="387" spans="1:10" ht="15" customHeight="1" x14ac:dyDescent="0.15">
      <c r="A387"/>
      <c r="B387"/>
      <c r="C387"/>
      <c r="D387"/>
      <c r="E387"/>
      <c r="F387"/>
      <c r="G387"/>
      <c r="H387"/>
      <c r="I387"/>
      <c r="J387"/>
    </row>
    <row r="388" spans="1:10" ht="15" customHeight="1" x14ac:dyDescent="0.15">
      <c r="A388"/>
      <c r="B388"/>
      <c r="C388"/>
      <c r="D388"/>
      <c r="E388"/>
      <c r="F388"/>
      <c r="G388"/>
      <c r="H388"/>
      <c r="I388"/>
      <c r="J388"/>
    </row>
    <row r="389" spans="1:10" ht="15" customHeight="1" x14ac:dyDescent="0.15">
      <c r="A389"/>
      <c r="B389"/>
      <c r="C389"/>
      <c r="D389"/>
      <c r="E389"/>
      <c r="F389"/>
      <c r="G389"/>
      <c r="H389"/>
      <c r="I389"/>
      <c r="J389"/>
    </row>
    <row r="390" spans="1:10" ht="15" customHeight="1" x14ac:dyDescent="0.15">
      <c r="A390"/>
      <c r="B390"/>
      <c r="C390"/>
      <c r="D390"/>
      <c r="E390"/>
      <c r="F390"/>
      <c r="G390"/>
      <c r="H390"/>
      <c r="I390"/>
      <c r="J390"/>
    </row>
    <row r="391" spans="1:10" ht="15" customHeight="1" x14ac:dyDescent="0.15">
      <c r="A391"/>
      <c r="B391"/>
      <c r="C391"/>
      <c r="D391"/>
      <c r="E391"/>
      <c r="F391"/>
      <c r="G391"/>
      <c r="H391"/>
      <c r="I391"/>
      <c r="J391"/>
    </row>
    <row r="392" spans="1:10" ht="15" customHeight="1" x14ac:dyDescent="0.15">
      <c r="A392"/>
      <c r="B392"/>
      <c r="C392"/>
      <c r="D392"/>
      <c r="E392"/>
      <c r="F392"/>
      <c r="G392"/>
      <c r="H392"/>
      <c r="I392"/>
      <c r="J392"/>
    </row>
    <row r="393" spans="1:10" ht="15" customHeight="1" x14ac:dyDescent="0.15">
      <c r="A393"/>
      <c r="B393"/>
      <c r="C393"/>
      <c r="D393"/>
      <c r="E393"/>
      <c r="F393"/>
      <c r="G393"/>
      <c r="H393"/>
      <c r="I393"/>
      <c r="J393"/>
    </row>
    <row r="394" spans="1:10" ht="15" customHeight="1" x14ac:dyDescent="0.15">
      <c r="A394"/>
      <c r="B394"/>
      <c r="C394"/>
      <c r="D394"/>
      <c r="E394"/>
      <c r="F394"/>
      <c r="G394"/>
      <c r="H394"/>
      <c r="I394"/>
      <c r="J394"/>
    </row>
    <row r="395" spans="1:10" ht="15" customHeight="1" x14ac:dyDescent="0.15">
      <c r="A395"/>
      <c r="B395"/>
      <c r="C395"/>
      <c r="D395"/>
      <c r="E395"/>
      <c r="F395"/>
      <c r="G395"/>
      <c r="H395"/>
      <c r="I395"/>
      <c r="J395"/>
    </row>
    <row r="396" spans="1:10" ht="15" customHeight="1" x14ac:dyDescent="0.15">
      <c r="A396"/>
      <c r="B396"/>
      <c r="C396"/>
      <c r="D396"/>
      <c r="E396"/>
      <c r="F396"/>
      <c r="G396"/>
      <c r="H396"/>
      <c r="I396"/>
      <c r="J396"/>
    </row>
    <row r="397" spans="1:10" ht="15" customHeight="1" x14ac:dyDescent="0.15">
      <c r="A397"/>
      <c r="B397"/>
      <c r="C397"/>
      <c r="D397"/>
      <c r="E397"/>
      <c r="F397"/>
      <c r="G397"/>
      <c r="H397"/>
      <c r="I397"/>
      <c r="J397"/>
    </row>
    <row r="398" spans="1:10" ht="15" customHeight="1" x14ac:dyDescent="0.15">
      <c r="A398"/>
      <c r="B398"/>
      <c r="C398"/>
      <c r="D398"/>
      <c r="E398"/>
      <c r="F398"/>
      <c r="G398"/>
      <c r="H398"/>
      <c r="I398"/>
      <c r="J398"/>
    </row>
    <row r="399" spans="1:10" ht="15" customHeight="1" x14ac:dyDescent="0.15">
      <c r="A399"/>
      <c r="B399"/>
      <c r="C399"/>
      <c r="D399"/>
      <c r="E399"/>
      <c r="F399"/>
      <c r="G399"/>
      <c r="H399"/>
      <c r="I399"/>
      <c r="J399"/>
    </row>
    <row r="400" spans="1:10" ht="15" customHeight="1" x14ac:dyDescent="0.15">
      <c r="A400"/>
      <c r="B400"/>
      <c r="C400"/>
      <c r="D400"/>
      <c r="E400"/>
      <c r="F400"/>
      <c r="G400"/>
      <c r="H400"/>
      <c r="I400"/>
      <c r="J400"/>
    </row>
    <row r="401" spans="1:10" ht="15" customHeight="1" x14ac:dyDescent="0.15">
      <c r="A401"/>
      <c r="B401"/>
      <c r="C401"/>
      <c r="D401"/>
      <c r="E401"/>
      <c r="F401"/>
      <c r="G401"/>
      <c r="H401"/>
      <c r="I401"/>
      <c r="J401"/>
    </row>
    <row r="402" spans="1:10" ht="15" customHeight="1" x14ac:dyDescent="0.15">
      <c r="A402"/>
      <c r="B402"/>
      <c r="C402"/>
      <c r="D402"/>
      <c r="E402"/>
      <c r="F402"/>
      <c r="G402"/>
      <c r="H402"/>
      <c r="I402"/>
      <c r="J402"/>
    </row>
    <row r="403" spans="1:10" ht="15" customHeight="1" x14ac:dyDescent="0.15">
      <c r="A403"/>
      <c r="B403"/>
      <c r="C403"/>
      <c r="D403"/>
      <c r="E403"/>
      <c r="F403"/>
      <c r="G403"/>
      <c r="H403"/>
      <c r="I403"/>
      <c r="J403"/>
    </row>
    <row r="404" spans="1:10" ht="15" customHeight="1" x14ac:dyDescent="0.15">
      <c r="A404"/>
      <c r="B404"/>
      <c r="C404"/>
      <c r="D404"/>
      <c r="E404"/>
      <c r="F404"/>
      <c r="G404"/>
      <c r="H404"/>
      <c r="I404"/>
      <c r="J404"/>
    </row>
    <row r="405" spans="1:10" ht="15" customHeight="1" x14ac:dyDescent="0.15">
      <c r="A405"/>
      <c r="B405"/>
      <c r="C405"/>
      <c r="D405"/>
      <c r="E405"/>
      <c r="F405"/>
      <c r="G405"/>
      <c r="H405"/>
      <c r="I405"/>
      <c r="J405"/>
    </row>
    <row r="406" spans="1:10" ht="15" customHeight="1" x14ac:dyDescent="0.15">
      <c r="A406"/>
      <c r="B406"/>
      <c r="C406"/>
      <c r="D406"/>
      <c r="E406"/>
      <c r="F406"/>
      <c r="G406"/>
      <c r="H406"/>
      <c r="I406"/>
      <c r="J406"/>
    </row>
    <row r="407" spans="1:10" ht="15" customHeight="1" x14ac:dyDescent="0.15">
      <c r="A407"/>
      <c r="B407"/>
      <c r="C407"/>
      <c r="D407"/>
      <c r="E407"/>
      <c r="F407"/>
      <c r="G407"/>
      <c r="H407"/>
      <c r="I407"/>
      <c r="J407"/>
    </row>
    <row r="408" spans="1:10" ht="15" customHeight="1" x14ac:dyDescent="0.15">
      <c r="A408"/>
      <c r="B408"/>
      <c r="C408"/>
      <c r="D408"/>
      <c r="E408"/>
      <c r="F408"/>
      <c r="G408"/>
      <c r="H408"/>
      <c r="I408"/>
      <c r="J408"/>
    </row>
    <row r="409" spans="1:10" ht="15" customHeight="1" x14ac:dyDescent="0.15">
      <c r="A409"/>
      <c r="B409"/>
      <c r="C409"/>
      <c r="D409"/>
      <c r="E409"/>
      <c r="F409"/>
      <c r="G409"/>
      <c r="H409"/>
      <c r="I409"/>
      <c r="J409"/>
    </row>
    <row r="410" spans="1:10" ht="15" customHeight="1" x14ac:dyDescent="0.15">
      <c r="A410"/>
      <c r="B410"/>
      <c r="C410"/>
      <c r="D410"/>
      <c r="E410"/>
      <c r="F410"/>
      <c r="G410"/>
      <c r="H410"/>
      <c r="I410"/>
      <c r="J410"/>
    </row>
    <row r="411" spans="1:10" ht="15" customHeight="1" x14ac:dyDescent="0.15">
      <c r="A411"/>
      <c r="B411"/>
      <c r="C411"/>
      <c r="D411"/>
      <c r="E411"/>
      <c r="F411"/>
      <c r="G411"/>
      <c r="H411"/>
      <c r="I411"/>
      <c r="J411"/>
    </row>
    <row r="412" spans="1:10" ht="15" customHeight="1" x14ac:dyDescent="0.15">
      <c r="A412"/>
      <c r="B412"/>
      <c r="C412"/>
      <c r="D412"/>
      <c r="E412"/>
      <c r="F412"/>
      <c r="G412"/>
      <c r="H412"/>
      <c r="I412"/>
      <c r="J412"/>
    </row>
    <row r="413" spans="1:10" ht="15" customHeight="1" x14ac:dyDescent="0.15">
      <c r="A413"/>
      <c r="B413"/>
      <c r="C413"/>
      <c r="D413"/>
      <c r="E413"/>
      <c r="F413"/>
      <c r="G413"/>
      <c r="H413"/>
      <c r="I413"/>
      <c r="J413"/>
    </row>
    <row r="414" spans="1:10" ht="15" customHeight="1" x14ac:dyDescent="0.15">
      <c r="A414"/>
      <c r="B414"/>
      <c r="C414"/>
      <c r="D414"/>
      <c r="E414"/>
      <c r="F414"/>
      <c r="G414"/>
      <c r="H414"/>
      <c r="I414"/>
      <c r="J414"/>
    </row>
    <row r="415" spans="1:10" ht="15" customHeight="1" x14ac:dyDescent="0.15">
      <c r="A415"/>
      <c r="B415"/>
      <c r="C415"/>
      <c r="D415"/>
      <c r="E415"/>
      <c r="F415"/>
      <c r="G415"/>
      <c r="H415"/>
      <c r="I415"/>
      <c r="J415"/>
    </row>
    <row r="416" spans="1:10" ht="15" customHeight="1" x14ac:dyDescent="0.15">
      <c r="A416"/>
      <c r="B416"/>
      <c r="C416"/>
      <c r="D416"/>
      <c r="E416"/>
      <c r="F416"/>
      <c r="G416"/>
      <c r="H416"/>
      <c r="I416"/>
      <c r="J416"/>
    </row>
    <row r="417" spans="1:10" ht="15" customHeight="1" x14ac:dyDescent="0.15">
      <c r="A417"/>
      <c r="B417"/>
      <c r="C417"/>
      <c r="D417"/>
      <c r="E417"/>
      <c r="F417"/>
      <c r="G417"/>
      <c r="H417"/>
      <c r="I417"/>
      <c r="J417"/>
    </row>
    <row r="418" spans="1:10" ht="15" customHeight="1" x14ac:dyDescent="0.15">
      <c r="A418"/>
      <c r="B418"/>
      <c r="C418"/>
      <c r="D418"/>
      <c r="E418"/>
      <c r="F418"/>
      <c r="G418"/>
      <c r="H418"/>
      <c r="I418"/>
      <c r="J418"/>
    </row>
    <row r="419" spans="1:10" ht="15" customHeight="1" x14ac:dyDescent="0.15">
      <c r="A419"/>
      <c r="B419"/>
      <c r="C419"/>
      <c r="D419"/>
      <c r="E419"/>
      <c r="F419"/>
      <c r="G419"/>
      <c r="H419"/>
      <c r="I419"/>
      <c r="J419"/>
    </row>
    <row r="420" spans="1:10" ht="15" customHeight="1" x14ac:dyDescent="0.15">
      <c r="A420"/>
      <c r="B420"/>
      <c r="C420"/>
      <c r="D420"/>
      <c r="E420"/>
      <c r="F420"/>
      <c r="G420"/>
      <c r="H420"/>
      <c r="I420"/>
      <c r="J420"/>
    </row>
    <row r="421" spans="1:10" ht="15" customHeight="1" x14ac:dyDescent="0.15">
      <c r="A421"/>
      <c r="B421"/>
      <c r="C421"/>
      <c r="D421"/>
      <c r="E421"/>
      <c r="F421"/>
      <c r="G421"/>
      <c r="H421"/>
      <c r="I421"/>
      <c r="J421"/>
    </row>
    <row r="422" spans="1:10" ht="15" customHeight="1" x14ac:dyDescent="0.15">
      <c r="A422"/>
      <c r="B422"/>
      <c r="C422"/>
      <c r="D422"/>
      <c r="E422"/>
      <c r="F422"/>
      <c r="G422"/>
      <c r="H422"/>
      <c r="I422"/>
      <c r="J422"/>
    </row>
    <row r="423" spans="1:10" ht="15" customHeight="1" x14ac:dyDescent="0.15">
      <c r="A423"/>
      <c r="B423"/>
      <c r="C423"/>
      <c r="D423"/>
      <c r="E423"/>
      <c r="F423"/>
      <c r="G423"/>
      <c r="H423"/>
      <c r="I423"/>
      <c r="J423"/>
    </row>
    <row r="424" spans="1:10" ht="15" customHeight="1" x14ac:dyDescent="0.15">
      <c r="A424"/>
      <c r="B424"/>
      <c r="C424"/>
      <c r="D424"/>
      <c r="E424"/>
      <c r="F424"/>
      <c r="G424"/>
      <c r="H424"/>
      <c r="I424"/>
      <c r="J424"/>
    </row>
    <row r="425" spans="1:10" ht="15" customHeight="1" x14ac:dyDescent="0.15">
      <c r="A425"/>
      <c r="B425"/>
      <c r="C425"/>
      <c r="D425"/>
      <c r="E425"/>
      <c r="F425"/>
      <c r="G425"/>
      <c r="H425"/>
      <c r="I425"/>
      <c r="J425"/>
    </row>
    <row r="426" spans="1:10" ht="15" customHeight="1" x14ac:dyDescent="0.15">
      <c r="A426"/>
      <c r="B426"/>
      <c r="C426"/>
      <c r="D426"/>
      <c r="E426"/>
      <c r="F426"/>
      <c r="G426"/>
      <c r="H426"/>
      <c r="I426"/>
      <c r="J426"/>
    </row>
    <row r="427" spans="1:10" ht="15" customHeight="1" x14ac:dyDescent="0.15">
      <c r="A427"/>
      <c r="B427"/>
      <c r="C427"/>
      <c r="D427"/>
      <c r="E427"/>
      <c r="F427"/>
      <c r="G427"/>
      <c r="H427"/>
      <c r="I427"/>
      <c r="J427"/>
    </row>
    <row r="428" spans="1:10" ht="15" customHeight="1" x14ac:dyDescent="0.15">
      <c r="A428"/>
      <c r="B428"/>
      <c r="C428"/>
      <c r="D428"/>
      <c r="E428"/>
      <c r="F428"/>
      <c r="G428"/>
      <c r="H428"/>
      <c r="I428"/>
      <c r="J428"/>
    </row>
    <row r="429" spans="1:10" ht="15" customHeight="1" x14ac:dyDescent="0.15">
      <c r="A429"/>
      <c r="B429"/>
      <c r="C429"/>
      <c r="D429"/>
      <c r="E429"/>
      <c r="F429"/>
      <c r="G429"/>
      <c r="H429"/>
      <c r="I429"/>
      <c r="J429"/>
    </row>
    <row r="430" spans="1:10" ht="15" customHeight="1" x14ac:dyDescent="0.15">
      <c r="A430"/>
      <c r="B430"/>
      <c r="C430"/>
      <c r="D430"/>
      <c r="E430"/>
      <c r="F430"/>
      <c r="G430"/>
      <c r="H430"/>
      <c r="I430"/>
      <c r="J430"/>
    </row>
    <row r="431" spans="1:10" ht="15" customHeight="1" x14ac:dyDescent="0.15">
      <c r="A431"/>
      <c r="B431"/>
      <c r="C431"/>
      <c r="D431"/>
      <c r="E431"/>
      <c r="F431"/>
      <c r="G431"/>
      <c r="H431"/>
      <c r="I431"/>
      <c r="J431"/>
    </row>
    <row r="432" spans="1:10" ht="15" customHeight="1" x14ac:dyDescent="0.15">
      <c r="A432"/>
      <c r="B432"/>
      <c r="C432"/>
      <c r="D432"/>
      <c r="E432"/>
      <c r="F432"/>
      <c r="G432"/>
      <c r="H432"/>
      <c r="I432"/>
      <c r="J432"/>
    </row>
    <row r="433" spans="1:10" ht="15" customHeight="1" x14ac:dyDescent="0.15">
      <c r="A433"/>
      <c r="B433"/>
      <c r="C433"/>
      <c r="D433"/>
      <c r="E433"/>
      <c r="F433"/>
      <c r="G433"/>
      <c r="H433"/>
      <c r="I433"/>
      <c r="J433"/>
    </row>
    <row r="434" spans="1:10" ht="15" customHeight="1" x14ac:dyDescent="0.15">
      <c r="A434"/>
      <c r="B434"/>
      <c r="C434"/>
      <c r="D434"/>
      <c r="E434"/>
      <c r="F434"/>
      <c r="G434"/>
      <c r="H434"/>
      <c r="I434"/>
      <c r="J434"/>
    </row>
    <row r="435" spans="1:10" ht="15" customHeight="1" x14ac:dyDescent="0.15">
      <c r="A435"/>
      <c r="B435"/>
      <c r="C435"/>
      <c r="D435"/>
      <c r="E435"/>
      <c r="F435"/>
      <c r="G435"/>
      <c r="H435"/>
      <c r="I435"/>
      <c r="J435"/>
    </row>
    <row r="436" spans="1:10" ht="15" customHeight="1" x14ac:dyDescent="0.15">
      <c r="A436"/>
      <c r="B436"/>
      <c r="C436"/>
      <c r="D436"/>
      <c r="E436"/>
      <c r="F436"/>
      <c r="G436"/>
      <c r="H436"/>
      <c r="I436"/>
      <c r="J436"/>
    </row>
    <row r="437" spans="1:10" ht="15" customHeight="1" x14ac:dyDescent="0.15">
      <c r="A437"/>
      <c r="B437"/>
      <c r="C437"/>
      <c r="D437"/>
      <c r="E437"/>
      <c r="F437"/>
      <c r="G437"/>
      <c r="H437"/>
      <c r="I437"/>
      <c r="J437"/>
    </row>
    <row r="438" spans="1:10" ht="15" customHeight="1" x14ac:dyDescent="0.15">
      <c r="A438"/>
      <c r="B438"/>
      <c r="C438"/>
      <c r="D438"/>
      <c r="E438"/>
      <c r="F438"/>
      <c r="G438"/>
      <c r="H438"/>
      <c r="I438"/>
      <c r="J438"/>
    </row>
    <row r="439" spans="1:10" ht="15" customHeight="1" x14ac:dyDescent="0.15">
      <c r="A439"/>
      <c r="B439"/>
      <c r="C439"/>
      <c r="D439"/>
      <c r="E439"/>
      <c r="F439"/>
      <c r="G439"/>
      <c r="H439"/>
      <c r="I439"/>
      <c r="J439"/>
    </row>
    <row r="440" spans="1:10" ht="15" customHeight="1" x14ac:dyDescent="0.15">
      <c r="A440"/>
      <c r="B440"/>
      <c r="C440"/>
      <c r="D440"/>
      <c r="E440"/>
      <c r="F440"/>
      <c r="G440"/>
      <c r="H440"/>
      <c r="I440"/>
      <c r="J440"/>
    </row>
    <row r="441" spans="1:10" ht="15" customHeight="1" x14ac:dyDescent="0.15">
      <c r="A441"/>
      <c r="B441"/>
      <c r="C441"/>
      <c r="D441"/>
      <c r="E441"/>
      <c r="F441"/>
      <c r="G441"/>
      <c r="H441"/>
      <c r="I441"/>
      <c r="J441"/>
    </row>
    <row r="442" spans="1:10" ht="15" customHeight="1" x14ac:dyDescent="0.15">
      <c r="A442"/>
      <c r="B442"/>
      <c r="C442"/>
      <c r="D442"/>
      <c r="E442"/>
      <c r="F442"/>
      <c r="G442"/>
      <c r="H442"/>
      <c r="I442"/>
      <c r="J442"/>
    </row>
    <row r="443" spans="1:10" ht="15" customHeight="1" x14ac:dyDescent="0.15">
      <c r="A443"/>
      <c r="B443"/>
      <c r="C443"/>
      <c r="D443"/>
      <c r="E443"/>
      <c r="F443"/>
      <c r="G443"/>
      <c r="H443"/>
      <c r="I443"/>
      <c r="J443"/>
    </row>
    <row r="444" spans="1:10" ht="15" customHeight="1" x14ac:dyDescent="0.15">
      <c r="A444"/>
      <c r="B444"/>
      <c r="C444"/>
      <c r="D444"/>
      <c r="E444"/>
      <c r="F444"/>
      <c r="G444"/>
      <c r="H444"/>
      <c r="I444"/>
      <c r="J444"/>
    </row>
    <row r="445" spans="1:10" ht="15" customHeight="1" x14ac:dyDescent="0.15">
      <c r="A445"/>
      <c r="B445"/>
      <c r="C445"/>
      <c r="D445"/>
      <c r="E445"/>
      <c r="F445"/>
      <c r="G445"/>
      <c r="H445"/>
      <c r="I445"/>
      <c r="J445"/>
    </row>
    <row r="446" spans="1:10" ht="15" customHeight="1" x14ac:dyDescent="0.15">
      <c r="A446"/>
      <c r="B446"/>
      <c r="C446"/>
      <c r="D446"/>
      <c r="E446"/>
      <c r="F446"/>
      <c r="G446"/>
      <c r="H446"/>
      <c r="I446"/>
      <c r="J446"/>
    </row>
    <row r="447" spans="1:10" ht="15" customHeight="1" x14ac:dyDescent="0.15">
      <c r="A447"/>
      <c r="B447"/>
      <c r="C447"/>
      <c r="D447"/>
      <c r="E447"/>
      <c r="F447"/>
      <c r="G447"/>
      <c r="H447"/>
      <c r="I447"/>
      <c r="J447"/>
    </row>
    <row r="448" spans="1:10" ht="15" customHeight="1" x14ac:dyDescent="0.15">
      <c r="A448"/>
      <c r="B448"/>
      <c r="C448"/>
      <c r="D448"/>
      <c r="E448"/>
      <c r="F448"/>
      <c r="G448"/>
      <c r="H448"/>
      <c r="I448"/>
      <c r="J448"/>
    </row>
    <row r="449" spans="1:10" ht="15" customHeight="1" x14ac:dyDescent="0.15">
      <c r="A449"/>
      <c r="B449"/>
      <c r="C449"/>
      <c r="D449"/>
      <c r="E449"/>
      <c r="F449"/>
      <c r="G449"/>
      <c r="H449"/>
      <c r="I449"/>
      <c r="J449"/>
    </row>
    <row r="450" spans="1:10" ht="15" customHeight="1" x14ac:dyDescent="0.15">
      <c r="A450"/>
      <c r="B450"/>
      <c r="C450"/>
      <c r="D450"/>
      <c r="E450"/>
      <c r="F450"/>
      <c r="G450"/>
      <c r="H450"/>
      <c r="I450"/>
      <c r="J450"/>
    </row>
    <row r="451" spans="1:10" ht="15" customHeight="1" x14ac:dyDescent="0.15">
      <c r="A451"/>
      <c r="B451"/>
      <c r="C451"/>
      <c r="D451"/>
      <c r="E451"/>
      <c r="F451"/>
      <c r="G451"/>
      <c r="H451"/>
      <c r="I451"/>
      <c r="J451"/>
    </row>
    <row r="452" spans="1:10" ht="15" customHeight="1" x14ac:dyDescent="0.15">
      <c r="A452"/>
      <c r="B452"/>
      <c r="C452"/>
      <c r="D452"/>
      <c r="E452"/>
      <c r="F452"/>
      <c r="G452"/>
      <c r="H452"/>
      <c r="I452"/>
      <c r="J452"/>
    </row>
    <row r="453" spans="1:10" ht="15" customHeight="1" x14ac:dyDescent="0.15">
      <c r="A453"/>
      <c r="B453"/>
      <c r="C453"/>
      <c r="D453"/>
      <c r="E453"/>
      <c r="F453"/>
      <c r="G453"/>
      <c r="H453"/>
      <c r="I453"/>
      <c r="J453"/>
    </row>
    <row r="454" spans="1:10" ht="15" customHeight="1" x14ac:dyDescent="0.15">
      <c r="A454"/>
      <c r="B454"/>
      <c r="C454"/>
      <c r="D454"/>
      <c r="E454"/>
      <c r="F454"/>
      <c r="G454"/>
      <c r="H454"/>
      <c r="I454"/>
      <c r="J454"/>
    </row>
    <row r="455" spans="1:10" ht="15" customHeight="1" x14ac:dyDescent="0.15">
      <c r="A455"/>
      <c r="B455"/>
      <c r="C455"/>
      <c r="D455"/>
      <c r="E455"/>
      <c r="F455"/>
      <c r="G455"/>
      <c r="H455"/>
      <c r="I455"/>
      <c r="J455"/>
    </row>
    <row r="456" spans="1:10" ht="15" customHeight="1" x14ac:dyDescent="0.15">
      <c r="A456"/>
      <c r="B456"/>
      <c r="C456"/>
      <c r="D456"/>
      <c r="E456"/>
      <c r="F456"/>
      <c r="G456"/>
      <c r="H456"/>
      <c r="I456"/>
      <c r="J456"/>
    </row>
    <row r="457" spans="1:10" ht="15" customHeight="1" x14ac:dyDescent="0.15">
      <c r="A457"/>
      <c r="B457"/>
      <c r="C457"/>
      <c r="D457"/>
      <c r="E457"/>
      <c r="F457"/>
      <c r="G457"/>
      <c r="H457"/>
      <c r="I457"/>
      <c r="J457"/>
    </row>
    <row r="458" spans="1:10" ht="15" customHeight="1" x14ac:dyDescent="0.15">
      <c r="A458"/>
      <c r="B458"/>
      <c r="C458"/>
      <c r="D458"/>
      <c r="E458"/>
      <c r="F458"/>
      <c r="G458"/>
      <c r="H458"/>
      <c r="I458"/>
      <c r="J458"/>
    </row>
    <row r="459" spans="1:10" ht="15" customHeight="1" x14ac:dyDescent="0.15">
      <c r="A459"/>
      <c r="B459"/>
      <c r="C459"/>
      <c r="D459"/>
      <c r="E459"/>
      <c r="F459"/>
      <c r="G459"/>
      <c r="H459"/>
      <c r="I459"/>
      <c r="J459"/>
    </row>
    <row r="460" spans="1:10" ht="15" customHeight="1" x14ac:dyDescent="0.15">
      <c r="A460"/>
      <c r="B460"/>
      <c r="C460"/>
      <c r="D460"/>
      <c r="E460"/>
      <c r="F460"/>
      <c r="G460"/>
      <c r="H460"/>
      <c r="I460"/>
      <c r="J460"/>
    </row>
    <row r="461" spans="1:10" ht="15" customHeight="1" x14ac:dyDescent="0.15">
      <c r="A461"/>
      <c r="B461"/>
      <c r="C461"/>
      <c r="D461"/>
      <c r="E461"/>
      <c r="F461"/>
      <c r="G461"/>
      <c r="H461"/>
      <c r="I461"/>
      <c r="J461"/>
    </row>
    <row r="462" spans="1:10" ht="15" customHeight="1" x14ac:dyDescent="0.15">
      <c r="A462"/>
      <c r="B462"/>
      <c r="C462"/>
      <c r="D462"/>
      <c r="E462"/>
      <c r="F462"/>
      <c r="G462"/>
      <c r="H462"/>
      <c r="I462"/>
      <c r="J462"/>
    </row>
    <row r="463" spans="1:10" ht="15" customHeight="1" x14ac:dyDescent="0.15">
      <c r="A463"/>
      <c r="B463"/>
      <c r="C463"/>
      <c r="D463"/>
      <c r="E463"/>
      <c r="F463"/>
      <c r="G463"/>
      <c r="H463"/>
      <c r="I463"/>
      <c r="J463"/>
    </row>
    <row r="464" spans="1:10" ht="15" customHeight="1" x14ac:dyDescent="0.15">
      <c r="A464"/>
      <c r="B464"/>
      <c r="C464"/>
      <c r="D464"/>
      <c r="E464"/>
      <c r="F464"/>
      <c r="G464"/>
      <c r="H464"/>
      <c r="I464"/>
      <c r="J464"/>
    </row>
    <row r="465" spans="1:10" ht="15" customHeight="1" x14ac:dyDescent="0.15">
      <c r="A465"/>
      <c r="B465"/>
      <c r="C465"/>
      <c r="D465"/>
      <c r="E465"/>
      <c r="F465"/>
      <c r="G465"/>
      <c r="H465"/>
      <c r="I465"/>
      <c r="J465"/>
    </row>
    <row r="466" spans="1:10" ht="15" customHeight="1" x14ac:dyDescent="0.15">
      <c r="A466"/>
      <c r="B466"/>
      <c r="C466"/>
      <c r="D466"/>
      <c r="E466"/>
      <c r="F466"/>
      <c r="G466"/>
      <c r="H466"/>
      <c r="I466"/>
      <c r="J466"/>
    </row>
    <row r="467" spans="1:10" ht="15" customHeight="1" x14ac:dyDescent="0.15">
      <c r="A467"/>
      <c r="B467"/>
      <c r="C467"/>
      <c r="D467"/>
      <c r="E467"/>
      <c r="F467"/>
      <c r="G467"/>
      <c r="H467"/>
      <c r="I467"/>
      <c r="J467"/>
    </row>
    <row r="468" spans="1:10" ht="15" customHeight="1" x14ac:dyDescent="0.15">
      <c r="A468"/>
      <c r="B468"/>
      <c r="C468"/>
      <c r="D468"/>
      <c r="E468"/>
      <c r="F468"/>
      <c r="G468"/>
      <c r="H468"/>
      <c r="I468"/>
      <c r="J468"/>
    </row>
    <row r="469" spans="1:10" ht="15" customHeight="1" x14ac:dyDescent="0.15">
      <c r="A469"/>
      <c r="B469"/>
      <c r="C469"/>
      <c r="D469"/>
      <c r="E469"/>
      <c r="F469"/>
      <c r="G469"/>
      <c r="H469"/>
      <c r="I469"/>
      <c r="J469"/>
    </row>
    <row r="470" spans="1:10" ht="15" customHeight="1" x14ac:dyDescent="0.15">
      <c r="A470"/>
      <c r="B470"/>
      <c r="C470"/>
      <c r="D470"/>
      <c r="E470"/>
      <c r="F470"/>
      <c r="G470"/>
      <c r="H470"/>
      <c r="I470"/>
      <c r="J470"/>
    </row>
    <row r="471" spans="1:10" ht="15" customHeight="1" x14ac:dyDescent="0.15">
      <c r="A471"/>
      <c r="B471"/>
      <c r="C471"/>
      <c r="D471"/>
      <c r="E471"/>
      <c r="F471"/>
      <c r="G471"/>
      <c r="H471"/>
      <c r="I471"/>
      <c r="J471"/>
    </row>
    <row r="472" spans="1:10" ht="15" customHeight="1" x14ac:dyDescent="0.15">
      <c r="A472"/>
      <c r="B472"/>
      <c r="C472"/>
      <c r="D472"/>
      <c r="E472"/>
      <c r="F472"/>
      <c r="G472"/>
      <c r="H472"/>
      <c r="I472"/>
      <c r="J472"/>
    </row>
    <row r="473" spans="1:10" ht="15" customHeight="1" x14ac:dyDescent="0.15">
      <c r="A473"/>
      <c r="B473"/>
      <c r="C473"/>
      <c r="D473"/>
      <c r="E473"/>
      <c r="F473"/>
      <c r="G473"/>
      <c r="H473"/>
      <c r="I473"/>
      <c r="J473"/>
    </row>
    <row r="474" spans="1:10" ht="15" customHeight="1" x14ac:dyDescent="0.15">
      <c r="A474"/>
      <c r="B474"/>
      <c r="C474"/>
      <c r="D474"/>
      <c r="E474"/>
      <c r="F474"/>
      <c r="G474"/>
      <c r="H474"/>
      <c r="I474"/>
      <c r="J474"/>
    </row>
    <row r="475" spans="1:10" ht="15" customHeight="1" x14ac:dyDescent="0.15">
      <c r="A475"/>
      <c r="B475"/>
      <c r="C475"/>
      <c r="D475"/>
      <c r="E475"/>
      <c r="F475"/>
      <c r="G475"/>
      <c r="H475"/>
      <c r="I475"/>
      <c r="J475"/>
    </row>
    <row r="476" spans="1:10" ht="15" customHeight="1" x14ac:dyDescent="0.15">
      <c r="A476"/>
      <c r="B476"/>
      <c r="C476"/>
      <c r="D476"/>
      <c r="E476"/>
      <c r="F476"/>
      <c r="G476"/>
      <c r="H476"/>
      <c r="I476"/>
      <c r="J476"/>
    </row>
    <row r="477" spans="1:10" ht="15" customHeight="1" x14ac:dyDescent="0.15">
      <c r="A477"/>
      <c r="B477"/>
      <c r="C477"/>
      <c r="D477"/>
      <c r="E477"/>
      <c r="F477"/>
      <c r="G477"/>
      <c r="H477"/>
      <c r="I477"/>
      <c r="J477"/>
    </row>
    <row r="478" spans="1:10" ht="15" customHeight="1" x14ac:dyDescent="0.15">
      <c r="A478"/>
      <c r="B478"/>
      <c r="C478"/>
      <c r="D478"/>
      <c r="E478"/>
      <c r="F478"/>
      <c r="G478"/>
      <c r="H478"/>
      <c r="I478"/>
      <c r="J478"/>
    </row>
    <row r="479" spans="1:10" ht="15" customHeight="1" x14ac:dyDescent="0.15">
      <c r="A479"/>
      <c r="B479"/>
      <c r="C479"/>
      <c r="D479"/>
      <c r="E479"/>
      <c r="F479"/>
      <c r="G479"/>
      <c r="H479"/>
      <c r="I479"/>
      <c r="J479"/>
    </row>
    <row r="480" spans="1:10" ht="15" customHeight="1" x14ac:dyDescent="0.15">
      <c r="A480"/>
      <c r="B480"/>
      <c r="C480"/>
      <c r="D480"/>
      <c r="E480"/>
      <c r="F480"/>
      <c r="G480"/>
      <c r="H480"/>
      <c r="I480"/>
      <c r="J480"/>
    </row>
    <row r="481" spans="1:10" ht="15" customHeight="1" x14ac:dyDescent="0.15">
      <c r="A481"/>
      <c r="B481"/>
      <c r="C481"/>
      <c r="D481"/>
      <c r="E481"/>
      <c r="F481"/>
      <c r="G481"/>
      <c r="H481"/>
      <c r="I481"/>
      <c r="J481"/>
    </row>
    <row r="482" spans="1:10" ht="15" customHeight="1" x14ac:dyDescent="0.15">
      <c r="A482"/>
      <c r="B482"/>
      <c r="C482"/>
      <c r="D482"/>
      <c r="E482"/>
      <c r="F482"/>
      <c r="G482"/>
      <c r="H482"/>
      <c r="I482"/>
      <c r="J482"/>
    </row>
    <row r="483" spans="1:10" ht="15" customHeight="1" x14ac:dyDescent="0.15">
      <c r="A483"/>
      <c r="B483"/>
      <c r="C483"/>
      <c r="D483"/>
      <c r="E483"/>
      <c r="F483"/>
      <c r="G483"/>
      <c r="H483"/>
      <c r="I483"/>
      <c r="J483"/>
    </row>
    <row r="484" spans="1:10" ht="15" customHeight="1" x14ac:dyDescent="0.15">
      <c r="A484"/>
      <c r="B484"/>
      <c r="C484"/>
      <c r="D484"/>
      <c r="E484"/>
      <c r="F484"/>
      <c r="G484"/>
      <c r="H484"/>
      <c r="I484"/>
      <c r="J484"/>
    </row>
    <row r="485" spans="1:10" ht="15" customHeight="1" x14ac:dyDescent="0.15">
      <c r="A485"/>
      <c r="B485"/>
      <c r="C485"/>
      <c r="D485"/>
      <c r="E485"/>
      <c r="F485"/>
      <c r="G485"/>
      <c r="H485"/>
      <c r="I485"/>
      <c r="J485"/>
    </row>
    <row r="486" spans="1:10" ht="15" customHeight="1" x14ac:dyDescent="0.15">
      <c r="A486"/>
      <c r="B486"/>
      <c r="C486"/>
      <c r="D486"/>
      <c r="E486"/>
      <c r="F486"/>
      <c r="G486"/>
      <c r="H486"/>
      <c r="I486"/>
      <c r="J486"/>
    </row>
    <row r="487" spans="1:10" ht="15" customHeight="1" x14ac:dyDescent="0.15">
      <c r="A487"/>
      <c r="B487"/>
      <c r="C487"/>
      <c r="D487"/>
      <c r="E487"/>
      <c r="F487"/>
      <c r="G487"/>
      <c r="H487"/>
      <c r="I487"/>
      <c r="J487"/>
    </row>
    <row r="488" spans="1:10" ht="15" customHeight="1" x14ac:dyDescent="0.15">
      <c r="A488"/>
      <c r="B488"/>
      <c r="C488"/>
      <c r="D488"/>
      <c r="E488"/>
      <c r="F488"/>
      <c r="G488"/>
      <c r="H488"/>
      <c r="I488"/>
      <c r="J488"/>
    </row>
    <row r="489" spans="1:10" ht="15" customHeight="1" x14ac:dyDescent="0.15">
      <c r="A489"/>
      <c r="B489"/>
      <c r="C489"/>
      <c r="D489"/>
      <c r="E489"/>
      <c r="F489"/>
      <c r="G489"/>
      <c r="H489"/>
      <c r="I489"/>
      <c r="J489"/>
    </row>
    <row r="490" spans="1:10" ht="15" customHeight="1" x14ac:dyDescent="0.15">
      <c r="A490"/>
      <c r="B490"/>
      <c r="C490"/>
      <c r="D490"/>
      <c r="E490"/>
      <c r="F490"/>
      <c r="G490"/>
      <c r="H490"/>
      <c r="I490"/>
      <c r="J490"/>
    </row>
    <row r="491" spans="1:10" ht="15" customHeight="1" x14ac:dyDescent="0.15">
      <c r="A491"/>
      <c r="B491"/>
      <c r="C491"/>
      <c r="D491"/>
      <c r="E491"/>
      <c r="F491"/>
      <c r="G491"/>
      <c r="H491"/>
      <c r="I491"/>
      <c r="J491"/>
    </row>
    <row r="492" spans="1:10" ht="15" customHeight="1" x14ac:dyDescent="0.15">
      <c r="A492"/>
      <c r="B492"/>
      <c r="C492"/>
      <c r="D492"/>
      <c r="E492"/>
      <c r="F492"/>
      <c r="G492"/>
      <c r="H492"/>
      <c r="I492"/>
      <c r="J492"/>
    </row>
    <row r="493" spans="1:10" ht="15" customHeight="1" x14ac:dyDescent="0.15">
      <c r="A493"/>
      <c r="B493"/>
      <c r="C493"/>
      <c r="D493"/>
      <c r="E493"/>
      <c r="F493"/>
      <c r="G493"/>
      <c r="H493"/>
      <c r="I493"/>
      <c r="J493"/>
    </row>
    <row r="494" spans="1:10" ht="15" customHeight="1" x14ac:dyDescent="0.15">
      <c r="A494"/>
      <c r="B494"/>
      <c r="C494"/>
      <c r="D494"/>
      <c r="E494"/>
      <c r="F494"/>
      <c r="G494"/>
      <c r="H494"/>
      <c r="I494"/>
      <c r="J494"/>
    </row>
    <row r="495" spans="1:10" ht="15" customHeight="1" x14ac:dyDescent="0.15">
      <c r="A495"/>
      <c r="B495"/>
      <c r="C495"/>
      <c r="D495"/>
      <c r="E495"/>
      <c r="F495"/>
      <c r="G495"/>
      <c r="H495"/>
      <c r="I495"/>
      <c r="J495"/>
    </row>
    <row r="496" spans="1:10" ht="15" customHeight="1" x14ac:dyDescent="0.15">
      <c r="A496"/>
      <c r="B496"/>
      <c r="C496"/>
      <c r="D496"/>
      <c r="E496"/>
      <c r="F496"/>
      <c r="G496"/>
      <c r="H496"/>
      <c r="I496"/>
      <c r="J496"/>
    </row>
    <row r="497" spans="1:10" ht="15" customHeight="1" x14ac:dyDescent="0.15">
      <c r="A497"/>
      <c r="B497"/>
      <c r="C497"/>
      <c r="D497"/>
      <c r="E497"/>
      <c r="F497"/>
      <c r="G497"/>
      <c r="H497"/>
      <c r="I497"/>
      <c r="J497"/>
    </row>
    <row r="498" spans="1:10" ht="15" customHeight="1" x14ac:dyDescent="0.15">
      <c r="A498"/>
      <c r="B498"/>
      <c r="C498"/>
      <c r="D498"/>
      <c r="E498"/>
      <c r="F498"/>
      <c r="G498"/>
      <c r="H498"/>
      <c r="I498"/>
      <c r="J498"/>
    </row>
    <row r="499" spans="1:10" ht="15" customHeight="1" x14ac:dyDescent="0.15">
      <c r="A499"/>
      <c r="B499"/>
      <c r="C499"/>
      <c r="D499"/>
      <c r="E499"/>
      <c r="F499"/>
      <c r="G499"/>
      <c r="H499"/>
      <c r="I499"/>
      <c r="J499"/>
    </row>
    <row r="500" spans="1:10" ht="15" customHeight="1" x14ac:dyDescent="0.15">
      <c r="A500"/>
      <c r="B500"/>
      <c r="C500"/>
      <c r="D500"/>
      <c r="E500"/>
      <c r="F500"/>
      <c r="G500"/>
      <c r="H500"/>
      <c r="I500"/>
      <c r="J500"/>
    </row>
  </sheetData>
  <dataConsolidate/>
  <phoneticPr fontId="2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indexed="15"/>
  </sheetPr>
  <dimension ref="A1:HA500"/>
  <sheetViews>
    <sheetView zoomScale="125" zoomScaleNormal="125" zoomScalePageLayoutView="12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X21" sqref="AX21"/>
    </sheetView>
  </sheetViews>
  <sheetFormatPr baseColWidth="10" defaultColWidth="8.83203125" defaultRowHeight="15" customHeight="1" x14ac:dyDescent="0.15"/>
  <cols>
    <col min="1" max="1" width="40.33203125" style="81" bestFit="1" customWidth="1"/>
    <col min="2" max="4" width="9.5" style="81" bestFit="1" customWidth="1"/>
    <col min="5" max="7" width="9" style="81" bestFit="1" customWidth="1"/>
    <col min="8" max="16" width="12.6640625" style="81" bestFit="1" customWidth="1"/>
    <col min="17" max="17" width="12.33203125" style="81" bestFit="1" customWidth="1"/>
    <col min="18" max="18" width="8.83203125" style="81"/>
    <col min="19" max="21" width="9.33203125" style="81" bestFit="1" customWidth="1"/>
    <col min="22" max="23" width="8.83203125" style="81"/>
    <col min="24" max="24" width="9.33203125" style="81" bestFit="1" customWidth="1"/>
    <col min="25" max="27" width="8.83203125" style="81"/>
    <col min="28" max="58" width="9" style="81" bestFit="1" customWidth="1"/>
    <col min="59" max="59" width="12.33203125" style="81" bestFit="1" customWidth="1"/>
    <col min="60" max="60" width="9" style="81" bestFit="1" customWidth="1"/>
    <col min="61" max="61" width="11.33203125" style="81" bestFit="1" customWidth="1"/>
    <col min="62" max="77" width="9" style="81" bestFit="1" customWidth="1"/>
    <col min="78" max="78" width="12.33203125" style="81" bestFit="1" customWidth="1"/>
    <col min="79" max="79" width="9" style="81" bestFit="1" customWidth="1"/>
    <col min="80" max="80" width="12.33203125" style="81" bestFit="1" customWidth="1"/>
    <col min="81" max="107" width="9" style="81" bestFit="1" customWidth="1"/>
    <col min="108" max="108" width="11.33203125" style="81" bestFit="1" customWidth="1"/>
    <col min="109" max="124" width="9" style="81" bestFit="1" customWidth="1"/>
    <col min="125" max="125" width="10.33203125" style="81" bestFit="1" customWidth="1"/>
    <col min="126" max="129" width="9.33203125" style="81" bestFit="1" customWidth="1"/>
    <col min="130" max="130" width="9" style="81" bestFit="1" customWidth="1"/>
    <col min="131" max="134" width="9.33203125" style="81" bestFit="1" customWidth="1"/>
    <col min="135" max="165" width="9" style="81" bestFit="1" customWidth="1"/>
    <col min="166" max="166" width="12.33203125" style="81" bestFit="1" customWidth="1"/>
    <col min="167" max="170" width="9" style="81" bestFit="1" customWidth="1"/>
    <col min="171" max="176" width="8.83203125" style="81"/>
    <col min="177" max="177" width="13.83203125" style="81" bestFit="1" customWidth="1"/>
    <col min="178" max="16384" width="8.83203125" style="81"/>
  </cols>
  <sheetData>
    <row r="1" spans="1:209" ht="15" customHeight="1" x14ac:dyDescent="0.15">
      <c r="A1" t="s">
        <v>15</v>
      </c>
      <c r="B1" t="s">
        <v>1</v>
      </c>
      <c r="C1" t="s">
        <v>16</v>
      </c>
      <c r="D1" t="s">
        <v>229</v>
      </c>
      <c r="E1" t="s">
        <v>192</v>
      </c>
      <c r="F1" t="s">
        <v>193</v>
      </c>
      <c r="G1" t="s">
        <v>194</v>
      </c>
      <c r="H1" t="s">
        <v>195</v>
      </c>
      <c r="I1" t="s">
        <v>196</v>
      </c>
      <c r="J1" t="s">
        <v>197</v>
      </c>
      <c r="K1" t="s">
        <v>198</v>
      </c>
      <c r="L1" t="s">
        <v>199</v>
      </c>
      <c r="M1" t="s">
        <v>200</v>
      </c>
      <c r="N1" t="s">
        <v>201</v>
      </c>
      <c r="O1" t="s">
        <v>202</v>
      </c>
      <c r="P1" t="s">
        <v>203</v>
      </c>
      <c r="Q1" t="s">
        <v>204</v>
      </c>
      <c r="R1" t="s">
        <v>205</v>
      </c>
      <c r="S1" t="s">
        <v>206</v>
      </c>
      <c r="T1" t="s">
        <v>207</v>
      </c>
      <c r="U1" t="s">
        <v>208</v>
      </c>
      <c r="V1" t="s">
        <v>209</v>
      </c>
      <c r="W1" t="s">
        <v>210</v>
      </c>
      <c r="X1" t="s">
        <v>211</v>
      </c>
      <c r="Y1" t="s">
        <v>212</v>
      </c>
      <c r="Z1" t="s">
        <v>213</v>
      </c>
      <c r="AA1" t="s">
        <v>214</v>
      </c>
      <c r="AB1" t="s">
        <v>215</v>
      </c>
      <c r="AC1" t="s">
        <v>216</v>
      </c>
      <c r="AD1" t="s">
        <v>217</v>
      </c>
      <c r="AE1" t="s">
        <v>218</v>
      </c>
      <c r="AF1" t="s">
        <v>219</v>
      </c>
      <c r="AG1" t="s">
        <v>220</v>
      </c>
      <c r="AH1" t="s">
        <v>221</v>
      </c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</row>
    <row r="2" spans="1:209" ht="15" customHeight="1" x14ac:dyDescent="0.15">
      <c r="A2" t="s">
        <v>192</v>
      </c>
      <c r="B2">
        <v>0.10000000149011612</v>
      </c>
      <c r="C2">
        <v>0.10000000149011612</v>
      </c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</row>
    <row r="3" spans="1:209" ht="15" customHeight="1" x14ac:dyDescent="0.15">
      <c r="A3" t="s">
        <v>193</v>
      </c>
      <c r="B3">
        <v>0.10199999809265137</v>
      </c>
      <c r="C3">
        <v>9.7157783806324005E-2</v>
      </c>
      <c r="D3" s="28">
        <v>4.8422175459563732E-3</v>
      </c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</row>
    <row r="4" spans="1:209" ht="15" customHeight="1" x14ac:dyDescent="0.15">
      <c r="A4" t="s">
        <v>194</v>
      </c>
      <c r="B4">
        <v>0.10899999737739563</v>
      </c>
      <c r="C4">
        <v>0.10372337698936462</v>
      </c>
      <c r="D4" s="205">
        <v>5.2766194567084312E-3</v>
      </c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</row>
    <row r="5" spans="1:209" ht="15" customHeight="1" x14ac:dyDescent="0.15">
      <c r="A5" t="s">
        <v>195</v>
      </c>
      <c r="B5">
        <v>0.25</v>
      </c>
      <c r="C5">
        <v>0.1666666567325592</v>
      </c>
      <c r="D5" s="206">
        <v>8.3333335816860199E-2</v>
      </c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</row>
    <row r="6" spans="1:209" ht="15" customHeight="1" x14ac:dyDescent="0.15">
      <c r="A6" t="s">
        <v>196</v>
      </c>
      <c r="B6">
        <v>0.65100002288818359</v>
      </c>
      <c r="C6">
        <v>0.33719569444656372</v>
      </c>
      <c r="D6" s="207">
        <v>0.27034232020378113</v>
      </c>
      <c r="E6"/>
      <c r="F6" s="221">
        <v>2.1817710250616074E-2</v>
      </c>
      <c r="G6" s="221">
        <v>2.164427749812603E-2</v>
      </c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</row>
    <row r="7" spans="1:209" ht="15" customHeight="1" x14ac:dyDescent="0.15">
      <c r="A7" t="s">
        <v>197</v>
      </c>
      <c r="B7">
        <v>1.184999942779541</v>
      </c>
      <c r="C7">
        <v>8.2628048956394196E-2</v>
      </c>
      <c r="D7" s="11">
        <v>9.3713497335556895E-6</v>
      </c>
      <c r="E7" s="142">
        <v>3.4034602344036102E-2</v>
      </c>
      <c r="F7" s="239">
        <v>0.40437307953834534</v>
      </c>
      <c r="G7"/>
      <c r="H7" s="22">
        <v>9.0495878830552101E-3</v>
      </c>
      <c r="I7" s="232">
        <v>0.2342408299446106</v>
      </c>
      <c r="J7" s="27">
        <v>4.2563114315271378E-2</v>
      </c>
      <c r="K7" s="225">
        <v>0.14494335651397705</v>
      </c>
      <c r="L7" s="74">
        <v>9.2516064643859863E-2</v>
      </c>
      <c r="M7" s="11">
        <v>8.373039891012013E-4</v>
      </c>
      <c r="N7"/>
      <c r="O7"/>
      <c r="P7" s="69">
        <v>5.9581965208053589E-2</v>
      </c>
      <c r="Q7" s="16">
        <v>1.910608634352684E-2</v>
      </c>
      <c r="R7" s="23">
        <v>5.9371744282543659E-3</v>
      </c>
      <c r="S7"/>
      <c r="T7"/>
      <c r="U7"/>
      <c r="V7"/>
      <c r="W7" s="11">
        <v>4.4329010415822268E-4</v>
      </c>
      <c r="X7" s="28">
        <v>5.4735951125621796E-2</v>
      </c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</row>
    <row r="8" spans="1:209" ht="15" customHeight="1" x14ac:dyDescent="0.15">
      <c r="A8" t="s">
        <v>198</v>
      </c>
      <c r="B8">
        <v>0.29600000381469727</v>
      </c>
      <c r="C8">
        <v>6.7307241261005402E-2</v>
      </c>
      <c r="D8" s="208">
        <v>0.10143616050481796</v>
      </c>
      <c r="E8"/>
      <c r="F8" s="223">
        <v>7.3642276227474213E-2</v>
      </c>
      <c r="G8" s="219">
        <v>5.361432209610939E-2</v>
      </c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spans="1:209" ht="15" customHeight="1" x14ac:dyDescent="0.15">
      <c r="A9" t="s">
        <v>199</v>
      </c>
      <c r="B9">
        <v>0.97200000286102295</v>
      </c>
      <c r="C9">
        <v>8.2223117351531982E-2</v>
      </c>
      <c r="D9" s="14">
        <v>1.2530050007626414E-3</v>
      </c>
      <c r="E9"/>
      <c r="F9" s="250">
        <v>0.41522526741027832</v>
      </c>
      <c r="G9" s="245">
        <v>0.2487788200378418</v>
      </c>
      <c r="H9"/>
      <c r="I9" s="69">
        <v>4.8927724361419678E-2</v>
      </c>
      <c r="J9" s="23">
        <v>5.4431594908237457E-3</v>
      </c>
      <c r="K9" s="210">
        <v>0.10841119289398193</v>
      </c>
      <c r="L9" s="24">
        <v>2.5857632979750633E-2</v>
      </c>
      <c r="M9" s="24">
        <v>2.5776958093047142E-2</v>
      </c>
      <c r="N9" s="15">
        <v>9.5698358491063118E-3</v>
      </c>
      <c r="O9"/>
      <c r="P9" s="11">
        <v>5.3337251301854849E-4</v>
      </c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spans="1:209" ht="15" customHeight="1" x14ac:dyDescent="0.15">
      <c r="A10" t="s">
        <v>200</v>
      </c>
      <c r="B10">
        <v>0.53799998760223389</v>
      </c>
      <c r="C10">
        <v>0.45951974391937256</v>
      </c>
      <c r="D10" s="209">
        <v>7.4095390737056732E-2</v>
      </c>
      <c r="E10"/>
      <c r="F10" s="22">
        <v>4.3848487548530102E-3</v>
      </c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spans="1:209" ht="15" customHeight="1" x14ac:dyDescent="0.15">
      <c r="A11" t="s">
        <v>201</v>
      </c>
      <c r="B11">
        <v>0.625</v>
      </c>
      <c r="C11">
        <v>0.39504170417785645</v>
      </c>
      <c r="D11" s="13">
        <v>2.2846190258860588E-2</v>
      </c>
      <c r="E11"/>
      <c r="F11" s="231">
        <v>9.8913408815860748E-2</v>
      </c>
      <c r="G11"/>
      <c r="H11"/>
      <c r="I11" s="227">
        <v>8.4036238491535187E-2</v>
      </c>
      <c r="J11" s="14">
        <v>8.750779670663178E-4</v>
      </c>
      <c r="K11" s="14">
        <v>8.8925415184348822E-4</v>
      </c>
      <c r="L11"/>
      <c r="M11" s="12">
        <v>2.9169183690100908E-3</v>
      </c>
      <c r="N11" s="24">
        <v>1.681031845510006E-2</v>
      </c>
      <c r="O11"/>
      <c r="P11" s="11">
        <v>5.829718429595232E-4</v>
      </c>
      <c r="Q11"/>
      <c r="R11" s="12">
        <v>2.0879323128610849E-3</v>
      </c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spans="1:209" ht="15" customHeight="1" x14ac:dyDescent="0.15">
      <c r="A12" t="s">
        <v>202</v>
      </c>
      <c r="B12">
        <v>0.35100001096725464</v>
      </c>
      <c r="C12">
        <v>1.755000464618206E-2</v>
      </c>
      <c r="D12" s="210">
        <v>3.9555974304676056E-2</v>
      </c>
      <c r="E12"/>
      <c r="F12" s="222">
        <v>6.5980382263660431E-2</v>
      </c>
      <c r="G12" s="234">
        <v>0.21305851638317108</v>
      </c>
      <c r="H12"/>
      <c r="I12" s="18">
        <v>4.0910271927714348E-3</v>
      </c>
      <c r="J12" s="11">
        <v>4.9795248742157128E-6</v>
      </c>
      <c r="K12" s="15">
        <v>3.6681198980659246E-3</v>
      </c>
      <c r="L12"/>
      <c r="M12" s="14">
        <v>4.8017865628935397E-4</v>
      </c>
      <c r="N12"/>
      <c r="O12"/>
      <c r="P12" s="21">
        <v>6.6108349710702896E-3</v>
      </c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spans="1:209" ht="15" customHeight="1" x14ac:dyDescent="0.15">
      <c r="A13" t="s">
        <v>203</v>
      </c>
      <c r="B13">
        <v>0.30500000715255737</v>
      </c>
      <c r="C13">
        <v>0.20595507323741913</v>
      </c>
      <c r="D13" s="211">
        <v>9.1083072125911713E-2</v>
      </c>
      <c r="E13"/>
      <c r="F13"/>
      <c r="G13"/>
      <c r="H13"/>
      <c r="I13" s="14">
        <v>3.4233482438139617E-4</v>
      </c>
      <c r="J13"/>
      <c r="K13" s="17">
        <v>4.4645331799983978E-3</v>
      </c>
      <c r="L13"/>
      <c r="M13"/>
      <c r="N13"/>
      <c r="O13"/>
      <c r="P13"/>
      <c r="Q13"/>
      <c r="R13" s="15">
        <v>3.1549828127026558E-3</v>
      </c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spans="1:209" ht="15" customHeight="1" x14ac:dyDescent="0.15">
      <c r="A14" t="s">
        <v>204</v>
      </c>
      <c r="B14">
        <v>0.30300000309944153</v>
      </c>
      <c r="C14">
        <v>1.515000406652689E-2</v>
      </c>
      <c r="D14" s="212">
        <v>7.3239326477050781E-2</v>
      </c>
      <c r="E14"/>
      <c r="F14" s="65">
        <v>1.2449780479073524E-2</v>
      </c>
      <c r="G14" s="63">
        <v>1.6919286921620369E-2</v>
      </c>
      <c r="H14"/>
      <c r="I14" s="224">
        <v>2.9424021020531654E-2</v>
      </c>
      <c r="J14" s="11">
        <v>8.2542566815391183E-5</v>
      </c>
      <c r="K14" s="244">
        <v>0.10240155458450317</v>
      </c>
      <c r="L14" s="11">
        <v>6.0540227423189208E-5</v>
      </c>
      <c r="M14"/>
      <c r="N14" s="23">
        <v>1.9183603581041098E-3</v>
      </c>
      <c r="O14"/>
      <c r="P14" s="71">
        <v>2.1455153822898865E-2</v>
      </c>
      <c r="Q14" s="28">
        <v>1.39999995008111E-2</v>
      </c>
      <c r="R14" s="220">
        <v>1.5806641429662704E-2</v>
      </c>
      <c r="S14"/>
      <c r="T14"/>
      <c r="U14"/>
      <c r="V14"/>
      <c r="W14" s="11">
        <v>9.2806054453831166E-5</v>
      </c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spans="1:209" ht="15" customHeight="1" x14ac:dyDescent="0.15">
      <c r="A15" t="s">
        <v>205</v>
      </c>
      <c r="B15">
        <v>0.23499999940395355</v>
      </c>
      <c r="C15">
        <v>0.19428640604019165</v>
      </c>
      <c r="D15" s="213">
        <v>2.7856657281517982E-2</v>
      </c>
      <c r="E15" s="63">
        <v>1.2856935150921345E-2</v>
      </c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spans="1:209" ht="15" customHeight="1" x14ac:dyDescent="0.15">
      <c r="A16" t="s">
        <v>206</v>
      </c>
      <c r="B16">
        <v>0.40000000596046448</v>
      </c>
      <c r="C16">
        <v>2.0000005140900612E-2</v>
      </c>
      <c r="D16"/>
      <c r="E16" s="16">
        <v>5.9373639523983002E-3</v>
      </c>
      <c r="F16" s="246">
        <v>9.1827213764190674E-2</v>
      </c>
      <c r="G16" s="230">
        <v>3.251241147518158E-2</v>
      </c>
      <c r="H16" s="18">
        <v>4.7571742907166481E-3</v>
      </c>
      <c r="I16" s="144">
        <v>0.10004747658967972</v>
      </c>
      <c r="J16" s="143">
        <v>2.3972688242793083E-2</v>
      </c>
      <c r="K16" s="106">
        <v>2.6915928348898888E-2</v>
      </c>
      <c r="L16" s="221">
        <v>1.3149826787412167E-2</v>
      </c>
      <c r="M16" s="21">
        <v>7.8207831829786301E-3</v>
      </c>
      <c r="N16" s="24">
        <v>1.1289468035101891E-2</v>
      </c>
      <c r="O16" s="26">
        <v>1.018572598695755E-2</v>
      </c>
      <c r="P16" s="63">
        <v>2.1728925406932831E-2</v>
      </c>
      <c r="Q16" s="12">
        <v>1.5693217283114791E-3</v>
      </c>
      <c r="R16" s="11">
        <v>2.99543869914487E-4</v>
      </c>
      <c r="S16" s="106">
        <v>2.6666663587093353E-2</v>
      </c>
      <c r="T16"/>
      <c r="U16"/>
      <c r="V16"/>
      <c r="W16" s="12">
        <v>1.2743721017614007E-3</v>
      </c>
      <c r="X16" s="11">
        <v>4.5091328502167016E-5</v>
      </c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spans="1:209" ht="15" customHeight="1" x14ac:dyDescent="0.15">
      <c r="A17" t="s">
        <v>207</v>
      </c>
      <c r="B17">
        <v>1.1449999809265137</v>
      </c>
      <c r="C17">
        <v>5.7250011712312698E-2</v>
      </c>
      <c r="D17" s="15">
        <v>1.0497839190065861E-2</v>
      </c>
      <c r="E17" s="69">
        <v>5.8039799332618713E-2</v>
      </c>
      <c r="F17" s="256">
        <v>8.5558995604515076E-2</v>
      </c>
      <c r="G17" s="11">
        <v>2.9754950082860887E-4</v>
      </c>
      <c r="H17" s="26">
        <v>2.8571188449859619E-2</v>
      </c>
      <c r="I17" s="261">
        <v>0.24052679538726807</v>
      </c>
      <c r="J17" s="69">
        <v>5.8962415903806686E-2</v>
      </c>
      <c r="K17" s="17">
        <v>1.6464827582240105E-2</v>
      </c>
      <c r="L17" s="260">
        <v>0.19916379451751709</v>
      </c>
      <c r="M17" s="13">
        <v>4.3599832803010941E-2</v>
      </c>
      <c r="N17" s="106">
        <v>7.5664520263671875E-2</v>
      </c>
      <c r="O17" s="11">
        <v>3.9950775681063533E-4</v>
      </c>
      <c r="P17" s="14">
        <v>3.0366515275090933E-3</v>
      </c>
      <c r="Q17" s="14">
        <v>1.8311848398298025E-3</v>
      </c>
      <c r="R17" s="14">
        <v>1.8978157313540578E-3</v>
      </c>
      <c r="S17" s="23">
        <v>7.3214978910982609E-3</v>
      </c>
      <c r="T17" s="13">
        <v>4.3000001460313797E-2</v>
      </c>
      <c r="U17"/>
      <c r="V17" s="64">
        <v>2.5061037391424179E-2</v>
      </c>
      <c r="W17" s="11">
        <v>7.2476553032174706E-4</v>
      </c>
      <c r="X17" s="259">
        <v>0.18712997436523438</v>
      </c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</row>
    <row r="18" spans="1:209" ht="15" customHeight="1" x14ac:dyDescent="0.15">
      <c r="A18" t="s">
        <v>208</v>
      </c>
      <c r="B18">
        <v>1.1499999761581421</v>
      </c>
      <c r="C18">
        <v>5.7500079274177551E-2</v>
      </c>
      <c r="D18"/>
      <c r="E18" s="69">
        <v>5.7863019406795502E-2</v>
      </c>
      <c r="F18" s="251">
        <v>0.23818190395832062</v>
      </c>
      <c r="G18"/>
      <c r="H18" s="16">
        <v>1.9077025353908539E-2</v>
      </c>
      <c r="I18" s="213">
        <v>0.13496993482112885</v>
      </c>
      <c r="J18" s="27">
        <v>3.9735518395900726E-2</v>
      </c>
      <c r="K18"/>
      <c r="L18" s="11">
        <v>4.4865132076665759E-4</v>
      </c>
      <c r="M18" s="143">
        <v>7.0602327585220337E-2</v>
      </c>
      <c r="N18" s="235">
        <v>6.6319271922111511E-2</v>
      </c>
      <c r="O18" s="12">
        <v>3.7345266900956631E-3</v>
      </c>
      <c r="P18" s="26">
        <v>2.8386073186993599E-2</v>
      </c>
      <c r="Q18" s="14">
        <v>2.0138337276875973E-3</v>
      </c>
      <c r="R18" s="12">
        <v>4.4306982308626175E-3</v>
      </c>
      <c r="S18" s="16">
        <v>1.7110012471675873E-2</v>
      </c>
      <c r="T18" s="252">
        <v>0.40195629000663757</v>
      </c>
      <c r="U18"/>
      <c r="V18"/>
      <c r="W18" s="11">
        <v>7.4758369009941816E-4</v>
      </c>
      <c r="X18" s="23">
        <v>6.923183798789978E-3</v>
      </c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spans="1:209" ht="15" customHeight="1" x14ac:dyDescent="0.15">
      <c r="A19" t="s">
        <v>209</v>
      </c>
      <c r="B19">
        <v>0.39500001072883606</v>
      </c>
      <c r="C19">
        <v>1.9749958068132401E-2</v>
      </c>
      <c r="D19"/>
      <c r="E19"/>
      <c r="F19" s="254">
        <v>0.23453594744205475</v>
      </c>
      <c r="G19" s="23">
        <v>2.0791583228856325E-3</v>
      </c>
      <c r="H19" s="26">
        <v>9.7784912213683128E-3</v>
      </c>
      <c r="I19" s="238">
        <v>3.5153865814208984E-2</v>
      </c>
      <c r="J19" s="229">
        <v>1.7520533874630928E-2</v>
      </c>
      <c r="K19" s="18">
        <v>4.5900940895080566E-3</v>
      </c>
      <c r="L19" s="139">
        <v>4.7460716217756271E-2</v>
      </c>
      <c r="M19" s="11">
        <v>3.584912046790123E-4</v>
      </c>
      <c r="N19" s="15">
        <v>3.7816842086613178E-3</v>
      </c>
      <c r="O19"/>
      <c r="P19" s="11">
        <v>1.0730172652984038E-4</v>
      </c>
      <c r="Q19"/>
      <c r="R19"/>
      <c r="S19" s="13">
        <v>1.4617069624364376E-2</v>
      </c>
      <c r="T19"/>
      <c r="U19"/>
      <c r="V19" s="17">
        <v>5.2666668780148029E-3</v>
      </c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spans="1:209" ht="15" customHeight="1" x14ac:dyDescent="0.15">
      <c r="A20" t="s">
        <v>210</v>
      </c>
      <c r="B20">
        <v>0.40000000596046448</v>
      </c>
      <c r="C20">
        <v>2.0000029355287552E-2</v>
      </c>
      <c r="D20" s="214">
        <v>0.12150520086288452</v>
      </c>
      <c r="E20"/>
      <c r="F20" s="218">
        <v>0.17831167578697205</v>
      </c>
      <c r="G20"/>
      <c r="H20" s="216">
        <v>2.713533490896225E-2</v>
      </c>
      <c r="I20"/>
      <c r="J20"/>
      <c r="K20" s="217">
        <v>5.3047776222229004E-2</v>
      </c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spans="1:209" ht="15" customHeight="1" x14ac:dyDescent="0.15">
      <c r="A21" t="s">
        <v>211</v>
      </c>
      <c r="B21">
        <v>0.60000002384185791</v>
      </c>
      <c r="C21">
        <v>3.0000044032931328E-2</v>
      </c>
      <c r="D21" s="27">
        <v>2.0752057433128357E-2</v>
      </c>
      <c r="E21" s="242">
        <v>0.17535768449306488</v>
      </c>
      <c r="F21" s="247">
        <v>0.22173351049423218</v>
      </c>
      <c r="G21" s="24">
        <v>1.6881603747606277E-2</v>
      </c>
      <c r="H21" s="19">
        <v>1.0586116462945938E-2</v>
      </c>
      <c r="I21" s="21">
        <v>1.1417187750339508E-2</v>
      </c>
      <c r="J21" s="19">
        <v>1.1113816872239113E-2</v>
      </c>
      <c r="K21" s="22">
        <v>4.1830572299659252E-3</v>
      </c>
      <c r="L21" s="76">
        <v>3.8721401244401932E-2</v>
      </c>
      <c r="M21"/>
      <c r="N21"/>
      <c r="O21"/>
      <c r="P21" s="65">
        <v>2.5265661999583244E-2</v>
      </c>
      <c r="Q21"/>
      <c r="R21"/>
      <c r="S21" s="21">
        <v>1.1868240311741829E-2</v>
      </c>
      <c r="T21"/>
      <c r="U21"/>
      <c r="V21"/>
      <c r="W21" s="13">
        <v>2.2119659930467606E-2</v>
      </c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spans="1:209" ht="15" customHeight="1" x14ac:dyDescent="0.15">
      <c r="A22" t="s">
        <v>212</v>
      </c>
      <c r="B22">
        <v>0.5</v>
      </c>
      <c r="C22">
        <v>2.5000005960464478E-2</v>
      </c>
      <c r="D22" s="17">
        <v>7.3524243198335171E-3</v>
      </c>
      <c r="E22" s="19">
        <v>9.1709336265921593E-3</v>
      </c>
      <c r="F22" s="241">
        <v>4.8004504293203354E-2</v>
      </c>
      <c r="G22" s="69">
        <v>2.5751940906047821E-2</v>
      </c>
      <c r="H22" s="18">
        <v>5.5750883184373379E-3</v>
      </c>
      <c r="I22" s="16">
        <v>8.2934685051441193E-3</v>
      </c>
      <c r="J22" s="19">
        <v>9.041869081556797E-3</v>
      </c>
      <c r="K22" s="22">
        <v>3.443725872784853E-3</v>
      </c>
      <c r="L22" s="106">
        <v>3.3752769231796265E-2</v>
      </c>
      <c r="M22"/>
      <c r="N22"/>
      <c r="O22"/>
      <c r="P22" s="14">
        <v>8.8600855087861419E-4</v>
      </c>
      <c r="Q22" s="253">
        <v>0.25012302398681641</v>
      </c>
      <c r="R22" s="26">
        <v>1.2843240983784199E-2</v>
      </c>
      <c r="S22" s="15">
        <v>5.1726694218814373E-3</v>
      </c>
      <c r="T22"/>
      <c r="U22"/>
      <c r="V22"/>
      <c r="W22" s="15">
        <v>4.425994586199522E-3</v>
      </c>
      <c r="X22" s="243">
        <v>5.1162328571081161E-2</v>
      </c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spans="1:209" ht="15" customHeight="1" x14ac:dyDescent="0.15">
      <c r="A23" t="s">
        <v>213</v>
      </c>
      <c r="B23">
        <v>1.4500000476837158</v>
      </c>
      <c r="C23">
        <v>7.2500109672546387E-2</v>
      </c>
      <c r="D23" s="12">
        <v>4.7501293011009693E-3</v>
      </c>
      <c r="E23"/>
      <c r="F23" s="240">
        <v>0.15580084919929504</v>
      </c>
      <c r="G23"/>
      <c r="H23" s="14">
        <v>3.9516105316579342E-3</v>
      </c>
      <c r="I23" s="248">
        <v>0.23866270482540131</v>
      </c>
      <c r="J23" s="139">
        <v>0.17479400336742401</v>
      </c>
      <c r="K23" s="23">
        <v>9.2380642890930176E-3</v>
      </c>
      <c r="L23" s="66">
        <v>8.5517369210720062E-2</v>
      </c>
      <c r="M23" s="12">
        <v>6.6364030353724957E-3</v>
      </c>
      <c r="N23" s="221">
        <v>4.9458932131528854E-2</v>
      </c>
      <c r="O23" s="15">
        <v>1.3967215083539486E-2</v>
      </c>
      <c r="P23" s="23">
        <v>9.5396321266889572E-3</v>
      </c>
      <c r="Q23" s="236">
        <v>0.12166728079319</v>
      </c>
      <c r="R23" s="68">
        <v>0.13316084444522858</v>
      </c>
      <c r="S23" s="228">
        <v>0.11813878268003464</v>
      </c>
      <c r="T23"/>
      <c r="U23"/>
      <c r="V23"/>
      <c r="W23" s="11">
        <v>9.6783955814316869E-4</v>
      </c>
      <c r="X23" s="18">
        <v>1.7978774383664131E-2</v>
      </c>
      <c r="Y23" s="226">
        <v>5.7069063186645508E-2</v>
      </c>
      <c r="Z23"/>
      <c r="AA23" s="225">
        <v>0.17620061337947845</v>
      </c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spans="1:209" ht="15" customHeight="1" x14ac:dyDescent="0.15">
      <c r="A24" t="s">
        <v>214</v>
      </c>
      <c r="B24">
        <v>0.38199999928474426</v>
      </c>
      <c r="C24">
        <v>1.909995824098587E-2</v>
      </c>
      <c r="D24" s="215">
        <v>9.0757077559828758E-3</v>
      </c>
      <c r="E24"/>
      <c r="F24"/>
      <c r="G24"/>
      <c r="H24"/>
      <c r="I24" s="249">
        <v>0.11973727494478226</v>
      </c>
      <c r="J24" s="76">
        <v>2.4421192705631256E-2</v>
      </c>
      <c r="K24" s="11">
        <v>3.3685621474432992E-6</v>
      </c>
      <c r="L24"/>
      <c r="M24" s="228">
        <v>3.1661462038755417E-2</v>
      </c>
      <c r="N24" s="28">
        <v>1.8122283741831779E-2</v>
      </c>
      <c r="O24" s="14">
        <v>5.390280275605619E-4</v>
      </c>
      <c r="P24" s="237">
        <v>6.7657202482223511E-2</v>
      </c>
      <c r="Q24"/>
      <c r="R24" s="28">
        <v>1.7847338691353798E-2</v>
      </c>
      <c r="S24" s="74">
        <v>2.9635163024067879E-2</v>
      </c>
      <c r="T24"/>
      <c r="U24"/>
      <c r="V24"/>
      <c r="W24"/>
      <c r="X24"/>
      <c r="Y24"/>
      <c r="Z24"/>
      <c r="AA24" s="233">
        <v>4.4199999421834946E-2</v>
      </c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</row>
    <row r="25" spans="1:209" ht="15" customHeight="1" x14ac:dyDescent="0.15">
      <c r="A25" t="s">
        <v>215</v>
      </c>
      <c r="B25">
        <v>0.60000002384185791</v>
      </c>
      <c r="C25">
        <v>0.53458988666534424</v>
      </c>
      <c r="D25"/>
      <c r="E25"/>
      <c r="F25"/>
      <c r="G25"/>
      <c r="H25"/>
      <c r="I25" s="11">
        <v>2.4087645579129457E-4</v>
      </c>
      <c r="J25"/>
      <c r="K25"/>
      <c r="L25" s="11">
        <v>3.9335313886112999E-6</v>
      </c>
      <c r="M25" s="17">
        <v>7.6935128308832645E-3</v>
      </c>
      <c r="N25" s="15">
        <v>5.6575275957584381E-3</v>
      </c>
      <c r="O25" s="11">
        <v>5.6170218158513308E-4</v>
      </c>
      <c r="P25" s="11">
        <v>2.4507944544893689E-5</v>
      </c>
      <c r="Q25"/>
      <c r="R25" s="15">
        <v>5.536271259188652E-3</v>
      </c>
      <c r="S25" s="17">
        <v>8.3464235067367554E-3</v>
      </c>
      <c r="T25"/>
      <c r="U25"/>
      <c r="V25"/>
      <c r="W25"/>
      <c r="X25"/>
      <c r="Y25"/>
      <c r="Z25"/>
      <c r="AA25" s="67">
        <v>3.7345357239246368E-2</v>
      </c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spans="1:209" ht="15" customHeight="1" x14ac:dyDescent="0.15">
      <c r="A26" t="s">
        <v>216</v>
      </c>
      <c r="B26">
        <v>0.56999999284744263</v>
      </c>
      <c r="C26">
        <v>0.44646218419075012</v>
      </c>
      <c r="D26" s="11">
        <v>2.0078963643754832E-5</v>
      </c>
      <c r="E26"/>
      <c r="F26" s="11">
        <v>2.0355311789899133E-5</v>
      </c>
      <c r="G26"/>
      <c r="H26" s="11">
        <v>4.0060982428258285E-5</v>
      </c>
      <c r="I26" s="23">
        <v>3.8021272048354149E-3</v>
      </c>
      <c r="J26" s="14">
        <v>8.0751272616907954E-4</v>
      </c>
      <c r="K26" s="11">
        <v>1.0362349485149025E-6</v>
      </c>
      <c r="L26"/>
      <c r="M26" s="22">
        <v>4.4007315300405025E-3</v>
      </c>
      <c r="N26" s="12">
        <v>1.9943688530474901E-3</v>
      </c>
      <c r="O26" s="23">
        <v>3.3330006990581751E-3</v>
      </c>
      <c r="P26" s="11">
        <v>3.9563878090120852E-4</v>
      </c>
      <c r="Q26"/>
      <c r="R26" s="16">
        <v>8.4856785833835602E-3</v>
      </c>
      <c r="S26" s="67">
        <v>3.5930335521697998E-2</v>
      </c>
      <c r="T26"/>
      <c r="U26"/>
      <c r="V26"/>
      <c r="W26"/>
      <c r="X26"/>
      <c r="Y26"/>
      <c r="Z26"/>
      <c r="AA26" s="255">
        <v>6.4306877553462982E-2</v>
      </c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</row>
    <row r="27" spans="1:209" ht="15" customHeight="1" x14ac:dyDescent="0.15">
      <c r="A27" t="s">
        <v>217</v>
      </c>
      <c r="B27">
        <v>2</v>
      </c>
      <c r="C27">
        <v>1.4157618284225464</v>
      </c>
      <c r="D27"/>
      <c r="E27"/>
      <c r="F27"/>
      <c r="G27"/>
      <c r="H27"/>
      <c r="I27" s="14">
        <v>2.576648723334074E-3</v>
      </c>
      <c r="J27" s="14">
        <v>4.2639127932488918E-3</v>
      </c>
      <c r="K27" s="11">
        <v>1.7382351416017627E-6</v>
      </c>
      <c r="L27" s="11">
        <v>7.118419944163179E-6</v>
      </c>
      <c r="M27" s="14">
        <v>5.6209447793662548E-3</v>
      </c>
      <c r="N27" s="64">
        <v>4.1987005621194839E-2</v>
      </c>
      <c r="O27" s="25">
        <v>6.1993218958377838E-2</v>
      </c>
      <c r="P27" s="14">
        <v>3.9324103854596615E-3</v>
      </c>
      <c r="Q27"/>
      <c r="R27" s="22">
        <v>1.3856765814125538E-2</v>
      </c>
      <c r="S27" s="106">
        <v>0.13392214477062225</v>
      </c>
      <c r="T27"/>
      <c r="U27"/>
      <c r="V27"/>
      <c r="W27" s="11">
        <v>2.7428563043940812E-5</v>
      </c>
      <c r="X27"/>
      <c r="Y27"/>
      <c r="Z27" s="22">
        <v>1.643720269203186E-2</v>
      </c>
      <c r="AA27" s="258">
        <v>0.29961159825325012</v>
      </c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</row>
    <row r="28" spans="1:209" ht="15" customHeight="1" x14ac:dyDescent="0.15">
      <c r="A28" t="s">
        <v>218</v>
      </c>
      <c r="B28">
        <v>2.5</v>
      </c>
      <c r="C28">
        <v>0.32240122556686401</v>
      </c>
      <c r="D28"/>
      <c r="E28"/>
      <c r="F28" s="14">
        <v>4.7969748266041279E-3</v>
      </c>
      <c r="G28"/>
      <c r="H28"/>
      <c r="I28" s="15">
        <v>2.3094400763511658E-2</v>
      </c>
      <c r="J28" s="229">
        <v>0.11362998187541962</v>
      </c>
      <c r="K28" s="11">
        <v>1.6830439562909305E-4</v>
      </c>
      <c r="L28" s="14">
        <v>4.9451128579676151E-3</v>
      </c>
      <c r="M28" s="64">
        <v>5.2710097283124924E-2</v>
      </c>
      <c r="N28" s="67">
        <v>0.15871316194534302</v>
      </c>
      <c r="O28" s="63">
        <v>0.13853858411312103</v>
      </c>
      <c r="P28" s="11">
        <v>2.0827201660722494E-3</v>
      </c>
      <c r="Q28"/>
      <c r="R28" s="20">
        <v>0.10669977217912674</v>
      </c>
      <c r="S28" s="257">
        <v>0.91662263870239258</v>
      </c>
      <c r="T28"/>
      <c r="U28"/>
      <c r="V28"/>
      <c r="W28" s="11">
        <v>5.661799805238843E-4</v>
      </c>
      <c r="X28"/>
      <c r="Y28" s="236">
        <v>0.21085286140441895</v>
      </c>
      <c r="Z28" s="64">
        <v>5.3573105484247208E-2</v>
      </c>
      <c r="AA28" s="105">
        <v>0.39060473442077637</v>
      </c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</row>
    <row r="29" spans="1:209" ht="15" customHeight="1" x14ac:dyDescent="0.15">
      <c r="A29" t="s">
        <v>219</v>
      </c>
      <c r="B29">
        <v>3.4330000877380371</v>
      </c>
      <c r="C29">
        <v>0.17164984345436096</v>
      </c>
      <c r="D29"/>
      <c r="E29" s="12">
        <v>1.026756688952446E-2</v>
      </c>
      <c r="F29" s="14">
        <v>5.3656012751162052E-3</v>
      </c>
      <c r="G29"/>
      <c r="H29" s="11">
        <v>3.1253502238541842E-3</v>
      </c>
      <c r="I29" s="12">
        <v>1.1660829186439514E-2</v>
      </c>
      <c r="J29" s="23">
        <v>1.8256166949868202E-2</v>
      </c>
      <c r="K29" s="11">
        <v>9.2240821686573327E-5</v>
      </c>
      <c r="L29" s="14">
        <v>4.8020472750067711E-3</v>
      </c>
      <c r="M29" s="11">
        <v>1.0112619493156672E-3</v>
      </c>
      <c r="N29" s="11">
        <v>2.6014875620603561E-3</v>
      </c>
      <c r="O29" s="11">
        <v>3.2152701169252396E-4</v>
      </c>
      <c r="P29" s="11">
        <v>7.4151830631308258E-5</v>
      </c>
      <c r="Q29" s="215">
        <v>7.9954139888286591E-2</v>
      </c>
      <c r="R29" s="12">
        <v>1.4875262975692749E-2</v>
      </c>
      <c r="S29" s="12">
        <v>1.2626570649445057E-2</v>
      </c>
      <c r="T29" s="108">
        <v>1.2873706817626953</v>
      </c>
      <c r="U29" s="235">
        <v>0.19802026450634003</v>
      </c>
      <c r="V29" s="236">
        <v>0.29116612672805786</v>
      </c>
      <c r="W29" s="11">
        <v>1.0171779431402683E-3</v>
      </c>
      <c r="X29" s="22">
        <v>2.9462235048413277E-2</v>
      </c>
      <c r="Y29" s="256">
        <v>0.25715458393096924</v>
      </c>
      <c r="Z29" s="17">
        <v>4.9591917544603348E-2</v>
      </c>
      <c r="AA29" s="14">
        <v>7.5328676030039787E-3</v>
      </c>
      <c r="AB29"/>
      <c r="AC29"/>
      <c r="AD29"/>
      <c r="AE29"/>
      <c r="AF29" s="262">
        <v>0.97499996423721313</v>
      </c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</row>
    <row r="30" spans="1:209" ht="15" customHeight="1" x14ac:dyDescent="0.15">
      <c r="A30" t="s">
        <v>220</v>
      </c>
      <c r="B30">
        <v>8.3999996185302734</v>
      </c>
      <c r="C30">
        <v>0.42000007629394531</v>
      </c>
      <c r="D30"/>
      <c r="E30" s="11">
        <v>5.6802518665790558E-3</v>
      </c>
      <c r="F30"/>
      <c r="G30"/>
      <c r="H30" s="11">
        <v>9.4816037744749337E-5</v>
      </c>
      <c r="I30" s="11">
        <v>4.0443601392325945E-6</v>
      </c>
      <c r="J30" s="11">
        <v>1.3473431863531005E-5</v>
      </c>
      <c r="K30" s="11">
        <v>2.1176261100208649E-7</v>
      </c>
      <c r="L30" s="11">
        <v>1.0099213341163704E-6</v>
      </c>
      <c r="M30" s="11">
        <v>1.9769134951275191E-7</v>
      </c>
      <c r="N30"/>
      <c r="O30"/>
      <c r="P30" s="11">
        <v>1.2485267689044122E-5</v>
      </c>
      <c r="Q30" s="14">
        <v>1.6114639118313789E-2</v>
      </c>
      <c r="R30" s="11">
        <v>8.3452119724825025E-4</v>
      </c>
      <c r="S30" s="14">
        <v>8.5039651021361351E-3</v>
      </c>
      <c r="T30" s="138">
        <v>1.0907937288284302</v>
      </c>
      <c r="U30" s="142">
        <v>0.24768003821372986</v>
      </c>
      <c r="V30" s="18">
        <v>9.8049849271774292E-2</v>
      </c>
      <c r="W30" s="11">
        <v>3.0189374228939414E-5</v>
      </c>
      <c r="X30" s="11">
        <v>1.3763750903308392E-3</v>
      </c>
      <c r="Y30" s="16">
        <v>0.13753557205200195</v>
      </c>
      <c r="Z30" s="22">
        <v>6.68000727891922E-2</v>
      </c>
      <c r="AA30" s="11">
        <v>2.5366840418428183E-3</v>
      </c>
      <c r="AB30"/>
      <c r="AC30"/>
      <c r="AD30"/>
      <c r="AE30"/>
      <c r="AF30" s="263">
        <v>6.3039374351501465</v>
      </c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</row>
    <row r="31" spans="1:209" ht="15" customHeight="1" x14ac:dyDescent="0.15">
      <c r="A31" t="s">
        <v>221</v>
      </c>
      <c r="B31">
        <v>103.59999847412109</v>
      </c>
      <c r="C31">
        <v>61.792156219482422</v>
      </c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 s="11">
        <v>3.0079580843448639E-2</v>
      </c>
      <c r="AA31"/>
      <c r="AB31"/>
      <c r="AC31"/>
      <c r="AD31"/>
      <c r="AE31"/>
      <c r="AF31" s="66">
        <v>6.1781649589538574</v>
      </c>
      <c r="AG31" s="208">
        <v>35.599601745605469</v>
      </c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</row>
    <row r="32" spans="1:209" ht="15" customHeight="1" x14ac:dyDescent="0.15">
      <c r="A32" t="s">
        <v>222</v>
      </c>
      <c r="B32"/>
      <c r="C32">
        <v>0.38136756420135498</v>
      </c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 s="9">
        <v>5.0626583099365234</v>
      </c>
      <c r="AA32" s="9">
        <v>0.8788607120513916</v>
      </c>
      <c r="AB32" s="9">
        <v>470.66665649414062</v>
      </c>
      <c r="AC32" s="9">
        <v>103.86666107177734</v>
      </c>
      <c r="AD32" s="9">
        <v>195.55555725097656</v>
      </c>
      <c r="AE32" s="9">
        <v>33.75</v>
      </c>
      <c r="AF32" s="9">
        <v>45.501350402832031</v>
      </c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</row>
    <row r="33" spans="1:209" ht="15" customHeight="1" x14ac:dyDescent="0.15">
      <c r="A33" t="s">
        <v>223</v>
      </c>
      <c r="B33"/>
      <c r="C33">
        <v>0</v>
      </c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</row>
    <row r="34" spans="1:209" ht="15" customHeight="1" x14ac:dyDescent="0.1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</row>
    <row r="35" spans="1:209" ht="15" customHeight="1" x14ac:dyDescent="0.1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</row>
    <row r="36" spans="1:209" ht="15" customHeight="1" x14ac:dyDescent="0.1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</row>
    <row r="37" spans="1:209" ht="15" customHeight="1" x14ac:dyDescent="0.1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spans="1:209" ht="15" customHeight="1" x14ac:dyDescent="0.1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</row>
    <row r="39" spans="1:209" ht="15" customHeight="1" x14ac:dyDescent="0.1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spans="1:209" ht="15" customHeight="1" x14ac:dyDescent="0.1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spans="1:209" ht="15" customHeight="1" x14ac:dyDescent="0.1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spans="1:209" ht="15" customHeight="1" x14ac:dyDescent="0.1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spans="1:209" ht="15" customHeight="1" x14ac:dyDescent="0.1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spans="1:209" ht="15" customHeight="1" x14ac:dyDescent="0.1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spans="1:209" ht="15" customHeight="1" x14ac:dyDescent="0.1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spans="1:209" ht="15" customHeight="1" x14ac:dyDescent="0.1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spans="1:209" ht="15" customHeight="1" x14ac:dyDescent="0.1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</row>
    <row r="48" spans="1:209" ht="15" customHeight="1" x14ac:dyDescent="0.1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</row>
    <row r="49" spans="1:209" ht="15" customHeight="1" x14ac:dyDescent="0.1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</row>
    <row r="50" spans="1:209" ht="15" customHeight="1" x14ac:dyDescent="0.1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</row>
    <row r="51" spans="1:209" ht="15" customHeight="1" x14ac:dyDescent="0.1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</row>
    <row r="52" spans="1:209" ht="15" customHeight="1" x14ac:dyDescent="0.1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</row>
    <row r="53" spans="1:209" ht="15" customHeight="1" x14ac:dyDescent="0.1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</row>
    <row r="54" spans="1:209" ht="15" customHeight="1" x14ac:dyDescent="0.1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</row>
    <row r="55" spans="1:209" ht="15" customHeight="1" x14ac:dyDescent="0.1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</row>
    <row r="56" spans="1:209" ht="15" customHeight="1" x14ac:dyDescent="0.1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</row>
    <row r="57" spans="1:209" ht="15" customHeight="1" x14ac:dyDescent="0.1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</row>
    <row r="58" spans="1:209" ht="15" customHeight="1" x14ac:dyDescent="0.1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spans="1:209" ht="15" customHeight="1" x14ac:dyDescent="0.1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</row>
    <row r="60" spans="1:209" ht="15" customHeight="1" x14ac:dyDescent="0.1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spans="1:209" ht="15" customHeight="1" x14ac:dyDescent="0.1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spans="1:209" ht="15" customHeight="1" x14ac:dyDescent="0.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spans="1:209" ht="15" customHeight="1" x14ac:dyDescent="0.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spans="1:209" ht="15" customHeight="1" x14ac:dyDescent="0.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spans="1:209" ht="15" customHeight="1" x14ac:dyDescent="0.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spans="1:209" ht="15" customHeight="1" x14ac:dyDescent="0.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spans="1:209" ht="15" customHeight="1" x14ac:dyDescent="0.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spans="1:209" ht="15" customHeight="1" x14ac:dyDescent="0.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</row>
    <row r="69" spans="1:209" ht="15" customHeight="1" x14ac:dyDescent="0.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</row>
    <row r="70" spans="1:209" ht="15" customHeight="1" x14ac:dyDescent="0.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</row>
    <row r="71" spans="1:209" ht="15" customHeight="1" x14ac:dyDescent="0.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spans="1:209" ht="15" customHeight="1" x14ac:dyDescent="0.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spans="1:209" ht="15" customHeight="1" x14ac:dyDescent="0.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spans="1:209" ht="15" customHeight="1" x14ac:dyDescent="0.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spans="1:209" ht="15" customHeight="1" x14ac:dyDescent="0.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spans="1:209" ht="15" customHeight="1" x14ac:dyDescent="0.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spans="1:209" ht="15" customHeight="1" x14ac:dyDescent="0.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spans="1:209" ht="15" customHeight="1" x14ac:dyDescent="0.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spans="1:209" ht="15" customHeight="1" x14ac:dyDescent="0.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spans="1:209" ht="15" customHeight="1" x14ac:dyDescent="0.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</row>
    <row r="81" spans="1:209" ht="15" customHeight="1" x14ac:dyDescent="0.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spans="1:209" ht="15" customHeight="1" x14ac:dyDescent="0.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spans="1:209" ht="15" customHeight="1" x14ac:dyDescent="0.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spans="1:209" ht="15" customHeight="1" x14ac:dyDescent="0.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spans="1:209" ht="15" customHeight="1" x14ac:dyDescent="0.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spans="1:209" ht="15" customHeight="1" x14ac:dyDescent="0.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spans="1:209" ht="15" customHeight="1" x14ac:dyDescent="0.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spans="1:209" ht="15" customHeight="1" x14ac:dyDescent="0.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spans="1:209" ht="15" customHeight="1" x14ac:dyDescent="0.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</row>
    <row r="90" spans="1:209" ht="15" customHeight="1" x14ac:dyDescent="0.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</row>
    <row r="91" spans="1:209" ht="15" customHeight="1" x14ac:dyDescent="0.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</row>
    <row r="92" spans="1:209" ht="15" customHeight="1" x14ac:dyDescent="0.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</row>
    <row r="93" spans="1:209" ht="15" customHeight="1" x14ac:dyDescent="0.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</row>
    <row r="94" spans="1:209" ht="15" customHeight="1" x14ac:dyDescent="0.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</row>
    <row r="95" spans="1:209" ht="15" customHeight="1" x14ac:dyDescent="0.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</row>
    <row r="96" spans="1:209" ht="15" customHeight="1" x14ac:dyDescent="0.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</row>
    <row r="97" spans="1:209" ht="15" customHeight="1" x14ac:dyDescent="0.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</row>
    <row r="98" spans="1:209" ht="15" customHeight="1" x14ac:dyDescent="0.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</row>
    <row r="99" spans="1:209" ht="15" customHeight="1" x14ac:dyDescent="0.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</row>
    <row r="100" spans="1:209" ht="15" customHeight="1" x14ac:dyDescent="0.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</row>
    <row r="101" spans="1:209" ht="15" customHeight="1" x14ac:dyDescent="0.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</row>
    <row r="102" spans="1:209" ht="15" customHeight="1" x14ac:dyDescent="0.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</row>
    <row r="103" spans="1:209" ht="15" customHeight="1" x14ac:dyDescent="0.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</row>
    <row r="104" spans="1:209" ht="15" customHeight="1" x14ac:dyDescent="0.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</row>
    <row r="105" spans="1:209" ht="15" customHeight="1" x14ac:dyDescent="0.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</row>
    <row r="106" spans="1:209" ht="15" customHeight="1" x14ac:dyDescent="0.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</row>
    <row r="107" spans="1:209" ht="15" customHeight="1" x14ac:dyDescent="0.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</row>
    <row r="108" spans="1:209" ht="15" customHeight="1" x14ac:dyDescent="0.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</row>
    <row r="109" spans="1:209" ht="15" customHeight="1" x14ac:dyDescent="0.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</row>
    <row r="110" spans="1:209" ht="15" customHeight="1" x14ac:dyDescent="0.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</row>
    <row r="111" spans="1:209" ht="15" customHeight="1" x14ac:dyDescent="0.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</row>
    <row r="112" spans="1:209" ht="15" customHeight="1" x14ac:dyDescent="0.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</row>
    <row r="113" spans="1:209" ht="15" customHeight="1" x14ac:dyDescent="0.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</row>
    <row r="114" spans="1:209" ht="15" customHeight="1" x14ac:dyDescent="0.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</row>
    <row r="115" spans="1:209" ht="15" customHeight="1" x14ac:dyDescent="0.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</row>
    <row r="116" spans="1:209" ht="15" customHeight="1" x14ac:dyDescent="0.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</row>
    <row r="117" spans="1:209" ht="15" customHeight="1" x14ac:dyDescent="0.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</row>
    <row r="118" spans="1:209" ht="15" customHeight="1" x14ac:dyDescent="0.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</row>
    <row r="119" spans="1:209" ht="15" customHeight="1" x14ac:dyDescent="0.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</row>
    <row r="120" spans="1:209" ht="15" customHeight="1" x14ac:dyDescent="0.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</row>
    <row r="121" spans="1:209" ht="15" customHeight="1" x14ac:dyDescent="0.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</row>
    <row r="122" spans="1:209" ht="15" customHeight="1" x14ac:dyDescent="0.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</row>
    <row r="123" spans="1:209" ht="15" customHeight="1" x14ac:dyDescent="0.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</row>
    <row r="124" spans="1:209" ht="15" customHeight="1" x14ac:dyDescent="0.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</row>
    <row r="125" spans="1:209" ht="15" customHeight="1" x14ac:dyDescent="0.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</row>
    <row r="126" spans="1:209" ht="15" customHeight="1" x14ac:dyDescent="0.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</row>
    <row r="127" spans="1:209" ht="15" customHeight="1" x14ac:dyDescent="0.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</row>
    <row r="128" spans="1:209" ht="15" customHeight="1" x14ac:dyDescent="0.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</row>
    <row r="129" spans="1:209" ht="15" customHeight="1" x14ac:dyDescent="0.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</row>
    <row r="130" spans="1:209" ht="15" customHeight="1" x14ac:dyDescent="0.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</row>
    <row r="131" spans="1:209" ht="15" customHeight="1" x14ac:dyDescent="0.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</row>
    <row r="132" spans="1:209" ht="15" customHeight="1" x14ac:dyDescent="0.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</row>
    <row r="133" spans="1:209" ht="15" customHeight="1" x14ac:dyDescent="0.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</row>
    <row r="134" spans="1:209" ht="15" customHeight="1" x14ac:dyDescent="0.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</row>
    <row r="135" spans="1:209" ht="15" customHeight="1" x14ac:dyDescent="0.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</row>
    <row r="136" spans="1:209" ht="15" customHeight="1" x14ac:dyDescent="0.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</row>
    <row r="137" spans="1:209" ht="15" customHeight="1" x14ac:dyDescent="0.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</row>
    <row r="138" spans="1:209" ht="15" customHeight="1" x14ac:dyDescent="0.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</row>
    <row r="139" spans="1:209" ht="15" customHeight="1" x14ac:dyDescent="0.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</row>
    <row r="140" spans="1:209" ht="15" customHeight="1" x14ac:dyDescent="0.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</row>
    <row r="141" spans="1:209" ht="15" customHeight="1" x14ac:dyDescent="0.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</row>
    <row r="142" spans="1:209" ht="15" customHeight="1" x14ac:dyDescent="0.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</row>
    <row r="143" spans="1:209" ht="15" customHeight="1" x14ac:dyDescent="0.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</row>
    <row r="144" spans="1:209" ht="15" customHeight="1" x14ac:dyDescent="0.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</row>
    <row r="145" spans="1:209" ht="15" customHeight="1" x14ac:dyDescent="0.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</row>
    <row r="146" spans="1:209" ht="15" customHeight="1" x14ac:dyDescent="0.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</row>
    <row r="147" spans="1:209" ht="15" customHeight="1" x14ac:dyDescent="0.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</row>
    <row r="148" spans="1:209" ht="15" customHeight="1" x14ac:dyDescent="0.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</row>
    <row r="149" spans="1:209" ht="15" customHeight="1" x14ac:dyDescent="0.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</row>
    <row r="150" spans="1:209" ht="15" customHeight="1" x14ac:dyDescent="0.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</row>
    <row r="151" spans="1:209" ht="15" customHeight="1" x14ac:dyDescent="0.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</row>
    <row r="152" spans="1:209" ht="15" customHeight="1" x14ac:dyDescent="0.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</row>
    <row r="153" spans="1:209" ht="15" customHeight="1" x14ac:dyDescent="0.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</row>
    <row r="154" spans="1:209" ht="15" customHeight="1" x14ac:dyDescent="0.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</row>
    <row r="155" spans="1:209" ht="15" customHeight="1" x14ac:dyDescent="0.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</row>
    <row r="156" spans="1:209" ht="15" customHeight="1" x14ac:dyDescent="0.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</row>
    <row r="157" spans="1:209" ht="15" customHeight="1" x14ac:dyDescent="0.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</row>
    <row r="158" spans="1:209" ht="15" customHeight="1" x14ac:dyDescent="0.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</row>
    <row r="159" spans="1:209" ht="15" customHeight="1" x14ac:dyDescent="0.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</row>
    <row r="160" spans="1:209" ht="15" customHeight="1" x14ac:dyDescent="0.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</row>
    <row r="161" spans="1:209" ht="15" customHeight="1" x14ac:dyDescent="0.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</row>
    <row r="162" spans="1:209" ht="15" customHeight="1" x14ac:dyDescent="0.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</row>
    <row r="163" spans="1:209" ht="15" customHeight="1" x14ac:dyDescent="0.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</row>
    <row r="164" spans="1:209" ht="15" customHeight="1" x14ac:dyDescent="0.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</row>
    <row r="165" spans="1:209" ht="15" customHeight="1" x14ac:dyDescent="0.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</row>
    <row r="166" spans="1:209" ht="15" customHeight="1" x14ac:dyDescent="0.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</row>
    <row r="167" spans="1:209" ht="15" customHeight="1" x14ac:dyDescent="0.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</row>
    <row r="168" spans="1:209" ht="15" customHeight="1" x14ac:dyDescent="0.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</row>
    <row r="169" spans="1:209" ht="15" customHeight="1" x14ac:dyDescent="0.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</row>
    <row r="170" spans="1:209" ht="15" customHeight="1" x14ac:dyDescent="0.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</row>
    <row r="171" spans="1:209" ht="15" customHeight="1" x14ac:dyDescent="0.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</row>
    <row r="172" spans="1:209" ht="15" customHeight="1" x14ac:dyDescent="0.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</row>
    <row r="173" spans="1:209" ht="15" customHeight="1" x14ac:dyDescent="0.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</row>
    <row r="174" spans="1:209" ht="15" customHeight="1" x14ac:dyDescent="0.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</row>
    <row r="175" spans="1:209" ht="15" customHeight="1" x14ac:dyDescent="0.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</row>
    <row r="176" spans="1:209" ht="15" customHeight="1" x14ac:dyDescent="0.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</row>
    <row r="177" spans="1:209" ht="15" customHeight="1" x14ac:dyDescent="0.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</row>
    <row r="178" spans="1:209" ht="15" customHeight="1" x14ac:dyDescent="0.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</row>
    <row r="179" spans="1:209" ht="15" customHeight="1" x14ac:dyDescent="0.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</row>
    <row r="180" spans="1:209" ht="15" customHeight="1" x14ac:dyDescent="0.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</row>
    <row r="181" spans="1:209" ht="15" customHeight="1" x14ac:dyDescent="0.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</row>
    <row r="182" spans="1:209" ht="15" customHeight="1" x14ac:dyDescent="0.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</row>
    <row r="183" spans="1:209" ht="15" customHeight="1" x14ac:dyDescent="0.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</row>
    <row r="184" spans="1:209" ht="15" customHeight="1" x14ac:dyDescent="0.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</row>
    <row r="185" spans="1:209" ht="15" customHeight="1" x14ac:dyDescent="0.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</row>
    <row r="186" spans="1:209" ht="15" customHeight="1" x14ac:dyDescent="0.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</row>
    <row r="187" spans="1:209" ht="15" customHeight="1" x14ac:dyDescent="0.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</row>
    <row r="188" spans="1:209" ht="15" customHeight="1" x14ac:dyDescent="0.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</row>
    <row r="189" spans="1:209" ht="15" customHeight="1" x14ac:dyDescent="0.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</row>
    <row r="190" spans="1:209" ht="15" customHeight="1" x14ac:dyDescent="0.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</row>
    <row r="191" spans="1:209" ht="15" customHeight="1" x14ac:dyDescent="0.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</row>
    <row r="192" spans="1:209" ht="15" customHeight="1" x14ac:dyDescent="0.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</row>
    <row r="193" spans="1:209" ht="15" customHeight="1" x14ac:dyDescent="0.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</row>
    <row r="194" spans="1:209" ht="15" customHeight="1" x14ac:dyDescent="0.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</row>
    <row r="195" spans="1:209" ht="15" customHeight="1" x14ac:dyDescent="0.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</row>
    <row r="196" spans="1:209" ht="15" customHeight="1" x14ac:dyDescent="0.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</row>
    <row r="197" spans="1:209" ht="15" customHeight="1" x14ac:dyDescent="0.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</row>
    <row r="198" spans="1:209" ht="15" customHeight="1" x14ac:dyDescent="0.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</row>
    <row r="199" spans="1:209" ht="15" customHeight="1" x14ac:dyDescent="0.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</row>
    <row r="200" spans="1:209" ht="15" customHeight="1" x14ac:dyDescent="0.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</row>
    <row r="201" spans="1:209" ht="15" customHeight="1" x14ac:dyDescent="0.1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</row>
    <row r="202" spans="1:209" ht="15" customHeight="1" x14ac:dyDescent="0.1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</row>
    <row r="203" spans="1:209" ht="15" customHeight="1" x14ac:dyDescent="0.1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</row>
    <row r="204" spans="1:209" ht="15" customHeight="1" x14ac:dyDescent="0.1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</row>
    <row r="205" spans="1:209" ht="15" customHeight="1" x14ac:dyDescent="0.1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</row>
    <row r="206" spans="1:209" ht="15" customHeight="1" x14ac:dyDescent="0.1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</row>
    <row r="207" spans="1:209" ht="15" customHeight="1" x14ac:dyDescent="0.1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</row>
    <row r="208" spans="1:209" ht="15" customHeight="1" x14ac:dyDescent="0.1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</row>
    <row r="209" spans="1:209" ht="15" customHeight="1" x14ac:dyDescent="0.1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</row>
    <row r="210" spans="1:209" ht="15" customHeight="1" x14ac:dyDescent="0.1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</row>
    <row r="211" spans="1:209" ht="15" customHeight="1" x14ac:dyDescent="0.1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</row>
    <row r="212" spans="1:209" ht="15" customHeight="1" x14ac:dyDescent="0.1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</row>
    <row r="213" spans="1:209" ht="15" customHeight="1" x14ac:dyDescent="0.1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</row>
    <row r="214" spans="1:209" ht="15" customHeight="1" x14ac:dyDescent="0.1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</row>
    <row r="215" spans="1:209" ht="15" customHeight="1" x14ac:dyDescent="0.1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</row>
    <row r="216" spans="1:209" ht="15" customHeight="1" x14ac:dyDescent="0.1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</row>
    <row r="217" spans="1:209" ht="15" customHeight="1" x14ac:dyDescent="0.1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</row>
    <row r="218" spans="1:209" ht="15" customHeight="1" x14ac:dyDescent="0.1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</row>
    <row r="219" spans="1:209" ht="15" customHeight="1" x14ac:dyDescent="0.1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</row>
    <row r="220" spans="1:209" ht="15" customHeight="1" x14ac:dyDescent="0.1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</row>
    <row r="221" spans="1:209" ht="15" customHeight="1" x14ac:dyDescent="0.1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</row>
    <row r="222" spans="1:209" ht="15" customHeight="1" x14ac:dyDescent="0.1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</row>
    <row r="223" spans="1:209" ht="15" customHeight="1" x14ac:dyDescent="0.1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</row>
    <row r="224" spans="1:209" ht="15" customHeight="1" x14ac:dyDescent="0.1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</row>
    <row r="225" spans="1:209" ht="15" customHeight="1" x14ac:dyDescent="0.1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</row>
    <row r="226" spans="1:209" ht="15" customHeight="1" x14ac:dyDescent="0.1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</row>
    <row r="227" spans="1:209" ht="15" customHeight="1" x14ac:dyDescent="0.1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</row>
    <row r="228" spans="1:209" ht="15" customHeight="1" x14ac:dyDescent="0.1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</row>
    <row r="229" spans="1:209" ht="15" customHeight="1" x14ac:dyDescent="0.1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</row>
    <row r="230" spans="1:209" ht="15" customHeight="1" x14ac:dyDescent="0.1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</row>
    <row r="231" spans="1:209" ht="15" customHeight="1" x14ac:dyDescent="0.1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</row>
    <row r="232" spans="1:209" ht="15" customHeight="1" x14ac:dyDescent="0.1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</row>
    <row r="233" spans="1:209" ht="15" customHeight="1" x14ac:dyDescent="0.1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</row>
    <row r="234" spans="1:209" ht="15" customHeight="1" x14ac:dyDescent="0.1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</row>
    <row r="235" spans="1:209" ht="15" customHeight="1" x14ac:dyDescent="0.1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</row>
    <row r="236" spans="1:209" ht="15" customHeight="1" x14ac:dyDescent="0.1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</row>
    <row r="237" spans="1:209" ht="15" customHeight="1" x14ac:dyDescent="0.1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</row>
    <row r="238" spans="1:209" ht="15" customHeight="1" x14ac:dyDescent="0.1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</row>
    <row r="239" spans="1:209" ht="15" customHeight="1" x14ac:dyDescent="0.1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</row>
    <row r="240" spans="1:209" ht="15" customHeight="1" x14ac:dyDescent="0.1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</row>
    <row r="241" spans="1:209" ht="15" customHeight="1" x14ac:dyDescent="0.1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</row>
    <row r="242" spans="1:209" ht="15" customHeight="1" x14ac:dyDescent="0.1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</row>
    <row r="243" spans="1:209" ht="15" customHeight="1" x14ac:dyDescent="0.1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</row>
    <row r="244" spans="1:209" ht="15" customHeight="1" x14ac:dyDescent="0.1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</row>
    <row r="245" spans="1:209" ht="15" customHeight="1" x14ac:dyDescent="0.1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</row>
    <row r="246" spans="1:209" ht="15" customHeight="1" x14ac:dyDescent="0.1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</row>
    <row r="247" spans="1:209" ht="15" customHeight="1" x14ac:dyDescent="0.1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</row>
    <row r="248" spans="1:209" ht="15" customHeight="1" x14ac:dyDescent="0.1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</row>
    <row r="249" spans="1:209" ht="15" customHeight="1" x14ac:dyDescent="0.1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</row>
    <row r="250" spans="1:209" ht="15" customHeight="1" x14ac:dyDescent="0.1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</row>
    <row r="251" spans="1:209" ht="15" customHeight="1" x14ac:dyDescent="0.1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</row>
    <row r="252" spans="1:209" ht="15" customHeight="1" x14ac:dyDescent="0.1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</row>
    <row r="253" spans="1:209" ht="15" customHeight="1" x14ac:dyDescent="0.1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</row>
    <row r="254" spans="1:209" ht="15" customHeight="1" x14ac:dyDescent="0.1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</row>
    <row r="255" spans="1:209" ht="15" customHeight="1" x14ac:dyDescent="0.1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</row>
    <row r="256" spans="1:209" ht="15" customHeight="1" x14ac:dyDescent="0.1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</row>
    <row r="257" spans="1:209" ht="15" customHeight="1" x14ac:dyDescent="0.1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</row>
    <row r="258" spans="1:209" ht="15" customHeight="1" x14ac:dyDescent="0.1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</row>
    <row r="259" spans="1:209" ht="15" customHeight="1" x14ac:dyDescent="0.1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</row>
    <row r="260" spans="1:209" ht="15" customHeight="1" x14ac:dyDescent="0.1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</row>
    <row r="261" spans="1:209" ht="15" customHeight="1" x14ac:dyDescent="0.1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</row>
    <row r="262" spans="1:209" ht="15" customHeight="1" x14ac:dyDescent="0.1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</row>
    <row r="263" spans="1:209" ht="15" customHeight="1" x14ac:dyDescent="0.1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</row>
    <row r="264" spans="1:209" ht="15" customHeight="1" x14ac:dyDescent="0.1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</row>
    <row r="265" spans="1:209" ht="15" customHeight="1" x14ac:dyDescent="0.1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</row>
    <row r="266" spans="1:209" ht="15" customHeight="1" x14ac:dyDescent="0.1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</row>
    <row r="267" spans="1:209" ht="15" customHeight="1" x14ac:dyDescent="0.1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</row>
    <row r="268" spans="1:209" ht="15" customHeight="1" x14ac:dyDescent="0.1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</row>
    <row r="269" spans="1:209" ht="15" customHeight="1" x14ac:dyDescent="0.1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</row>
    <row r="270" spans="1:209" ht="15" customHeight="1" x14ac:dyDescent="0.1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</row>
    <row r="271" spans="1:209" ht="15" customHeight="1" x14ac:dyDescent="0.1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</row>
    <row r="272" spans="1:209" ht="15" customHeight="1" x14ac:dyDescent="0.1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</row>
    <row r="273" spans="1:209" ht="15" customHeight="1" x14ac:dyDescent="0.1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</row>
    <row r="274" spans="1:209" ht="15" customHeight="1" x14ac:dyDescent="0.1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</row>
    <row r="275" spans="1:209" ht="15" customHeight="1" x14ac:dyDescent="0.1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</row>
    <row r="276" spans="1:209" ht="15" customHeight="1" x14ac:dyDescent="0.1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</row>
    <row r="277" spans="1:209" ht="15" customHeight="1" x14ac:dyDescent="0.1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</row>
    <row r="278" spans="1:209" ht="15" customHeight="1" x14ac:dyDescent="0.1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</row>
    <row r="279" spans="1:209" ht="15" customHeight="1" x14ac:dyDescent="0.1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</row>
    <row r="280" spans="1:209" ht="15" customHeight="1" x14ac:dyDescent="0.1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</row>
    <row r="281" spans="1:209" ht="15" customHeight="1" x14ac:dyDescent="0.1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</row>
    <row r="282" spans="1:209" ht="15" customHeight="1" x14ac:dyDescent="0.1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</row>
    <row r="283" spans="1:209" ht="15" customHeight="1" x14ac:dyDescent="0.1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</row>
    <row r="284" spans="1:209" ht="15" customHeight="1" x14ac:dyDescent="0.1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</row>
    <row r="285" spans="1:209" ht="15" customHeight="1" x14ac:dyDescent="0.1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</row>
    <row r="286" spans="1:209" ht="15" customHeight="1" x14ac:dyDescent="0.1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</row>
    <row r="287" spans="1:209" ht="15" customHeight="1" x14ac:dyDescent="0.1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</row>
    <row r="288" spans="1:209" ht="15" customHeight="1" x14ac:dyDescent="0.1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</row>
    <row r="289" spans="1:209" ht="15" customHeight="1" x14ac:dyDescent="0.1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</row>
    <row r="290" spans="1:209" ht="15" customHeight="1" x14ac:dyDescent="0.1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</row>
    <row r="291" spans="1:209" ht="15" customHeight="1" x14ac:dyDescent="0.1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</row>
    <row r="292" spans="1:209" ht="15" customHeight="1" x14ac:dyDescent="0.1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</row>
    <row r="293" spans="1:209" ht="15" customHeight="1" x14ac:dyDescent="0.1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</row>
    <row r="294" spans="1:209" ht="15" customHeight="1" x14ac:dyDescent="0.1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</row>
    <row r="295" spans="1:209" ht="15" customHeight="1" x14ac:dyDescent="0.1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</row>
    <row r="296" spans="1:209" ht="15" customHeight="1" x14ac:dyDescent="0.1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</row>
    <row r="297" spans="1:209" ht="15" customHeight="1" x14ac:dyDescent="0.1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</row>
    <row r="298" spans="1:209" ht="15" customHeight="1" x14ac:dyDescent="0.1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</row>
    <row r="299" spans="1:209" ht="15" customHeight="1" x14ac:dyDescent="0.1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</row>
    <row r="300" spans="1:209" ht="15" customHeight="1" x14ac:dyDescent="0.1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</row>
    <row r="301" spans="1:209" ht="15" customHeight="1" x14ac:dyDescent="0.1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</row>
    <row r="302" spans="1:209" ht="15" customHeight="1" x14ac:dyDescent="0.1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</row>
    <row r="303" spans="1:209" ht="15" customHeight="1" x14ac:dyDescent="0.1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</row>
    <row r="304" spans="1:209" ht="15" customHeight="1" x14ac:dyDescent="0.1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</row>
    <row r="305" spans="1:209" ht="15" customHeight="1" x14ac:dyDescent="0.1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</row>
    <row r="306" spans="1:209" ht="15" customHeight="1" x14ac:dyDescent="0.1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</row>
    <row r="307" spans="1:209" ht="15" customHeight="1" x14ac:dyDescent="0.1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</row>
    <row r="308" spans="1:209" ht="15" customHeight="1" x14ac:dyDescent="0.1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</row>
    <row r="309" spans="1:209" ht="15" customHeight="1" x14ac:dyDescent="0.1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</row>
    <row r="310" spans="1:209" ht="15" customHeight="1" x14ac:dyDescent="0.1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</row>
    <row r="311" spans="1:209" ht="15" customHeight="1" x14ac:dyDescent="0.1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</row>
    <row r="312" spans="1:209" ht="15" customHeight="1" x14ac:dyDescent="0.1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</row>
    <row r="313" spans="1:209" ht="15" customHeight="1" x14ac:dyDescent="0.1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</row>
    <row r="314" spans="1:209" ht="15" customHeight="1" x14ac:dyDescent="0.1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</row>
    <row r="315" spans="1:209" ht="15" customHeight="1" x14ac:dyDescent="0.1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</row>
    <row r="316" spans="1:209" ht="15" customHeight="1" x14ac:dyDescent="0.1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</row>
    <row r="317" spans="1:209" ht="15" customHeight="1" x14ac:dyDescent="0.1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</row>
    <row r="318" spans="1:209" ht="15" customHeight="1" x14ac:dyDescent="0.1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</row>
    <row r="319" spans="1:209" ht="15" customHeight="1" x14ac:dyDescent="0.1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</row>
    <row r="320" spans="1:209" ht="15" customHeight="1" x14ac:dyDescent="0.1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</row>
    <row r="321" spans="1:209" ht="15" customHeight="1" x14ac:dyDescent="0.1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</row>
    <row r="322" spans="1:209" ht="15" customHeight="1" x14ac:dyDescent="0.1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</row>
    <row r="323" spans="1:209" ht="15" customHeight="1" x14ac:dyDescent="0.1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</row>
    <row r="324" spans="1:209" ht="15" customHeight="1" x14ac:dyDescent="0.1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</row>
    <row r="325" spans="1:209" ht="15" customHeight="1" x14ac:dyDescent="0.1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</row>
    <row r="326" spans="1:209" ht="15" customHeight="1" x14ac:dyDescent="0.1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</row>
    <row r="327" spans="1:209" ht="15" customHeight="1" x14ac:dyDescent="0.1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</row>
    <row r="328" spans="1:209" ht="15" customHeight="1" x14ac:dyDescent="0.1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</row>
    <row r="329" spans="1:209" ht="15" customHeight="1" x14ac:dyDescent="0.1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</row>
    <row r="330" spans="1:209" ht="15" customHeight="1" x14ac:dyDescent="0.1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</row>
    <row r="331" spans="1:209" ht="15" customHeight="1" x14ac:dyDescent="0.1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</row>
    <row r="332" spans="1:209" ht="15" customHeight="1" x14ac:dyDescent="0.1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</row>
    <row r="333" spans="1:209" ht="15" customHeight="1" x14ac:dyDescent="0.1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</row>
    <row r="334" spans="1:209" ht="15" customHeight="1" x14ac:dyDescent="0.1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</row>
    <row r="335" spans="1:209" ht="15" customHeight="1" x14ac:dyDescent="0.1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</row>
    <row r="336" spans="1:209" ht="15" customHeight="1" x14ac:dyDescent="0.1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</row>
    <row r="337" spans="1:209" ht="15" customHeight="1" x14ac:dyDescent="0.1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</row>
    <row r="338" spans="1:209" ht="15" customHeight="1" x14ac:dyDescent="0.1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</row>
    <row r="339" spans="1:209" ht="15" customHeight="1" x14ac:dyDescent="0.1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</row>
    <row r="340" spans="1:209" ht="15" customHeight="1" x14ac:dyDescent="0.1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</row>
    <row r="341" spans="1:209" ht="15" customHeight="1" x14ac:dyDescent="0.1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</row>
    <row r="342" spans="1:209" ht="15" customHeight="1" x14ac:dyDescent="0.1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</row>
    <row r="343" spans="1:209" ht="15" customHeight="1" x14ac:dyDescent="0.1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</row>
    <row r="344" spans="1:209" ht="15" customHeight="1" x14ac:dyDescent="0.1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</row>
    <row r="345" spans="1:209" ht="15" customHeight="1" x14ac:dyDescent="0.1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</row>
    <row r="346" spans="1:209" ht="15" customHeight="1" x14ac:dyDescent="0.1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</row>
    <row r="347" spans="1:209" ht="15" customHeight="1" x14ac:dyDescent="0.1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</row>
    <row r="348" spans="1:209" ht="15" customHeight="1" x14ac:dyDescent="0.1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</row>
    <row r="349" spans="1:209" ht="15" customHeight="1" x14ac:dyDescent="0.1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</row>
    <row r="350" spans="1:209" ht="15" customHeight="1" x14ac:dyDescent="0.1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</row>
    <row r="351" spans="1:209" ht="15" customHeight="1" x14ac:dyDescent="0.1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</row>
    <row r="352" spans="1:209" ht="15" customHeight="1" x14ac:dyDescent="0.1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</row>
    <row r="353" spans="1:209" ht="15" customHeight="1" x14ac:dyDescent="0.1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</row>
    <row r="354" spans="1:209" ht="15" customHeight="1" x14ac:dyDescent="0.1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</row>
    <row r="355" spans="1:209" ht="15" customHeight="1" x14ac:dyDescent="0.1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</row>
    <row r="356" spans="1:209" ht="15" customHeight="1" x14ac:dyDescent="0.1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</row>
    <row r="357" spans="1:209" ht="15" customHeight="1" x14ac:dyDescent="0.1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</row>
    <row r="358" spans="1:209" ht="15" customHeight="1" x14ac:dyDescent="0.1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</row>
    <row r="359" spans="1:209" ht="15" customHeight="1" x14ac:dyDescent="0.1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</row>
    <row r="360" spans="1:209" ht="15" customHeight="1" x14ac:dyDescent="0.1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</row>
    <row r="361" spans="1:209" ht="15" customHeight="1" x14ac:dyDescent="0.1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</row>
    <row r="362" spans="1:209" ht="15" customHeight="1" x14ac:dyDescent="0.1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</row>
    <row r="363" spans="1:209" ht="15" customHeight="1" x14ac:dyDescent="0.1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</row>
    <row r="364" spans="1:209" ht="15" customHeight="1" x14ac:dyDescent="0.1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</row>
    <row r="365" spans="1:209" ht="15" customHeight="1" x14ac:dyDescent="0.1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</row>
    <row r="366" spans="1:209" ht="15" customHeight="1" x14ac:dyDescent="0.1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</row>
    <row r="367" spans="1:209" ht="15" customHeight="1" x14ac:dyDescent="0.1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</row>
    <row r="368" spans="1:209" ht="15" customHeight="1" x14ac:dyDescent="0.1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</row>
    <row r="369" spans="1:209" ht="15" customHeight="1" x14ac:dyDescent="0.1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</row>
    <row r="370" spans="1:209" ht="15" customHeight="1" x14ac:dyDescent="0.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</row>
    <row r="371" spans="1:209" ht="15" customHeight="1" x14ac:dyDescent="0.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</row>
    <row r="372" spans="1:209" ht="15" customHeight="1" x14ac:dyDescent="0.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</row>
    <row r="373" spans="1:209" ht="15" customHeight="1" x14ac:dyDescent="0.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</row>
    <row r="374" spans="1:209" ht="15" customHeight="1" x14ac:dyDescent="0.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</row>
    <row r="375" spans="1:209" ht="15" customHeight="1" x14ac:dyDescent="0.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</row>
    <row r="376" spans="1:209" ht="15" customHeight="1" x14ac:dyDescent="0.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</row>
    <row r="377" spans="1:209" ht="15" customHeight="1" x14ac:dyDescent="0.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</row>
    <row r="378" spans="1:209" ht="15" customHeight="1" x14ac:dyDescent="0.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</row>
    <row r="379" spans="1:209" ht="15" customHeight="1" x14ac:dyDescent="0.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</row>
    <row r="380" spans="1:209" ht="15" customHeight="1" x14ac:dyDescent="0.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</row>
    <row r="381" spans="1:209" ht="15" customHeight="1" x14ac:dyDescent="0.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</row>
    <row r="382" spans="1:209" ht="15" customHeight="1" x14ac:dyDescent="0.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</row>
    <row r="383" spans="1:209" ht="15" customHeight="1" x14ac:dyDescent="0.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</row>
    <row r="384" spans="1:209" ht="15" customHeight="1" x14ac:dyDescent="0.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</row>
    <row r="385" spans="1:209" ht="15" customHeight="1" x14ac:dyDescent="0.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</row>
    <row r="386" spans="1:209" ht="15" customHeight="1" x14ac:dyDescent="0.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</row>
    <row r="387" spans="1:209" ht="15" customHeight="1" x14ac:dyDescent="0.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</row>
    <row r="388" spans="1:209" ht="15" customHeight="1" x14ac:dyDescent="0.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</row>
    <row r="389" spans="1:209" ht="15" customHeight="1" x14ac:dyDescent="0.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</row>
    <row r="390" spans="1:209" ht="15" customHeight="1" x14ac:dyDescent="0.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</row>
    <row r="391" spans="1:209" ht="15" customHeight="1" x14ac:dyDescent="0.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</row>
    <row r="392" spans="1:209" ht="15" customHeight="1" x14ac:dyDescent="0.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</row>
    <row r="393" spans="1:209" ht="15" customHeight="1" x14ac:dyDescent="0.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</row>
    <row r="394" spans="1:209" ht="15" customHeight="1" x14ac:dyDescent="0.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</row>
    <row r="395" spans="1:209" ht="15" customHeight="1" x14ac:dyDescent="0.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</row>
    <row r="396" spans="1:209" ht="15" customHeight="1" x14ac:dyDescent="0.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</row>
    <row r="397" spans="1:209" ht="15" customHeight="1" x14ac:dyDescent="0.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</row>
    <row r="398" spans="1:209" ht="15" customHeight="1" x14ac:dyDescent="0.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</row>
    <row r="399" spans="1:209" ht="15" customHeight="1" x14ac:dyDescent="0.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</row>
    <row r="400" spans="1:209" ht="15" customHeight="1" x14ac:dyDescent="0.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</row>
    <row r="401" spans="1:209" ht="15" customHeight="1" x14ac:dyDescent="0.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</row>
    <row r="402" spans="1:209" ht="15" customHeight="1" x14ac:dyDescent="0.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</row>
    <row r="403" spans="1:209" ht="15" customHeight="1" x14ac:dyDescent="0.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</row>
    <row r="404" spans="1:209" ht="15" customHeight="1" x14ac:dyDescent="0.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</row>
    <row r="405" spans="1:209" ht="15" customHeight="1" x14ac:dyDescent="0.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</row>
    <row r="406" spans="1:209" ht="15" customHeight="1" x14ac:dyDescent="0.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</row>
    <row r="407" spans="1:209" ht="15" customHeight="1" x14ac:dyDescent="0.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</row>
    <row r="408" spans="1:209" ht="15" customHeight="1" x14ac:dyDescent="0.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</row>
    <row r="409" spans="1:209" ht="15" customHeight="1" x14ac:dyDescent="0.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</row>
    <row r="410" spans="1:209" ht="15" customHeight="1" x14ac:dyDescent="0.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</row>
    <row r="411" spans="1:209" ht="15" customHeight="1" x14ac:dyDescent="0.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</row>
    <row r="412" spans="1:209" ht="15" customHeight="1" x14ac:dyDescent="0.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</row>
    <row r="413" spans="1:209" ht="15" customHeight="1" x14ac:dyDescent="0.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</row>
    <row r="414" spans="1:209" ht="15" customHeight="1" x14ac:dyDescent="0.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</row>
    <row r="415" spans="1:209" ht="15" customHeight="1" x14ac:dyDescent="0.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</row>
    <row r="416" spans="1:209" ht="15" customHeight="1" x14ac:dyDescent="0.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</row>
    <row r="417" spans="1:209" ht="15" customHeight="1" x14ac:dyDescent="0.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</row>
    <row r="418" spans="1:209" ht="15" customHeight="1" x14ac:dyDescent="0.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</row>
    <row r="419" spans="1:209" ht="15" customHeight="1" x14ac:dyDescent="0.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</row>
    <row r="420" spans="1:209" ht="15" customHeight="1" x14ac:dyDescent="0.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</row>
    <row r="421" spans="1:209" ht="15" customHeight="1" x14ac:dyDescent="0.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</row>
    <row r="422" spans="1:209" ht="15" customHeight="1" x14ac:dyDescent="0.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</row>
    <row r="423" spans="1:209" ht="15" customHeight="1" x14ac:dyDescent="0.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</row>
    <row r="424" spans="1:209" ht="15" customHeight="1" x14ac:dyDescent="0.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</row>
    <row r="425" spans="1:209" ht="15" customHeight="1" x14ac:dyDescent="0.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</row>
    <row r="426" spans="1:209" ht="15" customHeight="1" x14ac:dyDescent="0.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</row>
    <row r="427" spans="1:209" ht="15" customHeight="1" x14ac:dyDescent="0.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</row>
    <row r="428" spans="1:209" ht="15" customHeight="1" x14ac:dyDescent="0.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</row>
    <row r="429" spans="1:209" ht="15" customHeight="1" x14ac:dyDescent="0.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</row>
    <row r="430" spans="1:209" ht="15" customHeight="1" x14ac:dyDescent="0.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</row>
    <row r="431" spans="1:209" ht="15" customHeight="1" x14ac:dyDescent="0.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</row>
    <row r="432" spans="1:209" ht="15" customHeight="1" x14ac:dyDescent="0.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</row>
    <row r="433" spans="1:209" ht="15" customHeight="1" x14ac:dyDescent="0.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</row>
    <row r="434" spans="1:209" ht="15" customHeight="1" x14ac:dyDescent="0.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</row>
    <row r="435" spans="1:209" ht="15" customHeight="1" x14ac:dyDescent="0.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</row>
    <row r="436" spans="1:209" ht="15" customHeight="1" x14ac:dyDescent="0.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</row>
    <row r="437" spans="1:209" ht="15" customHeight="1" x14ac:dyDescent="0.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</row>
    <row r="438" spans="1:209" ht="15" customHeight="1" x14ac:dyDescent="0.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</row>
    <row r="439" spans="1:209" ht="15" customHeight="1" x14ac:dyDescent="0.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</row>
    <row r="440" spans="1:209" ht="15" customHeight="1" x14ac:dyDescent="0.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</row>
    <row r="441" spans="1:209" ht="15" customHeight="1" x14ac:dyDescent="0.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</row>
    <row r="442" spans="1:209" ht="15" customHeight="1" x14ac:dyDescent="0.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</row>
    <row r="443" spans="1:209" ht="15" customHeight="1" x14ac:dyDescent="0.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</row>
    <row r="444" spans="1:209" ht="15" customHeight="1" x14ac:dyDescent="0.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</row>
    <row r="445" spans="1:209" ht="15" customHeight="1" x14ac:dyDescent="0.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</row>
    <row r="446" spans="1:209" ht="15" customHeight="1" x14ac:dyDescent="0.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</row>
    <row r="447" spans="1:209" ht="15" customHeight="1" x14ac:dyDescent="0.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</row>
    <row r="448" spans="1:209" ht="15" customHeight="1" x14ac:dyDescent="0.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</row>
    <row r="449" spans="1:209" ht="15" customHeight="1" x14ac:dyDescent="0.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</row>
    <row r="450" spans="1:209" ht="15" customHeight="1" x14ac:dyDescent="0.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</row>
    <row r="451" spans="1:209" ht="15" customHeight="1" x14ac:dyDescent="0.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</row>
    <row r="452" spans="1:209" ht="15" customHeight="1" x14ac:dyDescent="0.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</row>
    <row r="453" spans="1:209" ht="15" customHeight="1" x14ac:dyDescent="0.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</row>
    <row r="454" spans="1:209" ht="15" customHeight="1" x14ac:dyDescent="0.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</row>
    <row r="455" spans="1:209" ht="15" customHeight="1" x14ac:dyDescent="0.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</row>
    <row r="456" spans="1:209" ht="15" customHeight="1" x14ac:dyDescent="0.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</row>
    <row r="457" spans="1:209" ht="15" customHeight="1" x14ac:dyDescent="0.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</row>
    <row r="458" spans="1:209" ht="15" customHeight="1" x14ac:dyDescent="0.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</row>
    <row r="459" spans="1:209" ht="15" customHeight="1" x14ac:dyDescent="0.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</row>
    <row r="460" spans="1:209" ht="15" customHeight="1" x14ac:dyDescent="0.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</row>
    <row r="461" spans="1:209" ht="15" customHeight="1" x14ac:dyDescent="0.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</row>
    <row r="462" spans="1:209" ht="15" customHeight="1" x14ac:dyDescent="0.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</row>
    <row r="463" spans="1:209" ht="15" customHeight="1" x14ac:dyDescent="0.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</row>
    <row r="464" spans="1:209" ht="15" customHeight="1" x14ac:dyDescent="0.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</row>
    <row r="465" spans="1:209" ht="15" customHeight="1" x14ac:dyDescent="0.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</row>
    <row r="466" spans="1:209" ht="15" customHeight="1" x14ac:dyDescent="0.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</row>
    <row r="467" spans="1:209" ht="15" customHeight="1" x14ac:dyDescent="0.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</row>
    <row r="468" spans="1:209" ht="15" customHeight="1" x14ac:dyDescent="0.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</row>
    <row r="469" spans="1:209" ht="15" customHeight="1" x14ac:dyDescent="0.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</row>
    <row r="470" spans="1:209" ht="15" customHeight="1" x14ac:dyDescent="0.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</row>
    <row r="471" spans="1:209" ht="15" customHeight="1" x14ac:dyDescent="0.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</row>
    <row r="472" spans="1:209" ht="15" customHeight="1" x14ac:dyDescent="0.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</row>
    <row r="473" spans="1:209" ht="15" customHeight="1" x14ac:dyDescent="0.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</row>
    <row r="474" spans="1:209" ht="15" customHeight="1" x14ac:dyDescent="0.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</row>
    <row r="475" spans="1:209" ht="15" customHeight="1" x14ac:dyDescent="0.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</row>
    <row r="476" spans="1:209" ht="15" customHeight="1" x14ac:dyDescent="0.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</row>
    <row r="477" spans="1:209" ht="15" customHeight="1" x14ac:dyDescent="0.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</row>
    <row r="478" spans="1:209" ht="15" customHeight="1" x14ac:dyDescent="0.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</row>
    <row r="479" spans="1:209" ht="15" customHeight="1" x14ac:dyDescent="0.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</row>
    <row r="480" spans="1:209" ht="15" customHeight="1" x14ac:dyDescent="0.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</row>
    <row r="481" spans="1:209" ht="15" customHeight="1" x14ac:dyDescent="0.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</row>
    <row r="482" spans="1:209" ht="15" customHeight="1" x14ac:dyDescent="0.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</row>
    <row r="483" spans="1:209" ht="15" customHeight="1" x14ac:dyDescent="0.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</row>
    <row r="484" spans="1:209" ht="15" customHeight="1" x14ac:dyDescent="0.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</row>
    <row r="485" spans="1:209" ht="15" customHeight="1" x14ac:dyDescent="0.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</row>
    <row r="486" spans="1:209" ht="15" customHeight="1" x14ac:dyDescent="0.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</row>
    <row r="487" spans="1:209" ht="15" customHeight="1" x14ac:dyDescent="0.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</row>
    <row r="488" spans="1:209" ht="15" customHeight="1" x14ac:dyDescent="0.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</row>
    <row r="489" spans="1:209" ht="15" customHeight="1" x14ac:dyDescent="0.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</row>
    <row r="490" spans="1:209" ht="15" customHeight="1" x14ac:dyDescent="0.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</row>
    <row r="491" spans="1:209" ht="15" customHeight="1" x14ac:dyDescent="0.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</row>
    <row r="492" spans="1:209" ht="15" customHeight="1" x14ac:dyDescent="0.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</row>
    <row r="493" spans="1:209" ht="15" customHeight="1" x14ac:dyDescent="0.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</row>
    <row r="494" spans="1:209" ht="15" customHeight="1" x14ac:dyDescent="0.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</row>
    <row r="495" spans="1:209" ht="15" customHeight="1" x14ac:dyDescent="0.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</row>
    <row r="496" spans="1:209" ht="15" customHeight="1" x14ac:dyDescent="0.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</row>
    <row r="497" spans="1:209" ht="15" customHeight="1" x14ac:dyDescent="0.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</row>
    <row r="498" spans="1:209" ht="15" customHeight="1" x14ac:dyDescent="0.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</row>
    <row r="499" spans="1:209" ht="15" customHeight="1" x14ac:dyDescent="0.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</row>
    <row r="500" spans="1:209" ht="15" customHeight="1" x14ac:dyDescent="0.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L187"/>
  <sheetViews>
    <sheetView topLeftCell="A4" workbookViewId="0">
      <selection activeCell="D5" sqref="D5"/>
    </sheetView>
  </sheetViews>
  <sheetFormatPr baseColWidth="10" defaultRowHeight="13" x14ac:dyDescent="0.15"/>
  <cols>
    <col min="1" max="1" width="33.6640625" bestFit="1" customWidth="1"/>
    <col min="2" max="2" width="9" customWidth="1"/>
    <col min="3" max="3" width="9" style="6" customWidth="1"/>
    <col min="4" max="4" width="21.6640625" bestFit="1" customWidth="1"/>
    <col min="5" max="5" width="3.33203125" bestFit="1" customWidth="1"/>
    <col min="6" max="6" width="4.83203125" bestFit="1" customWidth="1"/>
    <col min="7" max="7" width="3.33203125" bestFit="1" customWidth="1"/>
    <col min="8" max="8" width="21.6640625" bestFit="1" customWidth="1"/>
    <col min="10" max="10" width="18" bestFit="1" customWidth="1"/>
    <col min="11" max="11" width="14" bestFit="1" customWidth="1"/>
    <col min="15" max="15" width="14.33203125" bestFit="1" customWidth="1"/>
    <col min="16" max="16" width="39.83203125" bestFit="1" customWidth="1"/>
  </cols>
  <sheetData>
    <row r="1" spans="1:12" s="1" customFormat="1" ht="14" thickBot="1" x14ac:dyDescent="0.2">
      <c r="C1" s="53"/>
      <c r="D1" s="1" t="s">
        <v>32</v>
      </c>
      <c r="E1" s="1" t="s">
        <v>33</v>
      </c>
      <c r="F1" s="1" t="s">
        <v>34</v>
      </c>
      <c r="G1" s="1" t="s">
        <v>35</v>
      </c>
      <c r="H1" s="1" t="s">
        <v>36</v>
      </c>
      <c r="J1" s="1" t="s">
        <v>130</v>
      </c>
      <c r="K1" s="1" t="s">
        <v>131</v>
      </c>
      <c r="L1" s="61" t="s">
        <v>166</v>
      </c>
    </row>
    <row r="2" spans="1:12" x14ac:dyDescent="0.15">
      <c r="A2" s="1" t="s">
        <v>37</v>
      </c>
      <c r="B2" s="38">
        <v>3</v>
      </c>
      <c r="C2" s="36"/>
      <c r="D2" t="s">
        <v>38</v>
      </c>
      <c r="E2">
        <v>1</v>
      </c>
      <c r="F2">
        <v>1</v>
      </c>
      <c r="G2">
        <v>1</v>
      </c>
      <c r="H2" t="s">
        <v>38</v>
      </c>
      <c r="J2" s="54"/>
      <c r="K2" s="55"/>
      <c r="L2" s="61" t="s">
        <v>167</v>
      </c>
    </row>
    <row r="3" spans="1:12" ht="14" thickBot="1" x14ac:dyDescent="0.2">
      <c r="A3" s="1" t="s">
        <v>39</v>
      </c>
      <c r="B3" s="39">
        <v>0</v>
      </c>
      <c r="C3" s="36"/>
      <c r="D3" t="s">
        <v>40</v>
      </c>
      <c r="E3">
        <v>2</v>
      </c>
      <c r="F3">
        <v>1.1000000000000001</v>
      </c>
      <c r="G3">
        <v>2</v>
      </c>
      <c r="H3" t="s">
        <v>40</v>
      </c>
      <c r="J3" s="56"/>
      <c r="K3" s="57"/>
    </row>
    <row r="4" spans="1:12" x14ac:dyDescent="0.15">
      <c r="D4" t="s">
        <v>41</v>
      </c>
      <c r="E4">
        <v>3</v>
      </c>
      <c r="F4">
        <v>1.2</v>
      </c>
      <c r="G4">
        <v>3</v>
      </c>
      <c r="H4" t="s">
        <v>41</v>
      </c>
      <c r="J4" s="56"/>
      <c r="K4" s="57"/>
    </row>
    <row r="5" spans="1:12" x14ac:dyDescent="0.15">
      <c r="D5" s="194" t="s">
        <v>192</v>
      </c>
      <c r="E5">
        <v>4</v>
      </c>
      <c r="F5">
        <v>3.16</v>
      </c>
      <c r="G5">
        <v>4</v>
      </c>
      <c r="H5" s="195" t="s">
        <v>192</v>
      </c>
      <c r="J5" s="56"/>
      <c r="K5" s="57"/>
    </row>
    <row r="6" spans="1:12" ht="14" thickBot="1" x14ac:dyDescent="0.2">
      <c r="A6" s="40" t="s">
        <v>121</v>
      </c>
      <c r="D6" s="194" t="s">
        <v>193</v>
      </c>
      <c r="E6">
        <v>5</v>
      </c>
      <c r="F6">
        <v>3.16</v>
      </c>
      <c r="G6">
        <v>5</v>
      </c>
      <c r="H6" s="195" t="s">
        <v>193</v>
      </c>
      <c r="J6" s="56"/>
      <c r="K6" s="57"/>
    </row>
    <row r="7" spans="1:12" x14ac:dyDescent="0.15">
      <c r="A7" s="35" t="s">
        <v>126</v>
      </c>
      <c r="B7" s="42">
        <v>1</v>
      </c>
      <c r="C7" s="37"/>
      <c r="D7" s="194" t="s">
        <v>194</v>
      </c>
      <c r="E7">
        <v>6</v>
      </c>
      <c r="F7">
        <v>3.16</v>
      </c>
      <c r="G7">
        <v>6</v>
      </c>
      <c r="H7" s="195" t="s">
        <v>194</v>
      </c>
      <c r="J7" s="56"/>
      <c r="K7" s="57"/>
    </row>
    <row r="8" spans="1:12" x14ac:dyDescent="0.15">
      <c r="A8" s="35" t="s">
        <v>38</v>
      </c>
      <c r="B8" s="43">
        <v>1</v>
      </c>
      <c r="C8" s="37"/>
      <c r="D8" s="194" t="s">
        <v>195</v>
      </c>
      <c r="E8">
        <v>7</v>
      </c>
      <c r="F8">
        <v>3.16</v>
      </c>
      <c r="G8">
        <v>7</v>
      </c>
      <c r="H8" s="195" t="s">
        <v>195</v>
      </c>
      <c r="J8" s="56"/>
      <c r="K8" s="57"/>
    </row>
    <row r="9" spans="1:12" x14ac:dyDescent="0.15">
      <c r="A9" s="35" t="s">
        <v>40</v>
      </c>
      <c r="B9" s="43">
        <v>1.1000000000000001</v>
      </c>
      <c r="C9" s="37"/>
      <c r="D9" s="194" t="s">
        <v>196</v>
      </c>
      <c r="E9">
        <v>8</v>
      </c>
      <c r="F9">
        <v>3.24</v>
      </c>
      <c r="G9">
        <v>8</v>
      </c>
      <c r="H9" s="195" t="s">
        <v>196</v>
      </c>
      <c r="J9" s="56"/>
      <c r="K9" s="57"/>
    </row>
    <row r="10" spans="1:12" x14ac:dyDescent="0.15">
      <c r="A10" s="35" t="s">
        <v>41</v>
      </c>
      <c r="B10" s="43">
        <v>1.2</v>
      </c>
      <c r="C10" s="37"/>
      <c r="D10" s="194" t="s">
        <v>197</v>
      </c>
      <c r="E10">
        <v>9</v>
      </c>
      <c r="F10">
        <v>3.24</v>
      </c>
      <c r="G10">
        <v>9</v>
      </c>
      <c r="H10" s="195" t="s">
        <v>197</v>
      </c>
      <c r="J10" s="56"/>
      <c r="K10" s="57"/>
    </row>
    <row r="11" spans="1:12" ht="12" customHeight="1" x14ac:dyDescent="0.15">
      <c r="A11" s="41" t="s">
        <v>127</v>
      </c>
      <c r="B11" s="43">
        <v>2</v>
      </c>
      <c r="C11" s="37"/>
      <c r="D11" s="194" t="s">
        <v>198</v>
      </c>
      <c r="E11">
        <v>10</v>
      </c>
      <c r="F11">
        <v>3.24</v>
      </c>
      <c r="G11">
        <v>10</v>
      </c>
      <c r="H11" s="195" t="s">
        <v>198</v>
      </c>
      <c r="J11" s="56"/>
      <c r="K11" s="57"/>
    </row>
    <row r="12" spans="1:12" x14ac:dyDescent="0.15">
      <c r="A12" s="35" t="s">
        <v>42</v>
      </c>
      <c r="B12" s="43">
        <v>2.1</v>
      </c>
      <c r="C12" s="37"/>
      <c r="D12" s="194" t="s">
        <v>199</v>
      </c>
      <c r="E12">
        <v>11</v>
      </c>
      <c r="F12">
        <v>3.24</v>
      </c>
      <c r="G12">
        <v>11</v>
      </c>
      <c r="H12" s="195" t="s">
        <v>199</v>
      </c>
      <c r="J12" s="56"/>
      <c r="K12" s="57"/>
    </row>
    <row r="13" spans="1:12" x14ac:dyDescent="0.15">
      <c r="A13" s="35" t="s">
        <v>43</v>
      </c>
      <c r="B13" s="43">
        <v>2.2000000000000002</v>
      </c>
      <c r="C13" s="37"/>
      <c r="D13" s="194" t="s">
        <v>200</v>
      </c>
      <c r="E13">
        <v>12</v>
      </c>
      <c r="F13">
        <v>3.24</v>
      </c>
      <c r="G13">
        <v>12</v>
      </c>
      <c r="H13" s="195" t="s">
        <v>200</v>
      </c>
      <c r="J13" s="56"/>
      <c r="K13" s="57"/>
    </row>
    <row r="14" spans="1:12" x14ac:dyDescent="0.15">
      <c r="A14" s="35" t="s">
        <v>67</v>
      </c>
      <c r="B14" s="43">
        <v>2.2999999999999998</v>
      </c>
      <c r="C14" s="37"/>
      <c r="D14" s="194" t="s">
        <v>201</v>
      </c>
      <c r="E14">
        <v>13</v>
      </c>
      <c r="F14">
        <v>3.24</v>
      </c>
      <c r="G14">
        <v>13</v>
      </c>
      <c r="H14" s="195" t="s">
        <v>201</v>
      </c>
      <c r="J14" s="56"/>
      <c r="K14" s="57"/>
    </row>
    <row r="15" spans="1:12" x14ac:dyDescent="0.15">
      <c r="A15" s="41" t="s">
        <v>128</v>
      </c>
      <c r="B15" s="43">
        <v>3</v>
      </c>
      <c r="C15" s="37"/>
      <c r="D15" s="194" t="s">
        <v>202</v>
      </c>
      <c r="E15">
        <v>14</v>
      </c>
      <c r="F15">
        <v>3.24</v>
      </c>
      <c r="G15">
        <v>14</v>
      </c>
      <c r="H15" s="195" t="s">
        <v>202</v>
      </c>
      <c r="J15" s="56"/>
      <c r="K15" s="57"/>
    </row>
    <row r="16" spans="1:12" x14ac:dyDescent="0.15">
      <c r="A16" s="35" t="s">
        <v>62</v>
      </c>
      <c r="B16" s="43">
        <v>3.11</v>
      </c>
      <c r="C16" s="37"/>
      <c r="D16" s="194" t="s">
        <v>203</v>
      </c>
      <c r="E16">
        <v>15</v>
      </c>
      <c r="F16">
        <v>3.24</v>
      </c>
      <c r="G16">
        <v>15</v>
      </c>
      <c r="H16" s="195" t="s">
        <v>203</v>
      </c>
      <c r="J16" s="56"/>
      <c r="K16" s="57"/>
    </row>
    <row r="17" spans="1:12" x14ac:dyDescent="0.15">
      <c r="A17" s="35" t="s">
        <v>61</v>
      </c>
      <c r="B17" s="43">
        <v>3.12</v>
      </c>
      <c r="C17" s="37"/>
      <c r="D17" s="194" t="s">
        <v>204</v>
      </c>
      <c r="E17">
        <v>16</v>
      </c>
      <c r="F17">
        <v>3.04</v>
      </c>
      <c r="G17">
        <v>16</v>
      </c>
      <c r="H17" s="195" t="s">
        <v>204</v>
      </c>
      <c r="J17" s="56"/>
      <c r="K17" s="57"/>
    </row>
    <row r="18" spans="1:12" x14ac:dyDescent="0.15">
      <c r="A18" s="35" t="s">
        <v>68</v>
      </c>
      <c r="B18" s="43">
        <v>3.13</v>
      </c>
      <c r="C18" s="37"/>
      <c r="D18" s="194" t="s">
        <v>205</v>
      </c>
      <c r="E18">
        <v>17</v>
      </c>
      <c r="F18">
        <v>3.24</v>
      </c>
      <c r="G18">
        <v>17</v>
      </c>
      <c r="H18" s="195" t="s">
        <v>205</v>
      </c>
      <c r="J18" s="56"/>
      <c r="K18" s="57"/>
    </row>
    <row r="19" spans="1:12" x14ac:dyDescent="0.15">
      <c r="A19" s="35" t="s">
        <v>66</v>
      </c>
      <c r="B19" s="43">
        <v>3.21</v>
      </c>
      <c r="C19" s="37"/>
      <c r="D19" s="194" t="s">
        <v>206</v>
      </c>
      <c r="E19">
        <v>18</v>
      </c>
      <c r="F19">
        <v>3.24</v>
      </c>
      <c r="G19">
        <v>18</v>
      </c>
      <c r="H19" s="195" t="s">
        <v>206</v>
      </c>
      <c r="J19" s="56"/>
      <c r="K19" s="57"/>
    </row>
    <row r="20" spans="1:12" x14ac:dyDescent="0.15">
      <c r="A20" s="35" t="s">
        <v>63</v>
      </c>
      <c r="B20" s="43">
        <v>3.22</v>
      </c>
      <c r="C20" s="37"/>
      <c r="D20" s="194" t="s">
        <v>207</v>
      </c>
      <c r="E20">
        <v>19</v>
      </c>
      <c r="F20">
        <v>3.14</v>
      </c>
      <c r="G20">
        <v>19</v>
      </c>
      <c r="H20" s="195" t="s">
        <v>207</v>
      </c>
      <c r="J20" s="56"/>
      <c r="K20" s="57"/>
    </row>
    <row r="21" spans="1:12" ht="14" thickBot="1" x14ac:dyDescent="0.2">
      <c r="A21" s="35" t="s">
        <v>69</v>
      </c>
      <c r="B21" s="43">
        <v>3.23</v>
      </c>
      <c r="C21" s="37"/>
      <c r="D21" s="194" t="s">
        <v>208</v>
      </c>
      <c r="E21">
        <v>20</v>
      </c>
      <c r="F21">
        <v>3.14</v>
      </c>
      <c r="G21">
        <v>20</v>
      </c>
      <c r="H21" s="195" t="s">
        <v>208</v>
      </c>
      <c r="J21" s="58"/>
      <c r="K21" s="59"/>
      <c r="L21" s="61" t="s">
        <v>152</v>
      </c>
    </row>
    <row r="22" spans="1:12" x14ac:dyDescent="0.15">
      <c r="A22" s="35" t="s">
        <v>64</v>
      </c>
      <c r="B22" s="43">
        <v>8</v>
      </c>
      <c r="C22" s="37"/>
      <c r="D22" s="194" t="s">
        <v>209</v>
      </c>
      <c r="E22">
        <v>21</v>
      </c>
      <c r="F22">
        <v>3.24</v>
      </c>
      <c r="G22">
        <v>21</v>
      </c>
      <c r="H22" s="195" t="s">
        <v>209</v>
      </c>
    </row>
    <row r="23" spans="1:12" x14ac:dyDescent="0.15">
      <c r="A23" s="35" t="s">
        <v>129</v>
      </c>
      <c r="B23" s="43">
        <v>4</v>
      </c>
      <c r="C23" s="37"/>
      <c r="D23" s="194" t="s">
        <v>210</v>
      </c>
      <c r="E23">
        <v>22</v>
      </c>
      <c r="F23">
        <v>3.1</v>
      </c>
      <c r="G23">
        <v>22</v>
      </c>
      <c r="H23" s="195" t="s">
        <v>210</v>
      </c>
    </row>
    <row r="24" spans="1:12" x14ac:dyDescent="0.15">
      <c r="A24" s="35" t="s">
        <v>122</v>
      </c>
      <c r="B24" s="43">
        <v>4.0999999999999996</v>
      </c>
      <c r="C24" s="37"/>
      <c r="D24" s="194" t="s">
        <v>211</v>
      </c>
      <c r="E24">
        <v>23</v>
      </c>
      <c r="F24">
        <v>3.14</v>
      </c>
      <c r="G24">
        <v>23</v>
      </c>
      <c r="H24" s="195" t="s">
        <v>211</v>
      </c>
    </row>
    <row r="25" spans="1:12" x14ac:dyDescent="0.15">
      <c r="A25" s="35" t="s">
        <v>70</v>
      </c>
      <c r="B25" s="43">
        <v>4.2</v>
      </c>
      <c r="C25" s="37"/>
      <c r="D25" s="194" t="s">
        <v>212</v>
      </c>
      <c r="E25">
        <v>24</v>
      </c>
      <c r="F25">
        <v>3.14</v>
      </c>
      <c r="G25">
        <v>24</v>
      </c>
      <c r="H25" s="195" t="s">
        <v>212</v>
      </c>
    </row>
    <row r="26" spans="1:12" x14ac:dyDescent="0.15">
      <c r="A26" s="35" t="s">
        <v>123</v>
      </c>
      <c r="B26" s="43">
        <v>4.3</v>
      </c>
      <c r="C26" s="37"/>
      <c r="D26" s="194" t="s">
        <v>213</v>
      </c>
      <c r="E26">
        <v>25</v>
      </c>
      <c r="F26">
        <v>3.02</v>
      </c>
      <c r="G26">
        <v>25</v>
      </c>
      <c r="H26" s="195" t="s">
        <v>213</v>
      </c>
    </row>
    <row r="27" spans="1:12" x14ac:dyDescent="0.15">
      <c r="A27" s="35" t="s">
        <v>125</v>
      </c>
      <c r="B27" s="43">
        <v>6.1</v>
      </c>
      <c r="D27" s="194" t="s">
        <v>214</v>
      </c>
      <c r="E27">
        <v>26</v>
      </c>
      <c r="F27">
        <v>3.02</v>
      </c>
      <c r="G27">
        <v>26</v>
      </c>
      <c r="H27" s="195" t="s">
        <v>214</v>
      </c>
    </row>
    <row r="28" spans="1:12" x14ac:dyDescent="0.15">
      <c r="A28" s="35" t="s">
        <v>124</v>
      </c>
      <c r="B28" s="43">
        <v>6.2</v>
      </c>
      <c r="D28" s="194" t="s">
        <v>215</v>
      </c>
      <c r="E28">
        <v>27</v>
      </c>
      <c r="F28">
        <v>3.21</v>
      </c>
      <c r="G28">
        <v>27</v>
      </c>
      <c r="H28" s="195" t="s">
        <v>215</v>
      </c>
    </row>
    <row r="29" spans="1:12" x14ac:dyDescent="0.15">
      <c r="A29" s="35" t="s">
        <v>44</v>
      </c>
      <c r="B29" s="43">
        <v>5</v>
      </c>
      <c r="D29" s="194" t="s">
        <v>216</v>
      </c>
      <c r="E29">
        <v>28</v>
      </c>
      <c r="F29">
        <v>3.01</v>
      </c>
      <c r="G29">
        <v>28</v>
      </c>
      <c r="H29" s="195" t="s">
        <v>216</v>
      </c>
    </row>
    <row r="30" spans="1:12" x14ac:dyDescent="0.15">
      <c r="A30" s="35" t="s">
        <v>73</v>
      </c>
      <c r="B30" s="43">
        <v>7</v>
      </c>
      <c r="D30" s="194" t="s">
        <v>217</v>
      </c>
      <c r="E30">
        <v>29</v>
      </c>
      <c r="F30">
        <v>3.21</v>
      </c>
      <c r="G30">
        <v>29</v>
      </c>
      <c r="H30" s="195" t="s">
        <v>217</v>
      </c>
    </row>
    <row r="31" spans="1:12" x14ac:dyDescent="0.15">
      <c r="A31" s="35" t="s">
        <v>169</v>
      </c>
      <c r="B31" s="43">
        <v>3.14</v>
      </c>
      <c r="D31" s="194" t="s">
        <v>218</v>
      </c>
      <c r="E31">
        <v>30</v>
      </c>
      <c r="F31">
        <v>3.21</v>
      </c>
      <c r="G31">
        <v>30</v>
      </c>
      <c r="H31" s="195" t="s">
        <v>218</v>
      </c>
    </row>
    <row r="32" spans="1:12" ht="12" customHeight="1" thickBot="1" x14ac:dyDescent="0.2">
      <c r="A32" s="41" t="s">
        <v>170</v>
      </c>
      <c r="B32" s="44">
        <v>9</v>
      </c>
      <c r="D32" s="194" t="s">
        <v>219</v>
      </c>
      <c r="E32">
        <v>31</v>
      </c>
      <c r="F32">
        <v>3.11</v>
      </c>
      <c r="G32">
        <v>31</v>
      </c>
      <c r="H32" s="195" t="s">
        <v>219</v>
      </c>
    </row>
    <row r="33" spans="4:8" customFormat="1" ht="12" customHeight="1" x14ac:dyDescent="0.15">
      <c r="D33" s="194" t="s">
        <v>220</v>
      </c>
      <c r="E33">
        <v>32</v>
      </c>
      <c r="F33">
        <v>3.11</v>
      </c>
      <c r="G33">
        <v>32</v>
      </c>
      <c r="H33" s="195" t="s">
        <v>220</v>
      </c>
    </row>
    <row r="34" spans="4:8" customFormat="1" ht="12" customHeight="1" x14ac:dyDescent="0.15">
      <c r="D34" s="194" t="s">
        <v>221</v>
      </c>
      <c r="E34">
        <v>33</v>
      </c>
      <c r="F34">
        <v>2.1</v>
      </c>
      <c r="G34">
        <v>33</v>
      </c>
      <c r="H34" s="195" t="s">
        <v>221</v>
      </c>
    </row>
    <row r="35" spans="4:8" customFormat="1" x14ac:dyDescent="0.15">
      <c r="D35" s="194" t="s">
        <v>222</v>
      </c>
      <c r="E35">
        <v>34</v>
      </c>
      <c r="F35">
        <v>4.0999999999999996</v>
      </c>
      <c r="G35">
        <v>34</v>
      </c>
      <c r="H35" s="195" t="s">
        <v>222</v>
      </c>
    </row>
    <row r="36" spans="4:8" customFormat="1" x14ac:dyDescent="0.15">
      <c r="D36" s="194" t="s">
        <v>223</v>
      </c>
      <c r="E36">
        <v>35</v>
      </c>
      <c r="F36">
        <v>4.3</v>
      </c>
      <c r="G36">
        <v>35</v>
      </c>
      <c r="H36" s="195" t="s">
        <v>223</v>
      </c>
    </row>
    <row r="37" spans="4:8" customFormat="1" ht="12" customHeight="1" x14ac:dyDescent="0.15">
      <c r="D37" s="194" t="s">
        <v>224</v>
      </c>
      <c r="E37">
        <v>36</v>
      </c>
      <c r="F37">
        <v>5</v>
      </c>
      <c r="G37">
        <v>36</v>
      </c>
      <c r="H37" s="195" t="s">
        <v>224</v>
      </c>
    </row>
    <row r="38" spans="4:8" customFormat="1" x14ac:dyDescent="0.15">
      <c r="D38" s="194" t="s">
        <v>138</v>
      </c>
      <c r="E38">
        <v>37</v>
      </c>
      <c r="F38">
        <v>6.1</v>
      </c>
      <c r="G38">
        <v>37</v>
      </c>
      <c r="H38" s="195" t="s">
        <v>138</v>
      </c>
    </row>
    <row r="39" spans="4:8" customFormat="1" x14ac:dyDescent="0.15">
      <c r="D39" s="194" t="s">
        <v>45</v>
      </c>
      <c r="E39">
        <v>38</v>
      </c>
      <c r="F39">
        <v>6.2</v>
      </c>
      <c r="G39">
        <v>38</v>
      </c>
      <c r="H39" s="195" t="s">
        <v>45</v>
      </c>
    </row>
    <row r="40" spans="4:8" customFormat="1" x14ac:dyDescent="0.15"/>
    <row r="41" spans="4:8" customFormat="1" x14ac:dyDescent="0.15"/>
    <row r="42" spans="4:8" customFormat="1" x14ac:dyDescent="0.15"/>
    <row r="43" spans="4:8" customFormat="1" x14ac:dyDescent="0.15"/>
    <row r="44" spans="4:8" customFormat="1" x14ac:dyDescent="0.15"/>
    <row r="45" spans="4:8" customFormat="1" x14ac:dyDescent="0.15"/>
    <row r="46" spans="4:8" customFormat="1" x14ac:dyDescent="0.15"/>
    <row r="47" spans="4:8" customFormat="1" x14ac:dyDescent="0.15"/>
    <row r="48" spans="4:8" customFormat="1" x14ac:dyDescent="0.15"/>
    <row r="49" customFormat="1" x14ac:dyDescent="0.15"/>
    <row r="50" customFormat="1" ht="12" customHeight="1" x14ac:dyDescent="0.15"/>
    <row r="51" customFormat="1" x14ac:dyDescent="0.15"/>
    <row r="52" customFormat="1" ht="12" customHeight="1" x14ac:dyDescent="0.15"/>
    <row r="53" customFormat="1" x14ac:dyDescent="0.15"/>
    <row r="54" customFormat="1" ht="12" customHeight="1" x14ac:dyDescent="0.15"/>
    <row r="55" customFormat="1" ht="12" customHeight="1" x14ac:dyDescent="0.15"/>
    <row r="56" customFormat="1" x14ac:dyDescent="0.15"/>
    <row r="57" customFormat="1" x14ac:dyDescent="0.15"/>
    <row r="58" customFormat="1" x14ac:dyDescent="0.15"/>
    <row r="59" customFormat="1" x14ac:dyDescent="0.15"/>
    <row r="60" customFormat="1" x14ac:dyDescent="0.15"/>
    <row r="61" customFormat="1" x14ac:dyDescent="0.15"/>
    <row r="62" customFormat="1" x14ac:dyDescent="0.15"/>
    <row r="63" customFormat="1" x14ac:dyDescent="0.15"/>
    <row r="64" customFormat="1" x14ac:dyDescent="0.15"/>
    <row r="65" customFormat="1" x14ac:dyDescent="0.15"/>
    <row r="66" customFormat="1" x14ac:dyDescent="0.15"/>
    <row r="67" customFormat="1" x14ac:dyDescent="0.15"/>
    <row r="68" customFormat="1" x14ac:dyDescent="0.15"/>
    <row r="69" customFormat="1" x14ac:dyDescent="0.15"/>
    <row r="70" customFormat="1" x14ac:dyDescent="0.15"/>
    <row r="71" customFormat="1" x14ac:dyDescent="0.15"/>
    <row r="72" customFormat="1" x14ac:dyDescent="0.15"/>
    <row r="73" customFormat="1" x14ac:dyDescent="0.15"/>
    <row r="74" customFormat="1" x14ac:dyDescent="0.15"/>
    <row r="75" customFormat="1" x14ac:dyDescent="0.15"/>
    <row r="76" customFormat="1" x14ac:dyDescent="0.15"/>
    <row r="77" customFormat="1" x14ac:dyDescent="0.15"/>
    <row r="78" customFormat="1" x14ac:dyDescent="0.15"/>
    <row r="79" customFormat="1" x14ac:dyDescent="0.15"/>
    <row r="80" customFormat="1" x14ac:dyDescent="0.15"/>
    <row r="81" customFormat="1" x14ac:dyDescent="0.15"/>
    <row r="82" customFormat="1" x14ac:dyDescent="0.15"/>
    <row r="83" customFormat="1" x14ac:dyDescent="0.15"/>
    <row r="84" customFormat="1" x14ac:dyDescent="0.15"/>
    <row r="85" customFormat="1" x14ac:dyDescent="0.15"/>
    <row r="86" customFormat="1" x14ac:dyDescent="0.15"/>
    <row r="87" customFormat="1" x14ac:dyDescent="0.15"/>
    <row r="88" customFormat="1" x14ac:dyDescent="0.15"/>
    <row r="89" customFormat="1" x14ac:dyDescent="0.15"/>
    <row r="90" customFormat="1" x14ac:dyDescent="0.15"/>
    <row r="91" customFormat="1" x14ac:dyDescent="0.15"/>
    <row r="92" customFormat="1" x14ac:dyDescent="0.15"/>
    <row r="93" customFormat="1" x14ac:dyDescent="0.15"/>
    <row r="94" customFormat="1" x14ac:dyDescent="0.15"/>
    <row r="95" customFormat="1" x14ac:dyDescent="0.15"/>
    <row r="96" customFormat="1" x14ac:dyDescent="0.15"/>
    <row r="97" customFormat="1" x14ac:dyDescent="0.15"/>
    <row r="98" customFormat="1" x14ac:dyDescent="0.15"/>
    <row r="99" customFormat="1" x14ac:dyDescent="0.15"/>
    <row r="100" customFormat="1" x14ac:dyDescent="0.15"/>
    <row r="101" customFormat="1" x14ac:dyDescent="0.15"/>
    <row r="102" customFormat="1" x14ac:dyDescent="0.15"/>
    <row r="103" customFormat="1" x14ac:dyDescent="0.15"/>
    <row r="104" customFormat="1" x14ac:dyDescent="0.15"/>
    <row r="105" customFormat="1" x14ac:dyDescent="0.15"/>
    <row r="106" customFormat="1" x14ac:dyDescent="0.15"/>
    <row r="107" customFormat="1" x14ac:dyDescent="0.15"/>
    <row r="108" customFormat="1" x14ac:dyDescent="0.15"/>
    <row r="109" customFormat="1" x14ac:dyDescent="0.15"/>
    <row r="110" customFormat="1" x14ac:dyDescent="0.15"/>
    <row r="111" customFormat="1" x14ac:dyDescent="0.15"/>
    <row r="112" customFormat="1" x14ac:dyDescent="0.15"/>
    <row r="113" customFormat="1" x14ac:dyDescent="0.15"/>
    <row r="114" customFormat="1" x14ac:dyDescent="0.15"/>
    <row r="115" customFormat="1" x14ac:dyDescent="0.15"/>
    <row r="116" customFormat="1" x14ac:dyDescent="0.15"/>
    <row r="117" customFormat="1" x14ac:dyDescent="0.15"/>
    <row r="118" customFormat="1" x14ac:dyDescent="0.15"/>
    <row r="119" customFormat="1" x14ac:dyDescent="0.15"/>
    <row r="120" customFormat="1" x14ac:dyDescent="0.15"/>
    <row r="121" customFormat="1" x14ac:dyDescent="0.15"/>
    <row r="122" customFormat="1" x14ac:dyDescent="0.15"/>
    <row r="123" customFormat="1" x14ac:dyDescent="0.15"/>
    <row r="124" customFormat="1" x14ac:dyDescent="0.15"/>
    <row r="125" customFormat="1" x14ac:dyDescent="0.15"/>
    <row r="126" customFormat="1" x14ac:dyDescent="0.15"/>
    <row r="127" customFormat="1" x14ac:dyDescent="0.15"/>
    <row r="12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W188"/>
  <sheetViews>
    <sheetView topLeftCell="B1" workbookViewId="0">
      <pane ySplit="2" topLeftCell="A3" activePane="bottomLeft" state="frozen"/>
      <selection pane="bottomLeft" activeCell="D4" sqref="D4"/>
    </sheetView>
  </sheetViews>
  <sheetFormatPr baseColWidth="10" defaultColWidth="11.5" defaultRowHeight="15" customHeight="1" x14ac:dyDescent="0.15"/>
  <cols>
    <col min="1" max="1" width="40.1640625" style="82" bestFit="1" customWidth="1"/>
    <col min="2" max="2" width="5.83203125" style="81" customWidth="1"/>
    <col min="3" max="3" width="13.1640625" style="81" customWidth="1"/>
    <col min="4" max="4" width="39.6640625" style="81" customWidth="1"/>
    <col min="5" max="5" width="8.1640625" style="81" customWidth="1"/>
    <col min="6" max="6" width="21.6640625" style="81" bestFit="1" customWidth="1"/>
    <col min="7" max="9" width="2.33203125" style="81" customWidth="1"/>
    <col min="10" max="10" width="2.33203125" style="81" bestFit="1" customWidth="1"/>
    <col min="11" max="15" width="2.33203125" style="81" customWidth="1"/>
    <col min="16" max="16" width="2.33203125" style="72" customWidth="1"/>
    <col min="17" max="17" width="2.33203125" style="81" customWidth="1"/>
    <col min="18" max="18" width="2.33203125" style="73" customWidth="1"/>
    <col min="19" max="16384" width="11.5" style="81"/>
  </cols>
  <sheetData>
    <row r="1" spans="1:23" ht="15" customHeight="1" thickBot="1" x14ac:dyDescent="0.2">
      <c r="F1" s="1"/>
      <c r="G1" s="70" t="s">
        <v>46</v>
      </c>
      <c r="H1" s="70" t="s">
        <v>47</v>
      </c>
      <c r="I1" s="70" t="s">
        <v>120</v>
      </c>
      <c r="J1" s="70" t="s">
        <v>132</v>
      </c>
      <c r="K1" s="83" t="s">
        <v>48</v>
      </c>
      <c r="L1" s="73"/>
      <c r="M1" s="83" t="s">
        <v>119</v>
      </c>
      <c r="N1" s="73"/>
      <c r="O1" s="83" t="s">
        <v>49</v>
      </c>
      <c r="P1" s="75"/>
      <c r="Q1" s="83" t="s">
        <v>50</v>
      </c>
      <c r="R1" s="70" t="s">
        <v>154</v>
      </c>
    </row>
    <row r="2" spans="1:23" ht="15" customHeight="1" x14ac:dyDescent="0.15">
      <c r="A2" s="83" t="s">
        <v>51</v>
      </c>
      <c r="B2" s="84">
        <v>0.5</v>
      </c>
      <c r="C2" s="82" t="s">
        <v>52</v>
      </c>
      <c r="D2" s="85"/>
      <c r="F2" s="1"/>
      <c r="G2" s="86"/>
      <c r="H2" s="86"/>
      <c r="I2" s="86" t="s">
        <v>133</v>
      </c>
      <c r="J2" s="86" t="s">
        <v>133</v>
      </c>
      <c r="K2" s="86" t="s">
        <v>52</v>
      </c>
      <c r="L2" s="86" t="s">
        <v>53</v>
      </c>
      <c r="M2" s="86" t="s">
        <v>52</v>
      </c>
      <c r="N2" s="86" t="s">
        <v>53</v>
      </c>
      <c r="O2" s="86" t="s">
        <v>52</v>
      </c>
      <c r="P2" s="87" t="s">
        <v>53</v>
      </c>
      <c r="Q2" s="86"/>
      <c r="R2" s="88" t="s">
        <v>155</v>
      </c>
    </row>
    <row r="3" spans="1:23" ht="15" customHeight="1" thickBot="1" x14ac:dyDescent="0.2">
      <c r="A3" s="83" t="s">
        <v>54</v>
      </c>
      <c r="B3" s="89">
        <v>0.5</v>
      </c>
      <c r="C3" s="82" t="s">
        <v>53</v>
      </c>
      <c r="D3" s="85"/>
      <c r="F3" t="s">
        <v>38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 s="137">
        <v>0</v>
      </c>
      <c r="R3" s="37">
        <v>0</v>
      </c>
    </row>
    <row r="4" spans="1:23" ht="15" customHeight="1" thickBot="1" x14ac:dyDescent="0.2">
      <c r="F4" t="s">
        <v>40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 s="137">
        <v>0</v>
      </c>
      <c r="R4" s="109">
        <v>0</v>
      </c>
    </row>
    <row r="5" spans="1:23" ht="15" customHeight="1" x14ac:dyDescent="0.15">
      <c r="A5" s="83" t="s">
        <v>55</v>
      </c>
      <c r="B5" s="90">
        <v>0.5</v>
      </c>
      <c r="C5" s="82" t="s">
        <v>52</v>
      </c>
      <c r="D5" s="85"/>
      <c r="F5" t="s">
        <v>41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137">
        <v>0</v>
      </c>
      <c r="R5" s="109">
        <v>0</v>
      </c>
    </row>
    <row r="6" spans="1:23" ht="15" customHeight="1" thickBot="1" x14ac:dyDescent="0.2">
      <c r="A6" s="83"/>
      <c r="B6" s="91">
        <v>0.5</v>
      </c>
      <c r="C6" s="82" t="s">
        <v>53</v>
      </c>
      <c r="D6" s="85"/>
      <c r="F6" s="196" t="s">
        <v>192</v>
      </c>
      <c r="G6" s="81">
        <v>0</v>
      </c>
      <c r="H6" s="81">
        <v>0</v>
      </c>
      <c r="I6" s="81">
        <v>0</v>
      </c>
      <c r="J6" s="81">
        <v>0</v>
      </c>
      <c r="K6" s="81">
        <v>1</v>
      </c>
      <c r="L6" s="81">
        <v>0</v>
      </c>
      <c r="M6" s="81">
        <v>1</v>
      </c>
      <c r="N6" s="81">
        <v>0</v>
      </c>
      <c r="O6" s="81">
        <v>1</v>
      </c>
      <c r="P6" s="72">
        <v>0</v>
      </c>
      <c r="Q6" s="81">
        <v>0</v>
      </c>
      <c r="R6" s="73">
        <v>1</v>
      </c>
      <c r="S6"/>
      <c r="T6"/>
    </row>
    <row r="7" spans="1:23" ht="15" customHeight="1" thickBot="1" x14ac:dyDescent="0.2">
      <c r="F7" s="196" t="s">
        <v>193</v>
      </c>
      <c r="G7" s="81">
        <v>0</v>
      </c>
      <c r="H7" s="81">
        <v>0</v>
      </c>
      <c r="I7" s="81">
        <v>0</v>
      </c>
      <c r="J7" s="81">
        <v>0</v>
      </c>
      <c r="K7" s="81">
        <v>1</v>
      </c>
      <c r="L7" s="81">
        <v>0</v>
      </c>
      <c r="M7" s="81">
        <v>1</v>
      </c>
      <c r="N7" s="81">
        <v>0</v>
      </c>
      <c r="O7" s="81">
        <v>1</v>
      </c>
      <c r="P7" s="72">
        <v>0</v>
      </c>
      <c r="Q7" s="81">
        <v>0</v>
      </c>
      <c r="R7" s="73">
        <v>1</v>
      </c>
      <c r="S7"/>
      <c r="T7"/>
    </row>
    <row r="8" spans="1:23" ht="15" customHeight="1" x14ac:dyDescent="0.15">
      <c r="A8" s="83" t="s">
        <v>56</v>
      </c>
      <c r="B8" s="90">
        <v>1</v>
      </c>
      <c r="C8" s="197" t="s">
        <v>221</v>
      </c>
      <c r="D8" s="85" t="s">
        <v>160</v>
      </c>
      <c r="F8" s="196" t="s">
        <v>194</v>
      </c>
      <c r="G8" s="81">
        <v>0</v>
      </c>
      <c r="H8" s="81">
        <v>0</v>
      </c>
      <c r="I8" s="81">
        <v>0</v>
      </c>
      <c r="J8" s="81">
        <v>0</v>
      </c>
      <c r="K8" s="81">
        <v>1</v>
      </c>
      <c r="L8" s="81">
        <v>0</v>
      </c>
      <c r="M8" s="81">
        <v>1</v>
      </c>
      <c r="N8" s="81">
        <v>0</v>
      </c>
      <c r="O8" s="81">
        <v>1</v>
      </c>
      <c r="P8" s="72">
        <v>0</v>
      </c>
      <c r="Q8" s="81">
        <v>0</v>
      </c>
      <c r="R8" s="73">
        <v>1</v>
      </c>
      <c r="S8"/>
      <c r="T8"/>
      <c r="W8"/>
    </row>
    <row r="9" spans="1:23" ht="15" customHeight="1" x14ac:dyDescent="0.15">
      <c r="A9" s="123" t="s">
        <v>168</v>
      </c>
      <c r="B9" s="92"/>
      <c r="C9" s="80"/>
      <c r="D9" s="85" t="s">
        <v>160</v>
      </c>
      <c r="F9" s="196" t="s">
        <v>195</v>
      </c>
      <c r="G9" s="81">
        <v>0</v>
      </c>
      <c r="H9" s="81">
        <v>0</v>
      </c>
      <c r="I9" s="81">
        <v>0</v>
      </c>
      <c r="J9" s="81">
        <v>0</v>
      </c>
      <c r="K9" s="81">
        <v>1</v>
      </c>
      <c r="L9" s="81">
        <v>0</v>
      </c>
      <c r="M9" s="81">
        <v>1</v>
      </c>
      <c r="N9" s="81">
        <v>0</v>
      </c>
      <c r="O9" s="81">
        <v>1</v>
      </c>
      <c r="P9" s="72">
        <v>0</v>
      </c>
      <c r="Q9" s="81">
        <v>0</v>
      </c>
      <c r="R9" s="73">
        <v>1</v>
      </c>
      <c r="S9"/>
      <c r="T9"/>
      <c r="W9"/>
    </row>
    <row r="10" spans="1:23" ht="15" customHeight="1" x14ac:dyDescent="0.15">
      <c r="B10" s="92"/>
      <c r="C10" s="80"/>
      <c r="D10" s="85" t="s">
        <v>160</v>
      </c>
      <c r="F10" s="196" t="s">
        <v>196</v>
      </c>
      <c r="G10" s="81">
        <v>0</v>
      </c>
      <c r="H10" s="81">
        <v>0</v>
      </c>
      <c r="I10" s="81">
        <v>0</v>
      </c>
      <c r="J10" s="81">
        <v>0</v>
      </c>
      <c r="K10" s="81">
        <v>1</v>
      </c>
      <c r="L10" s="81">
        <v>0</v>
      </c>
      <c r="M10" s="81">
        <v>1</v>
      </c>
      <c r="N10" s="81">
        <v>0</v>
      </c>
      <c r="O10" s="81">
        <v>1</v>
      </c>
      <c r="P10" s="72">
        <v>0</v>
      </c>
      <c r="Q10" s="81">
        <v>0</v>
      </c>
      <c r="R10" s="73">
        <v>1</v>
      </c>
      <c r="S10"/>
      <c r="T10"/>
      <c r="W10"/>
    </row>
    <row r="11" spans="1:23" ht="15" customHeight="1" x14ac:dyDescent="0.15">
      <c r="A11" s="83"/>
      <c r="B11" s="92"/>
      <c r="C11" s="95"/>
      <c r="D11" s="85" t="s">
        <v>160</v>
      </c>
      <c r="F11" s="196" t="s">
        <v>197</v>
      </c>
      <c r="G11" s="81">
        <v>0</v>
      </c>
      <c r="H11" s="81">
        <v>0</v>
      </c>
      <c r="I11" s="81">
        <v>0</v>
      </c>
      <c r="J11" s="81">
        <v>0</v>
      </c>
      <c r="K11" s="81">
        <v>1</v>
      </c>
      <c r="L11" s="81">
        <v>0</v>
      </c>
      <c r="M11" s="81">
        <v>1</v>
      </c>
      <c r="N11" s="81">
        <v>0</v>
      </c>
      <c r="O11" s="81">
        <v>1</v>
      </c>
      <c r="P11" s="72">
        <v>0</v>
      </c>
      <c r="Q11" s="81">
        <v>0</v>
      </c>
      <c r="R11" s="73">
        <v>1</v>
      </c>
      <c r="S11"/>
      <c r="T11"/>
      <c r="W11"/>
    </row>
    <row r="12" spans="1:23" ht="15" customHeight="1" x14ac:dyDescent="0.15">
      <c r="B12" s="92"/>
      <c r="C12" s="96"/>
      <c r="D12" s="85" t="s">
        <v>160</v>
      </c>
      <c r="F12" s="196" t="s">
        <v>198</v>
      </c>
      <c r="G12" s="81">
        <v>0</v>
      </c>
      <c r="H12" s="81">
        <v>0</v>
      </c>
      <c r="I12" s="81">
        <v>0</v>
      </c>
      <c r="J12" s="81">
        <v>0</v>
      </c>
      <c r="K12" s="81">
        <v>1</v>
      </c>
      <c r="L12" s="81">
        <v>0</v>
      </c>
      <c r="M12" s="81">
        <v>1</v>
      </c>
      <c r="N12" s="81">
        <v>0</v>
      </c>
      <c r="O12" s="81">
        <v>1</v>
      </c>
      <c r="P12" s="72">
        <v>0</v>
      </c>
      <c r="Q12" s="81">
        <v>0</v>
      </c>
      <c r="R12" s="73">
        <v>1</v>
      </c>
      <c r="S12"/>
      <c r="T12"/>
      <c r="W12"/>
    </row>
    <row r="13" spans="1:23" ht="15" customHeight="1" x14ac:dyDescent="0.15">
      <c r="B13" s="92"/>
      <c r="C13" s="96"/>
      <c r="D13" s="85" t="s">
        <v>160</v>
      </c>
      <c r="F13" s="196" t="s">
        <v>199</v>
      </c>
      <c r="G13" s="81">
        <v>0</v>
      </c>
      <c r="H13" s="81">
        <v>0</v>
      </c>
      <c r="I13" s="81">
        <v>0</v>
      </c>
      <c r="J13" s="81">
        <v>0</v>
      </c>
      <c r="K13" s="81">
        <v>1</v>
      </c>
      <c r="L13" s="81">
        <v>0</v>
      </c>
      <c r="M13" s="81">
        <v>1</v>
      </c>
      <c r="N13" s="81">
        <v>0</v>
      </c>
      <c r="O13" s="81">
        <v>1</v>
      </c>
      <c r="P13" s="72">
        <v>0</v>
      </c>
      <c r="Q13" s="81">
        <v>0</v>
      </c>
      <c r="R13" s="73">
        <v>1</v>
      </c>
      <c r="S13"/>
      <c r="T13"/>
      <c r="W13"/>
    </row>
    <row r="14" spans="1:23" ht="15" customHeight="1" x14ac:dyDescent="0.15">
      <c r="B14" s="92"/>
      <c r="C14" s="80"/>
      <c r="D14" s="85" t="s">
        <v>160</v>
      </c>
      <c r="F14" s="196" t="s">
        <v>200</v>
      </c>
      <c r="G14" s="81">
        <v>0</v>
      </c>
      <c r="H14" s="81">
        <v>0</v>
      </c>
      <c r="I14" s="81">
        <v>0</v>
      </c>
      <c r="J14" s="81">
        <v>0</v>
      </c>
      <c r="K14" s="81">
        <v>1</v>
      </c>
      <c r="L14" s="81">
        <v>0</v>
      </c>
      <c r="M14" s="81">
        <v>1</v>
      </c>
      <c r="N14" s="81">
        <v>0</v>
      </c>
      <c r="O14" s="81">
        <v>1</v>
      </c>
      <c r="P14" s="72">
        <v>0</v>
      </c>
      <c r="Q14" s="81">
        <v>0</v>
      </c>
      <c r="R14" s="73">
        <v>1</v>
      </c>
      <c r="S14"/>
      <c r="T14"/>
      <c r="W14"/>
    </row>
    <row r="15" spans="1:23" ht="15" customHeight="1" x14ac:dyDescent="0.15">
      <c r="B15" s="92"/>
      <c r="C15" s="80"/>
      <c r="D15" s="85" t="s">
        <v>160</v>
      </c>
      <c r="F15" s="196" t="s">
        <v>201</v>
      </c>
      <c r="G15" s="81">
        <v>0</v>
      </c>
      <c r="H15" s="81">
        <v>0</v>
      </c>
      <c r="I15" s="81">
        <v>0</v>
      </c>
      <c r="J15" s="81">
        <v>0</v>
      </c>
      <c r="K15" s="81">
        <v>1</v>
      </c>
      <c r="L15" s="81">
        <v>0</v>
      </c>
      <c r="M15" s="81">
        <v>1</v>
      </c>
      <c r="N15" s="81">
        <v>0</v>
      </c>
      <c r="O15" s="81">
        <v>1</v>
      </c>
      <c r="P15" s="72">
        <v>0</v>
      </c>
      <c r="Q15" s="81">
        <v>0</v>
      </c>
      <c r="R15" s="73">
        <v>1</v>
      </c>
      <c r="S15"/>
      <c r="T15"/>
      <c r="W15"/>
    </row>
    <row r="16" spans="1:23" ht="15" customHeight="1" x14ac:dyDescent="0.15">
      <c r="B16" s="92"/>
      <c r="C16" s="80"/>
      <c r="D16" s="85" t="s">
        <v>160</v>
      </c>
      <c r="F16" s="196" t="s">
        <v>202</v>
      </c>
      <c r="G16" s="81">
        <v>0</v>
      </c>
      <c r="H16" s="81">
        <v>0</v>
      </c>
      <c r="I16" s="81">
        <v>0</v>
      </c>
      <c r="J16" s="81">
        <v>0</v>
      </c>
      <c r="K16" s="81">
        <v>1</v>
      </c>
      <c r="L16" s="81">
        <v>0</v>
      </c>
      <c r="M16" s="81">
        <v>1</v>
      </c>
      <c r="N16" s="81">
        <v>0</v>
      </c>
      <c r="O16" s="81">
        <v>1</v>
      </c>
      <c r="P16" s="72">
        <v>0</v>
      </c>
      <c r="Q16" s="81">
        <v>0</v>
      </c>
      <c r="R16" s="73">
        <v>1</v>
      </c>
      <c r="S16"/>
      <c r="T16"/>
    </row>
    <row r="17" spans="1:20" ht="15" customHeight="1" thickBot="1" x14ac:dyDescent="0.2">
      <c r="B17" s="91"/>
      <c r="C17" s="80"/>
      <c r="D17" s="85" t="s">
        <v>160</v>
      </c>
      <c r="F17" s="196" t="s">
        <v>203</v>
      </c>
      <c r="G17" s="81">
        <v>0</v>
      </c>
      <c r="H17" s="81">
        <v>0</v>
      </c>
      <c r="I17" s="81">
        <v>0</v>
      </c>
      <c r="J17" s="81">
        <v>0</v>
      </c>
      <c r="K17" s="81">
        <v>1</v>
      </c>
      <c r="L17" s="81">
        <v>0</v>
      </c>
      <c r="M17" s="81">
        <v>1</v>
      </c>
      <c r="N17" s="81">
        <v>0</v>
      </c>
      <c r="O17" s="81">
        <v>1</v>
      </c>
      <c r="P17" s="72">
        <v>0</v>
      </c>
      <c r="Q17" s="81">
        <v>0</v>
      </c>
      <c r="R17" s="73">
        <v>1</v>
      </c>
      <c r="S17"/>
      <c r="T17"/>
    </row>
    <row r="18" spans="1:20" ht="15" customHeight="1" thickBot="1" x14ac:dyDescent="0.2">
      <c r="B18" s="93"/>
      <c r="F18" s="196" t="s">
        <v>204</v>
      </c>
      <c r="G18" s="81">
        <v>0</v>
      </c>
      <c r="H18" s="81">
        <v>0</v>
      </c>
      <c r="I18" s="81">
        <v>0</v>
      </c>
      <c r="J18" s="81">
        <v>0</v>
      </c>
      <c r="K18" s="81">
        <v>1</v>
      </c>
      <c r="L18" s="81">
        <v>0</v>
      </c>
      <c r="M18" s="81">
        <v>1</v>
      </c>
      <c r="N18" s="81">
        <v>0</v>
      </c>
      <c r="O18" s="81">
        <v>1</v>
      </c>
      <c r="P18" s="72">
        <v>0</v>
      </c>
      <c r="Q18" s="81">
        <v>0</v>
      </c>
      <c r="R18" s="73">
        <v>1</v>
      </c>
      <c r="S18"/>
      <c r="T18"/>
    </row>
    <row r="19" spans="1:20" ht="15" customHeight="1" x14ac:dyDescent="0.15">
      <c r="A19" s="83" t="s">
        <v>57</v>
      </c>
      <c r="B19" s="90">
        <v>1</v>
      </c>
      <c r="C19" s="198" t="s">
        <v>221</v>
      </c>
      <c r="D19" s="85" t="s">
        <v>160</v>
      </c>
      <c r="F19" s="196" t="s">
        <v>205</v>
      </c>
      <c r="G19" s="81">
        <v>0</v>
      </c>
      <c r="H19" s="81">
        <v>0</v>
      </c>
      <c r="I19" s="81">
        <v>0</v>
      </c>
      <c r="J19" s="81">
        <v>0</v>
      </c>
      <c r="K19" s="81">
        <v>1</v>
      </c>
      <c r="L19" s="81">
        <v>0</v>
      </c>
      <c r="M19" s="81">
        <v>1</v>
      </c>
      <c r="N19" s="81">
        <v>0</v>
      </c>
      <c r="O19" s="81">
        <v>1</v>
      </c>
      <c r="P19" s="72">
        <v>0</v>
      </c>
      <c r="Q19" s="81">
        <v>0</v>
      </c>
      <c r="R19" s="73">
        <v>1</v>
      </c>
      <c r="S19"/>
      <c r="T19"/>
    </row>
    <row r="20" spans="1:20" ht="15" customHeight="1" x14ac:dyDescent="0.15">
      <c r="A20" s="123" t="s">
        <v>168</v>
      </c>
      <c r="B20" s="92"/>
      <c r="C20" s="80"/>
      <c r="D20" s="85" t="s">
        <v>160</v>
      </c>
      <c r="F20" s="196" t="s">
        <v>206</v>
      </c>
      <c r="G20" s="81">
        <v>0</v>
      </c>
      <c r="H20" s="81">
        <v>0</v>
      </c>
      <c r="I20" s="81">
        <v>0</v>
      </c>
      <c r="J20" s="81">
        <v>0</v>
      </c>
      <c r="K20" s="81">
        <v>1</v>
      </c>
      <c r="L20" s="81">
        <v>0</v>
      </c>
      <c r="M20" s="81">
        <v>1</v>
      </c>
      <c r="N20" s="81">
        <v>0</v>
      </c>
      <c r="O20" s="81">
        <v>1</v>
      </c>
      <c r="P20" s="72">
        <v>0</v>
      </c>
      <c r="Q20" s="81">
        <v>0</v>
      </c>
      <c r="R20" s="73">
        <v>1</v>
      </c>
      <c r="S20"/>
      <c r="T20"/>
    </row>
    <row r="21" spans="1:20" ht="15" customHeight="1" x14ac:dyDescent="0.15">
      <c r="B21" s="92"/>
      <c r="C21" s="80"/>
      <c r="D21" s="85" t="s">
        <v>160</v>
      </c>
      <c r="F21" s="196" t="s">
        <v>207</v>
      </c>
      <c r="G21" s="81">
        <v>0</v>
      </c>
      <c r="H21" s="81">
        <v>0</v>
      </c>
      <c r="I21" s="81">
        <v>0</v>
      </c>
      <c r="J21" s="81">
        <v>0</v>
      </c>
      <c r="K21" s="81">
        <v>1</v>
      </c>
      <c r="L21" s="81">
        <v>0</v>
      </c>
      <c r="M21" s="81">
        <v>1</v>
      </c>
      <c r="N21" s="81">
        <v>0</v>
      </c>
      <c r="O21" s="81">
        <v>1</v>
      </c>
      <c r="P21" s="72">
        <v>0</v>
      </c>
      <c r="Q21" s="81">
        <v>0</v>
      </c>
      <c r="R21" s="73">
        <v>1</v>
      </c>
      <c r="S21"/>
      <c r="T21"/>
    </row>
    <row r="22" spans="1:20" ht="15" customHeight="1" x14ac:dyDescent="0.15">
      <c r="A22" s="81"/>
      <c r="B22" s="92"/>
      <c r="C22" s="95"/>
      <c r="D22" s="85" t="s">
        <v>160</v>
      </c>
      <c r="F22" s="196" t="s">
        <v>208</v>
      </c>
      <c r="G22" s="81">
        <v>0</v>
      </c>
      <c r="H22" s="81">
        <v>0</v>
      </c>
      <c r="I22" s="81">
        <v>0</v>
      </c>
      <c r="J22" s="81">
        <v>0</v>
      </c>
      <c r="K22" s="81">
        <v>1</v>
      </c>
      <c r="L22" s="81">
        <v>0</v>
      </c>
      <c r="M22" s="81">
        <v>1</v>
      </c>
      <c r="N22" s="81">
        <v>0</v>
      </c>
      <c r="O22" s="81">
        <v>1</v>
      </c>
      <c r="P22" s="72">
        <v>0</v>
      </c>
      <c r="Q22" s="81">
        <v>0</v>
      </c>
      <c r="R22" s="73">
        <v>1</v>
      </c>
      <c r="S22"/>
      <c r="T22"/>
    </row>
    <row r="23" spans="1:20" ht="15" customHeight="1" x14ac:dyDescent="0.15">
      <c r="A23" s="81"/>
      <c r="B23" s="92"/>
      <c r="C23" s="96"/>
      <c r="D23" s="85" t="s">
        <v>160</v>
      </c>
      <c r="F23" s="196" t="s">
        <v>209</v>
      </c>
      <c r="G23" s="81">
        <v>0</v>
      </c>
      <c r="H23" s="81">
        <v>0</v>
      </c>
      <c r="I23" s="81">
        <v>0</v>
      </c>
      <c r="J23" s="81">
        <v>0</v>
      </c>
      <c r="K23" s="81">
        <v>1</v>
      </c>
      <c r="L23" s="81">
        <v>0</v>
      </c>
      <c r="M23" s="81">
        <v>1</v>
      </c>
      <c r="N23" s="81">
        <v>0</v>
      </c>
      <c r="O23" s="81">
        <v>1</v>
      </c>
      <c r="P23" s="72">
        <v>0</v>
      </c>
      <c r="Q23" s="81">
        <v>0</v>
      </c>
      <c r="R23" s="73">
        <v>1</v>
      </c>
      <c r="S23"/>
      <c r="T23"/>
    </row>
    <row r="24" spans="1:20" ht="15" customHeight="1" x14ac:dyDescent="0.15">
      <c r="A24" s="81"/>
      <c r="B24" s="92"/>
      <c r="C24" s="96"/>
      <c r="D24" s="85" t="s">
        <v>160</v>
      </c>
      <c r="F24" s="196" t="s">
        <v>210</v>
      </c>
      <c r="G24" s="81">
        <v>0</v>
      </c>
      <c r="H24" s="81">
        <v>0</v>
      </c>
      <c r="I24" s="81">
        <v>0</v>
      </c>
      <c r="J24" s="81">
        <v>0</v>
      </c>
      <c r="K24" s="81">
        <v>1</v>
      </c>
      <c r="L24" s="81">
        <v>0</v>
      </c>
      <c r="M24" s="81">
        <v>1</v>
      </c>
      <c r="N24" s="81">
        <v>0</v>
      </c>
      <c r="O24" s="81">
        <v>1</v>
      </c>
      <c r="P24" s="72">
        <v>0</v>
      </c>
      <c r="Q24" s="81">
        <v>0</v>
      </c>
      <c r="R24" s="73">
        <v>1</v>
      </c>
      <c r="S24"/>
      <c r="T24"/>
    </row>
    <row r="25" spans="1:20" ht="15" customHeight="1" x14ac:dyDescent="0.15">
      <c r="A25" s="81"/>
      <c r="B25" s="92"/>
      <c r="C25" s="80"/>
      <c r="D25" s="85" t="s">
        <v>160</v>
      </c>
      <c r="F25" s="196" t="s">
        <v>211</v>
      </c>
      <c r="G25" s="81">
        <v>0</v>
      </c>
      <c r="H25" s="81">
        <v>0</v>
      </c>
      <c r="I25" s="81">
        <v>0</v>
      </c>
      <c r="J25" s="81">
        <v>0</v>
      </c>
      <c r="K25" s="81">
        <v>1</v>
      </c>
      <c r="L25" s="81">
        <v>0</v>
      </c>
      <c r="M25" s="81">
        <v>1</v>
      </c>
      <c r="N25" s="81">
        <v>0</v>
      </c>
      <c r="O25" s="81">
        <v>1</v>
      </c>
      <c r="P25" s="72">
        <v>0</v>
      </c>
      <c r="Q25" s="81">
        <v>0</v>
      </c>
      <c r="R25" s="73">
        <v>1</v>
      </c>
      <c r="S25"/>
      <c r="T25"/>
    </row>
    <row r="26" spans="1:20" ht="15" customHeight="1" x14ac:dyDescent="0.15">
      <c r="B26" s="92"/>
      <c r="C26" s="80"/>
      <c r="D26" s="85" t="s">
        <v>160</v>
      </c>
      <c r="F26" s="196" t="s">
        <v>212</v>
      </c>
      <c r="G26" s="81">
        <v>0</v>
      </c>
      <c r="H26" s="81">
        <v>0</v>
      </c>
      <c r="I26" s="81">
        <v>0</v>
      </c>
      <c r="J26" s="81">
        <v>0</v>
      </c>
      <c r="K26" s="81">
        <v>1</v>
      </c>
      <c r="L26" s="81">
        <v>0</v>
      </c>
      <c r="M26" s="81">
        <v>1</v>
      </c>
      <c r="N26" s="81">
        <v>0</v>
      </c>
      <c r="O26" s="81">
        <v>1</v>
      </c>
      <c r="P26" s="72">
        <v>0</v>
      </c>
      <c r="Q26" s="81">
        <v>0</v>
      </c>
      <c r="R26" s="73">
        <v>1</v>
      </c>
      <c r="S26"/>
      <c r="T26"/>
    </row>
    <row r="27" spans="1:20" ht="15" customHeight="1" x14ac:dyDescent="0.15">
      <c r="B27" s="92"/>
      <c r="C27" s="80"/>
      <c r="D27" s="85" t="s">
        <v>160</v>
      </c>
      <c r="F27" s="196" t="s">
        <v>213</v>
      </c>
      <c r="G27" s="81">
        <v>0</v>
      </c>
      <c r="H27" s="81">
        <v>0</v>
      </c>
      <c r="I27" s="81">
        <v>0</v>
      </c>
      <c r="J27" s="81">
        <v>0</v>
      </c>
      <c r="K27" s="81">
        <v>1</v>
      </c>
      <c r="L27" s="81">
        <v>0</v>
      </c>
      <c r="M27" s="81">
        <v>1</v>
      </c>
      <c r="N27" s="81">
        <v>0</v>
      </c>
      <c r="O27" s="81">
        <v>1</v>
      </c>
      <c r="P27" s="72">
        <v>0</v>
      </c>
      <c r="Q27" s="81">
        <v>0</v>
      </c>
      <c r="R27" s="73">
        <v>1</v>
      </c>
      <c r="S27"/>
      <c r="T27"/>
    </row>
    <row r="28" spans="1:20" ht="15" customHeight="1" thickBot="1" x14ac:dyDescent="0.2">
      <c r="B28" s="91"/>
      <c r="C28" s="80"/>
      <c r="D28" s="85" t="s">
        <v>160</v>
      </c>
      <c r="F28" s="196" t="s">
        <v>214</v>
      </c>
      <c r="G28" s="81">
        <v>0</v>
      </c>
      <c r="H28" s="81">
        <v>0</v>
      </c>
      <c r="I28" s="81">
        <v>0</v>
      </c>
      <c r="J28" s="81">
        <v>0</v>
      </c>
      <c r="K28" s="81">
        <v>1</v>
      </c>
      <c r="L28" s="81">
        <v>0</v>
      </c>
      <c r="M28" s="81">
        <v>1</v>
      </c>
      <c r="N28" s="81">
        <v>0</v>
      </c>
      <c r="O28" s="81">
        <v>1</v>
      </c>
      <c r="P28" s="72">
        <v>0</v>
      </c>
      <c r="Q28" s="81">
        <v>0</v>
      </c>
      <c r="R28" s="73">
        <v>1</v>
      </c>
      <c r="S28"/>
      <c r="T28"/>
    </row>
    <row r="29" spans="1:20" ht="15" customHeight="1" x14ac:dyDescent="0.15">
      <c r="F29" s="196" t="s">
        <v>215</v>
      </c>
      <c r="G29" s="81">
        <v>0</v>
      </c>
      <c r="H29" s="81">
        <v>0</v>
      </c>
      <c r="I29" s="81">
        <v>0</v>
      </c>
      <c r="J29" s="81">
        <v>0</v>
      </c>
      <c r="K29" s="81">
        <v>1</v>
      </c>
      <c r="L29" s="81">
        <v>0</v>
      </c>
      <c r="M29" s="81">
        <v>1</v>
      </c>
      <c r="N29" s="81">
        <v>0</v>
      </c>
      <c r="O29" s="81">
        <v>1</v>
      </c>
      <c r="P29" s="72">
        <v>0</v>
      </c>
      <c r="Q29" s="81">
        <v>0</v>
      </c>
      <c r="R29" s="73">
        <v>1</v>
      </c>
      <c r="S29"/>
      <c r="T29"/>
    </row>
    <row r="30" spans="1:20" ht="15" customHeight="1" x14ac:dyDescent="0.15">
      <c r="F30" s="196" t="s">
        <v>216</v>
      </c>
      <c r="G30" s="81">
        <v>0</v>
      </c>
      <c r="H30" s="81">
        <v>0</v>
      </c>
      <c r="I30" s="81">
        <v>0</v>
      </c>
      <c r="J30" s="81">
        <v>0</v>
      </c>
      <c r="K30" s="81">
        <v>1</v>
      </c>
      <c r="L30" s="81">
        <v>0</v>
      </c>
      <c r="M30" s="81">
        <v>1</v>
      </c>
      <c r="N30" s="81">
        <v>0</v>
      </c>
      <c r="O30" s="81">
        <v>1</v>
      </c>
      <c r="P30" s="72">
        <v>0</v>
      </c>
      <c r="Q30" s="81">
        <v>0</v>
      </c>
      <c r="R30" s="73">
        <v>1</v>
      </c>
      <c r="S30"/>
      <c r="T30"/>
    </row>
    <row r="31" spans="1:20" ht="15" customHeight="1" x14ac:dyDescent="0.15">
      <c r="A31" s="124"/>
      <c r="B31" s="135" t="s">
        <v>17</v>
      </c>
      <c r="C31" s="135" t="s">
        <v>1</v>
      </c>
      <c r="D31" s="135" t="s">
        <v>161</v>
      </c>
      <c r="E31" s="136" t="s">
        <v>163</v>
      </c>
      <c r="F31" s="196" t="s">
        <v>217</v>
      </c>
      <c r="G31" s="81">
        <v>0</v>
      </c>
      <c r="H31" s="81">
        <v>0</v>
      </c>
      <c r="I31" s="81">
        <v>0</v>
      </c>
      <c r="J31" s="81">
        <v>0</v>
      </c>
      <c r="K31" s="81">
        <v>1</v>
      </c>
      <c r="L31" s="81">
        <v>0</v>
      </c>
      <c r="M31" s="81">
        <v>1</v>
      </c>
      <c r="N31" s="81">
        <v>0</v>
      </c>
      <c r="O31" s="81">
        <v>1</v>
      </c>
      <c r="P31" s="72">
        <v>0</v>
      </c>
      <c r="Q31" s="81">
        <v>0</v>
      </c>
      <c r="R31" s="73">
        <v>1</v>
      </c>
      <c r="S31"/>
      <c r="T31"/>
    </row>
    <row r="32" spans="1:20" ht="15" customHeight="1" x14ac:dyDescent="0.15">
      <c r="A32" s="199" t="s">
        <v>221</v>
      </c>
      <c r="B32" s="93">
        <v>27.25</v>
      </c>
      <c r="C32" s="93">
        <v>103.6</v>
      </c>
      <c r="D32" s="93">
        <v>2823.1</v>
      </c>
      <c r="E32" s="126">
        <v>1</v>
      </c>
      <c r="F32" s="196" t="s">
        <v>218</v>
      </c>
      <c r="G32" s="81">
        <v>0</v>
      </c>
      <c r="H32" s="81">
        <v>0</v>
      </c>
      <c r="I32" s="81">
        <v>0</v>
      </c>
      <c r="J32" s="81">
        <v>0</v>
      </c>
      <c r="K32" s="81">
        <v>1</v>
      </c>
      <c r="L32" s="81">
        <v>0</v>
      </c>
      <c r="M32" s="81">
        <v>1</v>
      </c>
      <c r="N32" s="81">
        <v>0</v>
      </c>
      <c r="O32" s="81">
        <v>1</v>
      </c>
      <c r="P32" s="72">
        <v>0</v>
      </c>
      <c r="Q32" s="81">
        <v>0</v>
      </c>
      <c r="R32" s="73">
        <v>1</v>
      </c>
      <c r="S32"/>
      <c r="T32"/>
    </row>
    <row r="33" spans="1:20" ht="15" customHeight="1" x14ac:dyDescent="0.15">
      <c r="A33" s="125"/>
      <c r="B33" s="93"/>
      <c r="C33" s="93"/>
      <c r="D33" s="93"/>
      <c r="E33" s="126"/>
      <c r="F33" s="196" t="s">
        <v>219</v>
      </c>
      <c r="G33" s="81">
        <v>0</v>
      </c>
      <c r="H33" s="81">
        <v>0</v>
      </c>
      <c r="I33" s="81">
        <v>0</v>
      </c>
      <c r="J33" s="81">
        <v>0</v>
      </c>
      <c r="K33" s="81">
        <v>1</v>
      </c>
      <c r="L33" s="81">
        <v>0</v>
      </c>
      <c r="M33" s="81">
        <v>1</v>
      </c>
      <c r="N33" s="81">
        <v>0</v>
      </c>
      <c r="O33" s="81">
        <v>1</v>
      </c>
      <c r="P33" s="72">
        <v>0</v>
      </c>
      <c r="Q33" s="81">
        <v>0</v>
      </c>
      <c r="R33" s="73">
        <v>1</v>
      </c>
      <c r="S33"/>
      <c r="T33"/>
    </row>
    <row r="34" spans="1:20" ht="15" customHeight="1" x14ac:dyDescent="0.15">
      <c r="A34" s="127"/>
      <c r="B34" s="93"/>
      <c r="C34" s="93"/>
      <c r="D34" s="93"/>
      <c r="E34" s="126"/>
      <c r="F34" s="196" t="s">
        <v>220</v>
      </c>
      <c r="G34" s="81">
        <v>0</v>
      </c>
      <c r="H34" s="81">
        <v>0</v>
      </c>
      <c r="I34" s="81">
        <v>0</v>
      </c>
      <c r="J34" s="81">
        <v>0</v>
      </c>
      <c r="K34" s="81">
        <v>1</v>
      </c>
      <c r="L34" s="81">
        <v>0</v>
      </c>
      <c r="M34" s="81">
        <v>1</v>
      </c>
      <c r="N34" s="81">
        <v>0</v>
      </c>
      <c r="O34" s="81">
        <v>1</v>
      </c>
      <c r="P34" s="72">
        <v>0</v>
      </c>
      <c r="Q34" s="81">
        <v>0</v>
      </c>
      <c r="R34" s="73">
        <v>1</v>
      </c>
      <c r="S34"/>
      <c r="T34"/>
    </row>
    <row r="35" spans="1:20" ht="15" customHeight="1" x14ac:dyDescent="0.15">
      <c r="A35" s="128"/>
      <c r="B35" s="93"/>
      <c r="C35" s="93"/>
      <c r="D35" s="93"/>
      <c r="E35" s="126"/>
      <c r="F35" s="196" t="s">
        <v>221</v>
      </c>
      <c r="G35" s="81">
        <v>0</v>
      </c>
      <c r="H35" s="81">
        <v>0</v>
      </c>
      <c r="I35" s="81">
        <v>0</v>
      </c>
      <c r="J35" s="81">
        <v>0</v>
      </c>
      <c r="K35" s="81">
        <v>0</v>
      </c>
      <c r="L35" s="81">
        <v>0</v>
      </c>
      <c r="M35" s="81">
        <v>1</v>
      </c>
      <c r="N35" s="81">
        <v>0</v>
      </c>
      <c r="O35" s="81">
        <v>0</v>
      </c>
      <c r="P35" s="72">
        <v>0</v>
      </c>
      <c r="Q35" s="81">
        <v>0</v>
      </c>
      <c r="R35" s="73">
        <v>1</v>
      </c>
      <c r="S35"/>
      <c r="T35"/>
    </row>
    <row r="36" spans="1:20" ht="15" customHeight="1" x14ac:dyDescent="0.15">
      <c r="A36" s="129"/>
      <c r="B36" s="93"/>
      <c r="C36" s="93"/>
      <c r="D36" s="93"/>
      <c r="E36" s="126"/>
      <c r="F36" s="196" t="s">
        <v>222</v>
      </c>
      <c r="G36" s="81">
        <v>0</v>
      </c>
      <c r="H36" s="81">
        <v>0</v>
      </c>
      <c r="I36" s="81">
        <v>0</v>
      </c>
      <c r="J36" s="81">
        <v>0</v>
      </c>
      <c r="K36" s="81">
        <v>0</v>
      </c>
      <c r="L36" s="81">
        <v>1</v>
      </c>
      <c r="M36" s="81">
        <v>0</v>
      </c>
      <c r="N36" s="81">
        <v>1</v>
      </c>
      <c r="O36" s="81">
        <v>0</v>
      </c>
      <c r="P36" s="72">
        <v>1</v>
      </c>
      <c r="Q36" s="81">
        <v>0</v>
      </c>
      <c r="R36" s="73">
        <v>1</v>
      </c>
      <c r="S36"/>
      <c r="T36"/>
    </row>
    <row r="37" spans="1:20" ht="15" customHeight="1" x14ac:dyDescent="0.15">
      <c r="A37" s="129"/>
      <c r="B37" s="93"/>
      <c r="C37" s="93"/>
      <c r="D37" s="93"/>
      <c r="E37" s="126"/>
      <c r="F37" s="196" t="s">
        <v>223</v>
      </c>
      <c r="G37" s="81">
        <v>0</v>
      </c>
      <c r="H37" s="81">
        <v>0</v>
      </c>
      <c r="I37" s="81">
        <v>0</v>
      </c>
      <c r="J37" s="81">
        <v>0</v>
      </c>
      <c r="K37" s="81">
        <v>0</v>
      </c>
      <c r="L37" s="81">
        <v>1</v>
      </c>
      <c r="M37" s="81">
        <v>0</v>
      </c>
      <c r="N37" s="81">
        <v>1</v>
      </c>
      <c r="O37" s="81">
        <v>0</v>
      </c>
      <c r="P37" s="72">
        <v>1</v>
      </c>
      <c r="Q37" s="81">
        <v>0</v>
      </c>
      <c r="R37" s="73">
        <v>1</v>
      </c>
      <c r="S37"/>
      <c r="T37"/>
    </row>
    <row r="38" spans="1:20" ht="15" customHeight="1" x14ac:dyDescent="0.15">
      <c r="A38" s="130"/>
      <c r="B38" s="93"/>
      <c r="C38" s="93"/>
      <c r="D38" s="93"/>
      <c r="E38" s="126"/>
      <c r="F38" s="196" t="s">
        <v>224</v>
      </c>
      <c r="G38" s="81">
        <v>0</v>
      </c>
      <c r="H38" s="81">
        <v>0</v>
      </c>
      <c r="I38" s="81">
        <v>0</v>
      </c>
      <c r="J38" s="81">
        <v>0</v>
      </c>
      <c r="K38" s="81">
        <v>0</v>
      </c>
      <c r="L38" s="81">
        <v>1</v>
      </c>
      <c r="M38" s="81">
        <v>0</v>
      </c>
      <c r="N38" s="81">
        <v>0</v>
      </c>
      <c r="O38" s="81">
        <v>0</v>
      </c>
      <c r="P38" s="72">
        <v>0</v>
      </c>
      <c r="Q38" s="81">
        <v>0</v>
      </c>
      <c r="R38" s="73">
        <v>1</v>
      </c>
      <c r="S38"/>
      <c r="T38"/>
    </row>
    <row r="39" spans="1:20" ht="15" customHeight="1" x14ac:dyDescent="0.15">
      <c r="A39" s="130"/>
      <c r="B39" s="93"/>
      <c r="C39" s="93"/>
      <c r="D39" s="93"/>
      <c r="E39" s="126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15" customHeight="1" x14ac:dyDescent="0.15">
      <c r="A40" s="130"/>
      <c r="B40" s="93"/>
      <c r="C40" s="93"/>
      <c r="D40" s="93"/>
      <c r="E40" s="126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15" customHeight="1" thickBot="1" x14ac:dyDescent="0.2">
      <c r="A41" s="130"/>
      <c r="B41" s="93"/>
      <c r="C41" s="93"/>
      <c r="D41" s="94"/>
      <c r="E41" s="13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15" customHeight="1" x14ac:dyDescent="0.15">
      <c r="A42" s="132"/>
      <c r="B42" s="133"/>
      <c r="C42" s="133" t="s">
        <v>162</v>
      </c>
      <c r="D42" s="133">
        <f>SUM(D32:D41)</f>
        <v>2823.1</v>
      </c>
      <c r="E42" s="134">
        <f>SUM(E32:E41)</f>
        <v>1</v>
      </c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15" customHeight="1" x14ac:dyDescent="0.15">
      <c r="A43" s="81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15" customHeight="1" x14ac:dyDescent="0.15">
      <c r="A44" s="81"/>
      <c r="F44"/>
      <c r="G44"/>
      <c r="H44"/>
      <c r="I44"/>
      <c r="J44"/>
      <c r="K44"/>
      <c r="L44"/>
      <c r="M44"/>
      <c r="N44"/>
      <c r="O44"/>
      <c r="P44"/>
      <c r="Q44"/>
      <c r="R44"/>
    </row>
    <row r="45" spans="1:20" ht="15" customHeight="1" x14ac:dyDescent="0.15">
      <c r="A45" s="81"/>
      <c r="F45"/>
      <c r="G45"/>
      <c r="H45"/>
      <c r="I45"/>
      <c r="J45"/>
      <c r="K45"/>
      <c r="L45"/>
      <c r="M45"/>
      <c r="N45"/>
      <c r="O45"/>
      <c r="P45"/>
      <c r="Q45"/>
      <c r="R45"/>
    </row>
    <row r="46" spans="1:20" ht="15" customHeight="1" x14ac:dyDescent="0.15">
      <c r="A46" s="81"/>
      <c r="F46"/>
      <c r="G46"/>
      <c r="H46"/>
      <c r="I46"/>
      <c r="J46"/>
      <c r="K46"/>
      <c r="L46"/>
      <c r="M46"/>
      <c r="N46"/>
      <c r="O46"/>
      <c r="P46"/>
      <c r="Q46"/>
      <c r="R46"/>
    </row>
    <row r="47" spans="1:20" ht="15" customHeight="1" x14ac:dyDescent="0.15">
      <c r="A47" s="81"/>
      <c r="F47"/>
      <c r="G47"/>
      <c r="H47"/>
      <c r="I47"/>
      <c r="J47"/>
      <c r="K47"/>
      <c r="L47"/>
      <c r="M47"/>
      <c r="N47"/>
      <c r="O47"/>
      <c r="P47"/>
      <c r="Q47"/>
      <c r="R47"/>
    </row>
    <row r="48" spans="1:20" ht="15" customHeight="1" x14ac:dyDescent="0.15">
      <c r="A48" s="81"/>
      <c r="F48"/>
      <c r="G48"/>
      <c r="H48"/>
      <c r="I48"/>
      <c r="J48"/>
      <c r="K48"/>
      <c r="L48"/>
      <c r="M48"/>
      <c r="N48"/>
      <c r="O48"/>
      <c r="P48"/>
      <c r="Q48"/>
      <c r="R48"/>
    </row>
    <row r="49" spans="6:18" s="81" customFormat="1" ht="15" customHeight="1" x14ac:dyDescent="0.15">
      <c r="F49"/>
      <c r="G49"/>
      <c r="H49"/>
      <c r="I49"/>
      <c r="J49"/>
      <c r="K49"/>
      <c r="L49"/>
      <c r="M49"/>
      <c r="N49"/>
      <c r="O49"/>
      <c r="P49"/>
      <c r="Q49"/>
      <c r="R49"/>
    </row>
    <row r="50" spans="6:18" s="81" customFormat="1" ht="15" customHeight="1" x14ac:dyDescent="0.15">
      <c r="F50"/>
      <c r="G50"/>
      <c r="H50"/>
      <c r="I50"/>
      <c r="J50"/>
      <c r="K50"/>
      <c r="L50"/>
      <c r="M50"/>
      <c r="N50"/>
      <c r="O50"/>
      <c r="P50"/>
      <c r="Q50"/>
      <c r="R50"/>
    </row>
    <row r="51" spans="6:18" s="81" customFormat="1" ht="15" customHeight="1" x14ac:dyDescent="0.15">
      <c r="F51"/>
      <c r="G51"/>
      <c r="H51"/>
      <c r="I51"/>
      <c r="J51"/>
      <c r="K51"/>
      <c r="L51"/>
      <c r="M51"/>
      <c r="N51"/>
      <c r="O51"/>
      <c r="P51"/>
      <c r="Q51"/>
      <c r="R51"/>
    </row>
    <row r="52" spans="6:18" s="81" customFormat="1" ht="15" customHeight="1" x14ac:dyDescent="0.15">
      <c r="F52"/>
      <c r="G52"/>
      <c r="H52"/>
      <c r="I52"/>
      <c r="J52"/>
      <c r="K52"/>
      <c r="L52"/>
      <c r="M52"/>
      <c r="N52"/>
      <c r="O52"/>
      <c r="P52"/>
      <c r="Q52"/>
      <c r="R52"/>
    </row>
    <row r="53" spans="6:18" s="81" customFormat="1" ht="15" customHeight="1" x14ac:dyDescent="0.15">
      <c r="F53"/>
      <c r="G53"/>
      <c r="H53"/>
      <c r="I53"/>
      <c r="J53"/>
      <c r="K53"/>
      <c r="L53"/>
      <c r="M53"/>
      <c r="N53"/>
      <c r="O53"/>
      <c r="P53"/>
      <c r="Q53"/>
      <c r="R53"/>
    </row>
    <row r="54" spans="6:18" s="81" customFormat="1" ht="15" customHeight="1" x14ac:dyDescent="0.15">
      <c r="F54"/>
      <c r="G54"/>
      <c r="H54"/>
      <c r="I54"/>
      <c r="J54"/>
      <c r="K54"/>
      <c r="L54"/>
      <c r="M54"/>
      <c r="N54"/>
      <c r="O54"/>
      <c r="P54"/>
      <c r="Q54"/>
      <c r="R54"/>
    </row>
    <row r="55" spans="6:18" s="81" customFormat="1" ht="15" customHeight="1" x14ac:dyDescent="0.15">
      <c r="F55"/>
      <c r="G55"/>
      <c r="H55"/>
      <c r="I55"/>
      <c r="J55"/>
      <c r="K55"/>
      <c r="L55"/>
      <c r="M55"/>
      <c r="N55"/>
      <c r="O55"/>
      <c r="P55"/>
      <c r="Q55"/>
      <c r="R55"/>
    </row>
    <row r="56" spans="6:18" s="81" customFormat="1" ht="15" customHeight="1" x14ac:dyDescent="0.15">
      <c r="F56"/>
      <c r="G56"/>
      <c r="H56"/>
      <c r="I56"/>
      <c r="J56"/>
      <c r="K56"/>
      <c r="L56"/>
      <c r="M56"/>
      <c r="N56"/>
      <c r="O56"/>
      <c r="P56"/>
      <c r="Q56"/>
      <c r="R56"/>
    </row>
    <row r="57" spans="6:18" s="81" customFormat="1" ht="15" customHeight="1" x14ac:dyDescent="0.15">
      <c r="F57"/>
      <c r="G57"/>
      <c r="H57"/>
      <c r="I57"/>
      <c r="J57"/>
      <c r="K57"/>
      <c r="L57"/>
      <c r="M57"/>
      <c r="N57"/>
      <c r="O57"/>
      <c r="P57"/>
      <c r="Q57"/>
      <c r="R57"/>
    </row>
    <row r="58" spans="6:18" s="81" customFormat="1" ht="15" customHeight="1" x14ac:dyDescent="0.15">
      <c r="F58"/>
      <c r="G58"/>
      <c r="H58"/>
      <c r="I58"/>
      <c r="J58"/>
      <c r="K58"/>
      <c r="L58"/>
      <c r="M58"/>
      <c r="N58"/>
      <c r="O58"/>
      <c r="P58"/>
      <c r="Q58"/>
      <c r="R58"/>
    </row>
    <row r="59" spans="6:18" s="81" customFormat="1" ht="15" customHeight="1" x14ac:dyDescent="0.15">
      <c r="F59"/>
      <c r="G59"/>
      <c r="H59"/>
      <c r="I59"/>
      <c r="J59"/>
      <c r="K59"/>
      <c r="L59"/>
      <c r="M59"/>
      <c r="N59"/>
      <c r="O59"/>
      <c r="P59"/>
      <c r="Q59"/>
      <c r="R59"/>
    </row>
    <row r="60" spans="6:18" s="81" customFormat="1" ht="15" customHeight="1" x14ac:dyDescent="0.15">
      <c r="F60"/>
      <c r="G60"/>
      <c r="H60"/>
      <c r="I60"/>
      <c r="J60"/>
      <c r="K60"/>
      <c r="L60"/>
      <c r="M60"/>
      <c r="N60"/>
      <c r="O60"/>
      <c r="P60"/>
      <c r="Q60"/>
      <c r="R60"/>
    </row>
    <row r="61" spans="6:18" s="81" customFormat="1" ht="15" customHeight="1" x14ac:dyDescent="0.15">
      <c r="F61"/>
      <c r="G61"/>
      <c r="H61"/>
      <c r="I61"/>
      <c r="J61"/>
      <c r="K61"/>
      <c r="L61"/>
      <c r="M61"/>
      <c r="N61"/>
      <c r="O61"/>
      <c r="P61"/>
      <c r="Q61"/>
      <c r="R61"/>
    </row>
    <row r="62" spans="6:18" s="81" customFormat="1" ht="15" customHeight="1" x14ac:dyDescent="0.15">
      <c r="F62"/>
      <c r="G62"/>
      <c r="H62"/>
      <c r="I62"/>
      <c r="J62"/>
      <c r="K62"/>
      <c r="L62"/>
      <c r="M62"/>
      <c r="N62"/>
      <c r="O62"/>
      <c r="P62"/>
      <c r="Q62"/>
      <c r="R62"/>
    </row>
    <row r="63" spans="6:18" s="81" customFormat="1" ht="15" customHeight="1" x14ac:dyDescent="0.15">
      <c r="F63"/>
      <c r="G63"/>
      <c r="H63"/>
      <c r="I63"/>
      <c r="J63"/>
      <c r="K63"/>
      <c r="L63"/>
      <c r="M63"/>
      <c r="N63"/>
      <c r="O63"/>
      <c r="P63"/>
      <c r="Q63"/>
      <c r="R63"/>
    </row>
    <row r="64" spans="6:18" s="81" customFormat="1" ht="15" customHeight="1" x14ac:dyDescent="0.15">
      <c r="F64"/>
      <c r="G64"/>
      <c r="H64"/>
      <c r="I64"/>
      <c r="J64"/>
      <c r="K64"/>
      <c r="L64"/>
      <c r="M64"/>
      <c r="N64"/>
      <c r="O64"/>
      <c r="P64"/>
      <c r="Q64"/>
      <c r="R64"/>
    </row>
    <row r="65" spans="1:18" ht="15" customHeight="1" x14ac:dyDescent="0.15">
      <c r="F65"/>
      <c r="G65"/>
      <c r="H65"/>
      <c r="I65"/>
      <c r="J65"/>
      <c r="K65"/>
      <c r="L65"/>
      <c r="M65"/>
      <c r="N65"/>
      <c r="O65"/>
      <c r="P65"/>
      <c r="Q65"/>
      <c r="R65"/>
    </row>
    <row r="66" spans="1:18" ht="15" customHeight="1" x14ac:dyDescent="0.15">
      <c r="F66"/>
      <c r="G66"/>
      <c r="H66"/>
      <c r="I66"/>
      <c r="J66"/>
      <c r="K66"/>
      <c r="L66"/>
      <c r="M66"/>
      <c r="N66"/>
      <c r="O66"/>
      <c r="P66"/>
      <c r="Q66"/>
      <c r="R66"/>
    </row>
    <row r="67" spans="1:18" ht="15" customHeight="1" x14ac:dyDescent="0.15">
      <c r="F67"/>
      <c r="G67"/>
      <c r="H67"/>
      <c r="I67"/>
      <c r="J67"/>
      <c r="K67"/>
      <c r="L67"/>
      <c r="M67"/>
      <c r="N67"/>
      <c r="O67"/>
      <c r="P67"/>
      <c r="Q67"/>
      <c r="R67"/>
    </row>
    <row r="68" spans="1:18" ht="15" customHeight="1" x14ac:dyDescent="0.15">
      <c r="F68"/>
      <c r="G68"/>
      <c r="H68"/>
      <c r="I68"/>
      <c r="J68"/>
      <c r="K68"/>
      <c r="L68"/>
      <c r="M68"/>
      <c r="N68"/>
      <c r="O68"/>
      <c r="P68"/>
      <c r="Q68"/>
      <c r="R68"/>
    </row>
    <row r="69" spans="1:18" ht="15" customHeight="1" x14ac:dyDescent="0.15">
      <c r="F69"/>
      <c r="G69"/>
      <c r="H69"/>
      <c r="I69"/>
      <c r="J69"/>
      <c r="K69"/>
      <c r="L69"/>
      <c r="M69"/>
      <c r="N69"/>
      <c r="O69"/>
      <c r="P69"/>
      <c r="Q69"/>
      <c r="R69"/>
    </row>
    <row r="70" spans="1:18" ht="15" customHeight="1" x14ac:dyDescent="0.15">
      <c r="F70"/>
      <c r="G70"/>
      <c r="H70"/>
      <c r="I70"/>
      <c r="J70"/>
      <c r="K70"/>
      <c r="L70"/>
      <c r="M70"/>
      <c r="N70"/>
      <c r="O70"/>
      <c r="P70"/>
      <c r="Q70"/>
      <c r="R70"/>
    </row>
    <row r="71" spans="1:18" ht="15" customHeight="1" x14ac:dyDescent="0.15">
      <c r="F71"/>
      <c r="G71"/>
      <c r="H71"/>
      <c r="I71"/>
      <c r="J71"/>
      <c r="K71"/>
      <c r="L71"/>
      <c r="M71"/>
      <c r="N71"/>
      <c r="O71"/>
      <c r="P71"/>
      <c r="Q71"/>
      <c r="R71"/>
    </row>
    <row r="72" spans="1:18" ht="15" customHeight="1" x14ac:dyDescent="0.15">
      <c r="F72"/>
      <c r="G72"/>
      <c r="H72"/>
      <c r="I72"/>
      <c r="J72"/>
      <c r="K72"/>
      <c r="L72"/>
      <c r="M72"/>
      <c r="N72"/>
      <c r="O72"/>
      <c r="P72"/>
      <c r="Q72"/>
      <c r="R72"/>
    </row>
    <row r="73" spans="1:18" ht="15" customHeight="1" x14ac:dyDescent="0.15">
      <c r="F73"/>
      <c r="G73"/>
      <c r="H73"/>
      <c r="I73"/>
      <c r="J73"/>
      <c r="K73"/>
      <c r="L73"/>
      <c r="M73"/>
      <c r="N73"/>
      <c r="O73"/>
      <c r="P73"/>
      <c r="Q73"/>
      <c r="R73"/>
    </row>
    <row r="74" spans="1:18" ht="15" customHeight="1" x14ac:dyDescent="0.15">
      <c r="F74"/>
      <c r="G74"/>
      <c r="H74"/>
      <c r="I74"/>
      <c r="J74"/>
      <c r="K74"/>
      <c r="L74"/>
      <c r="M74"/>
      <c r="N74"/>
      <c r="O74"/>
      <c r="P74"/>
      <c r="Q74"/>
      <c r="R74"/>
    </row>
    <row r="75" spans="1:18" ht="15" customHeight="1" x14ac:dyDescent="0.15">
      <c r="F75"/>
      <c r="G75"/>
      <c r="H75"/>
      <c r="I75"/>
      <c r="J75"/>
      <c r="K75"/>
      <c r="L75"/>
      <c r="M75"/>
      <c r="N75"/>
      <c r="O75"/>
      <c r="P75"/>
      <c r="Q75"/>
      <c r="R75"/>
    </row>
    <row r="76" spans="1:18" ht="15" customHeight="1" x14ac:dyDescent="0.15">
      <c r="A76" s="81"/>
      <c r="F76"/>
      <c r="G76"/>
      <c r="H76"/>
      <c r="I76"/>
      <c r="J76"/>
      <c r="K76"/>
      <c r="L76"/>
      <c r="M76"/>
      <c r="N76"/>
      <c r="O76"/>
      <c r="P76"/>
      <c r="Q76"/>
      <c r="R76"/>
    </row>
    <row r="77" spans="1:18" ht="15" customHeight="1" x14ac:dyDescent="0.15">
      <c r="A77" s="81"/>
      <c r="F77"/>
      <c r="G77"/>
      <c r="H77"/>
      <c r="I77"/>
      <c r="J77"/>
      <c r="K77"/>
      <c r="L77"/>
      <c r="M77"/>
      <c r="N77"/>
      <c r="O77"/>
      <c r="P77"/>
      <c r="Q77"/>
      <c r="R77"/>
    </row>
    <row r="78" spans="1:18" ht="15" customHeight="1" x14ac:dyDescent="0.15">
      <c r="A78" s="81"/>
      <c r="F78"/>
      <c r="G78"/>
      <c r="H78"/>
      <c r="I78"/>
      <c r="J78"/>
      <c r="K78"/>
      <c r="L78"/>
      <c r="M78"/>
      <c r="N78"/>
      <c r="O78"/>
      <c r="P78"/>
      <c r="Q78"/>
      <c r="R78"/>
    </row>
    <row r="79" spans="1:18" ht="15" customHeight="1" x14ac:dyDescent="0.15">
      <c r="A79" s="81"/>
      <c r="F79"/>
      <c r="G79"/>
      <c r="H79"/>
      <c r="I79"/>
      <c r="J79"/>
      <c r="K79"/>
      <c r="L79"/>
      <c r="M79"/>
      <c r="N79"/>
      <c r="O79"/>
      <c r="P79"/>
      <c r="Q79"/>
      <c r="R79"/>
    </row>
    <row r="80" spans="1:18" ht="15" customHeight="1" x14ac:dyDescent="0.15">
      <c r="A80" s="81"/>
      <c r="F80"/>
      <c r="G80"/>
      <c r="H80"/>
      <c r="I80"/>
      <c r="J80"/>
      <c r="K80"/>
      <c r="L80"/>
      <c r="M80"/>
      <c r="N80"/>
      <c r="O80"/>
      <c r="P80"/>
      <c r="Q80"/>
      <c r="R80"/>
    </row>
    <row r="81" spans="1:18" ht="15" customHeight="1" x14ac:dyDescent="0.15">
      <c r="A81" s="81"/>
      <c r="F81"/>
      <c r="G81"/>
      <c r="H81"/>
      <c r="I81"/>
      <c r="J81"/>
      <c r="K81"/>
      <c r="L81"/>
      <c r="M81"/>
      <c r="N81"/>
      <c r="O81"/>
      <c r="P81"/>
      <c r="Q81"/>
      <c r="R81"/>
    </row>
    <row r="82" spans="1:18" ht="15" customHeight="1" x14ac:dyDescent="0.15">
      <c r="A82" s="81"/>
      <c r="F82"/>
      <c r="G82"/>
      <c r="H82"/>
      <c r="I82"/>
      <c r="J82"/>
      <c r="K82"/>
      <c r="L82"/>
      <c r="M82"/>
      <c r="N82"/>
      <c r="O82"/>
      <c r="P82"/>
      <c r="Q82"/>
      <c r="R82"/>
    </row>
    <row r="83" spans="1:18" ht="15" customHeight="1" x14ac:dyDescent="0.15">
      <c r="A83" s="81"/>
      <c r="F83"/>
      <c r="G83"/>
      <c r="H83"/>
      <c r="I83"/>
      <c r="J83"/>
      <c r="K83"/>
      <c r="L83"/>
      <c r="M83"/>
      <c r="N83"/>
      <c r="O83"/>
      <c r="P83"/>
      <c r="Q83"/>
      <c r="R83"/>
    </row>
    <row r="84" spans="1:18" ht="15" customHeight="1" x14ac:dyDescent="0.15">
      <c r="A84" s="81"/>
      <c r="F84"/>
      <c r="G84"/>
      <c r="H84"/>
      <c r="I84"/>
      <c r="J84"/>
      <c r="K84"/>
      <c r="L84"/>
      <c r="M84"/>
      <c r="N84"/>
      <c r="O84"/>
      <c r="P84"/>
      <c r="Q84"/>
      <c r="R84"/>
    </row>
    <row r="85" spans="1:18" ht="15" customHeight="1" x14ac:dyDescent="0.15">
      <c r="A85" s="81"/>
      <c r="F85"/>
      <c r="G85"/>
      <c r="H85"/>
      <c r="I85"/>
      <c r="J85"/>
      <c r="K85"/>
      <c r="L85"/>
      <c r="M85"/>
      <c r="N85"/>
      <c r="O85"/>
      <c r="P85"/>
      <c r="Q85"/>
      <c r="R85"/>
    </row>
    <row r="86" spans="1:18" ht="15" customHeight="1" x14ac:dyDescent="0.15">
      <c r="A86" s="81"/>
      <c r="F86"/>
      <c r="G86"/>
      <c r="H86"/>
      <c r="I86"/>
      <c r="J86"/>
      <c r="K86"/>
      <c r="L86"/>
      <c r="M86"/>
      <c r="N86"/>
      <c r="O86"/>
      <c r="P86"/>
      <c r="Q86"/>
      <c r="R86"/>
    </row>
    <row r="87" spans="1:18" ht="15" customHeight="1" x14ac:dyDescent="0.15">
      <c r="A87" s="81"/>
      <c r="F87"/>
      <c r="G87"/>
      <c r="H87"/>
      <c r="I87"/>
      <c r="J87"/>
      <c r="K87"/>
      <c r="L87"/>
      <c r="M87"/>
      <c r="N87"/>
      <c r="O87"/>
      <c r="P87"/>
      <c r="Q87"/>
      <c r="R87"/>
    </row>
    <row r="88" spans="1:18" ht="15" customHeight="1" x14ac:dyDescent="0.15">
      <c r="A88" s="81"/>
      <c r="F88"/>
      <c r="G88"/>
      <c r="H88"/>
      <c r="I88"/>
      <c r="J88"/>
      <c r="K88"/>
      <c r="L88"/>
      <c r="M88"/>
      <c r="N88"/>
      <c r="O88"/>
      <c r="P88"/>
      <c r="Q88"/>
      <c r="R88"/>
    </row>
    <row r="89" spans="1:18" ht="15" customHeight="1" x14ac:dyDescent="0.15">
      <c r="A89" s="81"/>
      <c r="F89"/>
      <c r="G89"/>
      <c r="H89"/>
      <c r="I89"/>
      <c r="J89"/>
      <c r="K89"/>
      <c r="L89"/>
      <c r="M89"/>
      <c r="N89"/>
      <c r="O89"/>
      <c r="P89"/>
      <c r="Q89"/>
      <c r="R89"/>
    </row>
    <row r="90" spans="1:18" ht="15" customHeight="1" x14ac:dyDescent="0.15">
      <c r="A90" s="81"/>
      <c r="F90"/>
      <c r="G90"/>
      <c r="H90"/>
      <c r="I90"/>
      <c r="J90"/>
      <c r="K90"/>
      <c r="L90"/>
      <c r="M90"/>
      <c r="N90"/>
      <c r="O90"/>
      <c r="P90"/>
      <c r="Q90"/>
      <c r="R90"/>
    </row>
    <row r="91" spans="1:18" ht="15" customHeight="1" x14ac:dyDescent="0.15">
      <c r="A91" s="81"/>
      <c r="F91"/>
      <c r="G91"/>
      <c r="H91"/>
      <c r="I91"/>
      <c r="J91"/>
      <c r="K91"/>
      <c r="L91"/>
      <c r="M91"/>
      <c r="N91"/>
      <c r="O91"/>
      <c r="P91"/>
      <c r="Q91"/>
      <c r="R91"/>
    </row>
    <row r="92" spans="1:18" ht="15" customHeight="1" x14ac:dyDescent="0.15">
      <c r="A92" s="81"/>
      <c r="F92"/>
      <c r="G92"/>
      <c r="H92"/>
      <c r="I92"/>
      <c r="J92"/>
      <c r="K92"/>
      <c r="L92"/>
      <c r="M92"/>
      <c r="N92"/>
      <c r="O92"/>
      <c r="P92"/>
      <c r="Q92"/>
      <c r="R92"/>
    </row>
    <row r="93" spans="1:18" ht="15" customHeight="1" x14ac:dyDescent="0.15">
      <c r="A93" s="81"/>
      <c r="F93"/>
      <c r="G93"/>
      <c r="H93"/>
      <c r="I93"/>
      <c r="J93"/>
      <c r="K93"/>
      <c r="L93"/>
      <c r="M93"/>
      <c r="N93"/>
      <c r="O93"/>
      <c r="P93"/>
      <c r="Q93"/>
      <c r="R93"/>
    </row>
    <row r="94" spans="1:18" ht="15" customHeight="1" x14ac:dyDescent="0.15">
      <c r="A94" s="81"/>
      <c r="F94"/>
      <c r="G94"/>
      <c r="H94"/>
      <c r="I94"/>
      <c r="J94"/>
      <c r="K94"/>
      <c r="L94"/>
      <c r="M94"/>
      <c r="N94"/>
      <c r="O94"/>
      <c r="P94"/>
      <c r="Q94"/>
      <c r="R94"/>
    </row>
    <row r="95" spans="1:18" ht="15" customHeight="1" x14ac:dyDescent="0.15">
      <c r="A95" s="81"/>
      <c r="F95"/>
      <c r="G95"/>
      <c r="H95"/>
      <c r="I95"/>
      <c r="J95"/>
      <c r="K95"/>
      <c r="L95"/>
      <c r="M95"/>
      <c r="N95"/>
      <c r="O95"/>
      <c r="P95"/>
      <c r="Q95"/>
      <c r="R95"/>
    </row>
    <row r="96" spans="1:18" ht="15" customHeight="1" x14ac:dyDescent="0.15">
      <c r="A96" s="81"/>
      <c r="F96"/>
      <c r="G96"/>
      <c r="H96"/>
      <c r="I96"/>
      <c r="J96"/>
      <c r="K96"/>
      <c r="L96"/>
      <c r="M96"/>
      <c r="N96"/>
      <c r="O96"/>
      <c r="P96"/>
      <c r="Q96"/>
      <c r="R96"/>
    </row>
    <row r="97" spans="1:18" ht="15" customHeight="1" x14ac:dyDescent="0.15">
      <c r="A97" s="81"/>
      <c r="F97"/>
      <c r="G97"/>
      <c r="H97"/>
      <c r="I97"/>
      <c r="J97"/>
      <c r="K97"/>
      <c r="L97"/>
      <c r="M97"/>
      <c r="N97"/>
      <c r="O97"/>
      <c r="P97"/>
      <c r="Q97"/>
      <c r="R97"/>
    </row>
    <row r="98" spans="1:18" ht="15" customHeight="1" x14ac:dyDescent="0.15">
      <c r="A98" s="81"/>
      <c r="F98"/>
      <c r="G98"/>
      <c r="H98"/>
      <c r="I98"/>
      <c r="J98"/>
      <c r="K98"/>
      <c r="L98"/>
      <c r="M98"/>
      <c r="N98"/>
      <c r="O98"/>
      <c r="P98"/>
      <c r="Q98"/>
      <c r="R98"/>
    </row>
    <row r="99" spans="1:18" ht="15" customHeight="1" x14ac:dyDescent="0.15">
      <c r="A99" s="81"/>
      <c r="F99"/>
      <c r="G99"/>
      <c r="H99"/>
      <c r="I99"/>
      <c r="J99"/>
      <c r="K99"/>
      <c r="L99"/>
      <c r="M99"/>
      <c r="N99"/>
      <c r="O99"/>
      <c r="P99"/>
      <c r="Q99"/>
      <c r="R99"/>
    </row>
    <row r="100" spans="1:18" ht="15" customHeight="1" x14ac:dyDescent="0.15">
      <c r="A100" s="81"/>
      <c r="F100"/>
      <c r="G100"/>
      <c r="H100"/>
      <c r="I100"/>
      <c r="J100"/>
      <c r="K100"/>
      <c r="L100"/>
      <c r="M100"/>
      <c r="N100"/>
      <c r="O100"/>
      <c r="P100"/>
      <c r="Q100"/>
      <c r="R100"/>
    </row>
    <row r="101" spans="1:18" ht="15" customHeight="1" x14ac:dyDescent="0.15">
      <c r="A101" s="81"/>
      <c r="F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1:18" ht="15" customHeight="1" x14ac:dyDescent="0.15">
      <c r="A102" s="81"/>
      <c r="F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1:18" ht="15" customHeight="1" x14ac:dyDescent="0.15">
      <c r="A103" s="81"/>
      <c r="F103"/>
      <c r="G103"/>
      <c r="H103"/>
      <c r="I103"/>
      <c r="J103"/>
      <c r="K103"/>
      <c r="L103"/>
      <c r="M103"/>
      <c r="N103"/>
      <c r="O103"/>
      <c r="P103"/>
      <c r="Q103"/>
      <c r="R103"/>
    </row>
    <row r="104" spans="1:18" ht="15" customHeight="1" x14ac:dyDescent="0.15">
      <c r="A104" s="81"/>
      <c r="F104"/>
      <c r="G104"/>
      <c r="H104"/>
      <c r="I104"/>
      <c r="J104"/>
      <c r="K104"/>
      <c r="L104"/>
      <c r="M104"/>
      <c r="N104"/>
      <c r="O104"/>
      <c r="P104"/>
      <c r="Q104"/>
      <c r="R104"/>
    </row>
    <row r="105" spans="1:18" ht="15" customHeight="1" x14ac:dyDescent="0.15">
      <c r="A105" s="81"/>
      <c r="F105"/>
      <c r="G105"/>
      <c r="H105"/>
      <c r="I105"/>
      <c r="J105"/>
      <c r="K105"/>
      <c r="L105"/>
      <c r="M105"/>
      <c r="N105"/>
      <c r="O105"/>
      <c r="P105"/>
      <c r="Q105"/>
      <c r="R105"/>
    </row>
    <row r="106" spans="1:18" ht="15" customHeight="1" x14ac:dyDescent="0.15">
      <c r="F106"/>
      <c r="G106"/>
      <c r="H106"/>
      <c r="I106"/>
      <c r="J106"/>
      <c r="K106"/>
      <c r="L106"/>
      <c r="M106"/>
      <c r="N106"/>
      <c r="O106"/>
      <c r="P106"/>
      <c r="Q106"/>
      <c r="R106"/>
    </row>
    <row r="107" spans="1:18" ht="15" customHeight="1" x14ac:dyDescent="0.15">
      <c r="F107"/>
      <c r="G107"/>
      <c r="H107"/>
      <c r="I107"/>
      <c r="J107"/>
      <c r="K107"/>
      <c r="L107"/>
      <c r="M107"/>
      <c r="N107"/>
      <c r="O107"/>
      <c r="P107"/>
      <c r="Q107"/>
      <c r="R107"/>
    </row>
    <row r="108" spans="1:18" ht="15" customHeight="1" x14ac:dyDescent="0.15">
      <c r="F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 ht="15" customHeight="1" x14ac:dyDescent="0.15">
      <c r="F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 ht="15" customHeight="1" x14ac:dyDescent="0.15"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 ht="15" customHeight="1" x14ac:dyDescent="0.15"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 ht="15" customHeight="1" x14ac:dyDescent="0.15"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6:18" s="81" customFormat="1" ht="15" customHeight="1" x14ac:dyDescent="0.15"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6:18" s="81" customFormat="1" ht="15" customHeight="1" x14ac:dyDescent="0.15">
      <c r="F114"/>
      <c r="G114"/>
      <c r="H114"/>
      <c r="I114"/>
      <c r="J114"/>
      <c r="K114"/>
      <c r="L114"/>
      <c r="M114"/>
      <c r="N114"/>
      <c r="O114"/>
      <c r="P114"/>
      <c r="Q114"/>
      <c r="R114"/>
    </row>
    <row r="115" spans="6:18" s="81" customFormat="1" ht="15" customHeight="1" x14ac:dyDescent="0.15">
      <c r="F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6:18" s="81" customFormat="1" ht="15" customHeight="1" x14ac:dyDescent="0.15">
      <c r="F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6:18" s="81" customFormat="1" ht="15" customHeight="1" x14ac:dyDescent="0.15"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6:18" s="81" customFormat="1" ht="15" customHeight="1" x14ac:dyDescent="0.15"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6:18" s="81" customFormat="1" ht="15" customHeight="1" x14ac:dyDescent="0.15"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6:18" s="81" customFormat="1" ht="15" customHeight="1" x14ac:dyDescent="0.15"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6:18" s="81" customFormat="1" ht="15" customHeight="1" x14ac:dyDescent="0.15"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6:18" s="81" customFormat="1" ht="15" customHeight="1" x14ac:dyDescent="0.15"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6:18" s="81" customFormat="1" ht="15" customHeight="1" x14ac:dyDescent="0.15"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6:18" s="81" customFormat="1" ht="15" customHeight="1" x14ac:dyDescent="0.15"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6:18" s="81" customFormat="1" ht="15" customHeight="1" x14ac:dyDescent="0.15"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6:18" s="81" customFormat="1" ht="15" customHeight="1" x14ac:dyDescent="0.15"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6:18" s="81" customFormat="1" ht="15" customHeight="1" x14ac:dyDescent="0.15"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6:18" s="81" customFormat="1" ht="15" customHeight="1" x14ac:dyDescent="0.15"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6:18" s="81" customFormat="1" ht="15" customHeight="1" x14ac:dyDescent="0.15"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6:18" s="81" customFormat="1" ht="15" customHeight="1" x14ac:dyDescent="0.15"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6:18" s="81" customFormat="1" ht="15" customHeight="1" x14ac:dyDescent="0.15"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6:18" s="81" customFormat="1" ht="15" customHeight="1" x14ac:dyDescent="0.15"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6:18" s="81" customFormat="1" ht="15" customHeight="1" x14ac:dyDescent="0.15"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6:18" s="81" customFormat="1" ht="15" customHeight="1" x14ac:dyDescent="0.15"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6:18" s="81" customFormat="1" ht="15" customHeight="1" x14ac:dyDescent="0.15"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6:18" s="81" customFormat="1" ht="15" customHeight="1" x14ac:dyDescent="0.15"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6:18" s="81" customFormat="1" ht="15" customHeight="1" x14ac:dyDescent="0.15"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6:18" s="81" customFormat="1" ht="15" customHeight="1" x14ac:dyDescent="0.15"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6:18" s="81" customFormat="1" ht="15" customHeight="1" x14ac:dyDescent="0.15"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6:18" s="81" customFormat="1" ht="15" customHeight="1" x14ac:dyDescent="0.15"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6:18" s="81" customFormat="1" ht="15" customHeight="1" x14ac:dyDescent="0.15"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6:18" s="81" customFormat="1" ht="15" customHeight="1" x14ac:dyDescent="0.15"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6:18" s="81" customFormat="1" ht="15" customHeight="1" x14ac:dyDescent="0.15"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6:18" s="81" customFormat="1" ht="15" customHeight="1" x14ac:dyDescent="0.15"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6:18" s="81" customFormat="1" ht="15" customHeight="1" x14ac:dyDescent="0.15"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6:18" s="81" customFormat="1" ht="15" customHeight="1" x14ac:dyDescent="0.15"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6:18" s="81" customFormat="1" ht="15" customHeight="1" x14ac:dyDescent="0.15"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6:18" s="81" customFormat="1" ht="15" customHeight="1" x14ac:dyDescent="0.15"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6:18" s="81" customFormat="1" ht="15" customHeight="1" x14ac:dyDescent="0.15"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6:18" s="81" customFormat="1" ht="15" customHeight="1" x14ac:dyDescent="0.15"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6:18" s="81" customFormat="1" ht="15" customHeight="1" x14ac:dyDescent="0.15"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6:18" s="81" customFormat="1" ht="15" customHeight="1" x14ac:dyDescent="0.15"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6:18" s="81" customFormat="1" ht="15" customHeight="1" x14ac:dyDescent="0.15"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6:18" s="81" customFormat="1" ht="15" customHeight="1" x14ac:dyDescent="0.15"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6:18" s="81" customFormat="1" ht="15" customHeight="1" x14ac:dyDescent="0.15"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6:18" s="81" customFormat="1" ht="15" customHeight="1" x14ac:dyDescent="0.15"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6:18" s="81" customFormat="1" ht="15" customHeight="1" x14ac:dyDescent="0.15"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6:18" s="81" customFormat="1" ht="15" customHeight="1" x14ac:dyDescent="0.15"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6:18" s="81" customFormat="1" ht="15" customHeight="1" x14ac:dyDescent="0.15"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6:18" s="81" customFormat="1" ht="15" customHeight="1" x14ac:dyDescent="0.15"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6:18" s="81" customFormat="1" ht="15" customHeight="1" x14ac:dyDescent="0.15"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6:18" s="81" customFormat="1" ht="15" customHeight="1" x14ac:dyDescent="0.15"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6:18" s="81" customFormat="1" ht="15" customHeight="1" x14ac:dyDescent="0.15"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6:18" s="81" customFormat="1" ht="15" customHeight="1" x14ac:dyDescent="0.15"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6:18" s="81" customFormat="1" ht="15" customHeight="1" x14ac:dyDescent="0.15"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6:18" s="81" customFormat="1" ht="15" customHeight="1" x14ac:dyDescent="0.15"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6:18" s="81" customFormat="1" ht="15" customHeight="1" x14ac:dyDescent="0.15"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6:18" s="81" customFormat="1" ht="15" customHeight="1" x14ac:dyDescent="0.15"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6:18" s="81" customFormat="1" ht="15" customHeight="1" x14ac:dyDescent="0.15"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6:18" s="81" customFormat="1" ht="15" customHeight="1" x14ac:dyDescent="0.15"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6:18" s="81" customFormat="1" ht="15" customHeight="1" x14ac:dyDescent="0.15"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6:18" s="81" customFormat="1" ht="15" customHeight="1" x14ac:dyDescent="0.15"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6:18" s="81" customFormat="1" ht="15" customHeight="1" x14ac:dyDescent="0.15"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6:18" s="81" customFormat="1" ht="15" customHeight="1" x14ac:dyDescent="0.15"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6:18" s="81" customFormat="1" ht="15" customHeight="1" x14ac:dyDescent="0.15"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6:18" s="81" customFormat="1" ht="15" customHeight="1" x14ac:dyDescent="0.15"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6:18" s="81" customFormat="1" ht="15" customHeight="1" x14ac:dyDescent="0.15"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6:18" s="81" customFormat="1" ht="15" customHeight="1" x14ac:dyDescent="0.15"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6:18" s="81" customFormat="1" ht="15" customHeight="1" x14ac:dyDescent="0.15"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6:18" s="81" customFormat="1" ht="15" customHeight="1" x14ac:dyDescent="0.15"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6:18" s="81" customFormat="1" ht="15" customHeight="1" x14ac:dyDescent="0.15"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6:18" s="81" customFormat="1" ht="15" customHeight="1" x14ac:dyDescent="0.15"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6:18" s="81" customFormat="1" ht="15" customHeight="1" x14ac:dyDescent="0.15"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6:18" s="81" customFormat="1" ht="15" customHeight="1" x14ac:dyDescent="0.15"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6:18" s="81" customFormat="1" ht="15" customHeight="1" x14ac:dyDescent="0.15"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6:18" s="81" customFormat="1" ht="15" customHeight="1" x14ac:dyDescent="0.15"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6:18" s="81" customFormat="1" ht="15" customHeight="1" x14ac:dyDescent="0.15"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6:18" s="81" customFormat="1" ht="15" customHeight="1" x14ac:dyDescent="0.15">
      <c r="F188"/>
      <c r="G188"/>
      <c r="H188"/>
      <c r="I188"/>
      <c r="J188"/>
      <c r="K188"/>
      <c r="L188"/>
      <c r="M188"/>
      <c r="N188"/>
      <c r="O188"/>
      <c r="P188"/>
      <c r="Q188"/>
      <c r="R188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AO19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5" sqref="A5"/>
    </sheetView>
  </sheetViews>
  <sheetFormatPr baseColWidth="10" defaultColWidth="8.83203125" defaultRowHeight="13" x14ac:dyDescent="0.15"/>
  <cols>
    <col min="1" max="1" width="21.6640625" bestFit="1" customWidth="1"/>
    <col min="2" max="2" width="2.33203125" style="109" customWidth="1"/>
    <col min="3" max="5" width="7.83203125" style="109" customWidth="1"/>
    <col min="6" max="8" width="8.83203125" style="6"/>
    <col min="9" max="9" width="7.5" style="6" customWidth="1"/>
    <col min="10" max="10" width="10.5" style="6" customWidth="1"/>
    <col min="11" max="11" width="12.83203125" style="6" customWidth="1"/>
    <col min="12" max="12" width="8.5" style="6" customWidth="1"/>
    <col min="13" max="13" width="13.6640625" style="6" customWidth="1"/>
    <col min="14" max="14" width="14.83203125" style="6" customWidth="1"/>
    <col min="15" max="15" width="16.6640625" style="6" customWidth="1"/>
    <col min="16" max="16" width="17.33203125" style="6" customWidth="1"/>
    <col min="17" max="17" width="15.5" style="6" customWidth="1"/>
    <col min="18" max="18" width="16" style="6" customWidth="1"/>
    <col min="19" max="19" width="9.5" style="6" customWidth="1"/>
    <col min="20" max="20" width="7.1640625" style="6" customWidth="1"/>
    <col min="21" max="21" width="7.5" style="6" customWidth="1"/>
    <col min="22" max="22" width="14" style="6" customWidth="1"/>
    <col min="23" max="23" width="14.33203125" style="6" customWidth="1"/>
    <col min="24" max="24" width="7.5" style="6" customWidth="1"/>
    <col min="25" max="25" width="10.5" style="6" customWidth="1"/>
    <col min="26" max="26" width="9.6640625" style="6" customWidth="1"/>
    <col min="27" max="27" width="12.83203125" style="6" customWidth="1"/>
    <col min="28" max="28" width="9.83203125" style="6" customWidth="1"/>
    <col min="29" max="29" width="11.5" style="6" customWidth="1"/>
    <col min="30" max="30" width="7.1640625" style="6" customWidth="1"/>
    <col min="31" max="31" width="14.83203125" style="6" customWidth="1"/>
    <col min="32" max="32" width="12.1640625" style="6" customWidth="1"/>
    <col min="33" max="33" width="8.6640625" style="6" customWidth="1"/>
    <col min="34" max="34" width="11.5" style="6" customWidth="1"/>
    <col min="35" max="35" width="13.83203125" style="6" customWidth="1"/>
    <col min="36" max="36" width="12.83203125" style="6" customWidth="1"/>
    <col min="37" max="38" width="13.1640625" style="6" customWidth="1"/>
    <col min="39" max="39" width="7.6640625" customWidth="1"/>
    <col min="40" max="40" width="21.6640625" customWidth="1"/>
    <col min="41" max="41" width="6.5" customWidth="1"/>
    <col min="81" max="81" width="22.1640625" bestFit="1" customWidth="1"/>
  </cols>
  <sheetData>
    <row r="1" spans="1:41" x14ac:dyDescent="0.15">
      <c r="A1" s="4" t="s">
        <v>156</v>
      </c>
      <c r="B1" s="36" t="s">
        <v>157</v>
      </c>
      <c r="C1" s="36" t="s">
        <v>17</v>
      </c>
      <c r="D1" s="36" t="s">
        <v>158</v>
      </c>
      <c r="E1" s="36" t="s">
        <v>159</v>
      </c>
      <c r="F1" t="s">
        <v>38</v>
      </c>
      <c r="G1" t="s">
        <v>40</v>
      </c>
      <c r="H1" t="s">
        <v>41</v>
      </c>
      <c r="I1" s="201" t="s">
        <v>192</v>
      </c>
      <c r="J1" s="201" t="s">
        <v>193</v>
      </c>
      <c r="K1" s="201" t="s">
        <v>194</v>
      </c>
      <c r="L1" s="201" t="s">
        <v>195</v>
      </c>
      <c r="M1" s="201" t="s">
        <v>196</v>
      </c>
      <c r="N1" s="201" t="s">
        <v>197</v>
      </c>
      <c r="O1" s="201" t="s">
        <v>198</v>
      </c>
      <c r="P1" s="201" t="s">
        <v>199</v>
      </c>
      <c r="Q1" s="201" t="s">
        <v>200</v>
      </c>
      <c r="R1" s="201" t="s">
        <v>201</v>
      </c>
      <c r="S1" s="201" t="s">
        <v>202</v>
      </c>
      <c r="T1" s="201" t="s">
        <v>203</v>
      </c>
      <c r="U1" s="201" t="s">
        <v>204</v>
      </c>
      <c r="V1" s="201" t="s">
        <v>205</v>
      </c>
      <c r="W1" s="201" t="s">
        <v>206</v>
      </c>
      <c r="X1" s="201" t="s">
        <v>207</v>
      </c>
      <c r="Y1" s="201" t="s">
        <v>208</v>
      </c>
      <c r="Z1" s="201" t="s">
        <v>209</v>
      </c>
      <c r="AA1" s="201" t="s">
        <v>210</v>
      </c>
      <c r="AB1" s="201" t="s">
        <v>211</v>
      </c>
      <c r="AC1" s="201" t="s">
        <v>212</v>
      </c>
      <c r="AD1" s="201" t="s">
        <v>213</v>
      </c>
      <c r="AE1" s="201" t="s">
        <v>214</v>
      </c>
      <c r="AF1" s="201" t="s">
        <v>215</v>
      </c>
      <c r="AG1" s="201" t="s">
        <v>216</v>
      </c>
      <c r="AH1" s="201" t="s">
        <v>217</v>
      </c>
      <c r="AI1" s="201" t="s">
        <v>218</v>
      </c>
      <c r="AJ1" s="201" t="s">
        <v>219</v>
      </c>
      <c r="AK1" s="201" t="s">
        <v>220</v>
      </c>
      <c r="AL1" s="201" t="s">
        <v>221</v>
      </c>
      <c r="AM1" s="201" t="s">
        <v>222</v>
      </c>
      <c r="AN1" s="201" t="s">
        <v>223</v>
      </c>
      <c r="AO1" s="201" t="s">
        <v>224</v>
      </c>
    </row>
    <row r="2" spans="1:41" x14ac:dyDescent="0.15">
      <c r="A2" t="s">
        <v>38</v>
      </c>
      <c r="B2" s="109">
        <v>0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3" spans="1:41" x14ac:dyDescent="0.15">
      <c r="A3" t="s">
        <v>40</v>
      </c>
      <c r="B3" s="109">
        <v>0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</row>
    <row r="4" spans="1:41" x14ac:dyDescent="0.15">
      <c r="A4" t="s">
        <v>41</v>
      </c>
      <c r="B4" s="109">
        <v>0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</row>
    <row r="5" spans="1:41" x14ac:dyDescent="0.15">
      <c r="A5" s="200" t="s">
        <v>192</v>
      </c>
      <c r="B5" s="109">
        <v>0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</row>
    <row r="6" spans="1:41" x14ac:dyDescent="0.15">
      <c r="A6" s="200" t="s">
        <v>193</v>
      </c>
      <c r="B6" s="109">
        <v>0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</row>
    <row r="7" spans="1:41" x14ac:dyDescent="0.15">
      <c r="A7" s="200" t="s">
        <v>194</v>
      </c>
      <c r="B7" s="109">
        <v>0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</row>
    <row r="8" spans="1:41" x14ac:dyDescent="0.15">
      <c r="A8" s="200" t="s">
        <v>195</v>
      </c>
      <c r="B8" s="109">
        <v>0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</row>
    <row r="9" spans="1:41" x14ac:dyDescent="0.15">
      <c r="A9" s="200" t="s">
        <v>196</v>
      </c>
      <c r="B9" s="109">
        <v>0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</row>
    <row r="10" spans="1:41" x14ac:dyDescent="0.15">
      <c r="A10" s="200" t="s">
        <v>197</v>
      </c>
      <c r="B10" s="109">
        <v>0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</row>
    <row r="11" spans="1:41" x14ac:dyDescent="0.15">
      <c r="A11" s="200" t="s">
        <v>198</v>
      </c>
      <c r="B11" s="109">
        <v>0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41" x14ac:dyDescent="0.15">
      <c r="A12" s="200" t="s">
        <v>199</v>
      </c>
      <c r="B12" s="109">
        <v>0</v>
      </c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</row>
    <row r="13" spans="1:41" x14ac:dyDescent="0.15">
      <c r="A13" s="200" t="s">
        <v>200</v>
      </c>
      <c r="B13" s="109">
        <v>0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</row>
    <row r="14" spans="1:41" x14ac:dyDescent="0.15">
      <c r="A14" s="200" t="s">
        <v>201</v>
      </c>
      <c r="B14" s="109">
        <v>0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41" x14ac:dyDescent="0.15">
      <c r="A15" s="200" t="s">
        <v>202</v>
      </c>
      <c r="B15" s="109">
        <v>0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41" x14ac:dyDescent="0.15">
      <c r="A16" s="200" t="s">
        <v>203</v>
      </c>
      <c r="B16" s="109">
        <v>0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 ht="15" customHeight="1" x14ac:dyDescent="0.15">
      <c r="A17" s="200" t="s">
        <v>204</v>
      </c>
      <c r="B17" s="109">
        <v>0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 ht="15" customHeight="1" x14ac:dyDescent="0.15">
      <c r="A18" s="200" t="s">
        <v>205</v>
      </c>
      <c r="B18" s="109">
        <v>0</v>
      </c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 ht="15" customHeight="1" x14ac:dyDescent="0.15">
      <c r="A19" s="200" t="s">
        <v>206</v>
      </c>
      <c r="B19" s="109">
        <v>0</v>
      </c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 ht="15" customHeight="1" x14ac:dyDescent="0.15">
      <c r="A20" s="200" t="s">
        <v>207</v>
      </c>
      <c r="B20" s="109">
        <v>0</v>
      </c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 ht="15" customHeight="1" x14ac:dyDescent="0.15">
      <c r="A21" s="200" t="s">
        <v>208</v>
      </c>
      <c r="B21" s="109">
        <v>0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 ht="15" customHeight="1" x14ac:dyDescent="0.15">
      <c r="A22" s="200" t="s">
        <v>209</v>
      </c>
      <c r="B22" s="109">
        <v>0</v>
      </c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 ht="15" customHeight="1" x14ac:dyDescent="0.15">
      <c r="A23" s="200" t="s">
        <v>210</v>
      </c>
      <c r="B23" s="109">
        <v>0</v>
      </c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 ht="15" customHeight="1" x14ac:dyDescent="0.15">
      <c r="A24" s="200" t="s">
        <v>211</v>
      </c>
      <c r="B24" s="109">
        <v>0</v>
      </c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 ht="15" customHeight="1" x14ac:dyDescent="0.15">
      <c r="A25" s="200" t="s">
        <v>212</v>
      </c>
      <c r="B25" s="109">
        <v>0</v>
      </c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 ht="15" customHeight="1" x14ac:dyDescent="0.15">
      <c r="A26" s="200" t="s">
        <v>213</v>
      </c>
      <c r="B26" s="109">
        <v>0</v>
      </c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 ht="15" customHeight="1" x14ac:dyDescent="0.15">
      <c r="A27" s="200" t="s">
        <v>214</v>
      </c>
      <c r="B27" s="109">
        <v>0</v>
      </c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 ht="15" customHeight="1" x14ac:dyDescent="0.15">
      <c r="A28" s="200" t="s">
        <v>215</v>
      </c>
      <c r="B28" s="109">
        <v>0</v>
      </c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 ht="15" customHeight="1" x14ac:dyDescent="0.15">
      <c r="A29" s="200" t="s">
        <v>216</v>
      </c>
      <c r="B29" s="109">
        <v>0</v>
      </c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 ht="15" customHeight="1" x14ac:dyDescent="0.15">
      <c r="A30" s="200" t="s">
        <v>217</v>
      </c>
      <c r="B30" s="109">
        <v>0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 ht="15" customHeight="1" x14ac:dyDescent="0.15">
      <c r="A31" s="200" t="s">
        <v>218</v>
      </c>
      <c r="B31" s="109">
        <v>0</v>
      </c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 ht="15" customHeight="1" x14ac:dyDescent="0.15">
      <c r="A32" s="200" t="s">
        <v>219</v>
      </c>
      <c r="B32" s="109">
        <v>0</v>
      </c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</row>
    <row r="33" spans="1:38" ht="15" customHeight="1" x14ac:dyDescent="0.15">
      <c r="A33" s="200" t="s">
        <v>220</v>
      </c>
      <c r="B33" s="109">
        <v>0</v>
      </c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</row>
    <row r="34" spans="1:38" ht="15" customHeight="1" x14ac:dyDescent="0.15">
      <c r="A34" s="200" t="s">
        <v>221</v>
      </c>
      <c r="B34" s="109">
        <v>0</v>
      </c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</row>
    <row r="35" spans="1:38" ht="15" customHeight="1" x14ac:dyDescent="0.15">
      <c r="A35" s="200" t="s">
        <v>222</v>
      </c>
      <c r="B35" s="109">
        <v>0</v>
      </c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</row>
    <row r="36" spans="1:38" ht="15" customHeight="1" x14ac:dyDescent="0.15">
      <c r="A36" s="200" t="s">
        <v>223</v>
      </c>
      <c r="B36" s="109">
        <v>0</v>
      </c>
      <c r="C36"/>
      <c r="D36"/>
    </row>
    <row r="37" spans="1:38" ht="15" customHeight="1" x14ac:dyDescent="0.15">
      <c r="A37" s="200" t="s">
        <v>224</v>
      </c>
      <c r="B37" s="109">
        <v>0</v>
      </c>
      <c r="C37"/>
      <c r="D37"/>
    </row>
    <row r="38" spans="1:38" ht="15" customHeight="1" x14ac:dyDescent="0.15"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</row>
    <row r="39" spans="1:38" ht="15" customHeight="1" x14ac:dyDescent="0.15">
      <c r="B39"/>
      <c r="C39"/>
      <c r="D39"/>
    </row>
    <row r="40" spans="1:38" ht="15" customHeight="1" x14ac:dyDescent="0.15">
      <c r="B40"/>
      <c r="C40"/>
      <c r="D40"/>
    </row>
    <row r="41" spans="1:38" ht="15" customHeight="1" x14ac:dyDescent="0.15">
      <c r="B41"/>
      <c r="C41"/>
      <c r="D41"/>
    </row>
    <row r="42" spans="1:38" ht="15" customHeight="1" x14ac:dyDescent="0.15"/>
    <row r="43" spans="1:38" ht="15" customHeight="1" x14ac:dyDescent="0.15"/>
    <row r="44" spans="1:38" ht="15" customHeight="1" x14ac:dyDescent="0.15"/>
    <row r="45" spans="1:38" ht="15" customHeight="1" x14ac:dyDescent="0.15"/>
    <row r="46" spans="1:38" ht="15" customHeight="1" x14ac:dyDescent="0.15"/>
    <row r="47" spans="1:38" ht="15" customHeight="1" x14ac:dyDescent="0.15"/>
    <row r="48" spans="1:38" ht="15" customHeight="1" x14ac:dyDescent="0.15"/>
    <row r="49" spans="2:38" ht="15" customHeight="1" x14ac:dyDescent="0.15"/>
    <row r="50" spans="2:38" ht="15" customHeight="1" x14ac:dyDescent="0.15"/>
    <row r="51" spans="2:38" ht="15" customHeight="1" x14ac:dyDescent="0.15"/>
    <row r="52" spans="2:38" ht="15" customHeight="1" x14ac:dyDescent="0.15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2:38" ht="15" customHeight="1" x14ac:dyDescent="0.15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</row>
    <row r="54" spans="2:38" ht="15" customHeight="1" x14ac:dyDescent="0.15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2:38" ht="15" customHeight="1" x14ac:dyDescent="0.15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</row>
    <row r="56" spans="2:38" ht="15" customHeight="1" x14ac:dyDescent="0.15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</row>
    <row r="57" spans="2:38" ht="15" customHeight="1" x14ac:dyDescent="0.15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2:38" ht="15" customHeight="1" x14ac:dyDescent="0.15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</row>
    <row r="59" spans="2:38" ht="15" customHeight="1" x14ac:dyDescent="0.15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</row>
    <row r="60" spans="2:38" ht="15" customHeight="1" x14ac:dyDescent="0.15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</row>
    <row r="61" spans="2:38" ht="15" customHeight="1" x14ac:dyDescent="0.15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2:38" ht="15" customHeight="1" x14ac:dyDescent="0.15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</row>
    <row r="63" spans="2:38" ht="15" customHeight="1" x14ac:dyDescent="0.15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2:38" ht="15" customHeight="1" x14ac:dyDescent="0.15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2:38" ht="15" customHeight="1" x14ac:dyDescent="0.15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2:38" ht="15" customHeight="1" x14ac:dyDescent="0.15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2:38" ht="15" customHeight="1" x14ac:dyDescent="0.15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2:38" ht="15" customHeight="1" x14ac:dyDescent="0.1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2:38" ht="15" customHeight="1" x14ac:dyDescent="0.15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2:38" ht="15" customHeight="1" x14ac:dyDescent="0.15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2:38" ht="15" customHeight="1" x14ac:dyDescent="0.1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2:38" ht="15" customHeight="1" x14ac:dyDescent="0.1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2:38" ht="15" customHeight="1" x14ac:dyDescent="0.1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</row>
    <row r="74" spans="2:38" ht="15" customHeight="1" x14ac:dyDescent="0.1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</row>
    <row r="75" spans="2:38" ht="15" customHeight="1" x14ac:dyDescent="0.1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</row>
    <row r="76" spans="2:38" ht="15" customHeight="1" x14ac:dyDescent="0.1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</row>
    <row r="77" spans="2:38" ht="15" customHeight="1" x14ac:dyDescent="0.1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</row>
    <row r="78" spans="2:38" ht="15" customHeight="1" x14ac:dyDescent="0.1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</row>
    <row r="79" spans="2:38" ht="15" customHeight="1" x14ac:dyDescent="0.1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</row>
    <row r="80" spans="2:38" ht="15" customHeight="1" x14ac:dyDescent="0.1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</row>
    <row r="81" spans="2:38" ht="15" customHeight="1" x14ac:dyDescent="0.1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</row>
    <row r="82" spans="2:38" ht="15" customHeight="1" x14ac:dyDescent="0.1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</row>
    <row r="83" spans="2:38" ht="15" customHeight="1" x14ac:dyDescent="0.1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</row>
    <row r="84" spans="2:38" ht="15" customHeight="1" x14ac:dyDescent="0.1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</row>
    <row r="85" spans="2:38" ht="15" customHeight="1" x14ac:dyDescent="0.1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</row>
    <row r="86" spans="2:38" ht="15" customHeight="1" x14ac:dyDescent="0.1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</row>
    <row r="87" spans="2:38" ht="15" customHeight="1" x14ac:dyDescent="0.1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</row>
    <row r="88" spans="2:38" ht="15" customHeight="1" x14ac:dyDescent="0.1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</row>
    <row r="89" spans="2:38" ht="15" customHeight="1" x14ac:dyDescent="0.1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</row>
    <row r="90" spans="2:38" ht="15" customHeight="1" x14ac:dyDescent="0.1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</row>
    <row r="91" spans="2:38" ht="15" customHeight="1" x14ac:dyDescent="0.1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</row>
    <row r="92" spans="2:38" ht="15" customHeight="1" x14ac:dyDescent="0.1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</row>
    <row r="93" spans="2:38" ht="15" customHeight="1" x14ac:dyDescent="0.1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</row>
    <row r="94" spans="2:38" ht="15" customHeight="1" x14ac:dyDescent="0.1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</row>
    <row r="95" spans="2:38" ht="15" customHeight="1" x14ac:dyDescent="0.1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</row>
    <row r="96" spans="2:38" ht="15" customHeight="1" x14ac:dyDescent="0.1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</row>
    <row r="97" spans="2:38" ht="15" customHeight="1" x14ac:dyDescent="0.1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</row>
    <row r="98" spans="2:38" ht="15" customHeight="1" x14ac:dyDescent="0.1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</row>
    <row r="99" spans="2:38" ht="15" customHeight="1" x14ac:dyDescent="0.1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</row>
    <row r="100" spans="2:38" ht="15" customHeight="1" x14ac:dyDescent="0.1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2:38" ht="15" customHeight="1" x14ac:dyDescent="0.1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2:38" ht="15" customHeight="1" x14ac:dyDescent="0.1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2:38" ht="15" customHeight="1" x14ac:dyDescent="0.1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2:38" ht="15" customHeight="1" x14ac:dyDescent="0.1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2:38" ht="15" customHeight="1" x14ac:dyDescent="0.1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2:38" ht="15" customHeight="1" x14ac:dyDescent="0.1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2:38" ht="15" customHeight="1" x14ac:dyDescent="0.1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2:38" ht="15" customHeight="1" x14ac:dyDescent="0.1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2:38" ht="15" customHeight="1" x14ac:dyDescent="0.1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2:38" ht="15" customHeight="1" x14ac:dyDescent="0.1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2:38" ht="15" customHeight="1" x14ac:dyDescent="0.1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2:38" ht="15" customHeight="1" x14ac:dyDescent="0.1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2:38" ht="15" customHeight="1" x14ac:dyDescent="0.1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2:38" ht="15" customHeight="1" x14ac:dyDescent="0.1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2:38" ht="15" customHeight="1" x14ac:dyDescent="0.1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2:38" ht="15" customHeight="1" x14ac:dyDescent="0.1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2:38" ht="15" customHeight="1" x14ac:dyDescent="0.1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2:38" ht="15" customHeight="1" x14ac:dyDescent="0.1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2:38" ht="15" customHeight="1" x14ac:dyDescent="0.1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2:38" ht="15" customHeight="1" x14ac:dyDescent="0.1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2:38" ht="15" customHeight="1" x14ac:dyDescent="0.1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2:38" ht="15" customHeight="1" x14ac:dyDescent="0.1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2:38" ht="15" customHeight="1" x14ac:dyDescent="0.1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2:38" ht="15" customHeight="1" x14ac:dyDescent="0.1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2:38" ht="15" customHeight="1" x14ac:dyDescent="0.1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2:38" ht="15" customHeight="1" x14ac:dyDescent="0.1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2:38" ht="15" customHeight="1" x14ac:dyDescent="0.1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2:38" ht="15" customHeight="1" x14ac:dyDescent="0.1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2:38" ht="15" customHeight="1" x14ac:dyDescent="0.1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2:38" ht="15" customHeight="1" x14ac:dyDescent="0.1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2:38" ht="15" customHeight="1" x14ac:dyDescent="0.1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2:38" ht="15" customHeight="1" x14ac:dyDescent="0.1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2:38" ht="15" customHeight="1" x14ac:dyDescent="0.1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2:38" ht="15" customHeight="1" x14ac:dyDescent="0.1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2:38" ht="15" customHeight="1" x14ac:dyDescent="0.1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2:38" ht="15" customHeight="1" x14ac:dyDescent="0.1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2:38" ht="15" customHeight="1" x14ac:dyDescent="0.1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2:38" ht="15" customHeight="1" x14ac:dyDescent="0.1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2:38" ht="15" customHeight="1" x14ac:dyDescent="0.1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2:38" ht="15" customHeight="1" x14ac:dyDescent="0.1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2:38" ht="15" customHeight="1" x14ac:dyDescent="0.1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2:38" ht="15" customHeight="1" x14ac:dyDescent="0.1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2:38" ht="15" customHeight="1" x14ac:dyDescent="0.1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2:38" ht="15" customHeight="1" x14ac:dyDescent="0.1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2:38" ht="15" customHeight="1" x14ac:dyDescent="0.1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2:38" ht="15" customHeight="1" x14ac:dyDescent="0.1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2:38" ht="15" customHeight="1" x14ac:dyDescent="0.1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2:38" ht="15" customHeight="1" x14ac:dyDescent="0.1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2:38" ht="15" customHeight="1" x14ac:dyDescent="0.1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2:38" ht="15" customHeight="1" x14ac:dyDescent="0.1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2:38" ht="15" customHeight="1" x14ac:dyDescent="0.1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2:38" ht="15" customHeight="1" x14ac:dyDescent="0.1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2:38" ht="15" customHeight="1" x14ac:dyDescent="0.1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2:38" ht="15" customHeight="1" x14ac:dyDescent="0.1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2:38" ht="15" customHeight="1" x14ac:dyDescent="0.1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2:38" ht="15" customHeight="1" x14ac:dyDescent="0.1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2:38" ht="15" customHeight="1" x14ac:dyDescent="0.1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2:38" ht="15" customHeight="1" x14ac:dyDescent="0.15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2:38" ht="15" customHeight="1" x14ac:dyDescent="0.15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2:38" ht="15" customHeight="1" x14ac:dyDescent="0.15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2:38" ht="15" customHeight="1" x14ac:dyDescent="0.15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2:38" ht="15" customHeight="1" x14ac:dyDescent="0.15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2:38" ht="15" customHeight="1" x14ac:dyDescent="0.15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2:38" ht="15" customHeight="1" x14ac:dyDescent="0.15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2:38" ht="15" customHeight="1" x14ac:dyDescent="0.15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2:38" ht="15" customHeight="1" x14ac:dyDescent="0.15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2:38" ht="15" customHeight="1" x14ac:dyDescent="0.15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2:38" ht="15" customHeight="1" x14ac:dyDescent="0.15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2:38" ht="15" customHeight="1" x14ac:dyDescent="0.15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2:38" ht="15" customHeight="1" x14ac:dyDescent="0.15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2:38" ht="15" customHeight="1" x14ac:dyDescent="0.15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2:38" ht="15" customHeight="1" x14ac:dyDescent="0.15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2:38" ht="15" customHeight="1" x14ac:dyDescent="0.15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2:38" ht="15" customHeight="1" x14ac:dyDescent="0.15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2:38" ht="15" customHeight="1" x14ac:dyDescent="0.15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2:38" ht="15" customHeight="1" x14ac:dyDescent="0.15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2:38" ht="15" customHeight="1" x14ac:dyDescent="0.15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2:38" ht="15" customHeight="1" x14ac:dyDescent="0.15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2:38" ht="15" customHeight="1" x14ac:dyDescent="0.15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2:38" ht="15" customHeight="1" x14ac:dyDescent="0.15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2:38" ht="15" customHeight="1" x14ac:dyDescent="0.15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2:38" ht="15" customHeight="1" x14ac:dyDescent="0.15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2:38" ht="15" customHeight="1" x14ac:dyDescent="0.15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2:38" ht="15" customHeight="1" x14ac:dyDescent="0.15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2:38" ht="15" customHeight="1" x14ac:dyDescent="0.15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2:38" ht="15" customHeight="1" x14ac:dyDescent="0.15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2:38" ht="15" customHeight="1" x14ac:dyDescent="0.15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2:38" ht="15" customHeight="1" x14ac:dyDescent="0.15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92" spans="2:38" ht="15" customHeight="1" x14ac:dyDescent="0.15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READ ME</vt:lpstr>
      <vt:lpstr>Main</vt:lpstr>
      <vt:lpstr>Diets</vt:lpstr>
      <vt:lpstr>Detritus</vt:lpstr>
      <vt:lpstr>Fishing</vt:lpstr>
      <vt:lpstr>Discards</vt:lpstr>
      <vt:lpstr>pedigree_Parameters</vt:lpstr>
      <vt:lpstr>pedigree_Diet</vt:lpstr>
      <vt:lpstr>pedigree_DietPrefRules</vt:lpstr>
      <vt:lpstr>pedigree_Landings</vt:lpstr>
      <vt:lpstr>pedigree_Discards</vt:lpstr>
      <vt:lpstr>MainOutputs</vt:lpstr>
      <vt:lpstr>Mortalities</vt:lpstr>
      <vt:lpstr>EcotranType</vt:lpstr>
      <vt:lpstr>EcotranRecycling</vt:lpstr>
      <vt:lpstr>FunctionalResponse</vt:lpstr>
      <vt:lpstr>cornerBasic</vt:lpstr>
      <vt:lpstr>cornerBasicOut</vt:lpstr>
      <vt:lpstr>cornerDetritus</vt:lpstr>
      <vt:lpstr>cornerDiets</vt:lpstr>
      <vt:lpstr>cornerDiscards</vt:lpstr>
      <vt:lpstr>cornerFishing</vt:lpstr>
      <vt:lpstr>cornerMort</vt:lpstr>
      <vt:lpstr>FishingLinks</vt:lpstr>
      <vt:lpstr>matBasic</vt:lpstr>
      <vt:lpstr>matDetritus</vt:lpstr>
      <vt:lpstr>matDiet</vt:lpstr>
      <vt:lpstr>matDiscards</vt:lpstr>
      <vt:lpstr>matFishery</vt:lpstr>
      <vt:lpstr>matMort</vt:lpstr>
      <vt:lpstr>matOut</vt:lpstr>
      <vt:lpstr>NumDead</vt:lpstr>
      <vt:lpstr>NumGears</vt:lpstr>
      <vt:lpstr>NumLiving</vt:lpstr>
      <vt:lpstr>PredPreyLinks</vt:lpstr>
      <vt:lpstr>vecBB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2003-08-05T17:15:48Z</cp:lastPrinted>
  <dcterms:created xsi:type="dcterms:W3CDTF">1996-10-14T23:33:28Z</dcterms:created>
  <dcterms:modified xsi:type="dcterms:W3CDTF">2022-10-24T04:43:33Z</dcterms:modified>
</cp:coreProperties>
</file>