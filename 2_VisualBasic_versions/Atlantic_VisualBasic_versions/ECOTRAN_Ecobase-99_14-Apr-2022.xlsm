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EC08E630-2680-334C-8BE4-F39AA7536E45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Main!$C$2:$N$58</definedName>
    <definedName name="matDetritus">Detritus!$C$2:$E$58</definedName>
    <definedName name="matDiet">Diets!$B$2:$BC$58</definedName>
    <definedName name="matDiscards">Discards!$C$2:$C$57</definedName>
    <definedName name="matFishery">Fishing!$C$2:$C$57</definedName>
    <definedName name="matFishing">Fishing!#REF!</definedName>
    <definedName name="matMort">Mortalities!$A$1:$BH$57</definedName>
    <definedName name="matOut">MainOutputs!$A$2:$I$58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<sst xmlns="http://schemas.openxmlformats.org/spreadsheetml/2006/main" count="1484" uniqueCount="254">
  <si>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</si>
  <si>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</si>
  <si>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</si>
  <si>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</si>
  <si>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</si>
  <si>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</si>
  <si>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</si>
  <si>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</si>
  <si>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</si>
  <si>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</si>
  <si>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</si>
  <si>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</si>
  <si>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</si>
  <si>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</si>
  <si>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</si>
  <si>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</si>
  <si>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</si>
  <si>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</si>
  <si>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</si>
  <si>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</si>
  <si>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</si>
  <si>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</si>
  <si>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</si>
  <si>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</si>
  <si>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</si>
  <si>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</si>
  <si>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</si>
  <si>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</si>
  <si>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</si>
  <si>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</si>
  <si>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</si>
  <si>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</si>
  <si>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</si>
  <si>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</si>
  <si>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</si>
  <si>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</si>
  <si>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</si>
  <si>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</si>
  <si>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</si>
  <si>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</si>
  <si>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</si>
  <si>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</si>
  <si>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</si>
  <si>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</si>
  <si>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</si>
  <si>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</si>
  <si>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</si>
  <si>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</si>
  <si>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</si>
  <si>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</si>
  <si>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</si>
  <si>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</si>
  <si>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</si>
  <si>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</si>
  <si>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</si>
  <si>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</si>
  <si>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</si>
  <si>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</si>
  <si>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</si>
  <si>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</si>
  <si>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</si>
  <si>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</si>
  <si>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</si>
  <si>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</si>
  <si>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</si>
  <si>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</si>
  <si>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</si>
  <si>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</si>
  <si>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</si>
  <si>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</si>
  <si>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</si>
  <si>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</si>
  <si>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</si>
  <si>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</si>
  <si>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</si>
  <si>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</si>
  <si>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</si>
  <si>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</si>
  <si>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</si>
  <si>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</si>
  <si>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</si>
  <si>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</si>
  <si>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</si>
  <si>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</si>
  <si>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</si>
  <si>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</si>
  <si>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</si>
  <si>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</si>
  <si>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</si>
  <si>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</si>
  <si>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</si>
  <si>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</si>
  <si>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</si>
  <si>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</si>
  <si>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</si>
  <si>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</si>
  <si>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</si>
  <si>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</si>
  <si>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</si>
  <si>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</si>
  <si>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</si>
  <si>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</si>
  <si>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</si>
  <si>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</si>
  <si>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</si>
  <si>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</si>
  <si>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</si>
  <si>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</si>
  <si>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</si>
  <si>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</si>
  <si>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</si>
  <si>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</si>
  <si>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</si>
  <si>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</si>
  <si>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</si>
  <si>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</si>
  <si>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</si>
  <si>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</si>
  <si>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</si>
  <si>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</si>
  <si>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</si>
  <si>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</si>
  <si>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</si>
  <si>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</si>
  <si>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</si>
  <si>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</si>
  <si>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</si>
  <si>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</si>
  <si>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</si>
  <si>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</si>
  <si>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</si>
  <si>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</si>
  <si>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</si>
  <si>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</si>
  <si>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</si>
  <si>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</si>
  <si>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</si>
  <si>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</si>
  <si>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</si>
  <si>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</si>
  <si>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</si>
  <si>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</si>
  <si>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</si>
  <si>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</si>
  <si>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</si>
  <si>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</si>
  <si>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</si>
  <si>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</si>
  <si>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</si>
  <si>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</si>
  <si>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</si>
  <si>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</si>
  <si>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</si>
  <si>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</si>
  <si>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</si>
  <si>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</si>
  <si>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</si>
  <si>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</si>
  <si>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</si>
  <si>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</si>
  <si>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</si>
  <si>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</si>
  <si>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</si>
  <si>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</si>
  <si>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</si>
  <si>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</si>
  <si>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</si>
  <si>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</si>
  <si>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</si>
  <si>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</si>
  <si>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</si>
  <si>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</si>
  <si>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</si>
  <si>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</si>
  <si>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</si>
  <si>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</si>
  <si>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</si>
  <si>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</si>
  <si>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</si>
  <si>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</si>
  <si>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</si>
  <si>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</si>
  <si>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</si>
  <si>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</si>
  <si>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</si>
  <si>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USA, Mid Atlantic Bight</t>
  </si>
  <si>
    <t>United States of America</t>
  </si>
  <si>
    <t>BOX(-77.3479089663654 35.0574212447615,-68.7553222205198 41.8860483609815)</t>
  </si>
  <si>
    <t>continental shelf</t>
  </si>
  <si>
    <t>WetWeight</t>
  </si>
  <si>
    <t>; 15-Jun-01 15:11:24; 21-Jun-01 18:53:47; 21-Jun-01 19:08:02; 04-Jul-01 16:35:03; 04-Jul-01 16:39:21; 16/07/2002 13:24:56; 23/07/2002 13:32:39; 23/07/2002 13:35:24; 30/07/2002 16:28:44; 19/08/2002 15:58:28; 20/08/2002 09:10:52; 09/12/2002 4:46:15 PM; 09/12/2002 4:47:13 PM; 03/08/2003 1:21:03 PM</t>
  </si>
  <si>
    <t>Okey T.A.(2001). A 'straw-man' Ecopath model of the Middle Atlantic Bight continental shelf, United States Fisheries Impacts on North Atlantic Ecosystems: Models and Analyses. pp 151-166. In Guenette S.,Christensen V.,Pauly D.</t>
  </si>
  <si>
    <t>Marine birds</t>
  </si>
  <si>
    <t>Dolphins and porpoise</t>
  </si>
  <si>
    <t>Baleen whales</t>
  </si>
  <si>
    <t>Seals</t>
  </si>
  <si>
    <t>Black seabass</t>
  </si>
  <si>
    <t>Goosefish</t>
  </si>
  <si>
    <t>Tilefish</t>
  </si>
  <si>
    <t>Scup</t>
  </si>
  <si>
    <t>Spot</t>
  </si>
  <si>
    <t>Butterfishes</t>
  </si>
  <si>
    <t>Atlantic salmon</t>
  </si>
  <si>
    <t>Striped bass</t>
  </si>
  <si>
    <t>Weakfish</t>
  </si>
  <si>
    <t>Spiny dogfish</t>
  </si>
  <si>
    <t>Ocean pout</t>
  </si>
  <si>
    <t>Billfishes</t>
  </si>
  <si>
    <t>Jacks</t>
  </si>
  <si>
    <t>Coastal sharks</t>
  </si>
  <si>
    <t>Tunas</t>
  </si>
  <si>
    <t>Rays and skates</t>
  </si>
  <si>
    <t>Bluefish</t>
  </si>
  <si>
    <t>Cods and hakes</t>
  </si>
  <si>
    <t>Redfish</t>
  </si>
  <si>
    <t>Benthic piscivores</t>
  </si>
  <si>
    <t>Flounders</t>
  </si>
  <si>
    <t>Demersal piscivores</t>
  </si>
  <si>
    <t>Demersal invertebrate eaters</t>
  </si>
  <si>
    <t>Demersal planktivores</t>
  </si>
  <si>
    <t>Benthic invertebrate eaters</t>
  </si>
  <si>
    <t>Med. pel. pisc (Mackerel)</t>
  </si>
  <si>
    <t>Atlantic menhaden</t>
  </si>
  <si>
    <t>Drum / croaker</t>
  </si>
  <si>
    <t>Snapper / grouper</t>
  </si>
  <si>
    <t>Forage fish</t>
  </si>
  <si>
    <t>Large pelagic planktivores</t>
  </si>
  <si>
    <t>Stomatopods</t>
  </si>
  <si>
    <t>Squid</t>
  </si>
  <si>
    <t>Shrimp</t>
  </si>
  <si>
    <t>Crabs</t>
  </si>
  <si>
    <t>Lobsters</t>
  </si>
  <si>
    <t>Octopods</t>
  </si>
  <si>
    <t>Echonoderms</t>
  </si>
  <si>
    <t>Bivalves</t>
  </si>
  <si>
    <t>Sessile epibenthos</t>
  </si>
  <si>
    <t>Euphausiids</t>
  </si>
  <si>
    <t>Mysids</t>
  </si>
  <si>
    <t>Polychaetes</t>
  </si>
  <si>
    <t>Small crustaceans</t>
  </si>
  <si>
    <t>Macrozooplankton</t>
  </si>
  <si>
    <t>Microzooplankton</t>
  </si>
  <si>
    <t>Jellies</t>
  </si>
  <si>
    <t>Phytoplankton</t>
  </si>
  <si>
    <t>Macrophytes</t>
  </si>
  <si>
    <t>Microphytobenthos</t>
  </si>
  <si>
    <t>Detritus</t>
  </si>
  <si>
    <t>detritus_TerminalBenthic</t>
  </si>
  <si>
    <t>All gear</t>
  </si>
  <si>
    <t>Import</t>
  </si>
  <si>
    <t>export</t>
  </si>
  <si>
    <t>sum</t>
  </si>
  <si>
    <t>TOTAL</t>
  </si>
  <si>
    <t>F All gear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</si>
</sst>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0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FF6100"/>
        <bgColor indexed="64"/>
      </patternFill>
    </fill>
    <fill>
      <patternFill patternType="solid">
        <fgColor rgb="FFFF27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FF12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FF35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FF3C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A9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2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53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81" t="s">
        <v>171</v>
      </c>
      <c r="C53" s="112">
        <v>99</v>
      </c>
      <c r="D53" s="112"/>
    </row>
    <row r="54" spans="2:4" x14ac:dyDescent="0.15">
      <c r="B54" s="181" t="s">
        <v>172</v>
      </c>
      <c r="C54" s="181" t="s">
        <v>185</v>
      </c>
      <c r="D54" s="112"/>
    </row>
    <row r="55" spans="2:4" x14ac:dyDescent="0.15">
      <c r="B55" s="181" t="s">
        <v>173</v>
      </c>
      <c r="C55" s="181" t="s">
        <v>186</v>
      </c>
      <c r="D55" s="112"/>
    </row>
    <row r="56" spans="2:4" x14ac:dyDescent="0.15">
      <c r="B56" s="181" t="s">
        <v>174</v>
      </c>
      <c r="C56" s="112">
        <v>111200</v>
      </c>
      <c r="D56" s="112"/>
    </row>
    <row r="57" spans="2:4" x14ac:dyDescent="0.15">
      <c r="B57" s="181" t="s">
        <v>175</v>
      </c>
      <c r="C57" s="181" t="s">
        <v>187</v>
      </c>
      <c r="D57" s="112"/>
    </row>
    <row r="58" spans="2:4" x14ac:dyDescent="0.15">
      <c r="B58" s="181" t="s">
        <v>176</v>
      </c>
      <c r="C58" s="181" t="s">
        <v>188</v>
      </c>
      <c r="D58" s="112"/>
    </row>
    <row r="59" spans="2:4" x14ac:dyDescent="0.15">
      <c r="B59" s="181" t="s">
        <v>177</v>
      </c>
      <c r="C59" s="181" t="s">
        <v>189</v>
      </c>
      <c r="D59" s="112"/>
    </row>
    <row r="60" spans="2:4" x14ac:dyDescent="0.15">
      <c r="B60" s="181" t="s">
        <v>178</v>
      </c>
      <c r="C60" s="181" t="s">
        <v>190</v>
      </c>
      <c r="D60" s="112"/>
    </row>
    <row r="61" spans="2:4" x14ac:dyDescent="0.15">
      <c r="B61" s="181" t="s">
        <v>179</v>
      </c>
      <c r="C61" s="112">
        <v>55</v>
      </c>
      <c r="D61" s="112"/>
    </row>
    <row r="62" spans="2:4" x14ac:dyDescent="0.15">
      <c r="B62" s="181" t="s">
        <v>180</v>
      </c>
      <c r="C62" s="112">
        <v>1</v>
      </c>
      <c r="D62" s="112"/>
    </row>
    <row r="63" spans="2:4" x14ac:dyDescent="0.15">
      <c r="B63" s="181" t="s">
        <v>181</v>
      </c>
      <c r="C63" s="112">
        <v>1995</v>
      </c>
      <c r="D63" s="112"/>
    </row>
    <row r="64" spans="2:4" x14ac:dyDescent="0.15">
      <c r="B64" s="181" t="s">
        <v>182</v>
      </c>
      <c r="C64" s="112">
        <v>3</v>
      </c>
      <c r="D64" s="112"/>
    </row>
    <row r="65" spans="2:4" x14ac:dyDescent="0.15">
      <c r="B65" s="181" t="s">
        <v>183</v>
      </c>
      <c r="C65" s="181" t="s">
        <v>191</v>
      </c>
      <c r="D65" s="112"/>
    </row>
    <row r="66" spans="2:4" x14ac:dyDescent="0.15">
      <c r="B66" s="181" t="s">
        <v>184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24.83203125" style="84" bestFit="1" customWidth="1"/>
    <col min="6" max="6" width="2.33203125" style="84" bestFit="1" customWidth="1"/>
    <col min="7" max="7" width="12.83203125" style="84" bestFit="1" customWidth="1"/>
    <col min="8" max="8" width="8.83203125" style="84" customWidth="1"/>
    <col min="9" max="9" width="10.83203125" style="84" customWidth="1"/>
    <col min="10" max="10" width="12.83203125" style="84" customWidth="1"/>
    <col min="11" max="11" width="13.83203125" style="84" customWidth="1"/>
    <col min="12" max="12" width="2.33203125" style="84" customWidth="1"/>
    <col min="13" max="13" width="4.83203125" style="84" customWidth="1"/>
    <col min="14" max="14" width="6.8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82" t="s">
        <v>192</v>
      </c>
      <c r="F2" s="84">
        <v>0</v>
      </c>
      <c r="G2" s="84">
        <v>2.8000000000000001E-2</v>
      </c>
      <c r="H2" s="84">
        <v>0.1</v>
      </c>
      <c r="I2" s="6">
        <v>76.183000000000007</v>
      </c>
      <c r="J2" s="6">
        <v>0</v>
      </c>
      <c r="K2" s="6">
        <v>1.31262885E-3</v>
      </c>
      <c r="L2" s="6">
        <v>0</v>
      </c>
      <c r="M2" s="84">
        <v>0.25</v>
      </c>
      <c r="N2" s="84">
        <v>0</v>
      </c>
    </row>
    <row r="3" spans="1:46" ht="15" customHeight="1" x14ac:dyDescent="0.15">
      <c r="A3" s="1" t="s">
        <v>9</v>
      </c>
      <c r="B3" s="4">
        <v>54</v>
      </c>
      <c r="C3" s="84">
        <v>2</v>
      </c>
      <c r="D3"/>
      <c r="E3" s="182" t="s">
        <v>193</v>
      </c>
      <c r="F3" s="84">
        <v>0</v>
      </c>
      <c r="G3" s="84">
        <v>7.8700000000000006E-2</v>
      </c>
      <c r="H3" s="84">
        <v>0.1</v>
      </c>
      <c r="I3" s="84">
        <v>27</v>
      </c>
      <c r="J3" s="84">
        <v>0</v>
      </c>
      <c r="K3" s="84">
        <v>3.70370387E-3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2</v>
      </c>
      <c r="C4" s="84">
        <v>3</v>
      </c>
      <c r="D4"/>
      <c r="E4" s="182" t="s">
        <v>194</v>
      </c>
      <c r="F4" s="84">
        <v>0</v>
      </c>
      <c r="G4" s="84">
        <v>0.19500000000000001</v>
      </c>
      <c r="H4" s="84">
        <v>0.05</v>
      </c>
      <c r="I4" s="84">
        <v>10.9</v>
      </c>
      <c r="J4" s="84">
        <v>0</v>
      </c>
      <c r="K4" s="84">
        <v>4.5871560000000002E-3</v>
      </c>
      <c r="L4" s="84">
        <v>0</v>
      </c>
      <c r="M4" s="84">
        <v>0.2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4">
        <v>4</v>
      </c>
      <c r="D5"/>
      <c r="E5" s="182" t="s">
        <v>195</v>
      </c>
      <c r="F5" s="84">
        <v>0</v>
      </c>
      <c r="G5" s="84">
        <v>1.5E-3</v>
      </c>
      <c r="H5" s="84">
        <v>0.247</v>
      </c>
      <c r="I5" s="84">
        <v>3.1</v>
      </c>
      <c r="J5" s="84">
        <v>0</v>
      </c>
      <c r="K5" s="84">
        <v>7.9677419999999999E-2</v>
      </c>
      <c r="L5" s="84">
        <v>0</v>
      </c>
      <c r="M5" s="84">
        <v>0.2</v>
      </c>
      <c r="N5" s="84">
        <v>0</v>
      </c>
      <c r="P5" s="72"/>
      <c r="Q5" s="72"/>
      <c r="R5" s="72"/>
    </row>
    <row r="6" spans="1:46" ht="15" customHeight="1" thickBot="1" x14ac:dyDescent="0.2">
      <c r="B6" s="1"/>
      <c r="C6" s="84">
        <v>5</v>
      </c>
      <c r="D6"/>
      <c r="E6" s="182" t="s">
        <v>196</v>
      </c>
      <c r="F6" s="84">
        <v>0</v>
      </c>
      <c r="G6" s="84">
        <v>5.4903276299999998E-2</v>
      </c>
      <c r="H6" s="84">
        <v>0.74</v>
      </c>
      <c r="I6" s="84">
        <v>3.6</v>
      </c>
      <c r="J6" s="84">
        <v>0.85</v>
      </c>
      <c r="K6" s="84">
        <v>0.205555558</v>
      </c>
      <c r="L6" s="84">
        <v>0</v>
      </c>
      <c r="M6" s="84">
        <v>0.2</v>
      </c>
      <c r="N6" s="84">
        <v>0</v>
      </c>
      <c r="P6" s="72"/>
      <c r="Q6" s="72"/>
      <c r="R6" s="72"/>
      <c r="W6" s="35" t="s">
        <v>31</v>
      </c>
      <c r="X6" s="51">
        <f>MAX(MainOutputs!G:G)</f>
        <v>0.99643903970718384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655</v>
      </c>
      <c r="C7" s="84">
        <v>6</v>
      </c>
      <c r="D7"/>
      <c r="E7" s="182" t="s">
        <v>197</v>
      </c>
      <c r="F7" s="84">
        <v>0</v>
      </c>
      <c r="G7" s="84">
        <v>0.50433380000000005</v>
      </c>
      <c r="H7" s="84">
        <v>0.35</v>
      </c>
      <c r="I7" s="84">
        <v>3.1</v>
      </c>
      <c r="J7" s="84">
        <v>0.85</v>
      </c>
      <c r="K7" s="84">
        <v>0.11290322999999999</v>
      </c>
      <c r="L7" s="84">
        <v>0</v>
      </c>
      <c r="M7" s="84">
        <v>0.2</v>
      </c>
      <c r="N7" s="84">
        <v>0</v>
      </c>
      <c r="P7" s="72"/>
      <c r="Q7" s="72"/>
      <c r="R7" s="72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165</v>
      </c>
      <c r="C8" s="84">
        <v>7</v>
      </c>
      <c r="D8"/>
      <c r="E8" s="182" t="s">
        <v>198</v>
      </c>
      <c r="F8" s="84">
        <v>0</v>
      </c>
      <c r="G8" s="84">
        <v>3.5000000000000003E-2</v>
      </c>
      <c r="H8" s="84">
        <v>0.42</v>
      </c>
      <c r="I8" s="84">
        <v>4.0999999999999996</v>
      </c>
      <c r="J8" s="84">
        <v>0.92303400000000002</v>
      </c>
      <c r="K8" s="84">
        <v>0.102439024</v>
      </c>
      <c r="L8" s="84">
        <v>0</v>
      </c>
      <c r="M8" s="84">
        <v>0.2</v>
      </c>
      <c r="N8" s="84">
        <v>0</v>
      </c>
      <c r="P8" s="72"/>
      <c r="Q8" s="72"/>
      <c r="R8" s="72"/>
    </row>
    <row r="9" spans="1:46" ht="15" customHeight="1" x14ac:dyDescent="0.15">
      <c r="B9" s="1"/>
      <c r="C9" s="84">
        <v>8</v>
      </c>
      <c r="D9"/>
      <c r="E9" s="182" t="s">
        <v>199</v>
      </c>
      <c r="F9" s="84">
        <v>0</v>
      </c>
      <c r="G9" s="84">
        <v>1.32386694E-2</v>
      </c>
      <c r="H9" s="84">
        <v>1.32</v>
      </c>
      <c r="I9" s="84">
        <v>5.5</v>
      </c>
      <c r="J9" s="84">
        <v>0.95</v>
      </c>
      <c r="K9" s="84">
        <v>0.24000001000000001</v>
      </c>
      <c r="L9" s="84">
        <v>0</v>
      </c>
      <c r="M9" s="84">
        <v>0.2</v>
      </c>
      <c r="N9" s="84">
        <v>0</v>
      </c>
      <c r="P9" s="72"/>
      <c r="Q9" s="72"/>
      <c r="R9" s="72"/>
    </row>
    <row r="10" spans="1:46" ht="15" customHeight="1" x14ac:dyDescent="0.15">
      <c r="B10" s="1"/>
      <c r="C10" s="84">
        <v>9</v>
      </c>
      <c r="D10"/>
      <c r="E10" s="182" t="s">
        <v>200</v>
      </c>
      <c r="F10" s="84">
        <v>0</v>
      </c>
      <c r="G10" s="84">
        <v>4.2952619999999997E-2</v>
      </c>
      <c r="H10" s="84">
        <v>1.82</v>
      </c>
      <c r="I10" s="84">
        <v>19.3</v>
      </c>
      <c r="J10" s="84">
        <v>0.95</v>
      </c>
      <c r="K10" s="84">
        <v>9.4300519999999999E-2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82" t="s">
        <v>201</v>
      </c>
      <c r="F11" s="84">
        <v>0</v>
      </c>
      <c r="G11" s="84">
        <v>0.08</v>
      </c>
      <c r="H11" s="84">
        <v>2.2000000000000002</v>
      </c>
      <c r="I11" s="84">
        <v>5.5</v>
      </c>
      <c r="J11" s="84">
        <v>0.6080972</v>
      </c>
      <c r="K11" s="84">
        <v>0.4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82" t="s">
        <v>202</v>
      </c>
      <c r="F12" s="84">
        <v>0</v>
      </c>
      <c r="G12" s="84">
        <v>4.3750769999999998E-3</v>
      </c>
      <c r="H12" s="84">
        <v>0.74</v>
      </c>
      <c r="I12" s="84">
        <v>7.14</v>
      </c>
      <c r="J12" s="84">
        <v>0.9</v>
      </c>
      <c r="K12" s="84">
        <v>0.10364145800000001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82" t="s">
        <v>203</v>
      </c>
      <c r="F13" s="84">
        <v>0</v>
      </c>
      <c r="G13" s="84">
        <v>0.222</v>
      </c>
      <c r="H13" s="84">
        <v>0.13</v>
      </c>
      <c r="I13" s="84">
        <v>1.4</v>
      </c>
      <c r="J13" s="84">
        <v>0.96416179999999996</v>
      </c>
      <c r="K13" s="84">
        <v>9.2857140000000005E-2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82" t="s">
        <v>204</v>
      </c>
      <c r="F14" s="84">
        <v>0</v>
      </c>
      <c r="G14" s="84">
        <v>4.3719050000000002E-2</v>
      </c>
      <c r="H14" s="84">
        <v>0.98</v>
      </c>
      <c r="I14" s="84">
        <v>3.5</v>
      </c>
      <c r="J14" s="84">
        <v>0.95</v>
      </c>
      <c r="K14" s="84">
        <v>0.28000000000000003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82" t="s">
        <v>205</v>
      </c>
      <c r="F15" s="84">
        <v>0</v>
      </c>
      <c r="G15" s="84">
        <v>0.58627879999999999</v>
      </c>
      <c r="H15" s="84">
        <v>0.18</v>
      </c>
      <c r="I15" s="84">
        <v>4.7699999999999996</v>
      </c>
      <c r="J15" s="84">
        <v>0.95</v>
      </c>
      <c r="K15" s="84">
        <v>3.7735850000000001E-2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82" t="s">
        <v>206</v>
      </c>
      <c r="F16" s="84">
        <v>0</v>
      </c>
      <c r="G16" s="84">
        <v>4.175745</v>
      </c>
      <c r="H16" s="84">
        <v>0.5</v>
      </c>
      <c r="I16" s="84">
        <v>1.8</v>
      </c>
      <c r="J16" s="84">
        <v>0.95</v>
      </c>
      <c r="K16" s="84">
        <v>0.27777780000000002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82" t="s">
        <v>207</v>
      </c>
      <c r="F17" s="84">
        <v>0</v>
      </c>
      <c r="G17" s="84">
        <v>1.3877323800000001E-2</v>
      </c>
      <c r="H17" s="84">
        <v>0.44</v>
      </c>
      <c r="I17" s="84">
        <v>5.29</v>
      </c>
      <c r="J17" s="84">
        <v>0.9</v>
      </c>
      <c r="K17" s="84">
        <v>8.3175799999999994E-2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82" t="s">
        <v>208</v>
      </c>
      <c r="F18" s="84">
        <v>0</v>
      </c>
      <c r="G18" s="84">
        <v>5.0771016600000003E-2</v>
      </c>
      <c r="H18" s="84">
        <v>0.56000000000000005</v>
      </c>
      <c r="I18" s="84">
        <v>9.1999999999999993</v>
      </c>
      <c r="J18" s="84">
        <v>0.95</v>
      </c>
      <c r="K18" s="84">
        <v>6.0869567100000001E-2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82" t="s">
        <v>209</v>
      </c>
      <c r="F19" s="84">
        <v>0</v>
      </c>
      <c r="G19" s="84">
        <v>0.104</v>
      </c>
      <c r="H19" s="84">
        <v>0.43</v>
      </c>
      <c r="I19" s="84">
        <v>4.18</v>
      </c>
      <c r="J19" s="84">
        <v>0.87818240000000003</v>
      </c>
      <c r="K19" s="84">
        <v>0.102870822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82" t="s">
        <v>210</v>
      </c>
      <c r="F20" s="84">
        <v>0</v>
      </c>
      <c r="G20" s="84">
        <v>0.06</v>
      </c>
      <c r="H20" s="84">
        <v>0.4</v>
      </c>
      <c r="I20" s="84">
        <v>4.6020000000000003</v>
      </c>
      <c r="J20" s="84">
        <v>0.99643910000000002</v>
      </c>
      <c r="K20" s="84">
        <v>8.691873E-2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6" t="s">
        <v>137</v>
      </c>
      <c r="B21" s="102"/>
      <c r="C21" s="84">
        <v>20</v>
      </c>
      <c r="D21"/>
      <c r="E21" s="182" t="s">
        <v>211</v>
      </c>
      <c r="F21" s="84">
        <v>0</v>
      </c>
      <c r="G21" s="84">
        <v>1.1815722</v>
      </c>
      <c r="H21" s="84">
        <v>0.47</v>
      </c>
      <c r="I21" s="84">
        <v>3.1749999999999998</v>
      </c>
      <c r="J21" s="84">
        <v>0.9</v>
      </c>
      <c r="K21" s="84">
        <v>0.14803150000000001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82" t="s">
        <v>212</v>
      </c>
      <c r="F22" s="84">
        <v>0</v>
      </c>
      <c r="G22" s="84">
        <v>8.3000000000000004E-2</v>
      </c>
      <c r="H22" s="84">
        <v>0.61</v>
      </c>
      <c r="I22" s="84">
        <v>4.5999999999999996</v>
      </c>
      <c r="J22" s="84">
        <v>0.99574149999999995</v>
      </c>
      <c r="K22" s="84">
        <v>0.1326087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82" t="s">
        <v>213</v>
      </c>
      <c r="F23" s="84">
        <v>0</v>
      </c>
      <c r="G23" s="84">
        <v>0.55000000000000004</v>
      </c>
      <c r="H23" s="84">
        <v>0.65</v>
      </c>
      <c r="I23" s="84">
        <v>2.58</v>
      </c>
      <c r="J23" s="84">
        <v>0.98688334200000005</v>
      </c>
      <c r="K23" s="84">
        <v>0.251938</v>
      </c>
      <c r="L23" s="84">
        <v>0</v>
      </c>
      <c r="M23" s="84">
        <v>0.2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82" t="s">
        <v>214</v>
      </c>
      <c r="F24" s="84">
        <v>0</v>
      </c>
      <c r="G24" s="84">
        <v>0.23499999999999999</v>
      </c>
      <c r="H24" s="84">
        <v>0.26</v>
      </c>
      <c r="I24" s="84">
        <v>3</v>
      </c>
      <c r="J24" s="84">
        <v>0.98916226600000001</v>
      </c>
      <c r="K24" s="84">
        <v>8.6666666000000003E-2</v>
      </c>
      <c r="L24" s="84">
        <v>0</v>
      </c>
      <c r="M24" s="84">
        <v>0.2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82" t="s">
        <v>215</v>
      </c>
      <c r="F25" s="84">
        <v>0</v>
      </c>
      <c r="G25" s="84">
        <v>7.2999999999999995E-2</v>
      </c>
      <c r="H25" s="84">
        <v>0.4</v>
      </c>
      <c r="I25" s="84">
        <v>9.8569999999999993</v>
      </c>
      <c r="J25" s="84">
        <v>0.97205322999999999</v>
      </c>
      <c r="K25" s="84">
        <v>4.05803E-2</v>
      </c>
      <c r="L25" s="84">
        <v>0</v>
      </c>
      <c r="M25" s="84">
        <v>0.2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82" t="s">
        <v>216</v>
      </c>
      <c r="F26" s="84">
        <v>0</v>
      </c>
      <c r="G26" s="84">
        <v>1</v>
      </c>
      <c r="H26" s="84">
        <v>0.6</v>
      </c>
      <c r="I26" s="84">
        <v>4.0999999999999996</v>
      </c>
      <c r="J26" s="84">
        <v>0.86051064700000002</v>
      </c>
      <c r="K26" s="84">
        <v>0.146341473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82" t="s">
        <v>217</v>
      </c>
      <c r="F27" s="84">
        <v>0</v>
      </c>
      <c r="G27" s="84">
        <v>1.4793691600000001</v>
      </c>
      <c r="H27" s="84">
        <v>0.55000000000000004</v>
      </c>
      <c r="I27" s="84">
        <v>4</v>
      </c>
      <c r="J27" s="84">
        <v>0.99</v>
      </c>
      <c r="K27" s="84">
        <v>0.13750000000000001</v>
      </c>
      <c r="L27" s="84">
        <v>0</v>
      </c>
      <c r="M27" s="84">
        <v>0.2</v>
      </c>
      <c r="N27" s="84">
        <v>0</v>
      </c>
    </row>
    <row r="28" spans="1:22" ht="15" customHeight="1" x14ac:dyDescent="0.15">
      <c r="C28" s="84">
        <v>27</v>
      </c>
      <c r="D28"/>
      <c r="E28" s="182" t="s">
        <v>218</v>
      </c>
      <c r="F28" s="84">
        <v>0</v>
      </c>
      <c r="G28" s="84">
        <v>6.5153780000000001</v>
      </c>
      <c r="H28" s="84">
        <v>0.76444400000000001</v>
      </c>
      <c r="I28" s="84">
        <v>5.0222220000000002</v>
      </c>
      <c r="J28" s="84">
        <v>0.99</v>
      </c>
      <c r="K28" s="84">
        <v>0.15221229999999999</v>
      </c>
      <c r="L28" s="84">
        <v>0</v>
      </c>
      <c r="M28" s="84">
        <v>0.2</v>
      </c>
      <c r="N28" s="84">
        <v>0</v>
      </c>
    </row>
    <row r="29" spans="1:22" customFormat="1" ht="15" customHeight="1" x14ac:dyDescent="0.15">
      <c r="C29" s="84">
        <v>28</v>
      </c>
      <c r="E29" s="182" t="s">
        <v>219</v>
      </c>
      <c r="F29" s="84">
        <v>0</v>
      </c>
      <c r="G29" s="84">
        <v>6.7816790000000002E-2</v>
      </c>
      <c r="H29" s="84">
        <v>2.6</v>
      </c>
      <c r="I29" s="84">
        <v>10</v>
      </c>
      <c r="J29" s="84">
        <v>0.99</v>
      </c>
      <c r="K29" s="84">
        <v>0.26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82" t="s">
        <v>220</v>
      </c>
      <c r="F30" s="84">
        <v>0</v>
      </c>
      <c r="G30" s="84">
        <v>0.78431550000000005</v>
      </c>
      <c r="H30" s="84">
        <v>1.73</v>
      </c>
      <c r="I30" s="84">
        <v>13.57</v>
      </c>
      <c r="J30" s="84">
        <v>0.98</v>
      </c>
      <c r="K30" s="84">
        <v>0.12748710799999999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82" t="s">
        <v>221</v>
      </c>
      <c r="F31" s="84">
        <v>0</v>
      </c>
      <c r="G31" s="84">
        <v>6</v>
      </c>
      <c r="H31" s="84">
        <v>0.43</v>
      </c>
      <c r="I31" s="84">
        <v>4.3</v>
      </c>
      <c r="J31" s="84">
        <v>0.74945649999999997</v>
      </c>
      <c r="K31" s="84">
        <v>9.9999993999999995E-2</v>
      </c>
      <c r="L31" s="84">
        <v>0</v>
      </c>
      <c r="M31" s="84">
        <v>0.2</v>
      </c>
      <c r="N31" s="84">
        <v>0</v>
      </c>
    </row>
    <row r="32" spans="1:22" customFormat="1" ht="15" customHeight="1" x14ac:dyDescent="0.15">
      <c r="C32" s="84">
        <v>31</v>
      </c>
      <c r="E32" s="182" t="s">
        <v>222</v>
      </c>
      <c r="F32" s="84">
        <v>0</v>
      </c>
      <c r="G32" s="84">
        <v>2.87109828</v>
      </c>
      <c r="H32" s="84">
        <v>1.55</v>
      </c>
      <c r="I32" s="84">
        <v>31.4</v>
      </c>
      <c r="J32" s="84">
        <v>0.99</v>
      </c>
      <c r="K32" s="84">
        <v>4.9363058100000003E-2</v>
      </c>
      <c r="L32" s="84">
        <v>0</v>
      </c>
      <c r="M32" s="84">
        <v>0.3</v>
      </c>
      <c r="N32" s="84">
        <v>0</v>
      </c>
    </row>
    <row r="33" spans="3:14" customFormat="1" ht="15" customHeight="1" x14ac:dyDescent="0.15">
      <c r="C33" s="84">
        <v>32</v>
      </c>
      <c r="E33" s="182" t="s">
        <v>223</v>
      </c>
      <c r="F33" s="84">
        <v>0</v>
      </c>
      <c r="G33" s="84">
        <v>0.36099999999999999</v>
      </c>
      <c r="H33" s="84">
        <v>0.47</v>
      </c>
      <c r="I33" s="84">
        <v>7.34</v>
      </c>
      <c r="J33" s="84">
        <v>0.90575559999999999</v>
      </c>
      <c r="K33" s="84">
        <v>6.4032696200000003E-2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82" t="s">
        <v>224</v>
      </c>
      <c r="F34" s="84">
        <v>0</v>
      </c>
      <c r="G34" s="84">
        <v>0.33900000000000002</v>
      </c>
      <c r="H34" s="84">
        <v>0.7</v>
      </c>
      <c r="I34" s="84">
        <v>6.76</v>
      </c>
      <c r="J34" s="84">
        <v>0.9214753</v>
      </c>
      <c r="K34" s="84">
        <v>0.103550293</v>
      </c>
      <c r="L34" s="84">
        <v>0</v>
      </c>
      <c r="M34" s="84">
        <v>0.2</v>
      </c>
      <c r="N34" s="84">
        <v>0</v>
      </c>
    </row>
    <row r="35" spans="3:14" customFormat="1" ht="15" customHeight="1" x14ac:dyDescent="0.15">
      <c r="C35" s="84">
        <v>34</v>
      </c>
      <c r="E35" s="182" t="s">
        <v>225</v>
      </c>
      <c r="F35" s="84">
        <v>0</v>
      </c>
      <c r="G35" s="84">
        <v>8</v>
      </c>
      <c r="H35" s="84">
        <v>1.5</v>
      </c>
      <c r="I35" s="84">
        <v>5</v>
      </c>
      <c r="J35" s="84">
        <v>0.96611583199999995</v>
      </c>
      <c r="K35" s="84">
        <v>0.3</v>
      </c>
      <c r="L35" s="84">
        <v>0</v>
      </c>
      <c r="M35" s="84">
        <v>0.3</v>
      </c>
      <c r="N35" s="84">
        <v>0</v>
      </c>
    </row>
    <row r="36" spans="3:14" customFormat="1" ht="15" customHeight="1" x14ac:dyDescent="0.15">
      <c r="C36" s="84">
        <v>35</v>
      </c>
      <c r="E36" s="182" t="s">
        <v>226</v>
      </c>
      <c r="F36" s="84">
        <v>0</v>
      </c>
      <c r="G36" s="84">
        <v>0.59099999999999997</v>
      </c>
      <c r="H36" s="84">
        <v>0.88</v>
      </c>
      <c r="I36" s="84">
        <v>11.519</v>
      </c>
      <c r="J36" s="84">
        <v>0.70006203700000003</v>
      </c>
      <c r="K36" s="84">
        <v>7.6395519999999995E-2</v>
      </c>
      <c r="L36" s="84">
        <v>0</v>
      </c>
      <c r="M36" s="84">
        <v>0.2</v>
      </c>
      <c r="N36" s="84">
        <v>0</v>
      </c>
    </row>
    <row r="37" spans="3:14" customFormat="1" ht="15" customHeight="1" x14ac:dyDescent="0.15">
      <c r="C37" s="84">
        <v>36</v>
      </c>
      <c r="E37" s="182" t="s">
        <v>227</v>
      </c>
      <c r="F37" s="84">
        <v>0</v>
      </c>
      <c r="G37" s="84">
        <v>0.151198268</v>
      </c>
      <c r="H37" s="84">
        <v>1.335</v>
      </c>
      <c r="I37" s="84">
        <v>7.4320000000000004</v>
      </c>
      <c r="J37" s="84">
        <v>0.95</v>
      </c>
      <c r="K37" s="84">
        <v>0.17962864000000001</v>
      </c>
      <c r="L37" s="84">
        <v>0</v>
      </c>
      <c r="M37" s="84">
        <v>0.2</v>
      </c>
      <c r="N37" s="84">
        <v>0</v>
      </c>
    </row>
    <row r="38" spans="3:14" customFormat="1" ht="15" customHeight="1" x14ac:dyDescent="0.15">
      <c r="C38" s="84">
        <v>37</v>
      </c>
      <c r="E38" s="182" t="s">
        <v>228</v>
      </c>
      <c r="F38" s="84">
        <v>0</v>
      </c>
      <c r="G38" s="84">
        <v>2.5328140000000001</v>
      </c>
      <c r="H38" s="84">
        <v>1.7</v>
      </c>
      <c r="I38" s="84">
        <v>7</v>
      </c>
      <c r="J38" s="84">
        <v>0.99</v>
      </c>
      <c r="K38" s="84">
        <v>0.242857143</v>
      </c>
      <c r="L38" s="84">
        <v>0</v>
      </c>
      <c r="M38" s="84">
        <v>0.2</v>
      </c>
      <c r="N38" s="84">
        <v>0</v>
      </c>
    </row>
    <row r="39" spans="3:14" customFormat="1" ht="15" customHeight="1" x14ac:dyDescent="0.15">
      <c r="C39" s="84">
        <v>38</v>
      </c>
      <c r="E39" s="182" t="s">
        <v>229</v>
      </c>
      <c r="F39" s="84">
        <v>0</v>
      </c>
      <c r="G39" s="84">
        <v>0.91216432999999997</v>
      </c>
      <c r="H39" s="84">
        <v>4</v>
      </c>
      <c r="I39" s="84">
        <v>15</v>
      </c>
      <c r="J39" s="84">
        <v>0.99</v>
      </c>
      <c r="K39" s="84">
        <v>0.26666668100000002</v>
      </c>
      <c r="L39" s="84">
        <v>0</v>
      </c>
      <c r="M39" s="84">
        <v>0.3</v>
      </c>
      <c r="N39" s="84">
        <v>0</v>
      </c>
    </row>
    <row r="40" spans="3:14" customFormat="1" ht="15" customHeight="1" x14ac:dyDescent="0.15">
      <c r="C40" s="84">
        <v>39</v>
      </c>
      <c r="E40" s="182" t="s">
        <v>230</v>
      </c>
      <c r="F40" s="84">
        <v>0</v>
      </c>
      <c r="G40" s="84">
        <v>3.1253519999999999</v>
      </c>
      <c r="H40" s="84">
        <v>1.3819999999999999</v>
      </c>
      <c r="I40" s="84">
        <v>8.5</v>
      </c>
      <c r="J40" s="84">
        <v>0.95</v>
      </c>
      <c r="K40" s="84">
        <v>0.162588239</v>
      </c>
      <c r="L40" s="84">
        <v>0</v>
      </c>
      <c r="M40" s="84">
        <v>0.3</v>
      </c>
      <c r="N40" s="84">
        <v>0</v>
      </c>
    </row>
    <row r="41" spans="3:14" customFormat="1" ht="15" customHeight="1" x14ac:dyDescent="0.15">
      <c r="C41" s="84">
        <v>40</v>
      </c>
      <c r="E41" s="182" t="s">
        <v>231</v>
      </c>
      <c r="F41" s="84">
        <v>0</v>
      </c>
      <c r="G41" s="84">
        <v>1.25679553</v>
      </c>
      <c r="H41" s="84">
        <v>1.2</v>
      </c>
      <c r="I41" s="84">
        <v>8.1999999999999993</v>
      </c>
      <c r="J41" s="84">
        <v>0.95</v>
      </c>
      <c r="K41" s="84">
        <v>0.146341473</v>
      </c>
      <c r="L41" s="84">
        <v>0</v>
      </c>
      <c r="M41" s="84">
        <v>0.3</v>
      </c>
      <c r="N41" s="84">
        <v>0</v>
      </c>
    </row>
    <row r="42" spans="3:14" customFormat="1" ht="15" customHeight="1" x14ac:dyDescent="0.15">
      <c r="C42" s="84">
        <v>41</v>
      </c>
      <c r="E42" s="182" t="s">
        <v>232</v>
      </c>
      <c r="F42" s="84">
        <v>0</v>
      </c>
      <c r="G42" s="84">
        <v>8.374231E-2</v>
      </c>
      <c r="H42" s="84">
        <v>3.1</v>
      </c>
      <c r="I42" s="84">
        <v>7.3</v>
      </c>
      <c r="J42" s="84">
        <v>0.95</v>
      </c>
      <c r="K42" s="84">
        <v>0.42465752400000001</v>
      </c>
      <c r="L42" s="84">
        <v>0</v>
      </c>
      <c r="M42" s="84">
        <v>0.2</v>
      </c>
      <c r="N42" s="84">
        <v>0</v>
      </c>
    </row>
    <row r="43" spans="3:14" customFormat="1" ht="15" customHeight="1" x14ac:dyDescent="0.15">
      <c r="C43" s="84">
        <v>42</v>
      </c>
      <c r="E43" s="182" t="s">
        <v>233</v>
      </c>
      <c r="F43" s="84">
        <v>0</v>
      </c>
      <c r="G43" s="84">
        <v>8.4</v>
      </c>
      <c r="H43" s="84">
        <v>1.2</v>
      </c>
      <c r="I43" s="84">
        <v>3.7</v>
      </c>
      <c r="J43" s="84">
        <v>0.65731839999999997</v>
      </c>
      <c r="K43" s="84">
        <v>0.32432433999999999</v>
      </c>
      <c r="L43" s="84">
        <v>0</v>
      </c>
      <c r="M43" s="84">
        <v>0.3</v>
      </c>
      <c r="N43" s="84">
        <v>0</v>
      </c>
    </row>
    <row r="44" spans="3:14" customFormat="1" ht="15" customHeight="1" x14ac:dyDescent="0.15">
      <c r="C44" s="84">
        <v>43</v>
      </c>
      <c r="E44" s="182" t="s">
        <v>234</v>
      </c>
      <c r="F44" s="84">
        <v>0</v>
      </c>
      <c r="G44" s="84">
        <v>19.664000000000001</v>
      </c>
      <c r="H44" s="84">
        <v>1.2190000000000001</v>
      </c>
      <c r="I44" s="84">
        <v>23</v>
      </c>
      <c r="J44" s="84">
        <v>0.81377710000000003</v>
      </c>
      <c r="K44" s="84">
        <v>5.2999999999999999E-2</v>
      </c>
      <c r="L44" s="84">
        <v>0</v>
      </c>
      <c r="M44" s="84">
        <v>0.3</v>
      </c>
      <c r="N44" s="84">
        <v>0</v>
      </c>
    </row>
    <row r="45" spans="3:14" customFormat="1" ht="15" customHeight="1" x14ac:dyDescent="0.15">
      <c r="C45" s="84">
        <v>44</v>
      </c>
      <c r="E45" s="182" t="s">
        <v>235</v>
      </c>
      <c r="F45" s="84">
        <v>0</v>
      </c>
      <c r="G45" s="84">
        <v>9.7277710000000006</v>
      </c>
      <c r="H45" s="84">
        <v>0.8</v>
      </c>
      <c r="I45" s="84">
        <v>9</v>
      </c>
      <c r="J45" s="84">
        <v>0.95</v>
      </c>
      <c r="K45" s="84">
        <v>8.8888889999999998E-2</v>
      </c>
      <c r="L45" s="84">
        <v>0</v>
      </c>
      <c r="M45" s="84">
        <v>0.3</v>
      </c>
      <c r="N45" s="84">
        <v>0</v>
      </c>
    </row>
    <row r="46" spans="3:14" customFormat="1" ht="15" customHeight="1" x14ac:dyDescent="0.15">
      <c r="C46" s="84">
        <v>45</v>
      </c>
      <c r="E46" s="182" t="s">
        <v>236</v>
      </c>
      <c r="F46" s="84">
        <v>0</v>
      </c>
      <c r="G46" s="84">
        <v>0.80697890000000005</v>
      </c>
      <c r="H46" s="84">
        <v>17</v>
      </c>
      <c r="I46" s="84">
        <v>134.92063899999999</v>
      </c>
      <c r="J46" s="84">
        <v>0.95</v>
      </c>
      <c r="K46" s="84">
        <v>0.126</v>
      </c>
      <c r="L46" s="84">
        <v>0</v>
      </c>
      <c r="M46" s="84">
        <v>0.3</v>
      </c>
      <c r="N46" s="84">
        <v>0</v>
      </c>
    </row>
    <row r="47" spans="3:14" customFormat="1" ht="15" customHeight="1" x14ac:dyDescent="0.15">
      <c r="C47" s="84">
        <v>46</v>
      </c>
      <c r="E47" s="182" t="s">
        <v>237</v>
      </c>
      <c r="F47" s="84">
        <v>0</v>
      </c>
      <c r="G47" s="84">
        <v>5.4289680000000002</v>
      </c>
      <c r="H47" s="84">
        <v>2.57</v>
      </c>
      <c r="I47" s="84">
        <v>17.133331299999998</v>
      </c>
      <c r="J47" s="84">
        <v>0.95</v>
      </c>
      <c r="K47" s="84">
        <v>0.15</v>
      </c>
      <c r="L47" s="84">
        <v>0</v>
      </c>
      <c r="M47" s="84">
        <v>0.4</v>
      </c>
      <c r="N47" s="84">
        <v>0</v>
      </c>
    </row>
    <row r="48" spans="3:14" customFormat="1" ht="15" customHeight="1" x14ac:dyDescent="0.15">
      <c r="C48" s="84">
        <v>47</v>
      </c>
      <c r="E48" s="182" t="s">
        <v>238</v>
      </c>
      <c r="F48" s="84">
        <v>0</v>
      </c>
      <c r="G48" s="84">
        <v>9.3539980000000007</v>
      </c>
      <c r="H48" s="84">
        <v>4.08</v>
      </c>
      <c r="I48" s="84">
        <v>27.199998900000001</v>
      </c>
      <c r="J48" s="84">
        <v>0.95</v>
      </c>
      <c r="K48" s="84">
        <v>0.15</v>
      </c>
      <c r="L48" s="84">
        <v>0</v>
      </c>
      <c r="M48" s="84">
        <v>0.4</v>
      </c>
      <c r="N48" s="84">
        <v>0</v>
      </c>
    </row>
    <row r="49" spans="3:14" customFormat="1" ht="15" customHeight="1" x14ac:dyDescent="0.15">
      <c r="C49" s="84">
        <v>48</v>
      </c>
      <c r="E49" s="182" t="s">
        <v>239</v>
      </c>
      <c r="F49" s="84">
        <v>0</v>
      </c>
      <c r="G49" s="84">
        <v>14.1</v>
      </c>
      <c r="H49" s="84">
        <v>5.08</v>
      </c>
      <c r="I49" s="84">
        <v>21.52</v>
      </c>
      <c r="J49" s="84">
        <v>0.74403870000000005</v>
      </c>
      <c r="K49" s="84">
        <v>0.23605947199999999</v>
      </c>
      <c r="L49" s="84">
        <v>0</v>
      </c>
      <c r="M49" s="84">
        <v>0.3</v>
      </c>
      <c r="N49" s="84">
        <v>0</v>
      </c>
    </row>
    <row r="50" spans="3:14" customFormat="1" ht="15" customHeight="1" x14ac:dyDescent="0.15">
      <c r="C50" s="84">
        <v>49</v>
      </c>
      <c r="E50" s="182" t="s">
        <v>240</v>
      </c>
      <c r="F50" s="84">
        <v>0</v>
      </c>
      <c r="G50" s="84">
        <v>51.69</v>
      </c>
      <c r="H50" s="84">
        <v>7</v>
      </c>
      <c r="I50" s="84">
        <v>21.875</v>
      </c>
      <c r="J50" s="84">
        <v>0.45150983300000003</v>
      </c>
      <c r="K50" s="84">
        <v>0.32</v>
      </c>
      <c r="L50" s="84">
        <v>0</v>
      </c>
      <c r="M50" s="84">
        <v>0.3</v>
      </c>
      <c r="N50" s="84">
        <v>0</v>
      </c>
    </row>
    <row r="51" spans="3:14" customFormat="1" ht="15" customHeight="1" x14ac:dyDescent="0.15">
      <c r="C51" s="84">
        <v>50</v>
      </c>
      <c r="E51" s="182" t="s">
        <v>241</v>
      </c>
      <c r="F51" s="84">
        <v>0</v>
      </c>
      <c r="G51" s="84">
        <v>25</v>
      </c>
      <c r="H51" s="84">
        <v>40</v>
      </c>
      <c r="I51" s="84">
        <v>125</v>
      </c>
      <c r="J51" s="84">
        <v>0.9845351</v>
      </c>
      <c r="K51" s="84">
        <v>0.32</v>
      </c>
      <c r="L51" s="84">
        <v>0</v>
      </c>
      <c r="M51" s="84">
        <v>0.3</v>
      </c>
      <c r="N51" s="84">
        <v>0</v>
      </c>
    </row>
    <row r="52" spans="3:14" customFormat="1" ht="15" customHeight="1" x14ac:dyDescent="0.15">
      <c r="C52" s="84">
        <v>51</v>
      </c>
      <c r="E52" s="182" t="s">
        <v>242</v>
      </c>
      <c r="F52" s="84">
        <v>0</v>
      </c>
      <c r="G52" s="84">
        <v>6.7578269999999996E-2</v>
      </c>
      <c r="H52" s="84">
        <v>18.25</v>
      </c>
      <c r="I52" s="84">
        <v>80</v>
      </c>
      <c r="J52" s="84">
        <v>0.9</v>
      </c>
      <c r="K52" s="84">
        <v>0.22812499999999999</v>
      </c>
      <c r="L52" s="84">
        <v>0</v>
      </c>
      <c r="M52" s="84">
        <v>0.4</v>
      </c>
      <c r="N52" s="84">
        <v>0</v>
      </c>
    </row>
    <row r="53" spans="3:14" customFormat="1" ht="15" customHeight="1" x14ac:dyDescent="0.15">
      <c r="C53" s="84">
        <v>52</v>
      </c>
      <c r="E53" s="182" t="s">
        <v>243</v>
      </c>
      <c r="F53" s="84">
        <v>1</v>
      </c>
      <c r="G53" s="84">
        <v>107.31100000000001</v>
      </c>
      <c r="H53" s="84">
        <v>88</v>
      </c>
      <c r="I53" s="84">
        <v>0</v>
      </c>
      <c r="J53" s="84">
        <v>0.38710457100000001</v>
      </c>
      <c r="K53" s="84">
        <v>0</v>
      </c>
      <c r="L53" s="84">
        <v>0</v>
      </c>
      <c r="M53" s="84">
        <v>0</v>
      </c>
      <c r="N53" s="84">
        <v>0</v>
      </c>
    </row>
    <row r="54" spans="3:14" customFormat="1" ht="15" customHeight="1" x14ac:dyDescent="0.15">
      <c r="C54" s="84">
        <v>53</v>
      </c>
      <c r="E54" s="182" t="s">
        <v>244</v>
      </c>
      <c r="F54" s="84">
        <v>1</v>
      </c>
      <c r="G54" s="84">
        <v>7.3890404700000003</v>
      </c>
      <c r="H54" s="84">
        <v>5</v>
      </c>
      <c r="I54" s="84">
        <v>0</v>
      </c>
      <c r="J54" s="84">
        <v>0.7</v>
      </c>
      <c r="K54" s="84">
        <v>0</v>
      </c>
      <c r="L54" s="84">
        <v>0</v>
      </c>
      <c r="M54" s="84">
        <v>0</v>
      </c>
      <c r="N54" s="84">
        <v>0</v>
      </c>
    </row>
    <row r="55" spans="3:14" customFormat="1" ht="15" customHeight="1" x14ac:dyDescent="0.15">
      <c r="C55" s="84">
        <v>54</v>
      </c>
      <c r="E55" s="182" t="s">
        <v>245</v>
      </c>
      <c r="F55" s="84">
        <v>1</v>
      </c>
      <c r="G55" s="84">
        <v>68</v>
      </c>
      <c r="H55" s="84">
        <v>55.573999999999998</v>
      </c>
      <c r="I55" s="84">
        <v>0</v>
      </c>
      <c r="J55" s="84">
        <v>7.81548247E-2</v>
      </c>
      <c r="K55" s="84">
        <v>0</v>
      </c>
      <c r="L55" s="84">
        <v>0</v>
      </c>
      <c r="M55" s="84">
        <v>0</v>
      </c>
      <c r="N55" s="84">
        <v>0</v>
      </c>
    </row>
    <row r="56" spans="3:14" customFormat="1" ht="15" customHeight="1" x14ac:dyDescent="0.15">
      <c r="C56" s="84">
        <v>55</v>
      </c>
      <c r="E56" s="182" t="s">
        <v>246</v>
      </c>
      <c r="F56" s="84">
        <v>2</v>
      </c>
      <c r="G56" s="84">
        <v>155.69999999999999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  <c r="N56" s="84">
        <v>142.35</v>
      </c>
    </row>
    <row r="57" spans="3:14" customFormat="1" ht="15" customHeight="1" x14ac:dyDescent="0.15">
      <c r="C57" s="84">
        <v>56</v>
      </c>
      <c r="E57" s="182" t="s">
        <v>247</v>
      </c>
      <c r="F57" s="84">
        <v>2</v>
      </c>
      <c r="G57" s="84">
        <v>5</v>
      </c>
      <c r="H57" s="84">
        <v>0</v>
      </c>
      <c r="I57" s="84">
        <v>0</v>
      </c>
      <c r="J57" s="84">
        <v>0</v>
      </c>
      <c r="K57" s="84">
        <v>0</v>
      </c>
      <c r="L57" s="84">
        <v>0</v>
      </c>
      <c r="M57" s="84">
        <v>0</v>
      </c>
      <c r="N57" s="84">
        <v>0</v>
      </c>
    </row>
    <row r="58" spans="3:14" customFormat="1" ht="15" customHeight="1" x14ac:dyDescent="0.15">
      <c r="C58" s="84">
        <v>57</v>
      </c>
      <c r="E58" s="182" t="s">
        <v>248</v>
      </c>
      <c r="F58" s="84">
        <v>3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0</v>
      </c>
      <c r="M58" s="84">
        <v>0</v>
      </c>
      <c r="N58" s="84">
        <v>0</v>
      </c>
    </row>
    <row r="59" spans="3:14" customFormat="1" ht="15" customHeight="1" x14ac:dyDescent="0.15"/>
    <row r="60" spans="3:14" customFormat="1" ht="15" customHeight="1" x14ac:dyDescent="0.15"/>
    <row r="61" spans="3:14" customFormat="1" ht="15" customHeight="1" x14ac:dyDescent="0.15"/>
    <row r="62" spans="3:14" customFormat="1" ht="15" customHeight="1" x14ac:dyDescent="0.15"/>
    <row r="63" spans="3:14" customFormat="1" ht="15" customHeight="1" x14ac:dyDescent="0.15"/>
    <row r="64" spans="3:1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E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4.83203125" style="145" bestFit="1" customWidth="1"/>
    <col min="2" max="2" width="14.83203125" style="145" bestFit="1" customWidth="1"/>
    <col min="3" max="3" width="5.83203125" style="145" bestFit="1" customWidth="1"/>
    <col min="4" max="4" width="4.83203125" style="145" bestFit="1" customWidth="1"/>
    <col min="5" max="5" width="6.83203125" style="145" bestFit="1" customWidth="1"/>
    <col min="6" max="7" width="14.83203125" style="145" bestFit="1" customWidth="1"/>
    <col min="8" max="8" width="4.83203125" style="145" bestFit="1" customWidth="1"/>
    <col min="9" max="9" width="14.83203125" style="145" bestFit="1" customWidth="1"/>
    <col min="10" max="11" width="13.83203125" style="145" bestFit="1" customWidth="1"/>
    <col min="12" max="12" width="3.83203125" style="145" bestFit="1" customWidth="1"/>
    <col min="13" max="16" width="14.83203125" style="145" bestFit="1" customWidth="1"/>
    <col min="17" max="19" width="5.83203125" style="145" bestFit="1" customWidth="1"/>
    <col min="20" max="20" width="15.83203125" style="145" bestFit="1" customWidth="1"/>
    <col min="21" max="21" width="14.83203125" style="145" bestFit="1" customWidth="1"/>
    <col min="22" max="22" width="13.83203125" style="145" bestFit="1" customWidth="1"/>
    <col min="23" max="23" width="14.83203125" style="145" bestFit="1" customWidth="1"/>
    <col min="24" max="24" width="13.83203125" style="145" bestFit="1" customWidth="1"/>
    <col min="25" max="28" width="14.83203125" style="145" bestFit="1" customWidth="1"/>
    <col min="29" max="29" width="5.83203125" style="145" bestFit="1" customWidth="1"/>
    <col min="30" max="31" width="14.83203125" style="145" customWidth="1"/>
    <col min="32" max="32" width="3.83203125" style="145" customWidth="1"/>
    <col min="33" max="33" width="14.83203125" style="145" customWidth="1"/>
    <col min="34" max="34" width="13.83203125" style="145" customWidth="1"/>
    <col min="35" max="35" width="14.83203125" style="145" customWidth="1"/>
    <col min="36" max="36" width="4.83203125" style="145" customWidth="1"/>
    <col min="37" max="38" width="14.83203125" style="145" customWidth="1"/>
    <col min="39" max="39" width="4.83203125" style="145" customWidth="1"/>
    <col min="40" max="40" width="13.83203125" style="145" customWidth="1"/>
    <col min="41" max="41" width="5.83203125" style="145" customWidth="1"/>
    <col min="42" max="42" width="13.83203125" style="145" customWidth="1"/>
    <col min="43" max="43" width="5.83203125" style="145" customWidth="1"/>
    <col min="44" max="44" width="4.83203125" style="145" customWidth="1"/>
    <col min="45" max="45" width="5.83203125" style="145" customWidth="1"/>
    <col min="46" max="46" width="4.83203125" style="145" customWidth="1"/>
    <col min="47" max="47" width="13.83203125" style="145" customWidth="1"/>
    <col min="48" max="49" width="5.83203125" style="145" customWidth="1"/>
    <col min="50" max="50" width="4.83203125" style="145" customWidth="1"/>
    <col min="51" max="51" width="2.33203125" style="145" customWidth="1"/>
    <col min="52" max="52" width="4.83203125" style="145" customWidth="1"/>
    <col min="53" max="57" width="2.33203125" style="145" customWidth="1"/>
    <col min="58" max="16384" width="8.83203125" style="145"/>
  </cols>
  <sheetData>
    <row r="1" spans="1:57" x14ac:dyDescent="0.15">
      <c r="A1" s="144" t="s">
        <v>19</v>
      </c>
      <c r="B1" s="184" t="s">
        <v>192</v>
      </c>
      <c r="C1" s="184" t="s">
        <v>193</v>
      </c>
      <c r="D1" s="184" t="s">
        <v>194</v>
      </c>
      <c r="E1" s="184" t="s">
        <v>195</v>
      </c>
      <c r="F1" s="184" t="s">
        <v>196</v>
      </c>
      <c r="G1" s="184" t="s">
        <v>197</v>
      </c>
      <c r="H1" s="184" t="s">
        <v>198</v>
      </c>
      <c r="I1" s="184" t="s">
        <v>199</v>
      </c>
      <c r="J1" s="184" t="s">
        <v>200</v>
      </c>
      <c r="K1" s="184" t="s">
        <v>201</v>
      </c>
      <c r="L1" s="184" t="s">
        <v>202</v>
      </c>
      <c r="M1" s="184" t="s">
        <v>203</v>
      </c>
      <c r="N1" s="184" t="s">
        <v>204</v>
      </c>
      <c r="O1" s="184" t="s">
        <v>205</v>
      </c>
      <c r="P1" s="184" t="s">
        <v>206</v>
      </c>
      <c r="Q1" s="184" t="s">
        <v>207</v>
      </c>
      <c r="R1" s="184" t="s">
        <v>208</v>
      </c>
      <c r="S1" s="184" t="s">
        <v>209</v>
      </c>
      <c r="T1" s="184" t="s">
        <v>210</v>
      </c>
      <c r="U1" s="184" t="s">
        <v>211</v>
      </c>
      <c r="V1" s="184" t="s">
        <v>212</v>
      </c>
      <c r="W1" s="184" t="s">
        <v>213</v>
      </c>
      <c r="X1" s="184" t="s">
        <v>214</v>
      </c>
      <c r="Y1" s="184" t="s">
        <v>215</v>
      </c>
      <c r="Z1" s="184" t="s">
        <v>216</v>
      </c>
      <c r="AA1" s="184" t="s">
        <v>217</v>
      </c>
      <c r="AB1" s="184" t="s">
        <v>218</v>
      </c>
      <c r="AC1" s="184" t="s">
        <v>219</v>
      </c>
      <c r="AD1" s="184" t="s">
        <v>220</v>
      </c>
      <c r="AE1" s="184" t="s">
        <v>221</v>
      </c>
      <c r="AF1" s="184" t="s">
        <v>222</v>
      </c>
      <c r="AG1" s="184" t="s">
        <v>223</v>
      </c>
      <c r="AH1" s="184" t="s">
        <v>224</v>
      </c>
      <c r="AI1" s="184" t="s">
        <v>225</v>
      </c>
      <c r="AJ1" s="184" t="s">
        <v>226</v>
      </c>
      <c r="AK1" s="184" t="s">
        <v>227</v>
      </c>
      <c r="AL1" s="184" t="s">
        <v>228</v>
      </c>
      <c r="AM1" s="184" t="s">
        <v>229</v>
      </c>
      <c r="AN1" s="184" t="s">
        <v>230</v>
      </c>
      <c r="AO1" s="184" t="s">
        <v>231</v>
      </c>
      <c r="AP1" s="184" t="s">
        <v>232</v>
      </c>
      <c r="AQ1" s="184" t="s">
        <v>233</v>
      </c>
      <c r="AR1" s="184" t="s">
        <v>234</v>
      </c>
      <c r="AS1" s="184" t="s">
        <v>235</v>
      </c>
      <c r="AT1" s="184" t="s">
        <v>236</v>
      </c>
      <c r="AU1" s="184" t="s">
        <v>237</v>
      </c>
      <c r="AV1" s="184" t="s">
        <v>238</v>
      </c>
      <c r="AW1" s="184" t="s">
        <v>239</v>
      </c>
      <c r="AX1" s="184" t="s">
        <v>240</v>
      </c>
      <c r="AY1" s="184" t="s">
        <v>241</v>
      </c>
      <c r="AZ1" s="184" t="s">
        <v>242</v>
      </c>
      <c r="BA1" s="184" t="s">
        <v>243</v>
      </c>
      <c r="BB1" s="184" t="s">
        <v>244</v>
      </c>
      <c r="BC1" s="184" t="s">
        <v>245</v>
      </c>
      <c r="BD1" s="184" t="s">
        <v>246</v>
      </c>
      <c r="BE1" s="184" t="s">
        <v>247</v>
      </c>
    </row>
    <row r="2" spans="1:57" customFormat="1" x14ac:dyDescent="0.15">
      <c r="A2" s="183" t="s">
        <v>192</v>
      </c>
      <c r="B2" s="145">
        <v>0</v>
      </c>
      <c r="C2" s="145">
        <v>0</v>
      </c>
      <c r="D2" s="145">
        <v>0</v>
      </c>
      <c r="E2" s="145">
        <v>0</v>
      </c>
      <c r="F2" s="145">
        <v>0</v>
      </c>
      <c r="G2" s="145">
        <v>0</v>
      </c>
      <c r="H2" s="145">
        <v>0</v>
      </c>
      <c r="I2" s="145">
        <v>0</v>
      </c>
      <c r="J2" s="145">
        <v>0</v>
      </c>
      <c r="K2" s="145">
        <v>0</v>
      </c>
      <c r="L2" s="145">
        <v>0</v>
      </c>
      <c r="M2" s="145">
        <v>0</v>
      </c>
      <c r="N2" s="145">
        <v>0</v>
      </c>
      <c r="O2" s="145">
        <v>0</v>
      </c>
      <c r="P2" s="145">
        <v>0</v>
      </c>
      <c r="Q2" s="145">
        <v>0</v>
      </c>
      <c r="R2" s="145">
        <v>0</v>
      </c>
      <c r="S2" s="145">
        <v>0</v>
      </c>
      <c r="T2" s="145">
        <v>0</v>
      </c>
      <c r="U2" s="145">
        <v>0</v>
      </c>
      <c r="V2" s="145">
        <v>0</v>
      </c>
      <c r="W2" s="145">
        <v>0</v>
      </c>
      <c r="X2" s="145">
        <v>0</v>
      </c>
      <c r="Y2" s="145">
        <v>0</v>
      </c>
      <c r="Z2" s="145">
        <v>0</v>
      </c>
      <c r="AA2" s="145">
        <v>0</v>
      </c>
      <c r="AB2" s="145">
        <v>0</v>
      </c>
      <c r="AC2" s="145">
        <v>0</v>
      </c>
      <c r="AD2" s="145">
        <v>0</v>
      </c>
      <c r="AE2" s="145">
        <v>0</v>
      </c>
      <c r="AF2" s="145">
        <v>0</v>
      </c>
      <c r="AG2" s="145">
        <v>0</v>
      </c>
      <c r="AH2" s="145">
        <v>0</v>
      </c>
      <c r="AI2" s="145">
        <v>0</v>
      </c>
      <c r="AJ2" s="145">
        <v>0</v>
      </c>
      <c r="AK2" s="145">
        <v>0</v>
      </c>
      <c r="AL2" s="145">
        <v>0</v>
      </c>
      <c r="AM2" s="145">
        <v>0</v>
      </c>
      <c r="AN2" s="145">
        <v>0</v>
      </c>
      <c r="AO2" s="145">
        <v>0</v>
      </c>
      <c r="AP2" s="145">
        <v>0</v>
      </c>
      <c r="AQ2" s="145">
        <v>0</v>
      </c>
      <c r="AR2" s="145">
        <v>0</v>
      </c>
      <c r="AS2" s="145">
        <v>0</v>
      </c>
      <c r="AT2" s="145">
        <v>0</v>
      </c>
      <c r="AU2" s="145">
        <v>0</v>
      </c>
      <c r="AV2" s="145">
        <v>0</v>
      </c>
      <c r="AW2" s="145">
        <v>0</v>
      </c>
      <c r="AX2" s="145">
        <v>0</v>
      </c>
      <c r="AY2" s="145">
        <v>0</v>
      </c>
      <c r="AZ2" s="145">
        <v>0</v>
      </c>
      <c r="BA2" s="145">
        <v>0</v>
      </c>
      <c r="BB2" s="145">
        <v>0</v>
      </c>
      <c r="BC2" s="145">
        <v>0</v>
      </c>
      <c r="BD2" s="145">
        <v>0</v>
      </c>
      <c r="BE2" s="145">
        <v>0</v>
      </c>
    </row>
    <row r="3" spans="1:57" customFormat="1" x14ac:dyDescent="0.15">
      <c r="A3" s="183" t="s">
        <v>193</v>
      </c>
      <c r="B3" s="145">
        <v>0</v>
      </c>
      <c r="C3" s="145">
        <v>0</v>
      </c>
      <c r="D3" s="145">
        <v>0</v>
      </c>
      <c r="E3" s="145">
        <v>0</v>
      </c>
      <c r="F3" s="145">
        <v>0</v>
      </c>
      <c r="G3" s="145">
        <v>0</v>
      </c>
      <c r="H3" s="145">
        <v>0</v>
      </c>
      <c r="I3" s="145">
        <v>0</v>
      </c>
      <c r="J3" s="145">
        <v>0</v>
      </c>
      <c r="K3" s="145">
        <v>0</v>
      </c>
      <c r="L3" s="145">
        <v>0</v>
      </c>
      <c r="M3" s="145">
        <v>0</v>
      </c>
      <c r="N3" s="145">
        <v>0</v>
      </c>
      <c r="O3" s="145">
        <v>0</v>
      </c>
      <c r="P3" s="145">
        <v>0</v>
      </c>
      <c r="Q3" s="145">
        <v>0</v>
      </c>
      <c r="R3" s="145">
        <v>0</v>
      </c>
      <c r="S3" s="145">
        <v>0</v>
      </c>
      <c r="T3" s="145">
        <v>0</v>
      </c>
      <c r="U3" s="145">
        <v>0</v>
      </c>
      <c r="V3" s="145">
        <v>0</v>
      </c>
      <c r="W3" s="145">
        <v>0</v>
      </c>
      <c r="X3" s="145">
        <v>0</v>
      </c>
      <c r="Y3" s="145">
        <v>0</v>
      </c>
      <c r="Z3" s="145">
        <v>0</v>
      </c>
      <c r="AA3" s="145">
        <v>0</v>
      </c>
      <c r="AB3" s="145">
        <v>0</v>
      </c>
      <c r="AC3" s="145">
        <v>0</v>
      </c>
      <c r="AD3" s="145">
        <v>0</v>
      </c>
      <c r="AE3" s="145">
        <v>0</v>
      </c>
      <c r="AF3" s="145">
        <v>0</v>
      </c>
      <c r="AG3" s="145">
        <v>0</v>
      </c>
      <c r="AH3" s="145">
        <v>0</v>
      </c>
      <c r="AI3" s="145">
        <v>0</v>
      </c>
      <c r="AJ3" s="145">
        <v>0</v>
      </c>
      <c r="AK3" s="145">
        <v>0</v>
      </c>
      <c r="AL3" s="145">
        <v>0</v>
      </c>
      <c r="AM3" s="145">
        <v>0</v>
      </c>
      <c r="AN3" s="145">
        <v>0</v>
      </c>
      <c r="AO3" s="145">
        <v>0</v>
      </c>
      <c r="AP3" s="145">
        <v>0</v>
      </c>
      <c r="AQ3" s="145">
        <v>0</v>
      </c>
      <c r="AR3" s="145">
        <v>0</v>
      </c>
      <c r="AS3" s="145">
        <v>0</v>
      </c>
      <c r="AT3" s="145">
        <v>0</v>
      </c>
      <c r="AU3" s="145">
        <v>0</v>
      </c>
      <c r="AV3" s="145">
        <v>0</v>
      </c>
      <c r="AW3" s="145">
        <v>0</v>
      </c>
      <c r="AX3" s="145">
        <v>0</v>
      </c>
      <c r="AY3" s="145">
        <v>0</v>
      </c>
      <c r="AZ3" s="145">
        <v>0</v>
      </c>
      <c r="BA3" s="145">
        <v>0</v>
      </c>
      <c r="BB3" s="145">
        <v>0</v>
      </c>
      <c r="BC3" s="145">
        <v>0</v>
      </c>
      <c r="BD3" s="145">
        <v>0</v>
      </c>
      <c r="BE3" s="145">
        <v>0</v>
      </c>
    </row>
    <row r="4" spans="1:57" customFormat="1" x14ac:dyDescent="0.15">
      <c r="A4" s="183" t="s">
        <v>194</v>
      </c>
      <c r="B4" s="145">
        <v>0</v>
      </c>
      <c r="C4" s="145">
        <v>0</v>
      </c>
      <c r="D4" s="145">
        <v>0</v>
      </c>
      <c r="E4" s="145">
        <v>0</v>
      </c>
      <c r="F4" s="145">
        <v>0</v>
      </c>
      <c r="G4" s="145">
        <v>0</v>
      </c>
      <c r="H4" s="145">
        <v>0</v>
      </c>
      <c r="I4" s="145">
        <v>0</v>
      </c>
      <c r="J4" s="145">
        <v>0</v>
      </c>
      <c r="K4" s="145">
        <v>0</v>
      </c>
      <c r="L4" s="145">
        <v>0</v>
      </c>
      <c r="M4" s="145">
        <v>0</v>
      </c>
      <c r="N4" s="145">
        <v>0</v>
      </c>
      <c r="O4" s="145">
        <v>0</v>
      </c>
      <c r="P4" s="145">
        <v>0</v>
      </c>
      <c r="Q4" s="145">
        <v>0</v>
      </c>
      <c r="R4" s="145">
        <v>0</v>
      </c>
      <c r="S4" s="145">
        <v>0</v>
      </c>
      <c r="T4" s="145">
        <v>0</v>
      </c>
      <c r="U4" s="145">
        <v>0</v>
      </c>
      <c r="V4" s="145">
        <v>0</v>
      </c>
      <c r="W4" s="145">
        <v>0</v>
      </c>
      <c r="X4" s="145">
        <v>0</v>
      </c>
      <c r="Y4" s="145">
        <v>0</v>
      </c>
      <c r="Z4" s="145">
        <v>0</v>
      </c>
      <c r="AA4" s="145">
        <v>0</v>
      </c>
      <c r="AB4" s="145">
        <v>0</v>
      </c>
      <c r="AC4" s="145">
        <v>0</v>
      </c>
      <c r="AD4" s="145">
        <v>0</v>
      </c>
      <c r="AE4" s="145">
        <v>0</v>
      </c>
      <c r="AF4" s="145">
        <v>0</v>
      </c>
      <c r="AG4" s="145">
        <v>0</v>
      </c>
      <c r="AH4" s="145">
        <v>0</v>
      </c>
      <c r="AI4" s="145">
        <v>0</v>
      </c>
      <c r="AJ4" s="145">
        <v>0</v>
      </c>
      <c r="AK4" s="145">
        <v>0</v>
      </c>
      <c r="AL4" s="145">
        <v>0</v>
      </c>
      <c r="AM4" s="145">
        <v>0</v>
      </c>
      <c r="AN4" s="145">
        <v>0</v>
      </c>
      <c r="AO4" s="145">
        <v>0</v>
      </c>
      <c r="AP4" s="145">
        <v>0</v>
      </c>
      <c r="AQ4" s="145">
        <v>0</v>
      </c>
      <c r="AR4" s="145">
        <v>0</v>
      </c>
      <c r="AS4" s="145">
        <v>0</v>
      </c>
      <c r="AT4" s="145">
        <v>0</v>
      </c>
      <c r="AU4" s="145">
        <v>0</v>
      </c>
      <c r="AV4" s="145">
        <v>0</v>
      </c>
      <c r="AW4" s="145">
        <v>0</v>
      </c>
      <c r="AX4" s="145">
        <v>0</v>
      </c>
      <c r="AY4" s="145">
        <v>0</v>
      </c>
      <c r="AZ4" s="145">
        <v>0</v>
      </c>
      <c r="BA4" s="145">
        <v>0</v>
      </c>
      <c r="BB4" s="145">
        <v>0</v>
      </c>
      <c r="BC4" s="145">
        <v>0</v>
      </c>
      <c r="BD4" s="145">
        <v>0</v>
      </c>
      <c r="BE4" s="145">
        <v>0</v>
      </c>
    </row>
    <row r="5" spans="1:57" customFormat="1" x14ac:dyDescent="0.15">
      <c r="A5" s="183" t="s">
        <v>195</v>
      </c>
      <c r="B5" s="145">
        <v>0</v>
      </c>
      <c r="C5" s="145">
        <v>0</v>
      </c>
      <c r="D5" s="145">
        <v>0</v>
      </c>
      <c r="E5" s="145">
        <v>0</v>
      </c>
      <c r="F5" s="145">
        <v>0</v>
      </c>
      <c r="G5" s="145">
        <v>0</v>
      </c>
      <c r="H5" s="145">
        <v>0</v>
      </c>
      <c r="I5" s="145">
        <v>0</v>
      </c>
      <c r="J5" s="145">
        <v>0</v>
      </c>
      <c r="K5" s="145">
        <v>0</v>
      </c>
      <c r="L5" s="145">
        <v>0</v>
      </c>
      <c r="M5" s="145">
        <v>0</v>
      </c>
      <c r="N5" s="145">
        <v>0</v>
      </c>
      <c r="O5" s="145">
        <v>0</v>
      </c>
      <c r="P5" s="145">
        <v>0</v>
      </c>
      <c r="Q5" s="145">
        <v>0</v>
      </c>
      <c r="R5" s="145">
        <v>0</v>
      </c>
      <c r="S5" s="145">
        <v>0</v>
      </c>
      <c r="T5" s="145">
        <v>0</v>
      </c>
      <c r="U5" s="145">
        <v>0</v>
      </c>
      <c r="V5" s="145">
        <v>0</v>
      </c>
      <c r="W5" s="145">
        <v>0</v>
      </c>
      <c r="X5" s="145">
        <v>0</v>
      </c>
      <c r="Y5" s="145">
        <v>0</v>
      </c>
      <c r="Z5" s="145">
        <v>0</v>
      </c>
      <c r="AA5" s="145">
        <v>0</v>
      </c>
      <c r="AB5" s="145">
        <v>0</v>
      </c>
      <c r="AC5" s="145">
        <v>0</v>
      </c>
      <c r="AD5" s="145">
        <v>0</v>
      </c>
      <c r="AE5" s="145">
        <v>0</v>
      </c>
      <c r="AF5" s="145">
        <v>0</v>
      </c>
      <c r="AG5" s="145">
        <v>0</v>
      </c>
      <c r="AH5" s="145">
        <v>0</v>
      </c>
      <c r="AI5" s="145">
        <v>0</v>
      </c>
      <c r="AJ5" s="145">
        <v>0</v>
      </c>
      <c r="AK5" s="145">
        <v>0</v>
      </c>
      <c r="AL5" s="145">
        <v>0</v>
      </c>
      <c r="AM5" s="145">
        <v>0</v>
      </c>
      <c r="AN5" s="145">
        <v>0</v>
      </c>
      <c r="AO5" s="145">
        <v>0</v>
      </c>
      <c r="AP5" s="145">
        <v>0</v>
      </c>
      <c r="AQ5" s="145">
        <v>0</v>
      </c>
      <c r="AR5" s="145">
        <v>0</v>
      </c>
      <c r="AS5" s="145">
        <v>0</v>
      </c>
      <c r="AT5" s="145">
        <v>0</v>
      </c>
      <c r="AU5" s="145">
        <v>0</v>
      </c>
      <c r="AV5" s="145">
        <v>0</v>
      </c>
      <c r="AW5" s="145">
        <v>0</v>
      </c>
      <c r="AX5" s="145">
        <v>0</v>
      </c>
      <c r="AY5" s="145">
        <v>0</v>
      </c>
      <c r="AZ5" s="145">
        <v>0</v>
      </c>
      <c r="BA5" s="145">
        <v>0</v>
      </c>
      <c r="BB5" s="145">
        <v>0</v>
      </c>
      <c r="BC5" s="145">
        <v>0</v>
      </c>
      <c r="BD5" s="145">
        <v>0</v>
      </c>
      <c r="BE5" s="145">
        <v>0</v>
      </c>
    </row>
    <row r="6" spans="1:57" customFormat="1" x14ac:dyDescent="0.15">
      <c r="A6" s="183" t="s">
        <v>196</v>
      </c>
      <c r="B6" s="145">
        <v>0</v>
      </c>
      <c r="C6" s="145">
        <v>0</v>
      </c>
      <c r="D6" s="145">
        <v>0</v>
      </c>
      <c r="E6" s="145">
        <v>0</v>
      </c>
      <c r="F6" s="145">
        <v>0</v>
      </c>
      <c r="G6" s="145">
        <v>1.0005980083331447E-2</v>
      </c>
      <c r="H6" s="145">
        <v>0</v>
      </c>
      <c r="I6" s="145">
        <v>0</v>
      </c>
      <c r="J6" s="145">
        <v>0</v>
      </c>
      <c r="K6" s="145">
        <v>0</v>
      </c>
      <c r="L6" s="145">
        <v>0</v>
      </c>
      <c r="M6" s="145">
        <v>0</v>
      </c>
      <c r="N6" s="145">
        <v>0</v>
      </c>
      <c r="O6" s="145">
        <v>0</v>
      </c>
      <c r="P6" s="145">
        <v>0</v>
      </c>
      <c r="Q6" s="145">
        <v>0</v>
      </c>
      <c r="R6" s="145">
        <v>0</v>
      </c>
      <c r="S6" s="145">
        <v>0</v>
      </c>
      <c r="T6" s="145">
        <v>0</v>
      </c>
      <c r="U6" s="145">
        <v>0</v>
      </c>
      <c r="V6" s="145">
        <v>0</v>
      </c>
      <c r="W6" s="145">
        <v>0</v>
      </c>
      <c r="X6" s="145">
        <v>0</v>
      </c>
      <c r="Y6" s="145">
        <v>1.0009751873792503E-2</v>
      </c>
      <c r="Z6" s="145">
        <v>0</v>
      </c>
      <c r="AA6" s="145">
        <v>0</v>
      </c>
      <c r="AB6" s="145">
        <v>0</v>
      </c>
      <c r="AC6" s="145">
        <v>0</v>
      </c>
      <c r="AD6" s="145">
        <v>0</v>
      </c>
      <c r="AE6" s="145">
        <v>0</v>
      </c>
      <c r="AF6" s="145">
        <v>0</v>
      </c>
      <c r="AG6" s="145">
        <v>0</v>
      </c>
      <c r="AH6" s="145">
        <v>0</v>
      </c>
      <c r="AI6" s="145">
        <v>0</v>
      </c>
      <c r="AJ6" s="145">
        <v>0</v>
      </c>
      <c r="AK6" s="145">
        <v>0</v>
      </c>
      <c r="AL6" s="145">
        <v>0</v>
      </c>
      <c r="AM6" s="145">
        <v>0</v>
      </c>
      <c r="AN6" s="145">
        <v>0</v>
      </c>
      <c r="AO6" s="145">
        <v>0</v>
      </c>
      <c r="AP6" s="145">
        <v>0</v>
      </c>
      <c r="AQ6" s="145">
        <v>0</v>
      </c>
      <c r="AR6" s="145">
        <v>0</v>
      </c>
      <c r="AS6" s="145">
        <v>0</v>
      </c>
      <c r="AT6" s="145">
        <v>0</v>
      </c>
      <c r="AU6" s="145">
        <v>0</v>
      </c>
      <c r="AV6" s="145">
        <v>0</v>
      </c>
      <c r="AW6" s="145">
        <v>0</v>
      </c>
      <c r="AX6" s="145">
        <v>0</v>
      </c>
      <c r="AY6" s="145">
        <v>0</v>
      </c>
      <c r="AZ6" s="145">
        <v>0</v>
      </c>
      <c r="BA6" s="145">
        <v>0</v>
      </c>
      <c r="BB6" s="145">
        <v>0</v>
      </c>
      <c r="BC6" s="145">
        <v>0</v>
      </c>
      <c r="BD6" s="145">
        <v>0</v>
      </c>
      <c r="BE6" s="145">
        <v>0</v>
      </c>
    </row>
    <row r="7" spans="1:57" customFormat="1" x14ac:dyDescent="0.15">
      <c r="A7" s="183" t="s">
        <v>197</v>
      </c>
      <c r="B7" s="145">
        <v>0</v>
      </c>
      <c r="C7" s="145">
        <v>0</v>
      </c>
      <c r="D7" s="145">
        <v>0</v>
      </c>
      <c r="E7" s="145">
        <v>0</v>
      </c>
      <c r="F7" s="145">
        <v>0</v>
      </c>
      <c r="G7" s="145">
        <v>0</v>
      </c>
      <c r="H7" s="145">
        <v>0</v>
      </c>
      <c r="I7" s="145">
        <v>0</v>
      </c>
      <c r="J7" s="145">
        <v>0</v>
      </c>
      <c r="K7" s="145">
        <v>0</v>
      </c>
      <c r="L7" s="145">
        <v>0</v>
      </c>
      <c r="M7" s="145">
        <v>0</v>
      </c>
      <c r="N7" s="145">
        <v>0</v>
      </c>
      <c r="O7" s="145">
        <v>0</v>
      </c>
      <c r="P7" s="145">
        <v>0</v>
      </c>
      <c r="Q7" s="145">
        <v>0</v>
      </c>
      <c r="R7" s="145">
        <v>0</v>
      </c>
      <c r="S7" s="145">
        <v>0</v>
      </c>
      <c r="T7" s="145">
        <v>0</v>
      </c>
      <c r="U7" s="145">
        <v>0</v>
      </c>
      <c r="V7" s="145">
        <v>0</v>
      </c>
      <c r="W7" s="145">
        <v>0</v>
      </c>
      <c r="X7" s="145">
        <v>0</v>
      </c>
      <c r="Y7" s="145">
        <v>1.0009751873792503E-2</v>
      </c>
      <c r="Z7" s="145">
        <v>0</v>
      </c>
      <c r="AA7" s="145">
        <v>0</v>
      </c>
      <c r="AB7" s="145">
        <v>0</v>
      </c>
      <c r="AC7" s="145">
        <v>0</v>
      </c>
      <c r="AD7" s="145">
        <v>0</v>
      </c>
      <c r="AE7" s="145">
        <v>0</v>
      </c>
      <c r="AF7" s="145">
        <v>0</v>
      </c>
      <c r="AG7" s="145">
        <v>0</v>
      </c>
      <c r="AH7" s="145">
        <v>0</v>
      </c>
      <c r="AI7" s="145">
        <v>0</v>
      </c>
      <c r="AJ7" s="145">
        <v>0</v>
      </c>
      <c r="AK7" s="145">
        <v>0</v>
      </c>
      <c r="AL7" s="145">
        <v>0</v>
      </c>
      <c r="AM7" s="145">
        <v>0</v>
      </c>
      <c r="AN7" s="145">
        <v>0</v>
      </c>
      <c r="AO7" s="145">
        <v>0</v>
      </c>
      <c r="AP7" s="145">
        <v>0</v>
      </c>
      <c r="AQ7" s="145">
        <v>0</v>
      </c>
      <c r="AR7" s="145">
        <v>0</v>
      </c>
      <c r="AS7" s="145">
        <v>0</v>
      </c>
      <c r="AT7" s="145">
        <v>0</v>
      </c>
      <c r="AU7" s="145">
        <v>0</v>
      </c>
      <c r="AV7" s="145">
        <v>0</v>
      </c>
      <c r="AW7" s="145">
        <v>0</v>
      </c>
      <c r="AX7" s="145">
        <v>0</v>
      </c>
      <c r="AY7" s="145">
        <v>0</v>
      </c>
      <c r="AZ7" s="145">
        <v>0</v>
      </c>
      <c r="BA7" s="145">
        <v>0</v>
      </c>
      <c r="BB7" s="145">
        <v>0</v>
      </c>
      <c r="BC7" s="145">
        <v>0</v>
      </c>
      <c r="BD7" s="145">
        <v>0</v>
      </c>
      <c r="BE7" s="145">
        <v>0</v>
      </c>
    </row>
    <row r="8" spans="1:57" customFormat="1" x14ac:dyDescent="0.15">
      <c r="A8" s="183" t="s">
        <v>198</v>
      </c>
      <c r="B8" s="145">
        <v>0</v>
      </c>
      <c r="C8" s="145">
        <v>0</v>
      </c>
      <c r="D8" s="145">
        <v>0</v>
      </c>
      <c r="E8" s="145">
        <v>0</v>
      </c>
      <c r="F8" s="145">
        <v>0</v>
      </c>
      <c r="G8" s="145">
        <v>0</v>
      </c>
      <c r="H8" s="145">
        <v>0</v>
      </c>
      <c r="I8" s="145">
        <v>0</v>
      </c>
      <c r="J8" s="145">
        <v>0</v>
      </c>
      <c r="K8" s="145">
        <v>0</v>
      </c>
      <c r="L8" s="145">
        <v>0</v>
      </c>
      <c r="M8" s="145">
        <v>0</v>
      </c>
      <c r="N8" s="145">
        <v>0</v>
      </c>
      <c r="O8" s="145">
        <v>0</v>
      </c>
      <c r="P8" s="145">
        <v>0</v>
      </c>
      <c r="Q8" s="145">
        <v>0</v>
      </c>
      <c r="R8" s="145">
        <v>0</v>
      </c>
      <c r="S8" s="145">
        <v>0</v>
      </c>
      <c r="T8" s="145">
        <v>0</v>
      </c>
      <c r="U8" s="145">
        <v>0</v>
      </c>
      <c r="V8" s="145">
        <v>0</v>
      </c>
      <c r="W8" s="145">
        <v>0</v>
      </c>
      <c r="X8" s="145">
        <v>0</v>
      </c>
      <c r="Y8" s="145">
        <v>0</v>
      </c>
      <c r="Z8" s="145">
        <v>0</v>
      </c>
      <c r="AA8" s="145">
        <v>0</v>
      </c>
      <c r="AB8" s="145">
        <v>0</v>
      </c>
      <c r="AC8" s="145">
        <v>0</v>
      </c>
      <c r="AD8" s="145">
        <v>0</v>
      </c>
      <c r="AE8" s="145">
        <v>0</v>
      </c>
      <c r="AF8" s="145">
        <v>0</v>
      </c>
      <c r="AG8" s="145">
        <v>0</v>
      </c>
      <c r="AH8" s="145">
        <v>0</v>
      </c>
      <c r="AI8" s="145">
        <v>0</v>
      </c>
      <c r="AJ8" s="145">
        <v>0</v>
      </c>
      <c r="AK8" s="145">
        <v>0</v>
      </c>
      <c r="AL8" s="145">
        <v>0</v>
      </c>
      <c r="AM8" s="145">
        <v>0</v>
      </c>
      <c r="AN8" s="145">
        <v>0</v>
      </c>
      <c r="AO8" s="145">
        <v>0</v>
      </c>
      <c r="AP8" s="145">
        <v>0</v>
      </c>
      <c r="AQ8" s="145">
        <v>0</v>
      </c>
      <c r="AR8" s="145">
        <v>0</v>
      </c>
      <c r="AS8" s="145">
        <v>0</v>
      </c>
      <c r="AT8" s="145">
        <v>0</v>
      </c>
      <c r="AU8" s="145">
        <v>0</v>
      </c>
      <c r="AV8" s="145">
        <v>0</v>
      </c>
      <c r="AW8" s="145">
        <v>0</v>
      </c>
      <c r="AX8" s="145">
        <v>0</v>
      </c>
      <c r="AY8" s="145">
        <v>0</v>
      </c>
      <c r="AZ8" s="145">
        <v>0</v>
      </c>
      <c r="BA8" s="145">
        <v>0</v>
      </c>
      <c r="BB8" s="145">
        <v>0</v>
      </c>
      <c r="BC8" s="145">
        <v>0</v>
      </c>
      <c r="BD8" s="145">
        <v>0</v>
      </c>
      <c r="BE8" s="145">
        <v>0</v>
      </c>
    </row>
    <row r="9" spans="1:57" customFormat="1" x14ac:dyDescent="0.15">
      <c r="A9" s="183" t="s">
        <v>199</v>
      </c>
      <c r="B9" s="145">
        <v>0</v>
      </c>
      <c r="C9" s="145">
        <v>0</v>
      </c>
      <c r="D9" s="145">
        <v>0</v>
      </c>
      <c r="E9" s="145">
        <v>0</v>
      </c>
      <c r="F9" s="145">
        <v>0</v>
      </c>
      <c r="G9" s="145">
        <v>1.0005980083331447E-2</v>
      </c>
      <c r="H9" s="145">
        <v>0</v>
      </c>
      <c r="I9" s="145">
        <v>0</v>
      </c>
      <c r="J9" s="145">
        <v>0</v>
      </c>
      <c r="K9" s="145">
        <v>0</v>
      </c>
      <c r="L9" s="145">
        <v>0</v>
      </c>
      <c r="M9" s="145">
        <v>0</v>
      </c>
      <c r="N9" s="145">
        <v>0</v>
      </c>
      <c r="O9" s="145">
        <v>0</v>
      </c>
      <c r="P9" s="145">
        <v>0</v>
      </c>
      <c r="Q9" s="145">
        <v>0</v>
      </c>
      <c r="R9" s="145">
        <v>0</v>
      </c>
      <c r="S9" s="145">
        <v>0</v>
      </c>
      <c r="T9" s="145">
        <v>0</v>
      </c>
      <c r="U9" s="145">
        <v>0</v>
      </c>
      <c r="V9" s="145">
        <v>0</v>
      </c>
      <c r="W9" s="145">
        <v>0</v>
      </c>
      <c r="X9" s="145">
        <v>0</v>
      </c>
      <c r="Y9" s="145">
        <v>0</v>
      </c>
      <c r="Z9" s="145">
        <v>0</v>
      </c>
      <c r="AA9" s="145">
        <v>0</v>
      </c>
      <c r="AB9" s="145">
        <v>0</v>
      </c>
      <c r="AC9" s="145">
        <v>0</v>
      </c>
      <c r="AD9" s="145">
        <v>0</v>
      </c>
      <c r="AE9" s="145">
        <v>0</v>
      </c>
      <c r="AF9" s="145">
        <v>0</v>
      </c>
      <c r="AG9" s="145">
        <v>0</v>
      </c>
      <c r="AH9" s="145">
        <v>0</v>
      </c>
      <c r="AI9" s="145">
        <v>0</v>
      </c>
      <c r="AJ9" s="145">
        <v>0</v>
      </c>
      <c r="AK9" s="145">
        <v>0</v>
      </c>
      <c r="AL9" s="145">
        <v>0</v>
      </c>
      <c r="AM9" s="145">
        <v>0</v>
      </c>
      <c r="AN9" s="145">
        <v>0</v>
      </c>
      <c r="AO9" s="145">
        <v>0</v>
      </c>
      <c r="AP9" s="145">
        <v>0</v>
      </c>
      <c r="AQ9" s="145">
        <v>0</v>
      </c>
      <c r="AR9" s="145">
        <v>0</v>
      </c>
      <c r="AS9" s="145">
        <v>0</v>
      </c>
      <c r="AT9" s="145">
        <v>0</v>
      </c>
      <c r="AU9" s="145">
        <v>0</v>
      </c>
      <c r="AV9" s="145">
        <v>0</v>
      </c>
      <c r="AW9" s="145">
        <v>0</v>
      </c>
      <c r="AX9" s="145">
        <v>0</v>
      </c>
      <c r="AY9" s="145">
        <v>0</v>
      </c>
      <c r="AZ9" s="145">
        <v>0</v>
      </c>
      <c r="BA9" s="145">
        <v>0</v>
      </c>
      <c r="BB9" s="145">
        <v>0</v>
      </c>
      <c r="BC9" s="145">
        <v>0</v>
      </c>
      <c r="BD9" s="145">
        <v>0</v>
      </c>
      <c r="BE9" s="145">
        <v>0</v>
      </c>
    </row>
    <row r="10" spans="1:57" customFormat="1" x14ac:dyDescent="0.15">
      <c r="A10" s="183" t="s">
        <v>200</v>
      </c>
      <c r="B10" s="145">
        <v>6.9999994814400378E-3</v>
      </c>
      <c r="C10" s="145">
        <v>0.01</v>
      </c>
      <c r="D10" s="145">
        <v>0.01</v>
      </c>
      <c r="E10" s="145">
        <v>4.000000000000001E-3</v>
      </c>
      <c r="F10" s="145">
        <v>4.0001736911865898E-3</v>
      </c>
      <c r="G10" s="145">
        <v>9.0029534451479803E-3</v>
      </c>
      <c r="H10" s="145">
        <v>1.0000000000000002E-2</v>
      </c>
      <c r="I10" s="145">
        <v>6.9965827591757504E-3</v>
      </c>
      <c r="J10" s="145">
        <v>0</v>
      </c>
      <c r="K10" s="145">
        <v>0</v>
      </c>
      <c r="L10" s="145">
        <v>0</v>
      </c>
      <c r="M10" s="145">
        <v>0</v>
      </c>
      <c r="N10" s="145">
        <v>0</v>
      </c>
      <c r="O10" s="145">
        <v>0</v>
      </c>
      <c r="P10" s="145">
        <v>0</v>
      </c>
      <c r="Q10" s="145">
        <v>0</v>
      </c>
      <c r="R10" s="145">
        <v>0</v>
      </c>
      <c r="S10" s="145">
        <v>0</v>
      </c>
      <c r="T10" s="145">
        <v>0</v>
      </c>
      <c r="U10" s="145">
        <v>0</v>
      </c>
      <c r="V10" s="145">
        <v>0</v>
      </c>
      <c r="W10" s="145">
        <v>0</v>
      </c>
      <c r="X10" s="145">
        <v>0</v>
      </c>
      <c r="Y10" s="145">
        <v>0</v>
      </c>
      <c r="Z10" s="145">
        <v>0</v>
      </c>
      <c r="AA10" s="145">
        <v>0</v>
      </c>
      <c r="AB10" s="145">
        <v>0</v>
      </c>
      <c r="AC10" s="145">
        <v>0</v>
      </c>
      <c r="AD10" s="145">
        <v>0</v>
      </c>
      <c r="AE10" s="145">
        <v>0</v>
      </c>
      <c r="AF10" s="145">
        <v>0</v>
      </c>
      <c r="AG10" s="145">
        <v>0</v>
      </c>
      <c r="AH10" s="145">
        <v>0</v>
      </c>
      <c r="AI10" s="145">
        <v>0</v>
      </c>
      <c r="AJ10" s="145">
        <v>0</v>
      </c>
      <c r="AK10" s="145">
        <v>0</v>
      </c>
      <c r="AL10" s="145">
        <v>0</v>
      </c>
      <c r="AM10" s="145">
        <v>0</v>
      </c>
      <c r="AN10" s="145">
        <v>0</v>
      </c>
      <c r="AO10" s="145">
        <v>0</v>
      </c>
      <c r="AP10" s="145">
        <v>0</v>
      </c>
      <c r="AQ10" s="145">
        <v>0</v>
      </c>
      <c r="AR10" s="145">
        <v>0</v>
      </c>
      <c r="AS10" s="145">
        <v>0</v>
      </c>
      <c r="AT10" s="145">
        <v>0</v>
      </c>
      <c r="AU10" s="145">
        <v>0</v>
      </c>
      <c r="AV10" s="145">
        <v>0</v>
      </c>
      <c r="AW10" s="145">
        <v>0</v>
      </c>
      <c r="AX10" s="145">
        <v>0</v>
      </c>
      <c r="AY10" s="145">
        <v>0</v>
      </c>
      <c r="AZ10" s="145">
        <v>0</v>
      </c>
      <c r="BA10" s="145">
        <v>0</v>
      </c>
      <c r="BB10" s="145">
        <v>0</v>
      </c>
      <c r="BC10" s="145">
        <v>0</v>
      </c>
      <c r="BD10" s="145">
        <v>0</v>
      </c>
      <c r="BE10" s="145">
        <v>0</v>
      </c>
    </row>
    <row r="11" spans="1:57" customFormat="1" x14ac:dyDescent="0.15">
      <c r="A11" s="183" t="s">
        <v>201</v>
      </c>
      <c r="B11" s="145">
        <v>0</v>
      </c>
      <c r="C11" s="145">
        <v>0</v>
      </c>
      <c r="D11" s="145">
        <v>0</v>
      </c>
      <c r="E11" s="145">
        <v>0</v>
      </c>
      <c r="F11" s="145">
        <v>0</v>
      </c>
      <c r="G11" s="145">
        <v>0</v>
      </c>
      <c r="H11" s="145">
        <v>0</v>
      </c>
      <c r="I11" s="145">
        <v>0</v>
      </c>
      <c r="J11" s="145">
        <v>0</v>
      </c>
      <c r="K11" s="145">
        <v>0</v>
      </c>
      <c r="L11" s="145">
        <v>0</v>
      </c>
      <c r="M11" s="145">
        <v>0</v>
      </c>
      <c r="N11" s="145">
        <v>3.8447733054185772E-2</v>
      </c>
      <c r="O11" s="145">
        <v>0</v>
      </c>
      <c r="P11" s="145">
        <v>0</v>
      </c>
      <c r="Q11" s="145">
        <v>0</v>
      </c>
      <c r="R11" s="145">
        <v>0</v>
      </c>
      <c r="S11" s="145">
        <v>0</v>
      </c>
      <c r="T11" s="145">
        <v>0</v>
      </c>
      <c r="U11" s="145">
        <v>0</v>
      </c>
      <c r="V11" s="145">
        <v>0.10976164149113468</v>
      </c>
      <c r="W11" s="145">
        <v>1.9995781439939258E-3</v>
      </c>
      <c r="X11" s="145">
        <v>0</v>
      </c>
      <c r="Y11" s="145">
        <v>1.0009751873792503E-2</v>
      </c>
      <c r="Z11" s="145">
        <v>5.0182029045035981E-3</v>
      </c>
      <c r="AA11" s="145">
        <v>0</v>
      </c>
      <c r="AB11" s="145">
        <v>0</v>
      </c>
      <c r="AC11" s="145">
        <v>0</v>
      </c>
      <c r="AD11" s="145">
        <v>0</v>
      </c>
      <c r="AE11" s="145">
        <v>0</v>
      </c>
      <c r="AF11" s="145">
        <v>0</v>
      </c>
      <c r="AG11" s="145">
        <v>0</v>
      </c>
      <c r="AH11" s="145">
        <v>0</v>
      </c>
      <c r="AI11" s="145">
        <v>0</v>
      </c>
      <c r="AJ11" s="145">
        <v>0</v>
      </c>
      <c r="AK11" s="145">
        <v>0</v>
      </c>
      <c r="AL11" s="145">
        <v>0</v>
      </c>
      <c r="AM11" s="145">
        <v>0</v>
      </c>
      <c r="AN11" s="145">
        <v>0</v>
      </c>
      <c r="AO11" s="145">
        <v>0</v>
      </c>
      <c r="AP11" s="145">
        <v>0</v>
      </c>
      <c r="AQ11" s="145">
        <v>0</v>
      </c>
      <c r="AR11" s="145">
        <v>0</v>
      </c>
      <c r="AS11" s="145">
        <v>0</v>
      </c>
      <c r="AT11" s="145">
        <v>0</v>
      </c>
      <c r="AU11" s="145">
        <v>0</v>
      </c>
      <c r="AV11" s="145">
        <v>0</v>
      </c>
      <c r="AW11" s="145">
        <v>0</v>
      </c>
      <c r="AX11" s="145">
        <v>0</v>
      </c>
      <c r="AY11" s="145">
        <v>0</v>
      </c>
      <c r="AZ11" s="145">
        <v>0</v>
      </c>
      <c r="BA11" s="145">
        <v>0</v>
      </c>
      <c r="BB11" s="145">
        <v>0</v>
      </c>
      <c r="BC11" s="145">
        <v>0</v>
      </c>
      <c r="BD11" s="145">
        <v>0</v>
      </c>
      <c r="BE11" s="145">
        <v>0</v>
      </c>
    </row>
    <row r="12" spans="1:57" customFormat="1" x14ac:dyDescent="0.15">
      <c r="A12" s="183" t="s">
        <v>202</v>
      </c>
      <c r="B12" s="145">
        <v>0</v>
      </c>
      <c r="C12" s="145">
        <v>1E-3</v>
      </c>
      <c r="D12" s="145">
        <v>0</v>
      </c>
      <c r="E12" s="145">
        <v>1.0000000000000002E-3</v>
      </c>
      <c r="F12" s="145">
        <v>0</v>
      </c>
      <c r="G12" s="145">
        <v>0</v>
      </c>
      <c r="H12" s="145">
        <v>0</v>
      </c>
      <c r="I12" s="145">
        <v>0</v>
      </c>
      <c r="J12" s="145">
        <v>0</v>
      </c>
      <c r="K12" s="145">
        <v>0</v>
      </c>
      <c r="L12" s="145">
        <v>0</v>
      </c>
      <c r="M12" s="145">
        <v>0</v>
      </c>
      <c r="N12" s="145">
        <v>0</v>
      </c>
      <c r="O12" s="145">
        <v>0</v>
      </c>
      <c r="P12" s="145">
        <v>0</v>
      </c>
      <c r="Q12" s="145">
        <v>9.999999999999998E-4</v>
      </c>
      <c r="R12" s="145">
        <v>0</v>
      </c>
      <c r="S12" s="145">
        <v>9.999999999999998E-4</v>
      </c>
      <c r="T12" s="145">
        <v>9.9999995176000252E-4</v>
      </c>
      <c r="U12" s="145">
        <v>0</v>
      </c>
      <c r="V12" s="145">
        <v>0</v>
      </c>
      <c r="W12" s="145">
        <v>0</v>
      </c>
      <c r="X12" s="145">
        <v>0</v>
      </c>
      <c r="Y12" s="145">
        <v>0</v>
      </c>
      <c r="Z12" s="145">
        <v>0</v>
      </c>
      <c r="AA12" s="145">
        <v>0</v>
      </c>
      <c r="AB12" s="145">
        <v>0</v>
      </c>
      <c r="AC12" s="145">
        <v>0</v>
      </c>
      <c r="AD12" s="145">
        <v>0</v>
      </c>
      <c r="AE12" s="145">
        <v>0</v>
      </c>
      <c r="AF12" s="145">
        <v>0</v>
      </c>
      <c r="AG12" s="145">
        <v>0</v>
      </c>
      <c r="AH12" s="145">
        <v>0</v>
      </c>
      <c r="AI12" s="145">
        <v>0</v>
      </c>
      <c r="AJ12" s="145">
        <v>0</v>
      </c>
      <c r="AK12" s="145">
        <v>0</v>
      </c>
      <c r="AL12" s="145">
        <v>0</v>
      </c>
      <c r="AM12" s="145">
        <v>0</v>
      </c>
      <c r="AN12" s="145">
        <v>0</v>
      </c>
      <c r="AO12" s="145">
        <v>0</v>
      </c>
      <c r="AP12" s="145">
        <v>0</v>
      </c>
      <c r="AQ12" s="145">
        <v>0</v>
      </c>
      <c r="AR12" s="145">
        <v>0</v>
      </c>
      <c r="AS12" s="145">
        <v>0</v>
      </c>
      <c r="AT12" s="145">
        <v>0</v>
      </c>
      <c r="AU12" s="145">
        <v>0</v>
      </c>
      <c r="AV12" s="145">
        <v>0</v>
      </c>
      <c r="AW12" s="145">
        <v>0</v>
      </c>
      <c r="AX12" s="145">
        <v>0</v>
      </c>
      <c r="AY12" s="145">
        <v>0</v>
      </c>
      <c r="AZ12" s="145">
        <v>0</v>
      </c>
      <c r="BA12" s="145">
        <v>0</v>
      </c>
      <c r="BB12" s="145">
        <v>0</v>
      </c>
      <c r="BC12" s="145">
        <v>0</v>
      </c>
      <c r="BD12" s="145">
        <v>0</v>
      </c>
      <c r="BE12" s="145">
        <v>0</v>
      </c>
    </row>
    <row r="13" spans="1:57" customFormat="1" x14ac:dyDescent="0.15">
      <c r="A13" s="183" t="s">
        <v>203</v>
      </c>
      <c r="B13" s="145">
        <v>0</v>
      </c>
      <c r="C13" s="145">
        <v>0</v>
      </c>
      <c r="D13" s="145">
        <v>0</v>
      </c>
      <c r="E13" s="145">
        <v>0</v>
      </c>
      <c r="F13" s="145">
        <v>0</v>
      </c>
      <c r="G13" s="145">
        <v>0</v>
      </c>
      <c r="H13" s="145">
        <v>0</v>
      </c>
      <c r="I13" s="145">
        <v>0</v>
      </c>
      <c r="J13" s="145">
        <v>0</v>
      </c>
      <c r="K13" s="145">
        <v>0</v>
      </c>
      <c r="L13" s="145">
        <v>0</v>
      </c>
      <c r="M13" s="145">
        <v>0</v>
      </c>
      <c r="N13" s="145">
        <v>0</v>
      </c>
      <c r="O13" s="145">
        <v>0</v>
      </c>
      <c r="P13" s="145">
        <v>0</v>
      </c>
      <c r="Q13" s="145">
        <v>0</v>
      </c>
      <c r="R13" s="145">
        <v>0</v>
      </c>
      <c r="S13" s="145">
        <v>0</v>
      </c>
      <c r="T13" s="145">
        <v>0</v>
      </c>
      <c r="U13" s="145">
        <v>0</v>
      </c>
      <c r="V13" s="145">
        <v>0</v>
      </c>
      <c r="W13" s="145">
        <v>0</v>
      </c>
      <c r="X13" s="145">
        <v>0</v>
      </c>
      <c r="Y13" s="145">
        <v>0</v>
      </c>
      <c r="Z13" s="145">
        <v>0</v>
      </c>
      <c r="AA13" s="145">
        <v>0</v>
      </c>
      <c r="AB13" s="145">
        <v>0</v>
      </c>
      <c r="AC13" s="145">
        <v>0</v>
      </c>
      <c r="AD13" s="145">
        <v>0</v>
      </c>
      <c r="AE13" s="145">
        <v>0</v>
      </c>
      <c r="AF13" s="145">
        <v>0</v>
      </c>
      <c r="AG13" s="145">
        <v>0</v>
      </c>
      <c r="AH13" s="145">
        <v>0</v>
      </c>
      <c r="AI13" s="145">
        <v>0</v>
      </c>
      <c r="AJ13" s="145">
        <v>0</v>
      </c>
      <c r="AK13" s="145">
        <v>0</v>
      </c>
      <c r="AL13" s="145">
        <v>0</v>
      </c>
      <c r="AM13" s="145">
        <v>0</v>
      </c>
      <c r="AN13" s="145">
        <v>0</v>
      </c>
      <c r="AO13" s="145">
        <v>0</v>
      </c>
      <c r="AP13" s="145">
        <v>0</v>
      </c>
      <c r="AQ13" s="145">
        <v>0</v>
      </c>
      <c r="AR13" s="145">
        <v>0</v>
      </c>
      <c r="AS13" s="145">
        <v>0</v>
      </c>
      <c r="AT13" s="145">
        <v>0</v>
      </c>
      <c r="AU13" s="145">
        <v>0</v>
      </c>
      <c r="AV13" s="145">
        <v>0</v>
      </c>
      <c r="AW13" s="145">
        <v>0</v>
      </c>
      <c r="AX13" s="145">
        <v>0</v>
      </c>
      <c r="AY13" s="145">
        <v>0</v>
      </c>
      <c r="AZ13" s="145">
        <v>0</v>
      </c>
      <c r="BA13" s="145">
        <v>0</v>
      </c>
      <c r="BB13" s="145">
        <v>0</v>
      </c>
      <c r="BC13" s="145">
        <v>0</v>
      </c>
      <c r="BD13" s="145">
        <v>0</v>
      </c>
      <c r="BE13" s="145">
        <v>0</v>
      </c>
    </row>
    <row r="14" spans="1:57" customFormat="1" x14ac:dyDescent="0.15">
      <c r="A14" s="183" t="s">
        <v>204</v>
      </c>
      <c r="B14" s="145">
        <v>0</v>
      </c>
      <c r="C14" s="145">
        <v>0</v>
      </c>
      <c r="D14" s="145">
        <v>0</v>
      </c>
      <c r="E14" s="145">
        <v>0</v>
      </c>
      <c r="F14" s="145">
        <v>0</v>
      </c>
      <c r="G14" s="145">
        <v>1.0005980083331447E-2</v>
      </c>
      <c r="H14" s="145">
        <v>0</v>
      </c>
      <c r="I14" s="145">
        <v>0</v>
      </c>
      <c r="J14" s="145">
        <v>0</v>
      </c>
      <c r="K14" s="145">
        <v>0</v>
      </c>
      <c r="L14" s="145">
        <v>0</v>
      </c>
      <c r="M14" s="145">
        <v>2.0000001714000144E-2</v>
      </c>
      <c r="N14" s="145">
        <v>0</v>
      </c>
      <c r="O14" s="145">
        <v>0</v>
      </c>
      <c r="P14" s="145">
        <v>0</v>
      </c>
      <c r="Q14" s="145">
        <v>0</v>
      </c>
      <c r="R14" s="145">
        <v>0</v>
      </c>
      <c r="S14" s="145">
        <v>0</v>
      </c>
      <c r="T14" s="145">
        <v>0</v>
      </c>
      <c r="U14" s="145">
        <v>0</v>
      </c>
      <c r="V14" s="145">
        <v>0</v>
      </c>
      <c r="W14" s="145">
        <v>0</v>
      </c>
      <c r="X14" s="145">
        <v>0</v>
      </c>
      <c r="Y14" s="145">
        <v>0</v>
      </c>
      <c r="Z14" s="145">
        <v>0</v>
      </c>
      <c r="AA14" s="145">
        <v>0</v>
      </c>
      <c r="AB14" s="145">
        <v>0</v>
      </c>
      <c r="AC14" s="145">
        <v>0</v>
      </c>
      <c r="AD14" s="145">
        <v>0</v>
      </c>
      <c r="AE14" s="145">
        <v>0</v>
      </c>
      <c r="AF14" s="145">
        <v>0</v>
      </c>
      <c r="AG14" s="145">
        <v>0</v>
      </c>
      <c r="AH14" s="145">
        <v>0</v>
      </c>
      <c r="AI14" s="145">
        <v>0</v>
      </c>
      <c r="AJ14" s="145">
        <v>0</v>
      </c>
      <c r="AK14" s="145">
        <v>0</v>
      </c>
      <c r="AL14" s="145">
        <v>0</v>
      </c>
      <c r="AM14" s="145">
        <v>0</v>
      </c>
      <c r="AN14" s="145">
        <v>0</v>
      </c>
      <c r="AO14" s="145">
        <v>0</v>
      </c>
      <c r="AP14" s="145">
        <v>0</v>
      </c>
      <c r="AQ14" s="145">
        <v>0</v>
      </c>
      <c r="AR14" s="145">
        <v>0</v>
      </c>
      <c r="AS14" s="145">
        <v>0</v>
      </c>
      <c r="AT14" s="145">
        <v>0</v>
      </c>
      <c r="AU14" s="145">
        <v>0</v>
      </c>
      <c r="AV14" s="145">
        <v>0</v>
      </c>
      <c r="AW14" s="145">
        <v>0</v>
      </c>
      <c r="AX14" s="145">
        <v>0</v>
      </c>
      <c r="AY14" s="145">
        <v>0</v>
      </c>
      <c r="AZ14" s="145">
        <v>0</v>
      </c>
      <c r="BA14" s="145">
        <v>0</v>
      </c>
      <c r="BB14" s="145">
        <v>0</v>
      </c>
      <c r="BC14" s="145">
        <v>0</v>
      </c>
      <c r="BD14" s="145">
        <v>0</v>
      </c>
      <c r="BE14" s="145">
        <v>0</v>
      </c>
    </row>
    <row r="15" spans="1:57" customFormat="1" x14ac:dyDescent="0.15">
      <c r="A15" s="183" t="s">
        <v>205</v>
      </c>
      <c r="B15" s="145">
        <v>0</v>
      </c>
      <c r="C15" s="145">
        <v>0</v>
      </c>
      <c r="D15" s="145">
        <v>0</v>
      </c>
      <c r="E15" s="145">
        <v>0</v>
      </c>
      <c r="F15" s="145">
        <v>0</v>
      </c>
      <c r="G15" s="145">
        <v>5.0015693217532829E-3</v>
      </c>
      <c r="H15" s="145">
        <v>0</v>
      </c>
      <c r="I15" s="145">
        <v>0</v>
      </c>
      <c r="J15" s="145">
        <v>0</v>
      </c>
      <c r="K15" s="145">
        <v>0</v>
      </c>
      <c r="L15" s="145">
        <v>0</v>
      </c>
      <c r="M15" s="145">
        <v>0</v>
      </c>
      <c r="N15" s="145">
        <v>0</v>
      </c>
      <c r="O15" s="145">
        <v>0</v>
      </c>
      <c r="P15" s="145">
        <v>0</v>
      </c>
      <c r="Q15" s="145">
        <v>0</v>
      </c>
      <c r="R15" s="145">
        <v>0</v>
      </c>
      <c r="S15" s="145">
        <v>0</v>
      </c>
      <c r="T15" s="145">
        <v>0</v>
      </c>
      <c r="U15" s="145">
        <v>0</v>
      </c>
      <c r="V15" s="145">
        <v>0</v>
      </c>
      <c r="W15" s="145">
        <v>0</v>
      </c>
      <c r="X15" s="145">
        <v>0</v>
      </c>
      <c r="Y15" s="145">
        <v>1.0009751873792503E-2</v>
      </c>
      <c r="Z15" s="145">
        <v>0</v>
      </c>
      <c r="AA15" s="145">
        <v>0</v>
      </c>
      <c r="AB15" s="145">
        <v>0</v>
      </c>
      <c r="AC15" s="145">
        <v>0</v>
      </c>
      <c r="AD15" s="145">
        <v>0</v>
      </c>
      <c r="AE15" s="145">
        <v>0</v>
      </c>
      <c r="AF15" s="145">
        <v>0</v>
      </c>
      <c r="AG15" s="145">
        <v>0</v>
      </c>
      <c r="AH15" s="145">
        <v>0</v>
      </c>
      <c r="AI15" s="145">
        <v>0</v>
      </c>
      <c r="AJ15" s="145">
        <v>0</v>
      </c>
      <c r="AK15" s="145">
        <v>0</v>
      </c>
      <c r="AL15" s="145">
        <v>0</v>
      </c>
      <c r="AM15" s="145">
        <v>0</v>
      </c>
      <c r="AN15" s="145">
        <v>0</v>
      </c>
      <c r="AO15" s="145">
        <v>0</v>
      </c>
      <c r="AP15" s="145">
        <v>0</v>
      </c>
      <c r="AQ15" s="145">
        <v>0</v>
      </c>
      <c r="AR15" s="145">
        <v>0</v>
      </c>
      <c r="AS15" s="145">
        <v>0</v>
      </c>
      <c r="AT15" s="145">
        <v>0</v>
      </c>
      <c r="AU15" s="145">
        <v>0</v>
      </c>
      <c r="AV15" s="145">
        <v>0</v>
      </c>
      <c r="AW15" s="145">
        <v>0</v>
      </c>
      <c r="AX15" s="145">
        <v>0</v>
      </c>
      <c r="AY15" s="145">
        <v>0</v>
      </c>
      <c r="AZ15" s="145">
        <v>0</v>
      </c>
      <c r="BA15" s="145">
        <v>0</v>
      </c>
      <c r="BB15" s="145">
        <v>0</v>
      </c>
      <c r="BC15" s="145">
        <v>0</v>
      </c>
      <c r="BD15" s="145">
        <v>0</v>
      </c>
      <c r="BE15" s="145">
        <v>0</v>
      </c>
    </row>
    <row r="16" spans="1:57" customFormat="1" x14ac:dyDescent="0.15">
      <c r="A16" s="183" t="s">
        <v>206</v>
      </c>
      <c r="B16" s="145">
        <v>0</v>
      </c>
      <c r="C16" s="145">
        <v>0</v>
      </c>
      <c r="D16" s="145">
        <v>0</v>
      </c>
      <c r="E16" s="145">
        <v>0</v>
      </c>
      <c r="F16" s="145">
        <v>0</v>
      </c>
      <c r="G16" s="145">
        <v>1.0005980083331447E-2</v>
      </c>
      <c r="H16" s="145">
        <v>0</v>
      </c>
      <c r="I16" s="145">
        <v>0</v>
      </c>
      <c r="J16" s="145">
        <v>0</v>
      </c>
      <c r="K16" s="145">
        <v>0</v>
      </c>
      <c r="L16" s="145">
        <v>0</v>
      </c>
      <c r="M16" s="145">
        <v>2.0000001714000144E-2</v>
      </c>
      <c r="N16" s="145">
        <v>0</v>
      </c>
      <c r="O16" s="145">
        <v>2.1279346589412041E-2</v>
      </c>
      <c r="P16" s="145">
        <v>0</v>
      </c>
      <c r="Q16" s="145">
        <v>0</v>
      </c>
      <c r="R16" s="145">
        <v>0</v>
      </c>
      <c r="S16" s="145">
        <v>0</v>
      </c>
      <c r="T16" s="145">
        <v>0</v>
      </c>
      <c r="U16" s="145">
        <v>3.7869960676357494E-3</v>
      </c>
      <c r="V16" s="145">
        <v>4.87829530071709E-2</v>
      </c>
      <c r="W16" s="145">
        <v>0</v>
      </c>
      <c r="X16" s="145">
        <v>0</v>
      </c>
      <c r="Y16" s="145">
        <v>3.4509250296353898E-2</v>
      </c>
      <c r="Z16" s="145">
        <v>0</v>
      </c>
      <c r="AA16" s="145">
        <v>0</v>
      </c>
      <c r="AB16" s="145">
        <v>0</v>
      </c>
      <c r="AC16" s="145">
        <v>0</v>
      </c>
      <c r="AD16" s="145">
        <v>0.17326765347027906</v>
      </c>
      <c r="AE16" s="145">
        <v>0</v>
      </c>
      <c r="AF16" s="145">
        <v>0</v>
      </c>
      <c r="AG16" s="145">
        <v>0</v>
      </c>
      <c r="AH16" s="145">
        <v>0</v>
      </c>
      <c r="AI16" s="145">
        <v>0</v>
      </c>
      <c r="AJ16" s="145">
        <v>0</v>
      </c>
      <c r="AK16" s="145">
        <v>0</v>
      </c>
      <c r="AL16" s="145">
        <v>0</v>
      </c>
      <c r="AM16" s="145">
        <v>0</v>
      </c>
      <c r="AN16" s="145">
        <v>0</v>
      </c>
      <c r="AO16" s="145">
        <v>0</v>
      </c>
      <c r="AP16" s="145">
        <v>0</v>
      </c>
      <c r="AQ16" s="145">
        <v>0</v>
      </c>
      <c r="AR16" s="145">
        <v>0</v>
      </c>
      <c r="AS16" s="145">
        <v>0</v>
      </c>
      <c r="AT16" s="145">
        <v>0</v>
      </c>
      <c r="AU16" s="145">
        <v>0</v>
      </c>
      <c r="AV16" s="145">
        <v>0</v>
      </c>
      <c r="AW16" s="145">
        <v>0</v>
      </c>
      <c r="AX16" s="145">
        <v>0</v>
      </c>
      <c r="AY16" s="145">
        <v>0</v>
      </c>
      <c r="AZ16" s="145">
        <v>0</v>
      </c>
      <c r="BA16" s="145">
        <v>0</v>
      </c>
      <c r="BB16" s="145">
        <v>0</v>
      </c>
      <c r="BC16" s="145">
        <v>0</v>
      </c>
      <c r="BD16" s="145">
        <v>0</v>
      </c>
      <c r="BE16" s="145">
        <v>0</v>
      </c>
    </row>
    <row r="17" spans="1:57" customFormat="1" x14ac:dyDescent="0.15">
      <c r="A17" s="183" t="s">
        <v>207</v>
      </c>
      <c r="B17" s="145">
        <v>0</v>
      </c>
      <c r="C17" s="145">
        <v>0</v>
      </c>
      <c r="D17" s="145">
        <v>0</v>
      </c>
      <c r="E17" s="145">
        <v>0</v>
      </c>
      <c r="F17" s="145">
        <v>0</v>
      </c>
      <c r="G17" s="145">
        <v>0</v>
      </c>
      <c r="H17" s="145">
        <v>0</v>
      </c>
      <c r="I17" s="145">
        <v>0</v>
      </c>
      <c r="J17" s="145">
        <v>0</v>
      </c>
      <c r="K17" s="145">
        <v>0</v>
      </c>
      <c r="L17" s="145">
        <v>0</v>
      </c>
      <c r="M17" s="145">
        <v>0</v>
      </c>
      <c r="N17" s="145">
        <v>0</v>
      </c>
      <c r="O17" s="145">
        <v>0</v>
      </c>
      <c r="P17" s="145">
        <v>0</v>
      </c>
      <c r="Q17" s="145">
        <v>3.9999999999999992E-3</v>
      </c>
      <c r="R17" s="145">
        <v>0</v>
      </c>
      <c r="S17" s="145">
        <v>0</v>
      </c>
      <c r="T17" s="145">
        <v>0</v>
      </c>
      <c r="U17" s="145">
        <v>0</v>
      </c>
      <c r="V17" s="145">
        <v>0</v>
      </c>
      <c r="W17" s="145">
        <v>0</v>
      </c>
      <c r="X17" s="145">
        <v>0</v>
      </c>
      <c r="Y17" s="145">
        <v>0</v>
      </c>
      <c r="Z17" s="145">
        <v>0</v>
      </c>
      <c r="AA17" s="145">
        <v>0</v>
      </c>
      <c r="AB17" s="145">
        <v>0</v>
      </c>
      <c r="AC17" s="145">
        <v>0</v>
      </c>
      <c r="AD17" s="145">
        <v>0</v>
      </c>
      <c r="AE17" s="145">
        <v>0</v>
      </c>
      <c r="AF17" s="145">
        <v>0</v>
      </c>
      <c r="AG17" s="145">
        <v>0</v>
      </c>
      <c r="AH17" s="145">
        <v>0</v>
      </c>
      <c r="AI17" s="145">
        <v>0</v>
      </c>
      <c r="AJ17" s="145">
        <v>0</v>
      </c>
      <c r="AK17" s="145">
        <v>0</v>
      </c>
      <c r="AL17" s="145">
        <v>0</v>
      </c>
      <c r="AM17" s="145">
        <v>0</v>
      </c>
      <c r="AN17" s="145">
        <v>0</v>
      </c>
      <c r="AO17" s="145">
        <v>0</v>
      </c>
      <c r="AP17" s="145">
        <v>0</v>
      </c>
      <c r="AQ17" s="145">
        <v>0</v>
      </c>
      <c r="AR17" s="145">
        <v>0</v>
      </c>
      <c r="AS17" s="145">
        <v>0</v>
      </c>
      <c r="AT17" s="145">
        <v>0</v>
      </c>
      <c r="AU17" s="145">
        <v>0</v>
      </c>
      <c r="AV17" s="145">
        <v>0</v>
      </c>
      <c r="AW17" s="145">
        <v>0</v>
      </c>
      <c r="AX17" s="145">
        <v>0</v>
      </c>
      <c r="AY17" s="145">
        <v>0</v>
      </c>
      <c r="AZ17" s="145">
        <v>0</v>
      </c>
      <c r="BA17" s="145">
        <v>0</v>
      </c>
      <c r="BB17" s="145">
        <v>0</v>
      </c>
      <c r="BC17" s="145">
        <v>0</v>
      </c>
      <c r="BD17" s="145">
        <v>0</v>
      </c>
      <c r="BE17" s="145">
        <v>0</v>
      </c>
    </row>
    <row r="18" spans="1:57" customFormat="1" x14ac:dyDescent="0.15">
      <c r="A18" s="183" t="s">
        <v>208</v>
      </c>
      <c r="B18" s="145">
        <v>0</v>
      </c>
      <c r="C18" s="145">
        <v>0</v>
      </c>
      <c r="D18" s="145">
        <v>0</v>
      </c>
      <c r="E18" s="145">
        <v>0</v>
      </c>
      <c r="F18" s="145">
        <v>0</v>
      </c>
      <c r="G18" s="145">
        <v>0</v>
      </c>
      <c r="H18" s="145">
        <v>0</v>
      </c>
      <c r="I18" s="145">
        <v>0</v>
      </c>
      <c r="J18" s="145">
        <v>0</v>
      </c>
      <c r="K18" s="145">
        <v>0</v>
      </c>
      <c r="L18" s="145">
        <v>0</v>
      </c>
      <c r="M18" s="145">
        <v>0</v>
      </c>
      <c r="N18" s="145">
        <v>0</v>
      </c>
      <c r="O18" s="145">
        <v>0</v>
      </c>
      <c r="P18" s="145">
        <v>0</v>
      </c>
      <c r="Q18" s="145">
        <v>7.1999999999999981E-2</v>
      </c>
      <c r="R18" s="145">
        <v>0</v>
      </c>
      <c r="S18" s="145">
        <v>9.9999999999999985E-3</v>
      </c>
      <c r="T18" s="145">
        <v>2.0000000435199981E-2</v>
      </c>
      <c r="U18" s="145">
        <v>0</v>
      </c>
      <c r="V18" s="145">
        <v>0</v>
      </c>
      <c r="W18" s="145">
        <v>0</v>
      </c>
      <c r="X18" s="145">
        <v>0</v>
      </c>
      <c r="Y18" s="145">
        <v>0</v>
      </c>
      <c r="Z18" s="145">
        <v>0</v>
      </c>
      <c r="AA18" s="145">
        <v>2.001010849119762E-3</v>
      </c>
      <c r="AB18" s="145">
        <v>0</v>
      </c>
      <c r="AC18" s="145">
        <v>0</v>
      </c>
      <c r="AD18" s="145">
        <v>0</v>
      </c>
      <c r="AE18" s="145">
        <v>0</v>
      </c>
      <c r="AF18" s="145">
        <v>0</v>
      </c>
      <c r="AG18" s="145">
        <v>0</v>
      </c>
      <c r="AH18" s="145">
        <v>0</v>
      </c>
      <c r="AI18" s="145">
        <v>0</v>
      </c>
      <c r="AJ18" s="145">
        <v>0</v>
      </c>
      <c r="AK18" s="145">
        <v>0</v>
      </c>
      <c r="AL18" s="145">
        <v>0</v>
      </c>
      <c r="AM18" s="145">
        <v>0</v>
      </c>
      <c r="AN18" s="145">
        <v>0</v>
      </c>
      <c r="AO18" s="145">
        <v>0</v>
      </c>
      <c r="AP18" s="145">
        <v>0</v>
      </c>
      <c r="AQ18" s="145">
        <v>0</v>
      </c>
      <c r="AR18" s="145">
        <v>0</v>
      </c>
      <c r="AS18" s="145">
        <v>0</v>
      </c>
      <c r="AT18" s="145">
        <v>0</v>
      </c>
      <c r="AU18" s="145">
        <v>0</v>
      </c>
      <c r="AV18" s="145">
        <v>0</v>
      </c>
      <c r="AW18" s="145">
        <v>0</v>
      </c>
      <c r="AX18" s="145">
        <v>0</v>
      </c>
      <c r="AY18" s="145">
        <v>0</v>
      </c>
      <c r="AZ18" s="145">
        <v>0</v>
      </c>
      <c r="BA18" s="145">
        <v>0</v>
      </c>
      <c r="BB18" s="145">
        <v>0</v>
      </c>
      <c r="BC18" s="145">
        <v>0</v>
      </c>
      <c r="BD18" s="145">
        <v>0</v>
      </c>
      <c r="BE18" s="145">
        <v>0</v>
      </c>
    </row>
    <row r="19" spans="1:57" customFormat="1" x14ac:dyDescent="0.15">
      <c r="A19" s="183" t="s">
        <v>209</v>
      </c>
      <c r="B19" s="145">
        <v>0</v>
      </c>
      <c r="C19" s="145">
        <v>0</v>
      </c>
      <c r="D19" s="145">
        <v>0</v>
      </c>
      <c r="E19" s="145">
        <v>0</v>
      </c>
      <c r="F19" s="145">
        <v>0</v>
      </c>
      <c r="G19" s="145">
        <v>0</v>
      </c>
      <c r="H19" s="145">
        <v>0</v>
      </c>
      <c r="I19" s="145">
        <v>0</v>
      </c>
      <c r="J19" s="145">
        <v>0</v>
      </c>
      <c r="K19" s="145">
        <v>0</v>
      </c>
      <c r="L19" s="145">
        <v>0</v>
      </c>
      <c r="M19" s="145">
        <v>0</v>
      </c>
      <c r="N19" s="145">
        <v>0</v>
      </c>
      <c r="O19" s="145">
        <v>0</v>
      </c>
      <c r="P19" s="145">
        <v>0</v>
      </c>
      <c r="Q19" s="145">
        <v>3.2999999999999995E-2</v>
      </c>
      <c r="R19" s="145">
        <v>0</v>
      </c>
      <c r="S19" s="145">
        <v>4.9999999999999989E-2</v>
      </c>
      <c r="T19" s="145">
        <v>2.999999975280002E-2</v>
      </c>
      <c r="U19" s="145">
        <v>0</v>
      </c>
      <c r="V19" s="145">
        <v>0</v>
      </c>
      <c r="W19" s="145">
        <v>0</v>
      </c>
      <c r="X19" s="145">
        <v>0</v>
      </c>
      <c r="Y19" s="145">
        <v>4.003901709516932E-3</v>
      </c>
      <c r="Z19" s="145">
        <v>0</v>
      </c>
      <c r="AA19" s="145">
        <v>0</v>
      </c>
      <c r="AB19" s="145">
        <v>0</v>
      </c>
      <c r="AC19" s="145">
        <v>0</v>
      </c>
      <c r="AD19" s="145">
        <v>0</v>
      </c>
      <c r="AE19" s="145">
        <v>0</v>
      </c>
      <c r="AF19" s="145">
        <v>0</v>
      </c>
      <c r="AG19" s="145">
        <v>0</v>
      </c>
      <c r="AH19" s="145">
        <v>0</v>
      </c>
      <c r="AI19" s="145">
        <v>0</v>
      </c>
      <c r="AJ19" s="145">
        <v>0</v>
      </c>
      <c r="AK19" s="145">
        <v>0</v>
      </c>
      <c r="AL19" s="145">
        <v>0</v>
      </c>
      <c r="AM19" s="145">
        <v>0</v>
      </c>
      <c r="AN19" s="145">
        <v>0</v>
      </c>
      <c r="AO19" s="145">
        <v>0</v>
      </c>
      <c r="AP19" s="145">
        <v>0</v>
      </c>
      <c r="AQ19" s="145">
        <v>0</v>
      </c>
      <c r="AR19" s="145">
        <v>0</v>
      </c>
      <c r="AS19" s="145">
        <v>0</v>
      </c>
      <c r="AT19" s="145">
        <v>0</v>
      </c>
      <c r="AU19" s="145">
        <v>0</v>
      </c>
      <c r="AV19" s="145">
        <v>0</v>
      </c>
      <c r="AW19" s="145">
        <v>0</v>
      </c>
      <c r="AX19" s="145">
        <v>0</v>
      </c>
      <c r="AY19" s="145">
        <v>0</v>
      </c>
      <c r="AZ19" s="145">
        <v>0</v>
      </c>
      <c r="BA19" s="145">
        <v>0</v>
      </c>
      <c r="BB19" s="145">
        <v>0</v>
      </c>
      <c r="BC19" s="145">
        <v>0</v>
      </c>
      <c r="BD19" s="145">
        <v>0</v>
      </c>
      <c r="BE19" s="145">
        <v>0</v>
      </c>
    </row>
    <row r="20" spans="1:57" customFormat="1" x14ac:dyDescent="0.15">
      <c r="A20" s="183" t="s">
        <v>210</v>
      </c>
      <c r="B20" s="145">
        <v>0</v>
      </c>
      <c r="C20" s="145">
        <v>0</v>
      </c>
      <c r="D20" s="145">
        <v>0</v>
      </c>
      <c r="E20" s="145">
        <v>0</v>
      </c>
      <c r="F20" s="145">
        <v>0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5">
        <v>0</v>
      </c>
      <c r="M20" s="145">
        <v>0</v>
      </c>
      <c r="N20" s="145">
        <v>0</v>
      </c>
      <c r="O20" s="145">
        <v>0</v>
      </c>
      <c r="P20" s="145">
        <v>0</v>
      </c>
      <c r="Q20" s="145">
        <v>3.7999999999999992E-2</v>
      </c>
      <c r="R20" s="145">
        <v>0</v>
      </c>
      <c r="S20" s="145">
        <v>0</v>
      </c>
      <c r="T20" s="145">
        <v>2.0000000435199981E-2</v>
      </c>
      <c r="U20" s="145">
        <v>0</v>
      </c>
      <c r="V20" s="145">
        <v>0</v>
      </c>
      <c r="W20" s="145">
        <v>0</v>
      </c>
      <c r="X20" s="145">
        <v>0</v>
      </c>
      <c r="Y20" s="145">
        <v>0</v>
      </c>
      <c r="Z20" s="145">
        <v>0</v>
      </c>
      <c r="AA20" s="145">
        <v>0</v>
      </c>
      <c r="AB20" s="145">
        <v>0</v>
      </c>
      <c r="AC20" s="145">
        <v>0</v>
      </c>
      <c r="AD20" s="145">
        <v>0</v>
      </c>
      <c r="AE20" s="145">
        <v>0</v>
      </c>
      <c r="AF20" s="145">
        <v>0</v>
      </c>
      <c r="AG20" s="145">
        <v>0</v>
      </c>
      <c r="AH20" s="145">
        <v>0</v>
      </c>
      <c r="AI20" s="145">
        <v>0</v>
      </c>
      <c r="AJ20" s="145">
        <v>0</v>
      </c>
      <c r="AK20" s="145">
        <v>0</v>
      </c>
      <c r="AL20" s="145">
        <v>0</v>
      </c>
      <c r="AM20" s="145">
        <v>0</v>
      </c>
      <c r="AN20" s="145">
        <v>0</v>
      </c>
      <c r="AO20" s="145">
        <v>0</v>
      </c>
      <c r="AP20" s="145">
        <v>0</v>
      </c>
      <c r="AQ20" s="145">
        <v>0</v>
      </c>
      <c r="AR20" s="145">
        <v>0</v>
      </c>
      <c r="AS20" s="145">
        <v>0</v>
      </c>
      <c r="AT20" s="145">
        <v>0</v>
      </c>
      <c r="AU20" s="145">
        <v>0</v>
      </c>
      <c r="AV20" s="145">
        <v>0</v>
      </c>
      <c r="AW20" s="145">
        <v>0</v>
      </c>
      <c r="AX20" s="145">
        <v>0</v>
      </c>
      <c r="AY20" s="145">
        <v>0</v>
      </c>
      <c r="AZ20" s="145">
        <v>0</v>
      </c>
      <c r="BA20" s="145">
        <v>0</v>
      </c>
      <c r="BB20" s="145">
        <v>0</v>
      </c>
      <c r="BC20" s="145">
        <v>0</v>
      </c>
      <c r="BD20" s="145">
        <v>0</v>
      </c>
      <c r="BE20" s="145">
        <v>0</v>
      </c>
    </row>
    <row r="21" spans="1:57" customFormat="1" x14ac:dyDescent="0.15">
      <c r="A21" s="183" t="s">
        <v>211</v>
      </c>
      <c r="B21" s="145">
        <v>0</v>
      </c>
      <c r="C21" s="145">
        <v>0</v>
      </c>
      <c r="D21" s="145">
        <v>0</v>
      </c>
      <c r="E21" s="145">
        <v>0</v>
      </c>
      <c r="F21" s="145">
        <v>0</v>
      </c>
      <c r="G21" s="145">
        <v>7.9391075107128048E-2</v>
      </c>
      <c r="H21" s="145">
        <v>0</v>
      </c>
      <c r="I21" s="145">
        <v>0</v>
      </c>
      <c r="J21" s="145">
        <v>0</v>
      </c>
      <c r="K21" s="145">
        <v>0</v>
      </c>
      <c r="L21" s="145">
        <v>0</v>
      </c>
      <c r="M21" s="145">
        <v>2.0000001714000144E-2</v>
      </c>
      <c r="N21" s="145">
        <v>0</v>
      </c>
      <c r="O21" s="145">
        <v>0</v>
      </c>
      <c r="P21" s="145">
        <v>0</v>
      </c>
      <c r="Q21" s="145">
        <v>0</v>
      </c>
      <c r="R21" s="145">
        <v>0</v>
      </c>
      <c r="S21" s="145">
        <v>0.14999999999999997</v>
      </c>
      <c r="T21" s="145">
        <v>1.000000021759999E-2</v>
      </c>
      <c r="U21" s="145">
        <v>0</v>
      </c>
      <c r="V21" s="145">
        <v>0</v>
      </c>
      <c r="W21" s="145">
        <v>0</v>
      </c>
      <c r="X21" s="145">
        <v>0</v>
      </c>
      <c r="Y21" s="145">
        <v>2.0019503747585005E-2</v>
      </c>
      <c r="Z21" s="145">
        <v>3.4515198143175779E-3</v>
      </c>
      <c r="AA21" s="145">
        <v>0</v>
      </c>
      <c r="AB21" s="145">
        <v>0</v>
      </c>
      <c r="AC21" s="145">
        <v>0</v>
      </c>
      <c r="AD21" s="145">
        <v>1.3328280466944576E-2</v>
      </c>
      <c r="AE21" s="145">
        <v>0</v>
      </c>
      <c r="AF21" s="145">
        <v>0</v>
      </c>
      <c r="AG21" s="145">
        <v>0</v>
      </c>
      <c r="AH21" s="145">
        <v>0</v>
      </c>
      <c r="AI21" s="145">
        <v>0</v>
      </c>
      <c r="AJ21" s="145">
        <v>0</v>
      </c>
      <c r="AK21" s="145">
        <v>0</v>
      </c>
      <c r="AL21" s="145">
        <v>0</v>
      </c>
      <c r="AM21" s="145">
        <v>0</v>
      </c>
      <c r="AN21" s="145">
        <v>0</v>
      </c>
      <c r="AO21" s="145">
        <v>2E-3</v>
      </c>
      <c r="AP21" s="145">
        <v>4.9999999815000015E-2</v>
      </c>
      <c r="AQ21" s="145">
        <v>0</v>
      </c>
      <c r="AR21" s="145">
        <v>0</v>
      </c>
      <c r="AS21" s="145">
        <v>0</v>
      </c>
      <c r="AT21" s="145">
        <v>0</v>
      </c>
      <c r="AU21" s="145">
        <v>0</v>
      </c>
      <c r="AV21" s="145">
        <v>0</v>
      </c>
      <c r="AW21" s="145">
        <v>0</v>
      </c>
      <c r="AX21" s="145">
        <v>0</v>
      </c>
      <c r="AY21" s="145">
        <v>0</v>
      </c>
      <c r="AZ21" s="145">
        <v>0</v>
      </c>
      <c r="BA21" s="145">
        <v>0</v>
      </c>
      <c r="BB21" s="145">
        <v>0</v>
      </c>
      <c r="BC21" s="145">
        <v>0</v>
      </c>
      <c r="BD21" s="145">
        <v>0</v>
      </c>
      <c r="BE21" s="145">
        <v>0</v>
      </c>
    </row>
    <row r="22" spans="1:57" customFormat="1" x14ac:dyDescent="0.15">
      <c r="A22" s="183" t="s">
        <v>212</v>
      </c>
      <c r="B22" s="145">
        <v>0</v>
      </c>
      <c r="C22" s="145">
        <v>0</v>
      </c>
      <c r="D22" s="145">
        <v>0</v>
      </c>
      <c r="E22" s="145">
        <v>0</v>
      </c>
      <c r="F22" s="145">
        <v>0</v>
      </c>
      <c r="G22" s="145">
        <v>0</v>
      </c>
      <c r="H22" s="145">
        <v>0</v>
      </c>
      <c r="I22" s="145">
        <v>0</v>
      </c>
      <c r="J22" s="145">
        <v>0</v>
      </c>
      <c r="K22" s="145">
        <v>0</v>
      </c>
      <c r="L22" s="145">
        <v>0</v>
      </c>
      <c r="M22" s="145">
        <v>0</v>
      </c>
      <c r="N22" s="145">
        <v>0</v>
      </c>
      <c r="O22" s="145">
        <v>0</v>
      </c>
      <c r="P22" s="145">
        <v>0</v>
      </c>
      <c r="Q22" s="145">
        <v>0</v>
      </c>
      <c r="R22" s="145">
        <v>0</v>
      </c>
      <c r="S22" s="145">
        <v>0</v>
      </c>
      <c r="T22" s="145">
        <v>0</v>
      </c>
      <c r="U22" s="145">
        <v>0</v>
      </c>
      <c r="V22" s="145">
        <v>7.3174425660756576E-2</v>
      </c>
      <c r="W22" s="145">
        <v>0</v>
      </c>
      <c r="X22" s="145">
        <v>0</v>
      </c>
      <c r="Y22" s="145">
        <v>0</v>
      </c>
      <c r="Z22" s="145">
        <v>0</v>
      </c>
      <c r="AA22" s="145">
        <v>0</v>
      </c>
      <c r="AB22" s="145">
        <v>0</v>
      </c>
      <c r="AC22" s="145">
        <v>0</v>
      </c>
      <c r="AD22" s="145">
        <v>0</v>
      </c>
      <c r="AE22" s="145">
        <v>0</v>
      </c>
      <c r="AF22" s="145">
        <v>0</v>
      </c>
      <c r="AG22" s="145">
        <v>0</v>
      </c>
      <c r="AH22" s="145">
        <v>0</v>
      </c>
      <c r="AI22" s="145">
        <v>0</v>
      </c>
      <c r="AJ22" s="145">
        <v>0</v>
      </c>
      <c r="AK22" s="145">
        <v>0</v>
      </c>
      <c r="AL22" s="145">
        <v>0</v>
      </c>
      <c r="AM22" s="145">
        <v>0</v>
      </c>
      <c r="AN22" s="145">
        <v>0</v>
      </c>
      <c r="AO22" s="145">
        <v>0</v>
      </c>
      <c r="AP22" s="145">
        <v>0</v>
      </c>
      <c r="AQ22" s="145">
        <v>0</v>
      </c>
      <c r="AR22" s="145">
        <v>0</v>
      </c>
      <c r="AS22" s="145">
        <v>0</v>
      </c>
      <c r="AT22" s="145">
        <v>0</v>
      </c>
      <c r="AU22" s="145">
        <v>0</v>
      </c>
      <c r="AV22" s="145">
        <v>0</v>
      </c>
      <c r="AW22" s="145">
        <v>0</v>
      </c>
      <c r="AX22" s="145">
        <v>0</v>
      </c>
      <c r="AY22" s="145">
        <v>0</v>
      </c>
      <c r="AZ22" s="145">
        <v>0</v>
      </c>
      <c r="BA22" s="145">
        <v>0</v>
      </c>
      <c r="BB22" s="145">
        <v>0</v>
      </c>
      <c r="BC22" s="145">
        <v>0</v>
      </c>
      <c r="BD22" s="145">
        <v>0</v>
      </c>
      <c r="BE22" s="145">
        <v>0</v>
      </c>
    </row>
    <row r="23" spans="1:57" customFormat="1" x14ac:dyDescent="0.15">
      <c r="A23" s="183" t="s">
        <v>213</v>
      </c>
      <c r="B23" s="145">
        <v>0</v>
      </c>
      <c r="C23" s="145">
        <v>0.01</v>
      </c>
      <c r="D23" s="145">
        <v>0</v>
      </c>
      <c r="E23" s="145">
        <v>0.18500000000000003</v>
      </c>
      <c r="F23" s="145">
        <v>0</v>
      </c>
      <c r="G23" s="145">
        <v>2.0001367367315729E-2</v>
      </c>
      <c r="H23" s="145">
        <v>0</v>
      </c>
      <c r="I23" s="145">
        <v>0</v>
      </c>
      <c r="J23" s="145">
        <v>0</v>
      </c>
      <c r="K23" s="145">
        <v>0</v>
      </c>
      <c r="L23" s="145">
        <v>0</v>
      </c>
      <c r="M23" s="145">
        <v>1.0000000857000072E-2</v>
      </c>
      <c r="N23" s="145">
        <v>9.9964107540882977E-3</v>
      </c>
      <c r="O23" s="145">
        <v>9.9999521829991223E-3</v>
      </c>
      <c r="P23" s="145">
        <v>0</v>
      </c>
      <c r="Q23" s="145">
        <v>0</v>
      </c>
      <c r="R23" s="145">
        <v>0</v>
      </c>
      <c r="S23" s="145">
        <v>0</v>
      </c>
      <c r="T23" s="145">
        <v>0</v>
      </c>
      <c r="U23" s="145">
        <v>5.0000420893007514E-3</v>
      </c>
      <c r="V23" s="145">
        <v>5.0002523534850365E-2</v>
      </c>
      <c r="W23" s="145">
        <v>9.9991606699277071E-3</v>
      </c>
      <c r="X23" s="145">
        <v>0</v>
      </c>
      <c r="Y23" s="145">
        <v>1.000098927442823E-2</v>
      </c>
      <c r="Z23" s="145">
        <v>9.9969608097578359E-4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S23" s="145">
        <v>0</v>
      </c>
      <c r="AT23" s="145">
        <v>0</v>
      </c>
      <c r="AU23" s="145">
        <v>0</v>
      </c>
      <c r="AV23" s="145">
        <v>0</v>
      </c>
      <c r="AW23" s="145">
        <v>0</v>
      </c>
      <c r="AX23" s="145">
        <v>0</v>
      </c>
      <c r="AY23" s="145">
        <v>0</v>
      </c>
      <c r="AZ23" s="145">
        <v>0</v>
      </c>
      <c r="BA23" s="145">
        <v>0</v>
      </c>
      <c r="BB23" s="145">
        <v>0</v>
      </c>
      <c r="BC23" s="145">
        <v>0</v>
      </c>
      <c r="BD23" s="145">
        <v>0</v>
      </c>
      <c r="BE23" s="145">
        <v>0</v>
      </c>
    </row>
    <row r="24" spans="1:57" customFormat="1" x14ac:dyDescent="0.15">
      <c r="A24" s="183" t="s">
        <v>214</v>
      </c>
      <c r="B24" s="145">
        <v>0</v>
      </c>
      <c r="C24" s="145">
        <v>0</v>
      </c>
      <c r="D24" s="145">
        <v>0</v>
      </c>
      <c r="E24" s="145">
        <v>4.000000000000001E-3</v>
      </c>
      <c r="F24" s="145">
        <v>0</v>
      </c>
      <c r="G24" s="145">
        <v>2.0011960266662892E-2</v>
      </c>
      <c r="H24" s="145">
        <v>0</v>
      </c>
      <c r="I24" s="145">
        <v>0</v>
      </c>
      <c r="J24" s="145">
        <v>0</v>
      </c>
      <c r="K24" s="145">
        <v>0</v>
      </c>
      <c r="L24" s="145">
        <v>0</v>
      </c>
      <c r="M24" s="145">
        <v>1.0000000857000072E-2</v>
      </c>
      <c r="N24" s="145">
        <v>0</v>
      </c>
      <c r="O24" s="145">
        <v>0</v>
      </c>
      <c r="P24" s="145">
        <v>0</v>
      </c>
      <c r="Q24" s="145">
        <v>0</v>
      </c>
      <c r="R24" s="145">
        <v>0</v>
      </c>
      <c r="S24" s="145">
        <v>0</v>
      </c>
      <c r="T24" s="145">
        <v>0</v>
      </c>
      <c r="U24" s="145">
        <v>0</v>
      </c>
      <c r="V24" s="145">
        <v>0</v>
      </c>
      <c r="W24" s="145">
        <v>9.9991606699277071E-3</v>
      </c>
      <c r="X24" s="145">
        <v>0</v>
      </c>
      <c r="Y24" s="145">
        <v>0</v>
      </c>
      <c r="Z24" s="145">
        <v>0</v>
      </c>
      <c r="AA24" s="145">
        <v>2.0000100391001966E-3</v>
      </c>
      <c r="AB24" s="145">
        <v>0</v>
      </c>
      <c r="AC24" s="145">
        <v>0</v>
      </c>
      <c r="AD24" s="145">
        <v>0</v>
      </c>
      <c r="AE24" s="145">
        <v>0</v>
      </c>
      <c r="AF24" s="145">
        <v>0</v>
      </c>
      <c r="AG24" s="145">
        <v>0</v>
      </c>
      <c r="AH24" s="145">
        <v>0</v>
      </c>
      <c r="AI24" s="145">
        <v>0</v>
      </c>
      <c r="AJ24" s="145">
        <v>0</v>
      </c>
      <c r="AK24" s="145">
        <v>0</v>
      </c>
      <c r="AL24" s="145">
        <v>0</v>
      </c>
      <c r="AM24" s="145">
        <v>0</v>
      </c>
      <c r="AN24" s="145">
        <v>0</v>
      </c>
      <c r="AO24" s="145">
        <v>0</v>
      </c>
      <c r="AP24" s="145">
        <v>0</v>
      </c>
      <c r="AQ24" s="145">
        <v>0</v>
      </c>
      <c r="AR24" s="145">
        <v>0</v>
      </c>
      <c r="AS24" s="145">
        <v>0</v>
      </c>
      <c r="AT24" s="145">
        <v>0</v>
      </c>
      <c r="AU24" s="145">
        <v>0</v>
      </c>
      <c r="AV24" s="145">
        <v>0</v>
      </c>
      <c r="AW24" s="145">
        <v>0</v>
      </c>
      <c r="AX24" s="145">
        <v>0</v>
      </c>
      <c r="AY24" s="145">
        <v>0</v>
      </c>
      <c r="AZ24" s="145">
        <v>0</v>
      </c>
      <c r="BA24" s="145">
        <v>0</v>
      </c>
      <c r="BB24" s="145">
        <v>0</v>
      </c>
      <c r="BC24" s="145">
        <v>0</v>
      </c>
      <c r="BD24" s="145">
        <v>0</v>
      </c>
      <c r="BE24" s="145">
        <v>0</v>
      </c>
    </row>
    <row r="25" spans="1:57" customFormat="1" x14ac:dyDescent="0.15">
      <c r="A25" s="183" t="s">
        <v>215</v>
      </c>
      <c r="B25" s="145">
        <v>0</v>
      </c>
      <c r="C25" s="145">
        <v>0</v>
      </c>
      <c r="D25" s="145">
        <v>0</v>
      </c>
      <c r="E25" s="145">
        <v>0</v>
      </c>
      <c r="F25" s="145">
        <v>0</v>
      </c>
      <c r="G25" s="145">
        <v>0</v>
      </c>
      <c r="H25" s="145">
        <v>0</v>
      </c>
      <c r="I25" s="145">
        <v>0</v>
      </c>
      <c r="J25" s="145">
        <v>0</v>
      </c>
      <c r="K25" s="145">
        <v>0</v>
      </c>
      <c r="L25" s="145">
        <v>0</v>
      </c>
      <c r="M25" s="145">
        <v>5.0000004285000359E-3</v>
      </c>
      <c r="N25" s="145">
        <v>0</v>
      </c>
      <c r="O25" s="145">
        <v>0</v>
      </c>
      <c r="P25" s="145">
        <v>0</v>
      </c>
      <c r="Q25" s="145">
        <v>0</v>
      </c>
      <c r="R25" s="145">
        <v>0</v>
      </c>
      <c r="S25" s="145">
        <v>9.9999999999999985E-3</v>
      </c>
      <c r="T25" s="145">
        <v>1.8000000231679993E-2</v>
      </c>
      <c r="U25" s="145">
        <v>0</v>
      </c>
      <c r="V25" s="145">
        <v>1.0002944006825424E-2</v>
      </c>
      <c r="W25" s="145">
        <v>4.9999978349500726E-3</v>
      </c>
      <c r="X25" s="145">
        <v>0</v>
      </c>
      <c r="Y25" s="145">
        <v>0</v>
      </c>
      <c r="Z25" s="145">
        <v>9.9969608097578359E-4</v>
      </c>
      <c r="AA25" s="145">
        <v>0</v>
      </c>
      <c r="AB25" s="145">
        <v>0</v>
      </c>
      <c r="AC25" s="145">
        <v>0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S25" s="145">
        <v>0</v>
      </c>
      <c r="AT25" s="145">
        <v>0</v>
      </c>
      <c r="AU25" s="145">
        <v>0</v>
      </c>
      <c r="AV25" s="145">
        <v>0</v>
      </c>
      <c r="AW25" s="145">
        <v>0</v>
      </c>
      <c r="AX25" s="145">
        <v>0</v>
      </c>
      <c r="AY25" s="145">
        <v>0</v>
      </c>
      <c r="AZ25" s="145">
        <v>0</v>
      </c>
      <c r="BA25" s="145">
        <v>0</v>
      </c>
      <c r="BB25" s="145">
        <v>0</v>
      </c>
      <c r="BC25" s="145">
        <v>0</v>
      </c>
      <c r="BD25" s="145">
        <v>0</v>
      </c>
      <c r="BE25" s="145">
        <v>0</v>
      </c>
    </row>
    <row r="26" spans="1:57" customFormat="1" x14ac:dyDescent="0.15">
      <c r="A26" s="183" t="s">
        <v>216</v>
      </c>
      <c r="B26" s="145">
        <v>0</v>
      </c>
      <c r="C26" s="145">
        <v>0</v>
      </c>
      <c r="D26" s="145">
        <v>0</v>
      </c>
      <c r="E26" s="145">
        <v>1.4000000000000002E-2</v>
      </c>
      <c r="F26" s="145">
        <v>0</v>
      </c>
      <c r="G26" s="145">
        <v>6.3512856085702687E-2</v>
      </c>
      <c r="H26" s="145">
        <v>0</v>
      </c>
      <c r="I26" s="145">
        <v>0</v>
      </c>
      <c r="J26" s="145">
        <v>0</v>
      </c>
      <c r="K26" s="145">
        <v>0</v>
      </c>
      <c r="L26" s="145">
        <v>0</v>
      </c>
      <c r="M26" s="145">
        <v>4.9999997584999775E-2</v>
      </c>
      <c r="N26" s="145">
        <v>0</v>
      </c>
      <c r="O26" s="145">
        <v>4.9651813708628187E-2</v>
      </c>
      <c r="P26" s="145">
        <v>0</v>
      </c>
      <c r="Q26" s="145">
        <v>0</v>
      </c>
      <c r="R26" s="145">
        <v>0</v>
      </c>
      <c r="S26" s="145">
        <v>4.9999999999999989E-2</v>
      </c>
      <c r="T26" s="145">
        <v>1.0000001117599949E-3</v>
      </c>
      <c r="U26" s="145">
        <v>1.5976390285338329E-2</v>
      </c>
      <c r="V26" s="145">
        <v>1.000050490697006E-2</v>
      </c>
      <c r="W26" s="145">
        <v>0</v>
      </c>
      <c r="X26" s="145">
        <v>0</v>
      </c>
      <c r="Y26" s="145">
        <v>2.300616563090269E-2</v>
      </c>
      <c r="Z26" s="145">
        <v>0</v>
      </c>
      <c r="AA26" s="145">
        <v>0</v>
      </c>
      <c r="AB26" s="145">
        <v>0</v>
      </c>
      <c r="AC26" s="145">
        <v>0</v>
      </c>
      <c r="AD26" s="145">
        <v>9.998239450096833E-4</v>
      </c>
      <c r="AE26" s="145">
        <v>0</v>
      </c>
      <c r="AF26" s="145">
        <v>0</v>
      </c>
      <c r="AG26" s="145">
        <v>0</v>
      </c>
      <c r="AH26" s="145">
        <v>0</v>
      </c>
      <c r="AI26" s="145">
        <v>0</v>
      </c>
      <c r="AJ26" s="145">
        <v>0</v>
      </c>
      <c r="AK26" s="145">
        <v>0</v>
      </c>
      <c r="AL26" s="145">
        <v>0</v>
      </c>
      <c r="AM26" s="145">
        <v>0</v>
      </c>
      <c r="AN26" s="145">
        <v>0</v>
      </c>
      <c r="AO26" s="145">
        <v>0</v>
      </c>
      <c r="AP26" s="145">
        <v>9.999999963000003E-2</v>
      </c>
      <c r="AQ26" s="145">
        <v>0</v>
      </c>
      <c r="AR26" s="145">
        <v>0</v>
      </c>
      <c r="AS26" s="145">
        <v>0</v>
      </c>
      <c r="AT26" s="145">
        <v>0</v>
      </c>
      <c r="AU26" s="145">
        <v>0</v>
      </c>
      <c r="AV26" s="145">
        <v>0</v>
      </c>
      <c r="AW26" s="145">
        <v>0</v>
      </c>
      <c r="AX26" s="145">
        <v>0</v>
      </c>
      <c r="AY26" s="145">
        <v>0</v>
      </c>
      <c r="AZ26" s="145">
        <v>0</v>
      </c>
      <c r="BA26" s="145">
        <v>0</v>
      </c>
      <c r="BB26" s="145">
        <v>0</v>
      </c>
      <c r="BC26" s="145">
        <v>0</v>
      </c>
      <c r="BD26" s="145">
        <v>0</v>
      </c>
      <c r="BE26" s="145">
        <v>0</v>
      </c>
    </row>
    <row r="27" spans="1:57" customFormat="1" x14ac:dyDescent="0.15">
      <c r="A27" s="183" t="s">
        <v>217</v>
      </c>
      <c r="B27" s="145">
        <v>0.12199999996223999</v>
      </c>
      <c r="C27" s="145">
        <v>0.1</v>
      </c>
      <c r="D27" s="145">
        <v>0</v>
      </c>
      <c r="E27" s="145">
        <v>4.4000000000000004E-2</v>
      </c>
      <c r="F27" s="145">
        <v>0</v>
      </c>
      <c r="G27" s="145">
        <v>3.1756432642851058E-2</v>
      </c>
      <c r="H27" s="145">
        <v>0</v>
      </c>
      <c r="I27" s="145">
        <v>0</v>
      </c>
      <c r="J27" s="145">
        <v>0</v>
      </c>
      <c r="K27" s="145">
        <v>0</v>
      </c>
      <c r="L27" s="145">
        <v>0</v>
      </c>
      <c r="M27" s="145">
        <v>2.0000001714000144E-2</v>
      </c>
      <c r="N27" s="145">
        <v>0</v>
      </c>
      <c r="O27" s="145">
        <v>0</v>
      </c>
      <c r="P27" s="145">
        <v>0</v>
      </c>
      <c r="Q27" s="145">
        <v>0</v>
      </c>
      <c r="R27" s="145">
        <v>0</v>
      </c>
      <c r="S27" s="145">
        <v>1.9999999999999997E-2</v>
      </c>
      <c r="T27" s="145">
        <v>1.2000000421119983E-2</v>
      </c>
      <c r="U27" s="145">
        <v>5.6804936414536159E-3</v>
      </c>
      <c r="V27" s="145">
        <v>0</v>
      </c>
      <c r="W27" s="145">
        <v>0</v>
      </c>
      <c r="X27" s="145">
        <v>0</v>
      </c>
      <c r="Y27" s="145">
        <v>2.000013034899055E-2</v>
      </c>
      <c r="Z27" s="145">
        <v>0</v>
      </c>
      <c r="AA27" s="145">
        <v>9.0045471760388969E-3</v>
      </c>
      <c r="AB27" s="145">
        <v>0</v>
      </c>
      <c r="AC27" s="145">
        <v>0</v>
      </c>
      <c r="AD27" s="145">
        <v>0</v>
      </c>
      <c r="AE27" s="145">
        <v>0</v>
      </c>
      <c r="AF27" s="145">
        <v>0</v>
      </c>
      <c r="AG27" s="145">
        <v>2.5986366674010736E-2</v>
      </c>
      <c r="AH27" s="145">
        <v>4.6000001616839925E-2</v>
      </c>
      <c r="AI27" s="145">
        <v>0</v>
      </c>
      <c r="AJ27" s="145">
        <v>0</v>
      </c>
      <c r="AK27" s="145">
        <v>0</v>
      </c>
      <c r="AL27" s="145">
        <v>0</v>
      </c>
      <c r="AM27" s="145">
        <v>0</v>
      </c>
      <c r="AN27" s="145">
        <v>0</v>
      </c>
      <c r="AO27" s="145">
        <v>0</v>
      </c>
      <c r="AP27" s="145">
        <v>0</v>
      </c>
      <c r="AQ27" s="145">
        <v>0</v>
      </c>
      <c r="AR27" s="145">
        <v>0</v>
      </c>
      <c r="AS27" s="145">
        <v>0</v>
      </c>
      <c r="AT27" s="145">
        <v>0</v>
      </c>
      <c r="AU27" s="145">
        <v>0</v>
      </c>
      <c r="AV27" s="145">
        <v>0</v>
      </c>
      <c r="AW27" s="145">
        <v>0</v>
      </c>
      <c r="AX27" s="145">
        <v>0</v>
      </c>
      <c r="AY27" s="145">
        <v>0</v>
      </c>
      <c r="AZ27" s="145">
        <v>0</v>
      </c>
      <c r="BA27" s="145">
        <v>0</v>
      </c>
      <c r="BB27" s="145">
        <v>0</v>
      </c>
      <c r="BC27" s="145">
        <v>0</v>
      </c>
      <c r="BD27" s="145">
        <v>0</v>
      </c>
      <c r="BE27" s="145">
        <v>0</v>
      </c>
    </row>
    <row r="28" spans="1:57" customFormat="1" x14ac:dyDescent="0.15">
      <c r="A28" s="183" t="s">
        <v>218</v>
      </c>
      <c r="B28" s="145">
        <v>0.12199999996223999</v>
      </c>
      <c r="C28" s="145">
        <v>0.1</v>
      </c>
      <c r="D28" s="145">
        <v>0</v>
      </c>
      <c r="E28" s="145">
        <v>0.19300000000000003</v>
      </c>
      <c r="F28" s="145">
        <v>0</v>
      </c>
      <c r="G28" s="145">
        <v>3.1756432642851058E-2</v>
      </c>
      <c r="H28" s="145">
        <v>0</v>
      </c>
      <c r="I28" s="145">
        <v>0</v>
      </c>
      <c r="J28" s="145">
        <v>0</v>
      </c>
      <c r="K28" s="145">
        <v>0</v>
      </c>
      <c r="L28" s="145">
        <v>0</v>
      </c>
      <c r="M28" s="145">
        <v>7.0000005999000497E-2</v>
      </c>
      <c r="N28" s="145">
        <v>2.5631825769457089E-2</v>
      </c>
      <c r="O28" s="145">
        <v>0</v>
      </c>
      <c r="P28" s="145">
        <v>0</v>
      </c>
      <c r="Q28" s="145">
        <v>0.11099999999999997</v>
      </c>
      <c r="R28" s="145">
        <v>0.41299999999999998</v>
      </c>
      <c r="S28" s="145">
        <v>0.18599999999999997</v>
      </c>
      <c r="T28" s="145">
        <v>0.12900000177703994</v>
      </c>
      <c r="U28" s="145">
        <v>1.1005957796566405E-2</v>
      </c>
      <c r="V28" s="145">
        <v>1.000050490697006E-2</v>
      </c>
      <c r="W28" s="145">
        <v>0</v>
      </c>
      <c r="X28" s="145">
        <v>0</v>
      </c>
      <c r="Y28" s="145">
        <v>2.000013034899055E-2</v>
      </c>
      <c r="Z28" s="145">
        <v>0</v>
      </c>
      <c r="AA28" s="145">
        <v>0.25712988302688922</v>
      </c>
      <c r="AB28" s="145">
        <v>2.0006453031416602E-2</v>
      </c>
      <c r="AC28" s="145">
        <v>0.02</v>
      </c>
      <c r="AD28" s="145">
        <v>0</v>
      </c>
      <c r="AE28" s="145">
        <v>0</v>
      </c>
      <c r="AF28" s="145">
        <v>0</v>
      </c>
      <c r="AG28" s="145">
        <v>0.13392973819682447</v>
      </c>
      <c r="AH28" s="145">
        <v>0.17400000174195995</v>
      </c>
      <c r="AI28" s="145">
        <v>0</v>
      </c>
      <c r="AJ28" s="145">
        <v>0</v>
      </c>
      <c r="AK28" s="145">
        <v>9.9999997390000251E-3</v>
      </c>
      <c r="AL28" s="145">
        <v>0</v>
      </c>
      <c r="AM28" s="145">
        <v>0</v>
      </c>
      <c r="AN28" s="145">
        <v>0</v>
      </c>
      <c r="AO28" s="145">
        <v>0.09</v>
      </c>
      <c r="AP28" s="145">
        <v>0.19999999926000006</v>
      </c>
      <c r="AQ28" s="145">
        <v>0</v>
      </c>
      <c r="AR28" s="145">
        <v>0</v>
      </c>
      <c r="AS28" s="145">
        <v>0</v>
      </c>
      <c r="AT28" s="145">
        <v>0</v>
      </c>
      <c r="AU28" s="145">
        <v>0</v>
      </c>
      <c r="AV28" s="145">
        <v>0</v>
      </c>
      <c r="AW28" s="145">
        <v>0</v>
      </c>
      <c r="AX28" s="145">
        <v>0</v>
      </c>
      <c r="AY28" s="145">
        <v>0</v>
      </c>
      <c r="AZ28" s="145">
        <v>0</v>
      </c>
      <c r="BA28" s="145">
        <v>0</v>
      </c>
      <c r="BB28" s="145">
        <v>0</v>
      </c>
      <c r="BC28" s="145">
        <v>0</v>
      </c>
      <c r="BD28" s="145">
        <v>0</v>
      </c>
      <c r="BE28" s="145">
        <v>0</v>
      </c>
    </row>
    <row r="29" spans="1:57" customFormat="1" x14ac:dyDescent="0.15">
      <c r="A29" s="183" t="s">
        <v>219</v>
      </c>
      <c r="B29" s="145">
        <v>0</v>
      </c>
      <c r="C29" s="145">
        <v>0</v>
      </c>
      <c r="D29" s="145">
        <v>0</v>
      </c>
      <c r="E29" s="145">
        <v>0</v>
      </c>
      <c r="F29" s="145">
        <v>2.2472884665093298E-2</v>
      </c>
      <c r="G29" s="145">
        <v>2.0011960266662892E-2</v>
      </c>
      <c r="H29" s="145">
        <v>0</v>
      </c>
      <c r="I29" s="145">
        <v>0</v>
      </c>
      <c r="J29" s="145">
        <v>0</v>
      </c>
      <c r="K29" s="145">
        <v>0</v>
      </c>
      <c r="L29" s="145">
        <v>0</v>
      </c>
      <c r="M29" s="145">
        <v>4.9999997584999775E-2</v>
      </c>
      <c r="N29" s="145">
        <v>0</v>
      </c>
      <c r="O29" s="145">
        <v>0</v>
      </c>
      <c r="P29" s="145">
        <v>0</v>
      </c>
      <c r="Q29" s="145">
        <v>0</v>
      </c>
      <c r="R29" s="145">
        <v>0</v>
      </c>
      <c r="S29" s="145">
        <v>0</v>
      </c>
      <c r="T29" s="145">
        <v>0</v>
      </c>
      <c r="U29" s="145">
        <v>0</v>
      </c>
      <c r="V29" s="145">
        <v>0</v>
      </c>
      <c r="W29" s="145">
        <v>0</v>
      </c>
      <c r="X29" s="145">
        <v>0</v>
      </c>
      <c r="Y29" s="145">
        <v>1.000098927442823E-2</v>
      </c>
      <c r="Z29" s="145">
        <v>0</v>
      </c>
      <c r="AA29" s="145">
        <v>8.0000401564007863E-3</v>
      </c>
      <c r="AB29" s="145">
        <v>0</v>
      </c>
      <c r="AC29" s="145">
        <v>0</v>
      </c>
      <c r="AD29" s="145">
        <v>0</v>
      </c>
      <c r="AE29" s="145">
        <v>0</v>
      </c>
      <c r="AF29" s="145">
        <v>0</v>
      </c>
      <c r="AG29" s="145">
        <v>0</v>
      </c>
      <c r="AH29" s="145">
        <v>2.9999999776200013E-2</v>
      </c>
      <c r="AI29" s="145">
        <v>0</v>
      </c>
      <c r="AJ29" s="145">
        <v>0</v>
      </c>
      <c r="AK29" s="145">
        <v>0</v>
      </c>
      <c r="AL29" s="145">
        <v>0</v>
      </c>
      <c r="AM29" s="145">
        <v>0</v>
      </c>
      <c r="AN29" s="145">
        <v>0</v>
      </c>
      <c r="AO29" s="145">
        <v>0</v>
      </c>
      <c r="AP29" s="145">
        <v>0</v>
      </c>
      <c r="AQ29" s="145">
        <v>0</v>
      </c>
      <c r="AR29" s="145">
        <v>0</v>
      </c>
      <c r="AS29" s="145">
        <v>0</v>
      </c>
      <c r="AT29" s="145">
        <v>0</v>
      </c>
      <c r="AU29" s="145">
        <v>0</v>
      </c>
      <c r="AV29" s="145">
        <v>0</v>
      </c>
      <c r="AW29" s="145">
        <v>0</v>
      </c>
      <c r="AX29" s="145">
        <v>0</v>
      </c>
      <c r="AY29" s="145">
        <v>0</v>
      </c>
      <c r="AZ29" s="145">
        <v>0</v>
      </c>
      <c r="BA29" s="145">
        <v>0</v>
      </c>
      <c r="BB29" s="145">
        <v>0</v>
      </c>
      <c r="BC29" s="145">
        <v>0</v>
      </c>
      <c r="BD29" s="145">
        <v>0</v>
      </c>
      <c r="BE29" s="145">
        <v>0</v>
      </c>
    </row>
    <row r="30" spans="1:57" customFormat="1" x14ac:dyDescent="0.15">
      <c r="A30" s="183" t="s">
        <v>220</v>
      </c>
      <c r="B30" s="145">
        <v>0</v>
      </c>
      <c r="C30" s="145">
        <v>0</v>
      </c>
      <c r="D30" s="145">
        <v>0</v>
      </c>
      <c r="E30" s="145">
        <v>0</v>
      </c>
      <c r="F30" s="145">
        <v>0</v>
      </c>
      <c r="G30" s="145">
        <v>2.0011960266662892E-2</v>
      </c>
      <c r="H30" s="145">
        <v>0</v>
      </c>
      <c r="I30" s="145">
        <v>0</v>
      </c>
      <c r="J30" s="145">
        <v>0</v>
      </c>
      <c r="K30" s="145">
        <v>0</v>
      </c>
      <c r="L30" s="145">
        <v>0</v>
      </c>
      <c r="M30" s="145">
        <v>4.9999997584999775E-2</v>
      </c>
      <c r="N30" s="145">
        <v>0</v>
      </c>
      <c r="O30" s="145">
        <v>0</v>
      </c>
      <c r="P30" s="145">
        <v>0</v>
      </c>
      <c r="Q30" s="145">
        <v>0</v>
      </c>
      <c r="R30" s="145">
        <v>0</v>
      </c>
      <c r="S30" s="145">
        <v>2.9999999999999992E-2</v>
      </c>
      <c r="T30" s="145">
        <v>3.7000002415119894E-2</v>
      </c>
      <c r="U30" s="145">
        <v>0</v>
      </c>
      <c r="V30" s="145">
        <v>0</v>
      </c>
      <c r="W30" s="145">
        <v>0</v>
      </c>
      <c r="X30" s="145">
        <v>0</v>
      </c>
      <c r="Y30" s="145">
        <v>2.000013034899055E-2</v>
      </c>
      <c r="Z30" s="145">
        <v>0</v>
      </c>
      <c r="AA30" s="145">
        <v>3.9019708362835304E-2</v>
      </c>
      <c r="AB30" s="145">
        <v>3.0009666547125271E-3</v>
      </c>
      <c r="AC30" s="145">
        <v>0</v>
      </c>
      <c r="AD30" s="145">
        <v>1.9988904500610253E-2</v>
      </c>
      <c r="AE30" s="145">
        <v>0</v>
      </c>
      <c r="AF30" s="145">
        <v>0</v>
      </c>
      <c r="AG30" s="145">
        <v>2.1988463547239878E-2</v>
      </c>
      <c r="AH30" s="145">
        <v>0.11900000435225981</v>
      </c>
      <c r="AI30" s="145">
        <v>0</v>
      </c>
      <c r="AJ30" s="145">
        <v>0</v>
      </c>
      <c r="AK30" s="145">
        <v>0</v>
      </c>
      <c r="AL30" s="145">
        <v>0</v>
      </c>
      <c r="AM30" s="145">
        <v>0</v>
      </c>
      <c r="AN30" s="145">
        <v>0</v>
      </c>
      <c r="AO30" s="145">
        <v>0.03</v>
      </c>
      <c r="AP30" s="145">
        <v>9.999999963000003E-2</v>
      </c>
      <c r="AQ30" s="145">
        <v>0</v>
      </c>
      <c r="AR30" s="145">
        <v>0</v>
      </c>
      <c r="AS30" s="145">
        <v>0</v>
      </c>
      <c r="AT30" s="145">
        <v>0</v>
      </c>
      <c r="AU30" s="145">
        <v>0</v>
      </c>
      <c r="AV30" s="145">
        <v>0</v>
      </c>
      <c r="AW30" s="145">
        <v>0</v>
      </c>
      <c r="AX30" s="145">
        <v>0</v>
      </c>
      <c r="AY30" s="145">
        <v>0</v>
      </c>
      <c r="AZ30" s="145">
        <v>0</v>
      </c>
      <c r="BA30" s="145">
        <v>0</v>
      </c>
      <c r="BB30" s="145">
        <v>0</v>
      </c>
      <c r="BC30" s="145">
        <v>0</v>
      </c>
      <c r="BD30" s="145">
        <v>0</v>
      </c>
      <c r="BE30" s="145">
        <v>0</v>
      </c>
    </row>
    <row r="31" spans="1:57" customFormat="1" x14ac:dyDescent="0.15">
      <c r="A31" s="183" t="s">
        <v>221</v>
      </c>
      <c r="B31" s="145">
        <v>0</v>
      </c>
      <c r="C31" s="145">
        <v>0.04</v>
      </c>
      <c r="D31" s="145">
        <v>0</v>
      </c>
      <c r="E31" s="145">
        <v>1.4000000000000002E-2</v>
      </c>
      <c r="F31" s="145">
        <v>0.27612362168325633</v>
      </c>
      <c r="G31" s="145">
        <v>9.0053828449982554E-2</v>
      </c>
      <c r="H31" s="145">
        <v>0</v>
      </c>
      <c r="I31" s="145">
        <v>0</v>
      </c>
      <c r="J31" s="145">
        <v>0</v>
      </c>
      <c r="K31" s="145">
        <v>0</v>
      </c>
      <c r="L31" s="145">
        <v>0</v>
      </c>
      <c r="M31" s="145">
        <v>0</v>
      </c>
      <c r="N31" s="145">
        <v>0</v>
      </c>
      <c r="O31" s="145">
        <v>0.14186232059608042</v>
      </c>
      <c r="P31" s="145">
        <v>0</v>
      </c>
      <c r="Q31" s="145">
        <v>0.21999999999999995</v>
      </c>
      <c r="R31" s="145">
        <v>5.3999999999999999E-2</v>
      </c>
      <c r="S31" s="145">
        <v>2.5999999999999992E-2</v>
      </c>
      <c r="T31" s="145">
        <v>0.1670000029439199</v>
      </c>
      <c r="U31" s="145">
        <v>0</v>
      </c>
      <c r="V31" s="145">
        <v>3.000883212047626E-2</v>
      </c>
      <c r="W31" s="145">
        <v>7.9991442259482501E-2</v>
      </c>
      <c r="X31" s="145">
        <v>0</v>
      </c>
      <c r="Y31" s="145">
        <v>0.21812619217494481</v>
      </c>
      <c r="Z31" s="145">
        <v>7.7425985026583505E-3</v>
      </c>
      <c r="AA31" s="145">
        <v>0.10005051095598749</v>
      </c>
      <c r="AB31" s="145">
        <v>0</v>
      </c>
      <c r="AC31" s="145">
        <v>0</v>
      </c>
      <c r="AD31" s="145">
        <v>0</v>
      </c>
      <c r="AE31" s="145">
        <v>0</v>
      </c>
      <c r="AF31" s="145">
        <v>0</v>
      </c>
      <c r="AG31" s="145">
        <v>0</v>
      </c>
      <c r="AH31" s="145">
        <v>4.799999772192011E-2</v>
      </c>
      <c r="AI31" s="145">
        <v>0</v>
      </c>
      <c r="AJ31" s="145">
        <v>0</v>
      </c>
      <c r="AK31" s="145">
        <v>0</v>
      </c>
      <c r="AL31" s="145">
        <v>0</v>
      </c>
      <c r="AM31" s="145">
        <v>0</v>
      </c>
      <c r="AN31" s="145">
        <v>0</v>
      </c>
      <c r="AO31" s="145">
        <v>0</v>
      </c>
      <c r="AP31" s="145">
        <v>0</v>
      </c>
      <c r="AQ31" s="145">
        <v>0</v>
      </c>
      <c r="AR31" s="145">
        <v>0</v>
      </c>
      <c r="AS31" s="145">
        <v>0</v>
      </c>
      <c r="AT31" s="145">
        <v>0</v>
      </c>
      <c r="AU31" s="145">
        <v>0</v>
      </c>
      <c r="AV31" s="145">
        <v>0</v>
      </c>
      <c r="AW31" s="145">
        <v>0</v>
      </c>
      <c r="AX31" s="145">
        <v>0</v>
      </c>
      <c r="AY31" s="145">
        <v>0</v>
      </c>
      <c r="AZ31" s="145">
        <v>0</v>
      </c>
      <c r="BA31" s="145">
        <v>0</v>
      </c>
      <c r="BB31" s="145">
        <v>0</v>
      </c>
      <c r="BC31" s="145">
        <v>0</v>
      </c>
      <c r="BD31" s="145">
        <v>0</v>
      </c>
      <c r="BE31" s="145">
        <v>0</v>
      </c>
    </row>
    <row r="32" spans="1:57" customFormat="1" x14ac:dyDescent="0.15">
      <c r="A32" s="183" t="s">
        <v>222</v>
      </c>
      <c r="B32" s="145">
        <v>0</v>
      </c>
      <c r="C32" s="145">
        <v>0</v>
      </c>
      <c r="D32" s="145">
        <v>0</v>
      </c>
      <c r="E32" s="145">
        <v>0.24300000000000002</v>
      </c>
      <c r="F32" s="145">
        <v>0</v>
      </c>
      <c r="G32" s="145">
        <v>0</v>
      </c>
      <c r="H32" s="145">
        <v>0</v>
      </c>
      <c r="I32" s="145">
        <v>0</v>
      </c>
      <c r="J32" s="145">
        <v>0</v>
      </c>
      <c r="K32" s="145">
        <v>0</v>
      </c>
      <c r="L32" s="145">
        <v>0</v>
      </c>
      <c r="M32" s="145">
        <v>5.4999997013499731E-2</v>
      </c>
      <c r="N32" s="145">
        <v>0</v>
      </c>
      <c r="O32" s="145">
        <v>0</v>
      </c>
      <c r="P32" s="145">
        <v>0</v>
      </c>
      <c r="Q32" s="145">
        <v>6.0999999999999985E-2</v>
      </c>
      <c r="R32" s="145">
        <v>0.19500000000000001</v>
      </c>
      <c r="S32" s="145">
        <v>2.8999999999999995E-2</v>
      </c>
      <c r="T32" s="145">
        <v>5.4499999770920023E-2</v>
      </c>
      <c r="U32" s="145">
        <v>0</v>
      </c>
      <c r="V32" s="145">
        <v>1.5004416010238133E-2</v>
      </c>
      <c r="W32" s="145">
        <v>4.9989441649848539E-2</v>
      </c>
      <c r="X32" s="145">
        <v>0</v>
      </c>
      <c r="Y32" s="145">
        <v>1.000098927442823E-2</v>
      </c>
      <c r="Z32" s="145">
        <v>0</v>
      </c>
      <c r="AA32" s="145">
        <v>9.6548741887527906E-2</v>
      </c>
      <c r="AB32" s="145">
        <v>4.9515958592756447E-2</v>
      </c>
      <c r="AC32" s="145">
        <v>0</v>
      </c>
      <c r="AD32" s="145">
        <v>0</v>
      </c>
      <c r="AE32" s="145">
        <v>0</v>
      </c>
      <c r="AF32" s="145">
        <v>0</v>
      </c>
      <c r="AG32" s="145">
        <v>6.8963822711797573E-2</v>
      </c>
      <c r="AH32" s="145">
        <v>8.8000005823519731E-2</v>
      </c>
      <c r="AI32" s="145">
        <v>0</v>
      </c>
      <c r="AJ32" s="145">
        <v>0</v>
      </c>
      <c r="AK32" s="145">
        <v>0</v>
      </c>
      <c r="AL32" s="145">
        <v>0</v>
      </c>
      <c r="AM32" s="145">
        <v>0</v>
      </c>
      <c r="AN32" s="145">
        <v>0</v>
      </c>
      <c r="AO32" s="145">
        <v>0.01</v>
      </c>
      <c r="AP32" s="145">
        <v>2.4999999857500014E-2</v>
      </c>
      <c r="AQ32" s="145">
        <v>0</v>
      </c>
      <c r="AR32" s="145">
        <v>0</v>
      </c>
      <c r="AS32" s="145">
        <v>0</v>
      </c>
      <c r="AT32" s="145">
        <v>0</v>
      </c>
      <c r="AU32" s="145">
        <v>0</v>
      </c>
      <c r="AV32" s="145">
        <v>0</v>
      </c>
      <c r="AW32" s="145">
        <v>0</v>
      </c>
      <c r="AX32" s="145">
        <v>0</v>
      </c>
      <c r="AY32" s="145">
        <v>0</v>
      </c>
      <c r="AZ32" s="145">
        <v>0</v>
      </c>
      <c r="BA32" s="145">
        <v>0</v>
      </c>
      <c r="BB32" s="145">
        <v>0</v>
      </c>
      <c r="BC32" s="145">
        <v>0</v>
      </c>
      <c r="BD32" s="145">
        <v>0</v>
      </c>
      <c r="BE32" s="145">
        <v>0</v>
      </c>
    </row>
    <row r="33" spans="1:57" customFormat="1" x14ac:dyDescent="0.15">
      <c r="A33" s="183" t="s">
        <v>223</v>
      </c>
      <c r="B33" s="145">
        <v>0</v>
      </c>
      <c r="C33" s="145">
        <v>0</v>
      </c>
      <c r="D33" s="145">
        <v>0</v>
      </c>
      <c r="E33" s="145">
        <v>0</v>
      </c>
      <c r="F33" s="145">
        <v>0</v>
      </c>
      <c r="G33" s="145">
        <v>2.0011960266662892E-2</v>
      </c>
      <c r="H33" s="145">
        <v>0</v>
      </c>
      <c r="I33" s="145">
        <v>0</v>
      </c>
      <c r="J33" s="145">
        <v>0</v>
      </c>
      <c r="K33" s="145">
        <v>0</v>
      </c>
      <c r="L33" s="145">
        <v>0</v>
      </c>
      <c r="M33" s="145">
        <v>4.9999997584999775E-2</v>
      </c>
      <c r="N33" s="145">
        <v>0</v>
      </c>
      <c r="O33" s="145">
        <v>0</v>
      </c>
      <c r="P33" s="145">
        <v>0</v>
      </c>
      <c r="Q33" s="145">
        <v>9.999999999999998E-4</v>
      </c>
      <c r="R33" s="145">
        <v>0</v>
      </c>
      <c r="S33" s="145">
        <v>0</v>
      </c>
      <c r="T33" s="145">
        <v>1.0000001117599949E-3</v>
      </c>
      <c r="U33" s="145">
        <v>0</v>
      </c>
      <c r="V33" s="145">
        <v>1.000050490697006E-2</v>
      </c>
      <c r="W33" s="145">
        <v>0</v>
      </c>
      <c r="X33" s="145">
        <v>0</v>
      </c>
      <c r="Y33" s="145">
        <v>1.0000065174495275E-2</v>
      </c>
      <c r="Z33" s="145">
        <v>0</v>
      </c>
      <c r="AA33" s="145">
        <v>2.0010106191197577E-3</v>
      </c>
      <c r="AB33" s="145">
        <v>0</v>
      </c>
      <c r="AC33" s="145">
        <v>0</v>
      </c>
      <c r="AD33" s="145">
        <v>0</v>
      </c>
      <c r="AE33" s="145">
        <v>0</v>
      </c>
      <c r="AF33" s="145">
        <v>0</v>
      </c>
      <c r="AG33" s="145">
        <v>0</v>
      </c>
      <c r="AH33" s="145">
        <v>0</v>
      </c>
      <c r="AI33" s="145">
        <v>0</v>
      </c>
      <c r="AJ33" s="145">
        <v>0</v>
      </c>
      <c r="AK33" s="145">
        <v>0</v>
      </c>
      <c r="AL33" s="145">
        <v>0</v>
      </c>
      <c r="AM33" s="145">
        <v>0</v>
      </c>
      <c r="AN33" s="145">
        <v>0</v>
      </c>
      <c r="AO33" s="145">
        <v>0</v>
      </c>
      <c r="AP33" s="145">
        <v>0</v>
      </c>
      <c r="AQ33" s="145">
        <v>0</v>
      </c>
      <c r="AR33" s="145">
        <v>0</v>
      </c>
      <c r="AS33" s="145">
        <v>0</v>
      </c>
      <c r="AT33" s="145">
        <v>0</v>
      </c>
      <c r="AU33" s="145">
        <v>0</v>
      </c>
      <c r="AV33" s="145">
        <v>0</v>
      </c>
      <c r="AW33" s="145">
        <v>0</v>
      </c>
      <c r="AX33" s="145">
        <v>0</v>
      </c>
      <c r="AY33" s="145">
        <v>0</v>
      </c>
      <c r="AZ33" s="145">
        <v>0</v>
      </c>
      <c r="BA33" s="145">
        <v>0</v>
      </c>
      <c r="BB33" s="145">
        <v>0</v>
      </c>
      <c r="BC33" s="145">
        <v>0</v>
      </c>
      <c r="BD33" s="145">
        <v>0</v>
      </c>
      <c r="BE33" s="145">
        <v>0</v>
      </c>
    </row>
    <row r="34" spans="1:57" customFormat="1" x14ac:dyDescent="0.15">
      <c r="A34" s="183" t="s">
        <v>224</v>
      </c>
      <c r="B34" s="145">
        <v>0</v>
      </c>
      <c r="C34" s="145">
        <v>0</v>
      </c>
      <c r="D34" s="145">
        <v>0</v>
      </c>
      <c r="E34" s="145">
        <v>0</v>
      </c>
      <c r="F34" s="145">
        <v>0</v>
      </c>
      <c r="G34" s="145">
        <v>1.0000171483689431E-2</v>
      </c>
      <c r="H34" s="145">
        <v>0</v>
      </c>
      <c r="I34" s="145">
        <v>0</v>
      </c>
      <c r="J34" s="145">
        <v>0</v>
      </c>
      <c r="K34" s="145">
        <v>0</v>
      </c>
      <c r="L34" s="145">
        <v>0</v>
      </c>
      <c r="M34" s="145">
        <v>4.9999997584999775E-2</v>
      </c>
      <c r="N34" s="145">
        <v>2.5631825769457089E-2</v>
      </c>
      <c r="O34" s="145">
        <v>1.0001293583023671E-2</v>
      </c>
      <c r="P34" s="145">
        <v>0</v>
      </c>
      <c r="Q34" s="145">
        <v>0</v>
      </c>
      <c r="R34" s="145">
        <v>0</v>
      </c>
      <c r="S34" s="145">
        <v>6.8999999999999992E-2</v>
      </c>
      <c r="T34" s="145">
        <v>1.000000021759999E-2</v>
      </c>
      <c r="U34" s="145">
        <v>1.0650925490225529E-2</v>
      </c>
      <c r="V34" s="145">
        <v>0</v>
      </c>
      <c r="W34" s="145">
        <v>0</v>
      </c>
      <c r="X34" s="145">
        <v>0</v>
      </c>
      <c r="Y34" s="145">
        <v>0</v>
      </c>
      <c r="Z34" s="145">
        <v>0</v>
      </c>
      <c r="AA34" s="145">
        <v>1.4007071273838243E-2</v>
      </c>
      <c r="AB34" s="145">
        <v>0</v>
      </c>
      <c r="AC34" s="145">
        <v>0</v>
      </c>
      <c r="AD34" s="145">
        <v>0</v>
      </c>
      <c r="AE34" s="145">
        <v>0</v>
      </c>
      <c r="AF34" s="145">
        <v>0</v>
      </c>
      <c r="AG34" s="145">
        <v>0</v>
      </c>
      <c r="AH34" s="145">
        <v>0</v>
      </c>
      <c r="AI34" s="145">
        <v>0</v>
      </c>
      <c r="AJ34" s="145">
        <v>0</v>
      </c>
      <c r="AK34" s="145">
        <v>0</v>
      </c>
      <c r="AL34" s="145">
        <v>0</v>
      </c>
      <c r="AM34" s="145">
        <v>0</v>
      </c>
      <c r="AN34" s="145">
        <v>0</v>
      </c>
      <c r="AO34" s="145">
        <v>0</v>
      </c>
      <c r="AP34" s="145">
        <v>0</v>
      </c>
      <c r="AQ34" s="145">
        <v>0</v>
      </c>
      <c r="AR34" s="145">
        <v>0</v>
      </c>
      <c r="AS34" s="145">
        <v>0</v>
      </c>
      <c r="AT34" s="145">
        <v>0</v>
      </c>
      <c r="AU34" s="145">
        <v>0</v>
      </c>
      <c r="AV34" s="145">
        <v>0</v>
      </c>
      <c r="AW34" s="145">
        <v>0</v>
      </c>
      <c r="AX34" s="145">
        <v>0</v>
      </c>
      <c r="AY34" s="145">
        <v>0</v>
      </c>
      <c r="AZ34" s="145">
        <v>0</v>
      </c>
      <c r="BA34" s="145">
        <v>0</v>
      </c>
      <c r="BB34" s="145">
        <v>0</v>
      </c>
      <c r="BC34" s="145">
        <v>0</v>
      </c>
      <c r="BD34" s="145">
        <v>0</v>
      </c>
      <c r="BE34" s="145">
        <v>0</v>
      </c>
    </row>
    <row r="35" spans="1:57" customFormat="1" x14ac:dyDescent="0.15">
      <c r="A35" s="183" t="s">
        <v>225</v>
      </c>
      <c r="B35" s="145">
        <v>0.25999998073920139</v>
      </c>
      <c r="C35" s="145">
        <v>0.63900000000000001</v>
      </c>
      <c r="D35" s="145">
        <v>0.59</v>
      </c>
      <c r="E35" s="145">
        <v>8.0000000000000016E-2</v>
      </c>
      <c r="F35" s="145">
        <v>0.15006719841481225</v>
      </c>
      <c r="G35" s="145">
        <v>0.15004920075246775</v>
      </c>
      <c r="H35" s="145">
        <v>9.0000000000000011E-2</v>
      </c>
      <c r="I35" s="145">
        <v>3.9980475066718583E-2</v>
      </c>
      <c r="J35" s="145">
        <v>0</v>
      </c>
      <c r="K35" s="145">
        <v>0</v>
      </c>
      <c r="L35" s="145">
        <v>0</v>
      </c>
      <c r="M35" s="145">
        <v>0.23000000871100068</v>
      </c>
      <c r="N35" s="145">
        <v>0.65361152492115659</v>
      </c>
      <c r="O35" s="145">
        <v>0.26244530480274902</v>
      </c>
      <c r="P35" s="145">
        <v>0</v>
      </c>
      <c r="Q35" s="145">
        <v>6.0999999999999985E-2</v>
      </c>
      <c r="R35" s="145">
        <v>0.19500000000000001</v>
      </c>
      <c r="S35" s="145">
        <v>2.8999999999999995E-2</v>
      </c>
      <c r="T35" s="145">
        <v>5.4499999770920023E-2</v>
      </c>
      <c r="U35" s="145">
        <v>7.9886941426780766E-2</v>
      </c>
      <c r="V35" s="145">
        <v>0.43812895201895324</v>
      </c>
      <c r="W35" s="145">
        <v>0.2159921308700998</v>
      </c>
      <c r="X35" s="145">
        <v>0</v>
      </c>
      <c r="Y35" s="145">
        <v>6.9018500492707802E-2</v>
      </c>
      <c r="Z35" s="145">
        <v>5.8154663793316748E-2</v>
      </c>
      <c r="AA35" s="145">
        <v>0.11705910228850545</v>
      </c>
      <c r="AB35" s="145">
        <v>2.998632914778852E-2</v>
      </c>
      <c r="AC35" s="145">
        <v>0</v>
      </c>
      <c r="AD35" s="145">
        <v>3.683997487380139E-2</v>
      </c>
      <c r="AE35" s="145">
        <v>9.9971898685887295E-2</v>
      </c>
      <c r="AF35" s="145">
        <v>0</v>
      </c>
      <c r="AG35" s="145">
        <v>6.8963822711797573E-2</v>
      </c>
      <c r="AH35" s="145">
        <v>0.17999999145720041</v>
      </c>
      <c r="AI35" s="145">
        <v>9.9972238829936465E-3</v>
      </c>
      <c r="AJ35" s="145">
        <v>0</v>
      </c>
      <c r="AK35" s="145">
        <v>3.99999989560001E-2</v>
      </c>
      <c r="AL35" s="145">
        <v>0</v>
      </c>
      <c r="AM35" s="145">
        <v>0</v>
      </c>
      <c r="AN35" s="145">
        <v>0</v>
      </c>
      <c r="AO35" s="145">
        <v>0.01</v>
      </c>
      <c r="AP35" s="145">
        <v>2.4999999857500014E-2</v>
      </c>
      <c r="AQ35" s="145">
        <v>0</v>
      </c>
      <c r="AR35" s="145">
        <v>0</v>
      </c>
      <c r="AS35" s="145">
        <v>0</v>
      </c>
      <c r="AT35" s="145">
        <v>0</v>
      </c>
      <c r="AU35" s="145">
        <v>0</v>
      </c>
      <c r="AV35" s="145">
        <v>0</v>
      </c>
      <c r="AW35" s="145">
        <v>0</v>
      </c>
      <c r="AX35" s="145">
        <v>0</v>
      </c>
      <c r="AY35" s="145">
        <v>0</v>
      </c>
      <c r="AZ35" s="145">
        <v>0</v>
      </c>
      <c r="BA35" s="145">
        <v>0</v>
      </c>
      <c r="BB35" s="145">
        <v>0</v>
      </c>
      <c r="BC35" s="145">
        <v>0</v>
      </c>
      <c r="BD35" s="145">
        <v>0</v>
      </c>
      <c r="BE35" s="145">
        <v>0</v>
      </c>
    </row>
    <row r="36" spans="1:57" customFormat="1" x14ac:dyDescent="0.15">
      <c r="A36" s="183" t="s">
        <v>226</v>
      </c>
      <c r="B36" s="145">
        <v>0</v>
      </c>
      <c r="C36" s="145">
        <v>0</v>
      </c>
      <c r="D36" s="145">
        <v>0</v>
      </c>
      <c r="E36" s="145">
        <v>3.0000000000000005E-3</v>
      </c>
      <c r="F36" s="145">
        <v>0</v>
      </c>
      <c r="G36" s="145">
        <v>6.001979630097995E-2</v>
      </c>
      <c r="H36" s="145">
        <v>0</v>
      </c>
      <c r="I36" s="145">
        <v>0</v>
      </c>
      <c r="J36" s="145">
        <v>0</v>
      </c>
      <c r="K36" s="145">
        <v>0</v>
      </c>
      <c r="L36" s="145">
        <v>0</v>
      </c>
      <c r="M36" s="145">
        <v>0</v>
      </c>
      <c r="N36" s="145">
        <v>0</v>
      </c>
      <c r="O36" s="145">
        <v>0</v>
      </c>
      <c r="P36" s="145">
        <v>0</v>
      </c>
      <c r="Q36" s="145">
        <v>0.19299999999999995</v>
      </c>
      <c r="R36" s="145">
        <v>3.2000000000000001E-2</v>
      </c>
      <c r="S36" s="145">
        <v>0</v>
      </c>
      <c r="T36" s="145">
        <v>0.21099998982136053</v>
      </c>
      <c r="U36" s="145">
        <v>0</v>
      </c>
      <c r="V36" s="145">
        <v>0</v>
      </c>
      <c r="W36" s="145">
        <v>0</v>
      </c>
      <c r="X36" s="145">
        <v>0</v>
      </c>
      <c r="Y36" s="145">
        <v>0.15008765811114044</v>
      </c>
      <c r="Z36" s="145">
        <v>0</v>
      </c>
      <c r="AA36" s="145">
        <v>8.0040431564790456E-3</v>
      </c>
      <c r="AB36" s="145">
        <v>0</v>
      </c>
      <c r="AC36" s="145">
        <v>0</v>
      </c>
      <c r="AD36" s="145">
        <v>0</v>
      </c>
      <c r="AE36" s="145">
        <v>0</v>
      </c>
      <c r="AF36" s="145">
        <v>0</v>
      </c>
      <c r="AG36" s="145">
        <v>0</v>
      </c>
      <c r="AH36" s="145">
        <v>1.200000043047998E-2</v>
      </c>
      <c r="AI36" s="145">
        <v>0</v>
      </c>
      <c r="AJ36" s="145">
        <v>0</v>
      </c>
      <c r="AK36" s="145">
        <v>0</v>
      </c>
      <c r="AL36" s="145">
        <v>0</v>
      </c>
      <c r="AM36" s="145">
        <v>0</v>
      </c>
      <c r="AN36" s="145">
        <v>0</v>
      </c>
      <c r="AO36" s="145">
        <v>0</v>
      </c>
      <c r="AP36" s="145">
        <v>0</v>
      </c>
      <c r="AQ36" s="145">
        <v>0</v>
      </c>
      <c r="AR36" s="145">
        <v>0</v>
      </c>
      <c r="AS36" s="145">
        <v>0</v>
      </c>
      <c r="AT36" s="145">
        <v>0</v>
      </c>
      <c r="AU36" s="145">
        <v>0</v>
      </c>
      <c r="AV36" s="145">
        <v>0</v>
      </c>
      <c r="AW36" s="145">
        <v>0</v>
      </c>
      <c r="AX36" s="145">
        <v>0</v>
      </c>
      <c r="AY36" s="145">
        <v>0</v>
      </c>
      <c r="AZ36" s="145">
        <v>0</v>
      </c>
      <c r="BA36" s="145">
        <v>0</v>
      </c>
      <c r="BB36" s="145">
        <v>0</v>
      </c>
      <c r="BC36" s="145">
        <v>0</v>
      </c>
      <c r="BD36" s="145">
        <v>0</v>
      </c>
      <c r="BE36" s="145">
        <v>0</v>
      </c>
    </row>
    <row r="37" spans="1:57" customFormat="1" x14ac:dyDescent="0.15">
      <c r="A37" s="183" t="s">
        <v>227</v>
      </c>
      <c r="B37" s="145">
        <v>0</v>
      </c>
      <c r="C37" s="145">
        <v>0</v>
      </c>
      <c r="D37" s="145">
        <v>0</v>
      </c>
      <c r="E37" s="145">
        <v>0</v>
      </c>
      <c r="F37" s="145">
        <v>0</v>
      </c>
      <c r="G37" s="145">
        <v>0</v>
      </c>
      <c r="H37" s="145">
        <v>0</v>
      </c>
      <c r="I37" s="145">
        <v>0</v>
      </c>
      <c r="J37" s="145">
        <v>0</v>
      </c>
      <c r="K37" s="145">
        <v>0</v>
      </c>
      <c r="L37" s="145">
        <v>0</v>
      </c>
      <c r="M37" s="145">
        <v>0</v>
      </c>
      <c r="N37" s="145">
        <v>0</v>
      </c>
      <c r="O37" s="145">
        <v>0</v>
      </c>
      <c r="P37" s="145">
        <v>0</v>
      </c>
      <c r="Q37" s="145">
        <v>0</v>
      </c>
      <c r="R37" s="145">
        <v>7.0000000000000001E-3</v>
      </c>
      <c r="S37" s="145">
        <v>0</v>
      </c>
      <c r="T37" s="145">
        <v>0</v>
      </c>
      <c r="U37" s="145">
        <v>0</v>
      </c>
      <c r="V37" s="145">
        <v>0</v>
      </c>
      <c r="W37" s="145">
        <v>0</v>
      </c>
      <c r="X37" s="145">
        <v>0</v>
      </c>
      <c r="Y37" s="145">
        <v>0</v>
      </c>
      <c r="Z37" s="145">
        <v>0</v>
      </c>
      <c r="AA37" s="145">
        <v>1.1005559215158682E-2</v>
      </c>
      <c r="AB37" s="145">
        <v>0</v>
      </c>
      <c r="AC37" s="145">
        <v>0</v>
      </c>
      <c r="AD37" s="145">
        <v>1.9996478900193666E-3</v>
      </c>
      <c r="AE37" s="145">
        <v>0</v>
      </c>
      <c r="AF37" s="145">
        <v>0</v>
      </c>
      <c r="AG37" s="145">
        <v>1.1993708480312613E-2</v>
      </c>
      <c r="AH37" s="145">
        <v>2.0000000450799978E-2</v>
      </c>
      <c r="AI37" s="145">
        <v>0</v>
      </c>
      <c r="AJ37" s="145">
        <v>0</v>
      </c>
      <c r="AK37" s="145">
        <v>0</v>
      </c>
      <c r="AL37" s="145">
        <v>0</v>
      </c>
      <c r="AM37" s="145">
        <v>0</v>
      </c>
      <c r="AN37" s="145">
        <v>0</v>
      </c>
      <c r="AO37" s="145">
        <v>0</v>
      </c>
      <c r="AP37" s="145">
        <v>4.0000002851999734E-2</v>
      </c>
      <c r="AQ37" s="145">
        <v>0</v>
      </c>
      <c r="AR37" s="145">
        <v>0</v>
      </c>
      <c r="AS37" s="145">
        <v>0</v>
      </c>
      <c r="AT37" s="145">
        <v>0</v>
      </c>
      <c r="AU37" s="145">
        <v>0</v>
      </c>
      <c r="AV37" s="145">
        <v>0</v>
      </c>
      <c r="AW37" s="145">
        <v>0</v>
      </c>
      <c r="AX37" s="145">
        <v>0</v>
      </c>
      <c r="AY37" s="145">
        <v>0</v>
      </c>
      <c r="AZ37" s="145">
        <v>0</v>
      </c>
      <c r="BA37" s="145">
        <v>0</v>
      </c>
      <c r="BB37" s="145">
        <v>0</v>
      </c>
      <c r="BC37" s="145">
        <v>0</v>
      </c>
      <c r="BD37" s="145">
        <v>0</v>
      </c>
      <c r="BE37" s="145">
        <v>0</v>
      </c>
    </row>
    <row r="38" spans="1:57" customFormat="1" x14ac:dyDescent="0.15">
      <c r="A38" s="183" t="s">
        <v>228</v>
      </c>
      <c r="B38" s="145">
        <v>0.26300002151695839</v>
      </c>
      <c r="C38" s="145">
        <v>0.1</v>
      </c>
      <c r="D38" s="145">
        <v>0.1</v>
      </c>
      <c r="E38" s="145">
        <v>0.14800000000000002</v>
      </c>
      <c r="F38" s="145">
        <v>5.0022396138271009E-2</v>
      </c>
      <c r="G38" s="145">
        <v>0.18037702488336396</v>
      </c>
      <c r="H38" s="145">
        <v>0</v>
      </c>
      <c r="I38" s="145">
        <v>4.6488925993858822E-2</v>
      </c>
      <c r="J38" s="145">
        <v>0</v>
      </c>
      <c r="K38" s="145">
        <v>3.9993682231647461E-2</v>
      </c>
      <c r="L38" s="145">
        <v>0</v>
      </c>
      <c r="M38" s="145">
        <v>4.9999997584999775E-2</v>
      </c>
      <c r="N38" s="145">
        <v>8.9711387793099881E-2</v>
      </c>
      <c r="O38" s="145">
        <v>9.9303627317256365E-2</v>
      </c>
      <c r="P38" s="145">
        <v>0</v>
      </c>
      <c r="Q38" s="145">
        <v>0.10599999999999997</v>
      </c>
      <c r="R38" s="145">
        <v>1.9E-2</v>
      </c>
      <c r="S38" s="145">
        <v>0.10999999999999997</v>
      </c>
      <c r="T38" s="145">
        <v>0.11999999921120007</v>
      </c>
      <c r="U38" s="145">
        <v>1.0000876378615652E-2</v>
      </c>
      <c r="V38" s="145">
        <v>0.19513179742868444</v>
      </c>
      <c r="W38" s="145">
        <v>2.0002694139711071E-2</v>
      </c>
      <c r="X38" s="145">
        <v>0</v>
      </c>
      <c r="Y38" s="145">
        <v>5.0028946370399952E-2</v>
      </c>
      <c r="Z38" s="145">
        <v>2.0062965918201756E-2</v>
      </c>
      <c r="AA38" s="145">
        <v>3.0015153486796253E-3</v>
      </c>
      <c r="AB38" s="145">
        <v>4.0012898862833409E-3</v>
      </c>
      <c r="AC38" s="145">
        <v>0</v>
      </c>
      <c r="AD38" s="145">
        <v>1.9998424500086657E-2</v>
      </c>
      <c r="AE38" s="145">
        <v>3.9988772114354067E-2</v>
      </c>
      <c r="AF38" s="145">
        <v>0</v>
      </c>
      <c r="AG38" s="145">
        <v>1.9989513433854387E-3</v>
      </c>
      <c r="AH38" s="145">
        <v>4.0000004701599779E-3</v>
      </c>
      <c r="AI38" s="145">
        <v>0</v>
      </c>
      <c r="AJ38" s="145">
        <v>0</v>
      </c>
      <c r="AK38" s="145">
        <v>0.15000000658499937</v>
      </c>
      <c r="AL38" s="145">
        <v>1.9991519021948269E-2</v>
      </c>
      <c r="AM38" s="145">
        <v>0</v>
      </c>
      <c r="AN38" s="145">
        <v>0</v>
      </c>
      <c r="AO38" s="145">
        <v>0</v>
      </c>
      <c r="AP38" s="145">
        <v>0</v>
      </c>
      <c r="AQ38" s="145">
        <v>0</v>
      </c>
      <c r="AR38" s="145">
        <v>0</v>
      </c>
      <c r="AS38" s="145">
        <v>0</v>
      </c>
      <c r="AT38" s="145">
        <v>0</v>
      </c>
      <c r="AU38" s="145">
        <v>0</v>
      </c>
      <c r="AV38" s="145">
        <v>0</v>
      </c>
      <c r="AW38" s="145">
        <v>0</v>
      </c>
      <c r="AX38" s="145">
        <v>0</v>
      </c>
      <c r="AY38" s="145">
        <v>0</v>
      </c>
      <c r="AZ38" s="145">
        <v>0</v>
      </c>
      <c r="BA38" s="145">
        <v>0</v>
      </c>
      <c r="BB38" s="145">
        <v>0</v>
      </c>
      <c r="BC38" s="145">
        <v>0</v>
      </c>
      <c r="BD38" s="145">
        <v>0</v>
      </c>
      <c r="BE38" s="145">
        <v>0</v>
      </c>
    </row>
    <row r="39" spans="1:57" x14ac:dyDescent="0.15">
      <c r="A39" s="183" t="s">
        <v>229</v>
      </c>
      <c r="B39" s="145">
        <v>4.9999999796000007E-3</v>
      </c>
      <c r="C39" s="145">
        <v>0</v>
      </c>
      <c r="D39" s="145">
        <v>0</v>
      </c>
      <c r="E39" s="145">
        <v>0</v>
      </c>
      <c r="F39" s="145">
        <v>0.10004479227654202</v>
      </c>
      <c r="G39" s="145">
        <v>0</v>
      </c>
      <c r="H39" s="145">
        <v>5.000000000000001E-2</v>
      </c>
      <c r="I39" s="145">
        <v>3.2542250135701188E-2</v>
      </c>
      <c r="J39" s="145">
        <v>2.9999998953000082E-2</v>
      </c>
      <c r="K39" s="145">
        <v>0</v>
      </c>
      <c r="L39" s="145">
        <v>0</v>
      </c>
      <c r="M39" s="145">
        <v>4.9999997584999775E-2</v>
      </c>
      <c r="N39" s="145">
        <v>2.05054594955657E-2</v>
      </c>
      <c r="O39" s="145">
        <v>2.2697968815372827E-2</v>
      </c>
      <c r="P39" s="145">
        <v>2.9993682512123816E-2</v>
      </c>
      <c r="Q39" s="145">
        <v>2.2999999999999996E-2</v>
      </c>
      <c r="R39" s="145">
        <v>3.9E-2</v>
      </c>
      <c r="S39" s="145">
        <v>4.7999999999999987E-2</v>
      </c>
      <c r="T39" s="145">
        <v>2.3000000790479969E-2</v>
      </c>
      <c r="U39" s="145">
        <v>2.0001752657231302E-2</v>
      </c>
      <c r="V39" s="145">
        <v>0</v>
      </c>
      <c r="W39" s="145">
        <v>2.0002694139711071E-2</v>
      </c>
      <c r="X39" s="145">
        <v>2.6000065406199268E-2</v>
      </c>
      <c r="Y39" s="145">
        <v>4.0023163796319476E-2</v>
      </c>
      <c r="Z39" s="145">
        <v>2.0062965918201756E-2</v>
      </c>
      <c r="AA39" s="145">
        <v>7.003537136919151E-2</v>
      </c>
      <c r="AB39" s="145">
        <v>1.9991672931836655E-2</v>
      </c>
      <c r="AC39" s="145">
        <v>8.5999999999999993E-2</v>
      </c>
      <c r="AD39" s="145">
        <v>2.9997633950130137E-2</v>
      </c>
      <c r="AE39" s="145">
        <v>9.9971933285884947E-3</v>
      </c>
      <c r="AF39" s="145">
        <v>0</v>
      </c>
      <c r="AG39" s="145">
        <v>0.15291977737398607</v>
      </c>
      <c r="AH39" s="145">
        <v>1.9999999050800046E-2</v>
      </c>
      <c r="AI39" s="145">
        <v>1.0001261683148335E-3</v>
      </c>
      <c r="AJ39" s="145">
        <v>0</v>
      </c>
      <c r="AK39" s="145">
        <v>0.15000000658499937</v>
      </c>
      <c r="AL39" s="145">
        <v>0</v>
      </c>
      <c r="AM39" s="145">
        <v>0</v>
      </c>
      <c r="AN39" s="145">
        <v>2.0000002897999938E-2</v>
      </c>
      <c r="AO39" s="145">
        <v>0</v>
      </c>
      <c r="AP39" s="145">
        <v>9.999999963000003E-2</v>
      </c>
      <c r="AQ39" s="145">
        <v>0</v>
      </c>
      <c r="AR39" s="145">
        <v>0</v>
      </c>
      <c r="AS39" s="145">
        <v>0</v>
      </c>
      <c r="AT39" s="145">
        <v>0</v>
      </c>
      <c r="AU39" s="145">
        <v>0</v>
      </c>
      <c r="AV39" s="145">
        <v>0</v>
      </c>
      <c r="AW39" s="145">
        <v>0</v>
      </c>
      <c r="AX39" s="145">
        <v>0</v>
      </c>
      <c r="AY39" s="145">
        <v>0</v>
      </c>
      <c r="AZ39" s="145">
        <v>0</v>
      </c>
      <c r="BA39" s="145">
        <v>0</v>
      </c>
      <c r="BB39" s="145">
        <v>0</v>
      </c>
      <c r="BC39" s="145">
        <v>0</v>
      </c>
      <c r="BD39" s="145">
        <v>0</v>
      </c>
      <c r="BE39" s="145">
        <v>0</v>
      </c>
    </row>
    <row r="40" spans="1:57" x14ac:dyDescent="0.15">
      <c r="A40" s="183" t="s">
        <v>230</v>
      </c>
      <c r="B40" s="145">
        <v>0</v>
      </c>
      <c r="C40" s="145">
        <v>0</v>
      </c>
      <c r="D40" s="145">
        <v>0</v>
      </c>
      <c r="E40" s="145">
        <v>4.000000000000001E-3</v>
      </c>
      <c r="F40" s="145">
        <v>0.10004479227654202</v>
      </c>
      <c r="G40" s="145">
        <v>0</v>
      </c>
      <c r="H40" s="145">
        <v>5.000000000000001E-2</v>
      </c>
      <c r="I40" s="145">
        <v>3.2542250135701188E-2</v>
      </c>
      <c r="J40" s="145">
        <v>0</v>
      </c>
      <c r="K40" s="145">
        <v>0</v>
      </c>
      <c r="L40" s="145">
        <v>0</v>
      </c>
      <c r="M40" s="145">
        <v>4.9999997584999775E-2</v>
      </c>
      <c r="N40" s="145">
        <v>2.05054594955657E-2</v>
      </c>
      <c r="O40" s="145">
        <v>2.2697968815372827E-2</v>
      </c>
      <c r="P40" s="145">
        <v>2.9993682512123816E-2</v>
      </c>
      <c r="Q40" s="145">
        <v>3.0999999999999993E-2</v>
      </c>
      <c r="R40" s="145">
        <v>5.0000000000000001E-3</v>
      </c>
      <c r="S40" s="145">
        <v>4.9999999999999989E-2</v>
      </c>
      <c r="T40" s="145">
        <v>3.0999999904560014E-2</v>
      </c>
      <c r="U40" s="145">
        <v>2.0001752657231302E-2</v>
      </c>
      <c r="V40" s="145">
        <v>0</v>
      </c>
      <c r="W40" s="145">
        <v>2.0002694139711071E-2</v>
      </c>
      <c r="X40" s="145">
        <v>2.1000053462699401E-2</v>
      </c>
      <c r="Y40" s="145">
        <v>4.0023163796319476E-2</v>
      </c>
      <c r="Z40" s="145">
        <v>2.0059729618263345E-2</v>
      </c>
      <c r="AA40" s="145">
        <v>5.0025255477993746E-2</v>
      </c>
      <c r="AB40" s="145">
        <v>4.9979182379591633E-3</v>
      </c>
      <c r="AC40" s="145">
        <v>2.3E-2</v>
      </c>
      <c r="AD40" s="145">
        <v>2.9997633950130137E-2</v>
      </c>
      <c r="AE40" s="145">
        <v>9.9971933285884947E-3</v>
      </c>
      <c r="AF40" s="145">
        <v>0</v>
      </c>
      <c r="AG40" s="145">
        <v>6.796434705510486E-2</v>
      </c>
      <c r="AH40" s="145">
        <v>9.9999995254000232E-2</v>
      </c>
      <c r="AI40" s="145">
        <v>1.0001261683148335E-3</v>
      </c>
      <c r="AJ40" s="145">
        <v>0</v>
      </c>
      <c r="AK40" s="145">
        <v>7.0000003272999684E-2</v>
      </c>
      <c r="AL40" s="145">
        <v>0</v>
      </c>
      <c r="AM40" s="145">
        <v>0</v>
      </c>
      <c r="AN40" s="145">
        <v>0</v>
      </c>
      <c r="AO40" s="145">
        <v>0.17</v>
      </c>
      <c r="AP40" s="145">
        <v>9.999999963000003E-2</v>
      </c>
      <c r="AQ40" s="145">
        <v>0</v>
      </c>
      <c r="AR40" s="145">
        <v>0</v>
      </c>
      <c r="AS40" s="145">
        <v>0</v>
      </c>
      <c r="AT40" s="145">
        <v>0</v>
      </c>
      <c r="AU40" s="145">
        <v>0</v>
      </c>
      <c r="AV40" s="145">
        <v>0</v>
      </c>
      <c r="AW40" s="145">
        <v>0</v>
      </c>
      <c r="AX40" s="145">
        <v>0</v>
      </c>
      <c r="AY40" s="145">
        <v>0</v>
      </c>
      <c r="AZ40" s="145">
        <v>0</v>
      </c>
      <c r="BA40" s="145">
        <v>0</v>
      </c>
      <c r="BB40" s="145">
        <v>0</v>
      </c>
      <c r="BC40" s="145">
        <v>0</v>
      </c>
      <c r="BD40" s="145">
        <v>0</v>
      </c>
      <c r="BE40" s="145">
        <v>0</v>
      </c>
    </row>
    <row r="41" spans="1:57" x14ac:dyDescent="0.15">
      <c r="A41" s="183" t="s">
        <v>231</v>
      </c>
      <c r="B41" s="145">
        <v>0</v>
      </c>
      <c r="C41" s="145">
        <v>0</v>
      </c>
      <c r="D41" s="145">
        <v>0</v>
      </c>
      <c r="E41" s="145">
        <v>0</v>
      </c>
      <c r="F41" s="145">
        <v>5.0022396138271009E-2</v>
      </c>
      <c r="G41" s="145">
        <v>0</v>
      </c>
      <c r="H41" s="145">
        <v>0</v>
      </c>
      <c r="I41" s="145">
        <v>1.6271125567850594E-2</v>
      </c>
      <c r="J41" s="145">
        <v>0</v>
      </c>
      <c r="K41" s="145">
        <v>0</v>
      </c>
      <c r="L41" s="145">
        <v>0</v>
      </c>
      <c r="M41" s="145">
        <v>0</v>
      </c>
      <c r="N41" s="145">
        <v>1.0252728847782873E-2</v>
      </c>
      <c r="O41" s="145">
        <v>1.1348985307686429E-2</v>
      </c>
      <c r="P41" s="145">
        <v>1.9995789608082518E-2</v>
      </c>
      <c r="Q41" s="145">
        <v>9.999999999999998E-4</v>
      </c>
      <c r="R41" s="145">
        <v>0</v>
      </c>
      <c r="S41" s="145">
        <v>4.9999999999999989E-2</v>
      </c>
      <c r="T41" s="145">
        <v>1.0000001117599949E-3</v>
      </c>
      <c r="U41" s="145">
        <v>2.0001752657231302E-2</v>
      </c>
      <c r="V41" s="145">
        <v>0</v>
      </c>
      <c r="W41" s="145">
        <v>2.0002694139711071E-2</v>
      </c>
      <c r="X41" s="145">
        <v>1.3000032753099631E-2</v>
      </c>
      <c r="Y41" s="145">
        <v>2.0011581848159741E-2</v>
      </c>
      <c r="Z41" s="145">
        <v>1.94108408306117E-2</v>
      </c>
      <c r="AA41" s="145">
        <v>4.002021708239524E-3</v>
      </c>
      <c r="AB41" s="145">
        <v>0</v>
      </c>
      <c r="AC41" s="145">
        <v>0</v>
      </c>
      <c r="AD41" s="145">
        <v>1.9998424500086657E-2</v>
      </c>
      <c r="AE41" s="145">
        <v>5.4801181919552624E-3</v>
      </c>
      <c r="AF41" s="145">
        <v>0</v>
      </c>
      <c r="AG41" s="145">
        <v>0</v>
      </c>
      <c r="AH41" s="145">
        <v>1.9000000398259984E-2</v>
      </c>
      <c r="AI41" s="145">
        <v>1.0001261683148335E-3</v>
      </c>
      <c r="AJ41" s="145">
        <v>0</v>
      </c>
      <c r="AK41" s="145">
        <v>0</v>
      </c>
      <c r="AL41" s="145">
        <v>0</v>
      </c>
      <c r="AM41" s="145">
        <v>0</v>
      </c>
      <c r="AN41" s="145">
        <v>0</v>
      </c>
      <c r="AO41" s="145">
        <v>0</v>
      </c>
      <c r="AP41" s="145">
        <v>9.999999963000003E-2</v>
      </c>
      <c r="AQ41" s="145">
        <v>0</v>
      </c>
      <c r="AR41" s="145">
        <v>0</v>
      </c>
      <c r="AS41" s="145">
        <v>0</v>
      </c>
      <c r="AT41" s="145">
        <v>0</v>
      </c>
      <c r="AU41" s="145">
        <v>0</v>
      </c>
      <c r="AV41" s="145">
        <v>0</v>
      </c>
      <c r="AW41" s="145">
        <v>0</v>
      </c>
      <c r="AX41" s="145">
        <v>0</v>
      </c>
      <c r="AY41" s="145">
        <v>0</v>
      </c>
      <c r="AZ41" s="145">
        <v>0</v>
      </c>
      <c r="BA41" s="145">
        <v>0</v>
      </c>
      <c r="BB41" s="145">
        <v>0</v>
      </c>
      <c r="BC41" s="145">
        <v>0</v>
      </c>
      <c r="BD41" s="145">
        <v>0</v>
      </c>
      <c r="BE41" s="145">
        <v>0</v>
      </c>
    </row>
    <row r="42" spans="1:57" x14ac:dyDescent="0.15">
      <c r="A42" s="183" t="s">
        <v>232</v>
      </c>
      <c r="B42" s="145">
        <v>0</v>
      </c>
      <c r="C42" s="145">
        <v>0</v>
      </c>
      <c r="D42" s="145">
        <v>0</v>
      </c>
      <c r="E42" s="145">
        <v>0</v>
      </c>
      <c r="F42" s="145">
        <v>0</v>
      </c>
      <c r="G42" s="145">
        <v>0</v>
      </c>
      <c r="H42" s="145">
        <v>0</v>
      </c>
      <c r="I42" s="145">
        <v>0</v>
      </c>
      <c r="J42" s="145">
        <v>0</v>
      </c>
      <c r="K42" s="145">
        <v>0</v>
      </c>
      <c r="L42" s="145">
        <v>0</v>
      </c>
      <c r="M42" s="145">
        <v>0</v>
      </c>
      <c r="N42" s="145">
        <v>0</v>
      </c>
      <c r="O42" s="145">
        <v>0</v>
      </c>
      <c r="P42" s="145">
        <v>0</v>
      </c>
      <c r="Q42" s="145">
        <v>0</v>
      </c>
      <c r="R42" s="145">
        <v>0</v>
      </c>
      <c r="S42" s="145">
        <v>4.9999999999999989E-2</v>
      </c>
      <c r="T42" s="145">
        <v>0</v>
      </c>
      <c r="U42" s="145">
        <v>0</v>
      </c>
      <c r="V42" s="145">
        <v>0</v>
      </c>
      <c r="W42" s="145">
        <v>0</v>
      </c>
      <c r="X42" s="145">
        <v>0</v>
      </c>
      <c r="Y42" s="145">
        <v>1.000098927442823E-2</v>
      </c>
      <c r="Z42" s="145">
        <v>0</v>
      </c>
      <c r="AA42" s="145">
        <v>1.1005559215158682E-2</v>
      </c>
      <c r="AB42" s="145">
        <v>2.0006449431416704E-3</v>
      </c>
      <c r="AC42" s="145">
        <v>0</v>
      </c>
      <c r="AD42" s="145">
        <v>0</v>
      </c>
      <c r="AE42" s="145">
        <v>0</v>
      </c>
      <c r="AF42" s="145">
        <v>0</v>
      </c>
      <c r="AG42" s="145">
        <v>0</v>
      </c>
      <c r="AH42" s="145">
        <v>3.8000000696519966E-2</v>
      </c>
      <c r="AI42" s="145">
        <v>0</v>
      </c>
      <c r="AJ42" s="145">
        <v>0</v>
      </c>
      <c r="AK42" s="145">
        <v>0</v>
      </c>
      <c r="AL42" s="145">
        <v>0</v>
      </c>
      <c r="AM42" s="145">
        <v>0</v>
      </c>
      <c r="AN42" s="145">
        <v>0</v>
      </c>
      <c r="AO42" s="145">
        <v>0</v>
      </c>
      <c r="AP42" s="145">
        <v>0</v>
      </c>
      <c r="AQ42" s="145">
        <v>0</v>
      </c>
      <c r="AR42" s="145">
        <v>0</v>
      </c>
      <c r="AS42" s="145">
        <v>0</v>
      </c>
      <c r="AT42" s="145">
        <v>0</v>
      </c>
      <c r="AU42" s="145">
        <v>0</v>
      </c>
      <c r="AV42" s="145">
        <v>0</v>
      </c>
      <c r="AW42" s="145">
        <v>0</v>
      </c>
      <c r="AX42" s="145">
        <v>0</v>
      </c>
      <c r="AY42" s="145">
        <v>0</v>
      </c>
      <c r="AZ42" s="145">
        <v>0</v>
      </c>
      <c r="BA42" s="145">
        <v>0</v>
      </c>
      <c r="BB42" s="145">
        <v>0</v>
      </c>
      <c r="BC42" s="145">
        <v>0</v>
      </c>
      <c r="BD42" s="145">
        <v>0</v>
      </c>
      <c r="BE42" s="145">
        <v>0</v>
      </c>
    </row>
    <row r="43" spans="1:57" x14ac:dyDescent="0.15">
      <c r="A43" s="183" t="s">
        <v>233</v>
      </c>
      <c r="B43" s="145">
        <v>0</v>
      </c>
      <c r="C43" s="145">
        <v>0</v>
      </c>
      <c r="D43" s="1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5">
        <v>0</v>
      </c>
      <c r="O43" s="145">
        <v>0</v>
      </c>
      <c r="P43" s="145">
        <v>0.37591322563210067</v>
      </c>
      <c r="Q43" s="145">
        <v>0</v>
      </c>
      <c r="R43" s="145">
        <v>0</v>
      </c>
      <c r="S43" s="145">
        <v>9.9999999999999985E-3</v>
      </c>
      <c r="T43" s="145">
        <v>0</v>
      </c>
      <c r="U43" s="145">
        <v>0</v>
      </c>
      <c r="V43" s="145">
        <v>0</v>
      </c>
      <c r="W43" s="145">
        <v>9.9978906699696316E-4</v>
      </c>
      <c r="X43" s="145">
        <v>0</v>
      </c>
      <c r="Y43" s="145">
        <v>0</v>
      </c>
      <c r="Z43" s="145">
        <v>5.6145164031557525E-2</v>
      </c>
      <c r="AA43" s="145">
        <v>7.0035356569191224E-3</v>
      </c>
      <c r="AB43" s="145">
        <v>5.8018693951108716E-2</v>
      </c>
      <c r="AC43" s="145">
        <v>4.0000000000000001E-3</v>
      </c>
      <c r="AD43" s="145">
        <v>0</v>
      </c>
      <c r="AE43" s="145">
        <v>0</v>
      </c>
      <c r="AF43" s="145">
        <v>0</v>
      </c>
      <c r="AG43" s="145">
        <v>0</v>
      </c>
      <c r="AH43" s="145">
        <v>1.8000000245719988E-2</v>
      </c>
      <c r="AI43" s="145">
        <v>0</v>
      </c>
      <c r="AJ43" s="145">
        <v>0</v>
      </c>
      <c r="AK43" s="145">
        <v>1.999999947800005E-2</v>
      </c>
      <c r="AL43" s="145">
        <v>0</v>
      </c>
      <c r="AM43" s="145">
        <v>0</v>
      </c>
      <c r="AN43" s="145">
        <v>0</v>
      </c>
      <c r="AO43" s="145">
        <v>0.08</v>
      </c>
      <c r="AP43" s="145">
        <v>3.0000000288999972E-2</v>
      </c>
      <c r="AQ43" s="145">
        <v>2.3E-2</v>
      </c>
      <c r="AR43" s="145">
        <v>0</v>
      </c>
      <c r="AS43" s="145">
        <v>0</v>
      </c>
      <c r="AT43" s="145">
        <v>0</v>
      </c>
      <c r="AU43" s="145">
        <v>0</v>
      </c>
      <c r="AV43" s="145">
        <v>0</v>
      </c>
      <c r="AW43" s="145">
        <v>0</v>
      </c>
      <c r="AX43" s="145">
        <v>0</v>
      </c>
      <c r="AY43" s="145">
        <v>0</v>
      </c>
      <c r="AZ43" s="145">
        <v>0</v>
      </c>
      <c r="BA43" s="145">
        <v>0</v>
      </c>
      <c r="BB43" s="145">
        <v>0</v>
      </c>
      <c r="BC43" s="145">
        <v>0</v>
      </c>
      <c r="BD43" s="145">
        <v>0</v>
      </c>
      <c r="BE43" s="145">
        <v>0</v>
      </c>
    </row>
    <row r="44" spans="1:57" x14ac:dyDescent="0.15">
      <c r="A44" s="183" t="s">
        <v>234</v>
      </c>
      <c r="B44" s="145">
        <v>0</v>
      </c>
      <c r="C44" s="145">
        <v>0</v>
      </c>
      <c r="D44" s="145">
        <v>0</v>
      </c>
      <c r="E44" s="145">
        <v>0</v>
      </c>
      <c r="F44" s="145">
        <v>6.7418659495279476E-2</v>
      </c>
      <c r="G44" s="145">
        <v>0</v>
      </c>
      <c r="H44" s="145">
        <v>0</v>
      </c>
      <c r="I44" s="145">
        <v>9.2977850387717637E-2</v>
      </c>
      <c r="J44" s="145">
        <v>0.14200000936419929</v>
      </c>
      <c r="K44" s="145">
        <v>0</v>
      </c>
      <c r="L44" s="145">
        <v>0</v>
      </c>
      <c r="M44" s="145">
        <v>0</v>
      </c>
      <c r="N44" s="145">
        <v>0</v>
      </c>
      <c r="O44" s="145">
        <v>8.5117386357648164E-2</v>
      </c>
      <c r="P44" s="145">
        <v>0.12197431660930336</v>
      </c>
      <c r="Q44" s="145">
        <v>9.999999999999998E-4</v>
      </c>
      <c r="R44" s="145">
        <v>0</v>
      </c>
      <c r="S44" s="145">
        <v>9.999999999999998E-4</v>
      </c>
      <c r="T44" s="145">
        <v>0</v>
      </c>
      <c r="U44" s="145">
        <v>0.22001926992954413</v>
      </c>
      <c r="V44" s="145">
        <v>0</v>
      </c>
      <c r="W44" s="145">
        <v>4.9989441649848539E-2</v>
      </c>
      <c r="X44" s="145">
        <v>0</v>
      </c>
      <c r="Y44" s="145">
        <v>0</v>
      </c>
      <c r="Z44" s="145">
        <v>5.8182592292785273E-2</v>
      </c>
      <c r="AA44" s="145">
        <v>0</v>
      </c>
      <c r="AB44" s="145">
        <v>6.497294275346896E-2</v>
      </c>
      <c r="AC44" s="145">
        <v>0</v>
      </c>
      <c r="AD44" s="145">
        <v>0.3999887190006205</v>
      </c>
      <c r="AE44" s="145">
        <v>1.0001214528318432E-2</v>
      </c>
      <c r="AF44" s="145">
        <v>0</v>
      </c>
      <c r="AG44" s="145">
        <v>0</v>
      </c>
      <c r="AH44" s="145">
        <v>0</v>
      </c>
      <c r="AI44" s="145">
        <v>0</v>
      </c>
      <c r="AJ44" s="145">
        <v>0</v>
      </c>
      <c r="AK44" s="145">
        <v>0.10999999642900034</v>
      </c>
      <c r="AL44" s="145">
        <v>9.9957590609741302E-3</v>
      </c>
      <c r="AM44" s="145">
        <v>0</v>
      </c>
      <c r="AN44" s="145">
        <v>0.21999999557800007</v>
      </c>
      <c r="AO44" s="145">
        <v>0.33400000000000002</v>
      </c>
      <c r="AP44" s="145">
        <v>9.999999963000003E-2</v>
      </c>
      <c r="AQ44" s="145">
        <v>8.9999999999999993E-3</v>
      </c>
      <c r="AR44" s="145">
        <v>0</v>
      </c>
      <c r="AS44" s="145">
        <v>0</v>
      </c>
      <c r="AT44" s="145">
        <v>0</v>
      </c>
      <c r="AU44" s="145">
        <v>0</v>
      </c>
      <c r="AV44" s="145">
        <v>0</v>
      </c>
      <c r="AW44" s="145">
        <v>0</v>
      </c>
      <c r="AX44" s="145">
        <v>0</v>
      </c>
      <c r="AY44" s="145">
        <v>0</v>
      </c>
      <c r="AZ44" s="145">
        <v>0</v>
      </c>
      <c r="BA44" s="145">
        <v>0</v>
      </c>
      <c r="BB44" s="145">
        <v>0</v>
      </c>
      <c r="BC44" s="145">
        <v>0</v>
      </c>
      <c r="BD44" s="145">
        <v>0</v>
      </c>
      <c r="BE44" s="145">
        <v>0</v>
      </c>
    </row>
    <row r="45" spans="1:57" x14ac:dyDescent="0.15">
      <c r="A45" s="183" t="s">
        <v>235</v>
      </c>
      <c r="B45" s="145">
        <v>0</v>
      </c>
      <c r="C45" s="145">
        <v>0</v>
      </c>
      <c r="D45" s="145">
        <v>0</v>
      </c>
      <c r="E45" s="145">
        <v>0</v>
      </c>
      <c r="F45" s="145">
        <v>2.2472884665093298E-2</v>
      </c>
      <c r="G45" s="145">
        <v>0</v>
      </c>
      <c r="H45" s="145">
        <v>5.000000000000001E-2</v>
      </c>
      <c r="I45" s="145">
        <v>4.6488925993858822E-2</v>
      </c>
      <c r="J45" s="145">
        <v>0</v>
      </c>
      <c r="K45" s="145">
        <v>0.18418144727732474</v>
      </c>
      <c r="L45" s="145">
        <v>0</v>
      </c>
      <c r="M45" s="145">
        <v>0</v>
      </c>
      <c r="N45" s="145">
        <v>0</v>
      </c>
      <c r="O45" s="145">
        <v>0</v>
      </c>
      <c r="P45" s="145">
        <v>0</v>
      </c>
      <c r="Q45" s="145">
        <v>9.999999999999998E-4</v>
      </c>
      <c r="R45" s="145">
        <v>0</v>
      </c>
      <c r="S45" s="145">
        <v>0</v>
      </c>
      <c r="T45" s="145">
        <v>1.0000001117599949E-3</v>
      </c>
      <c r="U45" s="145">
        <v>0</v>
      </c>
      <c r="V45" s="145">
        <v>0</v>
      </c>
      <c r="W45" s="145">
        <v>0</v>
      </c>
      <c r="X45" s="145">
        <v>0</v>
      </c>
      <c r="Y45" s="145">
        <v>0</v>
      </c>
      <c r="Z45" s="145">
        <v>4.1862453503357509E-2</v>
      </c>
      <c r="AA45" s="145">
        <v>0</v>
      </c>
      <c r="AB45" s="145">
        <v>6.5020958152104361E-2</v>
      </c>
      <c r="AC45" s="145">
        <v>1.6E-2</v>
      </c>
      <c r="AD45" s="145">
        <v>0</v>
      </c>
      <c r="AE45" s="145">
        <v>0</v>
      </c>
      <c r="AF45" s="145">
        <v>0</v>
      </c>
      <c r="AG45" s="145">
        <v>6.4965907185027261E-2</v>
      </c>
      <c r="AH45" s="145">
        <v>0</v>
      </c>
      <c r="AI45" s="145">
        <v>0</v>
      </c>
      <c r="AJ45" s="145">
        <v>0</v>
      </c>
      <c r="AK45" s="145">
        <v>0</v>
      </c>
      <c r="AL45" s="145">
        <v>0</v>
      </c>
      <c r="AM45" s="145">
        <v>0</v>
      </c>
      <c r="AN45" s="145">
        <v>0</v>
      </c>
      <c r="AO45" s="145">
        <v>7.0000000000000007E-2</v>
      </c>
      <c r="AP45" s="145">
        <v>3.0000000288999972E-2</v>
      </c>
      <c r="AQ45" s="145">
        <v>0.10199999999999999</v>
      </c>
      <c r="AR45" s="145">
        <v>0</v>
      </c>
      <c r="AS45" s="145">
        <v>0.01</v>
      </c>
      <c r="AT45" s="145">
        <v>0</v>
      </c>
      <c r="AU45" s="145">
        <v>0</v>
      </c>
      <c r="AV45" s="145">
        <v>0</v>
      </c>
      <c r="AW45" s="145">
        <v>0</v>
      </c>
      <c r="AX45" s="145">
        <v>0</v>
      </c>
      <c r="AY45" s="145">
        <v>0</v>
      </c>
      <c r="AZ45" s="145">
        <v>0</v>
      </c>
      <c r="BA45" s="145">
        <v>0</v>
      </c>
      <c r="BB45" s="145">
        <v>0</v>
      </c>
      <c r="BC45" s="145">
        <v>0</v>
      </c>
      <c r="BD45" s="145">
        <v>0</v>
      </c>
      <c r="BE45" s="145">
        <v>0</v>
      </c>
    </row>
    <row r="46" spans="1:57" x14ac:dyDescent="0.15">
      <c r="A46" s="183" t="s">
        <v>236</v>
      </c>
      <c r="B46" s="145">
        <v>0</v>
      </c>
      <c r="C46" s="145">
        <v>0</v>
      </c>
      <c r="D46" s="145">
        <v>0.1</v>
      </c>
      <c r="E46" s="145">
        <v>0</v>
      </c>
      <c r="F46" s="145">
        <v>5.6182215662732939E-2</v>
      </c>
      <c r="G46" s="145">
        <v>0</v>
      </c>
      <c r="H46" s="145">
        <v>0</v>
      </c>
      <c r="I46" s="145">
        <v>0</v>
      </c>
      <c r="J46" s="145">
        <v>0</v>
      </c>
      <c r="K46" s="145">
        <v>0</v>
      </c>
      <c r="L46" s="145">
        <v>0.1</v>
      </c>
      <c r="M46" s="145">
        <v>4.9999997584999775E-2</v>
      </c>
      <c r="N46" s="145">
        <v>0</v>
      </c>
      <c r="O46" s="145">
        <v>3.5465580649020119E-2</v>
      </c>
      <c r="P46" s="145">
        <v>0</v>
      </c>
      <c r="Q46" s="145">
        <v>0</v>
      </c>
      <c r="R46" s="145">
        <v>0</v>
      </c>
      <c r="S46" s="145">
        <v>0</v>
      </c>
      <c r="T46" s="145">
        <v>0</v>
      </c>
      <c r="U46" s="145">
        <v>5.3588270957086515E-2</v>
      </c>
      <c r="V46" s="145">
        <v>0</v>
      </c>
      <c r="W46" s="145">
        <v>0.11900215207173898</v>
      </c>
      <c r="X46" s="145">
        <v>0.45989283380321105</v>
      </c>
      <c r="Y46" s="145">
        <v>1.0005843774076038E-3</v>
      </c>
      <c r="Z46" s="145">
        <v>1.7490632467153263E-2</v>
      </c>
      <c r="AA46" s="145">
        <v>0</v>
      </c>
      <c r="AB46" s="145">
        <v>0</v>
      </c>
      <c r="AC46" s="145">
        <v>0</v>
      </c>
      <c r="AD46" s="145">
        <v>0</v>
      </c>
      <c r="AE46" s="145">
        <v>0.10960231763910834</v>
      </c>
      <c r="AF46" s="145">
        <v>0</v>
      </c>
      <c r="AG46" s="145">
        <v>0</v>
      </c>
      <c r="AH46" s="145">
        <v>0</v>
      </c>
      <c r="AI46" s="145">
        <v>0.14991993274343265</v>
      </c>
      <c r="AJ46" s="145">
        <v>0.1</v>
      </c>
      <c r="AK46" s="145">
        <v>0</v>
      </c>
      <c r="AL46" s="145">
        <v>0.13645710083238832</v>
      </c>
      <c r="AM46" s="145">
        <v>0</v>
      </c>
      <c r="AN46" s="145">
        <v>0</v>
      </c>
      <c r="AO46" s="145">
        <v>0</v>
      </c>
      <c r="AP46" s="145">
        <v>0</v>
      </c>
      <c r="AQ46" s="145">
        <v>0</v>
      </c>
      <c r="AR46" s="145">
        <v>0</v>
      </c>
      <c r="AS46" s="145">
        <v>0</v>
      </c>
      <c r="AT46" s="145">
        <v>0</v>
      </c>
      <c r="AU46" s="145">
        <v>0</v>
      </c>
      <c r="AV46" s="145">
        <v>0</v>
      </c>
      <c r="AW46" s="145">
        <v>0</v>
      </c>
      <c r="AX46" s="145">
        <v>0</v>
      </c>
      <c r="AY46" s="145">
        <v>0</v>
      </c>
      <c r="AZ46" s="145">
        <v>0</v>
      </c>
      <c r="BA46" s="145">
        <v>0</v>
      </c>
      <c r="BB46" s="145">
        <v>0</v>
      </c>
      <c r="BC46" s="145">
        <v>0</v>
      </c>
      <c r="BD46" s="145">
        <v>0</v>
      </c>
      <c r="BE46" s="145">
        <v>0</v>
      </c>
    </row>
    <row r="47" spans="1:57" x14ac:dyDescent="0.15">
      <c r="A47" s="183" t="s">
        <v>237</v>
      </c>
      <c r="B47" s="145">
        <v>0</v>
      </c>
      <c r="C47" s="145">
        <v>0</v>
      </c>
      <c r="D47" s="145">
        <v>0.1</v>
      </c>
      <c r="E47" s="145">
        <v>0</v>
      </c>
      <c r="F47" s="145">
        <v>0</v>
      </c>
      <c r="G47" s="145">
        <v>1.0003138683506564E-2</v>
      </c>
      <c r="H47" s="145">
        <v>0.10000000000000002</v>
      </c>
      <c r="I47" s="145">
        <v>0</v>
      </c>
      <c r="J47" s="145">
        <v>0</v>
      </c>
      <c r="K47" s="145">
        <v>0</v>
      </c>
      <c r="L47" s="145">
        <v>0.1</v>
      </c>
      <c r="M47" s="145">
        <v>0</v>
      </c>
      <c r="N47" s="145">
        <v>3.8447733054185772E-2</v>
      </c>
      <c r="O47" s="145">
        <v>0</v>
      </c>
      <c r="P47" s="145">
        <v>2.9993077112135679E-2</v>
      </c>
      <c r="Q47" s="145">
        <v>0</v>
      </c>
      <c r="R47" s="145">
        <v>0</v>
      </c>
      <c r="S47" s="145">
        <v>0</v>
      </c>
      <c r="T47" s="145">
        <v>0</v>
      </c>
      <c r="U47" s="145">
        <v>0</v>
      </c>
      <c r="V47" s="145">
        <v>0</v>
      </c>
      <c r="W47" s="145">
        <v>4.9999978349500726E-3</v>
      </c>
      <c r="X47" s="145">
        <v>0.10002668786969844</v>
      </c>
      <c r="Y47" s="145">
        <v>1.0005843074076088E-2</v>
      </c>
      <c r="Z47" s="145">
        <v>4.4568879151854229E-2</v>
      </c>
      <c r="AA47" s="145">
        <v>0</v>
      </c>
      <c r="AB47" s="145">
        <v>2.0006453031416602E-2</v>
      </c>
      <c r="AC47" s="145">
        <v>0</v>
      </c>
      <c r="AD47" s="145">
        <v>5.6158496911282683E-3</v>
      </c>
      <c r="AE47" s="145">
        <v>4.8005816775929341E-2</v>
      </c>
      <c r="AF47" s="145">
        <v>0</v>
      </c>
      <c r="AG47" s="145">
        <v>0</v>
      </c>
      <c r="AH47" s="145">
        <v>0</v>
      </c>
      <c r="AI47" s="145">
        <v>3.3004161264389417E-2</v>
      </c>
      <c r="AJ47" s="145">
        <v>0.05</v>
      </c>
      <c r="AK47" s="145">
        <v>1.999999947800005E-2</v>
      </c>
      <c r="AL47" s="145">
        <v>4.9978800304870681E-2</v>
      </c>
      <c r="AM47" s="145">
        <v>0</v>
      </c>
      <c r="AN47" s="145">
        <v>0</v>
      </c>
      <c r="AO47" s="145">
        <v>0</v>
      </c>
      <c r="AP47" s="145">
        <v>0</v>
      </c>
      <c r="AQ47" s="145">
        <v>0</v>
      </c>
      <c r="AR47" s="145">
        <v>0</v>
      </c>
      <c r="AS47" s="145">
        <v>0</v>
      </c>
      <c r="AT47" s="145">
        <v>0.05</v>
      </c>
      <c r="AU47" s="145">
        <v>0</v>
      </c>
      <c r="AV47" s="145">
        <v>0.01</v>
      </c>
      <c r="AW47" s="145">
        <v>0</v>
      </c>
      <c r="AX47" s="145">
        <v>0</v>
      </c>
      <c r="AY47" s="145">
        <v>0</v>
      </c>
      <c r="AZ47" s="145">
        <v>0</v>
      </c>
      <c r="BA47" s="145">
        <v>0</v>
      </c>
      <c r="BB47" s="145">
        <v>0</v>
      </c>
      <c r="BC47" s="145">
        <v>0</v>
      </c>
      <c r="BD47" s="145">
        <v>0</v>
      </c>
      <c r="BE47" s="145">
        <v>0</v>
      </c>
    </row>
    <row r="48" spans="1:57" x14ac:dyDescent="0.15">
      <c r="A48" s="183" t="s">
        <v>238</v>
      </c>
      <c r="B48" s="145">
        <v>0</v>
      </c>
      <c r="C48" s="145">
        <v>0</v>
      </c>
      <c r="D48" s="145">
        <v>0</v>
      </c>
      <c r="E48" s="145">
        <v>3.1500000000000007E-2</v>
      </c>
      <c r="F48" s="145">
        <v>5.6182215662732939E-2</v>
      </c>
      <c r="G48" s="145">
        <v>0</v>
      </c>
      <c r="H48" s="145">
        <v>0.30000000000000004</v>
      </c>
      <c r="I48" s="145">
        <v>0.49975590208398207</v>
      </c>
      <c r="J48" s="145">
        <v>5.9999997906000163E-2</v>
      </c>
      <c r="K48" s="145">
        <v>0.36836289455464949</v>
      </c>
      <c r="L48" s="145">
        <v>0.1</v>
      </c>
      <c r="M48" s="145">
        <v>0</v>
      </c>
      <c r="N48" s="145">
        <v>0</v>
      </c>
      <c r="O48" s="145">
        <v>0</v>
      </c>
      <c r="P48" s="145">
        <v>0.1312854974268042</v>
      </c>
      <c r="Q48" s="145">
        <v>0</v>
      </c>
      <c r="R48" s="145">
        <v>0</v>
      </c>
      <c r="S48" s="145">
        <v>0</v>
      </c>
      <c r="T48" s="145">
        <v>0</v>
      </c>
      <c r="U48" s="145">
        <v>9.1796391639483554E-2</v>
      </c>
      <c r="V48" s="145">
        <v>0</v>
      </c>
      <c r="W48" s="145">
        <v>9.198058096372104E-2</v>
      </c>
      <c r="X48" s="145">
        <v>0</v>
      </c>
      <c r="Y48" s="145">
        <v>0</v>
      </c>
      <c r="Z48" s="145">
        <v>0.3049072941976142</v>
      </c>
      <c r="AA48" s="145">
        <v>0</v>
      </c>
      <c r="AB48" s="145">
        <v>1.7005482216704195E-2</v>
      </c>
      <c r="AC48" s="145">
        <v>0</v>
      </c>
      <c r="AD48" s="145">
        <v>4.9991195150484273E-2</v>
      </c>
      <c r="AE48" s="145">
        <v>2.7400579359777088E-2</v>
      </c>
      <c r="AF48" s="145">
        <v>0</v>
      </c>
      <c r="AG48" s="145">
        <v>0</v>
      </c>
      <c r="AH48" s="145">
        <v>0</v>
      </c>
      <c r="AI48" s="145">
        <v>2.0002524166296703E-2</v>
      </c>
      <c r="AJ48" s="145">
        <v>0</v>
      </c>
      <c r="AK48" s="145">
        <v>1.999999947800005E-2</v>
      </c>
      <c r="AL48" s="145">
        <v>0.38662845135843354</v>
      </c>
      <c r="AM48" s="145">
        <v>0.03</v>
      </c>
      <c r="AN48" s="145">
        <v>7.0000013792999721E-2</v>
      </c>
      <c r="AO48" s="145">
        <v>0</v>
      </c>
      <c r="AP48" s="145">
        <v>0</v>
      </c>
      <c r="AQ48" s="145">
        <v>0</v>
      </c>
      <c r="AR48" s="145">
        <v>0</v>
      </c>
      <c r="AS48" s="145">
        <v>0</v>
      </c>
      <c r="AT48" s="145">
        <v>0.05</v>
      </c>
      <c r="AU48" s="145">
        <v>2.0000000083999995E-2</v>
      </c>
      <c r="AV48" s="145">
        <v>0.02</v>
      </c>
      <c r="AW48" s="145">
        <v>0.03</v>
      </c>
      <c r="AX48" s="145">
        <v>0</v>
      </c>
      <c r="AY48" s="145">
        <v>0</v>
      </c>
      <c r="AZ48" s="145">
        <v>0</v>
      </c>
      <c r="BA48" s="145">
        <v>0</v>
      </c>
      <c r="BB48" s="145">
        <v>0</v>
      </c>
      <c r="BC48" s="145">
        <v>0</v>
      </c>
      <c r="BD48" s="145">
        <v>0</v>
      </c>
      <c r="BE48" s="145">
        <v>0</v>
      </c>
    </row>
    <row r="49" spans="1:57" x14ac:dyDescent="0.15">
      <c r="A49" s="183" t="s">
        <v>239</v>
      </c>
      <c r="B49" s="145">
        <v>1.4000000362879971E-2</v>
      </c>
      <c r="C49" s="145">
        <v>0</v>
      </c>
      <c r="D49" s="145">
        <v>0</v>
      </c>
      <c r="E49" s="145">
        <v>3.1500000000000007E-2</v>
      </c>
      <c r="F49" s="145">
        <v>4.4945769230186602E-2</v>
      </c>
      <c r="G49" s="145">
        <v>0</v>
      </c>
      <c r="H49" s="145">
        <v>0.35000000000000003</v>
      </c>
      <c r="I49" s="145">
        <v>0.15108901363004118</v>
      </c>
      <c r="J49" s="145">
        <v>9.7000002734699789E-2</v>
      </c>
      <c r="K49" s="145">
        <v>2.6311635568189259E-2</v>
      </c>
      <c r="L49" s="145">
        <v>0.5</v>
      </c>
      <c r="M49" s="145">
        <v>4.9999997584999775E-2</v>
      </c>
      <c r="N49" s="145">
        <v>5.1263651438914183E-2</v>
      </c>
      <c r="O49" s="145">
        <v>0</v>
      </c>
      <c r="P49" s="145">
        <v>9.0889958218556804E-2</v>
      </c>
      <c r="Q49" s="145">
        <v>7.9999999999999984E-3</v>
      </c>
      <c r="R49" s="145">
        <v>0.03</v>
      </c>
      <c r="S49" s="145">
        <v>9.999999999999998E-4</v>
      </c>
      <c r="T49" s="145">
        <v>8.0000006140799711E-3</v>
      </c>
      <c r="U49" s="145">
        <v>9.7576627342718547E-2</v>
      </c>
      <c r="V49" s="145">
        <v>0</v>
      </c>
      <c r="W49" s="145">
        <v>0.14006131437657601</v>
      </c>
      <c r="X49" s="145">
        <v>0.3000801176090947</v>
      </c>
      <c r="Y49" s="145">
        <v>0</v>
      </c>
      <c r="Z49" s="145">
        <v>0.14995440514636768</v>
      </c>
      <c r="AA49" s="145">
        <v>7.0035377069191621E-2</v>
      </c>
      <c r="AB49" s="145">
        <v>0.22995907946456293</v>
      </c>
      <c r="AC49" s="145">
        <v>0.17699999999999999</v>
      </c>
      <c r="AD49" s="145">
        <v>0.10998787895066667</v>
      </c>
      <c r="AE49" s="145">
        <v>0.14994678992957358</v>
      </c>
      <c r="AF49" s="145">
        <v>0</v>
      </c>
      <c r="AG49" s="145">
        <v>0.28984788744089107</v>
      </c>
      <c r="AH49" s="145">
        <v>3.9000002649059874E-2</v>
      </c>
      <c r="AI49" s="145">
        <v>0.13999793436332086</v>
      </c>
      <c r="AJ49" s="145">
        <v>0</v>
      </c>
      <c r="AK49" s="145">
        <v>2.9999998317000166E-2</v>
      </c>
      <c r="AL49" s="145">
        <v>0.20197373723203979</v>
      </c>
      <c r="AM49" s="145">
        <v>0.03</v>
      </c>
      <c r="AN49" s="145">
        <v>9.9999997990000034E-2</v>
      </c>
      <c r="AO49" s="145">
        <v>0.09</v>
      </c>
      <c r="AP49" s="145">
        <v>0</v>
      </c>
      <c r="AQ49" s="145">
        <v>0.1</v>
      </c>
      <c r="AR49" s="145">
        <v>0.01</v>
      </c>
      <c r="AS49" s="145">
        <v>0.02</v>
      </c>
      <c r="AT49" s="145">
        <v>0.03</v>
      </c>
      <c r="AU49" s="145">
        <v>2.9999991726000548E-2</v>
      </c>
      <c r="AV49" s="145">
        <v>1.4999999999999999E-2</v>
      </c>
      <c r="AW49" s="145">
        <v>1.4999999999999999E-2</v>
      </c>
      <c r="AX49" s="145">
        <v>0</v>
      </c>
      <c r="AY49" s="145">
        <v>0</v>
      </c>
      <c r="AZ49" s="145">
        <v>0</v>
      </c>
      <c r="BA49" s="145">
        <v>0</v>
      </c>
      <c r="BB49" s="145">
        <v>0</v>
      </c>
      <c r="BC49" s="145">
        <v>0</v>
      </c>
      <c r="BD49" s="145">
        <v>0</v>
      </c>
      <c r="BE49" s="145">
        <v>0</v>
      </c>
    </row>
    <row r="50" spans="1:57" x14ac:dyDescent="0.15">
      <c r="A50" s="183" t="s">
        <v>240</v>
      </c>
      <c r="B50" s="145">
        <v>0.20499999781360015</v>
      </c>
      <c r="C50" s="145">
        <v>0</v>
      </c>
      <c r="D50" s="145">
        <v>0.05</v>
      </c>
      <c r="E50" s="145">
        <v>0</v>
      </c>
      <c r="F50" s="145">
        <v>0</v>
      </c>
      <c r="G50" s="145">
        <v>0.13900239143328261</v>
      </c>
      <c r="H50" s="145">
        <v>0</v>
      </c>
      <c r="I50" s="145">
        <v>3.4866698245394137E-2</v>
      </c>
      <c r="J50" s="145">
        <v>7.9999999708000022E-2</v>
      </c>
      <c r="K50" s="145">
        <v>0.17102562854323003</v>
      </c>
      <c r="L50" s="145">
        <v>0.2</v>
      </c>
      <c r="M50" s="145">
        <v>4.0000003428000287E-2</v>
      </c>
      <c r="N50" s="145">
        <v>1.5994259606541217E-2</v>
      </c>
      <c r="O50" s="145">
        <v>5.4986828106258948E-2</v>
      </c>
      <c r="P50" s="145">
        <v>9.997692804045219E-2</v>
      </c>
      <c r="Q50" s="145">
        <v>1.8999999999999996E-2</v>
      </c>
      <c r="R50" s="145">
        <v>5.0000000000000001E-3</v>
      </c>
      <c r="S50" s="145">
        <v>0</v>
      </c>
      <c r="T50" s="145">
        <v>2.0000000435199981E-2</v>
      </c>
      <c r="U50" s="145">
        <v>4.5000378803706761E-2</v>
      </c>
      <c r="V50" s="145">
        <v>0</v>
      </c>
      <c r="W50" s="145">
        <v>0.13998503537909401</v>
      </c>
      <c r="X50" s="145">
        <v>8.0000209095997657E-2</v>
      </c>
      <c r="Y50" s="145">
        <v>6.0007649746445027E-2</v>
      </c>
      <c r="Z50" s="145">
        <v>0.11096624088831245</v>
      </c>
      <c r="AA50" s="145">
        <v>3.0015152486796232E-2</v>
      </c>
      <c r="AB50" s="145">
        <v>0.1509311957105354</v>
      </c>
      <c r="AC50" s="145">
        <v>0.33700000000000002</v>
      </c>
      <c r="AD50" s="145">
        <v>8.7999955160002474E-2</v>
      </c>
      <c r="AE50" s="145">
        <v>0.33890483523915121</v>
      </c>
      <c r="AF50" s="145">
        <v>0.5</v>
      </c>
      <c r="AG50" s="145">
        <v>3.9999192666834993E-2</v>
      </c>
      <c r="AH50" s="145">
        <v>4.4999997864300104E-2</v>
      </c>
      <c r="AI50" s="145">
        <v>0.32999516764211489</v>
      </c>
      <c r="AJ50" s="145">
        <v>0.8</v>
      </c>
      <c r="AK50" s="145">
        <v>4.9999999695000033E-2</v>
      </c>
      <c r="AL50" s="145">
        <v>0.19497463218934527</v>
      </c>
      <c r="AM50" s="145">
        <v>0.12</v>
      </c>
      <c r="AN50" s="145">
        <v>0.10999999778900003</v>
      </c>
      <c r="AO50" s="145">
        <v>0</v>
      </c>
      <c r="AP50" s="145">
        <v>0</v>
      </c>
      <c r="AQ50" s="145">
        <v>0</v>
      </c>
      <c r="AR50" s="145">
        <v>0</v>
      </c>
      <c r="AS50" s="145">
        <v>4.4999999999999998E-2</v>
      </c>
      <c r="AT50" s="145">
        <v>0.5</v>
      </c>
      <c r="AU50" s="145">
        <v>0.11999996710400217</v>
      </c>
      <c r="AV50" s="145">
        <v>5.0000000000000001E-3</v>
      </c>
      <c r="AW50" s="145">
        <v>5.0000000000000001E-3</v>
      </c>
      <c r="AX50" s="145">
        <v>0</v>
      </c>
      <c r="AY50" s="145">
        <v>0</v>
      </c>
      <c r="AZ50" s="145">
        <v>0.23</v>
      </c>
      <c r="BA50" s="145">
        <v>0</v>
      </c>
      <c r="BB50" s="145">
        <v>0</v>
      </c>
      <c r="BC50" s="145">
        <v>0</v>
      </c>
      <c r="BD50" s="145">
        <v>0</v>
      </c>
      <c r="BE50" s="145">
        <v>0</v>
      </c>
    </row>
    <row r="51" spans="1:57" x14ac:dyDescent="0.15">
      <c r="A51" s="183" t="s">
        <v>241</v>
      </c>
      <c r="B51" s="145">
        <v>2.0000001818399863E-3</v>
      </c>
      <c r="C51" s="145">
        <v>0</v>
      </c>
      <c r="D51" s="145">
        <v>0.05</v>
      </c>
      <c r="E51" s="145">
        <v>0</v>
      </c>
      <c r="F51" s="145">
        <v>0</v>
      </c>
      <c r="G51" s="145">
        <v>0</v>
      </c>
      <c r="H51" s="145">
        <v>0</v>
      </c>
      <c r="I51" s="145">
        <v>0</v>
      </c>
      <c r="J51" s="145">
        <v>0</v>
      </c>
      <c r="K51" s="145">
        <v>1.3155817834094632E-2</v>
      </c>
      <c r="L51" s="145">
        <v>0</v>
      </c>
      <c r="M51" s="145">
        <v>0</v>
      </c>
      <c r="N51" s="145">
        <v>0</v>
      </c>
      <c r="O51" s="145">
        <v>0</v>
      </c>
      <c r="P51" s="145">
        <v>0</v>
      </c>
      <c r="Q51" s="145">
        <v>1.4999999999999996E-2</v>
      </c>
      <c r="R51" s="145">
        <v>6.0000000000000001E-3</v>
      </c>
      <c r="S51" s="145">
        <v>0</v>
      </c>
      <c r="T51" s="145">
        <v>2.0000000435199981E-2</v>
      </c>
      <c r="U51" s="145">
        <v>0</v>
      </c>
      <c r="V51" s="145">
        <v>0</v>
      </c>
      <c r="W51" s="145">
        <v>0</v>
      </c>
      <c r="X51" s="145">
        <v>0</v>
      </c>
      <c r="Y51" s="145">
        <v>0</v>
      </c>
      <c r="Z51" s="145">
        <v>0</v>
      </c>
      <c r="AA51" s="145">
        <v>8.6043456382149566E-2</v>
      </c>
      <c r="AB51" s="145">
        <v>1.950628944563125E-2</v>
      </c>
      <c r="AC51" s="145">
        <v>0.33700000000000002</v>
      </c>
      <c r="AD51" s="145">
        <v>0</v>
      </c>
      <c r="AE51" s="145">
        <v>0.15070327087876831</v>
      </c>
      <c r="AF51" s="145">
        <v>0.5</v>
      </c>
      <c r="AG51" s="145">
        <v>2.7485578809049876E-2</v>
      </c>
      <c r="AH51" s="145">
        <v>0</v>
      </c>
      <c r="AI51" s="145">
        <v>0.14991993274343265</v>
      </c>
      <c r="AJ51" s="145">
        <v>0.05</v>
      </c>
      <c r="AK51" s="145">
        <v>0</v>
      </c>
      <c r="AL51" s="145">
        <v>0</v>
      </c>
      <c r="AM51" s="145">
        <v>0.14000000000000001</v>
      </c>
      <c r="AN51" s="145">
        <v>1.0000001398999972E-2</v>
      </c>
      <c r="AO51" s="145">
        <v>0</v>
      </c>
      <c r="AP51" s="145">
        <v>0</v>
      </c>
      <c r="AQ51" s="145">
        <v>0</v>
      </c>
      <c r="AR51" s="145">
        <v>0</v>
      </c>
      <c r="AS51" s="145">
        <v>4.4999999999999998E-2</v>
      </c>
      <c r="AT51" s="145">
        <v>0.27</v>
      </c>
      <c r="AU51" s="145">
        <v>0.50000002709999825</v>
      </c>
      <c r="AV51" s="145">
        <v>0.05</v>
      </c>
      <c r="AW51" s="145">
        <v>0.05</v>
      </c>
      <c r="AX51" s="145">
        <v>0.72</v>
      </c>
      <c r="AY51" s="145">
        <v>0</v>
      </c>
      <c r="AZ51" s="145">
        <v>0.67</v>
      </c>
      <c r="BA51" s="145">
        <v>0</v>
      </c>
      <c r="BB51" s="145">
        <v>0</v>
      </c>
      <c r="BC51" s="145">
        <v>0</v>
      </c>
      <c r="BD51" s="145">
        <v>0</v>
      </c>
      <c r="BE51" s="145">
        <v>0</v>
      </c>
    </row>
    <row r="52" spans="1:57" x14ac:dyDescent="0.15">
      <c r="A52" s="183" t="s">
        <v>242</v>
      </c>
      <c r="B52" s="145">
        <v>0</v>
      </c>
      <c r="C52" s="145">
        <v>0</v>
      </c>
      <c r="D52" s="145">
        <v>0</v>
      </c>
      <c r="E52" s="145">
        <v>0</v>
      </c>
      <c r="F52" s="145">
        <v>0</v>
      </c>
      <c r="G52" s="145">
        <v>0</v>
      </c>
      <c r="H52" s="145">
        <v>0</v>
      </c>
      <c r="I52" s="145">
        <v>0</v>
      </c>
      <c r="J52" s="145">
        <v>0</v>
      </c>
      <c r="K52" s="145">
        <v>0.19696889399086426</v>
      </c>
      <c r="L52" s="145">
        <v>0</v>
      </c>
      <c r="M52" s="145">
        <v>0</v>
      </c>
      <c r="N52" s="145">
        <v>0</v>
      </c>
      <c r="O52" s="145">
        <v>0.16314167098549254</v>
      </c>
      <c r="P52" s="145">
        <v>0</v>
      </c>
      <c r="Q52" s="145">
        <v>0</v>
      </c>
      <c r="R52" s="145">
        <v>0</v>
      </c>
      <c r="S52" s="145">
        <v>0</v>
      </c>
      <c r="T52" s="145">
        <v>0</v>
      </c>
      <c r="U52" s="145">
        <v>0</v>
      </c>
      <c r="V52" s="145">
        <v>0</v>
      </c>
      <c r="W52" s="145">
        <v>0</v>
      </c>
      <c r="X52" s="145">
        <v>0</v>
      </c>
      <c r="Y52" s="145">
        <v>0</v>
      </c>
      <c r="Z52" s="145">
        <v>0</v>
      </c>
      <c r="AA52" s="145">
        <v>0</v>
      </c>
      <c r="AB52" s="145">
        <v>0</v>
      </c>
      <c r="AC52" s="145">
        <v>0</v>
      </c>
      <c r="AD52" s="145">
        <v>0</v>
      </c>
      <c r="AE52" s="145">
        <v>0</v>
      </c>
      <c r="AF52" s="145">
        <v>0</v>
      </c>
      <c r="AG52" s="145">
        <v>0</v>
      </c>
      <c r="AH52" s="145">
        <v>0</v>
      </c>
      <c r="AI52" s="145">
        <v>1.4176825643114191E-2</v>
      </c>
      <c r="AJ52" s="145">
        <v>0</v>
      </c>
      <c r="AK52" s="145">
        <v>0</v>
      </c>
      <c r="AL52" s="145">
        <v>0</v>
      </c>
      <c r="AM52" s="145">
        <v>0</v>
      </c>
      <c r="AN52" s="145">
        <v>0</v>
      </c>
      <c r="AO52" s="145">
        <v>0</v>
      </c>
      <c r="AP52" s="145">
        <v>0</v>
      </c>
      <c r="AQ52" s="145">
        <v>0</v>
      </c>
      <c r="AR52" s="145">
        <v>0</v>
      </c>
      <c r="AS52" s="145">
        <v>0</v>
      </c>
      <c r="AT52" s="145">
        <v>0</v>
      </c>
      <c r="AU52" s="145">
        <v>0</v>
      </c>
      <c r="AV52" s="145">
        <v>0</v>
      </c>
      <c r="AW52" s="145">
        <v>0</v>
      </c>
      <c r="AX52" s="145">
        <v>0</v>
      </c>
      <c r="AY52" s="145">
        <v>0</v>
      </c>
      <c r="AZ52" s="145">
        <v>0</v>
      </c>
      <c r="BA52" s="145">
        <v>0</v>
      </c>
      <c r="BB52" s="145">
        <v>0</v>
      </c>
      <c r="BC52" s="145">
        <v>0</v>
      </c>
      <c r="BD52" s="145">
        <v>0</v>
      </c>
      <c r="BE52" s="145">
        <v>0</v>
      </c>
    </row>
    <row r="53" spans="1:57" x14ac:dyDescent="0.15">
      <c r="A53" s="183" t="s">
        <v>243</v>
      </c>
      <c r="B53" s="145">
        <v>0</v>
      </c>
      <c r="C53" s="145">
        <v>0</v>
      </c>
      <c r="D53" s="145">
        <v>0</v>
      </c>
      <c r="E53" s="145">
        <v>0</v>
      </c>
      <c r="F53" s="145">
        <v>0</v>
      </c>
      <c r="G53" s="145">
        <v>0</v>
      </c>
      <c r="H53" s="145">
        <v>0</v>
      </c>
      <c r="I53" s="145">
        <v>0</v>
      </c>
      <c r="J53" s="145">
        <v>0</v>
      </c>
      <c r="K53" s="145">
        <v>0</v>
      </c>
      <c r="L53" s="145">
        <v>0</v>
      </c>
      <c r="M53" s="145">
        <v>0</v>
      </c>
      <c r="N53" s="145">
        <v>0</v>
      </c>
      <c r="O53" s="145">
        <v>0</v>
      </c>
      <c r="P53" s="145">
        <v>0</v>
      </c>
      <c r="Q53" s="145">
        <v>0</v>
      </c>
      <c r="R53" s="145">
        <v>0</v>
      </c>
      <c r="S53" s="145">
        <v>0</v>
      </c>
      <c r="T53" s="145">
        <v>0</v>
      </c>
      <c r="U53" s="145">
        <v>0</v>
      </c>
      <c r="V53" s="145">
        <v>0</v>
      </c>
      <c r="W53" s="145">
        <v>0</v>
      </c>
      <c r="X53" s="145">
        <v>0</v>
      </c>
      <c r="Y53" s="145">
        <v>0</v>
      </c>
      <c r="Z53" s="145">
        <v>0</v>
      </c>
      <c r="AA53" s="145">
        <v>0</v>
      </c>
      <c r="AB53" s="145">
        <v>8.0025797725666818E-3</v>
      </c>
      <c r="AC53" s="145">
        <v>0</v>
      </c>
      <c r="AD53" s="145">
        <v>0</v>
      </c>
      <c r="AE53" s="145">
        <v>0</v>
      </c>
      <c r="AF53" s="145">
        <v>0</v>
      </c>
      <c r="AG53" s="145">
        <v>0</v>
      </c>
      <c r="AH53" s="145">
        <v>0</v>
      </c>
      <c r="AI53" s="145">
        <v>0.10001261183148316</v>
      </c>
      <c r="AJ53" s="145">
        <v>0</v>
      </c>
      <c r="AK53" s="145">
        <v>0</v>
      </c>
      <c r="AL53" s="145">
        <v>0</v>
      </c>
      <c r="AM53" s="145">
        <v>0.09</v>
      </c>
      <c r="AN53" s="145">
        <v>0</v>
      </c>
      <c r="AO53" s="145">
        <v>0</v>
      </c>
      <c r="AP53" s="145">
        <v>0</v>
      </c>
      <c r="AQ53" s="145">
        <v>2.8000000000000001E-2</v>
      </c>
      <c r="AR53" s="145">
        <v>0.25</v>
      </c>
      <c r="AS53" s="145">
        <v>0.23499999999999999</v>
      </c>
      <c r="AT53" s="145">
        <v>0.05</v>
      </c>
      <c r="AU53" s="145">
        <v>0.30000002225999861</v>
      </c>
      <c r="AV53" s="145">
        <v>0.1</v>
      </c>
      <c r="AW53" s="145">
        <v>0.05</v>
      </c>
      <c r="AX53" s="145">
        <v>0.28000000000000003</v>
      </c>
      <c r="AY53" s="145">
        <v>1</v>
      </c>
      <c r="AZ53" s="145">
        <v>0</v>
      </c>
      <c r="BA53" s="145">
        <v>0</v>
      </c>
      <c r="BB53" s="145">
        <v>0</v>
      </c>
      <c r="BC53" s="145">
        <v>0</v>
      </c>
      <c r="BD53" s="145">
        <v>0</v>
      </c>
      <c r="BE53" s="145">
        <v>0</v>
      </c>
    </row>
    <row r="54" spans="1:57" x14ac:dyDescent="0.15">
      <c r="A54" s="183" t="s">
        <v>244</v>
      </c>
      <c r="B54" s="145">
        <v>0</v>
      </c>
      <c r="C54" s="145">
        <v>0</v>
      </c>
      <c r="D54" s="145">
        <v>0</v>
      </c>
      <c r="E54" s="145">
        <v>0</v>
      </c>
      <c r="F54" s="145">
        <v>0</v>
      </c>
      <c r="G54" s="145">
        <v>0</v>
      </c>
      <c r="H54" s="145">
        <v>0</v>
      </c>
      <c r="I54" s="145">
        <v>0</v>
      </c>
      <c r="J54" s="145">
        <v>1.4999999476500041E-2</v>
      </c>
      <c r="K54" s="145">
        <v>0</v>
      </c>
      <c r="L54" s="145">
        <v>0</v>
      </c>
      <c r="M54" s="145">
        <v>0</v>
      </c>
      <c r="N54" s="145">
        <v>0</v>
      </c>
      <c r="O54" s="145">
        <v>0</v>
      </c>
      <c r="P54" s="145">
        <v>3.9990767016180956E-2</v>
      </c>
      <c r="Q54" s="145">
        <v>0</v>
      </c>
      <c r="R54" s="145">
        <v>0</v>
      </c>
      <c r="S54" s="145">
        <v>1.9999999999999997E-2</v>
      </c>
      <c r="T54" s="145">
        <v>0</v>
      </c>
      <c r="U54" s="145">
        <v>0</v>
      </c>
      <c r="V54" s="145">
        <v>0</v>
      </c>
      <c r="W54" s="145">
        <v>0</v>
      </c>
      <c r="X54" s="145">
        <v>0</v>
      </c>
      <c r="Y54" s="145">
        <v>0</v>
      </c>
      <c r="Z54" s="145">
        <v>0</v>
      </c>
      <c r="AA54" s="145">
        <v>2.001010849119762E-3</v>
      </c>
      <c r="AB54" s="145">
        <v>0.1020328671002259</v>
      </c>
      <c r="AC54" s="145">
        <v>0</v>
      </c>
      <c r="AD54" s="145">
        <v>0</v>
      </c>
      <c r="AE54" s="145">
        <v>0</v>
      </c>
      <c r="AF54" s="145">
        <v>0</v>
      </c>
      <c r="AG54" s="145">
        <v>8.9997776100396373E-3</v>
      </c>
      <c r="AH54" s="145">
        <v>0</v>
      </c>
      <c r="AI54" s="145">
        <v>0</v>
      </c>
      <c r="AJ54" s="145">
        <v>0</v>
      </c>
      <c r="AK54" s="145">
        <v>9.9999997390000251E-3</v>
      </c>
      <c r="AL54" s="145">
        <v>0</v>
      </c>
      <c r="AM54" s="145">
        <v>0</v>
      </c>
      <c r="AN54" s="145">
        <v>4.9999998995000017E-2</v>
      </c>
      <c r="AO54" s="145">
        <v>3.9E-2</v>
      </c>
      <c r="AP54" s="145">
        <v>0</v>
      </c>
      <c r="AQ54" s="145">
        <v>0.16900000000000001</v>
      </c>
      <c r="AR54" s="145">
        <v>0</v>
      </c>
      <c r="AS54" s="145">
        <v>0</v>
      </c>
      <c r="AT54" s="145">
        <v>0</v>
      </c>
      <c r="AU54" s="145">
        <v>0</v>
      </c>
      <c r="AV54" s="145">
        <v>0</v>
      </c>
      <c r="AW54" s="145">
        <v>0.05</v>
      </c>
      <c r="AX54" s="145">
        <v>0</v>
      </c>
      <c r="AY54" s="145">
        <v>0</v>
      </c>
      <c r="AZ54" s="145">
        <v>0</v>
      </c>
      <c r="BA54" s="145">
        <v>0</v>
      </c>
      <c r="BB54" s="145">
        <v>0</v>
      </c>
      <c r="BC54" s="145">
        <v>0</v>
      </c>
      <c r="BD54" s="145">
        <v>0</v>
      </c>
      <c r="BE54" s="145">
        <v>0</v>
      </c>
    </row>
    <row r="55" spans="1:57" x14ac:dyDescent="0.15">
      <c r="A55" s="183" t="s">
        <v>245</v>
      </c>
      <c r="B55" s="145">
        <v>0</v>
      </c>
      <c r="C55" s="145">
        <v>0</v>
      </c>
      <c r="D55" s="145">
        <v>0</v>
      </c>
      <c r="E55" s="145">
        <v>0</v>
      </c>
      <c r="F55" s="145">
        <v>0</v>
      </c>
      <c r="G55" s="145">
        <v>0</v>
      </c>
      <c r="H55" s="145">
        <v>0</v>
      </c>
      <c r="I55" s="145">
        <v>0</v>
      </c>
      <c r="J55" s="145">
        <v>0</v>
      </c>
      <c r="K55" s="145">
        <v>0</v>
      </c>
      <c r="L55" s="145">
        <v>0</v>
      </c>
      <c r="M55" s="145">
        <v>0</v>
      </c>
      <c r="N55" s="145">
        <v>0</v>
      </c>
      <c r="O55" s="145">
        <v>0</v>
      </c>
      <c r="P55" s="145">
        <v>9.9976918040452379E-3</v>
      </c>
      <c r="Q55" s="145">
        <v>0</v>
      </c>
      <c r="R55" s="145">
        <v>0</v>
      </c>
      <c r="S55" s="145">
        <v>0</v>
      </c>
      <c r="T55" s="145">
        <v>0</v>
      </c>
      <c r="U55" s="145">
        <v>0</v>
      </c>
      <c r="V55" s="145">
        <v>0</v>
      </c>
      <c r="W55" s="145">
        <v>0</v>
      </c>
      <c r="X55" s="145">
        <v>0</v>
      </c>
      <c r="Y55" s="145">
        <v>0</v>
      </c>
      <c r="Z55" s="145">
        <v>0</v>
      </c>
      <c r="AA55" s="145">
        <v>0</v>
      </c>
      <c r="AB55" s="145">
        <v>2.7008705932412572E-2</v>
      </c>
      <c r="AC55" s="145">
        <v>0</v>
      </c>
      <c r="AD55" s="145">
        <v>0</v>
      </c>
      <c r="AE55" s="145">
        <v>0</v>
      </c>
      <c r="AF55" s="145">
        <v>0</v>
      </c>
      <c r="AG55" s="145">
        <v>0</v>
      </c>
      <c r="AH55" s="145">
        <v>0</v>
      </c>
      <c r="AI55" s="145">
        <v>0</v>
      </c>
      <c r="AJ55" s="145">
        <v>0</v>
      </c>
      <c r="AK55" s="145">
        <v>0.11999999346800064</v>
      </c>
      <c r="AL55" s="145">
        <v>0</v>
      </c>
      <c r="AM55" s="145">
        <v>7.0000000000000007E-2</v>
      </c>
      <c r="AN55" s="145">
        <v>0.20999999577900005</v>
      </c>
      <c r="AO55" s="145">
        <v>2.5000000000000001E-2</v>
      </c>
      <c r="AP55" s="145">
        <v>0</v>
      </c>
      <c r="AQ55" s="145">
        <v>9.9000000000000005E-2</v>
      </c>
      <c r="AR55" s="145">
        <v>0.24</v>
      </c>
      <c r="AS55" s="145">
        <v>6.5000000000000002E-2</v>
      </c>
      <c r="AT55" s="145">
        <v>0</v>
      </c>
      <c r="AU55" s="145">
        <v>2.9999991726000548E-2</v>
      </c>
      <c r="AV55" s="145">
        <v>0.3</v>
      </c>
      <c r="AW55" s="145">
        <v>0.3</v>
      </c>
      <c r="AX55" s="145">
        <v>0</v>
      </c>
      <c r="AY55" s="145">
        <v>0</v>
      </c>
      <c r="AZ55" s="145">
        <v>0</v>
      </c>
      <c r="BA55" s="145">
        <v>0</v>
      </c>
      <c r="BB55" s="145">
        <v>0</v>
      </c>
      <c r="BC55" s="145">
        <v>0</v>
      </c>
      <c r="BD55" s="145">
        <v>0</v>
      </c>
      <c r="BE55" s="145">
        <v>0</v>
      </c>
    </row>
    <row r="56" spans="1:57" x14ac:dyDescent="0.15">
      <c r="A56" s="183" t="s">
        <v>246</v>
      </c>
      <c r="B56" s="145">
        <v>0</v>
      </c>
      <c r="C56" s="145">
        <v>0</v>
      </c>
      <c r="D56" s="145">
        <v>0</v>
      </c>
      <c r="E56" s="145">
        <v>0</v>
      </c>
      <c r="F56" s="145">
        <v>0</v>
      </c>
      <c r="G56" s="145">
        <v>0</v>
      </c>
      <c r="H56" s="145">
        <v>0</v>
      </c>
      <c r="I56" s="145">
        <v>0</v>
      </c>
      <c r="J56" s="145">
        <v>0.57599999185760054</v>
      </c>
      <c r="K56" s="145">
        <v>0</v>
      </c>
      <c r="L56" s="145">
        <v>0</v>
      </c>
      <c r="M56" s="145">
        <v>0</v>
      </c>
      <c r="N56" s="145">
        <v>0</v>
      </c>
      <c r="O56" s="145">
        <v>9.9999521829991223E-3</v>
      </c>
      <c r="P56" s="145">
        <v>1.9995383508090478E-2</v>
      </c>
      <c r="Q56" s="145">
        <v>0</v>
      </c>
      <c r="R56" s="145">
        <v>0</v>
      </c>
      <c r="S56" s="145">
        <v>0</v>
      </c>
      <c r="T56" s="145">
        <v>0</v>
      </c>
      <c r="U56" s="145">
        <v>0.29002518017984974</v>
      </c>
      <c r="V56" s="145">
        <v>0</v>
      </c>
      <c r="W56" s="145">
        <v>0</v>
      </c>
      <c r="X56" s="145">
        <v>0</v>
      </c>
      <c r="Y56" s="145">
        <v>0.11008447401337143</v>
      </c>
      <c r="Z56" s="145">
        <v>5.9959458858971498E-2</v>
      </c>
      <c r="AA56" s="145">
        <v>1.0005054295598812E-3</v>
      </c>
      <c r="AB56" s="145">
        <v>0.10403351904336738</v>
      </c>
      <c r="AC56" s="145">
        <v>0</v>
      </c>
      <c r="AD56" s="145">
        <v>0</v>
      </c>
      <c r="AE56" s="145">
        <v>0</v>
      </c>
      <c r="AF56" s="145">
        <v>0</v>
      </c>
      <c r="AG56" s="145">
        <v>1.3992658193698123E-2</v>
      </c>
      <c r="AH56" s="145">
        <v>0</v>
      </c>
      <c r="AI56" s="145">
        <v>4.9973307214477403E-2</v>
      </c>
      <c r="AJ56" s="145">
        <v>0</v>
      </c>
      <c r="AK56" s="145">
        <v>0.19999999878000013</v>
      </c>
      <c r="AL56" s="145">
        <v>0</v>
      </c>
      <c r="AM56" s="145">
        <v>0.52</v>
      </c>
      <c r="AN56" s="145">
        <v>0.20999999577900005</v>
      </c>
      <c r="AO56" s="145">
        <v>0.05</v>
      </c>
      <c r="AP56" s="145">
        <v>0</v>
      </c>
      <c r="AQ56" s="145">
        <v>0.47</v>
      </c>
      <c r="AR56" s="145">
        <v>0.5</v>
      </c>
      <c r="AS56" s="145">
        <v>0.57999999999999996</v>
      </c>
      <c r="AT56" s="145">
        <v>0.05</v>
      </c>
      <c r="AU56" s="145">
        <v>0</v>
      </c>
      <c r="AV56" s="145">
        <v>0.5</v>
      </c>
      <c r="AW56" s="145">
        <v>0.5</v>
      </c>
      <c r="AX56" s="145">
        <v>0</v>
      </c>
      <c r="AY56" s="145">
        <v>0</v>
      </c>
      <c r="AZ56" s="145">
        <v>0.1</v>
      </c>
      <c r="BA56" s="145">
        <v>0</v>
      </c>
      <c r="BB56" s="145">
        <v>0</v>
      </c>
      <c r="BC56" s="145">
        <v>0</v>
      </c>
      <c r="BD56" s="145">
        <v>0</v>
      </c>
      <c r="BE56" s="145">
        <v>0</v>
      </c>
    </row>
    <row r="57" spans="1:57" x14ac:dyDescent="0.15">
      <c r="A57" s="183" t="s">
        <v>247</v>
      </c>
      <c r="B57" s="145">
        <v>0</v>
      </c>
      <c r="C57" s="145">
        <v>0</v>
      </c>
      <c r="D57" s="145">
        <v>0</v>
      </c>
      <c r="E57" s="145">
        <v>0</v>
      </c>
      <c r="F57" s="145">
        <v>0</v>
      </c>
      <c r="G57" s="145">
        <v>0</v>
      </c>
      <c r="H57" s="145">
        <v>0</v>
      </c>
      <c r="I57" s="145">
        <v>0</v>
      </c>
      <c r="J57" s="145">
        <v>0</v>
      </c>
      <c r="K57" s="145">
        <v>0</v>
      </c>
      <c r="L57" s="145">
        <v>0</v>
      </c>
      <c r="M57" s="145">
        <v>0</v>
      </c>
      <c r="N57" s="145">
        <v>0</v>
      </c>
      <c r="O57" s="145">
        <v>0</v>
      </c>
      <c r="P57" s="145">
        <v>0</v>
      </c>
      <c r="Q57" s="145">
        <v>0</v>
      </c>
      <c r="R57" s="145">
        <v>0</v>
      </c>
      <c r="S57" s="145">
        <v>0</v>
      </c>
      <c r="T57" s="145">
        <v>0</v>
      </c>
      <c r="U57" s="145">
        <v>0</v>
      </c>
      <c r="V57" s="145">
        <v>0</v>
      </c>
      <c r="W57" s="145">
        <v>0</v>
      </c>
      <c r="X57" s="145">
        <v>0</v>
      </c>
      <c r="Y57" s="145">
        <v>0</v>
      </c>
      <c r="Z57" s="145">
        <v>0</v>
      </c>
      <c r="AA57" s="145">
        <v>0</v>
      </c>
      <c r="AB57" s="145">
        <v>0</v>
      </c>
      <c r="AC57" s="145">
        <v>0</v>
      </c>
      <c r="AD57" s="145">
        <v>0</v>
      </c>
      <c r="AE57" s="145">
        <v>0</v>
      </c>
      <c r="AF57" s="145">
        <v>0</v>
      </c>
      <c r="AG57" s="145">
        <v>0</v>
      </c>
      <c r="AH57" s="145">
        <v>0</v>
      </c>
      <c r="AI57" s="145">
        <v>0</v>
      </c>
      <c r="AJ57" s="145">
        <v>0</v>
      </c>
      <c r="AK57" s="145">
        <v>0</v>
      </c>
      <c r="AL57" s="145">
        <v>0</v>
      </c>
      <c r="AM57" s="145">
        <v>0</v>
      </c>
      <c r="AN57" s="145">
        <v>0</v>
      </c>
      <c r="AO57" s="145">
        <v>0</v>
      </c>
      <c r="AP57" s="145">
        <v>0</v>
      </c>
      <c r="AQ57" s="145">
        <v>0</v>
      </c>
      <c r="AR57" s="145">
        <v>0</v>
      </c>
      <c r="AS57" s="145">
        <v>0</v>
      </c>
      <c r="AT57" s="145">
        <v>0</v>
      </c>
      <c r="AU57" s="145">
        <v>0</v>
      </c>
      <c r="AV57" s="145">
        <v>0</v>
      </c>
      <c r="AW57" s="145">
        <v>0</v>
      </c>
      <c r="AX57" s="145">
        <v>0</v>
      </c>
      <c r="AY57" s="145">
        <v>0</v>
      </c>
      <c r="AZ57" s="145">
        <v>0</v>
      </c>
      <c r="BA57" s="145">
        <v>0</v>
      </c>
      <c r="BB57" s="145">
        <v>0</v>
      </c>
      <c r="BC57" s="145">
        <v>0</v>
      </c>
      <c r="BD57" s="145">
        <v>0</v>
      </c>
      <c r="BE57" s="145">
        <v>0</v>
      </c>
    </row>
    <row r="58" spans="1:57" x14ac:dyDescent="0.15">
      <c r="A58" s="183" t="s">
        <v>249</v>
      </c>
      <c r="B58" s="145">
        <v>0</v>
      </c>
      <c r="C58" s="145">
        <v>0</v>
      </c>
      <c r="D58" s="145">
        <v>0</v>
      </c>
      <c r="E58" s="145">
        <v>0</v>
      </c>
      <c r="F58" s="145">
        <v>0</v>
      </c>
      <c r="G58" s="145">
        <v>0</v>
      </c>
      <c r="H58" s="145">
        <v>0</v>
      </c>
      <c r="I58" s="145">
        <v>0</v>
      </c>
      <c r="J58" s="145">
        <v>0</v>
      </c>
      <c r="K58" s="145">
        <v>0</v>
      </c>
      <c r="L58" s="145">
        <v>0</v>
      </c>
      <c r="M58" s="145">
        <v>0</v>
      </c>
      <c r="N58" s="145">
        <v>0</v>
      </c>
      <c r="O58" s="145">
        <v>0</v>
      </c>
      <c r="P58" s="145">
        <v>0</v>
      </c>
      <c r="Q58" s="145">
        <v>0</v>
      </c>
      <c r="R58" s="145">
        <v>0</v>
      </c>
      <c r="S58" s="145">
        <v>0</v>
      </c>
      <c r="T58" s="145">
        <v>0</v>
      </c>
      <c r="U58" s="145">
        <v>0</v>
      </c>
      <c r="V58" s="145">
        <v>0</v>
      </c>
      <c r="W58" s="145">
        <v>0</v>
      </c>
      <c r="X58" s="145">
        <v>0</v>
      </c>
      <c r="Y58" s="145">
        <v>0</v>
      </c>
      <c r="Z58" s="145">
        <v>0</v>
      </c>
      <c r="AA58" s="145">
        <v>0</v>
      </c>
      <c r="AB58" s="145">
        <v>0</v>
      </c>
      <c r="AC58" s="145">
        <v>0</v>
      </c>
      <c r="AD58" s="145">
        <v>0</v>
      </c>
      <c r="AE58" s="145">
        <v>0</v>
      </c>
      <c r="AF58" s="145">
        <v>0</v>
      </c>
      <c r="AG58" s="145">
        <v>0</v>
      </c>
      <c r="AH58" s="145">
        <v>0</v>
      </c>
      <c r="AI58" s="145">
        <v>0</v>
      </c>
      <c r="AJ58" s="145">
        <v>0</v>
      </c>
      <c r="AK58" s="145">
        <v>0</v>
      </c>
      <c r="AL58" s="145">
        <v>0</v>
      </c>
      <c r="AM58" s="145">
        <v>0</v>
      </c>
      <c r="AN58" s="145">
        <v>0</v>
      </c>
      <c r="AO58" s="145">
        <v>0</v>
      </c>
      <c r="AP58" s="145">
        <v>0</v>
      </c>
      <c r="AQ58" s="145">
        <v>0</v>
      </c>
      <c r="AR58" s="145">
        <v>0</v>
      </c>
      <c r="AS58" s="145">
        <v>0</v>
      </c>
      <c r="AT58" s="145">
        <v>0</v>
      </c>
      <c r="AU58" s="145">
        <v>0</v>
      </c>
      <c r="AV58" s="145">
        <v>0</v>
      </c>
      <c r="AW58" s="145">
        <v>0</v>
      </c>
      <c r="AX58" s="145">
        <v>0</v>
      </c>
      <c r="AY58" s="145">
        <v>0</v>
      </c>
      <c r="AZ58" s="145">
        <v>0</v>
      </c>
      <c r="BA58" s="145">
        <v>0</v>
      </c>
      <c r="BB58" s="145">
        <v>0</v>
      </c>
      <c r="BC58" s="145">
        <v>0</v>
      </c>
      <c r="BD58" s="145">
        <v>1</v>
      </c>
      <c r="BE58" s="145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43" activePane="bottomRight" state="frozen"/>
      <selection pane="topRight" activeCell="C1" sqref="C1"/>
      <selection pane="bottomLeft" activeCell="A2" sqref="A2"/>
      <selection pane="bottomRight" activeCell="G59" sqref="G59"/>
    </sheetView>
  </sheetViews>
  <sheetFormatPr baseColWidth="10" defaultColWidth="8.83203125" defaultRowHeight="13" x14ac:dyDescent="0.15"/>
  <cols>
    <col min="1" max="1" width="3.33203125" customWidth="1"/>
    <col min="2" max="2" width="24.83203125" customWidth="1"/>
    <col min="3" max="4" width="18.83203125" style="114" customWidth="1"/>
    <col min="5" max="6" width="18.83203125" style="113" customWidth="1"/>
    <col min="7" max="8" width="8.83203125" style="114"/>
  </cols>
  <sheetData>
    <row r="1" spans="1:8" ht="70" x14ac:dyDescent="0.15">
      <c r="A1" s="5" t="s">
        <v>20</v>
      </c>
      <c r="B1" s="1" t="s">
        <v>0</v>
      </c>
      <c r="C1" s="186" t="s">
        <v>246</v>
      </c>
      <c r="D1" s="186" t="s">
        <v>247</v>
      </c>
      <c r="E1" s="186" t="s">
        <v>250</v>
      </c>
      <c r="F1" s="186" t="s">
        <v>251</v>
      </c>
      <c r="G1"/>
      <c r="H1"/>
    </row>
    <row r="2" spans="1:8" x14ac:dyDescent="0.15">
      <c r="A2">
        <v>1</v>
      </c>
      <c r="B2" s="185" t="s">
        <v>192</v>
      </c>
      <c r="C2" s="114">
        <v>1</v>
      </c>
      <c r="D2" s="114">
        <v>0</v>
      </c>
      <c r="E2" s="113">
        <v>0</v>
      </c>
      <c r="F2" s="113">
        <v>1</v>
      </c>
      <c r="G2"/>
      <c r="H2"/>
    </row>
    <row r="3" spans="1:8" x14ac:dyDescent="0.15">
      <c r="A3">
        <v>2</v>
      </c>
      <c r="B3" s="185" t="s">
        <v>193</v>
      </c>
      <c r="C3" s="114">
        <v>1</v>
      </c>
      <c r="D3" s="114">
        <v>0</v>
      </c>
      <c r="E3" s="113">
        <v>0</v>
      </c>
      <c r="F3" s="113">
        <v>1</v>
      </c>
      <c r="G3"/>
      <c r="H3"/>
    </row>
    <row r="4" spans="1:8" x14ac:dyDescent="0.15">
      <c r="A4">
        <v>3</v>
      </c>
      <c r="B4" s="185" t="s">
        <v>194</v>
      </c>
      <c r="C4" s="114">
        <v>1</v>
      </c>
      <c r="D4" s="114">
        <v>0</v>
      </c>
      <c r="E4" s="113">
        <v>0</v>
      </c>
      <c r="F4" s="113">
        <v>1</v>
      </c>
      <c r="G4"/>
      <c r="H4"/>
    </row>
    <row r="5" spans="1:8" x14ac:dyDescent="0.15">
      <c r="A5">
        <v>4</v>
      </c>
      <c r="B5" s="185" t="s">
        <v>195</v>
      </c>
      <c r="C5" s="114">
        <v>1</v>
      </c>
      <c r="D5" s="114">
        <v>0</v>
      </c>
      <c r="E5" s="113">
        <v>0</v>
      </c>
      <c r="F5" s="113">
        <v>1</v>
      </c>
      <c r="G5"/>
      <c r="H5"/>
    </row>
    <row r="6" spans="1:8" x14ac:dyDescent="0.15">
      <c r="A6">
        <v>5</v>
      </c>
      <c r="B6" s="185" t="s">
        <v>196</v>
      </c>
      <c r="C6" s="114">
        <v>1</v>
      </c>
      <c r="D6" s="114">
        <v>0</v>
      </c>
      <c r="E6" s="113">
        <v>0</v>
      </c>
      <c r="F6" s="113">
        <v>1</v>
      </c>
      <c r="G6"/>
      <c r="H6"/>
    </row>
    <row r="7" spans="1:8" x14ac:dyDescent="0.15">
      <c r="A7">
        <v>6</v>
      </c>
      <c r="B7" s="185" t="s">
        <v>197</v>
      </c>
      <c r="C7" s="114">
        <v>1</v>
      </c>
      <c r="D7" s="114">
        <v>0</v>
      </c>
      <c r="E7" s="113">
        <v>0</v>
      </c>
      <c r="F7" s="113">
        <v>1</v>
      </c>
      <c r="G7"/>
      <c r="H7"/>
    </row>
    <row r="8" spans="1:8" x14ac:dyDescent="0.15">
      <c r="A8">
        <v>7</v>
      </c>
      <c r="B8" s="185" t="s">
        <v>198</v>
      </c>
      <c r="C8" s="114">
        <v>1</v>
      </c>
      <c r="D8" s="114">
        <v>0</v>
      </c>
      <c r="E8" s="113">
        <v>0</v>
      </c>
      <c r="F8" s="113">
        <v>1</v>
      </c>
      <c r="G8"/>
      <c r="H8"/>
    </row>
    <row r="9" spans="1:8" x14ac:dyDescent="0.15">
      <c r="A9">
        <v>8</v>
      </c>
      <c r="B9" s="185" t="s">
        <v>199</v>
      </c>
      <c r="C9" s="114">
        <v>1</v>
      </c>
      <c r="D9" s="114">
        <v>0</v>
      </c>
      <c r="E9" s="113">
        <v>0</v>
      </c>
      <c r="F9" s="113">
        <v>1</v>
      </c>
      <c r="G9"/>
      <c r="H9"/>
    </row>
    <row r="10" spans="1:8" x14ac:dyDescent="0.15">
      <c r="A10">
        <v>9</v>
      </c>
      <c r="B10" s="185" t="s">
        <v>200</v>
      </c>
      <c r="C10" s="114">
        <v>1</v>
      </c>
      <c r="D10" s="114">
        <v>0</v>
      </c>
      <c r="E10" s="113">
        <v>0</v>
      </c>
      <c r="F10" s="113">
        <v>1</v>
      </c>
      <c r="G10"/>
      <c r="H10"/>
    </row>
    <row r="11" spans="1:8" x14ac:dyDescent="0.15">
      <c r="A11">
        <v>10</v>
      </c>
      <c r="B11" s="185" t="s">
        <v>201</v>
      </c>
      <c r="C11" s="114">
        <v>1</v>
      </c>
      <c r="D11" s="114">
        <v>0</v>
      </c>
      <c r="E11" s="113">
        <v>0</v>
      </c>
      <c r="F11" s="113">
        <v>1</v>
      </c>
      <c r="G11"/>
      <c r="H11"/>
    </row>
    <row r="12" spans="1:8" x14ac:dyDescent="0.15">
      <c r="A12">
        <v>11</v>
      </c>
      <c r="B12" s="185" t="s">
        <v>202</v>
      </c>
      <c r="C12" s="114">
        <v>1</v>
      </c>
      <c r="D12" s="114">
        <v>0</v>
      </c>
      <c r="E12" s="113">
        <v>0</v>
      </c>
      <c r="F12" s="113">
        <v>1</v>
      </c>
      <c r="G12"/>
      <c r="H12"/>
    </row>
    <row r="13" spans="1:8" x14ac:dyDescent="0.15">
      <c r="A13">
        <v>12</v>
      </c>
      <c r="B13" s="185" t="s">
        <v>203</v>
      </c>
      <c r="C13" s="114">
        <v>1</v>
      </c>
      <c r="D13" s="114">
        <v>0</v>
      </c>
      <c r="E13" s="113">
        <v>0</v>
      </c>
      <c r="F13" s="113">
        <v>1</v>
      </c>
      <c r="G13"/>
      <c r="H13"/>
    </row>
    <row r="14" spans="1:8" x14ac:dyDescent="0.15">
      <c r="A14">
        <v>13</v>
      </c>
      <c r="B14" s="185" t="s">
        <v>204</v>
      </c>
      <c r="C14" s="114">
        <v>1</v>
      </c>
      <c r="D14" s="114">
        <v>0</v>
      </c>
      <c r="E14" s="113">
        <v>0</v>
      </c>
      <c r="F14" s="113">
        <v>1</v>
      </c>
      <c r="G14"/>
      <c r="H14"/>
    </row>
    <row r="15" spans="1:8" x14ac:dyDescent="0.15">
      <c r="A15">
        <v>14</v>
      </c>
      <c r="B15" s="185" t="s">
        <v>205</v>
      </c>
      <c r="C15" s="114">
        <v>1</v>
      </c>
      <c r="D15" s="114">
        <v>0</v>
      </c>
      <c r="E15" s="113">
        <v>0</v>
      </c>
      <c r="F15" s="113">
        <v>1</v>
      </c>
      <c r="G15"/>
      <c r="H15"/>
    </row>
    <row r="16" spans="1:8" x14ac:dyDescent="0.15">
      <c r="A16">
        <v>15</v>
      </c>
      <c r="B16" s="185" t="s">
        <v>206</v>
      </c>
      <c r="C16" s="114">
        <v>1</v>
      </c>
      <c r="D16" s="114">
        <v>0</v>
      </c>
      <c r="E16" s="113">
        <v>0</v>
      </c>
      <c r="F16" s="113">
        <v>1</v>
      </c>
      <c r="G16"/>
      <c r="H16"/>
    </row>
    <row r="17" spans="1:8" ht="15" customHeight="1" x14ac:dyDescent="0.15">
      <c r="A17">
        <v>16</v>
      </c>
      <c r="B17" s="185" t="s">
        <v>207</v>
      </c>
      <c r="C17" s="114">
        <v>1</v>
      </c>
      <c r="D17" s="114">
        <v>0</v>
      </c>
      <c r="E17" s="113">
        <v>0</v>
      </c>
      <c r="F17" s="113">
        <v>1</v>
      </c>
      <c r="G17"/>
      <c r="H17"/>
    </row>
    <row r="18" spans="1:8" ht="15" customHeight="1" x14ac:dyDescent="0.15">
      <c r="A18">
        <v>17</v>
      </c>
      <c r="B18" s="185" t="s">
        <v>208</v>
      </c>
      <c r="C18" s="114">
        <v>1</v>
      </c>
      <c r="D18" s="114">
        <v>0</v>
      </c>
      <c r="E18" s="113">
        <v>0</v>
      </c>
      <c r="F18" s="113">
        <v>1</v>
      </c>
      <c r="G18"/>
      <c r="H18"/>
    </row>
    <row r="19" spans="1:8" ht="15" customHeight="1" x14ac:dyDescent="0.15">
      <c r="A19">
        <v>18</v>
      </c>
      <c r="B19" s="185" t="s">
        <v>209</v>
      </c>
      <c r="C19" s="114">
        <v>1</v>
      </c>
      <c r="D19" s="114">
        <v>0</v>
      </c>
      <c r="E19" s="113">
        <v>0</v>
      </c>
      <c r="F19" s="113">
        <v>1</v>
      </c>
      <c r="G19"/>
      <c r="H19"/>
    </row>
    <row r="20" spans="1:8" ht="15" customHeight="1" x14ac:dyDescent="0.15">
      <c r="A20">
        <v>19</v>
      </c>
      <c r="B20" s="185" t="s">
        <v>210</v>
      </c>
      <c r="C20" s="114">
        <v>1</v>
      </c>
      <c r="D20" s="114">
        <v>0</v>
      </c>
      <c r="E20" s="113">
        <v>0</v>
      </c>
      <c r="F20" s="113">
        <v>1</v>
      </c>
      <c r="G20"/>
      <c r="H20"/>
    </row>
    <row r="21" spans="1:8" ht="15" customHeight="1" x14ac:dyDescent="0.15">
      <c r="A21">
        <v>20</v>
      </c>
      <c r="B21" s="185" t="s">
        <v>211</v>
      </c>
      <c r="C21" s="114">
        <v>1</v>
      </c>
      <c r="D21" s="114">
        <v>0</v>
      </c>
      <c r="E21" s="113">
        <v>0</v>
      </c>
      <c r="F21" s="113">
        <v>1</v>
      </c>
      <c r="G21"/>
      <c r="H21"/>
    </row>
    <row r="22" spans="1:8" ht="15" customHeight="1" x14ac:dyDescent="0.15">
      <c r="A22">
        <v>21</v>
      </c>
      <c r="B22" s="185" t="s">
        <v>212</v>
      </c>
      <c r="C22" s="114">
        <v>1</v>
      </c>
      <c r="D22" s="114">
        <v>0</v>
      </c>
      <c r="E22" s="113">
        <v>0</v>
      </c>
      <c r="F22" s="113">
        <v>1</v>
      </c>
      <c r="G22"/>
      <c r="H22"/>
    </row>
    <row r="23" spans="1:8" ht="15" customHeight="1" x14ac:dyDescent="0.15">
      <c r="A23">
        <v>22</v>
      </c>
      <c r="B23" s="185" t="s">
        <v>213</v>
      </c>
      <c r="C23" s="114">
        <v>1</v>
      </c>
      <c r="D23" s="114">
        <v>0</v>
      </c>
      <c r="E23" s="113">
        <v>0</v>
      </c>
      <c r="F23" s="113">
        <v>1</v>
      </c>
      <c r="G23"/>
      <c r="H23"/>
    </row>
    <row r="24" spans="1:8" ht="15" customHeight="1" x14ac:dyDescent="0.15">
      <c r="A24">
        <v>23</v>
      </c>
      <c r="B24" s="185" t="s">
        <v>214</v>
      </c>
      <c r="C24" s="114">
        <v>1</v>
      </c>
      <c r="D24" s="114">
        <v>0</v>
      </c>
      <c r="E24" s="113">
        <v>0</v>
      </c>
      <c r="F24" s="113">
        <v>1</v>
      </c>
      <c r="G24"/>
      <c r="H24"/>
    </row>
    <row r="25" spans="1:8" ht="15" customHeight="1" x14ac:dyDescent="0.15">
      <c r="A25">
        <v>24</v>
      </c>
      <c r="B25" s="185" t="s">
        <v>215</v>
      </c>
      <c r="C25" s="114">
        <v>1</v>
      </c>
      <c r="D25" s="114">
        <v>0</v>
      </c>
      <c r="E25" s="113">
        <v>0</v>
      </c>
      <c r="F25" s="113">
        <v>1</v>
      </c>
      <c r="G25"/>
      <c r="H25"/>
    </row>
    <row r="26" spans="1:8" ht="15" customHeight="1" x14ac:dyDescent="0.15">
      <c r="A26">
        <v>25</v>
      </c>
      <c r="B26" s="185" t="s">
        <v>216</v>
      </c>
      <c r="C26" s="114">
        <v>1</v>
      </c>
      <c r="D26" s="114">
        <v>0</v>
      </c>
      <c r="E26" s="113">
        <v>0</v>
      </c>
      <c r="F26" s="113">
        <v>1</v>
      </c>
      <c r="G26"/>
      <c r="H26"/>
    </row>
    <row r="27" spans="1:8" ht="15" customHeight="1" x14ac:dyDescent="0.15">
      <c r="A27">
        <v>26</v>
      </c>
      <c r="B27" s="185" t="s">
        <v>217</v>
      </c>
      <c r="C27" s="114">
        <v>1</v>
      </c>
      <c r="D27" s="114">
        <v>0</v>
      </c>
      <c r="E27" s="113">
        <v>0</v>
      </c>
      <c r="F27" s="113">
        <v>1</v>
      </c>
      <c r="G27"/>
      <c r="H27"/>
    </row>
    <row r="28" spans="1:8" ht="15" customHeight="1" x14ac:dyDescent="0.15">
      <c r="A28">
        <v>27</v>
      </c>
      <c r="B28" s="185" t="s">
        <v>218</v>
      </c>
      <c r="C28" s="114">
        <v>1</v>
      </c>
      <c r="D28" s="114">
        <v>0</v>
      </c>
      <c r="E28" s="113">
        <v>0</v>
      </c>
      <c r="F28" s="113">
        <v>1</v>
      </c>
      <c r="G28"/>
      <c r="H28"/>
    </row>
    <row r="29" spans="1:8" ht="15" customHeight="1" x14ac:dyDescent="0.15">
      <c r="A29">
        <v>28</v>
      </c>
      <c r="B29" s="185" t="s">
        <v>219</v>
      </c>
      <c r="C29" s="114">
        <v>1</v>
      </c>
      <c r="D29" s="114">
        <v>0</v>
      </c>
      <c r="E29" s="113">
        <v>0</v>
      </c>
      <c r="F29" s="113">
        <v>1</v>
      </c>
      <c r="G29"/>
      <c r="H29"/>
    </row>
    <row r="30" spans="1:8" ht="15" customHeight="1" x14ac:dyDescent="0.15">
      <c r="A30">
        <v>29</v>
      </c>
      <c r="B30" s="185" t="s">
        <v>220</v>
      </c>
      <c r="C30" s="114">
        <v>1</v>
      </c>
      <c r="D30" s="114">
        <v>0</v>
      </c>
      <c r="E30" s="113">
        <v>0</v>
      </c>
      <c r="F30" s="113">
        <v>1</v>
      </c>
      <c r="G30"/>
      <c r="H30"/>
    </row>
    <row r="31" spans="1:8" ht="15" customHeight="1" x14ac:dyDescent="0.15">
      <c r="A31">
        <v>30</v>
      </c>
      <c r="B31" s="185" t="s">
        <v>221</v>
      </c>
      <c r="C31" s="114">
        <v>1</v>
      </c>
      <c r="D31" s="114">
        <v>0</v>
      </c>
      <c r="E31" s="113">
        <v>0</v>
      </c>
      <c r="F31" s="113">
        <v>1</v>
      </c>
      <c r="G31"/>
      <c r="H31"/>
    </row>
    <row r="32" spans="1:8" ht="15" customHeight="1" x14ac:dyDescent="0.15">
      <c r="A32">
        <v>31</v>
      </c>
      <c r="B32" s="185" t="s">
        <v>222</v>
      </c>
      <c r="C32" s="114">
        <v>1</v>
      </c>
      <c r="D32" s="114">
        <v>0</v>
      </c>
      <c r="E32" s="113">
        <v>0</v>
      </c>
      <c r="F32" s="113">
        <v>1</v>
      </c>
    </row>
    <row r="33" spans="1:8" ht="15" customHeight="1" x14ac:dyDescent="0.15">
      <c r="A33">
        <v>32</v>
      </c>
      <c r="B33" s="185" t="s">
        <v>223</v>
      </c>
      <c r="C33" s="114">
        <v>1</v>
      </c>
      <c r="D33" s="114">
        <v>0</v>
      </c>
      <c r="E33" s="113">
        <v>0</v>
      </c>
      <c r="F33" s="113">
        <v>1</v>
      </c>
    </row>
    <row r="34" spans="1:8" ht="15" customHeight="1" x14ac:dyDescent="0.15">
      <c r="A34">
        <v>33</v>
      </c>
      <c r="B34" s="185" t="s">
        <v>224</v>
      </c>
      <c r="C34" s="114">
        <v>1</v>
      </c>
      <c r="D34" s="114">
        <v>0</v>
      </c>
      <c r="E34" s="113">
        <v>0</v>
      </c>
      <c r="F34" s="113">
        <v>1</v>
      </c>
    </row>
    <row r="35" spans="1:8" ht="15" customHeight="1" x14ac:dyDescent="0.15">
      <c r="A35">
        <v>34</v>
      </c>
      <c r="B35" s="185" t="s">
        <v>225</v>
      </c>
      <c r="C35" s="114">
        <v>1</v>
      </c>
      <c r="D35" s="114">
        <v>0</v>
      </c>
      <c r="E35" s="113">
        <v>0</v>
      </c>
      <c r="F35" s="113">
        <v>1</v>
      </c>
    </row>
    <row r="36" spans="1:8" ht="15" customHeight="1" x14ac:dyDescent="0.15">
      <c r="A36">
        <v>35</v>
      </c>
      <c r="B36" s="185" t="s">
        <v>226</v>
      </c>
      <c r="C36" s="114">
        <v>1</v>
      </c>
      <c r="D36" s="114">
        <v>0</v>
      </c>
      <c r="E36" s="114">
        <v>0</v>
      </c>
      <c r="F36" s="114">
        <v>1</v>
      </c>
      <c r="G36"/>
      <c r="H36"/>
    </row>
    <row r="37" spans="1:8" ht="15" customHeight="1" x14ac:dyDescent="0.15">
      <c r="A37">
        <v>36</v>
      </c>
      <c r="B37" s="185" t="s">
        <v>227</v>
      </c>
      <c r="C37" s="114">
        <v>1</v>
      </c>
      <c r="D37" s="114">
        <v>0</v>
      </c>
      <c r="E37" s="114">
        <v>0</v>
      </c>
      <c r="F37" s="114">
        <v>1</v>
      </c>
      <c r="G37"/>
      <c r="H37"/>
    </row>
    <row r="38" spans="1:8" ht="15" customHeight="1" x14ac:dyDescent="0.15">
      <c r="A38">
        <v>37</v>
      </c>
      <c r="B38" s="185" t="s">
        <v>228</v>
      </c>
      <c r="C38" s="114">
        <v>1</v>
      </c>
      <c r="D38" s="114">
        <v>0</v>
      </c>
      <c r="E38" s="114">
        <v>0</v>
      </c>
      <c r="F38" s="114">
        <v>1</v>
      </c>
      <c r="G38"/>
      <c r="H38"/>
    </row>
    <row r="39" spans="1:8" ht="15" customHeight="1" x14ac:dyDescent="0.15">
      <c r="A39">
        <v>38</v>
      </c>
      <c r="B39" s="185" t="s">
        <v>229</v>
      </c>
      <c r="C39" s="114">
        <v>1</v>
      </c>
      <c r="D39" s="114">
        <v>0</v>
      </c>
      <c r="E39" s="114">
        <v>0</v>
      </c>
      <c r="F39" s="114">
        <v>1</v>
      </c>
      <c r="G39"/>
      <c r="H39"/>
    </row>
    <row r="40" spans="1:8" ht="15" customHeight="1" x14ac:dyDescent="0.15">
      <c r="A40">
        <v>39</v>
      </c>
      <c r="B40" s="185" t="s">
        <v>230</v>
      </c>
      <c r="C40" s="114">
        <v>1</v>
      </c>
      <c r="D40" s="114">
        <v>0</v>
      </c>
      <c r="E40" s="114">
        <v>0</v>
      </c>
      <c r="F40" s="114">
        <v>1</v>
      </c>
      <c r="G40"/>
      <c r="H40"/>
    </row>
    <row r="41" spans="1:8" ht="15" customHeight="1" x14ac:dyDescent="0.15">
      <c r="A41">
        <v>40</v>
      </c>
      <c r="B41" s="185" t="s">
        <v>231</v>
      </c>
      <c r="C41" s="114">
        <v>1</v>
      </c>
      <c r="D41" s="114">
        <v>0</v>
      </c>
      <c r="E41" s="114">
        <v>0</v>
      </c>
      <c r="F41" s="114">
        <v>1</v>
      </c>
      <c r="G41"/>
      <c r="H41"/>
    </row>
    <row r="42" spans="1:8" ht="15" customHeight="1" x14ac:dyDescent="0.15">
      <c r="A42">
        <v>41</v>
      </c>
      <c r="B42" s="185" t="s">
        <v>232</v>
      </c>
      <c r="C42" s="114">
        <v>1</v>
      </c>
      <c r="D42" s="114">
        <v>0</v>
      </c>
      <c r="E42" s="114">
        <v>0</v>
      </c>
      <c r="F42" s="114">
        <v>1</v>
      </c>
      <c r="G42"/>
      <c r="H42"/>
    </row>
    <row r="43" spans="1:8" ht="15" customHeight="1" x14ac:dyDescent="0.15">
      <c r="A43">
        <v>42</v>
      </c>
      <c r="B43" s="185" t="s">
        <v>233</v>
      </c>
      <c r="C43" s="114">
        <v>1</v>
      </c>
      <c r="D43" s="114">
        <v>0</v>
      </c>
      <c r="E43" s="114">
        <v>0</v>
      </c>
      <c r="F43" s="114">
        <v>1</v>
      </c>
      <c r="G43"/>
      <c r="H43"/>
    </row>
    <row r="44" spans="1:8" ht="15" customHeight="1" x14ac:dyDescent="0.15">
      <c r="A44">
        <v>43</v>
      </c>
      <c r="B44" s="185" t="s">
        <v>234</v>
      </c>
      <c r="C44" s="114">
        <v>1</v>
      </c>
      <c r="D44" s="114">
        <v>0</v>
      </c>
      <c r="E44" s="113">
        <v>0</v>
      </c>
      <c r="F44" s="113">
        <v>1</v>
      </c>
      <c r="G44"/>
      <c r="H44"/>
    </row>
    <row r="45" spans="1:8" ht="15" customHeight="1" x14ac:dyDescent="0.15">
      <c r="A45">
        <v>44</v>
      </c>
      <c r="B45" s="185" t="s">
        <v>235</v>
      </c>
      <c r="C45" s="114">
        <v>0</v>
      </c>
      <c r="D45" s="114">
        <v>0</v>
      </c>
      <c r="E45" s="113">
        <v>1</v>
      </c>
      <c r="F45" s="113">
        <v>1</v>
      </c>
      <c r="G45"/>
      <c r="H45"/>
    </row>
    <row r="46" spans="1:8" ht="15" customHeight="1" x14ac:dyDescent="0.15">
      <c r="A46">
        <v>45</v>
      </c>
      <c r="B46" s="185" t="s">
        <v>236</v>
      </c>
      <c r="C46" s="114">
        <v>1</v>
      </c>
      <c r="D46" s="114">
        <v>0</v>
      </c>
      <c r="E46" s="114">
        <v>0</v>
      </c>
      <c r="F46" s="114">
        <v>1</v>
      </c>
      <c r="G46"/>
      <c r="H46"/>
    </row>
    <row r="47" spans="1:8" ht="15" customHeight="1" x14ac:dyDescent="0.15">
      <c r="A47">
        <v>46</v>
      </c>
      <c r="B47" s="185" t="s">
        <v>237</v>
      </c>
      <c r="C47" s="114">
        <v>1</v>
      </c>
      <c r="D47" s="114">
        <v>0</v>
      </c>
      <c r="E47" s="113">
        <v>0</v>
      </c>
      <c r="F47" s="113">
        <v>1</v>
      </c>
      <c r="G47"/>
      <c r="H47"/>
    </row>
    <row r="48" spans="1:8" ht="15" customHeight="1" x14ac:dyDescent="0.15">
      <c r="A48">
        <v>47</v>
      </c>
      <c r="B48" s="185" t="s">
        <v>238</v>
      </c>
      <c r="C48" s="114">
        <v>1</v>
      </c>
      <c r="D48" s="114">
        <v>0</v>
      </c>
      <c r="E48" s="113">
        <v>0</v>
      </c>
      <c r="F48" s="113">
        <v>1</v>
      </c>
      <c r="G48"/>
      <c r="H48"/>
    </row>
    <row r="49" spans="1:8" ht="15" customHeight="1" x14ac:dyDescent="0.15">
      <c r="A49">
        <v>48</v>
      </c>
      <c r="B49" s="185" t="s">
        <v>239</v>
      </c>
      <c r="C49" s="114">
        <v>1</v>
      </c>
      <c r="D49" s="114">
        <v>0</v>
      </c>
      <c r="E49" s="113">
        <v>0</v>
      </c>
      <c r="F49" s="113">
        <v>1</v>
      </c>
      <c r="G49"/>
      <c r="H49"/>
    </row>
    <row r="50" spans="1:8" ht="15" customHeight="1" x14ac:dyDescent="0.15">
      <c r="A50">
        <v>49</v>
      </c>
      <c r="B50" s="185" t="s">
        <v>240</v>
      </c>
      <c r="C50" s="114">
        <v>1</v>
      </c>
      <c r="D50" s="114">
        <v>0</v>
      </c>
      <c r="E50" s="113">
        <v>0</v>
      </c>
      <c r="F50" s="113">
        <v>1</v>
      </c>
      <c r="G50"/>
      <c r="H50"/>
    </row>
    <row r="51" spans="1:8" ht="15" customHeight="1" x14ac:dyDescent="0.15">
      <c r="A51">
        <v>50</v>
      </c>
      <c r="B51" s="185" t="s">
        <v>241</v>
      </c>
      <c r="C51" s="114">
        <v>1</v>
      </c>
      <c r="D51" s="114">
        <v>0</v>
      </c>
      <c r="E51" s="113">
        <v>0</v>
      </c>
      <c r="F51" s="113">
        <v>1</v>
      </c>
      <c r="G51"/>
      <c r="H51"/>
    </row>
    <row r="52" spans="1:8" ht="15" customHeight="1" x14ac:dyDescent="0.15">
      <c r="A52">
        <v>51</v>
      </c>
      <c r="B52" s="185" t="s">
        <v>242</v>
      </c>
      <c r="C52" s="114">
        <v>1</v>
      </c>
      <c r="D52" s="114">
        <v>0</v>
      </c>
      <c r="E52" s="113">
        <v>0</v>
      </c>
      <c r="F52" s="113">
        <v>1</v>
      </c>
      <c r="G52"/>
      <c r="H52"/>
    </row>
    <row r="53" spans="1:8" ht="15" customHeight="1" x14ac:dyDescent="0.15">
      <c r="A53">
        <v>52</v>
      </c>
      <c r="B53" s="185" t="s">
        <v>243</v>
      </c>
      <c r="C53" s="114">
        <v>1</v>
      </c>
      <c r="D53" s="114">
        <v>0</v>
      </c>
      <c r="E53" s="113">
        <v>0</v>
      </c>
      <c r="F53" s="113">
        <v>1</v>
      </c>
      <c r="G53"/>
      <c r="H53"/>
    </row>
    <row r="54" spans="1:8" ht="15" customHeight="1" x14ac:dyDescent="0.15">
      <c r="A54">
        <v>53</v>
      </c>
      <c r="B54" s="185" t="s">
        <v>244</v>
      </c>
      <c r="C54" s="114">
        <v>1</v>
      </c>
      <c r="D54" s="114">
        <v>0</v>
      </c>
      <c r="E54" s="113">
        <v>0</v>
      </c>
      <c r="F54" s="113">
        <v>1</v>
      </c>
      <c r="G54"/>
      <c r="H54"/>
    </row>
    <row r="55" spans="1:8" ht="15" customHeight="1" x14ac:dyDescent="0.15">
      <c r="A55">
        <v>54</v>
      </c>
      <c r="B55" s="185" t="s">
        <v>245</v>
      </c>
      <c r="C55" s="114">
        <v>1</v>
      </c>
      <c r="D55" s="114">
        <v>0</v>
      </c>
      <c r="E55" s="113">
        <v>0</v>
      </c>
      <c r="F55" s="113">
        <v>1</v>
      </c>
      <c r="G55"/>
      <c r="H55"/>
    </row>
    <row r="56" spans="1:8" ht="15" customHeight="1" x14ac:dyDescent="0.15">
      <c r="A56">
        <v>55</v>
      </c>
      <c r="B56" s="185" t="s">
        <v>246</v>
      </c>
      <c r="C56" s="114">
        <v>0</v>
      </c>
      <c r="D56" s="114">
        <v>1</v>
      </c>
      <c r="E56" s="113">
        <v>0</v>
      </c>
      <c r="F56" s="113">
        <v>1</v>
      </c>
      <c r="G56"/>
      <c r="H56"/>
    </row>
    <row r="57" spans="1:8" ht="15" customHeight="1" x14ac:dyDescent="0.15">
      <c r="A57">
        <v>56</v>
      </c>
      <c r="B57" s="185" t="s">
        <v>247</v>
      </c>
      <c r="C57" s="114">
        <v>0</v>
      </c>
      <c r="D57" s="114">
        <v>0</v>
      </c>
      <c r="E57" s="113">
        <v>1</v>
      </c>
      <c r="F57" s="113">
        <v>1</v>
      </c>
      <c r="G57"/>
      <c r="H57"/>
    </row>
    <row r="58" spans="1:8" ht="15" customHeight="1" x14ac:dyDescent="0.15">
      <c r="A58">
        <v>57</v>
      </c>
      <c r="B58" s="185" t="s">
        <v>248</v>
      </c>
      <c r="C58" s="114">
        <v>0</v>
      </c>
      <c r="D58" s="114">
        <v>1</v>
      </c>
      <c r="E58" s="113">
        <v>0</v>
      </c>
      <c r="F58" s="113">
        <v>1</v>
      </c>
      <c r="G58"/>
      <c r="H58"/>
    </row>
    <row r="59" spans="1:8" ht="15" customHeight="1" x14ac:dyDescent="0.15">
      <c r="C59"/>
      <c r="D59"/>
      <c r="E59"/>
      <c r="F59"/>
      <c r="G59"/>
      <c r="H59"/>
    </row>
    <row r="60" spans="1:8" ht="15" customHeight="1" x14ac:dyDescent="0.15">
      <c r="C60"/>
      <c r="D60"/>
      <c r="E60"/>
      <c r="F60"/>
      <c r="G60"/>
      <c r="H60"/>
    </row>
    <row r="61" spans="1:8" ht="15" customHeight="1" x14ac:dyDescent="0.15">
      <c r="C61"/>
      <c r="D61"/>
      <c r="E61"/>
      <c r="F61"/>
      <c r="G61"/>
      <c r="H61"/>
    </row>
    <row r="62" spans="1:8" ht="15" customHeight="1" x14ac:dyDescent="0.15">
      <c r="C62"/>
      <c r="D62"/>
      <c r="E62"/>
      <c r="F62"/>
      <c r="G62"/>
      <c r="H62"/>
    </row>
    <row r="63" spans="1:8" ht="15" customHeight="1" x14ac:dyDescent="0.15">
      <c r="C63"/>
      <c r="D63"/>
      <c r="E63"/>
      <c r="F63"/>
      <c r="G63"/>
      <c r="H63"/>
    </row>
    <row r="64" spans="1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83203125" bestFit="1" customWidth="1"/>
    <col min="3" max="4" width="12.83203125" bestFit="1" customWidth="1"/>
    <col min="5" max="5" width="12.1640625" bestFit="1" customWidth="1"/>
  </cols>
  <sheetData>
    <row r="1" spans="1:5" s="115" customFormat="1" ht="112" x14ac:dyDescent="0.15">
      <c r="A1" s="5" t="s">
        <v>21</v>
      </c>
      <c r="B1" s="3" t="s">
        <v>0</v>
      </c>
      <c r="C1" s="188" t="s">
        <v>248</v>
      </c>
      <c r="D1" s="188" t="s">
        <v>252</v>
      </c>
      <c r="E1"/>
    </row>
    <row r="2" spans="1:5" ht="15" customHeight="1" x14ac:dyDescent="0.15">
      <c r="A2">
        <v>1</v>
      </c>
      <c r="B2" s="187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87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87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87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87" t="s">
        <v>196</v>
      </c>
      <c r="C6">
        <v>9.3502700000000008E-3</v>
      </c>
      <c r="D6">
        <v>9.3502700000000008E-3</v>
      </c>
    </row>
    <row r="7" spans="1:5" ht="15" customHeight="1" x14ac:dyDescent="0.15">
      <c r="A7">
        <v>6</v>
      </c>
      <c r="B7" s="187" t="s">
        <v>197</v>
      </c>
      <c r="C7">
        <v>0.114269339</v>
      </c>
      <c r="D7">
        <v>0.114269339</v>
      </c>
    </row>
    <row r="8" spans="1:5" ht="15" customHeight="1" x14ac:dyDescent="0.15">
      <c r="A8">
        <v>7</v>
      </c>
      <c r="B8" s="187" t="s">
        <v>198</v>
      </c>
      <c r="C8">
        <v>1.08548794E-2</v>
      </c>
      <c r="D8">
        <v>1.08548794E-2</v>
      </c>
    </row>
    <row r="9" spans="1:5" ht="15" customHeight="1" x14ac:dyDescent="0.15">
      <c r="A9">
        <v>8</v>
      </c>
      <c r="B9" s="187" t="s">
        <v>199</v>
      </c>
      <c r="C9">
        <v>7.6607499999999996E-4</v>
      </c>
      <c r="D9">
        <v>7.6607499999999996E-4</v>
      </c>
    </row>
    <row r="10" spans="1:5" ht="15" customHeight="1" x14ac:dyDescent="0.15">
      <c r="A10">
        <v>9</v>
      </c>
      <c r="B10" s="187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87" t="s">
        <v>201</v>
      </c>
      <c r="C11">
        <v>2.28962451E-2</v>
      </c>
      <c r="D11">
        <v>2.28962451E-2</v>
      </c>
    </row>
    <row r="12" spans="1:5" ht="15" customHeight="1" x14ac:dyDescent="0.15">
      <c r="A12">
        <v>11</v>
      </c>
      <c r="B12" s="187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87" t="s">
        <v>203</v>
      </c>
      <c r="C13">
        <v>2.2260567200000001E-2</v>
      </c>
      <c r="D13">
        <v>2.2260567200000001E-2</v>
      </c>
    </row>
    <row r="14" spans="1:5" ht="15" customHeight="1" x14ac:dyDescent="0.15">
      <c r="A14">
        <v>13</v>
      </c>
      <c r="B14" s="187" t="s">
        <v>204</v>
      </c>
      <c r="C14">
        <v>1.50741907E-2</v>
      </c>
      <c r="D14">
        <v>1.50741907E-2</v>
      </c>
    </row>
    <row r="15" spans="1:5" ht="15" customHeight="1" x14ac:dyDescent="0.15">
      <c r="A15">
        <v>14</v>
      </c>
      <c r="B15" s="187" t="s">
        <v>205</v>
      </c>
      <c r="C15">
        <v>6.8185135699999996E-2</v>
      </c>
      <c r="D15">
        <v>6.8185135699999996E-2</v>
      </c>
    </row>
    <row r="16" spans="1:5" ht="15" customHeight="1" x14ac:dyDescent="0.15">
      <c r="A16">
        <v>15</v>
      </c>
      <c r="B16" s="187" t="s">
        <v>206</v>
      </c>
      <c r="C16">
        <v>2.6472600000000001E-4</v>
      </c>
      <c r="D16">
        <v>2.6472600000000001E-4</v>
      </c>
    </row>
    <row r="17" spans="1:4" ht="15" customHeight="1" x14ac:dyDescent="0.15">
      <c r="A17">
        <v>16</v>
      </c>
      <c r="B17" s="187" t="s">
        <v>207</v>
      </c>
      <c r="C17">
        <v>4.1614210000000002E-3</v>
      </c>
      <c r="D17">
        <v>4.1614210000000002E-3</v>
      </c>
    </row>
    <row r="18" spans="1:4" ht="15" customHeight="1" x14ac:dyDescent="0.15">
      <c r="A18">
        <v>17</v>
      </c>
      <c r="B18" s="187" t="s">
        <v>208</v>
      </c>
      <c r="C18">
        <v>1.1241E-5</v>
      </c>
      <c r="D18">
        <v>1.1241E-5</v>
      </c>
    </row>
    <row r="19" spans="1:4" ht="15" customHeight="1" x14ac:dyDescent="0.15">
      <c r="A19">
        <v>18</v>
      </c>
      <c r="B19" s="187" t="s">
        <v>209</v>
      </c>
      <c r="C19">
        <v>3.159285E-3</v>
      </c>
      <c r="D19">
        <v>3.159285E-3</v>
      </c>
    </row>
    <row r="20" spans="1:4" ht="15" customHeight="1" x14ac:dyDescent="0.15">
      <c r="A20">
        <v>19</v>
      </c>
      <c r="B20" s="187" t="s">
        <v>210</v>
      </c>
      <c r="C20">
        <v>1.2482013599999999E-2</v>
      </c>
      <c r="D20">
        <v>1.2482013599999999E-2</v>
      </c>
    </row>
    <row r="21" spans="1:4" ht="15" customHeight="1" x14ac:dyDescent="0.15">
      <c r="A21">
        <v>20</v>
      </c>
      <c r="B21" s="187" t="s">
        <v>211</v>
      </c>
      <c r="C21">
        <v>6.3926479999999994E-2</v>
      </c>
      <c r="D21">
        <v>6.3926479999999994E-2</v>
      </c>
    </row>
    <row r="22" spans="1:4" ht="15" customHeight="1" x14ac:dyDescent="0.15">
      <c r="A22">
        <v>21</v>
      </c>
      <c r="B22" s="187" t="s">
        <v>212</v>
      </c>
      <c r="C22">
        <v>1.7981115700000001E-2</v>
      </c>
      <c r="D22">
        <v>1.7981115700000001E-2</v>
      </c>
    </row>
    <row r="23" spans="1:4" ht="15" customHeight="1" x14ac:dyDescent="0.15">
      <c r="A23">
        <v>22</v>
      </c>
      <c r="B23" s="187" t="s">
        <v>213</v>
      </c>
      <c r="C23">
        <v>0.1627962</v>
      </c>
      <c r="D23">
        <v>0.1627962</v>
      </c>
    </row>
    <row r="24" spans="1:4" ht="15" customHeight="1" x14ac:dyDescent="0.15">
      <c r="A24">
        <v>23</v>
      </c>
      <c r="B24" s="187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87" t="s">
        <v>215</v>
      </c>
      <c r="C25">
        <v>1.9997750000000001E-3</v>
      </c>
      <c r="D25">
        <v>1.9997750000000001E-3</v>
      </c>
    </row>
    <row r="26" spans="1:4" ht="15" customHeight="1" x14ac:dyDescent="0.15">
      <c r="A26">
        <v>25</v>
      </c>
      <c r="B26" s="187" t="s">
        <v>216</v>
      </c>
      <c r="C26">
        <v>7.0764949999999993E-2</v>
      </c>
      <c r="D26">
        <v>7.0764949999999993E-2</v>
      </c>
    </row>
    <row r="27" spans="1:4" ht="15" customHeight="1" x14ac:dyDescent="0.15">
      <c r="A27">
        <v>26</v>
      </c>
      <c r="B27" s="187" t="s">
        <v>217</v>
      </c>
      <c r="C27">
        <v>1.1595100000000001E-3</v>
      </c>
      <c r="D27">
        <v>1.1595100000000001E-3</v>
      </c>
    </row>
    <row r="28" spans="1:4" ht="15" customHeight="1" x14ac:dyDescent="0.15">
      <c r="A28">
        <v>27</v>
      </c>
      <c r="B28" s="187" t="s">
        <v>218</v>
      </c>
      <c r="C28">
        <v>3.4959500000000002E-4</v>
      </c>
      <c r="D28">
        <v>3.4959500000000002E-4</v>
      </c>
    </row>
    <row r="29" spans="1:4" ht="15" customHeight="1" x14ac:dyDescent="0.15">
      <c r="A29">
        <v>28</v>
      </c>
      <c r="B29" s="187" t="s">
        <v>219</v>
      </c>
      <c r="C29">
        <v>4.4963999999999998E-6</v>
      </c>
      <c r="D29">
        <v>4.4963999999999998E-6</v>
      </c>
    </row>
    <row r="30" spans="1:4" ht="15" customHeight="1" x14ac:dyDescent="0.15">
      <c r="A30">
        <v>29</v>
      </c>
      <c r="B30" s="187" t="s">
        <v>220</v>
      </c>
      <c r="C30">
        <v>1.711443E-3</v>
      </c>
      <c r="D30">
        <v>1.711443E-3</v>
      </c>
    </row>
    <row r="31" spans="1:4" ht="15" customHeight="1" x14ac:dyDescent="0.15">
      <c r="A31">
        <v>30</v>
      </c>
      <c r="B31" s="187" t="s">
        <v>221</v>
      </c>
      <c r="C31">
        <v>0.11355496900000001</v>
      </c>
      <c r="D31">
        <v>0.11355496900000001</v>
      </c>
    </row>
    <row r="32" spans="1:4" ht="15" customHeight="1" x14ac:dyDescent="0.15">
      <c r="A32">
        <v>31</v>
      </c>
      <c r="B32" s="187" t="s">
        <v>222</v>
      </c>
      <c r="C32">
        <v>1.1888713799999999</v>
      </c>
      <c r="D32">
        <v>1.1888713799999999</v>
      </c>
    </row>
    <row r="33" spans="1:4" ht="15" customHeight="1" x14ac:dyDescent="0.15">
      <c r="A33">
        <v>32</v>
      </c>
      <c r="B33" s="187" t="s">
        <v>223</v>
      </c>
      <c r="C33">
        <v>6.6918276299999996E-2</v>
      </c>
      <c r="D33">
        <v>6.6918276299999996E-2</v>
      </c>
    </row>
    <row r="34" spans="1:4" ht="15" customHeight="1" x14ac:dyDescent="0.15">
      <c r="A34">
        <v>33</v>
      </c>
      <c r="B34" s="187" t="s">
        <v>224</v>
      </c>
      <c r="C34">
        <v>0</v>
      </c>
      <c r="D34">
        <v>0</v>
      </c>
    </row>
    <row r="35" spans="1:4" ht="15" customHeight="1" x14ac:dyDescent="0.15">
      <c r="A35">
        <v>34</v>
      </c>
      <c r="B35" s="187" t="s">
        <v>225</v>
      </c>
      <c r="C35">
        <v>0.202061042</v>
      </c>
      <c r="D35">
        <v>0.202061042</v>
      </c>
    </row>
    <row r="36" spans="1:4" ht="15" customHeight="1" x14ac:dyDescent="0.15">
      <c r="A36">
        <v>35</v>
      </c>
      <c r="B36" s="187" t="s">
        <v>226</v>
      </c>
      <c r="C36">
        <v>0</v>
      </c>
      <c r="D36">
        <v>0</v>
      </c>
    </row>
    <row r="37" spans="1:4" ht="15" customHeight="1" x14ac:dyDescent="0.15">
      <c r="A37">
        <v>36</v>
      </c>
      <c r="B37" s="187" t="s">
        <v>227</v>
      </c>
      <c r="C37">
        <v>1.1241E-5</v>
      </c>
      <c r="D37">
        <v>1.1241E-5</v>
      </c>
    </row>
    <row r="38" spans="1:4" ht="15" customHeight="1" x14ac:dyDescent="0.15">
      <c r="A38">
        <v>37</v>
      </c>
      <c r="B38" s="187" t="s">
        <v>228</v>
      </c>
      <c r="C38">
        <v>0.29532320000000001</v>
      </c>
      <c r="D38">
        <v>0.29532320000000001</v>
      </c>
    </row>
    <row r="39" spans="1:4" ht="15" customHeight="1" x14ac:dyDescent="0.15">
      <c r="A39">
        <v>38</v>
      </c>
      <c r="B39" s="187" t="s">
        <v>229</v>
      </c>
      <c r="C39">
        <v>2.9153550000000001E-3</v>
      </c>
      <c r="D39">
        <v>2.9153550000000001E-3</v>
      </c>
    </row>
    <row r="40" spans="1:4" ht="15" customHeight="1" x14ac:dyDescent="0.15">
      <c r="A40">
        <v>39</v>
      </c>
      <c r="B40" s="187" t="s">
        <v>230</v>
      </c>
      <c r="C40">
        <v>8.7027880000000002E-2</v>
      </c>
      <c r="D40">
        <v>8.7027880000000002E-2</v>
      </c>
    </row>
    <row r="41" spans="1:4" ht="15" customHeight="1" x14ac:dyDescent="0.15">
      <c r="A41">
        <v>40</v>
      </c>
      <c r="B41" s="187" t="s">
        <v>231</v>
      </c>
      <c r="C41">
        <v>0.38945987799999998</v>
      </c>
      <c r="D41">
        <v>0.38945987799999998</v>
      </c>
    </row>
    <row r="42" spans="1:4" ht="15" customHeight="1" x14ac:dyDescent="0.15">
      <c r="A42">
        <v>41</v>
      </c>
      <c r="B42" s="187" t="s">
        <v>232</v>
      </c>
      <c r="C42">
        <v>1.34892E-5</v>
      </c>
      <c r="D42">
        <v>1.34892E-5</v>
      </c>
    </row>
    <row r="43" spans="1:4" ht="15" customHeight="1" x14ac:dyDescent="0.15">
      <c r="A43">
        <v>42</v>
      </c>
      <c r="B43" s="187" t="s">
        <v>233</v>
      </c>
      <c r="C43">
        <v>2.64164E-4</v>
      </c>
      <c r="D43">
        <v>2.64164E-4</v>
      </c>
    </row>
    <row r="44" spans="1:4" ht="15" customHeight="1" x14ac:dyDescent="0.15">
      <c r="A44">
        <v>43</v>
      </c>
      <c r="B44" s="187" t="s">
        <v>234</v>
      </c>
      <c r="C44">
        <v>0.40730777400000001</v>
      </c>
      <c r="D44">
        <v>0.40730777400000001</v>
      </c>
    </row>
    <row r="45" spans="1:4" ht="15" customHeight="1" x14ac:dyDescent="0.15">
      <c r="A45">
        <v>44</v>
      </c>
      <c r="B45" s="187" t="s">
        <v>235</v>
      </c>
      <c r="C45">
        <v>2.327338E-2</v>
      </c>
      <c r="D45">
        <v>2.327338E-2</v>
      </c>
    </row>
    <row r="46" spans="1:4" ht="15" customHeight="1" x14ac:dyDescent="0.15">
      <c r="A46">
        <v>45</v>
      </c>
      <c r="B46" s="187" t="s">
        <v>236</v>
      </c>
      <c r="C46">
        <v>0</v>
      </c>
      <c r="D46">
        <v>0</v>
      </c>
    </row>
    <row r="47" spans="1:4" ht="15" customHeight="1" x14ac:dyDescent="0.15">
      <c r="A47">
        <v>46</v>
      </c>
      <c r="B47" s="187" t="s">
        <v>237</v>
      </c>
      <c r="C47">
        <v>0</v>
      </c>
      <c r="D47">
        <v>0</v>
      </c>
    </row>
    <row r="48" spans="1:4" ht="15" customHeight="1" x14ac:dyDescent="0.15">
      <c r="A48">
        <v>47</v>
      </c>
      <c r="B48" s="187" t="s">
        <v>238</v>
      </c>
      <c r="C48">
        <v>8.9928100000000004E-6</v>
      </c>
      <c r="D48">
        <v>8.9928100000000004E-6</v>
      </c>
    </row>
    <row r="49" spans="1:4" ht="15" customHeight="1" x14ac:dyDescent="0.15">
      <c r="A49">
        <v>48</v>
      </c>
      <c r="B49" s="187" t="s">
        <v>239</v>
      </c>
      <c r="C49">
        <v>0</v>
      </c>
      <c r="D49">
        <v>0</v>
      </c>
    </row>
    <row r="50" spans="1:4" x14ac:dyDescent="0.15">
      <c r="A50">
        <v>49</v>
      </c>
      <c r="B50" s="187" t="s">
        <v>240</v>
      </c>
      <c r="C50">
        <v>0</v>
      </c>
      <c r="D50">
        <v>0</v>
      </c>
    </row>
    <row r="51" spans="1:4" x14ac:dyDescent="0.15">
      <c r="A51">
        <v>50</v>
      </c>
      <c r="B51" s="187" t="s">
        <v>241</v>
      </c>
      <c r="C51">
        <v>0</v>
      </c>
      <c r="D51">
        <v>0</v>
      </c>
    </row>
    <row r="52" spans="1:4" x14ac:dyDescent="0.15">
      <c r="A52">
        <v>51</v>
      </c>
      <c r="B52" s="187" t="s">
        <v>242</v>
      </c>
      <c r="C52">
        <v>0</v>
      </c>
      <c r="D52">
        <v>0</v>
      </c>
    </row>
    <row r="53" spans="1:4" x14ac:dyDescent="0.15">
      <c r="A53">
        <v>52</v>
      </c>
      <c r="B53" s="187" t="s">
        <v>243</v>
      </c>
      <c r="C53">
        <v>0</v>
      </c>
      <c r="D53">
        <v>0</v>
      </c>
    </row>
    <row r="54" spans="1:4" x14ac:dyDescent="0.15">
      <c r="A54">
        <v>53</v>
      </c>
      <c r="B54" s="187" t="s">
        <v>244</v>
      </c>
      <c r="C54">
        <v>0</v>
      </c>
      <c r="D54">
        <v>0</v>
      </c>
    </row>
    <row r="55" spans="1:4" x14ac:dyDescent="0.15">
      <c r="A55">
        <v>54</v>
      </c>
      <c r="B55" s="187" t="s">
        <v>245</v>
      </c>
      <c r="C55">
        <v>0</v>
      </c>
      <c r="D55">
        <v>0</v>
      </c>
    </row>
    <row r="56" spans="1:4" x14ac:dyDescent="0.15">
      <c r="A56">
        <v>55</v>
      </c>
      <c r="B56" s="187" t="s">
        <v>246</v>
      </c>
      <c r="C56">
        <v>0</v>
      </c>
      <c r="D56">
        <v>0</v>
      </c>
    </row>
    <row r="57" spans="1:4" x14ac:dyDescent="0.15">
      <c r="A57">
        <v>56</v>
      </c>
      <c r="B57" s="187" t="s">
        <v>247</v>
      </c>
      <c r="C57">
        <v>0</v>
      </c>
      <c r="D57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5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.83203125" bestFit="1" customWidth="1"/>
    <col min="3" max="4" width="12.83203125" bestFit="1" customWidth="1"/>
    <col min="5" max="5" width="12.1640625" bestFit="1" customWidth="1"/>
  </cols>
  <sheetData>
    <row r="1" spans="1:4" s="115" customFormat="1" ht="112" x14ac:dyDescent="0.15">
      <c r="A1" s="5" t="s">
        <v>22</v>
      </c>
      <c r="B1" s="3" t="s">
        <v>0</v>
      </c>
      <c r="C1" s="190" t="s">
        <v>248</v>
      </c>
      <c r="D1" s="190" t="s">
        <v>252</v>
      </c>
    </row>
    <row r="2" spans="1:4" x14ac:dyDescent="0.15">
      <c r="A2">
        <v>1</v>
      </c>
      <c r="B2" s="189" t="s">
        <v>192</v>
      </c>
      <c r="C2">
        <v>0</v>
      </c>
      <c r="D2">
        <v>0</v>
      </c>
    </row>
    <row r="3" spans="1:4" x14ac:dyDescent="0.15">
      <c r="A3">
        <v>2</v>
      </c>
      <c r="B3" s="189" t="s">
        <v>193</v>
      </c>
      <c r="C3">
        <v>0</v>
      </c>
      <c r="D3">
        <v>0</v>
      </c>
    </row>
    <row r="4" spans="1:4" x14ac:dyDescent="0.15">
      <c r="A4">
        <v>3</v>
      </c>
      <c r="B4" s="189" t="s">
        <v>194</v>
      </c>
      <c r="C4">
        <v>0</v>
      </c>
      <c r="D4">
        <v>0</v>
      </c>
    </row>
    <row r="5" spans="1:4" x14ac:dyDescent="0.15">
      <c r="A5">
        <v>4</v>
      </c>
      <c r="B5" s="189" t="s">
        <v>195</v>
      </c>
      <c r="C5">
        <v>0</v>
      </c>
      <c r="D5">
        <v>0</v>
      </c>
    </row>
    <row r="6" spans="1:4" x14ac:dyDescent="0.15">
      <c r="A6">
        <v>5</v>
      </c>
      <c r="B6" s="189" t="s">
        <v>196</v>
      </c>
      <c r="C6">
        <v>2.337567E-3</v>
      </c>
      <c r="D6">
        <v>2.337567E-3</v>
      </c>
    </row>
    <row r="7" spans="1:4" x14ac:dyDescent="0.15">
      <c r="A7">
        <v>6</v>
      </c>
      <c r="B7" s="189" t="s">
        <v>197</v>
      </c>
      <c r="C7">
        <v>2.8567334600000001E-2</v>
      </c>
      <c r="D7">
        <v>2.8567334600000001E-2</v>
      </c>
    </row>
    <row r="8" spans="1:4" x14ac:dyDescent="0.15">
      <c r="A8">
        <v>7</v>
      </c>
      <c r="B8" s="189" t="s">
        <v>198</v>
      </c>
      <c r="C8">
        <v>2.7137200000000002E-3</v>
      </c>
      <c r="D8">
        <v>2.7137200000000002E-3</v>
      </c>
    </row>
    <row r="9" spans="1:4" x14ac:dyDescent="0.15">
      <c r="A9">
        <v>8</v>
      </c>
      <c r="B9" s="189" t="s">
        <v>199</v>
      </c>
      <c r="C9">
        <v>1.9151899999999999E-4</v>
      </c>
      <c r="D9">
        <v>1.9151899999999999E-4</v>
      </c>
    </row>
    <row r="10" spans="1:4" x14ac:dyDescent="0.15">
      <c r="A10">
        <v>9</v>
      </c>
      <c r="B10" s="189" t="s">
        <v>200</v>
      </c>
      <c r="C10">
        <v>0</v>
      </c>
      <c r="D10">
        <v>0</v>
      </c>
    </row>
    <row r="11" spans="1:4" x14ac:dyDescent="0.15">
      <c r="A11">
        <v>10</v>
      </c>
      <c r="B11" s="189" t="s">
        <v>201</v>
      </c>
      <c r="C11">
        <v>5.7240609999999999E-3</v>
      </c>
      <c r="D11">
        <v>5.7240609999999999E-3</v>
      </c>
    </row>
    <row r="12" spans="1:4" x14ac:dyDescent="0.15">
      <c r="A12">
        <v>11</v>
      </c>
      <c r="B12" s="189" t="s">
        <v>202</v>
      </c>
      <c r="C12">
        <v>0</v>
      </c>
      <c r="D12">
        <v>0</v>
      </c>
    </row>
    <row r="13" spans="1:4" x14ac:dyDescent="0.15">
      <c r="A13">
        <v>12</v>
      </c>
      <c r="B13" s="189" t="s">
        <v>203</v>
      </c>
      <c r="C13">
        <v>5.5651420000000004E-3</v>
      </c>
      <c r="D13">
        <v>5.5651420000000004E-3</v>
      </c>
    </row>
    <row r="14" spans="1:4" x14ac:dyDescent="0.15">
      <c r="A14">
        <v>13</v>
      </c>
      <c r="B14" s="189" t="s">
        <v>204</v>
      </c>
      <c r="C14">
        <v>3.768548E-3</v>
      </c>
      <c r="D14">
        <v>3.768548E-3</v>
      </c>
    </row>
    <row r="15" spans="1:4" x14ac:dyDescent="0.15">
      <c r="A15">
        <v>14</v>
      </c>
      <c r="B15" s="189" t="s">
        <v>205</v>
      </c>
      <c r="C15">
        <v>1.7046285800000002E-2</v>
      </c>
      <c r="D15">
        <v>1.7046285800000002E-2</v>
      </c>
    </row>
    <row r="16" spans="1:4" x14ac:dyDescent="0.15">
      <c r="A16">
        <v>15</v>
      </c>
      <c r="B16" s="189" t="s">
        <v>206</v>
      </c>
      <c r="C16">
        <v>6.6181399999999996E-5</v>
      </c>
      <c r="D16">
        <v>6.6181399999999996E-5</v>
      </c>
    </row>
    <row r="17" spans="1:4" x14ac:dyDescent="0.15">
      <c r="A17">
        <v>16</v>
      </c>
      <c r="B17" s="189" t="s">
        <v>207</v>
      </c>
      <c r="C17">
        <v>1.040355E-3</v>
      </c>
      <c r="D17">
        <v>1.040355E-3</v>
      </c>
    </row>
    <row r="18" spans="1:4" x14ac:dyDescent="0.15">
      <c r="A18">
        <v>17</v>
      </c>
      <c r="B18" s="189" t="s">
        <v>208</v>
      </c>
      <c r="C18">
        <v>2.8102499999999999E-6</v>
      </c>
      <c r="D18">
        <v>2.8102499999999999E-6</v>
      </c>
    </row>
    <row r="19" spans="1:4" x14ac:dyDescent="0.15">
      <c r="A19">
        <v>18</v>
      </c>
      <c r="B19" s="189" t="s">
        <v>209</v>
      </c>
      <c r="C19">
        <v>7.8982100000000001E-4</v>
      </c>
      <c r="D19">
        <v>7.8982100000000001E-4</v>
      </c>
    </row>
    <row r="20" spans="1:4" x14ac:dyDescent="0.15">
      <c r="A20">
        <v>19</v>
      </c>
      <c r="B20" s="189" t="s">
        <v>210</v>
      </c>
      <c r="C20">
        <v>3.1205040000000001E-3</v>
      </c>
      <c r="D20">
        <v>3.1205040000000001E-3</v>
      </c>
    </row>
    <row r="21" spans="1:4" x14ac:dyDescent="0.15">
      <c r="A21">
        <v>20</v>
      </c>
      <c r="B21" s="189" t="s">
        <v>211</v>
      </c>
      <c r="C21">
        <v>1.5981619999999998E-2</v>
      </c>
      <c r="D21">
        <v>1.5981619999999998E-2</v>
      </c>
    </row>
    <row r="22" spans="1:4" x14ac:dyDescent="0.15">
      <c r="A22">
        <v>21</v>
      </c>
      <c r="B22" s="189" t="s">
        <v>212</v>
      </c>
      <c r="C22">
        <v>4.4952789999999996E-3</v>
      </c>
      <c r="D22">
        <v>4.4952789999999996E-3</v>
      </c>
    </row>
    <row r="23" spans="1:4" x14ac:dyDescent="0.15">
      <c r="A23">
        <v>22</v>
      </c>
      <c r="B23" s="189" t="s">
        <v>213</v>
      </c>
      <c r="C23">
        <v>4.0699050000000001E-2</v>
      </c>
      <c r="D23">
        <v>4.0699050000000001E-2</v>
      </c>
    </row>
    <row r="24" spans="1:4" x14ac:dyDescent="0.15">
      <c r="A24">
        <v>23</v>
      </c>
      <c r="B24" s="189" t="s">
        <v>214</v>
      </c>
      <c r="C24">
        <v>0</v>
      </c>
      <c r="D24">
        <v>0</v>
      </c>
    </row>
    <row r="25" spans="1:4" x14ac:dyDescent="0.15">
      <c r="A25">
        <v>24</v>
      </c>
      <c r="B25" s="189" t="s">
        <v>215</v>
      </c>
      <c r="C25">
        <v>4.99944E-4</v>
      </c>
      <c r="D25">
        <v>4.99944E-4</v>
      </c>
    </row>
    <row r="26" spans="1:4" x14ac:dyDescent="0.15">
      <c r="A26">
        <v>25</v>
      </c>
      <c r="B26" s="189" t="s">
        <v>216</v>
      </c>
      <c r="C26">
        <v>1.76912379E-2</v>
      </c>
      <c r="D26">
        <v>1.76912379E-2</v>
      </c>
    </row>
    <row r="27" spans="1:4" x14ac:dyDescent="0.15">
      <c r="A27">
        <v>26</v>
      </c>
      <c r="B27" s="189" t="s">
        <v>217</v>
      </c>
      <c r="C27">
        <v>2.8987700000000002E-4</v>
      </c>
      <c r="D27">
        <v>2.8987700000000002E-4</v>
      </c>
    </row>
    <row r="28" spans="1:4" x14ac:dyDescent="0.15">
      <c r="A28">
        <v>27</v>
      </c>
      <c r="B28" s="189" t="s">
        <v>218</v>
      </c>
      <c r="C28">
        <v>8.7398799999999994E-5</v>
      </c>
      <c r="D28">
        <v>8.7398799999999994E-5</v>
      </c>
    </row>
    <row r="29" spans="1:4" x14ac:dyDescent="0.15">
      <c r="A29">
        <v>28</v>
      </c>
      <c r="B29" s="189" t="s">
        <v>219</v>
      </c>
      <c r="C29">
        <v>1.1241E-6</v>
      </c>
      <c r="D29">
        <v>1.1241E-6</v>
      </c>
    </row>
    <row r="30" spans="1:4" x14ac:dyDescent="0.15">
      <c r="A30">
        <v>29</v>
      </c>
      <c r="B30" s="189" t="s">
        <v>220</v>
      </c>
      <c r="C30">
        <v>4.2786099999999997E-4</v>
      </c>
      <c r="D30">
        <v>4.2786099999999997E-4</v>
      </c>
    </row>
    <row r="31" spans="1:4" x14ac:dyDescent="0.15">
      <c r="A31">
        <v>30</v>
      </c>
      <c r="B31" s="189" t="s">
        <v>221</v>
      </c>
      <c r="C31">
        <v>2.83887424E-2</v>
      </c>
      <c r="D31">
        <v>2.83887424E-2</v>
      </c>
    </row>
    <row r="32" spans="1:4" x14ac:dyDescent="0.15">
      <c r="A32">
        <v>31</v>
      </c>
      <c r="B32" s="189" t="s">
        <v>222</v>
      </c>
      <c r="C32">
        <v>0.29721784600000001</v>
      </c>
      <c r="D32">
        <v>0.29721784600000001</v>
      </c>
    </row>
    <row r="33" spans="1:4" x14ac:dyDescent="0.15">
      <c r="A33">
        <v>32</v>
      </c>
      <c r="B33" s="189" t="s">
        <v>223</v>
      </c>
      <c r="C33">
        <v>1.6729569100000001E-2</v>
      </c>
      <c r="D33">
        <v>1.6729569100000001E-2</v>
      </c>
    </row>
    <row r="34" spans="1:4" x14ac:dyDescent="0.15">
      <c r="A34">
        <v>33</v>
      </c>
      <c r="B34" s="189" t="s">
        <v>224</v>
      </c>
      <c r="C34">
        <v>0</v>
      </c>
      <c r="D34">
        <v>0</v>
      </c>
    </row>
    <row r="35" spans="1:4" x14ac:dyDescent="0.15">
      <c r="A35">
        <v>34</v>
      </c>
      <c r="B35" s="189" t="s">
        <v>225</v>
      </c>
      <c r="C35">
        <v>5.0515259999999999E-2</v>
      </c>
      <c r="D35">
        <v>5.0515259999999999E-2</v>
      </c>
    </row>
    <row r="36" spans="1:4" x14ac:dyDescent="0.15">
      <c r="A36">
        <v>35</v>
      </c>
      <c r="B36" s="189" t="s">
        <v>226</v>
      </c>
      <c r="C36">
        <v>0</v>
      </c>
      <c r="D36">
        <v>0</v>
      </c>
    </row>
    <row r="37" spans="1:4" x14ac:dyDescent="0.15">
      <c r="A37">
        <v>36</v>
      </c>
      <c r="B37" s="189" t="s">
        <v>227</v>
      </c>
      <c r="C37">
        <v>2.8102499999999999E-6</v>
      </c>
      <c r="D37">
        <v>2.8102499999999999E-6</v>
      </c>
    </row>
    <row r="38" spans="1:4" x14ac:dyDescent="0.15">
      <c r="A38">
        <v>37</v>
      </c>
      <c r="B38" s="189" t="s">
        <v>228</v>
      </c>
      <c r="C38">
        <v>7.3830800000000002E-2</v>
      </c>
      <c r="D38">
        <v>7.3830800000000002E-2</v>
      </c>
    </row>
    <row r="39" spans="1:4" x14ac:dyDescent="0.15">
      <c r="A39">
        <v>38</v>
      </c>
      <c r="B39" s="189" t="s">
        <v>229</v>
      </c>
      <c r="C39">
        <v>7.2883900000000001E-4</v>
      </c>
      <c r="D39">
        <v>7.2883900000000001E-4</v>
      </c>
    </row>
    <row r="40" spans="1:4" x14ac:dyDescent="0.15">
      <c r="A40">
        <v>39</v>
      </c>
      <c r="B40" s="189" t="s">
        <v>230</v>
      </c>
      <c r="C40">
        <v>2.175697E-2</v>
      </c>
      <c r="D40">
        <v>2.175697E-2</v>
      </c>
    </row>
    <row r="41" spans="1:4" x14ac:dyDescent="0.15">
      <c r="A41">
        <v>40</v>
      </c>
      <c r="B41" s="189" t="s">
        <v>231</v>
      </c>
      <c r="C41">
        <v>9.7364969999999995E-2</v>
      </c>
      <c r="D41">
        <v>9.7364969999999995E-2</v>
      </c>
    </row>
    <row r="42" spans="1:4" x14ac:dyDescent="0.15">
      <c r="A42">
        <v>41</v>
      </c>
      <c r="B42" s="189" t="s">
        <v>232</v>
      </c>
      <c r="C42">
        <v>3.3722999999999999E-6</v>
      </c>
      <c r="D42">
        <v>3.3722999999999999E-6</v>
      </c>
    </row>
    <row r="43" spans="1:4" x14ac:dyDescent="0.15">
      <c r="A43">
        <v>42</v>
      </c>
      <c r="B43" s="189" t="s">
        <v>233</v>
      </c>
      <c r="C43">
        <v>6.6040900000000007E-5</v>
      </c>
      <c r="D43">
        <v>6.6040900000000007E-5</v>
      </c>
    </row>
    <row r="44" spans="1:4" x14ac:dyDescent="0.15">
      <c r="A44">
        <v>43</v>
      </c>
      <c r="B44" s="189" t="s">
        <v>234</v>
      </c>
      <c r="C44">
        <v>0.101826943</v>
      </c>
      <c r="D44">
        <v>0.101826943</v>
      </c>
    </row>
    <row r="45" spans="1:4" x14ac:dyDescent="0.15">
      <c r="A45">
        <v>44</v>
      </c>
      <c r="B45" s="189" t="s">
        <v>235</v>
      </c>
      <c r="C45">
        <v>5.8183449999999999E-3</v>
      </c>
      <c r="D45">
        <v>5.8183449999999999E-3</v>
      </c>
    </row>
    <row r="46" spans="1:4" x14ac:dyDescent="0.15">
      <c r="A46">
        <v>45</v>
      </c>
      <c r="B46" s="189" t="s">
        <v>236</v>
      </c>
      <c r="C46">
        <v>0</v>
      </c>
      <c r="D46">
        <v>0</v>
      </c>
    </row>
    <row r="47" spans="1:4" x14ac:dyDescent="0.15">
      <c r="A47">
        <v>46</v>
      </c>
      <c r="B47" s="189" t="s">
        <v>237</v>
      </c>
      <c r="C47">
        <v>0</v>
      </c>
      <c r="D47">
        <v>0</v>
      </c>
    </row>
    <row r="48" spans="1:4" x14ac:dyDescent="0.15">
      <c r="A48">
        <v>47</v>
      </c>
      <c r="B48" s="189" t="s">
        <v>238</v>
      </c>
      <c r="C48">
        <v>2.2481999999999999E-6</v>
      </c>
      <c r="D48">
        <v>2.2481999999999999E-6</v>
      </c>
    </row>
    <row r="49" spans="1:4" x14ac:dyDescent="0.15">
      <c r="A49">
        <v>48</v>
      </c>
      <c r="B49" s="189" t="s">
        <v>239</v>
      </c>
      <c r="C49">
        <v>0</v>
      </c>
      <c r="D49">
        <v>0</v>
      </c>
    </row>
    <row r="50" spans="1:4" x14ac:dyDescent="0.15">
      <c r="A50">
        <v>49</v>
      </c>
      <c r="B50" s="189" t="s">
        <v>240</v>
      </c>
      <c r="C50">
        <v>0</v>
      </c>
      <c r="D50">
        <v>0</v>
      </c>
    </row>
    <row r="51" spans="1:4" x14ac:dyDescent="0.15">
      <c r="A51">
        <v>50</v>
      </c>
      <c r="B51" s="189" t="s">
        <v>241</v>
      </c>
      <c r="C51">
        <v>0</v>
      </c>
      <c r="D51">
        <v>0</v>
      </c>
    </row>
    <row r="52" spans="1:4" x14ac:dyDescent="0.15">
      <c r="A52">
        <v>51</v>
      </c>
      <c r="B52" s="189" t="s">
        <v>242</v>
      </c>
      <c r="C52">
        <v>0</v>
      </c>
      <c r="D52">
        <v>0</v>
      </c>
    </row>
    <row r="53" spans="1:4" x14ac:dyDescent="0.15">
      <c r="A53">
        <v>52</v>
      </c>
      <c r="B53" s="189" t="s">
        <v>243</v>
      </c>
      <c r="C53">
        <v>0</v>
      </c>
      <c r="D53">
        <v>0</v>
      </c>
    </row>
    <row r="54" spans="1:4" x14ac:dyDescent="0.15">
      <c r="A54">
        <v>53</v>
      </c>
      <c r="B54" s="189" t="s">
        <v>244</v>
      </c>
      <c r="C54">
        <v>0</v>
      </c>
      <c r="D54">
        <v>0</v>
      </c>
    </row>
    <row r="55" spans="1:4" x14ac:dyDescent="0.15">
      <c r="A55">
        <v>54</v>
      </c>
      <c r="B55" s="189" t="s">
        <v>245</v>
      </c>
      <c r="C55">
        <v>0</v>
      </c>
      <c r="D55">
        <v>0</v>
      </c>
    </row>
    <row r="56" spans="1:4" x14ac:dyDescent="0.15">
      <c r="A56">
        <v>55</v>
      </c>
      <c r="B56" s="189" t="s">
        <v>246</v>
      </c>
      <c r="C56">
        <v>0</v>
      </c>
      <c r="D56">
        <v>0</v>
      </c>
    </row>
    <row r="57" spans="1:4" x14ac:dyDescent="0.15">
      <c r="A57">
        <v>56</v>
      </c>
      <c r="B57" s="189" t="s">
        <v>247</v>
      </c>
      <c r="C57">
        <v>0</v>
      </c>
      <c r="D5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4.8320312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91" t="s">
        <v>192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91" t="s">
        <v>193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91" t="s">
        <v>194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91" t="s">
        <v>195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91" t="s">
        <v>196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91" t="s">
        <v>197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91" t="s">
        <v>198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0" t="s">
        <v>150</v>
      </c>
      <c r="D9">
        <v>8</v>
      </c>
      <c r="E9" s="191" t="s">
        <v>199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0" t="s">
        <v>150</v>
      </c>
      <c r="D10">
        <v>9</v>
      </c>
      <c r="E10" s="191" t="s">
        <v>200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91" t="s">
        <v>201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91" t="s">
        <v>202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91" t="s">
        <v>203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91" t="s">
        <v>204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91" t="s">
        <v>205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91" t="s">
        <v>206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91" t="s">
        <v>207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91" t="s">
        <v>208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91" t="s">
        <v>209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91" t="s">
        <v>210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91" t="s">
        <v>211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91" t="s">
        <v>212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91" t="s">
        <v>213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91" t="s">
        <v>214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91" t="s">
        <v>215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91" t="s">
        <v>216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91" t="s">
        <v>217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91" t="s">
        <v>218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91" t="s">
        <v>219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91" t="s">
        <v>220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91" t="s">
        <v>221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91" t="s">
        <v>222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91" t="s">
        <v>223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91" t="s">
        <v>224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91" t="s">
        <v>225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91" t="s">
        <v>226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91" t="s">
        <v>227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91" t="s">
        <v>228</v>
      </c>
      <c r="F38">
        <v>0.98</v>
      </c>
      <c r="G38">
        <v>0.8</v>
      </c>
      <c r="H38">
        <v>0.8</v>
      </c>
      <c r="I38">
        <v>0.8</v>
      </c>
      <c r="J38" s="114">
        <v>0.25</v>
      </c>
      <c r="K38" s="114">
        <v>0.05</v>
      </c>
      <c r="Y38"/>
      <c r="AC38"/>
      <c r="AG38"/>
    </row>
    <row r="39" spans="4:33" ht="15" customHeight="1" x14ac:dyDescent="0.15">
      <c r="D39">
        <v>38</v>
      </c>
      <c r="E39" s="191" t="s">
        <v>229</v>
      </c>
      <c r="F39">
        <v>0.98</v>
      </c>
      <c r="G39">
        <v>0.8</v>
      </c>
      <c r="H39">
        <v>0.8</v>
      </c>
      <c r="I39">
        <v>0.8</v>
      </c>
      <c r="J39" s="114">
        <v>0.25</v>
      </c>
      <c r="K39" s="114">
        <v>0.05</v>
      </c>
    </row>
    <row r="40" spans="4:33" ht="15" customHeight="1" x14ac:dyDescent="0.15">
      <c r="D40">
        <v>39</v>
      </c>
      <c r="E40" s="191" t="s">
        <v>230</v>
      </c>
      <c r="F40">
        <v>0.98</v>
      </c>
      <c r="G40">
        <v>0.8</v>
      </c>
      <c r="H40">
        <v>0.8</v>
      </c>
      <c r="I40">
        <v>0.8</v>
      </c>
      <c r="J40" s="114">
        <v>0.25</v>
      </c>
      <c r="K40" s="114">
        <v>0.05</v>
      </c>
      <c r="Y40"/>
      <c r="AC40"/>
      <c r="AG40"/>
    </row>
    <row r="41" spans="4:33" ht="15" customHeight="1" x14ac:dyDescent="0.15">
      <c r="D41">
        <v>40</v>
      </c>
      <c r="E41" s="191" t="s">
        <v>231</v>
      </c>
      <c r="F41">
        <v>0.98</v>
      </c>
      <c r="G41">
        <v>0.8</v>
      </c>
      <c r="H41">
        <v>0.8</v>
      </c>
      <c r="I41">
        <v>0.8</v>
      </c>
      <c r="J41" s="114">
        <v>0.25</v>
      </c>
      <c r="K41" s="114">
        <v>0.05</v>
      </c>
      <c r="Y41"/>
      <c r="AC41"/>
      <c r="AG41"/>
    </row>
    <row r="42" spans="4:33" ht="15" customHeight="1" x14ac:dyDescent="0.15">
      <c r="D42">
        <v>41</v>
      </c>
      <c r="E42" s="191" t="s">
        <v>232</v>
      </c>
      <c r="F42">
        <v>0.98</v>
      </c>
      <c r="G42">
        <v>0.8</v>
      </c>
      <c r="H42">
        <v>0.8</v>
      </c>
      <c r="I42">
        <v>0.8</v>
      </c>
      <c r="J42" s="114">
        <v>0.25</v>
      </c>
      <c r="K42" s="114">
        <v>0.05</v>
      </c>
      <c r="Y42"/>
      <c r="AC42"/>
      <c r="AG42"/>
    </row>
    <row r="43" spans="4:33" ht="15" customHeight="1" x14ac:dyDescent="0.15">
      <c r="D43">
        <v>42</v>
      </c>
      <c r="E43" s="191" t="s">
        <v>233</v>
      </c>
      <c r="F43">
        <v>0.98</v>
      </c>
      <c r="G43">
        <v>0.8</v>
      </c>
      <c r="H43">
        <v>0.8</v>
      </c>
      <c r="I43">
        <v>0.8</v>
      </c>
      <c r="J43" s="114">
        <v>0.25</v>
      </c>
      <c r="K43" s="114">
        <v>0.05</v>
      </c>
      <c r="Y43"/>
      <c r="AC43"/>
      <c r="AG43"/>
    </row>
    <row r="44" spans="4:33" ht="15" customHeight="1" x14ac:dyDescent="0.15">
      <c r="D44">
        <v>43</v>
      </c>
      <c r="E44" s="191" t="s">
        <v>234</v>
      </c>
      <c r="F44">
        <v>0.98</v>
      </c>
      <c r="G44">
        <v>0.8</v>
      </c>
      <c r="H44">
        <v>0.8</v>
      </c>
      <c r="I44">
        <v>0.8</v>
      </c>
      <c r="J44" s="114">
        <v>0.25</v>
      </c>
      <c r="K44" s="114">
        <v>0.05</v>
      </c>
      <c r="Y44"/>
      <c r="AC44"/>
      <c r="AG44"/>
    </row>
    <row r="45" spans="4:33" ht="15" customHeight="1" x14ac:dyDescent="0.15">
      <c r="D45">
        <v>44</v>
      </c>
      <c r="E45" s="191" t="s">
        <v>235</v>
      </c>
      <c r="F45">
        <v>0.98</v>
      </c>
      <c r="G45">
        <v>0.8</v>
      </c>
      <c r="H45">
        <v>0.8</v>
      </c>
      <c r="I45">
        <v>0.8</v>
      </c>
      <c r="J45" s="114">
        <v>0.25</v>
      </c>
      <c r="K45" s="114">
        <v>0.05</v>
      </c>
      <c r="Y45"/>
      <c r="AC45"/>
      <c r="AG45"/>
    </row>
    <row r="46" spans="4:33" ht="15" customHeight="1" x14ac:dyDescent="0.15">
      <c r="D46">
        <v>45</v>
      </c>
      <c r="E46" s="191" t="s">
        <v>236</v>
      </c>
      <c r="F46">
        <v>0.98</v>
      </c>
      <c r="G46">
        <v>0.8</v>
      </c>
      <c r="H46">
        <v>0.8</v>
      </c>
      <c r="I46">
        <v>0.8</v>
      </c>
      <c r="J46" s="114">
        <v>0.25</v>
      </c>
      <c r="K46" s="114">
        <v>0.05</v>
      </c>
      <c r="Y46"/>
      <c r="AC46"/>
      <c r="AG46"/>
    </row>
    <row r="47" spans="4:33" ht="15" customHeight="1" x14ac:dyDescent="0.15">
      <c r="D47">
        <v>46</v>
      </c>
      <c r="E47" s="191" t="s">
        <v>237</v>
      </c>
      <c r="F47">
        <v>0.98</v>
      </c>
      <c r="G47">
        <v>0.8</v>
      </c>
      <c r="H47">
        <v>0.8</v>
      </c>
      <c r="I47">
        <v>0.8</v>
      </c>
      <c r="J47" s="114">
        <v>0.25</v>
      </c>
      <c r="K47" s="114">
        <v>0.05</v>
      </c>
      <c r="Y47"/>
      <c r="AC47"/>
      <c r="AG47"/>
    </row>
    <row r="48" spans="4:33" ht="15" customHeight="1" x14ac:dyDescent="0.15">
      <c r="D48">
        <v>47</v>
      </c>
      <c r="E48" s="191" t="s">
        <v>238</v>
      </c>
      <c r="F48">
        <v>0.98</v>
      </c>
      <c r="G48">
        <v>0.8</v>
      </c>
      <c r="H48">
        <v>0.8</v>
      </c>
      <c r="I48">
        <v>0.8</v>
      </c>
      <c r="J48" s="114">
        <v>0.25</v>
      </c>
      <c r="K48" s="114">
        <v>0.05</v>
      </c>
      <c r="Y48"/>
      <c r="AC48"/>
      <c r="AG48"/>
    </row>
    <row r="49" spans="4:33" ht="15" customHeight="1" x14ac:dyDescent="0.15">
      <c r="D49">
        <v>48</v>
      </c>
      <c r="E49" s="191" t="s">
        <v>239</v>
      </c>
      <c r="F49">
        <v>0.98</v>
      </c>
      <c r="G49">
        <v>0.8</v>
      </c>
      <c r="H49">
        <v>0.8</v>
      </c>
      <c r="I49">
        <v>0.8</v>
      </c>
      <c r="J49" s="114">
        <v>0.25</v>
      </c>
      <c r="K49" s="114">
        <v>0.05</v>
      </c>
      <c r="Y49"/>
      <c r="AC49"/>
      <c r="AG49"/>
    </row>
    <row r="50" spans="4:33" ht="15" customHeight="1" x14ac:dyDescent="0.15">
      <c r="D50">
        <v>49</v>
      </c>
      <c r="E50" s="191" t="s">
        <v>240</v>
      </c>
      <c r="F50">
        <v>0.98</v>
      </c>
      <c r="G50">
        <v>0.8</v>
      </c>
      <c r="H50">
        <v>0.8</v>
      </c>
      <c r="I50">
        <v>0.8</v>
      </c>
      <c r="J50" s="114">
        <v>0.25</v>
      </c>
      <c r="K50" s="114">
        <v>0.05</v>
      </c>
      <c r="Y50"/>
      <c r="AC50"/>
      <c r="AG50"/>
    </row>
    <row r="51" spans="4:33" ht="15" customHeight="1" x14ac:dyDescent="0.15">
      <c r="D51">
        <v>50</v>
      </c>
      <c r="E51" s="191" t="s">
        <v>241</v>
      </c>
      <c r="F51">
        <v>0.98</v>
      </c>
      <c r="G51">
        <v>0.8</v>
      </c>
      <c r="H51">
        <v>0.8</v>
      </c>
      <c r="I51">
        <v>0.8</v>
      </c>
      <c r="J51" s="114">
        <v>0.25</v>
      </c>
      <c r="K51" s="114">
        <v>0.05</v>
      </c>
      <c r="Y51"/>
      <c r="AC51"/>
      <c r="AG51"/>
    </row>
    <row r="52" spans="4:33" ht="15" customHeight="1" x14ac:dyDescent="0.15">
      <c r="D52">
        <v>51</v>
      </c>
      <c r="E52" s="191" t="s">
        <v>242</v>
      </c>
      <c r="F52">
        <v>0.98</v>
      </c>
      <c r="G52">
        <v>0.8</v>
      </c>
      <c r="H52">
        <v>0.8</v>
      </c>
      <c r="I52">
        <v>0.8</v>
      </c>
      <c r="J52" s="114">
        <v>0.25</v>
      </c>
      <c r="K52" s="114">
        <v>0.05</v>
      </c>
      <c r="Y52"/>
      <c r="AC52"/>
      <c r="AG52"/>
    </row>
    <row r="53" spans="4:33" ht="15" customHeight="1" x14ac:dyDescent="0.15">
      <c r="D53">
        <v>52</v>
      </c>
      <c r="E53" s="191" t="s">
        <v>243</v>
      </c>
      <c r="F53">
        <v>0.98</v>
      </c>
      <c r="G53">
        <v>0.8</v>
      </c>
      <c r="H53">
        <v>0.8</v>
      </c>
      <c r="I53">
        <v>0</v>
      </c>
      <c r="J53" s="114">
        <v>0</v>
      </c>
      <c r="K53" s="114">
        <v>0</v>
      </c>
      <c r="Y53"/>
      <c r="AC53"/>
      <c r="AG53"/>
    </row>
    <row r="54" spans="4:33" ht="15" customHeight="1" x14ac:dyDescent="0.15">
      <c r="D54">
        <v>53</v>
      </c>
      <c r="E54" s="191" t="s">
        <v>244</v>
      </c>
      <c r="F54">
        <v>0.98</v>
      </c>
      <c r="G54">
        <v>0.8</v>
      </c>
      <c r="H54">
        <v>0.8</v>
      </c>
      <c r="I54">
        <v>0</v>
      </c>
      <c r="J54" s="114">
        <v>0</v>
      </c>
      <c r="K54" s="114">
        <v>0</v>
      </c>
      <c r="Y54"/>
      <c r="AC54"/>
      <c r="AG54"/>
    </row>
    <row r="55" spans="4:33" ht="15" customHeight="1" x14ac:dyDescent="0.15">
      <c r="D55">
        <v>54</v>
      </c>
      <c r="E55" s="191" t="s">
        <v>245</v>
      </c>
      <c r="F55">
        <v>0.98</v>
      </c>
      <c r="G55">
        <v>0.8</v>
      </c>
      <c r="H55">
        <v>0.8</v>
      </c>
      <c r="I55">
        <v>0</v>
      </c>
      <c r="J55" s="114">
        <v>0</v>
      </c>
      <c r="K55" s="114">
        <v>0</v>
      </c>
      <c r="Y55"/>
      <c r="AC55"/>
      <c r="AG55"/>
    </row>
    <row r="56" spans="4:33" ht="15" customHeight="1" x14ac:dyDescent="0.15">
      <c r="D56">
        <v>55</v>
      </c>
      <c r="E56" s="191" t="s">
        <v>246</v>
      </c>
      <c r="F56">
        <v>0.98</v>
      </c>
      <c r="G56">
        <v>0.8</v>
      </c>
      <c r="H56">
        <v>0</v>
      </c>
      <c r="I56">
        <v>0</v>
      </c>
      <c r="J56" s="114">
        <v>0</v>
      </c>
      <c r="K56" s="114">
        <v>0</v>
      </c>
      <c r="Y56"/>
      <c r="AC56"/>
      <c r="AG56"/>
    </row>
    <row r="57" spans="4:33" ht="15" customHeight="1" x14ac:dyDescent="0.15">
      <c r="D57">
        <v>56</v>
      </c>
      <c r="E57" s="191" t="s">
        <v>247</v>
      </c>
      <c r="F57">
        <v>0.98</v>
      </c>
      <c r="G57">
        <v>0.8</v>
      </c>
      <c r="H57">
        <v>0</v>
      </c>
      <c r="I57">
        <v>0</v>
      </c>
      <c r="J57" s="114">
        <v>0</v>
      </c>
      <c r="K57" s="114">
        <v>0</v>
      </c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E58"/>
  <sheetViews>
    <sheetView workbookViewId="0">
      <selection activeCell="A3" sqref="A3"/>
    </sheetView>
  </sheetViews>
  <sheetFormatPr baseColWidth="10" defaultRowHeight="13" x14ac:dyDescent="0.15"/>
  <cols>
    <col min="1" max="1" width="24.83203125" style="112" bestFit="1" customWidth="1"/>
    <col min="2" max="52" width="3.83203125" style="112" customWidth="1"/>
    <col min="53" max="57" width="2.33203125" style="112" customWidth="1"/>
    <col min="58" max="16384" width="10.83203125" style="112"/>
  </cols>
  <sheetData>
    <row r="1" spans="1:57" x14ac:dyDescent="0.15">
      <c r="A1" s="62" t="s">
        <v>118</v>
      </c>
      <c r="B1" s="193" t="s">
        <v>192</v>
      </c>
      <c r="C1" s="193" t="s">
        <v>193</v>
      </c>
      <c r="D1" s="193" t="s">
        <v>194</v>
      </c>
      <c r="E1" s="193" t="s">
        <v>195</v>
      </c>
      <c r="F1" s="193" t="s">
        <v>196</v>
      </c>
      <c r="G1" s="193" t="s">
        <v>197</v>
      </c>
      <c r="H1" s="193" t="s">
        <v>198</v>
      </c>
      <c r="I1" s="193" t="s">
        <v>199</v>
      </c>
      <c r="J1" s="193" t="s">
        <v>200</v>
      </c>
      <c r="K1" s="193" t="s">
        <v>201</v>
      </c>
      <c r="L1" s="193" t="s">
        <v>202</v>
      </c>
      <c r="M1" s="193" t="s">
        <v>203</v>
      </c>
      <c r="N1" s="193" t="s">
        <v>204</v>
      </c>
      <c r="O1" s="193" t="s">
        <v>205</v>
      </c>
      <c r="P1" s="193" t="s">
        <v>206</v>
      </c>
      <c r="Q1" s="193" t="s">
        <v>207</v>
      </c>
      <c r="R1" s="193" t="s">
        <v>208</v>
      </c>
      <c r="S1" s="193" t="s">
        <v>209</v>
      </c>
      <c r="T1" s="193" t="s">
        <v>210</v>
      </c>
      <c r="U1" s="193" t="s">
        <v>211</v>
      </c>
      <c r="V1" s="193" t="s">
        <v>212</v>
      </c>
      <c r="W1" s="193" t="s">
        <v>213</v>
      </c>
      <c r="X1" s="193" t="s">
        <v>214</v>
      </c>
      <c r="Y1" s="193" t="s">
        <v>215</v>
      </c>
      <c r="Z1" s="193" t="s">
        <v>216</v>
      </c>
      <c r="AA1" s="193" t="s">
        <v>217</v>
      </c>
      <c r="AB1" s="193" t="s">
        <v>218</v>
      </c>
      <c r="AC1" s="193" t="s">
        <v>219</v>
      </c>
      <c r="AD1" s="193" t="s">
        <v>220</v>
      </c>
      <c r="AE1" s="193" t="s">
        <v>221</v>
      </c>
      <c r="AF1" s="193" t="s">
        <v>222</v>
      </c>
      <c r="AG1" s="193" t="s">
        <v>223</v>
      </c>
      <c r="AH1" s="193" t="s">
        <v>224</v>
      </c>
      <c r="AI1" s="193" t="s">
        <v>225</v>
      </c>
      <c r="AJ1" s="193" t="s">
        <v>226</v>
      </c>
      <c r="AK1" s="193" t="s">
        <v>227</v>
      </c>
      <c r="AL1" s="193" t="s">
        <v>228</v>
      </c>
      <c r="AM1" s="193" t="s">
        <v>229</v>
      </c>
      <c r="AN1" s="193" t="s">
        <v>230</v>
      </c>
      <c r="AO1" s="193" t="s">
        <v>231</v>
      </c>
      <c r="AP1" s="193" t="s">
        <v>232</v>
      </c>
      <c r="AQ1" s="193" t="s">
        <v>233</v>
      </c>
      <c r="AR1" s="193" t="s">
        <v>234</v>
      </c>
      <c r="AS1" s="193" t="s">
        <v>235</v>
      </c>
      <c r="AT1" s="193" t="s">
        <v>236</v>
      </c>
      <c r="AU1" s="193" t="s">
        <v>237</v>
      </c>
      <c r="AV1" s="193" t="s">
        <v>238</v>
      </c>
      <c r="AW1" s="193" t="s">
        <v>239</v>
      </c>
      <c r="AX1" s="193" t="s">
        <v>240</v>
      </c>
      <c r="AY1" s="193" t="s">
        <v>241</v>
      </c>
      <c r="AZ1" s="193" t="s">
        <v>242</v>
      </c>
      <c r="BA1" s="193" t="s">
        <v>243</v>
      </c>
      <c r="BB1" s="193" t="s">
        <v>244</v>
      </c>
      <c r="BC1" s="193" t="s">
        <v>245</v>
      </c>
      <c r="BD1" s="193" t="s">
        <v>246</v>
      </c>
      <c r="BE1" s="193" t="s">
        <v>247</v>
      </c>
    </row>
    <row r="2" spans="1:57" customFormat="1" x14ac:dyDescent="0.15">
      <c r="A2" s="192" t="s">
        <v>192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  <c r="BE2" s="112">
        <v>0</v>
      </c>
    </row>
    <row r="3" spans="1:57" customFormat="1" x14ac:dyDescent="0.15">
      <c r="A3" s="192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  <c r="BE3" s="112">
        <v>0</v>
      </c>
    </row>
    <row r="4" spans="1:57" customFormat="1" x14ac:dyDescent="0.15">
      <c r="A4" s="192" t="s">
        <v>194</v>
      </c>
      <c r="B4" s="112">
        <v>0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  <c r="BE4" s="112">
        <v>0</v>
      </c>
    </row>
    <row r="5" spans="1:57" customFormat="1" x14ac:dyDescent="0.15">
      <c r="A5" s="192" t="s">
        <v>195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  <c r="BE5" s="112">
        <v>0</v>
      </c>
    </row>
    <row r="6" spans="1:57" customFormat="1" x14ac:dyDescent="0.15">
      <c r="A6" s="192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0.8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0.8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  <c r="BD6" s="112">
        <v>0</v>
      </c>
      <c r="BE6" s="112">
        <v>0</v>
      </c>
    </row>
    <row r="7" spans="1:57" customFormat="1" x14ac:dyDescent="0.15">
      <c r="A7" s="192" t="s">
        <v>197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0.8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  <c r="BD7" s="112">
        <v>0</v>
      </c>
      <c r="BE7" s="112">
        <v>0</v>
      </c>
    </row>
    <row r="8" spans="1:57" customFormat="1" x14ac:dyDescent="0.15">
      <c r="A8" s="192" t="s">
        <v>198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  <c r="BD8" s="112">
        <v>0</v>
      </c>
      <c r="BE8" s="112">
        <v>0</v>
      </c>
    </row>
    <row r="9" spans="1:57" customFormat="1" x14ac:dyDescent="0.15">
      <c r="A9" s="192" t="s">
        <v>199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0.8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  <c r="BD9" s="112">
        <v>0</v>
      </c>
      <c r="BE9" s="112">
        <v>0</v>
      </c>
    </row>
    <row r="10" spans="1:57" customFormat="1" x14ac:dyDescent="0.15">
      <c r="A10" s="192" t="s">
        <v>200</v>
      </c>
      <c r="B10" s="112">
        <v>0.8</v>
      </c>
      <c r="C10" s="112">
        <v>0.8</v>
      </c>
      <c r="D10" s="112">
        <v>0.8</v>
      </c>
      <c r="E10" s="112">
        <v>0.8</v>
      </c>
      <c r="F10" s="112">
        <v>0.8</v>
      </c>
      <c r="G10" s="112">
        <v>0.8</v>
      </c>
      <c r="H10" s="112">
        <v>0.8</v>
      </c>
      <c r="I10" s="112">
        <v>0.8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  <c r="BD10" s="112">
        <v>0</v>
      </c>
      <c r="BE10" s="112">
        <v>0</v>
      </c>
    </row>
    <row r="11" spans="1:57" customFormat="1" x14ac:dyDescent="0.15">
      <c r="A11" s="192" t="s">
        <v>201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0.8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0.8</v>
      </c>
      <c r="W11" s="112">
        <v>0.8</v>
      </c>
      <c r="X11" s="112">
        <v>0</v>
      </c>
      <c r="Y11" s="112">
        <v>0.8</v>
      </c>
      <c r="Z11" s="112">
        <v>0.8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  <c r="BD11" s="112">
        <v>0</v>
      </c>
      <c r="BE11" s="112">
        <v>0</v>
      </c>
    </row>
    <row r="12" spans="1:57" customFormat="1" x14ac:dyDescent="0.15">
      <c r="A12" s="192" t="s">
        <v>202</v>
      </c>
      <c r="B12" s="112">
        <v>0</v>
      </c>
      <c r="C12" s="112">
        <v>0.8</v>
      </c>
      <c r="D12" s="112">
        <v>0</v>
      </c>
      <c r="E12" s="112">
        <v>0.8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0.8</v>
      </c>
      <c r="R12" s="112">
        <v>0</v>
      </c>
      <c r="S12" s="112">
        <v>0.8</v>
      </c>
      <c r="T12" s="112">
        <v>0.8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  <c r="BD12" s="112">
        <v>0</v>
      </c>
      <c r="BE12" s="112">
        <v>0</v>
      </c>
    </row>
    <row r="13" spans="1:57" customFormat="1" x14ac:dyDescent="0.15">
      <c r="A13" s="192" t="s">
        <v>203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  <c r="BD13" s="112">
        <v>0</v>
      </c>
      <c r="BE13" s="112">
        <v>0</v>
      </c>
    </row>
    <row r="14" spans="1:57" customFormat="1" x14ac:dyDescent="0.15">
      <c r="A14" s="192" t="s">
        <v>204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0.8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0.8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  <c r="BD14" s="112">
        <v>0</v>
      </c>
      <c r="BE14" s="112">
        <v>0</v>
      </c>
    </row>
    <row r="15" spans="1:57" customFormat="1" x14ac:dyDescent="0.15">
      <c r="A15" s="192" t="s">
        <v>205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0.8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0.8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  <c r="BE15" s="112">
        <v>0</v>
      </c>
    </row>
    <row r="16" spans="1:57" customFormat="1" x14ac:dyDescent="0.15">
      <c r="A16" s="192" t="s">
        <v>206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0.8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0.8</v>
      </c>
      <c r="N16" s="112">
        <v>0</v>
      </c>
      <c r="O16" s="112">
        <v>0.8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0.8</v>
      </c>
      <c r="V16" s="112">
        <v>0.8</v>
      </c>
      <c r="W16" s="112">
        <v>0</v>
      </c>
      <c r="X16" s="112">
        <v>0</v>
      </c>
      <c r="Y16" s="112">
        <v>0.8</v>
      </c>
      <c r="Z16" s="112">
        <v>0</v>
      </c>
      <c r="AA16" s="112">
        <v>0</v>
      </c>
      <c r="AB16" s="112">
        <v>0</v>
      </c>
      <c r="AC16" s="112">
        <v>0</v>
      </c>
      <c r="AD16" s="112">
        <v>0.8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  <c r="BD16" s="112">
        <v>0</v>
      </c>
      <c r="BE16" s="112">
        <v>0</v>
      </c>
    </row>
    <row r="17" spans="1:57" customFormat="1" x14ac:dyDescent="0.15">
      <c r="A17" s="192" t="s">
        <v>207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0.8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  <c r="BD17" s="112">
        <v>0</v>
      </c>
      <c r="BE17" s="112">
        <v>0</v>
      </c>
    </row>
    <row r="18" spans="1:57" customFormat="1" x14ac:dyDescent="0.15">
      <c r="A18" s="192" t="s">
        <v>208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0.8</v>
      </c>
      <c r="R18" s="112">
        <v>0</v>
      </c>
      <c r="S18" s="112">
        <v>0.8</v>
      </c>
      <c r="T18" s="112">
        <v>0.8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0.8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  <c r="BD18" s="112">
        <v>0</v>
      </c>
      <c r="BE18" s="112">
        <v>0</v>
      </c>
    </row>
    <row r="19" spans="1:57" customFormat="1" x14ac:dyDescent="0.15">
      <c r="A19" s="192" t="s">
        <v>209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0.8</v>
      </c>
      <c r="R19" s="112">
        <v>0</v>
      </c>
      <c r="S19" s="112">
        <v>0.8</v>
      </c>
      <c r="T19" s="112">
        <v>0.8</v>
      </c>
      <c r="U19" s="112">
        <v>0</v>
      </c>
      <c r="V19" s="112">
        <v>0</v>
      </c>
      <c r="W19" s="112">
        <v>0</v>
      </c>
      <c r="X19" s="112">
        <v>0</v>
      </c>
      <c r="Y19" s="112">
        <v>0.8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  <c r="BD19" s="112">
        <v>0</v>
      </c>
      <c r="BE19" s="112">
        <v>0</v>
      </c>
    </row>
    <row r="20" spans="1:57" customFormat="1" x14ac:dyDescent="0.15">
      <c r="A20" s="192" t="s">
        <v>210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0.8</v>
      </c>
      <c r="R20" s="112">
        <v>0</v>
      </c>
      <c r="S20" s="112">
        <v>0</v>
      </c>
      <c r="T20" s="112">
        <v>0.8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  <c r="BD20" s="112">
        <v>0</v>
      </c>
      <c r="BE20" s="112">
        <v>0</v>
      </c>
    </row>
    <row r="21" spans="1:57" customFormat="1" x14ac:dyDescent="0.15">
      <c r="A21" s="192" t="s">
        <v>211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0.8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0.8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0.8</v>
      </c>
      <c r="T21" s="112">
        <v>0.8</v>
      </c>
      <c r="U21" s="112">
        <v>0</v>
      </c>
      <c r="V21" s="112">
        <v>0</v>
      </c>
      <c r="W21" s="112">
        <v>0</v>
      </c>
      <c r="X21" s="112">
        <v>0</v>
      </c>
      <c r="Y21" s="112">
        <v>0.8</v>
      </c>
      <c r="Z21" s="112">
        <v>0.8</v>
      </c>
      <c r="AA21" s="112">
        <v>0</v>
      </c>
      <c r="AB21" s="112">
        <v>0</v>
      </c>
      <c r="AC21" s="112">
        <v>0</v>
      </c>
      <c r="AD21" s="112">
        <v>0.8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0.8</v>
      </c>
      <c r="AP21" s="112">
        <v>0.8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  <c r="BD21" s="112">
        <v>0</v>
      </c>
      <c r="BE21" s="112">
        <v>0</v>
      </c>
    </row>
    <row r="22" spans="1:57" customFormat="1" x14ac:dyDescent="0.15">
      <c r="A22" s="192" t="s">
        <v>212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0.8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  <c r="BD22" s="112">
        <v>0</v>
      </c>
      <c r="BE22" s="112">
        <v>0</v>
      </c>
    </row>
    <row r="23" spans="1:57" customFormat="1" x14ac:dyDescent="0.15">
      <c r="A23" s="192" t="s">
        <v>213</v>
      </c>
      <c r="B23" s="112">
        <v>0</v>
      </c>
      <c r="C23" s="112">
        <v>0.8</v>
      </c>
      <c r="D23" s="112">
        <v>0</v>
      </c>
      <c r="E23" s="112">
        <v>0.8</v>
      </c>
      <c r="F23" s="112">
        <v>0</v>
      </c>
      <c r="G23" s="112">
        <v>0.8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0.8</v>
      </c>
      <c r="N23" s="112">
        <v>0.8</v>
      </c>
      <c r="O23" s="112">
        <v>0.8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0.8</v>
      </c>
      <c r="V23" s="112">
        <v>0.8</v>
      </c>
      <c r="W23" s="112">
        <v>0.8</v>
      </c>
      <c r="X23" s="112">
        <v>0</v>
      </c>
      <c r="Y23" s="112">
        <v>0.8</v>
      </c>
      <c r="Z23" s="112">
        <v>0.8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  <c r="BD23" s="112">
        <v>0</v>
      </c>
      <c r="BE23" s="112">
        <v>0</v>
      </c>
    </row>
    <row r="24" spans="1:57" customFormat="1" x14ac:dyDescent="0.15">
      <c r="A24" s="192" t="s">
        <v>214</v>
      </c>
      <c r="B24" s="112">
        <v>0</v>
      </c>
      <c r="C24" s="112">
        <v>0</v>
      </c>
      <c r="D24" s="112">
        <v>0</v>
      </c>
      <c r="E24" s="112">
        <v>0.8</v>
      </c>
      <c r="F24" s="112">
        <v>0</v>
      </c>
      <c r="G24" s="112">
        <v>0.8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0.8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0.8</v>
      </c>
      <c r="X24" s="112">
        <v>0</v>
      </c>
      <c r="Y24" s="112">
        <v>0</v>
      </c>
      <c r="Z24" s="112">
        <v>0</v>
      </c>
      <c r="AA24" s="112">
        <v>0.8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  <c r="BD24" s="112">
        <v>0</v>
      </c>
      <c r="BE24" s="112">
        <v>0</v>
      </c>
    </row>
    <row r="25" spans="1:57" customFormat="1" x14ac:dyDescent="0.15">
      <c r="A25" s="192" t="s">
        <v>215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0.8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0.8</v>
      </c>
      <c r="T25" s="112">
        <v>0.8</v>
      </c>
      <c r="U25" s="112">
        <v>0</v>
      </c>
      <c r="V25" s="112">
        <v>0.8</v>
      </c>
      <c r="W25" s="112">
        <v>0.8</v>
      </c>
      <c r="X25" s="112">
        <v>0</v>
      </c>
      <c r="Y25" s="112">
        <v>0</v>
      </c>
      <c r="Z25" s="112">
        <v>0.8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  <c r="BD25" s="112">
        <v>0</v>
      </c>
      <c r="BE25" s="112">
        <v>0</v>
      </c>
    </row>
    <row r="26" spans="1:57" customFormat="1" x14ac:dyDescent="0.15">
      <c r="A26" s="192" t="s">
        <v>216</v>
      </c>
      <c r="B26" s="112">
        <v>0</v>
      </c>
      <c r="C26" s="112">
        <v>0</v>
      </c>
      <c r="D26" s="112">
        <v>0</v>
      </c>
      <c r="E26" s="112">
        <v>0.8</v>
      </c>
      <c r="F26" s="112">
        <v>0</v>
      </c>
      <c r="G26" s="112">
        <v>0.8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0.8</v>
      </c>
      <c r="N26" s="112">
        <v>0</v>
      </c>
      <c r="O26" s="112">
        <v>0.8</v>
      </c>
      <c r="P26" s="112">
        <v>0</v>
      </c>
      <c r="Q26" s="112">
        <v>0</v>
      </c>
      <c r="R26" s="112">
        <v>0</v>
      </c>
      <c r="S26" s="112">
        <v>0.8</v>
      </c>
      <c r="T26" s="112">
        <v>0.8</v>
      </c>
      <c r="U26" s="112">
        <v>0.8</v>
      </c>
      <c r="V26" s="112">
        <v>0.8</v>
      </c>
      <c r="W26" s="112">
        <v>0</v>
      </c>
      <c r="X26" s="112">
        <v>0</v>
      </c>
      <c r="Y26" s="112">
        <v>0.8</v>
      </c>
      <c r="Z26" s="112">
        <v>0</v>
      </c>
      <c r="AA26" s="112">
        <v>0</v>
      </c>
      <c r="AB26" s="112">
        <v>0</v>
      </c>
      <c r="AC26" s="112">
        <v>0</v>
      </c>
      <c r="AD26" s="112">
        <v>0.8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0.8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  <c r="BD26" s="112">
        <v>0</v>
      </c>
      <c r="BE26" s="112">
        <v>0</v>
      </c>
    </row>
    <row r="27" spans="1:57" customFormat="1" x14ac:dyDescent="0.15">
      <c r="A27" s="192" t="s">
        <v>217</v>
      </c>
      <c r="B27" s="112">
        <v>0.8</v>
      </c>
      <c r="C27" s="112">
        <v>0.8</v>
      </c>
      <c r="D27" s="112">
        <v>0</v>
      </c>
      <c r="E27" s="112">
        <v>0.8</v>
      </c>
      <c r="F27" s="112">
        <v>0</v>
      </c>
      <c r="G27" s="112">
        <v>0.8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0.8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0.8</v>
      </c>
      <c r="T27" s="112">
        <v>0.8</v>
      </c>
      <c r="U27" s="112">
        <v>0.8</v>
      </c>
      <c r="V27" s="112">
        <v>0</v>
      </c>
      <c r="W27" s="112">
        <v>0</v>
      </c>
      <c r="X27" s="112">
        <v>0</v>
      </c>
      <c r="Y27" s="112">
        <v>0.8</v>
      </c>
      <c r="Z27" s="112">
        <v>0</v>
      </c>
      <c r="AA27" s="112">
        <v>0.8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0.8</v>
      </c>
      <c r="AH27" s="112">
        <v>0.8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  <c r="BD27" s="112">
        <v>0</v>
      </c>
      <c r="BE27" s="112">
        <v>0</v>
      </c>
    </row>
    <row r="28" spans="1:57" customFormat="1" x14ac:dyDescent="0.15">
      <c r="A28" s="192" t="s">
        <v>218</v>
      </c>
      <c r="B28" s="112">
        <v>0.8</v>
      </c>
      <c r="C28" s="112">
        <v>0.8</v>
      </c>
      <c r="D28" s="112">
        <v>0</v>
      </c>
      <c r="E28" s="112">
        <v>0.8</v>
      </c>
      <c r="F28" s="112">
        <v>0</v>
      </c>
      <c r="G28" s="112">
        <v>0.8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0.8</v>
      </c>
      <c r="N28" s="112">
        <v>0.8</v>
      </c>
      <c r="O28" s="112">
        <v>0</v>
      </c>
      <c r="P28" s="112">
        <v>0</v>
      </c>
      <c r="Q28" s="112">
        <v>0.8</v>
      </c>
      <c r="R28" s="112">
        <v>0.8</v>
      </c>
      <c r="S28" s="112">
        <v>0.8</v>
      </c>
      <c r="T28" s="112">
        <v>0.8</v>
      </c>
      <c r="U28" s="112">
        <v>0.8</v>
      </c>
      <c r="V28" s="112">
        <v>0.8</v>
      </c>
      <c r="W28" s="112">
        <v>0</v>
      </c>
      <c r="X28" s="112">
        <v>0</v>
      </c>
      <c r="Y28" s="112">
        <v>0.8</v>
      </c>
      <c r="Z28" s="112">
        <v>0</v>
      </c>
      <c r="AA28" s="112">
        <v>0.8</v>
      </c>
      <c r="AB28" s="112">
        <v>0.8</v>
      </c>
      <c r="AC28" s="112">
        <v>0.8</v>
      </c>
      <c r="AD28" s="112">
        <v>0</v>
      </c>
      <c r="AE28" s="112">
        <v>0</v>
      </c>
      <c r="AF28" s="112">
        <v>0</v>
      </c>
      <c r="AG28" s="112">
        <v>0.8</v>
      </c>
      <c r="AH28" s="112">
        <v>0.8</v>
      </c>
      <c r="AI28" s="112">
        <v>0</v>
      </c>
      <c r="AJ28" s="112">
        <v>0</v>
      </c>
      <c r="AK28" s="112">
        <v>0.8</v>
      </c>
      <c r="AL28" s="112">
        <v>0</v>
      </c>
      <c r="AM28" s="112">
        <v>0</v>
      </c>
      <c r="AN28" s="112">
        <v>0</v>
      </c>
      <c r="AO28" s="112">
        <v>0.8</v>
      </c>
      <c r="AP28" s="112">
        <v>0.8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  <c r="BD28" s="112">
        <v>0</v>
      </c>
      <c r="BE28" s="112">
        <v>0</v>
      </c>
    </row>
    <row r="29" spans="1:57" customFormat="1" x14ac:dyDescent="0.15">
      <c r="A29" s="192" t="s">
        <v>219</v>
      </c>
      <c r="B29" s="112">
        <v>0</v>
      </c>
      <c r="C29" s="112">
        <v>0</v>
      </c>
      <c r="D29" s="112">
        <v>0</v>
      </c>
      <c r="E29" s="112">
        <v>0</v>
      </c>
      <c r="F29" s="112">
        <v>0.8</v>
      </c>
      <c r="G29" s="112">
        <v>0.8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0.8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0.8</v>
      </c>
      <c r="Z29" s="112">
        <v>0</v>
      </c>
      <c r="AA29" s="112">
        <v>0.8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0.8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  <c r="BD29" s="112">
        <v>0</v>
      </c>
      <c r="BE29" s="112">
        <v>0</v>
      </c>
    </row>
    <row r="30" spans="1:57" customFormat="1" x14ac:dyDescent="0.15">
      <c r="A30" s="192" t="s">
        <v>220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0.8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0.8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0.8</v>
      </c>
      <c r="T30" s="112">
        <v>0.8</v>
      </c>
      <c r="U30" s="112">
        <v>0</v>
      </c>
      <c r="V30" s="112">
        <v>0</v>
      </c>
      <c r="W30" s="112">
        <v>0</v>
      </c>
      <c r="X30" s="112">
        <v>0</v>
      </c>
      <c r="Y30" s="112">
        <v>0.8</v>
      </c>
      <c r="Z30" s="112">
        <v>0</v>
      </c>
      <c r="AA30" s="112">
        <v>0.8</v>
      </c>
      <c r="AB30" s="112">
        <v>0.8</v>
      </c>
      <c r="AC30" s="112">
        <v>0</v>
      </c>
      <c r="AD30" s="112">
        <v>0.8</v>
      </c>
      <c r="AE30" s="112">
        <v>0</v>
      </c>
      <c r="AF30" s="112">
        <v>0</v>
      </c>
      <c r="AG30" s="112">
        <v>0.8</v>
      </c>
      <c r="AH30" s="112">
        <v>0.8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0.8</v>
      </c>
      <c r="AP30" s="112">
        <v>0.8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  <c r="BD30" s="112">
        <v>0</v>
      </c>
      <c r="BE30" s="112">
        <v>0</v>
      </c>
    </row>
    <row r="31" spans="1:57" customFormat="1" x14ac:dyDescent="0.15">
      <c r="A31" s="192" t="s">
        <v>221</v>
      </c>
      <c r="B31" s="112">
        <v>0</v>
      </c>
      <c r="C31" s="112">
        <v>0.8</v>
      </c>
      <c r="D31" s="112">
        <v>0</v>
      </c>
      <c r="E31" s="112">
        <v>0.8</v>
      </c>
      <c r="F31" s="112">
        <v>0.8</v>
      </c>
      <c r="G31" s="112">
        <v>0.8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0.8</v>
      </c>
      <c r="P31" s="112">
        <v>0</v>
      </c>
      <c r="Q31" s="112">
        <v>0.8</v>
      </c>
      <c r="R31" s="112">
        <v>0.8</v>
      </c>
      <c r="S31" s="112">
        <v>0.8</v>
      </c>
      <c r="T31" s="112">
        <v>0.8</v>
      </c>
      <c r="U31" s="112">
        <v>0</v>
      </c>
      <c r="V31" s="112">
        <v>0.8</v>
      </c>
      <c r="W31" s="112">
        <v>0.8</v>
      </c>
      <c r="X31" s="112">
        <v>0</v>
      </c>
      <c r="Y31" s="112">
        <v>0.8</v>
      </c>
      <c r="Z31" s="112">
        <v>0.8</v>
      </c>
      <c r="AA31" s="112">
        <v>0.8</v>
      </c>
      <c r="AB31" s="112">
        <v>0</v>
      </c>
      <c r="AC31" s="112">
        <v>0</v>
      </c>
      <c r="AD31" s="112">
        <v>0</v>
      </c>
      <c r="AE31" s="112">
        <v>0</v>
      </c>
      <c r="AF31" s="112">
        <v>0</v>
      </c>
      <c r="AG31" s="112">
        <v>0</v>
      </c>
      <c r="AH31" s="112">
        <v>0.8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  <c r="BD31" s="112">
        <v>0</v>
      </c>
      <c r="BE31" s="112">
        <v>0</v>
      </c>
    </row>
    <row r="32" spans="1:57" customFormat="1" x14ac:dyDescent="0.15">
      <c r="A32" s="192" t="s">
        <v>222</v>
      </c>
      <c r="B32" s="112">
        <v>0</v>
      </c>
      <c r="C32" s="112">
        <v>0</v>
      </c>
      <c r="D32" s="112">
        <v>0</v>
      </c>
      <c r="E32" s="112">
        <v>0.8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0.8</v>
      </c>
      <c r="N32" s="112">
        <v>0</v>
      </c>
      <c r="O32" s="112">
        <v>0</v>
      </c>
      <c r="P32" s="112">
        <v>0</v>
      </c>
      <c r="Q32" s="112">
        <v>0.8</v>
      </c>
      <c r="R32" s="112">
        <v>0.8</v>
      </c>
      <c r="S32" s="112">
        <v>0.8</v>
      </c>
      <c r="T32" s="112">
        <v>0.8</v>
      </c>
      <c r="U32" s="112">
        <v>0</v>
      </c>
      <c r="V32" s="112">
        <v>0.8</v>
      </c>
      <c r="W32" s="112">
        <v>0.8</v>
      </c>
      <c r="X32" s="112">
        <v>0</v>
      </c>
      <c r="Y32" s="112">
        <v>0.8</v>
      </c>
      <c r="Z32" s="112">
        <v>0</v>
      </c>
      <c r="AA32" s="112">
        <v>0.8</v>
      </c>
      <c r="AB32" s="112">
        <v>0.8</v>
      </c>
      <c r="AC32" s="112">
        <v>0</v>
      </c>
      <c r="AD32" s="112">
        <v>0</v>
      </c>
      <c r="AE32" s="112">
        <v>0</v>
      </c>
      <c r="AF32" s="112">
        <v>0</v>
      </c>
      <c r="AG32" s="112">
        <v>0.8</v>
      </c>
      <c r="AH32" s="112">
        <v>0.8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0.8</v>
      </c>
      <c r="AP32" s="112">
        <v>0.8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  <c r="BD32" s="112">
        <v>0</v>
      </c>
      <c r="BE32" s="112">
        <v>0</v>
      </c>
    </row>
    <row r="33" spans="1:57" x14ac:dyDescent="0.15">
      <c r="A33" s="192" t="s">
        <v>223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0.8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0.8</v>
      </c>
      <c r="N33" s="112">
        <v>0</v>
      </c>
      <c r="O33" s="112">
        <v>0</v>
      </c>
      <c r="P33" s="112">
        <v>0</v>
      </c>
      <c r="Q33" s="112">
        <v>0.8</v>
      </c>
      <c r="R33" s="112">
        <v>0</v>
      </c>
      <c r="S33" s="112">
        <v>0</v>
      </c>
      <c r="T33" s="112">
        <v>0.8</v>
      </c>
      <c r="U33" s="112">
        <v>0</v>
      </c>
      <c r="V33" s="112">
        <v>0.8</v>
      </c>
      <c r="W33" s="112">
        <v>0</v>
      </c>
      <c r="X33" s="112">
        <v>0</v>
      </c>
      <c r="Y33" s="112">
        <v>0.8</v>
      </c>
      <c r="Z33" s="112">
        <v>0</v>
      </c>
      <c r="AA33" s="112">
        <v>0.8</v>
      </c>
      <c r="AB33" s="112">
        <v>0</v>
      </c>
      <c r="AC33" s="112">
        <v>0</v>
      </c>
      <c r="AD33" s="112">
        <v>0</v>
      </c>
      <c r="AE33" s="112">
        <v>0</v>
      </c>
      <c r="AF33" s="112">
        <v>0</v>
      </c>
      <c r="AG33" s="112">
        <v>0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  <c r="BD33" s="112">
        <v>0</v>
      </c>
      <c r="BE33" s="112">
        <v>0</v>
      </c>
    </row>
    <row r="34" spans="1:57" x14ac:dyDescent="0.15">
      <c r="A34" s="192" t="s">
        <v>224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0.8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0.8</v>
      </c>
      <c r="N34" s="112">
        <v>0.8</v>
      </c>
      <c r="O34" s="112">
        <v>0.8</v>
      </c>
      <c r="P34" s="112">
        <v>0</v>
      </c>
      <c r="Q34" s="112">
        <v>0</v>
      </c>
      <c r="R34" s="112">
        <v>0</v>
      </c>
      <c r="S34" s="112">
        <v>0.8</v>
      </c>
      <c r="T34" s="112">
        <v>0.8</v>
      </c>
      <c r="U34" s="112">
        <v>0.8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0.8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  <c r="BD34" s="112">
        <v>0</v>
      </c>
      <c r="BE34" s="112">
        <v>0</v>
      </c>
    </row>
    <row r="35" spans="1:57" x14ac:dyDescent="0.15">
      <c r="A35" s="192" t="s">
        <v>225</v>
      </c>
      <c r="B35" s="112">
        <v>0.8</v>
      </c>
      <c r="C35" s="112">
        <v>0.8</v>
      </c>
      <c r="D35" s="112">
        <v>0.8</v>
      </c>
      <c r="E35" s="112">
        <v>0.8</v>
      </c>
      <c r="F35" s="112">
        <v>0.8</v>
      </c>
      <c r="G35" s="112">
        <v>0.8</v>
      </c>
      <c r="H35" s="112">
        <v>0.8</v>
      </c>
      <c r="I35" s="112">
        <v>0.8</v>
      </c>
      <c r="J35" s="112">
        <v>0</v>
      </c>
      <c r="K35" s="112">
        <v>0</v>
      </c>
      <c r="L35" s="112">
        <v>0</v>
      </c>
      <c r="M35" s="112">
        <v>0.8</v>
      </c>
      <c r="N35" s="112">
        <v>0.8</v>
      </c>
      <c r="O35" s="112">
        <v>0.8</v>
      </c>
      <c r="P35" s="112">
        <v>0</v>
      </c>
      <c r="Q35" s="112">
        <v>0.8</v>
      </c>
      <c r="R35" s="112">
        <v>0.8</v>
      </c>
      <c r="S35" s="112">
        <v>0.8</v>
      </c>
      <c r="T35" s="112">
        <v>0.8</v>
      </c>
      <c r="U35" s="112">
        <v>0.8</v>
      </c>
      <c r="V35" s="112">
        <v>0.8</v>
      </c>
      <c r="W35" s="112">
        <v>0.8</v>
      </c>
      <c r="X35" s="112">
        <v>0</v>
      </c>
      <c r="Y35" s="112">
        <v>0.8</v>
      </c>
      <c r="Z35" s="112">
        <v>0.8</v>
      </c>
      <c r="AA35" s="112">
        <v>0.8</v>
      </c>
      <c r="AB35" s="112">
        <v>0.8</v>
      </c>
      <c r="AC35" s="112">
        <v>0</v>
      </c>
      <c r="AD35" s="112">
        <v>0.8</v>
      </c>
      <c r="AE35" s="112">
        <v>0.8</v>
      </c>
      <c r="AF35" s="112">
        <v>0</v>
      </c>
      <c r="AG35" s="112">
        <v>0.8</v>
      </c>
      <c r="AH35" s="112">
        <v>0.8</v>
      </c>
      <c r="AI35" s="112">
        <v>0.8</v>
      </c>
      <c r="AJ35" s="112">
        <v>0</v>
      </c>
      <c r="AK35" s="112">
        <v>0.8</v>
      </c>
      <c r="AL35" s="112">
        <v>0</v>
      </c>
      <c r="AM35" s="112">
        <v>0</v>
      </c>
      <c r="AN35" s="112">
        <v>0</v>
      </c>
      <c r="AO35" s="112">
        <v>0.8</v>
      </c>
      <c r="AP35" s="112">
        <v>0.8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  <c r="BD35" s="112">
        <v>0</v>
      </c>
      <c r="BE35" s="112">
        <v>0</v>
      </c>
    </row>
    <row r="36" spans="1:57" x14ac:dyDescent="0.15">
      <c r="A36" s="192" t="s">
        <v>226</v>
      </c>
      <c r="B36" s="112">
        <v>0</v>
      </c>
      <c r="C36" s="112">
        <v>0</v>
      </c>
      <c r="D36" s="112">
        <v>0</v>
      </c>
      <c r="E36" s="112">
        <v>0.8</v>
      </c>
      <c r="F36" s="112">
        <v>0</v>
      </c>
      <c r="G36" s="112">
        <v>0.8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0.8</v>
      </c>
      <c r="R36" s="112">
        <v>0.8</v>
      </c>
      <c r="S36" s="112">
        <v>0</v>
      </c>
      <c r="T36" s="112">
        <v>0.8</v>
      </c>
      <c r="U36" s="112">
        <v>0</v>
      </c>
      <c r="V36" s="112">
        <v>0</v>
      </c>
      <c r="W36" s="112">
        <v>0</v>
      </c>
      <c r="X36" s="112">
        <v>0</v>
      </c>
      <c r="Y36" s="112">
        <v>0.8</v>
      </c>
      <c r="Z36" s="112">
        <v>0</v>
      </c>
      <c r="AA36" s="112">
        <v>0.8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0.8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  <c r="BD36" s="112">
        <v>0</v>
      </c>
      <c r="BE36" s="112">
        <v>0</v>
      </c>
    </row>
    <row r="37" spans="1:57" x14ac:dyDescent="0.15">
      <c r="A37" s="192" t="s">
        <v>227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0.8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0.8</v>
      </c>
      <c r="AB37" s="112">
        <v>0</v>
      </c>
      <c r="AC37" s="112">
        <v>0</v>
      </c>
      <c r="AD37" s="112">
        <v>0.8</v>
      </c>
      <c r="AE37" s="112">
        <v>0</v>
      </c>
      <c r="AF37" s="112">
        <v>0</v>
      </c>
      <c r="AG37" s="112">
        <v>0.8</v>
      </c>
      <c r="AH37" s="112">
        <v>0.8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0.8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  <c r="BD37" s="112">
        <v>0</v>
      </c>
      <c r="BE37" s="112">
        <v>0</v>
      </c>
    </row>
    <row r="38" spans="1:57" x14ac:dyDescent="0.15">
      <c r="A38" s="192" t="s">
        <v>228</v>
      </c>
      <c r="B38" s="112">
        <v>0.8</v>
      </c>
      <c r="C38" s="112">
        <v>0.8</v>
      </c>
      <c r="D38" s="112">
        <v>0.8</v>
      </c>
      <c r="E38" s="112">
        <v>0.8</v>
      </c>
      <c r="F38" s="112">
        <v>0.8</v>
      </c>
      <c r="G38" s="112">
        <v>0.8</v>
      </c>
      <c r="H38" s="112">
        <v>0</v>
      </c>
      <c r="I38" s="112">
        <v>0.8</v>
      </c>
      <c r="J38" s="112">
        <v>0</v>
      </c>
      <c r="K38" s="112">
        <v>0.8</v>
      </c>
      <c r="L38" s="112">
        <v>0</v>
      </c>
      <c r="M38" s="112">
        <v>0.8</v>
      </c>
      <c r="N38" s="112">
        <v>0.8</v>
      </c>
      <c r="O38" s="112">
        <v>0.8</v>
      </c>
      <c r="P38" s="112">
        <v>0</v>
      </c>
      <c r="Q38" s="112">
        <v>0.8</v>
      </c>
      <c r="R38" s="112">
        <v>0.8</v>
      </c>
      <c r="S38" s="112">
        <v>0.8</v>
      </c>
      <c r="T38" s="112">
        <v>0.8</v>
      </c>
      <c r="U38" s="112">
        <v>0.8</v>
      </c>
      <c r="V38" s="112">
        <v>0.8</v>
      </c>
      <c r="W38" s="112">
        <v>0.8</v>
      </c>
      <c r="X38" s="112">
        <v>0</v>
      </c>
      <c r="Y38" s="112">
        <v>0.8</v>
      </c>
      <c r="Z38" s="112">
        <v>0.8</v>
      </c>
      <c r="AA38" s="112">
        <v>0.8</v>
      </c>
      <c r="AB38" s="112">
        <v>0.8</v>
      </c>
      <c r="AC38" s="112">
        <v>0</v>
      </c>
      <c r="AD38" s="112">
        <v>0.8</v>
      </c>
      <c r="AE38" s="112">
        <v>0.8</v>
      </c>
      <c r="AF38" s="112">
        <v>0</v>
      </c>
      <c r="AG38" s="112">
        <v>0.8</v>
      </c>
      <c r="AH38" s="112">
        <v>0.8</v>
      </c>
      <c r="AI38" s="112">
        <v>0</v>
      </c>
      <c r="AJ38" s="112">
        <v>0</v>
      </c>
      <c r="AK38" s="112">
        <v>0.8</v>
      </c>
      <c r="AL38" s="112">
        <v>0.8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  <c r="BD38" s="112">
        <v>0</v>
      </c>
      <c r="BE38" s="112">
        <v>0</v>
      </c>
    </row>
    <row r="39" spans="1:57" x14ac:dyDescent="0.15">
      <c r="A39" s="192" t="s">
        <v>229</v>
      </c>
      <c r="B39" s="112">
        <v>0.8</v>
      </c>
      <c r="C39" s="112">
        <v>0</v>
      </c>
      <c r="D39" s="112">
        <v>0</v>
      </c>
      <c r="E39" s="112">
        <v>0</v>
      </c>
      <c r="F39" s="112">
        <v>0.8</v>
      </c>
      <c r="G39" s="112">
        <v>0</v>
      </c>
      <c r="H39" s="112">
        <v>0.8</v>
      </c>
      <c r="I39" s="112">
        <v>0.8</v>
      </c>
      <c r="J39" s="112">
        <v>0.8</v>
      </c>
      <c r="K39" s="112">
        <v>0</v>
      </c>
      <c r="L39" s="112">
        <v>0</v>
      </c>
      <c r="M39" s="112">
        <v>0.8</v>
      </c>
      <c r="N39" s="112">
        <v>0.8</v>
      </c>
      <c r="O39" s="112">
        <v>0.8</v>
      </c>
      <c r="P39" s="112">
        <v>0.8</v>
      </c>
      <c r="Q39" s="112">
        <v>0.8</v>
      </c>
      <c r="R39" s="112">
        <v>0.8</v>
      </c>
      <c r="S39" s="112">
        <v>0.8</v>
      </c>
      <c r="T39" s="112">
        <v>0.8</v>
      </c>
      <c r="U39" s="112">
        <v>0.8</v>
      </c>
      <c r="V39" s="112">
        <v>0</v>
      </c>
      <c r="W39" s="112">
        <v>0.8</v>
      </c>
      <c r="X39" s="112">
        <v>0.8</v>
      </c>
      <c r="Y39" s="112">
        <v>0.8</v>
      </c>
      <c r="Z39" s="112">
        <v>0.8</v>
      </c>
      <c r="AA39" s="112">
        <v>0.8</v>
      </c>
      <c r="AB39" s="112">
        <v>0.8</v>
      </c>
      <c r="AC39" s="112">
        <v>0.8</v>
      </c>
      <c r="AD39" s="112">
        <v>0.8</v>
      </c>
      <c r="AE39" s="112">
        <v>0.8</v>
      </c>
      <c r="AF39" s="112">
        <v>0</v>
      </c>
      <c r="AG39" s="112">
        <v>0.8</v>
      </c>
      <c r="AH39" s="112">
        <v>0.8</v>
      </c>
      <c r="AI39" s="112">
        <v>0.8</v>
      </c>
      <c r="AJ39" s="112">
        <v>0</v>
      </c>
      <c r="AK39" s="112">
        <v>0.8</v>
      </c>
      <c r="AL39" s="112">
        <v>0</v>
      </c>
      <c r="AM39" s="112">
        <v>0</v>
      </c>
      <c r="AN39" s="112">
        <v>0.8</v>
      </c>
      <c r="AO39" s="112">
        <v>0</v>
      </c>
      <c r="AP39" s="112">
        <v>0.8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  <c r="BD39" s="112">
        <v>0</v>
      </c>
      <c r="BE39" s="112">
        <v>0</v>
      </c>
    </row>
    <row r="40" spans="1:57" x14ac:dyDescent="0.15">
      <c r="A40" s="192" t="s">
        <v>230</v>
      </c>
      <c r="B40" s="112">
        <v>0</v>
      </c>
      <c r="C40" s="112">
        <v>0</v>
      </c>
      <c r="D40" s="112">
        <v>0</v>
      </c>
      <c r="E40" s="112">
        <v>0.8</v>
      </c>
      <c r="F40" s="112">
        <v>0.8</v>
      </c>
      <c r="G40" s="112">
        <v>0</v>
      </c>
      <c r="H40" s="112">
        <v>0.8</v>
      </c>
      <c r="I40" s="112">
        <v>0.8</v>
      </c>
      <c r="J40" s="112">
        <v>0</v>
      </c>
      <c r="K40" s="112">
        <v>0</v>
      </c>
      <c r="L40" s="112">
        <v>0</v>
      </c>
      <c r="M40" s="112">
        <v>0.8</v>
      </c>
      <c r="N40" s="112">
        <v>0.8</v>
      </c>
      <c r="O40" s="112">
        <v>0.8</v>
      </c>
      <c r="P40" s="112">
        <v>0.8</v>
      </c>
      <c r="Q40" s="112">
        <v>0.8</v>
      </c>
      <c r="R40" s="112">
        <v>0.8</v>
      </c>
      <c r="S40" s="112">
        <v>0.8</v>
      </c>
      <c r="T40" s="112">
        <v>0.8</v>
      </c>
      <c r="U40" s="112">
        <v>0.8</v>
      </c>
      <c r="V40" s="112">
        <v>0</v>
      </c>
      <c r="W40" s="112">
        <v>0.8</v>
      </c>
      <c r="X40" s="112">
        <v>0.8</v>
      </c>
      <c r="Y40" s="112">
        <v>0.8</v>
      </c>
      <c r="Z40" s="112">
        <v>0.8</v>
      </c>
      <c r="AA40" s="112">
        <v>0.8</v>
      </c>
      <c r="AB40" s="112">
        <v>0.8</v>
      </c>
      <c r="AC40" s="112">
        <v>0.8</v>
      </c>
      <c r="AD40" s="112">
        <v>0.8</v>
      </c>
      <c r="AE40" s="112">
        <v>0.8</v>
      </c>
      <c r="AF40" s="112">
        <v>0</v>
      </c>
      <c r="AG40" s="112">
        <v>0.8</v>
      </c>
      <c r="AH40" s="112">
        <v>0.8</v>
      </c>
      <c r="AI40" s="112">
        <v>0.8</v>
      </c>
      <c r="AJ40" s="112">
        <v>0</v>
      </c>
      <c r="AK40" s="112">
        <v>0.8</v>
      </c>
      <c r="AL40" s="112">
        <v>0</v>
      </c>
      <c r="AM40" s="112">
        <v>0</v>
      </c>
      <c r="AN40" s="112">
        <v>0</v>
      </c>
      <c r="AO40" s="112">
        <v>0.8</v>
      </c>
      <c r="AP40" s="112">
        <v>0.8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  <c r="BD40" s="112">
        <v>0</v>
      </c>
      <c r="BE40" s="112">
        <v>0</v>
      </c>
    </row>
    <row r="41" spans="1:57" x14ac:dyDescent="0.15">
      <c r="A41" s="192" t="s">
        <v>231</v>
      </c>
      <c r="B41" s="112">
        <v>0</v>
      </c>
      <c r="C41" s="112">
        <v>0</v>
      </c>
      <c r="D41" s="112">
        <v>0</v>
      </c>
      <c r="E41" s="112">
        <v>0</v>
      </c>
      <c r="F41" s="112">
        <v>0.8</v>
      </c>
      <c r="G41" s="112">
        <v>0</v>
      </c>
      <c r="H41" s="112">
        <v>0</v>
      </c>
      <c r="I41" s="112">
        <v>0.8</v>
      </c>
      <c r="J41" s="112">
        <v>0</v>
      </c>
      <c r="K41" s="112">
        <v>0</v>
      </c>
      <c r="L41" s="112">
        <v>0</v>
      </c>
      <c r="M41" s="112">
        <v>0</v>
      </c>
      <c r="N41" s="112">
        <v>0.8</v>
      </c>
      <c r="O41" s="112">
        <v>0.8</v>
      </c>
      <c r="P41" s="112">
        <v>0.8</v>
      </c>
      <c r="Q41" s="112">
        <v>0.8</v>
      </c>
      <c r="R41" s="112">
        <v>0</v>
      </c>
      <c r="S41" s="112">
        <v>0.8</v>
      </c>
      <c r="T41" s="112">
        <v>0.8</v>
      </c>
      <c r="U41" s="112">
        <v>0.8</v>
      </c>
      <c r="V41" s="112">
        <v>0</v>
      </c>
      <c r="W41" s="112">
        <v>0.8</v>
      </c>
      <c r="X41" s="112">
        <v>0.8</v>
      </c>
      <c r="Y41" s="112">
        <v>0.8</v>
      </c>
      <c r="Z41" s="112">
        <v>0.8</v>
      </c>
      <c r="AA41" s="112">
        <v>0.8</v>
      </c>
      <c r="AB41" s="112">
        <v>0</v>
      </c>
      <c r="AC41" s="112">
        <v>0</v>
      </c>
      <c r="AD41" s="112">
        <v>0.8</v>
      </c>
      <c r="AE41" s="112">
        <v>0.8</v>
      </c>
      <c r="AF41" s="112">
        <v>0</v>
      </c>
      <c r="AG41" s="112">
        <v>0</v>
      </c>
      <c r="AH41" s="112">
        <v>0.8</v>
      </c>
      <c r="AI41" s="112">
        <v>0.8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0.8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  <c r="BD41" s="112">
        <v>0</v>
      </c>
      <c r="BE41" s="112">
        <v>0</v>
      </c>
    </row>
    <row r="42" spans="1:57" x14ac:dyDescent="0.15">
      <c r="A42" s="192" t="s">
        <v>232</v>
      </c>
      <c r="B42" s="112">
        <v>0</v>
      </c>
      <c r="C42" s="112">
        <v>0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0.8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0.8</v>
      </c>
      <c r="Z42" s="112">
        <v>0</v>
      </c>
      <c r="AA42" s="112">
        <v>0.8</v>
      </c>
      <c r="AB42" s="112">
        <v>0.8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0.8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  <c r="BD42" s="112">
        <v>0</v>
      </c>
      <c r="BE42" s="112">
        <v>0</v>
      </c>
    </row>
    <row r="43" spans="1:57" x14ac:dyDescent="0.15">
      <c r="A43" s="192" t="s">
        <v>233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0.8</v>
      </c>
      <c r="Q43" s="112">
        <v>0</v>
      </c>
      <c r="R43" s="112">
        <v>0</v>
      </c>
      <c r="S43" s="112">
        <v>0.8</v>
      </c>
      <c r="T43" s="112">
        <v>0</v>
      </c>
      <c r="U43" s="112">
        <v>0</v>
      </c>
      <c r="V43" s="112">
        <v>0</v>
      </c>
      <c r="W43" s="112">
        <v>0.8</v>
      </c>
      <c r="X43" s="112">
        <v>0</v>
      </c>
      <c r="Y43" s="112">
        <v>0</v>
      </c>
      <c r="Z43" s="112">
        <v>0.8</v>
      </c>
      <c r="AA43" s="112">
        <v>0.8</v>
      </c>
      <c r="AB43" s="112">
        <v>0.8</v>
      </c>
      <c r="AC43" s="112">
        <v>0.8</v>
      </c>
      <c r="AD43" s="112">
        <v>0</v>
      </c>
      <c r="AE43" s="112">
        <v>0</v>
      </c>
      <c r="AF43" s="112">
        <v>0</v>
      </c>
      <c r="AG43" s="112">
        <v>0</v>
      </c>
      <c r="AH43" s="112">
        <v>0.8</v>
      </c>
      <c r="AI43" s="112">
        <v>0</v>
      </c>
      <c r="AJ43" s="112">
        <v>0</v>
      </c>
      <c r="AK43" s="112">
        <v>0.8</v>
      </c>
      <c r="AL43" s="112">
        <v>0</v>
      </c>
      <c r="AM43" s="112">
        <v>0</v>
      </c>
      <c r="AN43" s="112">
        <v>0</v>
      </c>
      <c r="AO43" s="112">
        <v>0.8</v>
      </c>
      <c r="AP43" s="112">
        <v>0.8</v>
      </c>
      <c r="AQ43" s="112">
        <v>0.8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  <c r="BD43" s="112">
        <v>0</v>
      </c>
      <c r="BE43" s="112">
        <v>0</v>
      </c>
    </row>
    <row r="44" spans="1:57" x14ac:dyDescent="0.15">
      <c r="A44" s="192" t="s">
        <v>234</v>
      </c>
      <c r="B44" s="112">
        <v>0</v>
      </c>
      <c r="C44" s="112">
        <v>0</v>
      </c>
      <c r="D44" s="112">
        <v>0</v>
      </c>
      <c r="E44" s="112">
        <v>0</v>
      </c>
      <c r="F44" s="112">
        <v>0.8</v>
      </c>
      <c r="G44" s="112">
        <v>0</v>
      </c>
      <c r="H44" s="112">
        <v>0</v>
      </c>
      <c r="I44" s="112">
        <v>0.8</v>
      </c>
      <c r="J44" s="112">
        <v>0.8</v>
      </c>
      <c r="K44" s="112">
        <v>0</v>
      </c>
      <c r="L44" s="112">
        <v>0</v>
      </c>
      <c r="M44" s="112">
        <v>0</v>
      </c>
      <c r="N44" s="112">
        <v>0</v>
      </c>
      <c r="O44" s="112">
        <v>0.8</v>
      </c>
      <c r="P44" s="112">
        <v>0.8</v>
      </c>
      <c r="Q44" s="112">
        <v>0.8</v>
      </c>
      <c r="R44" s="112">
        <v>0</v>
      </c>
      <c r="S44" s="112">
        <v>0.8</v>
      </c>
      <c r="T44" s="112">
        <v>0</v>
      </c>
      <c r="U44" s="112">
        <v>0.8</v>
      </c>
      <c r="V44" s="112">
        <v>0</v>
      </c>
      <c r="W44" s="112">
        <v>0.8</v>
      </c>
      <c r="X44" s="112">
        <v>0</v>
      </c>
      <c r="Y44" s="112">
        <v>0</v>
      </c>
      <c r="Z44" s="112">
        <v>0.8</v>
      </c>
      <c r="AA44" s="112">
        <v>0</v>
      </c>
      <c r="AB44" s="112">
        <v>0.8</v>
      </c>
      <c r="AC44" s="112">
        <v>0</v>
      </c>
      <c r="AD44" s="112">
        <v>0.8</v>
      </c>
      <c r="AE44" s="112">
        <v>0.8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0.8</v>
      </c>
      <c r="AL44" s="112">
        <v>0.8</v>
      </c>
      <c r="AM44" s="112">
        <v>0</v>
      </c>
      <c r="AN44" s="112">
        <v>0.8</v>
      </c>
      <c r="AO44" s="112">
        <v>0.8</v>
      </c>
      <c r="AP44" s="112">
        <v>0.8</v>
      </c>
      <c r="AQ44" s="112">
        <v>0.8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  <c r="BD44" s="112">
        <v>0</v>
      </c>
      <c r="BE44" s="112">
        <v>0</v>
      </c>
    </row>
    <row r="45" spans="1:57" x14ac:dyDescent="0.15">
      <c r="A45" s="192" t="s">
        <v>235</v>
      </c>
      <c r="B45" s="112">
        <v>0</v>
      </c>
      <c r="C45" s="112">
        <v>0</v>
      </c>
      <c r="D45" s="112">
        <v>0</v>
      </c>
      <c r="E45" s="112">
        <v>0</v>
      </c>
      <c r="F45" s="112">
        <v>0.8</v>
      </c>
      <c r="G45" s="112">
        <v>0</v>
      </c>
      <c r="H45" s="112">
        <v>0.8</v>
      </c>
      <c r="I45" s="112">
        <v>0.8</v>
      </c>
      <c r="J45" s="112">
        <v>0</v>
      </c>
      <c r="K45" s="112">
        <v>0.8</v>
      </c>
      <c r="L45" s="112">
        <v>0</v>
      </c>
      <c r="M45" s="112">
        <v>0</v>
      </c>
      <c r="N45" s="112">
        <v>0</v>
      </c>
      <c r="O45" s="112">
        <v>0</v>
      </c>
      <c r="P45" s="112">
        <v>0</v>
      </c>
      <c r="Q45" s="112">
        <v>0.8</v>
      </c>
      <c r="R45" s="112">
        <v>0</v>
      </c>
      <c r="S45" s="112">
        <v>0</v>
      </c>
      <c r="T45" s="112">
        <v>0.8</v>
      </c>
      <c r="U45" s="112">
        <v>0</v>
      </c>
      <c r="V45" s="112">
        <v>0</v>
      </c>
      <c r="W45" s="112">
        <v>0</v>
      </c>
      <c r="X45" s="112">
        <v>0</v>
      </c>
      <c r="Y45" s="112">
        <v>0</v>
      </c>
      <c r="Z45" s="112">
        <v>0.8</v>
      </c>
      <c r="AA45" s="112">
        <v>0</v>
      </c>
      <c r="AB45" s="112">
        <v>0.8</v>
      </c>
      <c r="AC45" s="112">
        <v>0.8</v>
      </c>
      <c r="AD45" s="112">
        <v>0</v>
      </c>
      <c r="AE45" s="112">
        <v>0</v>
      </c>
      <c r="AF45" s="112">
        <v>0</v>
      </c>
      <c r="AG45" s="112">
        <v>0.8</v>
      </c>
      <c r="AH45" s="112">
        <v>0</v>
      </c>
      <c r="AI45" s="112">
        <v>0</v>
      </c>
      <c r="AJ45" s="112">
        <v>0</v>
      </c>
      <c r="AK45" s="112">
        <v>0</v>
      </c>
      <c r="AL45" s="112">
        <v>0</v>
      </c>
      <c r="AM45" s="112">
        <v>0</v>
      </c>
      <c r="AN45" s="112">
        <v>0</v>
      </c>
      <c r="AO45" s="112">
        <v>0.8</v>
      </c>
      <c r="AP45" s="112">
        <v>0.8</v>
      </c>
      <c r="AQ45" s="112">
        <v>0.8</v>
      </c>
      <c r="AR45" s="112">
        <v>0</v>
      </c>
      <c r="AS45" s="112">
        <v>0.8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  <c r="BD45" s="112">
        <v>0</v>
      </c>
      <c r="BE45" s="112">
        <v>0</v>
      </c>
    </row>
    <row r="46" spans="1:57" x14ac:dyDescent="0.15">
      <c r="A46" s="192" t="s">
        <v>236</v>
      </c>
      <c r="B46" s="112">
        <v>0</v>
      </c>
      <c r="C46" s="112">
        <v>0</v>
      </c>
      <c r="D46" s="112">
        <v>0.8</v>
      </c>
      <c r="E46" s="112">
        <v>0</v>
      </c>
      <c r="F46" s="112">
        <v>0.8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0.8</v>
      </c>
      <c r="M46" s="112">
        <v>0.8</v>
      </c>
      <c r="N46" s="112">
        <v>0</v>
      </c>
      <c r="O46" s="112">
        <v>0.8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0.8</v>
      </c>
      <c r="V46" s="112">
        <v>0</v>
      </c>
      <c r="W46" s="112">
        <v>0.8</v>
      </c>
      <c r="X46" s="112">
        <v>0.8</v>
      </c>
      <c r="Y46" s="112">
        <v>0.8</v>
      </c>
      <c r="Z46" s="112">
        <v>0.8</v>
      </c>
      <c r="AA46" s="112">
        <v>0</v>
      </c>
      <c r="AB46" s="112">
        <v>0</v>
      </c>
      <c r="AC46" s="112">
        <v>0</v>
      </c>
      <c r="AD46" s="112">
        <v>0</v>
      </c>
      <c r="AE46" s="112">
        <v>0.8</v>
      </c>
      <c r="AF46" s="112">
        <v>0</v>
      </c>
      <c r="AG46" s="112">
        <v>0</v>
      </c>
      <c r="AH46" s="112">
        <v>0</v>
      </c>
      <c r="AI46" s="112">
        <v>0.8</v>
      </c>
      <c r="AJ46" s="112">
        <v>0.8</v>
      </c>
      <c r="AK46" s="112">
        <v>0</v>
      </c>
      <c r="AL46" s="112">
        <v>0.8</v>
      </c>
      <c r="AM46" s="112">
        <v>0</v>
      </c>
      <c r="AN46" s="112">
        <v>0</v>
      </c>
      <c r="AO46" s="112">
        <v>0</v>
      </c>
      <c r="AP46" s="112">
        <v>0</v>
      </c>
      <c r="AQ46" s="112">
        <v>0</v>
      </c>
      <c r="AR46" s="112">
        <v>0</v>
      </c>
      <c r="AS46" s="112">
        <v>0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  <c r="BD46" s="112">
        <v>0</v>
      </c>
      <c r="BE46" s="112">
        <v>0</v>
      </c>
    </row>
    <row r="47" spans="1:57" x14ac:dyDescent="0.15">
      <c r="A47" s="192" t="s">
        <v>237</v>
      </c>
      <c r="B47" s="112">
        <v>0</v>
      </c>
      <c r="C47" s="112">
        <v>0</v>
      </c>
      <c r="D47" s="112">
        <v>0.8</v>
      </c>
      <c r="E47" s="112">
        <v>0</v>
      </c>
      <c r="F47" s="112">
        <v>0</v>
      </c>
      <c r="G47" s="112">
        <v>0.8</v>
      </c>
      <c r="H47" s="112">
        <v>0.8</v>
      </c>
      <c r="I47" s="112">
        <v>0</v>
      </c>
      <c r="J47" s="112">
        <v>0</v>
      </c>
      <c r="K47" s="112">
        <v>0</v>
      </c>
      <c r="L47" s="112">
        <v>0.8</v>
      </c>
      <c r="M47" s="112">
        <v>0</v>
      </c>
      <c r="N47" s="112">
        <v>0.8</v>
      </c>
      <c r="O47" s="112">
        <v>0</v>
      </c>
      <c r="P47" s="112">
        <v>0.8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0.8</v>
      </c>
      <c r="X47" s="112">
        <v>0.8</v>
      </c>
      <c r="Y47" s="112">
        <v>0.8</v>
      </c>
      <c r="Z47" s="112">
        <v>0.8</v>
      </c>
      <c r="AA47" s="112">
        <v>0</v>
      </c>
      <c r="AB47" s="112">
        <v>0.8</v>
      </c>
      <c r="AC47" s="112">
        <v>0</v>
      </c>
      <c r="AD47" s="112">
        <v>0.8</v>
      </c>
      <c r="AE47" s="112">
        <v>0.8</v>
      </c>
      <c r="AF47" s="112">
        <v>0</v>
      </c>
      <c r="AG47" s="112">
        <v>0</v>
      </c>
      <c r="AH47" s="112">
        <v>0</v>
      </c>
      <c r="AI47" s="112">
        <v>0.8</v>
      </c>
      <c r="AJ47" s="112">
        <v>0.8</v>
      </c>
      <c r="AK47" s="112">
        <v>0.8</v>
      </c>
      <c r="AL47" s="112">
        <v>0.8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0.8</v>
      </c>
      <c r="AU47" s="112">
        <v>0</v>
      </c>
      <c r="AV47" s="112">
        <v>0.8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  <c r="BD47" s="112">
        <v>0</v>
      </c>
      <c r="BE47" s="112">
        <v>0</v>
      </c>
    </row>
    <row r="48" spans="1:57" x14ac:dyDescent="0.15">
      <c r="A48" s="192" t="s">
        <v>238</v>
      </c>
      <c r="B48" s="112">
        <v>0</v>
      </c>
      <c r="C48" s="112">
        <v>0</v>
      </c>
      <c r="D48" s="112">
        <v>0</v>
      </c>
      <c r="E48" s="112">
        <v>0.8</v>
      </c>
      <c r="F48" s="112">
        <v>0.8</v>
      </c>
      <c r="G48" s="112">
        <v>0</v>
      </c>
      <c r="H48" s="112">
        <v>0.8</v>
      </c>
      <c r="I48" s="112">
        <v>0.8</v>
      </c>
      <c r="J48" s="112">
        <v>0.8</v>
      </c>
      <c r="K48" s="112">
        <v>0.8</v>
      </c>
      <c r="L48" s="112">
        <v>0.8</v>
      </c>
      <c r="M48" s="112">
        <v>0</v>
      </c>
      <c r="N48" s="112">
        <v>0</v>
      </c>
      <c r="O48" s="112">
        <v>0</v>
      </c>
      <c r="P48" s="112">
        <v>0.8</v>
      </c>
      <c r="Q48" s="112">
        <v>0</v>
      </c>
      <c r="R48" s="112">
        <v>0</v>
      </c>
      <c r="S48" s="112">
        <v>0</v>
      </c>
      <c r="T48" s="112">
        <v>0</v>
      </c>
      <c r="U48" s="112">
        <v>0.8</v>
      </c>
      <c r="V48" s="112">
        <v>0</v>
      </c>
      <c r="W48" s="112">
        <v>0.8</v>
      </c>
      <c r="X48" s="112">
        <v>0</v>
      </c>
      <c r="Y48" s="112">
        <v>0</v>
      </c>
      <c r="Z48" s="112">
        <v>0.8</v>
      </c>
      <c r="AA48" s="112">
        <v>0</v>
      </c>
      <c r="AB48" s="112">
        <v>0.8</v>
      </c>
      <c r="AC48" s="112">
        <v>0</v>
      </c>
      <c r="AD48" s="112">
        <v>0.8</v>
      </c>
      <c r="AE48" s="112">
        <v>0.8</v>
      </c>
      <c r="AF48" s="112">
        <v>0</v>
      </c>
      <c r="AG48" s="112">
        <v>0</v>
      </c>
      <c r="AH48" s="112">
        <v>0</v>
      </c>
      <c r="AI48" s="112">
        <v>0.8</v>
      </c>
      <c r="AJ48" s="112">
        <v>0</v>
      </c>
      <c r="AK48" s="112">
        <v>0.8</v>
      </c>
      <c r="AL48" s="112">
        <v>0.8</v>
      </c>
      <c r="AM48" s="112">
        <v>0.8</v>
      </c>
      <c r="AN48" s="112">
        <v>0.8</v>
      </c>
      <c r="AO48" s="112">
        <v>0</v>
      </c>
      <c r="AP48" s="112">
        <v>0</v>
      </c>
      <c r="AQ48" s="112">
        <v>0</v>
      </c>
      <c r="AR48" s="112">
        <v>0</v>
      </c>
      <c r="AS48" s="112">
        <v>0</v>
      </c>
      <c r="AT48" s="112">
        <v>0.8</v>
      </c>
      <c r="AU48" s="112">
        <v>0.8</v>
      </c>
      <c r="AV48" s="112">
        <v>0.8</v>
      </c>
      <c r="AW48" s="112">
        <v>0.8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  <c r="BD48" s="112">
        <v>0</v>
      </c>
      <c r="BE48" s="112">
        <v>0</v>
      </c>
    </row>
    <row r="49" spans="1:57" x14ac:dyDescent="0.15">
      <c r="A49" s="192" t="s">
        <v>239</v>
      </c>
      <c r="B49" s="112">
        <v>0.8</v>
      </c>
      <c r="C49" s="112">
        <v>0</v>
      </c>
      <c r="D49" s="112">
        <v>0</v>
      </c>
      <c r="E49" s="112">
        <v>0.8</v>
      </c>
      <c r="F49" s="112">
        <v>0.8</v>
      </c>
      <c r="G49" s="112">
        <v>0</v>
      </c>
      <c r="H49" s="112">
        <v>0.8</v>
      </c>
      <c r="I49" s="112">
        <v>0.8</v>
      </c>
      <c r="J49" s="112">
        <v>0.8</v>
      </c>
      <c r="K49" s="112">
        <v>0.8</v>
      </c>
      <c r="L49" s="112">
        <v>0.8</v>
      </c>
      <c r="M49" s="112">
        <v>0.8</v>
      </c>
      <c r="N49" s="112">
        <v>0.8</v>
      </c>
      <c r="O49" s="112">
        <v>0</v>
      </c>
      <c r="P49" s="112">
        <v>0.8</v>
      </c>
      <c r="Q49" s="112">
        <v>0.8</v>
      </c>
      <c r="R49" s="112">
        <v>0.8</v>
      </c>
      <c r="S49" s="112">
        <v>0.8</v>
      </c>
      <c r="T49" s="112">
        <v>0.8</v>
      </c>
      <c r="U49" s="112">
        <v>0.8</v>
      </c>
      <c r="V49" s="112">
        <v>0</v>
      </c>
      <c r="W49" s="112">
        <v>0.8</v>
      </c>
      <c r="X49" s="112">
        <v>0.8</v>
      </c>
      <c r="Y49" s="112">
        <v>0</v>
      </c>
      <c r="Z49" s="112">
        <v>0.8</v>
      </c>
      <c r="AA49" s="112">
        <v>0.8</v>
      </c>
      <c r="AB49" s="112">
        <v>0.8</v>
      </c>
      <c r="AC49" s="112">
        <v>0.8</v>
      </c>
      <c r="AD49" s="112">
        <v>0.8</v>
      </c>
      <c r="AE49" s="112">
        <v>0.8</v>
      </c>
      <c r="AF49" s="112">
        <v>0</v>
      </c>
      <c r="AG49" s="112">
        <v>0.8</v>
      </c>
      <c r="AH49" s="112">
        <v>0.8</v>
      </c>
      <c r="AI49" s="112">
        <v>0.8</v>
      </c>
      <c r="AJ49" s="112">
        <v>0</v>
      </c>
      <c r="AK49" s="112">
        <v>0.8</v>
      </c>
      <c r="AL49" s="112">
        <v>0.8</v>
      </c>
      <c r="AM49" s="112">
        <v>0.8</v>
      </c>
      <c r="AN49" s="112">
        <v>0.8</v>
      </c>
      <c r="AO49" s="112">
        <v>0.8</v>
      </c>
      <c r="AP49" s="112">
        <v>0</v>
      </c>
      <c r="AQ49" s="112">
        <v>0.8</v>
      </c>
      <c r="AR49" s="112">
        <v>0.8</v>
      </c>
      <c r="AS49" s="112">
        <v>0.8</v>
      </c>
      <c r="AT49" s="112">
        <v>0.8</v>
      </c>
      <c r="AU49" s="112">
        <v>0.8</v>
      </c>
      <c r="AV49" s="112">
        <v>0.8</v>
      </c>
      <c r="AW49" s="112">
        <v>0.8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  <c r="BD49" s="112">
        <v>0</v>
      </c>
      <c r="BE49" s="112">
        <v>0</v>
      </c>
    </row>
    <row r="50" spans="1:57" x14ac:dyDescent="0.15">
      <c r="A50" s="192" t="s">
        <v>240</v>
      </c>
      <c r="B50" s="112">
        <v>0.8</v>
      </c>
      <c r="C50" s="112">
        <v>0</v>
      </c>
      <c r="D50" s="112">
        <v>0.8</v>
      </c>
      <c r="E50" s="112">
        <v>0</v>
      </c>
      <c r="F50" s="112">
        <v>0</v>
      </c>
      <c r="G50" s="112">
        <v>0.8</v>
      </c>
      <c r="H50" s="112">
        <v>0</v>
      </c>
      <c r="I50" s="112">
        <v>0.8</v>
      </c>
      <c r="J50" s="112">
        <v>0.8</v>
      </c>
      <c r="K50" s="112">
        <v>0.8</v>
      </c>
      <c r="L50" s="112">
        <v>0.8</v>
      </c>
      <c r="M50" s="112">
        <v>0.8</v>
      </c>
      <c r="N50" s="112">
        <v>0.8</v>
      </c>
      <c r="O50" s="112">
        <v>0.8</v>
      </c>
      <c r="P50" s="112">
        <v>0.8</v>
      </c>
      <c r="Q50" s="112">
        <v>0.8</v>
      </c>
      <c r="R50" s="112">
        <v>0.8</v>
      </c>
      <c r="S50" s="112">
        <v>0</v>
      </c>
      <c r="T50" s="112">
        <v>0.8</v>
      </c>
      <c r="U50" s="112">
        <v>0.8</v>
      </c>
      <c r="V50" s="112">
        <v>0</v>
      </c>
      <c r="W50" s="112">
        <v>0.8</v>
      </c>
      <c r="X50" s="112">
        <v>0.8</v>
      </c>
      <c r="Y50" s="112">
        <v>0.8</v>
      </c>
      <c r="Z50" s="112">
        <v>0.8</v>
      </c>
      <c r="AA50" s="112">
        <v>0.8</v>
      </c>
      <c r="AB50" s="112">
        <v>0.8</v>
      </c>
      <c r="AC50" s="112">
        <v>0.8</v>
      </c>
      <c r="AD50" s="112">
        <v>0.8</v>
      </c>
      <c r="AE50" s="112">
        <v>0.8</v>
      </c>
      <c r="AF50" s="112">
        <v>0.8</v>
      </c>
      <c r="AG50" s="112">
        <v>0.8</v>
      </c>
      <c r="AH50" s="112">
        <v>0.8</v>
      </c>
      <c r="AI50" s="112">
        <v>0.8</v>
      </c>
      <c r="AJ50" s="112">
        <v>0.8</v>
      </c>
      <c r="AK50" s="112">
        <v>0.8</v>
      </c>
      <c r="AL50" s="112">
        <v>0.8</v>
      </c>
      <c r="AM50" s="112">
        <v>0.8</v>
      </c>
      <c r="AN50" s="112">
        <v>0.8</v>
      </c>
      <c r="AO50" s="112">
        <v>0</v>
      </c>
      <c r="AP50" s="112">
        <v>0</v>
      </c>
      <c r="AQ50" s="112">
        <v>0</v>
      </c>
      <c r="AR50" s="112">
        <v>0</v>
      </c>
      <c r="AS50" s="112">
        <v>0.8</v>
      </c>
      <c r="AT50" s="112">
        <v>0.8</v>
      </c>
      <c r="AU50" s="112">
        <v>0.8</v>
      </c>
      <c r="AV50" s="112">
        <v>0.8</v>
      </c>
      <c r="AW50" s="112">
        <v>0.8</v>
      </c>
      <c r="AX50" s="112">
        <v>0</v>
      </c>
      <c r="AY50" s="112">
        <v>0</v>
      </c>
      <c r="AZ50" s="112">
        <v>0.8</v>
      </c>
      <c r="BA50" s="112">
        <v>0</v>
      </c>
      <c r="BB50" s="112">
        <v>0</v>
      </c>
      <c r="BC50" s="112">
        <v>0</v>
      </c>
      <c r="BD50" s="112">
        <v>0</v>
      </c>
      <c r="BE50" s="112">
        <v>0</v>
      </c>
    </row>
    <row r="51" spans="1:57" x14ac:dyDescent="0.15">
      <c r="A51" s="192" t="s">
        <v>241</v>
      </c>
      <c r="B51" s="112">
        <v>0.8</v>
      </c>
      <c r="C51" s="112">
        <v>0</v>
      </c>
      <c r="D51" s="112">
        <v>0.8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0.8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0.8</v>
      </c>
      <c r="R51" s="112">
        <v>0.8</v>
      </c>
      <c r="S51" s="112">
        <v>0</v>
      </c>
      <c r="T51" s="112">
        <v>0.8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</v>
      </c>
      <c r="AA51" s="112">
        <v>0.8</v>
      </c>
      <c r="AB51" s="112">
        <v>0.8</v>
      </c>
      <c r="AC51" s="112">
        <v>0.8</v>
      </c>
      <c r="AD51" s="112">
        <v>0</v>
      </c>
      <c r="AE51" s="112">
        <v>0.8</v>
      </c>
      <c r="AF51" s="112">
        <v>0.8</v>
      </c>
      <c r="AG51" s="112">
        <v>0.8</v>
      </c>
      <c r="AH51" s="112">
        <v>0</v>
      </c>
      <c r="AI51" s="112">
        <v>0.8</v>
      </c>
      <c r="AJ51" s="112">
        <v>0.8</v>
      </c>
      <c r="AK51" s="112">
        <v>0</v>
      </c>
      <c r="AL51" s="112">
        <v>0</v>
      </c>
      <c r="AM51" s="112">
        <v>0.8</v>
      </c>
      <c r="AN51" s="112">
        <v>0.8</v>
      </c>
      <c r="AO51" s="112">
        <v>0</v>
      </c>
      <c r="AP51" s="112">
        <v>0</v>
      </c>
      <c r="AQ51" s="112">
        <v>0</v>
      </c>
      <c r="AR51" s="112">
        <v>0</v>
      </c>
      <c r="AS51" s="112">
        <v>0.8</v>
      </c>
      <c r="AT51" s="112">
        <v>0.8</v>
      </c>
      <c r="AU51" s="112">
        <v>0.8</v>
      </c>
      <c r="AV51" s="112">
        <v>0.8</v>
      </c>
      <c r="AW51" s="112">
        <v>0.8</v>
      </c>
      <c r="AX51" s="112">
        <v>0.8</v>
      </c>
      <c r="AY51" s="112">
        <v>0</v>
      </c>
      <c r="AZ51" s="112">
        <v>0.8</v>
      </c>
      <c r="BA51" s="112">
        <v>0</v>
      </c>
      <c r="BB51" s="112">
        <v>0</v>
      </c>
      <c r="BC51" s="112">
        <v>0</v>
      </c>
      <c r="BD51" s="112">
        <v>0</v>
      </c>
      <c r="BE51" s="112">
        <v>0</v>
      </c>
    </row>
    <row r="52" spans="1:57" x14ac:dyDescent="0.15">
      <c r="A52" s="192" t="s">
        <v>242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0.8</v>
      </c>
      <c r="L52" s="112">
        <v>0</v>
      </c>
      <c r="M52" s="112">
        <v>0</v>
      </c>
      <c r="N52" s="112">
        <v>0</v>
      </c>
      <c r="O52" s="112">
        <v>0.8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0.8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0</v>
      </c>
      <c r="AW52" s="112">
        <v>0</v>
      </c>
      <c r="AX52" s="112">
        <v>0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  <c r="BD52" s="112">
        <v>0</v>
      </c>
      <c r="BE52" s="112">
        <v>0</v>
      </c>
    </row>
    <row r="53" spans="1:57" x14ac:dyDescent="0.15">
      <c r="A53" s="192" t="s">
        <v>243</v>
      </c>
      <c r="B53" s="112">
        <v>0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0.8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0.8</v>
      </c>
      <c r="AJ53" s="112">
        <v>0</v>
      </c>
      <c r="AK53" s="112">
        <v>0</v>
      </c>
      <c r="AL53" s="112">
        <v>0</v>
      </c>
      <c r="AM53" s="112">
        <v>0.8</v>
      </c>
      <c r="AN53" s="112">
        <v>0</v>
      </c>
      <c r="AO53" s="112">
        <v>0</v>
      </c>
      <c r="AP53" s="112">
        <v>0</v>
      </c>
      <c r="AQ53" s="112">
        <v>0.8</v>
      </c>
      <c r="AR53" s="112">
        <v>0.8</v>
      </c>
      <c r="AS53" s="112">
        <v>0.8</v>
      </c>
      <c r="AT53" s="112">
        <v>0.8</v>
      </c>
      <c r="AU53" s="112">
        <v>0.8</v>
      </c>
      <c r="AV53" s="112">
        <v>0.8</v>
      </c>
      <c r="AW53" s="112">
        <v>0.8</v>
      </c>
      <c r="AX53" s="112">
        <v>0.8</v>
      </c>
      <c r="AY53" s="112">
        <v>0.8</v>
      </c>
      <c r="AZ53" s="112">
        <v>0</v>
      </c>
      <c r="BA53" s="112">
        <v>0</v>
      </c>
      <c r="BB53" s="112">
        <v>0</v>
      </c>
      <c r="BC53" s="112">
        <v>0</v>
      </c>
      <c r="BD53" s="112">
        <v>0</v>
      </c>
      <c r="BE53" s="112">
        <v>0</v>
      </c>
    </row>
    <row r="54" spans="1:57" x14ac:dyDescent="0.15">
      <c r="A54" s="192" t="s">
        <v>244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0.8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0.8</v>
      </c>
      <c r="Q54" s="112">
        <v>0</v>
      </c>
      <c r="R54" s="112">
        <v>0</v>
      </c>
      <c r="S54" s="112">
        <v>0.8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0.8</v>
      </c>
      <c r="AB54" s="112">
        <v>0.8</v>
      </c>
      <c r="AC54" s="112">
        <v>0</v>
      </c>
      <c r="AD54" s="112">
        <v>0</v>
      </c>
      <c r="AE54" s="112">
        <v>0</v>
      </c>
      <c r="AF54" s="112">
        <v>0</v>
      </c>
      <c r="AG54" s="112">
        <v>0.8</v>
      </c>
      <c r="AH54" s="112">
        <v>0</v>
      </c>
      <c r="AI54" s="112">
        <v>0</v>
      </c>
      <c r="AJ54" s="112">
        <v>0</v>
      </c>
      <c r="AK54" s="112">
        <v>0.8</v>
      </c>
      <c r="AL54" s="112">
        <v>0</v>
      </c>
      <c r="AM54" s="112">
        <v>0</v>
      </c>
      <c r="AN54" s="112">
        <v>0.8</v>
      </c>
      <c r="AO54" s="112">
        <v>0.8</v>
      </c>
      <c r="AP54" s="112">
        <v>0</v>
      </c>
      <c r="AQ54" s="112">
        <v>0.8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0.8</v>
      </c>
      <c r="AX54" s="112">
        <v>0</v>
      </c>
      <c r="AY54" s="112">
        <v>0</v>
      </c>
      <c r="AZ54" s="112">
        <v>0</v>
      </c>
      <c r="BA54" s="112">
        <v>0</v>
      </c>
      <c r="BB54" s="112">
        <v>0</v>
      </c>
      <c r="BC54" s="112">
        <v>0</v>
      </c>
      <c r="BD54" s="112">
        <v>0</v>
      </c>
      <c r="BE54" s="112">
        <v>0</v>
      </c>
    </row>
    <row r="55" spans="1:57" x14ac:dyDescent="0.15">
      <c r="A55" s="192" t="s">
        <v>245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0.8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0.8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0.8</v>
      </c>
      <c r="AL55" s="112">
        <v>0</v>
      </c>
      <c r="AM55" s="112">
        <v>0.8</v>
      </c>
      <c r="AN55" s="112">
        <v>0.8</v>
      </c>
      <c r="AO55" s="112">
        <v>0.8</v>
      </c>
      <c r="AP55" s="112">
        <v>0</v>
      </c>
      <c r="AQ55" s="112">
        <v>0.8</v>
      </c>
      <c r="AR55" s="112">
        <v>0.8</v>
      </c>
      <c r="AS55" s="112">
        <v>0.8</v>
      </c>
      <c r="AT55" s="112">
        <v>0</v>
      </c>
      <c r="AU55" s="112">
        <v>0.8</v>
      </c>
      <c r="AV55" s="112">
        <v>0.8</v>
      </c>
      <c r="AW55" s="112">
        <v>0.8</v>
      </c>
      <c r="AX55" s="112">
        <v>0</v>
      </c>
      <c r="AY55" s="112">
        <v>0</v>
      </c>
      <c r="AZ55" s="112">
        <v>0</v>
      </c>
      <c r="BA55" s="112">
        <v>0</v>
      </c>
      <c r="BB55" s="112">
        <v>0</v>
      </c>
      <c r="BC55" s="112">
        <v>0</v>
      </c>
      <c r="BD55" s="112">
        <v>0</v>
      </c>
      <c r="BE55" s="112">
        <v>0</v>
      </c>
    </row>
    <row r="56" spans="1:57" x14ac:dyDescent="0.15">
      <c r="A56" s="192" t="s">
        <v>246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0.8</v>
      </c>
      <c r="K56" s="112">
        <v>0</v>
      </c>
      <c r="L56" s="112">
        <v>0</v>
      </c>
      <c r="M56" s="112">
        <v>0</v>
      </c>
      <c r="N56" s="112">
        <v>0</v>
      </c>
      <c r="O56" s="112">
        <v>0.8</v>
      </c>
      <c r="P56" s="112">
        <v>0.8</v>
      </c>
      <c r="Q56" s="112">
        <v>0</v>
      </c>
      <c r="R56" s="112">
        <v>0</v>
      </c>
      <c r="S56" s="112">
        <v>0</v>
      </c>
      <c r="T56" s="112">
        <v>0</v>
      </c>
      <c r="U56" s="112">
        <v>0.8</v>
      </c>
      <c r="V56" s="112">
        <v>0</v>
      </c>
      <c r="W56" s="112">
        <v>0</v>
      </c>
      <c r="X56" s="112">
        <v>0</v>
      </c>
      <c r="Y56" s="112">
        <v>0.8</v>
      </c>
      <c r="Z56" s="112">
        <v>0.8</v>
      </c>
      <c r="AA56" s="112">
        <v>0.8</v>
      </c>
      <c r="AB56" s="112">
        <v>0.8</v>
      </c>
      <c r="AC56" s="112">
        <v>0</v>
      </c>
      <c r="AD56" s="112">
        <v>0</v>
      </c>
      <c r="AE56" s="112">
        <v>0</v>
      </c>
      <c r="AF56" s="112">
        <v>0</v>
      </c>
      <c r="AG56" s="112">
        <v>0.8</v>
      </c>
      <c r="AH56" s="112">
        <v>0</v>
      </c>
      <c r="AI56" s="112">
        <v>0.8</v>
      </c>
      <c r="AJ56" s="112">
        <v>0</v>
      </c>
      <c r="AK56" s="112">
        <v>0.8</v>
      </c>
      <c r="AL56" s="112">
        <v>0</v>
      </c>
      <c r="AM56" s="112">
        <v>0.8</v>
      </c>
      <c r="AN56" s="112">
        <v>0.8</v>
      </c>
      <c r="AO56" s="112">
        <v>0.8</v>
      </c>
      <c r="AP56" s="112">
        <v>0</v>
      </c>
      <c r="AQ56" s="112">
        <v>0.8</v>
      </c>
      <c r="AR56" s="112">
        <v>0.8</v>
      </c>
      <c r="AS56" s="112">
        <v>0.8</v>
      </c>
      <c r="AT56" s="112">
        <v>0.8</v>
      </c>
      <c r="AU56" s="112">
        <v>0</v>
      </c>
      <c r="AV56" s="112">
        <v>0.8</v>
      </c>
      <c r="AW56" s="112">
        <v>0.8</v>
      </c>
      <c r="AX56" s="112">
        <v>0</v>
      </c>
      <c r="AY56" s="112">
        <v>0</v>
      </c>
      <c r="AZ56" s="112">
        <v>0.8</v>
      </c>
      <c r="BA56" s="112">
        <v>0</v>
      </c>
      <c r="BB56" s="112">
        <v>0</v>
      </c>
      <c r="BC56" s="112">
        <v>0</v>
      </c>
      <c r="BD56" s="112">
        <v>0</v>
      </c>
      <c r="BE56" s="112">
        <v>0</v>
      </c>
    </row>
    <row r="57" spans="1:57" x14ac:dyDescent="0.15">
      <c r="A57" s="192" t="s">
        <v>247</v>
      </c>
      <c r="B57" s="112">
        <v>0</v>
      </c>
      <c r="C57" s="112">
        <v>0</v>
      </c>
      <c r="D57" s="112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12">
        <v>0</v>
      </c>
      <c r="O57" s="112">
        <v>0</v>
      </c>
      <c r="P57" s="112">
        <v>0</v>
      </c>
      <c r="Q57" s="112">
        <v>0</v>
      </c>
      <c r="R57" s="112">
        <v>0</v>
      </c>
      <c r="S57" s="112">
        <v>0</v>
      </c>
      <c r="T57" s="112">
        <v>0</v>
      </c>
      <c r="U57" s="112">
        <v>0</v>
      </c>
      <c r="V57" s="112">
        <v>0</v>
      </c>
      <c r="W57" s="112">
        <v>0</v>
      </c>
      <c r="X57" s="112">
        <v>0</v>
      </c>
      <c r="Y57" s="112">
        <v>0</v>
      </c>
      <c r="Z57" s="112">
        <v>0</v>
      </c>
      <c r="AA57" s="112">
        <v>0</v>
      </c>
      <c r="AB57" s="112">
        <v>0</v>
      </c>
      <c r="AC57" s="112">
        <v>0</v>
      </c>
      <c r="AD57" s="112">
        <v>0</v>
      </c>
      <c r="AE57" s="112">
        <v>0</v>
      </c>
      <c r="AF57" s="112">
        <v>0</v>
      </c>
      <c r="AG57" s="112">
        <v>0</v>
      </c>
      <c r="AH57" s="112">
        <v>0</v>
      </c>
      <c r="AI57" s="112">
        <v>0</v>
      </c>
      <c r="AJ57" s="112">
        <v>0</v>
      </c>
      <c r="AK57" s="112">
        <v>0</v>
      </c>
      <c r="AL57" s="112">
        <v>0</v>
      </c>
      <c r="AM57" s="112">
        <v>0</v>
      </c>
      <c r="AN57" s="112">
        <v>0</v>
      </c>
      <c r="AO57" s="112">
        <v>0</v>
      </c>
      <c r="AP57" s="112">
        <v>0</v>
      </c>
      <c r="AQ57" s="112">
        <v>0</v>
      </c>
      <c r="AR57" s="112">
        <v>0</v>
      </c>
      <c r="AS57" s="112">
        <v>0</v>
      </c>
      <c r="AT57" s="112">
        <v>0</v>
      </c>
      <c r="AU57" s="112">
        <v>0</v>
      </c>
      <c r="AV57" s="112">
        <v>0</v>
      </c>
      <c r="AW57" s="112">
        <v>0</v>
      </c>
      <c r="AX57" s="112">
        <v>0</v>
      </c>
      <c r="AY57" s="112">
        <v>0</v>
      </c>
      <c r="AZ57" s="112">
        <v>0</v>
      </c>
      <c r="BA57" s="112">
        <v>0</v>
      </c>
      <c r="BB57" s="112">
        <v>0</v>
      </c>
      <c r="BC57" s="112">
        <v>0</v>
      </c>
      <c r="BD57" s="112">
        <v>0</v>
      </c>
      <c r="BE57" s="112">
        <v>0</v>
      </c>
    </row>
    <row r="58" spans="1:57" x14ac:dyDescent="0.15">
      <c r="A58" s="192" t="s">
        <v>249</v>
      </c>
      <c r="B58" s="112">
        <v>0</v>
      </c>
      <c r="C58" s="112">
        <v>0</v>
      </c>
      <c r="D58" s="112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12">
        <v>0</v>
      </c>
      <c r="O58" s="112">
        <v>0</v>
      </c>
      <c r="P58" s="112">
        <v>0</v>
      </c>
      <c r="Q58" s="112">
        <v>0</v>
      </c>
      <c r="R58" s="112">
        <v>0</v>
      </c>
      <c r="S58" s="112">
        <v>0</v>
      </c>
      <c r="T58" s="112">
        <v>0</v>
      </c>
      <c r="U58" s="112">
        <v>0</v>
      </c>
      <c r="V58" s="112">
        <v>0</v>
      </c>
      <c r="W58" s="112">
        <v>0</v>
      </c>
      <c r="X58" s="112">
        <v>0</v>
      </c>
      <c r="Y58" s="112">
        <v>0</v>
      </c>
      <c r="Z58" s="112">
        <v>0</v>
      </c>
      <c r="AA58" s="112">
        <v>0</v>
      </c>
      <c r="AB58" s="112">
        <v>0</v>
      </c>
      <c r="AC58" s="112">
        <v>0</v>
      </c>
      <c r="AD58" s="112">
        <v>0</v>
      </c>
      <c r="AE58" s="112">
        <v>0</v>
      </c>
      <c r="AF58" s="112">
        <v>0</v>
      </c>
      <c r="AG58" s="112">
        <v>0</v>
      </c>
      <c r="AH58" s="112">
        <v>0</v>
      </c>
      <c r="AI58" s="112">
        <v>0</v>
      </c>
      <c r="AJ58" s="112">
        <v>0</v>
      </c>
      <c r="AK58" s="112">
        <v>0</v>
      </c>
      <c r="AL58" s="112">
        <v>0</v>
      </c>
      <c r="AM58" s="112">
        <v>0</v>
      </c>
      <c r="AN58" s="112">
        <v>0</v>
      </c>
      <c r="AO58" s="112">
        <v>0</v>
      </c>
      <c r="AP58" s="112">
        <v>0</v>
      </c>
      <c r="AQ58" s="112">
        <v>0</v>
      </c>
      <c r="AR58" s="112">
        <v>0</v>
      </c>
      <c r="AS58" s="112">
        <v>0</v>
      </c>
      <c r="AT58" s="112">
        <v>0</v>
      </c>
      <c r="AU58" s="112">
        <v>0</v>
      </c>
      <c r="AV58" s="112">
        <v>0</v>
      </c>
      <c r="AW58" s="112">
        <v>0</v>
      </c>
      <c r="AX58" s="112">
        <v>0</v>
      </c>
      <c r="AY58" s="112">
        <v>0</v>
      </c>
      <c r="AZ58" s="112">
        <v>0</v>
      </c>
      <c r="BA58" s="112">
        <v>0</v>
      </c>
      <c r="BB58" s="112">
        <v>0</v>
      </c>
      <c r="BC58" s="112">
        <v>0</v>
      </c>
      <c r="BD58" s="112">
        <v>0.8</v>
      </c>
      <c r="BE58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E58"/>
  <sheetViews>
    <sheetView workbookViewId="0">
      <selection activeCell="A3" sqref="A3"/>
    </sheetView>
  </sheetViews>
  <sheetFormatPr baseColWidth="10" defaultRowHeight="13" x14ac:dyDescent="0.15"/>
  <cols>
    <col min="1" max="1" width="24.83203125" style="112" bestFit="1" customWidth="1"/>
    <col min="2" max="57" width="2.33203125" style="112" customWidth="1"/>
    <col min="58" max="16384" width="10.83203125" style="112"/>
  </cols>
  <sheetData>
    <row r="1" spans="1:57" x14ac:dyDescent="0.15">
      <c r="A1" s="62" t="s">
        <v>139</v>
      </c>
      <c r="B1" s="195" t="s">
        <v>192</v>
      </c>
      <c r="C1" s="195" t="s">
        <v>193</v>
      </c>
      <c r="D1" s="195" t="s">
        <v>194</v>
      </c>
      <c r="E1" s="195" t="s">
        <v>195</v>
      </c>
      <c r="F1" s="195" t="s">
        <v>196</v>
      </c>
      <c r="G1" s="195" t="s">
        <v>197</v>
      </c>
      <c r="H1" s="195" t="s">
        <v>198</v>
      </c>
      <c r="I1" s="195" t="s">
        <v>199</v>
      </c>
      <c r="J1" s="195" t="s">
        <v>200</v>
      </c>
      <c r="K1" s="195" t="s">
        <v>201</v>
      </c>
      <c r="L1" s="195" t="s">
        <v>202</v>
      </c>
      <c r="M1" s="195" t="s">
        <v>203</v>
      </c>
      <c r="N1" s="195" t="s">
        <v>204</v>
      </c>
      <c r="O1" s="195" t="s">
        <v>205</v>
      </c>
      <c r="P1" s="195" t="s">
        <v>206</v>
      </c>
      <c r="Q1" s="195" t="s">
        <v>207</v>
      </c>
      <c r="R1" s="195" t="s">
        <v>208</v>
      </c>
      <c r="S1" s="195" t="s">
        <v>209</v>
      </c>
      <c r="T1" s="195" t="s">
        <v>210</v>
      </c>
      <c r="U1" s="195" t="s">
        <v>211</v>
      </c>
      <c r="V1" s="195" t="s">
        <v>212</v>
      </c>
      <c r="W1" s="195" t="s">
        <v>213</v>
      </c>
      <c r="X1" s="195" t="s">
        <v>214</v>
      </c>
      <c r="Y1" s="195" t="s">
        <v>215</v>
      </c>
      <c r="Z1" s="195" t="s">
        <v>216</v>
      </c>
      <c r="AA1" s="195" t="s">
        <v>217</v>
      </c>
      <c r="AB1" s="195" t="s">
        <v>218</v>
      </c>
      <c r="AC1" s="195" t="s">
        <v>219</v>
      </c>
      <c r="AD1" s="195" t="s">
        <v>220</v>
      </c>
      <c r="AE1" s="195" t="s">
        <v>221</v>
      </c>
      <c r="AF1" s="195" t="s">
        <v>222</v>
      </c>
      <c r="AG1" s="195" t="s">
        <v>223</v>
      </c>
      <c r="AH1" s="195" t="s">
        <v>224</v>
      </c>
      <c r="AI1" s="195" t="s">
        <v>225</v>
      </c>
      <c r="AJ1" s="195" t="s">
        <v>226</v>
      </c>
      <c r="AK1" s="195" t="s">
        <v>227</v>
      </c>
      <c r="AL1" s="195" t="s">
        <v>228</v>
      </c>
      <c r="AM1" s="195" t="s">
        <v>229</v>
      </c>
      <c r="AN1" s="195" t="s">
        <v>230</v>
      </c>
      <c r="AO1" s="195" t="s">
        <v>231</v>
      </c>
      <c r="AP1" s="195" t="s">
        <v>232</v>
      </c>
      <c r="AQ1" s="195" t="s">
        <v>233</v>
      </c>
      <c r="AR1" s="195" t="s">
        <v>234</v>
      </c>
      <c r="AS1" s="195" t="s">
        <v>235</v>
      </c>
      <c r="AT1" s="195" t="s">
        <v>236</v>
      </c>
      <c r="AU1" s="195" t="s">
        <v>237</v>
      </c>
      <c r="AV1" s="195" t="s">
        <v>238</v>
      </c>
      <c r="AW1" s="195" t="s">
        <v>239</v>
      </c>
      <c r="AX1" s="195" t="s">
        <v>240</v>
      </c>
      <c r="AY1" s="195" t="s">
        <v>241</v>
      </c>
      <c r="AZ1" s="195" t="s">
        <v>242</v>
      </c>
      <c r="BA1" s="195" t="s">
        <v>243</v>
      </c>
      <c r="BB1" s="195" t="s">
        <v>244</v>
      </c>
      <c r="BC1" s="195" t="s">
        <v>245</v>
      </c>
      <c r="BD1" s="195" t="s">
        <v>246</v>
      </c>
      <c r="BE1" s="195" t="s">
        <v>247</v>
      </c>
    </row>
    <row r="2" spans="1:57" customFormat="1" x14ac:dyDescent="0.15">
      <c r="A2" s="194" t="s">
        <v>192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  <c r="BD2" s="112">
        <v>0</v>
      </c>
      <c r="BE2" s="112">
        <v>0</v>
      </c>
    </row>
    <row r="3" spans="1:57" customFormat="1" x14ac:dyDescent="0.15">
      <c r="A3" s="194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  <c r="BD3" s="112">
        <v>0</v>
      </c>
      <c r="BE3" s="112">
        <v>0</v>
      </c>
    </row>
    <row r="4" spans="1:57" customFormat="1" x14ac:dyDescent="0.15">
      <c r="A4" s="194" t="s">
        <v>194</v>
      </c>
      <c r="B4" s="112">
        <v>0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  <c r="BD4" s="112">
        <v>0</v>
      </c>
      <c r="BE4" s="112">
        <v>0</v>
      </c>
    </row>
    <row r="5" spans="1:57" customFormat="1" x14ac:dyDescent="0.15">
      <c r="A5" s="194" t="s">
        <v>195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  <c r="BD5" s="112">
        <v>0</v>
      </c>
      <c r="BE5" s="112">
        <v>0</v>
      </c>
    </row>
    <row r="6" spans="1:57" customFormat="1" x14ac:dyDescent="0.15">
      <c r="A6" s="194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1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  <c r="BD6" s="112">
        <v>0</v>
      </c>
      <c r="BE6" s="112">
        <v>0</v>
      </c>
    </row>
    <row r="7" spans="1:57" customFormat="1" x14ac:dyDescent="0.15">
      <c r="A7" s="194" t="s">
        <v>197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1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  <c r="BD7" s="112">
        <v>0</v>
      </c>
      <c r="BE7" s="112">
        <v>0</v>
      </c>
    </row>
    <row r="8" spans="1:57" customFormat="1" x14ac:dyDescent="0.15">
      <c r="A8" s="194" t="s">
        <v>198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  <c r="BD8" s="112">
        <v>0</v>
      </c>
      <c r="BE8" s="112">
        <v>0</v>
      </c>
    </row>
    <row r="9" spans="1:57" customFormat="1" x14ac:dyDescent="0.15">
      <c r="A9" s="194" t="s">
        <v>199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1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  <c r="BD9" s="112">
        <v>0</v>
      </c>
      <c r="BE9" s="112">
        <v>0</v>
      </c>
    </row>
    <row r="10" spans="1:57" customFormat="1" x14ac:dyDescent="0.15">
      <c r="A10" s="194" t="s">
        <v>200</v>
      </c>
      <c r="B10" s="112">
        <v>1</v>
      </c>
      <c r="C10" s="112">
        <v>1</v>
      </c>
      <c r="D10" s="112">
        <v>1</v>
      </c>
      <c r="E10" s="112">
        <v>1</v>
      </c>
      <c r="F10" s="112">
        <v>1</v>
      </c>
      <c r="G10" s="112">
        <v>1</v>
      </c>
      <c r="H10" s="112">
        <v>1</v>
      </c>
      <c r="I10" s="112">
        <v>1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  <c r="BD10" s="112">
        <v>0</v>
      </c>
      <c r="BE10" s="112">
        <v>0</v>
      </c>
    </row>
    <row r="11" spans="1:57" customFormat="1" x14ac:dyDescent="0.15">
      <c r="A11" s="194" t="s">
        <v>201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1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1</v>
      </c>
      <c r="W11" s="112">
        <v>1</v>
      </c>
      <c r="X11" s="112">
        <v>0</v>
      </c>
      <c r="Y11" s="112">
        <v>1</v>
      </c>
      <c r="Z11" s="112">
        <v>1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  <c r="BD11" s="112">
        <v>0</v>
      </c>
      <c r="BE11" s="112">
        <v>0</v>
      </c>
    </row>
    <row r="12" spans="1:57" customFormat="1" x14ac:dyDescent="0.15">
      <c r="A12" s="194" t="s">
        <v>202</v>
      </c>
      <c r="B12" s="112">
        <v>0</v>
      </c>
      <c r="C12" s="112">
        <v>1</v>
      </c>
      <c r="D12" s="112">
        <v>0</v>
      </c>
      <c r="E12" s="112">
        <v>1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1</v>
      </c>
      <c r="R12" s="112">
        <v>0</v>
      </c>
      <c r="S12" s="112">
        <v>1</v>
      </c>
      <c r="T12" s="112">
        <v>1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  <c r="BD12" s="112">
        <v>0</v>
      </c>
      <c r="BE12" s="112">
        <v>0</v>
      </c>
    </row>
    <row r="13" spans="1:57" customFormat="1" x14ac:dyDescent="0.15">
      <c r="A13" s="194" t="s">
        <v>203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  <c r="BD13" s="112">
        <v>0</v>
      </c>
      <c r="BE13" s="112">
        <v>0</v>
      </c>
    </row>
    <row r="14" spans="1:57" customFormat="1" x14ac:dyDescent="0.15">
      <c r="A14" s="194" t="s">
        <v>204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1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1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  <c r="BD14" s="112">
        <v>0</v>
      </c>
      <c r="BE14" s="112">
        <v>0</v>
      </c>
    </row>
    <row r="15" spans="1:57" customFormat="1" x14ac:dyDescent="0.15">
      <c r="A15" s="194" t="s">
        <v>205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1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1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  <c r="BD15" s="112">
        <v>0</v>
      </c>
      <c r="BE15" s="112">
        <v>0</v>
      </c>
    </row>
    <row r="16" spans="1:57" customFormat="1" x14ac:dyDescent="0.15">
      <c r="A16" s="194" t="s">
        <v>206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1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1</v>
      </c>
      <c r="N16" s="112">
        <v>0</v>
      </c>
      <c r="O16" s="112">
        <v>1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1</v>
      </c>
      <c r="V16" s="112">
        <v>1</v>
      </c>
      <c r="W16" s="112">
        <v>0</v>
      </c>
      <c r="X16" s="112">
        <v>0</v>
      </c>
      <c r="Y16" s="112">
        <v>1</v>
      </c>
      <c r="Z16" s="112">
        <v>0</v>
      </c>
      <c r="AA16" s="112">
        <v>0</v>
      </c>
      <c r="AB16" s="112">
        <v>0</v>
      </c>
      <c r="AC16" s="112">
        <v>0</v>
      </c>
      <c r="AD16" s="112">
        <v>1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  <c r="BD16" s="112">
        <v>0</v>
      </c>
      <c r="BE16" s="112">
        <v>0</v>
      </c>
    </row>
    <row r="17" spans="1:57" customFormat="1" x14ac:dyDescent="0.15">
      <c r="A17" s="194" t="s">
        <v>207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112">
        <v>0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1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  <c r="BD17" s="112">
        <v>0</v>
      </c>
      <c r="BE17" s="112">
        <v>0</v>
      </c>
    </row>
    <row r="18" spans="1:57" customFormat="1" x14ac:dyDescent="0.15">
      <c r="A18" s="194" t="s">
        <v>208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1</v>
      </c>
      <c r="R18" s="112">
        <v>0</v>
      </c>
      <c r="S18" s="112">
        <v>1</v>
      </c>
      <c r="T18" s="112">
        <v>1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1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  <c r="BD18" s="112">
        <v>0</v>
      </c>
      <c r="BE18" s="112">
        <v>0</v>
      </c>
    </row>
    <row r="19" spans="1:57" customFormat="1" x14ac:dyDescent="0.15">
      <c r="A19" s="194" t="s">
        <v>209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</v>
      </c>
      <c r="H19" s="112">
        <v>0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1</v>
      </c>
      <c r="R19" s="112">
        <v>0</v>
      </c>
      <c r="S19" s="112">
        <v>1</v>
      </c>
      <c r="T19" s="112">
        <v>1</v>
      </c>
      <c r="U19" s="112">
        <v>0</v>
      </c>
      <c r="V19" s="112">
        <v>0</v>
      </c>
      <c r="W19" s="112">
        <v>0</v>
      </c>
      <c r="X19" s="112">
        <v>0</v>
      </c>
      <c r="Y19" s="112">
        <v>1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  <c r="BD19" s="112">
        <v>0</v>
      </c>
      <c r="BE19" s="112">
        <v>0</v>
      </c>
    </row>
    <row r="20" spans="1:57" customFormat="1" x14ac:dyDescent="0.15">
      <c r="A20" s="194" t="s">
        <v>210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1</v>
      </c>
      <c r="R20" s="112">
        <v>0</v>
      </c>
      <c r="S20" s="112">
        <v>0</v>
      </c>
      <c r="T20" s="112">
        <v>1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  <c r="BD20" s="112">
        <v>0</v>
      </c>
      <c r="BE20" s="112">
        <v>0</v>
      </c>
    </row>
    <row r="21" spans="1:57" customFormat="1" x14ac:dyDescent="0.15">
      <c r="A21" s="194" t="s">
        <v>211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1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1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1</v>
      </c>
      <c r="T21" s="112">
        <v>1</v>
      </c>
      <c r="U21" s="112">
        <v>0</v>
      </c>
      <c r="V21" s="112">
        <v>0</v>
      </c>
      <c r="W21" s="112">
        <v>0</v>
      </c>
      <c r="X21" s="112">
        <v>0</v>
      </c>
      <c r="Y21" s="112">
        <v>1</v>
      </c>
      <c r="Z21" s="112">
        <v>1</v>
      </c>
      <c r="AA21" s="112">
        <v>0</v>
      </c>
      <c r="AB21" s="112">
        <v>0</v>
      </c>
      <c r="AC21" s="112">
        <v>0</v>
      </c>
      <c r="AD21" s="112">
        <v>1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1</v>
      </c>
      <c r="AP21" s="112">
        <v>1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  <c r="BD21" s="112">
        <v>0</v>
      </c>
      <c r="BE21" s="112">
        <v>0</v>
      </c>
    </row>
    <row r="22" spans="1:57" customFormat="1" x14ac:dyDescent="0.15">
      <c r="A22" s="194" t="s">
        <v>212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1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  <c r="BD22" s="112">
        <v>0</v>
      </c>
      <c r="BE22" s="112">
        <v>0</v>
      </c>
    </row>
    <row r="23" spans="1:57" customFormat="1" x14ac:dyDescent="0.15">
      <c r="A23" s="194" t="s">
        <v>213</v>
      </c>
      <c r="B23" s="112">
        <v>0</v>
      </c>
      <c r="C23" s="112">
        <v>1</v>
      </c>
      <c r="D23" s="112">
        <v>0</v>
      </c>
      <c r="E23" s="112">
        <v>1</v>
      </c>
      <c r="F23" s="112">
        <v>0</v>
      </c>
      <c r="G23" s="112">
        <v>1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1</v>
      </c>
      <c r="N23" s="112">
        <v>1</v>
      </c>
      <c r="O23" s="112">
        <v>1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1</v>
      </c>
      <c r="V23" s="112">
        <v>1</v>
      </c>
      <c r="W23" s="112">
        <v>1</v>
      </c>
      <c r="X23" s="112">
        <v>0</v>
      </c>
      <c r="Y23" s="112">
        <v>1</v>
      </c>
      <c r="Z23" s="112">
        <v>1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  <c r="BD23" s="112">
        <v>0</v>
      </c>
      <c r="BE23" s="112">
        <v>0</v>
      </c>
    </row>
    <row r="24" spans="1:57" customFormat="1" x14ac:dyDescent="0.15">
      <c r="A24" s="194" t="s">
        <v>214</v>
      </c>
      <c r="B24" s="112">
        <v>0</v>
      </c>
      <c r="C24" s="112">
        <v>0</v>
      </c>
      <c r="D24" s="112">
        <v>0</v>
      </c>
      <c r="E24" s="112">
        <v>1</v>
      </c>
      <c r="F24" s="112">
        <v>0</v>
      </c>
      <c r="G24" s="112">
        <v>1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1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1</v>
      </c>
      <c r="X24" s="112">
        <v>0</v>
      </c>
      <c r="Y24" s="112">
        <v>0</v>
      </c>
      <c r="Z24" s="112">
        <v>0</v>
      </c>
      <c r="AA24" s="112">
        <v>1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  <c r="BD24" s="112">
        <v>0</v>
      </c>
      <c r="BE24" s="112">
        <v>0</v>
      </c>
    </row>
    <row r="25" spans="1:57" customFormat="1" x14ac:dyDescent="0.15">
      <c r="A25" s="194" t="s">
        <v>215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1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1</v>
      </c>
      <c r="T25" s="112">
        <v>1</v>
      </c>
      <c r="U25" s="112">
        <v>0</v>
      </c>
      <c r="V25" s="112">
        <v>1</v>
      </c>
      <c r="W25" s="112">
        <v>1</v>
      </c>
      <c r="X25" s="112">
        <v>0</v>
      </c>
      <c r="Y25" s="112">
        <v>0</v>
      </c>
      <c r="Z25" s="112">
        <v>1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  <c r="BD25" s="112">
        <v>0</v>
      </c>
      <c r="BE25" s="112">
        <v>0</v>
      </c>
    </row>
    <row r="26" spans="1:57" customFormat="1" x14ac:dyDescent="0.15">
      <c r="A26" s="194" t="s">
        <v>216</v>
      </c>
      <c r="B26" s="112">
        <v>0</v>
      </c>
      <c r="C26" s="112">
        <v>0</v>
      </c>
      <c r="D26" s="112">
        <v>0</v>
      </c>
      <c r="E26" s="112">
        <v>1</v>
      </c>
      <c r="F26" s="112">
        <v>0</v>
      </c>
      <c r="G26" s="112">
        <v>1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1</v>
      </c>
      <c r="N26" s="112">
        <v>0</v>
      </c>
      <c r="O26" s="112">
        <v>1</v>
      </c>
      <c r="P26" s="112">
        <v>0</v>
      </c>
      <c r="Q26" s="112">
        <v>0</v>
      </c>
      <c r="R26" s="112">
        <v>0</v>
      </c>
      <c r="S26" s="112">
        <v>1</v>
      </c>
      <c r="T26" s="112">
        <v>1</v>
      </c>
      <c r="U26" s="112">
        <v>1</v>
      </c>
      <c r="V26" s="112">
        <v>1</v>
      </c>
      <c r="W26" s="112">
        <v>0</v>
      </c>
      <c r="X26" s="112">
        <v>0</v>
      </c>
      <c r="Y26" s="112">
        <v>1</v>
      </c>
      <c r="Z26" s="112">
        <v>0</v>
      </c>
      <c r="AA26" s="112">
        <v>0</v>
      </c>
      <c r="AB26" s="112">
        <v>0</v>
      </c>
      <c r="AC26" s="112">
        <v>0</v>
      </c>
      <c r="AD26" s="112">
        <v>1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1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  <c r="BD26" s="112">
        <v>0</v>
      </c>
      <c r="BE26" s="112">
        <v>0</v>
      </c>
    </row>
    <row r="27" spans="1:57" customFormat="1" x14ac:dyDescent="0.15">
      <c r="A27" s="194" t="s">
        <v>217</v>
      </c>
      <c r="B27" s="112">
        <v>1</v>
      </c>
      <c r="C27" s="112">
        <v>1</v>
      </c>
      <c r="D27" s="112">
        <v>0</v>
      </c>
      <c r="E27" s="112">
        <v>1</v>
      </c>
      <c r="F27" s="112">
        <v>0</v>
      </c>
      <c r="G27" s="112">
        <v>1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1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1</v>
      </c>
      <c r="T27" s="112">
        <v>1</v>
      </c>
      <c r="U27" s="112">
        <v>1</v>
      </c>
      <c r="V27" s="112">
        <v>0</v>
      </c>
      <c r="W27" s="112">
        <v>0</v>
      </c>
      <c r="X27" s="112">
        <v>0</v>
      </c>
      <c r="Y27" s="112">
        <v>1</v>
      </c>
      <c r="Z27" s="112">
        <v>0</v>
      </c>
      <c r="AA27" s="112">
        <v>1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1</v>
      </c>
      <c r="AH27" s="112">
        <v>1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  <c r="BD27" s="112">
        <v>0</v>
      </c>
      <c r="BE27" s="112">
        <v>0</v>
      </c>
    </row>
    <row r="28" spans="1:57" customFormat="1" x14ac:dyDescent="0.15">
      <c r="A28" s="194" t="s">
        <v>218</v>
      </c>
      <c r="B28" s="112">
        <v>1</v>
      </c>
      <c r="C28" s="112">
        <v>1</v>
      </c>
      <c r="D28" s="112">
        <v>0</v>
      </c>
      <c r="E28" s="112">
        <v>1</v>
      </c>
      <c r="F28" s="112">
        <v>0</v>
      </c>
      <c r="G28" s="112">
        <v>1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1</v>
      </c>
      <c r="N28" s="112">
        <v>1</v>
      </c>
      <c r="O28" s="112">
        <v>0</v>
      </c>
      <c r="P28" s="112">
        <v>0</v>
      </c>
      <c r="Q28" s="112">
        <v>1</v>
      </c>
      <c r="R28" s="112">
        <v>1</v>
      </c>
      <c r="S28" s="112">
        <v>1</v>
      </c>
      <c r="T28" s="112">
        <v>1</v>
      </c>
      <c r="U28" s="112">
        <v>1</v>
      </c>
      <c r="V28" s="112">
        <v>1</v>
      </c>
      <c r="W28" s="112">
        <v>0</v>
      </c>
      <c r="X28" s="112">
        <v>0</v>
      </c>
      <c r="Y28" s="112">
        <v>1</v>
      </c>
      <c r="Z28" s="112">
        <v>0</v>
      </c>
      <c r="AA28" s="112">
        <v>1</v>
      </c>
      <c r="AB28" s="112">
        <v>1</v>
      </c>
      <c r="AC28" s="112">
        <v>1</v>
      </c>
      <c r="AD28" s="112">
        <v>0</v>
      </c>
      <c r="AE28" s="112">
        <v>0</v>
      </c>
      <c r="AF28" s="112">
        <v>0</v>
      </c>
      <c r="AG28" s="112">
        <v>1</v>
      </c>
      <c r="AH28" s="112">
        <v>1</v>
      </c>
      <c r="AI28" s="112">
        <v>0</v>
      </c>
      <c r="AJ28" s="112">
        <v>0</v>
      </c>
      <c r="AK28" s="112">
        <v>1</v>
      </c>
      <c r="AL28" s="112">
        <v>0</v>
      </c>
      <c r="AM28" s="112">
        <v>0</v>
      </c>
      <c r="AN28" s="112">
        <v>0</v>
      </c>
      <c r="AO28" s="112">
        <v>1</v>
      </c>
      <c r="AP28" s="112">
        <v>1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  <c r="BD28" s="112">
        <v>0</v>
      </c>
      <c r="BE28" s="112">
        <v>0</v>
      </c>
    </row>
    <row r="29" spans="1:57" customFormat="1" x14ac:dyDescent="0.15">
      <c r="A29" s="194" t="s">
        <v>219</v>
      </c>
      <c r="B29" s="112">
        <v>0</v>
      </c>
      <c r="C29" s="112">
        <v>0</v>
      </c>
      <c r="D29" s="112">
        <v>0</v>
      </c>
      <c r="E29" s="112">
        <v>0</v>
      </c>
      <c r="F29" s="112">
        <v>1</v>
      </c>
      <c r="G29" s="112">
        <v>1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1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1</v>
      </c>
      <c r="Z29" s="112">
        <v>0</v>
      </c>
      <c r="AA29" s="112">
        <v>1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1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</v>
      </c>
      <c r="AO29" s="112">
        <v>0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  <c r="BD29" s="112">
        <v>0</v>
      </c>
      <c r="BE29" s="112">
        <v>0</v>
      </c>
    </row>
    <row r="30" spans="1:57" customFormat="1" x14ac:dyDescent="0.15">
      <c r="A30" s="194" t="s">
        <v>220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1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1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1</v>
      </c>
      <c r="T30" s="112">
        <v>1</v>
      </c>
      <c r="U30" s="112">
        <v>0</v>
      </c>
      <c r="V30" s="112">
        <v>0</v>
      </c>
      <c r="W30" s="112">
        <v>0</v>
      </c>
      <c r="X30" s="112">
        <v>0</v>
      </c>
      <c r="Y30" s="112">
        <v>1</v>
      </c>
      <c r="Z30" s="112">
        <v>0</v>
      </c>
      <c r="AA30" s="112">
        <v>1</v>
      </c>
      <c r="AB30" s="112">
        <v>1</v>
      </c>
      <c r="AC30" s="112">
        <v>0</v>
      </c>
      <c r="AD30" s="112">
        <v>1</v>
      </c>
      <c r="AE30" s="112">
        <v>0</v>
      </c>
      <c r="AF30" s="112">
        <v>0</v>
      </c>
      <c r="AG30" s="112">
        <v>1</v>
      </c>
      <c r="AH30" s="112">
        <v>1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1</v>
      </c>
      <c r="AP30" s="112">
        <v>1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  <c r="BD30" s="112">
        <v>0</v>
      </c>
      <c r="BE30" s="112">
        <v>0</v>
      </c>
    </row>
    <row r="31" spans="1:57" customFormat="1" x14ac:dyDescent="0.15">
      <c r="A31" s="194" t="s">
        <v>221</v>
      </c>
      <c r="B31" s="112">
        <v>0</v>
      </c>
      <c r="C31" s="112">
        <v>1</v>
      </c>
      <c r="D31" s="112">
        <v>0</v>
      </c>
      <c r="E31" s="112">
        <v>1</v>
      </c>
      <c r="F31" s="112">
        <v>1</v>
      </c>
      <c r="G31" s="112">
        <v>1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1</v>
      </c>
      <c r="P31" s="112">
        <v>0</v>
      </c>
      <c r="Q31" s="112">
        <v>1</v>
      </c>
      <c r="R31" s="112">
        <v>1</v>
      </c>
      <c r="S31" s="112">
        <v>1</v>
      </c>
      <c r="T31" s="112">
        <v>1</v>
      </c>
      <c r="U31" s="112">
        <v>0</v>
      </c>
      <c r="V31" s="112">
        <v>1</v>
      </c>
      <c r="W31" s="112">
        <v>1</v>
      </c>
      <c r="X31" s="112">
        <v>0</v>
      </c>
      <c r="Y31" s="112">
        <v>1</v>
      </c>
      <c r="Z31" s="112">
        <v>1</v>
      </c>
      <c r="AA31" s="112">
        <v>1</v>
      </c>
      <c r="AB31" s="112">
        <v>0</v>
      </c>
      <c r="AC31" s="112">
        <v>0</v>
      </c>
      <c r="AD31" s="112">
        <v>0</v>
      </c>
      <c r="AE31" s="112">
        <v>0</v>
      </c>
      <c r="AF31" s="112">
        <v>0</v>
      </c>
      <c r="AG31" s="112">
        <v>0</v>
      </c>
      <c r="AH31" s="112">
        <v>1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  <c r="BD31" s="112">
        <v>0</v>
      </c>
      <c r="BE31" s="112">
        <v>0</v>
      </c>
    </row>
    <row r="32" spans="1:57" x14ac:dyDescent="0.15">
      <c r="A32" s="194" t="s">
        <v>222</v>
      </c>
      <c r="B32" s="112">
        <v>0</v>
      </c>
      <c r="C32" s="112">
        <v>0</v>
      </c>
      <c r="D32" s="112">
        <v>0</v>
      </c>
      <c r="E32" s="112">
        <v>1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1</v>
      </c>
      <c r="N32" s="112">
        <v>0</v>
      </c>
      <c r="O32" s="112">
        <v>0</v>
      </c>
      <c r="P32" s="112">
        <v>0</v>
      </c>
      <c r="Q32" s="112">
        <v>1</v>
      </c>
      <c r="R32" s="112">
        <v>1</v>
      </c>
      <c r="S32" s="112">
        <v>1</v>
      </c>
      <c r="T32" s="112">
        <v>1</v>
      </c>
      <c r="U32" s="112">
        <v>0</v>
      </c>
      <c r="V32" s="112">
        <v>1</v>
      </c>
      <c r="W32" s="112">
        <v>1</v>
      </c>
      <c r="X32" s="112">
        <v>0</v>
      </c>
      <c r="Y32" s="112">
        <v>1</v>
      </c>
      <c r="Z32" s="112">
        <v>0</v>
      </c>
      <c r="AA32" s="112">
        <v>1</v>
      </c>
      <c r="AB32" s="112">
        <v>1</v>
      </c>
      <c r="AC32" s="112">
        <v>0</v>
      </c>
      <c r="AD32" s="112">
        <v>0</v>
      </c>
      <c r="AE32" s="112">
        <v>0</v>
      </c>
      <c r="AF32" s="112">
        <v>0</v>
      </c>
      <c r="AG32" s="112">
        <v>1</v>
      </c>
      <c r="AH32" s="112">
        <v>1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1</v>
      </c>
      <c r="AP32" s="112">
        <v>1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  <c r="BD32" s="112">
        <v>0</v>
      </c>
      <c r="BE32" s="112">
        <v>0</v>
      </c>
    </row>
    <row r="33" spans="1:57" x14ac:dyDescent="0.15">
      <c r="A33" s="194" t="s">
        <v>223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1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1</v>
      </c>
      <c r="N33" s="112">
        <v>0</v>
      </c>
      <c r="O33" s="112">
        <v>0</v>
      </c>
      <c r="P33" s="112">
        <v>0</v>
      </c>
      <c r="Q33" s="112">
        <v>1</v>
      </c>
      <c r="R33" s="112">
        <v>0</v>
      </c>
      <c r="S33" s="112">
        <v>0</v>
      </c>
      <c r="T33" s="112">
        <v>1</v>
      </c>
      <c r="U33" s="112">
        <v>0</v>
      </c>
      <c r="V33" s="112">
        <v>1</v>
      </c>
      <c r="W33" s="112">
        <v>0</v>
      </c>
      <c r="X33" s="112">
        <v>0</v>
      </c>
      <c r="Y33" s="112">
        <v>1</v>
      </c>
      <c r="Z33" s="112">
        <v>0</v>
      </c>
      <c r="AA33" s="112">
        <v>1</v>
      </c>
      <c r="AB33" s="112">
        <v>0</v>
      </c>
      <c r="AC33" s="112">
        <v>0</v>
      </c>
      <c r="AD33" s="112">
        <v>0</v>
      </c>
      <c r="AE33" s="112">
        <v>0</v>
      </c>
      <c r="AF33" s="112">
        <v>0</v>
      </c>
      <c r="AG33" s="112">
        <v>0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  <c r="BD33" s="112">
        <v>0</v>
      </c>
      <c r="BE33" s="112">
        <v>0</v>
      </c>
    </row>
    <row r="34" spans="1:57" x14ac:dyDescent="0.15">
      <c r="A34" s="194" t="s">
        <v>224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1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1</v>
      </c>
      <c r="N34" s="112">
        <v>1</v>
      </c>
      <c r="O34" s="112">
        <v>1</v>
      </c>
      <c r="P34" s="112">
        <v>0</v>
      </c>
      <c r="Q34" s="112">
        <v>0</v>
      </c>
      <c r="R34" s="112">
        <v>0</v>
      </c>
      <c r="S34" s="112">
        <v>1</v>
      </c>
      <c r="T34" s="112">
        <v>1</v>
      </c>
      <c r="U34" s="112">
        <v>1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1</v>
      </c>
      <c r="AB34" s="112">
        <v>0</v>
      </c>
      <c r="AC34" s="112">
        <v>0</v>
      </c>
      <c r="AD34" s="112">
        <v>0</v>
      </c>
      <c r="AE34" s="112">
        <v>0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  <c r="AK34" s="112">
        <v>0</v>
      </c>
      <c r="AL34" s="112">
        <v>0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  <c r="BD34" s="112">
        <v>0</v>
      </c>
      <c r="BE34" s="112">
        <v>0</v>
      </c>
    </row>
    <row r="35" spans="1:57" x14ac:dyDescent="0.15">
      <c r="A35" s="194" t="s">
        <v>225</v>
      </c>
      <c r="B35" s="112">
        <v>1</v>
      </c>
      <c r="C35" s="112">
        <v>1</v>
      </c>
      <c r="D35" s="112">
        <v>1</v>
      </c>
      <c r="E35" s="112">
        <v>1</v>
      </c>
      <c r="F35" s="112">
        <v>1</v>
      </c>
      <c r="G35" s="112">
        <v>1</v>
      </c>
      <c r="H35" s="112">
        <v>1</v>
      </c>
      <c r="I35" s="112">
        <v>1</v>
      </c>
      <c r="J35" s="112">
        <v>0</v>
      </c>
      <c r="K35" s="112">
        <v>0</v>
      </c>
      <c r="L35" s="112">
        <v>0</v>
      </c>
      <c r="M35" s="112">
        <v>1</v>
      </c>
      <c r="N35" s="112">
        <v>1</v>
      </c>
      <c r="O35" s="112">
        <v>1</v>
      </c>
      <c r="P35" s="112">
        <v>0</v>
      </c>
      <c r="Q35" s="112">
        <v>1</v>
      </c>
      <c r="R35" s="112">
        <v>1</v>
      </c>
      <c r="S35" s="112">
        <v>1</v>
      </c>
      <c r="T35" s="112">
        <v>1</v>
      </c>
      <c r="U35" s="112">
        <v>1</v>
      </c>
      <c r="V35" s="112">
        <v>1</v>
      </c>
      <c r="W35" s="112">
        <v>1</v>
      </c>
      <c r="X35" s="112">
        <v>0</v>
      </c>
      <c r="Y35" s="112">
        <v>1</v>
      </c>
      <c r="Z35" s="112">
        <v>1</v>
      </c>
      <c r="AA35" s="112">
        <v>1</v>
      </c>
      <c r="AB35" s="112">
        <v>1</v>
      </c>
      <c r="AC35" s="112">
        <v>0</v>
      </c>
      <c r="AD35" s="112">
        <v>1</v>
      </c>
      <c r="AE35" s="112">
        <v>1</v>
      </c>
      <c r="AF35" s="112">
        <v>0</v>
      </c>
      <c r="AG35" s="112">
        <v>1</v>
      </c>
      <c r="AH35" s="112">
        <v>1</v>
      </c>
      <c r="AI35" s="112">
        <v>1</v>
      </c>
      <c r="AJ35" s="112">
        <v>0</v>
      </c>
      <c r="AK35" s="112">
        <v>1</v>
      </c>
      <c r="AL35" s="112">
        <v>0</v>
      </c>
      <c r="AM35" s="112">
        <v>0</v>
      </c>
      <c r="AN35" s="112">
        <v>0</v>
      </c>
      <c r="AO35" s="112">
        <v>1</v>
      </c>
      <c r="AP35" s="112">
        <v>1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  <c r="BD35" s="112">
        <v>0</v>
      </c>
      <c r="BE35" s="112">
        <v>0</v>
      </c>
    </row>
    <row r="36" spans="1:57" x14ac:dyDescent="0.15">
      <c r="A36" s="194" t="s">
        <v>226</v>
      </c>
      <c r="B36" s="112">
        <v>0</v>
      </c>
      <c r="C36" s="112">
        <v>0</v>
      </c>
      <c r="D36" s="112">
        <v>0</v>
      </c>
      <c r="E36" s="112">
        <v>1</v>
      </c>
      <c r="F36" s="112">
        <v>0</v>
      </c>
      <c r="G36" s="112">
        <v>1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1</v>
      </c>
      <c r="R36" s="112">
        <v>1</v>
      </c>
      <c r="S36" s="112">
        <v>0</v>
      </c>
      <c r="T36" s="112">
        <v>1</v>
      </c>
      <c r="U36" s="112">
        <v>0</v>
      </c>
      <c r="V36" s="112">
        <v>0</v>
      </c>
      <c r="W36" s="112">
        <v>0</v>
      </c>
      <c r="X36" s="112">
        <v>0</v>
      </c>
      <c r="Y36" s="112">
        <v>1</v>
      </c>
      <c r="Z36" s="112">
        <v>0</v>
      </c>
      <c r="AA36" s="112">
        <v>1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1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  <c r="BD36" s="112">
        <v>0</v>
      </c>
      <c r="BE36" s="112">
        <v>0</v>
      </c>
    </row>
    <row r="37" spans="1:57" x14ac:dyDescent="0.15">
      <c r="A37" s="194" t="s">
        <v>227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1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1</v>
      </c>
      <c r="AB37" s="112">
        <v>0</v>
      </c>
      <c r="AC37" s="112">
        <v>0</v>
      </c>
      <c r="AD37" s="112">
        <v>1</v>
      </c>
      <c r="AE37" s="112">
        <v>0</v>
      </c>
      <c r="AF37" s="112">
        <v>0</v>
      </c>
      <c r="AG37" s="112">
        <v>1</v>
      </c>
      <c r="AH37" s="112">
        <v>1</v>
      </c>
      <c r="AI37" s="112">
        <v>0</v>
      </c>
      <c r="AJ37" s="112">
        <v>0</v>
      </c>
      <c r="AK37" s="112">
        <v>0</v>
      </c>
      <c r="AL37" s="112">
        <v>0</v>
      </c>
      <c r="AM37" s="112">
        <v>0</v>
      </c>
      <c r="AN37" s="112">
        <v>0</v>
      </c>
      <c r="AO37" s="112">
        <v>0</v>
      </c>
      <c r="AP37" s="112">
        <v>1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  <c r="BD37" s="112">
        <v>0</v>
      </c>
      <c r="BE37" s="112">
        <v>0</v>
      </c>
    </row>
    <row r="38" spans="1:57" x14ac:dyDescent="0.15">
      <c r="A38" s="194" t="s">
        <v>228</v>
      </c>
      <c r="B38" s="112">
        <v>1</v>
      </c>
      <c r="C38" s="112">
        <v>1</v>
      </c>
      <c r="D38" s="112">
        <v>1</v>
      </c>
      <c r="E38" s="112">
        <v>1</v>
      </c>
      <c r="F38" s="112">
        <v>1</v>
      </c>
      <c r="G38" s="112">
        <v>1</v>
      </c>
      <c r="H38" s="112">
        <v>0</v>
      </c>
      <c r="I38" s="112">
        <v>1</v>
      </c>
      <c r="J38" s="112">
        <v>0</v>
      </c>
      <c r="K38" s="112">
        <v>1</v>
      </c>
      <c r="L38" s="112">
        <v>0</v>
      </c>
      <c r="M38" s="112">
        <v>1</v>
      </c>
      <c r="N38" s="112">
        <v>1</v>
      </c>
      <c r="O38" s="112">
        <v>1</v>
      </c>
      <c r="P38" s="112">
        <v>0</v>
      </c>
      <c r="Q38" s="112">
        <v>1</v>
      </c>
      <c r="R38" s="112">
        <v>1</v>
      </c>
      <c r="S38" s="112">
        <v>1</v>
      </c>
      <c r="T38" s="112">
        <v>1</v>
      </c>
      <c r="U38" s="112">
        <v>1</v>
      </c>
      <c r="V38" s="112">
        <v>1</v>
      </c>
      <c r="W38" s="112">
        <v>1</v>
      </c>
      <c r="X38" s="112">
        <v>0</v>
      </c>
      <c r="Y38" s="112">
        <v>1</v>
      </c>
      <c r="Z38" s="112">
        <v>1</v>
      </c>
      <c r="AA38" s="112">
        <v>1</v>
      </c>
      <c r="AB38" s="112">
        <v>1</v>
      </c>
      <c r="AC38" s="112">
        <v>0</v>
      </c>
      <c r="AD38" s="112">
        <v>1</v>
      </c>
      <c r="AE38" s="112">
        <v>1</v>
      </c>
      <c r="AF38" s="112">
        <v>0</v>
      </c>
      <c r="AG38" s="112">
        <v>1</v>
      </c>
      <c r="AH38" s="112">
        <v>1</v>
      </c>
      <c r="AI38" s="112">
        <v>0</v>
      </c>
      <c r="AJ38" s="112">
        <v>0</v>
      </c>
      <c r="AK38" s="112">
        <v>1</v>
      </c>
      <c r="AL38" s="112">
        <v>1</v>
      </c>
      <c r="AM38" s="112">
        <v>0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  <c r="BD38" s="112">
        <v>0</v>
      </c>
      <c r="BE38" s="112">
        <v>0</v>
      </c>
    </row>
    <row r="39" spans="1:57" x14ac:dyDescent="0.15">
      <c r="A39" s="194" t="s">
        <v>229</v>
      </c>
      <c r="B39" s="112">
        <v>1</v>
      </c>
      <c r="C39" s="112">
        <v>0</v>
      </c>
      <c r="D39" s="112">
        <v>0</v>
      </c>
      <c r="E39" s="112">
        <v>0</v>
      </c>
      <c r="F39" s="112">
        <v>1</v>
      </c>
      <c r="G39" s="112">
        <v>0</v>
      </c>
      <c r="H39" s="112">
        <v>1</v>
      </c>
      <c r="I39" s="112">
        <v>1</v>
      </c>
      <c r="J39" s="112">
        <v>1</v>
      </c>
      <c r="K39" s="112">
        <v>0</v>
      </c>
      <c r="L39" s="112">
        <v>0</v>
      </c>
      <c r="M39" s="112">
        <v>1</v>
      </c>
      <c r="N39" s="112">
        <v>1</v>
      </c>
      <c r="O39" s="112">
        <v>1</v>
      </c>
      <c r="P39" s="112">
        <v>1</v>
      </c>
      <c r="Q39" s="112">
        <v>1</v>
      </c>
      <c r="R39" s="112">
        <v>1</v>
      </c>
      <c r="S39" s="112">
        <v>1</v>
      </c>
      <c r="T39" s="112">
        <v>1</v>
      </c>
      <c r="U39" s="112">
        <v>1</v>
      </c>
      <c r="V39" s="112">
        <v>0</v>
      </c>
      <c r="W39" s="112">
        <v>1</v>
      </c>
      <c r="X39" s="112">
        <v>1</v>
      </c>
      <c r="Y39" s="112">
        <v>1</v>
      </c>
      <c r="Z39" s="112">
        <v>1</v>
      </c>
      <c r="AA39" s="112">
        <v>1</v>
      </c>
      <c r="AB39" s="112">
        <v>1</v>
      </c>
      <c r="AC39" s="112">
        <v>1</v>
      </c>
      <c r="AD39" s="112">
        <v>1</v>
      </c>
      <c r="AE39" s="112">
        <v>1</v>
      </c>
      <c r="AF39" s="112">
        <v>0</v>
      </c>
      <c r="AG39" s="112">
        <v>1</v>
      </c>
      <c r="AH39" s="112">
        <v>1</v>
      </c>
      <c r="AI39" s="112">
        <v>1</v>
      </c>
      <c r="AJ39" s="112">
        <v>0</v>
      </c>
      <c r="AK39" s="112">
        <v>1</v>
      </c>
      <c r="AL39" s="112">
        <v>0</v>
      </c>
      <c r="AM39" s="112">
        <v>0</v>
      </c>
      <c r="AN39" s="112">
        <v>1</v>
      </c>
      <c r="AO39" s="112">
        <v>0</v>
      </c>
      <c r="AP39" s="112">
        <v>1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  <c r="BD39" s="112">
        <v>0</v>
      </c>
      <c r="BE39" s="112">
        <v>0</v>
      </c>
    </row>
    <row r="40" spans="1:57" x14ac:dyDescent="0.15">
      <c r="A40" s="194" t="s">
        <v>230</v>
      </c>
      <c r="B40" s="112">
        <v>0</v>
      </c>
      <c r="C40" s="112">
        <v>0</v>
      </c>
      <c r="D40" s="112">
        <v>0</v>
      </c>
      <c r="E40" s="112">
        <v>1</v>
      </c>
      <c r="F40" s="112">
        <v>1</v>
      </c>
      <c r="G40" s="112">
        <v>0</v>
      </c>
      <c r="H40" s="112">
        <v>1</v>
      </c>
      <c r="I40" s="112">
        <v>1</v>
      </c>
      <c r="J40" s="112">
        <v>0</v>
      </c>
      <c r="K40" s="112">
        <v>0</v>
      </c>
      <c r="L40" s="112">
        <v>0</v>
      </c>
      <c r="M40" s="112">
        <v>1</v>
      </c>
      <c r="N40" s="112">
        <v>1</v>
      </c>
      <c r="O40" s="112">
        <v>1</v>
      </c>
      <c r="P40" s="112">
        <v>1</v>
      </c>
      <c r="Q40" s="112">
        <v>1</v>
      </c>
      <c r="R40" s="112">
        <v>1</v>
      </c>
      <c r="S40" s="112">
        <v>1</v>
      </c>
      <c r="T40" s="112">
        <v>1</v>
      </c>
      <c r="U40" s="112">
        <v>1</v>
      </c>
      <c r="V40" s="112">
        <v>0</v>
      </c>
      <c r="W40" s="112">
        <v>1</v>
      </c>
      <c r="X40" s="112">
        <v>1</v>
      </c>
      <c r="Y40" s="112">
        <v>1</v>
      </c>
      <c r="Z40" s="112">
        <v>1</v>
      </c>
      <c r="AA40" s="112">
        <v>1</v>
      </c>
      <c r="AB40" s="112">
        <v>1</v>
      </c>
      <c r="AC40" s="112">
        <v>1</v>
      </c>
      <c r="AD40" s="112">
        <v>1</v>
      </c>
      <c r="AE40" s="112">
        <v>1</v>
      </c>
      <c r="AF40" s="112">
        <v>0</v>
      </c>
      <c r="AG40" s="112">
        <v>1</v>
      </c>
      <c r="AH40" s="112">
        <v>1</v>
      </c>
      <c r="AI40" s="112">
        <v>1</v>
      </c>
      <c r="AJ40" s="112">
        <v>0</v>
      </c>
      <c r="AK40" s="112">
        <v>1</v>
      </c>
      <c r="AL40" s="112">
        <v>0</v>
      </c>
      <c r="AM40" s="112">
        <v>0</v>
      </c>
      <c r="AN40" s="112">
        <v>0</v>
      </c>
      <c r="AO40" s="112">
        <v>1</v>
      </c>
      <c r="AP40" s="112">
        <v>1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  <c r="BD40" s="112">
        <v>0</v>
      </c>
      <c r="BE40" s="112">
        <v>0</v>
      </c>
    </row>
    <row r="41" spans="1:57" x14ac:dyDescent="0.15">
      <c r="A41" s="194" t="s">
        <v>231</v>
      </c>
      <c r="B41" s="112">
        <v>0</v>
      </c>
      <c r="C41" s="112">
        <v>0</v>
      </c>
      <c r="D41" s="112">
        <v>0</v>
      </c>
      <c r="E41" s="112">
        <v>0</v>
      </c>
      <c r="F41" s="112">
        <v>1</v>
      </c>
      <c r="G41" s="112">
        <v>0</v>
      </c>
      <c r="H41" s="112">
        <v>0</v>
      </c>
      <c r="I41" s="112">
        <v>1</v>
      </c>
      <c r="J41" s="112">
        <v>0</v>
      </c>
      <c r="K41" s="112">
        <v>0</v>
      </c>
      <c r="L41" s="112">
        <v>0</v>
      </c>
      <c r="M41" s="112">
        <v>0</v>
      </c>
      <c r="N41" s="112">
        <v>1</v>
      </c>
      <c r="O41" s="112">
        <v>1</v>
      </c>
      <c r="P41" s="112">
        <v>1</v>
      </c>
      <c r="Q41" s="112">
        <v>1</v>
      </c>
      <c r="R41" s="112">
        <v>0</v>
      </c>
      <c r="S41" s="112">
        <v>1</v>
      </c>
      <c r="T41" s="112">
        <v>1</v>
      </c>
      <c r="U41" s="112">
        <v>1</v>
      </c>
      <c r="V41" s="112">
        <v>0</v>
      </c>
      <c r="W41" s="112">
        <v>1</v>
      </c>
      <c r="X41" s="112">
        <v>1</v>
      </c>
      <c r="Y41" s="112">
        <v>1</v>
      </c>
      <c r="Z41" s="112">
        <v>1</v>
      </c>
      <c r="AA41" s="112">
        <v>1</v>
      </c>
      <c r="AB41" s="112">
        <v>0</v>
      </c>
      <c r="AC41" s="112">
        <v>0</v>
      </c>
      <c r="AD41" s="112">
        <v>1</v>
      </c>
      <c r="AE41" s="112">
        <v>1</v>
      </c>
      <c r="AF41" s="112">
        <v>0</v>
      </c>
      <c r="AG41" s="112">
        <v>0</v>
      </c>
      <c r="AH41" s="112">
        <v>1</v>
      </c>
      <c r="AI41" s="112">
        <v>1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1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  <c r="BD41" s="112">
        <v>0</v>
      </c>
      <c r="BE41" s="112">
        <v>0</v>
      </c>
    </row>
    <row r="42" spans="1:57" x14ac:dyDescent="0.15">
      <c r="A42" s="194" t="s">
        <v>232</v>
      </c>
      <c r="B42" s="112">
        <v>0</v>
      </c>
      <c r="C42" s="112">
        <v>0</v>
      </c>
      <c r="D42" s="112">
        <v>0</v>
      </c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1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1</v>
      </c>
      <c r="Z42" s="112">
        <v>0</v>
      </c>
      <c r="AA42" s="112">
        <v>1</v>
      </c>
      <c r="AB42" s="112">
        <v>1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1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  <c r="BD42" s="112">
        <v>0</v>
      </c>
      <c r="BE42" s="112">
        <v>0</v>
      </c>
    </row>
    <row r="43" spans="1:57" x14ac:dyDescent="0.15">
      <c r="A43" s="194" t="s">
        <v>233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1</v>
      </c>
      <c r="Q43" s="112">
        <v>0</v>
      </c>
      <c r="R43" s="112">
        <v>0</v>
      </c>
      <c r="S43" s="112">
        <v>1</v>
      </c>
      <c r="T43" s="112">
        <v>0</v>
      </c>
      <c r="U43" s="112">
        <v>0</v>
      </c>
      <c r="V43" s="112">
        <v>0</v>
      </c>
      <c r="W43" s="112">
        <v>1</v>
      </c>
      <c r="X43" s="112">
        <v>0</v>
      </c>
      <c r="Y43" s="112">
        <v>0</v>
      </c>
      <c r="Z43" s="112">
        <v>1</v>
      </c>
      <c r="AA43" s="112">
        <v>1</v>
      </c>
      <c r="AB43" s="112">
        <v>1</v>
      </c>
      <c r="AC43" s="112">
        <v>1</v>
      </c>
      <c r="AD43" s="112">
        <v>0</v>
      </c>
      <c r="AE43" s="112">
        <v>0</v>
      </c>
      <c r="AF43" s="112">
        <v>0</v>
      </c>
      <c r="AG43" s="112">
        <v>0</v>
      </c>
      <c r="AH43" s="112">
        <v>1</v>
      </c>
      <c r="AI43" s="112">
        <v>0</v>
      </c>
      <c r="AJ43" s="112">
        <v>0</v>
      </c>
      <c r="AK43" s="112">
        <v>1</v>
      </c>
      <c r="AL43" s="112">
        <v>0</v>
      </c>
      <c r="AM43" s="112">
        <v>0</v>
      </c>
      <c r="AN43" s="112">
        <v>0</v>
      </c>
      <c r="AO43" s="112">
        <v>1</v>
      </c>
      <c r="AP43" s="112">
        <v>1</v>
      </c>
      <c r="AQ43" s="112">
        <v>1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  <c r="BD43" s="112">
        <v>0</v>
      </c>
      <c r="BE43" s="112">
        <v>0</v>
      </c>
    </row>
    <row r="44" spans="1:57" x14ac:dyDescent="0.15">
      <c r="A44" s="194" t="s">
        <v>234</v>
      </c>
      <c r="B44" s="112">
        <v>0</v>
      </c>
      <c r="C44" s="112">
        <v>0</v>
      </c>
      <c r="D44" s="112">
        <v>0</v>
      </c>
      <c r="E44" s="112">
        <v>0</v>
      </c>
      <c r="F44" s="112">
        <v>1</v>
      </c>
      <c r="G44" s="112">
        <v>0</v>
      </c>
      <c r="H44" s="112">
        <v>0</v>
      </c>
      <c r="I44" s="112">
        <v>1</v>
      </c>
      <c r="J44" s="112">
        <v>1</v>
      </c>
      <c r="K44" s="112">
        <v>0</v>
      </c>
      <c r="L44" s="112">
        <v>0</v>
      </c>
      <c r="M44" s="112">
        <v>0</v>
      </c>
      <c r="N44" s="112">
        <v>0</v>
      </c>
      <c r="O44" s="112">
        <v>1</v>
      </c>
      <c r="P44" s="112">
        <v>1</v>
      </c>
      <c r="Q44" s="112">
        <v>1</v>
      </c>
      <c r="R44" s="112">
        <v>0</v>
      </c>
      <c r="S44" s="112">
        <v>1</v>
      </c>
      <c r="T44" s="112">
        <v>0</v>
      </c>
      <c r="U44" s="112">
        <v>1</v>
      </c>
      <c r="V44" s="112">
        <v>0</v>
      </c>
      <c r="W44" s="112">
        <v>1</v>
      </c>
      <c r="X44" s="112">
        <v>0</v>
      </c>
      <c r="Y44" s="112">
        <v>0</v>
      </c>
      <c r="Z44" s="112">
        <v>1</v>
      </c>
      <c r="AA44" s="112">
        <v>0</v>
      </c>
      <c r="AB44" s="112">
        <v>1</v>
      </c>
      <c r="AC44" s="112">
        <v>0</v>
      </c>
      <c r="AD44" s="112">
        <v>1</v>
      </c>
      <c r="AE44" s="112">
        <v>1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1</v>
      </c>
      <c r="AL44" s="112">
        <v>1</v>
      </c>
      <c r="AM44" s="112">
        <v>0</v>
      </c>
      <c r="AN44" s="112">
        <v>1</v>
      </c>
      <c r="AO44" s="112">
        <v>1</v>
      </c>
      <c r="AP44" s="112">
        <v>1</v>
      </c>
      <c r="AQ44" s="112">
        <v>1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  <c r="BD44" s="112">
        <v>0</v>
      </c>
      <c r="BE44" s="112">
        <v>0</v>
      </c>
    </row>
    <row r="45" spans="1:57" x14ac:dyDescent="0.15">
      <c r="A45" s="194" t="s">
        <v>235</v>
      </c>
      <c r="B45" s="112">
        <v>0</v>
      </c>
      <c r="C45" s="112">
        <v>0</v>
      </c>
      <c r="D45" s="112">
        <v>0</v>
      </c>
      <c r="E45" s="112">
        <v>0</v>
      </c>
      <c r="F45" s="112">
        <v>1</v>
      </c>
      <c r="G45" s="112">
        <v>0</v>
      </c>
      <c r="H45" s="112">
        <v>1</v>
      </c>
      <c r="I45" s="112">
        <v>1</v>
      </c>
      <c r="J45" s="112">
        <v>0</v>
      </c>
      <c r="K45" s="112">
        <v>1</v>
      </c>
      <c r="L45" s="112">
        <v>0</v>
      </c>
      <c r="M45" s="112">
        <v>0</v>
      </c>
      <c r="N45" s="112">
        <v>0</v>
      </c>
      <c r="O45" s="112">
        <v>0</v>
      </c>
      <c r="P45" s="112">
        <v>0</v>
      </c>
      <c r="Q45" s="112">
        <v>1</v>
      </c>
      <c r="R45" s="112">
        <v>0</v>
      </c>
      <c r="S45" s="112">
        <v>0</v>
      </c>
      <c r="T45" s="112">
        <v>1</v>
      </c>
      <c r="U45" s="112">
        <v>0</v>
      </c>
      <c r="V45" s="112">
        <v>0</v>
      </c>
      <c r="W45" s="112">
        <v>0</v>
      </c>
      <c r="X45" s="112">
        <v>0</v>
      </c>
      <c r="Y45" s="112">
        <v>0</v>
      </c>
      <c r="Z45" s="112">
        <v>1</v>
      </c>
      <c r="AA45" s="112">
        <v>0</v>
      </c>
      <c r="AB45" s="112">
        <v>1</v>
      </c>
      <c r="AC45" s="112">
        <v>1</v>
      </c>
      <c r="AD45" s="112">
        <v>0</v>
      </c>
      <c r="AE45" s="112">
        <v>0</v>
      </c>
      <c r="AF45" s="112">
        <v>0</v>
      </c>
      <c r="AG45" s="112">
        <v>1</v>
      </c>
      <c r="AH45" s="112">
        <v>0</v>
      </c>
      <c r="AI45" s="112">
        <v>0</v>
      </c>
      <c r="AJ45" s="112">
        <v>0</v>
      </c>
      <c r="AK45" s="112">
        <v>0</v>
      </c>
      <c r="AL45" s="112">
        <v>0</v>
      </c>
      <c r="AM45" s="112">
        <v>0</v>
      </c>
      <c r="AN45" s="112">
        <v>0</v>
      </c>
      <c r="AO45" s="112">
        <v>1</v>
      </c>
      <c r="AP45" s="112">
        <v>1</v>
      </c>
      <c r="AQ45" s="112">
        <v>1</v>
      </c>
      <c r="AR45" s="112">
        <v>0</v>
      </c>
      <c r="AS45" s="112">
        <v>1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  <c r="BD45" s="112">
        <v>0</v>
      </c>
      <c r="BE45" s="112">
        <v>0</v>
      </c>
    </row>
    <row r="46" spans="1:57" x14ac:dyDescent="0.15">
      <c r="A46" s="194" t="s">
        <v>236</v>
      </c>
      <c r="B46" s="112">
        <v>0</v>
      </c>
      <c r="C46" s="112">
        <v>0</v>
      </c>
      <c r="D46" s="112">
        <v>1</v>
      </c>
      <c r="E46" s="112">
        <v>0</v>
      </c>
      <c r="F46" s="112">
        <v>1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1</v>
      </c>
      <c r="M46" s="112">
        <v>1</v>
      </c>
      <c r="N46" s="112">
        <v>0</v>
      </c>
      <c r="O46" s="112">
        <v>1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1</v>
      </c>
      <c r="V46" s="112">
        <v>0</v>
      </c>
      <c r="W46" s="112">
        <v>1</v>
      </c>
      <c r="X46" s="112">
        <v>1</v>
      </c>
      <c r="Y46" s="112">
        <v>1</v>
      </c>
      <c r="Z46" s="112">
        <v>1</v>
      </c>
      <c r="AA46" s="112">
        <v>0</v>
      </c>
      <c r="AB46" s="112">
        <v>0</v>
      </c>
      <c r="AC46" s="112">
        <v>0</v>
      </c>
      <c r="AD46" s="112">
        <v>0</v>
      </c>
      <c r="AE46" s="112">
        <v>1</v>
      </c>
      <c r="AF46" s="112">
        <v>0</v>
      </c>
      <c r="AG46" s="112">
        <v>0</v>
      </c>
      <c r="AH46" s="112">
        <v>0</v>
      </c>
      <c r="AI46" s="112">
        <v>1</v>
      </c>
      <c r="AJ46" s="112">
        <v>1</v>
      </c>
      <c r="AK46" s="112">
        <v>0</v>
      </c>
      <c r="AL46" s="112">
        <v>1</v>
      </c>
      <c r="AM46" s="112">
        <v>0</v>
      </c>
      <c r="AN46" s="112">
        <v>0</v>
      </c>
      <c r="AO46" s="112">
        <v>0</v>
      </c>
      <c r="AP46" s="112">
        <v>0</v>
      </c>
      <c r="AQ46" s="112">
        <v>0</v>
      </c>
      <c r="AR46" s="112">
        <v>0</v>
      </c>
      <c r="AS46" s="112">
        <v>0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  <c r="BD46" s="112">
        <v>0</v>
      </c>
      <c r="BE46" s="112">
        <v>0</v>
      </c>
    </row>
    <row r="47" spans="1:57" x14ac:dyDescent="0.15">
      <c r="A47" s="194" t="s">
        <v>237</v>
      </c>
      <c r="B47" s="112">
        <v>0</v>
      </c>
      <c r="C47" s="112">
        <v>0</v>
      </c>
      <c r="D47" s="112">
        <v>1</v>
      </c>
      <c r="E47" s="112">
        <v>0</v>
      </c>
      <c r="F47" s="112">
        <v>0</v>
      </c>
      <c r="G47" s="112">
        <v>1</v>
      </c>
      <c r="H47" s="112">
        <v>1</v>
      </c>
      <c r="I47" s="112">
        <v>0</v>
      </c>
      <c r="J47" s="112">
        <v>0</v>
      </c>
      <c r="K47" s="112">
        <v>0</v>
      </c>
      <c r="L47" s="112">
        <v>1</v>
      </c>
      <c r="M47" s="112">
        <v>0</v>
      </c>
      <c r="N47" s="112">
        <v>1</v>
      </c>
      <c r="O47" s="112">
        <v>0</v>
      </c>
      <c r="P47" s="112">
        <v>1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1</v>
      </c>
      <c r="X47" s="112">
        <v>1</v>
      </c>
      <c r="Y47" s="112">
        <v>1</v>
      </c>
      <c r="Z47" s="112">
        <v>1</v>
      </c>
      <c r="AA47" s="112">
        <v>0</v>
      </c>
      <c r="AB47" s="112">
        <v>1</v>
      </c>
      <c r="AC47" s="112">
        <v>0</v>
      </c>
      <c r="AD47" s="112">
        <v>1</v>
      </c>
      <c r="AE47" s="112">
        <v>1</v>
      </c>
      <c r="AF47" s="112">
        <v>0</v>
      </c>
      <c r="AG47" s="112">
        <v>0</v>
      </c>
      <c r="AH47" s="112">
        <v>0</v>
      </c>
      <c r="AI47" s="112">
        <v>1</v>
      </c>
      <c r="AJ47" s="112">
        <v>1</v>
      </c>
      <c r="AK47" s="112">
        <v>1</v>
      </c>
      <c r="AL47" s="112">
        <v>1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1</v>
      </c>
      <c r="AU47" s="112">
        <v>0</v>
      </c>
      <c r="AV47" s="112">
        <v>1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  <c r="BD47" s="112">
        <v>0</v>
      </c>
      <c r="BE47" s="112">
        <v>0</v>
      </c>
    </row>
    <row r="48" spans="1:57" x14ac:dyDescent="0.15">
      <c r="A48" s="194" t="s">
        <v>238</v>
      </c>
      <c r="B48" s="112">
        <v>0</v>
      </c>
      <c r="C48" s="112">
        <v>0</v>
      </c>
      <c r="D48" s="112">
        <v>0</v>
      </c>
      <c r="E48" s="112">
        <v>1</v>
      </c>
      <c r="F48" s="112">
        <v>1</v>
      </c>
      <c r="G48" s="112">
        <v>0</v>
      </c>
      <c r="H48" s="112">
        <v>1</v>
      </c>
      <c r="I48" s="112">
        <v>1</v>
      </c>
      <c r="J48" s="112">
        <v>1</v>
      </c>
      <c r="K48" s="112">
        <v>1</v>
      </c>
      <c r="L48" s="112">
        <v>1</v>
      </c>
      <c r="M48" s="112">
        <v>0</v>
      </c>
      <c r="N48" s="112">
        <v>0</v>
      </c>
      <c r="O48" s="112">
        <v>0</v>
      </c>
      <c r="P48" s="112">
        <v>1</v>
      </c>
      <c r="Q48" s="112">
        <v>0</v>
      </c>
      <c r="R48" s="112">
        <v>0</v>
      </c>
      <c r="S48" s="112">
        <v>0</v>
      </c>
      <c r="T48" s="112">
        <v>0</v>
      </c>
      <c r="U48" s="112">
        <v>1</v>
      </c>
      <c r="V48" s="112">
        <v>0</v>
      </c>
      <c r="W48" s="112">
        <v>1</v>
      </c>
      <c r="X48" s="112">
        <v>0</v>
      </c>
      <c r="Y48" s="112">
        <v>0</v>
      </c>
      <c r="Z48" s="112">
        <v>1</v>
      </c>
      <c r="AA48" s="112">
        <v>0</v>
      </c>
      <c r="AB48" s="112">
        <v>1</v>
      </c>
      <c r="AC48" s="112">
        <v>0</v>
      </c>
      <c r="AD48" s="112">
        <v>1</v>
      </c>
      <c r="AE48" s="112">
        <v>1</v>
      </c>
      <c r="AF48" s="112">
        <v>0</v>
      </c>
      <c r="AG48" s="112">
        <v>0</v>
      </c>
      <c r="AH48" s="112">
        <v>0</v>
      </c>
      <c r="AI48" s="112">
        <v>1</v>
      </c>
      <c r="AJ48" s="112">
        <v>0</v>
      </c>
      <c r="AK48" s="112">
        <v>1</v>
      </c>
      <c r="AL48" s="112">
        <v>1</v>
      </c>
      <c r="AM48" s="112">
        <v>1</v>
      </c>
      <c r="AN48" s="112">
        <v>1</v>
      </c>
      <c r="AO48" s="112">
        <v>0</v>
      </c>
      <c r="AP48" s="112">
        <v>0</v>
      </c>
      <c r="AQ48" s="112">
        <v>0</v>
      </c>
      <c r="AR48" s="112">
        <v>0</v>
      </c>
      <c r="AS48" s="112">
        <v>0</v>
      </c>
      <c r="AT48" s="112">
        <v>1</v>
      </c>
      <c r="AU48" s="112">
        <v>1</v>
      </c>
      <c r="AV48" s="112">
        <v>1</v>
      </c>
      <c r="AW48" s="112">
        <v>1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  <c r="BD48" s="112">
        <v>0</v>
      </c>
      <c r="BE48" s="112">
        <v>0</v>
      </c>
    </row>
    <row r="49" spans="1:57" x14ac:dyDescent="0.15">
      <c r="A49" s="194" t="s">
        <v>239</v>
      </c>
      <c r="B49" s="112">
        <v>1</v>
      </c>
      <c r="C49" s="112">
        <v>0</v>
      </c>
      <c r="D49" s="112">
        <v>0</v>
      </c>
      <c r="E49" s="112">
        <v>1</v>
      </c>
      <c r="F49" s="112">
        <v>1</v>
      </c>
      <c r="G49" s="112">
        <v>0</v>
      </c>
      <c r="H49" s="112">
        <v>1</v>
      </c>
      <c r="I49" s="112">
        <v>1</v>
      </c>
      <c r="J49" s="112">
        <v>1</v>
      </c>
      <c r="K49" s="112">
        <v>1</v>
      </c>
      <c r="L49" s="112">
        <v>1</v>
      </c>
      <c r="M49" s="112">
        <v>1</v>
      </c>
      <c r="N49" s="112">
        <v>1</v>
      </c>
      <c r="O49" s="112">
        <v>0</v>
      </c>
      <c r="P49" s="112">
        <v>1</v>
      </c>
      <c r="Q49" s="112">
        <v>1</v>
      </c>
      <c r="R49" s="112">
        <v>1</v>
      </c>
      <c r="S49" s="112">
        <v>1</v>
      </c>
      <c r="T49" s="112">
        <v>1</v>
      </c>
      <c r="U49" s="112">
        <v>1</v>
      </c>
      <c r="V49" s="112">
        <v>0</v>
      </c>
      <c r="W49" s="112">
        <v>1</v>
      </c>
      <c r="X49" s="112">
        <v>1</v>
      </c>
      <c r="Y49" s="112">
        <v>0</v>
      </c>
      <c r="Z49" s="112">
        <v>1</v>
      </c>
      <c r="AA49" s="112">
        <v>1</v>
      </c>
      <c r="AB49" s="112">
        <v>1</v>
      </c>
      <c r="AC49" s="112">
        <v>1</v>
      </c>
      <c r="AD49" s="112">
        <v>1</v>
      </c>
      <c r="AE49" s="112">
        <v>1</v>
      </c>
      <c r="AF49" s="112">
        <v>0</v>
      </c>
      <c r="AG49" s="112">
        <v>1</v>
      </c>
      <c r="AH49" s="112">
        <v>1</v>
      </c>
      <c r="AI49" s="112">
        <v>1</v>
      </c>
      <c r="AJ49" s="112">
        <v>0</v>
      </c>
      <c r="AK49" s="112">
        <v>1</v>
      </c>
      <c r="AL49" s="112">
        <v>1</v>
      </c>
      <c r="AM49" s="112">
        <v>1</v>
      </c>
      <c r="AN49" s="112">
        <v>1</v>
      </c>
      <c r="AO49" s="112">
        <v>1</v>
      </c>
      <c r="AP49" s="112">
        <v>0</v>
      </c>
      <c r="AQ49" s="112">
        <v>1</v>
      </c>
      <c r="AR49" s="112">
        <v>1</v>
      </c>
      <c r="AS49" s="112">
        <v>1</v>
      </c>
      <c r="AT49" s="112">
        <v>1</v>
      </c>
      <c r="AU49" s="112">
        <v>1</v>
      </c>
      <c r="AV49" s="112">
        <v>1</v>
      </c>
      <c r="AW49" s="112">
        <v>1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  <c r="BD49" s="112">
        <v>0</v>
      </c>
      <c r="BE49" s="112">
        <v>0</v>
      </c>
    </row>
    <row r="50" spans="1:57" x14ac:dyDescent="0.15">
      <c r="A50" s="194" t="s">
        <v>240</v>
      </c>
      <c r="B50" s="112">
        <v>1</v>
      </c>
      <c r="C50" s="112">
        <v>0</v>
      </c>
      <c r="D50" s="112">
        <v>1</v>
      </c>
      <c r="E50" s="112">
        <v>0</v>
      </c>
      <c r="F50" s="112">
        <v>0</v>
      </c>
      <c r="G50" s="112">
        <v>1</v>
      </c>
      <c r="H50" s="112">
        <v>0</v>
      </c>
      <c r="I50" s="112">
        <v>1</v>
      </c>
      <c r="J50" s="112">
        <v>1</v>
      </c>
      <c r="K50" s="112">
        <v>1</v>
      </c>
      <c r="L50" s="112">
        <v>1</v>
      </c>
      <c r="M50" s="112">
        <v>1</v>
      </c>
      <c r="N50" s="112">
        <v>1</v>
      </c>
      <c r="O50" s="112">
        <v>1</v>
      </c>
      <c r="P50" s="112">
        <v>1</v>
      </c>
      <c r="Q50" s="112">
        <v>1</v>
      </c>
      <c r="R50" s="112">
        <v>1</v>
      </c>
      <c r="S50" s="112">
        <v>0</v>
      </c>
      <c r="T50" s="112">
        <v>1</v>
      </c>
      <c r="U50" s="112">
        <v>1</v>
      </c>
      <c r="V50" s="112">
        <v>0</v>
      </c>
      <c r="W50" s="112">
        <v>1</v>
      </c>
      <c r="X50" s="112">
        <v>1</v>
      </c>
      <c r="Y50" s="112">
        <v>1</v>
      </c>
      <c r="Z50" s="112">
        <v>1</v>
      </c>
      <c r="AA50" s="112">
        <v>1</v>
      </c>
      <c r="AB50" s="112">
        <v>1</v>
      </c>
      <c r="AC50" s="112">
        <v>1</v>
      </c>
      <c r="AD50" s="112">
        <v>1</v>
      </c>
      <c r="AE50" s="112">
        <v>1</v>
      </c>
      <c r="AF50" s="112">
        <v>1</v>
      </c>
      <c r="AG50" s="112">
        <v>1</v>
      </c>
      <c r="AH50" s="112">
        <v>1</v>
      </c>
      <c r="AI50" s="112">
        <v>1</v>
      </c>
      <c r="AJ50" s="112">
        <v>1</v>
      </c>
      <c r="AK50" s="112">
        <v>1</v>
      </c>
      <c r="AL50" s="112">
        <v>1</v>
      </c>
      <c r="AM50" s="112">
        <v>1</v>
      </c>
      <c r="AN50" s="112">
        <v>1</v>
      </c>
      <c r="AO50" s="112">
        <v>0</v>
      </c>
      <c r="AP50" s="112">
        <v>0</v>
      </c>
      <c r="AQ50" s="112">
        <v>0</v>
      </c>
      <c r="AR50" s="112">
        <v>0</v>
      </c>
      <c r="AS50" s="112">
        <v>1</v>
      </c>
      <c r="AT50" s="112">
        <v>1</v>
      </c>
      <c r="AU50" s="112">
        <v>1</v>
      </c>
      <c r="AV50" s="112">
        <v>1</v>
      </c>
      <c r="AW50" s="112">
        <v>1</v>
      </c>
      <c r="AX50" s="112">
        <v>0</v>
      </c>
      <c r="AY50" s="112">
        <v>0</v>
      </c>
      <c r="AZ50" s="112">
        <v>1</v>
      </c>
      <c r="BA50" s="112">
        <v>0</v>
      </c>
      <c r="BB50" s="112">
        <v>0</v>
      </c>
      <c r="BC50" s="112">
        <v>0</v>
      </c>
      <c r="BD50" s="112">
        <v>0</v>
      </c>
      <c r="BE50" s="112">
        <v>0</v>
      </c>
    </row>
    <row r="51" spans="1:57" x14ac:dyDescent="0.15">
      <c r="A51" s="194" t="s">
        <v>241</v>
      </c>
      <c r="B51" s="112">
        <v>1</v>
      </c>
      <c r="C51" s="112">
        <v>0</v>
      </c>
      <c r="D51" s="112">
        <v>1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1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1</v>
      </c>
      <c r="R51" s="112">
        <v>1</v>
      </c>
      <c r="S51" s="112">
        <v>0</v>
      </c>
      <c r="T51" s="112">
        <v>1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</v>
      </c>
      <c r="AA51" s="112">
        <v>1</v>
      </c>
      <c r="AB51" s="112">
        <v>1</v>
      </c>
      <c r="AC51" s="112">
        <v>1</v>
      </c>
      <c r="AD51" s="112">
        <v>0</v>
      </c>
      <c r="AE51" s="112">
        <v>1</v>
      </c>
      <c r="AF51" s="112">
        <v>1</v>
      </c>
      <c r="AG51" s="112">
        <v>1</v>
      </c>
      <c r="AH51" s="112">
        <v>0</v>
      </c>
      <c r="AI51" s="112">
        <v>1</v>
      </c>
      <c r="AJ51" s="112">
        <v>1</v>
      </c>
      <c r="AK51" s="112">
        <v>0</v>
      </c>
      <c r="AL51" s="112">
        <v>0</v>
      </c>
      <c r="AM51" s="112">
        <v>1</v>
      </c>
      <c r="AN51" s="112">
        <v>1</v>
      </c>
      <c r="AO51" s="112">
        <v>0</v>
      </c>
      <c r="AP51" s="112">
        <v>0</v>
      </c>
      <c r="AQ51" s="112">
        <v>0</v>
      </c>
      <c r="AR51" s="112">
        <v>0</v>
      </c>
      <c r="AS51" s="112">
        <v>1</v>
      </c>
      <c r="AT51" s="112">
        <v>1</v>
      </c>
      <c r="AU51" s="112">
        <v>1</v>
      </c>
      <c r="AV51" s="112">
        <v>1</v>
      </c>
      <c r="AW51" s="112">
        <v>1</v>
      </c>
      <c r="AX51" s="112">
        <v>1</v>
      </c>
      <c r="AY51" s="112">
        <v>0</v>
      </c>
      <c r="AZ51" s="112">
        <v>1</v>
      </c>
      <c r="BA51" s="112">
        <v>0</v>
      </c>
      <c r="BB51" s="112">
        <v>0</v>
      </c>
      <c r="BC51" s="112">
        <v>0</v>
      </c>
      <c r="BD51" s="112">
        <v>0</v>
      </c>
      <c r="BE51" s="112">
        <v>0</v>
      </c>
    </row>
    <row r="52" spans="1:57" x14ac:dyDescent="0.15">
      <c r="A52" s="194" t="s">
        <v>242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1</v>
      </c>
      <c r="L52" s="112">
        <v>0</v>
      </c>
      <c r="M52" s="112">
        <v>0</v>
      </c>
      <c r="N52" s="112">
        <v>0</v>
      </c>
      <c r="O52" s="112">
        <v>1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1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0</v>
      </c>
      <c r="AW52" s="112">
        <v>0</v>
      </c>
      <c r="AX52" s="112">
        <v>0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  <c r="BD52" s="112">
        <v>0</v>
      </c>
      <c r="BE52" s="112">
        <v>0</v>
      </c>
    </row>
    <row r="53" spans="1:57" x14ac:dyDescent="0.15">
      <c r="A53" s="194" t="s">
        <v>243</v>
      </c>
      <c r="B53" s="112">
        <v>0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1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1</v>
      </c>
      <c r="AJ53" s="112">
        <v>0</v>
      </c>
      <c r="AK53" s="112">
        <v>0</v>
      </c>
      <c r="AL53" s="112">
        <v>0</v>
      </c>
      <c r="AM53" s="112">
        <v>1</v>
      </c>
      <c r="AN53" s="112">
        <v>0</v>
      </c>
      <c r="AO53" s="112">
        <v>0</v>
      </c>
      <c r="AP53" s="112">
        <v>0</v>
      </c>
      <c r="AQ53" s="112">
        <v>1</v>
      </c>
      <c r="AR53" s="112">
        <v>1</v>
      </c>
      <c r="AS53" s="112">
        <v>1</v>
      </c>
      <c r="AT53" s="112">
        <v>1</v>
      </c>
      <c r="AU53" s="112">
        <v>1</v>
      </c>
      <c r="AV53" s="112">
        <v>1</v>
      </c>
      <c r="AW53" s="112">
        <v>1</v>
      </c>
      <c r="AX53" s="112">
        <v>1</v>
      </c>
      <c r="AY53" s="112">
        <v>1</v>
      </c>
      <c r="AZ53" s="112">
        <v>0</v>
      </c>
      <c r="BA53" s="112">
        <v>0</v>
      </c>
      <c r="BB53" s="112">
        <v>0</v>
      </c>
      <c r="BC53" s="112">
        <v>0</v>
      </c>
      <c r="BD53" s="112">
        <v>0</v>
      </c>
      <c r="BE53" s="112">
        <v>0</v>
      </c>
    </row>
    <row r="54" spans="1:57" x14ac:dyDescent="0.15">
      <c r="A54" s="194" t="s">
        <v>244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1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1</v>
      </c>
      <c r="Q54" s="112">
        <v>0</v>
      </c>
      <c r="R54" s="112">
        <v>0</v>
      </c>
      <c r="S54" s="112">
        <v>1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1</v>
      </c>
      <c r="AB54" s="112">
        <v>1</v>
      </c>
      <c r="AC54" s="112">
        <v>0</v>
      </c>
      <c r="AD54" s="112">
        <v>0</v>
      </c>
      <c r="AE54" s="112">
        <v>0</v>
      </c>
      <c r="AF54" s="112">
        <v>0</v>
      </c>
      <c r="AG54" s="112">
        <v>1</v>
      </c>
      <c r="AH54" s="112">
        <v>0</v>
      </c>
      <c r="AI54" s="112">
        <v>0</v>
      </c>
      <c r="AJ54" s="112">
        <v>0</v>
      </c>
      <c r="AK54" s="112">
        <v>1</v>
      </c>
      <c r="AL54" s="112">
        <v>0</v>
      </c>
      <c r="AM54" s="112">
        <v>0</v>
      </c>
      <c r="AN54" s="112">
        <v>1</v>
      </c>
      <c r="AO54" s="112">
        <v>1</v>
      </c>
      <c r="AP54" s="112">
        <v>0</v>
      </c>
      <c r="AQ54" s="112">
        <v>1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1</v>
      </c>
      <c r="AX54" s="112">
        <v>0</v>
      </c>
      <c r="AY54" s="112">
        <v>0</v>
      </c>
      <c r="AZ54" s="112">
        <v>0</v>
      </c>
      <c r="BA54" s="112">
        <v>0</v>
      </c>
      <c r="BB54" s="112">
        <v>0</v>
      </c>
      <c r="BC54" s="112">
        <v>0</v>
      </c>
      <c r="BD54" s="112">
        <v>0</v>
      </c>
      <c r="BE54" s="112">
        <v>0</v>
      </c>
    </row>
    <row r="55" spans="1:57" x14ac:dyDescent="0.15">
      <c r="A55" s="194" t="s">
        <v>245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1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1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1</v>
      </c>
      <c r="AL55" s="112">
        <v>0</v>
      </c>
      <c r="AM55" s="112">
        <v>1</v>
      </c>
      <c r="AN55" s="112">
        <v>1</v>
      </c>
      <c r="AO55" s="112">
        <v>1</v>
      </c>
      <c r="AP55" s="112">
        <v>0</v>
      </c>
      <c r="AQ55" s="112">
        <v>1</v>
      </c>
      <c r="AR55" s="112">
        <v>1</v>
      </c>
      <c r="AS55" s="112">
        <v>1</v>
      </c>
      <c r="AT55" s="112">
        <v>0</v>
      </c>
      <c r="AU55" s="112">
        <v>1</v>
      </c>
      <c r="AV55" s="112">
        <v>1</v>
      </c>
      <c r="AW55" s="112">
        <v>1</v>
      </c>
      <c r="AX55" s="112">
        <v>0</v>
      </c>
      <c r="AY55" s="112">
        <v>0</v>
      </c>
      <c r="AZ55" s="112">
        <v>0</v>
      </c>
      <c r="BA55" s="112">
        <v>0</v>
      </c>
      <c r="BB55" s="112">
        <v>0</v>
      </c>
      <c r="BC55" s="112">
        <v>0</v>
      </c>
      <c r="BD55" s="112">
        <v>0</v>
      </c>
      <c r="BE55" s="112">
        <v>0</v>
      </c>
    </row>
    <row r="56" spans="1:57" x14ac:dyDescent="0.15">
      <c r="A56" s="194" t="s">
        <v>246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1</v>
      </c>
      <c r="K56" s="112">
        <v>0</v>
      </c>
      <c r="L56" s="112">
        <v>0</v>
      </c>
      <c r="M56" s="112">
        <v>0</v>
      </c>
      <c r="N56" s="112">
        <v>0</v>
      </c>
      <c r="O56" s="112">
        <v>1</v>
      </c>
      <c r="P56" s="112">
        <v>1</v>
      </c>
      <c r="Q56" s="112">
        <v>0</v>
      </c>
      <c r="R56" s="112">
        <v>0</v>
      </c>
      <c r="S56" s="112">
        <v>0</v>
      </c>
      <c r="T56" s="112">
        <v>0</v>
      </c>
      <c r="U56" s="112">
        <v>1</v>
      </c>
      <c r="V56" s="112">
        <v>0</v>
      </c>
      <c r="W56" s="112">
        <v>0</v>
      </c>
      <c r="X56" s="112">
        <v>0</v>
      </c>
      <c r="Y56" s="112">
        <v>1</v>
      </c>
      <c r="Z56" s="112">
        <v>1</v>
      </c>
      <c r="AA56" s="112">
        <v>1</v>
      </c>
      <c r="AB56" s="112">
        <v>1</v>
      </c>
      <c r="AC56" s="112">
        <v>0</v>
      </c>
      <c r="AD56" s="112">
        <v>0</v>
      </c>
      <c r="AE56" s="112">
        <v>0</v>
      </c>
      <c r="AF56" s="112">
        <v>0</v>
      </c>
      <c r="AG56" s="112">
        <v>1</v>
      </c>
      <c r="AH56" s="112">
        <v>0</v>
      </c>
      <c r="AI56" s="112">
        <v>1</v>
      </c>
      <c r="AJ56" s="112">
        <v>0</v>
      </c>
      <c r="AK56" s="112">
        <v>1</v>
      </c>
      <c r="AL56" s="112">
        <v>0</v>
      </c>
      <c r="AM56" s="112">
        <v>1</v>
      </c>
      <c r="AN56" s="112">
        <v>1</v>
      </c>
      <c r="AO56" s="112">
        <v>1</v>
      </c>
      <c r="AP56" s="112">
        <v>0</v>
      </c>
      <c r="AQ56" s="112">
        <v>1</v>
      </c>
      <c r="AR56" s="112">
        <v>1</v>
      </c>
      <c r="AS56" s="112">
        <v>1</v>
      </c>
      <c r="AT56" s="112">
        <v>1</v>
      </c>
      <c r="AU56" s="112">
        <v>0</v>
      </c>
      <c r="AV56" s="112">
        <v>1</v>
      </c>
      <c r="AW56" s="112">
        <v>1</v>
      </c>
      <c r="AX56" s="112">
        <v>0</v>
      </c>
      <c r="AY56" s="112">
        <v>0</v>
      </c>
      <c r="AZ56" s="112">
        <v>1</v>
      </c>
      <c r="BA56" s="112">
        <v>0</v>
      </c>
      <c r="BB56" s="112">
        <v>0</v>
      </c>
      <c r="BC56" s="112">
        <v>0</v>
      </c>
      <c r="BD56" s="112">
        <v>0</v>
      </c>
      <c r="BE56" s="112">
        <v>0</v>
      </c>
    </row>
    <row r="57" spans="1:57" x14ac:dyDescent="0.15">
      <c r="A57" s="194" t="s">
        <v>247</v>
      </c>
      <c r="B57" s="112">
        <v>0</v>
      </c>
      <c r="C57" s="112">
        <v>0</v>
      </c>
      <c r="D57" s="112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12">
        <v>0</v>
      </c>
      <c r="O57" s="112">
        <v>0</v>
      </c>
      <c r="P57" s="112">
        <v>0</v>
      </c>
      <c r="Q57" s="112">
        <v>0</v>
      </c>
      <c r="R57" s="112">
        <v>0</v>
      </c>
      <c r="S57" s="112">
        <v>0</v>
      </c>
      <c r="T57" s="112">
        <v>0</v>
      </c>
      <c r="U57" s="112">
        <v>0</v>
      </c>
      <c r="V57" s="112">
        <v>0</v>
      </c>
      <c r="W57" s="112">
        <v>0</v>
      </c>
      <c r="X57" s="112">
        <v>0</v>
      </c>
      <c r="Y57" s="112">
        <v>0</v>
      </c>
      <c r="Z57" s="112">
        <v>0</v>
      </c>
      <c r="AA57" s="112">
        <v>0</v>
      </c>
      <c r="AB57" s="112">
        <v>0</v>
      </c>
      <c r="AC57" s="112">
        <v>0</v>
      </c>
      <c r="AD57" s="112">
        <v>0</v>
      </c>
      <c r="AE57" s="112">
        <v>0</v>
      </c>
      <c r="AF57" s="112">
        <v>0</v>
      </c>
      <c r="AG57" s="112">
        <v>0</v>
      </c>
      <c r="AH57" s="112">
        <v>0</v>
      </c>
      <c r="AI57" s="112">
        <v>0</v>
      </c>
      <c r="AJ57" s="112">
        <v>0</v>
      </c>
      <c r="AK57" s="112">
        <v>0</v>
      </c>
      <c r="AL57" s="112">
        <v>0</v>
      </c>
      <c r="AM57" s="112">
        <v>0</v>
      </c>
      <c r="AN57" s="112">
        <v>0</v>
      </c>
      <c r="AO57" s="112">
        <v>0</v>
      </c>
      <c r="AP57" s="112">
        <v>0</v>
      </c>
      <c r="AQ57" s="112">
        <v>0</v>
      </c>
      <c r="AR57" s="112">
        <v>0</v>
      </c>
      <c r="AS57" s="112">
        <v>0</v>
      </c>
      <c r="AT57" s="112">
        <v>0</v>
      </c>
      <c r="AU57" s="112">
        <v>0</v>
      </c>
      <c r="AV57" s="112">
        <v>0</v>
      </c>
      <c r="AW57" s="112">
        <v>0</v>
      </c>
      <c r="AX57" s="112">
        <v>0</v>
      </c>
      <c r="AY57" s="112">
        <v>0</v>
      </c>
      <c r="AZ57" s="112">
        <v>0</v>
      </c>
      <c r="BA57" s="112">
        <v>0</v>
      </c>
      <c r="BB57" s="112">
        <v>0</v>
      </c>
      <c r="BC57" s="112">
        <v>0</v>
      </c>
      <c r="BD57" s="112">
        <v>0</v>
      </c>
      <c r="BE57" s="112">
        <v>0</v>
      </c>
    </row>
    <row r="58" spans="1:57" x14ac:dyDescent="0.15">
      <c r="A58" s="194" t="s">
        <v>249</v>
      </c>
      <c r="B58" s="112">
        <v>0</v>
      </c>
      <c r="C58" s="112">
        <v>0</v>
      </c>
      <c r="D58" s="112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12">
        <v>0</v>
      </c>
      <c r="O58" s="112">
        <v>0</v>
      </c>
      <c r="P58" s="112">
        <v>0</v>
      </c>
      <c r="Q58" s="112">
        <v>0</v>
      </c>
      <c r="R58" s="112">
        <v>0</v>
      </c>
      <c r="S58" s="112">
        <v>0</v>
      </c>
      <c r="T58" s="112">
        <v>0</v>
      </c>
      <c r="U58" s="112">
        <v>0</v>
      </c>
      <c r="V58" s="112">
        <v>0</v>
      </c>
      <c r="W58" s="112">
        <v>0</v>
      </c>
      <c r="X58" s="112">
        <v>0</v>
      </c>
      <c r="Y58" s="112">
        <v>0</v>
      </c>
      <c r="Z58" s="112">
        <v>0</v>
      </c>
      <c r="AA58" s="112">
        <v>0</v>
      </c>
      <c r="AB58" s="112">
        <v>0</v>
      </c>
      <c r="AC58" s="112">
        <v>0</v>
      </c>
      <c r="AD58" s="112">
        <v>0</v>
      </c>
      <c r="AE58" s="112">
        <v>0</v>
      </c>
      <c r="AF58" s="112">
        <v>0</v>
      </c>
      <c r="AG58" s="112">
        <v>0</v>
      </c>
      <c r="AH58" s="112">
        <v>0</v>
      </c>
      <c r="AI58" s="112">
        <v>0</v>
      </c>
      <c r="AJ58" s="112">
        <v>0</v>
      </c>
      <c r="AK58" s="112">
        <v>0</v>
      </c>
      <c r="AL58" s="112">
        <v>0</v>
      </c>
      <c r="AM58" s="112">
        <v>0</v>
      </c>
      <c r="AN58" s="112">
        <v>0</v>
      </c>
      <c r="AO58" s="112">
        <v>0</v>
      </c>
      <c r="AP58" s="112">
        <v>0</v>
      </c>
      <c r="AQ58" s="112">
        <v>0</v>
      </c>
      <c r="AR58" s="112">
        <v>0</v>
      </c>
      <c r="AS58" s="112">
        <v>0</v>
      </c>
      <c r="AT58" s="112">
        <v>0</v>
      </c>
      <c r="AU58" s="112">
        <v>0</v>
      </c>
      <c r="AV58" s="112">
        <v>0</v>
      </c>
      <c r="AW58" s="112">
        <v>0</v>
      </c>
      <c r="AX58" s="112">
        <v>0</v>
      </c>
      <c r="AY58" s="112">
        <v>0</v>
      </c>
      <c r="AZ58" s="112">
        <v>0</v>
      </c>
      <c r="BA58" s="112">
        <v>0</v>
      </c>
      <c r="BB58" s="112">
        <v>0</v>
      </c>
      <c r="BC58" s="112">
        <v>0</v>
      </c>
      <c r="BD58" s="112">
        <v>1</v>
      </c>
      <c r="BE58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7" t="s">
        <v>248</v>
      </c>
    </row>
    <row r="2" spans="1:3" x14ac:dyDescent="0.15">
      <c r="A2">
        <v>1</v>
      </c>
      <c r="B2" s="196" t="s">
        <v>192</v>
      </c>
      <c r="C2">
        <v>0</v>
      </c>
    </row>
    <row r="3" spans="1:3" x14ac:dyDescent="0.15">
      <c r="A3">
        <v>2</v>
      </c>
      <c r="B3" s="196" t="s">
        <v>193</v>
      </c>
      <c r="C3">
        <v>0</v>
      </c>
    </row>
    <row r="4" spans="1:3" x14ac:dyDescent="0.15">
      <c r="A4">
        <v>3</v>
      </c>
      <c r="B4" s="196" t="s">
        <v>194</v>
      </c>
      <c r="C4">
        <v>0</v>
      </c>
    </row>
    <row r="5" spans="1:3" x14ac:dyDescent="0.15">
      <c r="A5">
        <v>4</v>
      </c>
      <c r="B5" s="196" t="s">
        <v>195</v>
      </c>
      <c r="C5">
        <v>0</v>
      </c>
    </row>
    <row r="6" spans="1:3" x14ac:dyDescent="0.15">
      <c r="A6">
        <v>5</v>
      </c>
      <c r="B6" s="196" t="s">
        <v>196</v>
      </c>
      <c r="C6">
        <v>0.8</v>
      </c>
    </row>
    <row r="7" spans="1:3" x14ac:dyDescent="0.15">
      <c r="A7">
        <v>6</v>
      </c>
      <c r="B7" s="196" t="s">
        <v>197</v>
      </c>
      <c r="C7">
        <v>0.8</v>
      </c>
    </row>
    <row r="8" spans="1:3" x14ac:dyDescent="0.15">
      <c r="A8">
        <v>7</v>
      </c>
      <c r="B8" s="196" t="s">
        <v>198</v>
      </c>
      <c r="C8">
        <v>0.8</v>
      </c>
    </row>
    <row r="9" spans="1:3" x14ac:dyDescent="0.15">
      <c r="A9">
        <v>8</v>
      </c>
      <c r="B9" s="196" t="s">
        <v>199</v>
      </c>
      <c r="C9">
        <v>0.8</v>
      </c>
    </row>
    <row r="10" spans="1:3" x14ac:dyDescent="0.15">
      <c r="A10">
        <v>9</v>
      </c>
      <c r="B10" s="196" t="s">
        <v>200</v>
      </c>
      <c r="C10">
        <v>0</v>
      </c>
    </row>
    <row r="11" spans="1:3" x14ac:dyDescent="0.15">
      <c r="A11">
        <v>10</v>
      </c>
      <c r="B11" s="196" t="s">
        <v>201</v>
      </c>
      <c r="C11">
        <v>0.8</v>
      </c>
    </row>
    <row r="12" spans="1:3" x14ac:dyDescent="0.15">
      <c r="A12">
        <v>11</v>
      </c>
      <c r="B12" s="196" t="s">
        <v>202</v>
      </c>
      <c r="C12">
        <v>0</v>
      </c>
    </row>
    <row r="13" spans="1:3" x14ac:dyDescent="0.15">
      <c r="A13">
        <v>12</v>
      </c>
      <c r="B13" s="196" t="s">
        <v>203</v>
      </c>
      <c r="C13">
        <v>0.8</v>
      </c>
    </row>
    <row r="14" spans="1:3" x14ac:dyDescent="0.15">
      <c r="A14">
        <v>13</v>
      </c>
      <c r="B14" s="196" t="s">
        <v>204</v>
      </c>
      <c r="C14">
        <v>0.8</v>
      </c>
    </row>
    <row r="15" spans="1:3" x14ac:dyDescent="0.15">
      <c r="A15">
        <v>14</v>
      </c>
      <c r="B15" s="196" t="s">
        <v>205</v>
      </c>
      <c r="C15">
        <v>0.8</v>
      </c>
    </row>
    <row r="16" spans="1:3" x14ac:dyDescent="0.15">
      <c r="A16">
        <v>15</v>
      </c>
      <c r="B16" s="196" t="s">
        <v>206</v>
      </c>
      <c r="C16">
        <v>0.8</v>
      </c>
    </row>
    <row r="17" spans="1:3" x14ac:dyDescent="0.15">
      <c r="A17">
        <v>16</v>
      </c>
      <c r="B17" s="196" t="s">
        <v>207</v>
      </c>
      <c r="C17">
        <v>0.8</v>
      </c>
    </row>
    <row r="18" spans="1:3" x14ac:dyDescent="0.15">
      <c r="A18">
        <v>17</v>
      </c>
      <c r="B18" s="196" t="s">
        <v>208</v>
      </c>
      <c r="C18">
        <v>0.8</v>
      </c>
    </row>
    <row r="19" spans="1:3" x14ac:dyDescent="0.15">
      <c r="A19">
        <v>18</v>
      </c>
      <c r="B19" s="196" t="s">
        <v>209</v>
      </c>
      <c r="C19">
        <v>0.8</v>
      </c>
    </row>
    <row r="20" spans="1:3" x14ac:dyDescent="0.15">
      <c r="A20">
        <v>19</v>
      </c>
      <c r="B20" s="196" t="s">
        <v>210</v>
      </c>
      <c r="C20">
        <v>0.8</v>
      </c>
    </row>
    <row r="21" spans="1:3" x14ac:dyDescent="0.15">
      <c r="A21">
        <v>20</v>
      </c>
      <c r="B21" s="196" t="s">
        <v>211</v>
      </c>
      <c r="C21">
        <v>0.8</v>
      </c>
    </row>
    <row r="22" spans="1:3" x14ac:dyDescent="0.15">
      <c r="A22">
        <v>21</v>
      </c>
      <c r="B22" s="196" t="s">
        <v>212</v>
      </c>
      <c r="C22">
        <v>0.8</v>
      </c>
    </row>
    <row r="23" spans="1:3" x14ac:dyDescent="0.15">
      <c r="A23">
        <v>22</v>
      </c>
      <c r="B23" s="196" t="s">
        <v>213</v>
      </c>
      <c r="C23">
        <v>0.8</v>
      </c>
    </row>
    <row r="24" spans="1:3" x14ac:dyDescent="0.15">
      <c r="A24">
        <v>23</v>
      </c>
      <c r="B24" s="196" t="s">
        <v>214</v>
      </c>
      <c r="C24">
        <v>0</v>
      </c>
    </row>
    <row r="25" spans="1:3" x14ac:dyDescent="0.15">
      <c r="A25">
        <v>24</v>
      </c>
      <c r="B25" s="196" t="s">
        <v>215</v>
      </c>
      <c r="C25">
        <v>0.8</v>
      </c>
    </row>
    <row r="26" spans="1:3" x14ac:dyDescent="0.15">
      <c r="A26">
        <v>25</v>
      </c>
      <c r="B26" s="196" t="s">
        <v>216</v>
      </c>
      <c r="C26">
        <v>0.8</v>
      </c>
    </row>
    <row r="27" spans="1:3" x14ac:dyDescent="0.15">
      <c r="A27">
        <v>26</v>
      </c>
      <c r="B27" s="196" t="s">
        <v>217</v>
      </c>
      <c r="C27">
        <v>0.8</v>
      </c>
    </row>
    <row r="28" spans="1:3" x14ac:dyDescent="0.15">
      <c r="A28">
        <v>27</v>
      </c>
      <c r="B28" s="196" t="s">
        <v>218</v>
      </c>
      <c r="C28">
        <v>0.8</v>
      </c>
    </row>
    <row r="29" spans="1:3" x14ac:dyDescent="0.15">
      <c r="A29">
        <v>28</v>
      </c>
      <c r="B29" s="196" t="s">
        <v>219</v>
      </c>
      <c r="C29">
        <v>0.8</v>
      </c>
    </row>
    <row r="30" spans="1:3" x14ac:dyDescent="0.15">
      <c r="A30">
        <v>29</v>
      </c>
      <c r="B30" s="196" t="s">
        <v>220</v>
      </c>
      <c r="C30">
        <v>0.8</v>
      </c>
    </row>
    <row r="31" spans="1:3" x14ac:dyDescent="0.15">
      <c r="A31">
        <v>30</v>
      </c>
      <c r="B31" s="196" t="s">
        <v>221</v>
      </c>
      <c r="C31">
        <v>0.8</v>
      </c>
    </row>
    <row r="32" spans="1:3" x14ac:dyDescent="0.15">
      <c r="A32">
        <v>31</v>
      </c>
      <c r="B32" s="196" t="s">
        <v>222</v>
      </c>
      <c r="C32">
        <v>0.8</v>
      </c>
    </row>
    <row r="33" spans="1:3" x14ac:dyDescent="0.15">
      <c r="A33">
        <v>32</v>
      </c>
      <c r="B33" s="196" t="s">
        <v>223</v>
      </c>
      <c r="C33">
        <v>0.8</v>
      </c>
    </row>
    <row r="34" spans="1:3" x14ac:dyDescent="0.15">
      <c r="A34">
        <v>33</v>
      </c>
      <c r="B34" s="196" t="s">
        <v>224</v>
      </c>
      <c r="C34">
        <v>0</v>
      </c>
    </row>
    <row r="35" spans="1:3" x14ac:dyDescent="0.15">
      <c r="A35">
        <v>34</v>
      </c>
      <c r="B35" s="196" t="s">
        <v>225</v>
      </c>
      <c r="C35">
        <v>0.8</v>
      </c>
    </row>
    <row r="36" spans="1:3" x14ac:dyDescent="0.15">
      <c r="A36">
        <v>35</v>
      </c>
      <c r="B36" s="196" t="s">
        <v>226</v>
      </c>
      <c r="C36">
        <v>0</v>
      </c>
    </row>
    <row r="37" spans="1:3" x14ac:dyDescent="0.15">
      <c r="A37">
        <v>36</v>
      </c>
      <c r="B37" s="196" t="s">
        <v>227</v>
      </c>
      <c r="C37">
        <v>0.8</v>
      </c>
    </row>
    <row r="38" spans="1:3" x14ac:dyDescent="0.15">
      <c r="A38">
        <v>37</v>
      </c>
      <c r="B38" s="196" t="s">
        <v>228</v>
      </c>
      <c r="C38">
        <v>0.8</v>
      </c>
    </row>
    <row r="39" spans="1:3" x14ac:dyDescent="0.15">
      <c r="A39">
        <v>38</v>
      </c>
      <c r="B39" s="196" t="s">
        <v>229</v>
      </c>
      <c r="C39">
        <v>0.8</v>
      </c>
    </row>
    <row r="40" spans="1:3" x14ac:dyDescent="0.15">
      <c r="A40">
        <v>39</v>
      </c>
      <c r="B40" s="196" t="s">
        <v>230</v>
      </c>
      <c r="C40">
        <v>0.8</v>
      </c>
    </row>
    <row r="41" spans="1:3" x14ac:dyDescent="0.15">
      <c r="A41">
        <v>40</v>
      </c>
      <c r="B41" s="196" t="s">
        <v>231</v>
      </c>
      <c r="C41">
        <v>0.8</v>
      </c>
    </row>
    <row r="42" spans="1:3" x14ac:dyDescent="0.15">
      <c r="A42">
        <v>41</v>
      </c>
      <c r="B42" s="196" t="s">
        <v>232</v>
      </c>
      <c r="C42">
        <v>0.8</v>
      </c>
    </row>
    <row r="43" spans="1:3" x14ac:dyDescent="0.15">
      <c r="A43">
        <v>42</v>
      </c>
      <c r="B43" s="196" t="s">
        <v>233</v>
      </c>
      <c r="C43">
        <v>0.8</v>
      </c>
    </row>
    <row r="44" spans="1:3" x14ac:dyDescent="0.15">
      <c r="A44">
        <v>43</v>
      </c>
      <c r="B44" s="196" t="s">
        <v>234</v>
      </c>
      <c r="C44">
        <v>0.8</v>
      </c>
    </row>
    <row r="45" spans="1:3" x14ac:dyDescent="0.15">
      <c r="A45">
        <v>44</v>
      </c>
      <c r="B45" s="196" t="s">
        <v>235</v>
      </c>
      <c r="C45">
        <v>0.8</v>
      </c>
    </row>
    <row r="46" spans="1:3" x14ac:dyDescent="0.15">
      <c r="A46">
        <v>45</v>
      </c>
      <c r="B46" s="196" t="s">
        <v>236</v>
      </c>
      <c r="C46">
        <v>0</v>
      </c>
    </row>
    <row r="47" spans="1:3" x14ac:dyDescent="0.15">
      <c r="A47">
        <v>46</v>
      </c>
      <c r="B47" s="196" t="s">
        <v>237</v>
      </c>
      <c r="C47">
        <v>0</v>
      </c>
    </row>
    <row r="48" spans="1:3" x14ac:dyDescent="0.15">
      <c r="A48">
        <v>47</v>
      </c>
      <c r="B48" s="196" t="s">
        <v>238</v>
      </c>
      <c r="C48">
        <v>0.8</v>
      </c>
    </row>
    <row r="49" spans="1:3" x14ac:dyDescent="0.15">
      <c r="A49">
        <v>48</v>
      </c>
      <c r="B49" s="196" t="s">
        <v>239</v>
      </c>
      <c r="C49">
        <v>0</v>
      </c>
    </row>
    <row r="50" spans="1:3" x14ac:dyDescent="0.15">
      <c r="A50">
        <v>49</v>
      </c>
      <c r="B50" s="196" t="s">
        <v>240</v>
      </c>
      <c r="C50">
        <v>0</v>
      </c>
    </row>
    <row r="51" spans="1:3" x14ac:dyDescent="0.15">
      <c r="A51">
        <v>50</v>
      </c>
      <c r="B51" s="196" t="s">
        <v>241</v>
      </c>
      <c r="C51">
        <v>0</v>
      </c>
    </row>
    <row r="52" spans="1:3" x14ac:dyDescent="0.15">
      <c r="A52">
        <v>51</v>
      </c>
      <c r="B52" s="196" t="s">
        <v>242</v>
      </c>
      <c r="C52">
        <v>0</v>
      </c>
    </row>
    <row r="53" spans="1:3" x14ac:dyDescent="0.15">
      <c r="A53">
        <v>52</v>
      </c>
      <c r="B53" s="196" t="s">
        <v>243</v>
      </c>
      <c r="C53">
        <v>0</v>
      </c>
    </row>
    <row r="54" spans="1:3" x14ac:dyDescent="0.15">
      <c r="A54">
        <v>53</v>
      </c>
      <c r="B54" s="196" t="s">
        <v>244</v>
      </c>
      <c r="C54">
        <v>0</v>
      </c>
    </row>
    <row r="55" spans="1:3" x14ac:dyDescent="0.15">
      <c r="A55">
        <v>54</v>
      </c>
      <c r="B55" s="196" t="s">
        <v>245</v>
      </c>
      <c r="C55">
        <v>0</v>
      </c>
    </row>
    <row r="56" spans="1:3" x14ac:dyDescent="0.15">
      <c r="A56">
        <v>55</v>
      </c>
      <c r="B56" s="196" t="s">
        <v>246</v>
      </c>
      <c r="C56">
        <v>0</v>
      </c>
    </row>
    <row r="57" spans="1:3" x14ac:dyDescent="0.15">
      <c r="A57">
        <v>56</v>
      </c>
      <c r="B57" s="196" t="s">
        <v>247</v>
      </c>
      <c r="C5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5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9" t="s">
        <v>248</v>
      </c>
    </row>
    <row r="2" spans="1:3" x14ac:dyDescent="0.15">
      <c r="A2">
        <v>1</v>
      </c>
      <c r="B2" s="198" t="s">
        <v>192</v>
      </c>
      <c r="C2">
        <v>0</v>
      </c>
    </row>
    <row r="3" spans="1:3" x14ac:dyDescent="0.15">
      <c r="A3">
        <v>2</v>
      </c>
      <c r="B3" s="198" t="s">
        <v>193</v>
      </c>
      <c r="C3">
        <v>0</v>
      </c>
    </row>
    <row r="4" spans="1:3" x14ac:dyDescent="0.15">
      <c r="A4">
        <v>3</v>
      </c>
      <c r="B4" s="198" t="s">
        <v>194</v>
      </c>
      <c r="C4">
        <v>0</v>
      </c>
    </row>
    <row r="5" spans="1:3" x14ac:dyDescent="0.15">
      <c r="A5">
        <v>4</v>
      </c>
      <c r="B5" s="198" t="s">
        <v>195</v>
      </c>
      <c r="C5">
        <v>0</v>
      </c>
    </row>
    <row r="6" spans="1:3" x14ac:dyDescent="0.15">
      <c r="A6">
        <v>5</v>
      </c>
      <c r="B6" s="198" t="s">
        <v>196</v>
      </c>
      <c r="C6">
        <v>0.8</v>
      </c>
    </row>
    <row r="7" spans="1:3" x14ac:dyDescent="0.15">
      <c r="A7">
        <v>6</v>
      </c>
      <c r="B7" s="198" t="s">
        <v>197</v>
      </c>
      <c r="C7">
        <v>0.8</v>
      </c>
    </row>
    <row r="8" spans="1:3" x14ac:dyDescent="0.15">
      <c r="A8">
        <v>7</v>
      </c>
      <c r="B8" s="198" t="s">
        <v>198</v>
      </c>
      <c r="C8">
        <v>0.8</v>
      </c>
    </row>
    <row r="9" spans="1:3" x14ac:dyDescent="0.15">
      <c r="A9">
        <v>8</v>
      </c>
      <c r="B9" s="198" t="s">
        <v>199</v>
      </c>
      <c r="C9">
        <v>0.8</v>
      </c>
    </row>
    <row r="10" spans="1:3" x14ac:dyDescent="0.15">
      <c r="A10">
        <v>9</v>
      </c>
      <c r="B10" s="198" t="s">
        <v>200</v>
      </c>
      <c r="C10">
        <v>0</v>
      </c>
    </row>
    <row r="11" spans="1:3" x14ac:dyDescent="0.15">
      <c r="A11">
        <v>10</v>
      </c>
      <c r="B11" s="198" t="s">
        <v>201</v>
      </c>
      <c r="C11">
        <v>0.8</v>
      </c>
    </row>
    <row r="12" spans="1:3" x14ac:dyDescent="0.15">
      <c r="A12">
        <v>11</v>
      </c>
      <c r="B12" s="198" t="s">
        <v>202</v>
      </c>
      <c r="C12">
        <v>0</v>
      </c>
    </row>
    <row r="13" spans="1:3" x14ac:dyDescent="0.15">
      <c r="A13">
        <v>12</v>
      </c>
      <c r="B13" s="198" t="s">
        <v>203</v>
      </c>
      <c r="C13">
        <v>0.8</v>
      </c>
    </row>
    <row r="14" spans="1:3" x14ac:dyDescent="0.15">
      <c r="A14">
        <v>13</v>
      </c>
      <c r="B14" s="198" t="s">
        <v>204</v>
      </c>
      <c r="C14">
        <v>0.8</v>
      </c>
    </row>
    <row r="15" spans="1:3" x14ac:dyDescent="0.15">
      <c r="A15">
        <v>14</v>
      </c>
      <c r="B15" s="198" t="s">
        <v>205</v>
      </c>
      <c r="C15">
        <v>0.8</v>
      </c>
    </row>
    <row r="16" spans="1:3" x14ac:dyDescent="0.15">
      <c r="A16">
        <v>15</v>
      </c>
      <c r="B16" s="198" t="s">
        <v>206</v>
      </c>
      <c r="C16">
        <v>0.8</v>
      </c>
    </row>
    <row r="17" spans="1:3" x14ac:dyDescent="0.15">
      <c r="A17">
        <v>16</v>
      </c>
      <c r="B17" s="198" t="s">
        <v>207</v>
      </c>
      <c r="C17">
        <v>0.8</v>
      </c>
    </row>
    <row r="18" spans="1:3" x14ac:dyDescent="0.15">
      <c r="A18">
        <v>17</v>
      </c>
      <c r="B18" s="198" t="s">
        <v>208</v>
      </c>
      <c r="C18">
        <v>0.8</v>
      </c>
    </row>
    <row r="19" spans="1:3" x14ac:dyDescent="0.15">
      <c r="A19">
        <v>18</v>
      </c>
      <c r="B19" s="198" t="s">
        <v>209</v>
      </c>
      <c r="C19">
        <v>0.8</v>
      </c>
    </row>
    <row r="20" spans="1:3" x14ac:dyDescent="0.15">
      <c r="A20">
        <v>19</v>
      </c>
      <c r="B20" s="198" t="s">
        <v>210</v>
      </c>
      <c r="C20">
        <v>0.8</v>
      </c>
    </row>
    <row r="21" spans="1:3" x14ac:dyDescent="0.15">
      <c r="A21">
        <v>20</v>
      </c>
      <c r="B21" s="198" t="s">
        <v>211</v>
      </c>
      <c r="C21">
        <v>0.8</v>
      </c>
    </row>
    <row r="22" spans="1:3" x14ac:dyDescent="0.15">
      <c r="A22">
        <v>21</v>
      </c>
      <c r="B22" s="198" t="s">
        <v>212</v>
      </c>
      <c r="C22">
        <v>0.8</v>
      </c>
    </row>
    <row r="23" spans="1:3" x14ac:dyDescent="0.15">
      <c r="A23">
        <v>22</v>
      </c>
      <c r="B23" s="198" t="s">
        <v>213</v>
      </c>
      <c r="C23">
        <v>0.8</v>
      </c>
    </row>
    <row r="24" spans="1:3" x14ac:dyDescent="0.15">
      <c r="A24">
        <v>23</v>
      </c>
      <c r="B24" s="198" t="s">
        <v>214</v>
      </c>
      <c r="C24">
        <v>0</v>
      </c>
    </row>
    <row r="25" spans="1:3" x14ac:dyDescent="0.15">
      <c r="A25">
        <v>24</v>
      </c>
      <c r="B25" s="198" t="s">
        <v>215</v>
      </c>
      <c r="C25">
        <v>0.8</v>
      </c>
    </row>
    <row r="26" spans="1:3" x14ac:dyDescent="0.15">
      <c r="A26">
        <v>25</v>
      </c>
      <c r="B26" s="198" t="s">
        <v>216</v>
      </c>
      <c r="C26">
        <v>0.8</v>
      </c>
    </row>
    <row r="27" spans="1:3" x14ac:dyDescent="0.15">
      <c r="A27">
        <v>26</v>
      </c>
      <c r="B27" s="198" t="s">
        <v>217</v>
      </c>
      <c r="C27">
        <v>0.8</v>
      </c>
    </row>
    <row r="28" spans="1:3" x14ac:dyDescent="0.15">
      <c r="A28">
        <v>27</v>
      </c>
      <c r="B28" s="198" t="s">
        <v>218</v>
      </c>
      <c r="C28">
        <v>0.8</v>
      </c>
    </row>
    <row r="29" spans="1:3" x14ac:dyDescent="0.15">
      <c r="A29">
        <v>28</v>
      </c>
      <c r="B29" s="198" t="s">
        <v>219</v>
      </c>
      <c r="C29">
        <v>0.8</v>
      </c>
    </row>
    <row r="30" spans="1:3" x14ac:dyDescent="0.15">
      <c r="A30">
        <v>29</v>
      </c>
      <c r="B30" s="198" t="s">
        <v>220</v>
      </c>
      <c r="C30">
        <v>0.8</v>
      </c>
    </row>
    <row r="31" spans="1:3" x14ac:dyDescent="0.15">
      <c r="A31">
        <v>30</v>
      </c>
      <c r="B31" s="198" t="s">
        <v>221</v>
      </c>
      <c r="C31">
        <v>0.8</v>
      </c>
    </row>
    <row r="32" spans="1:3" x14ac:dyDescent="0.15">
      <c r="A32">
        <v>31</v>
      </c>
      <c r="B32" s="198" t="s">
        <v>222</v>
      </c>
      <c r="C32">
        <v>0.8</v>
      </c>
    </row>
    <row r="33" spans="1:3" x14ac:dyDescent="0.15">
      <c r="A33">
        <v>32</v>
      </c>
      <c r="B33" s="198" t="s">
        <v>223</v>
      </c>
      <c r="C33">
        <v>0.8</v>
      </c>
    </row>
    <row r="34" spans="1:3" x14ac:dyDescent="0.15">
      <c r="A34">
        <v>33</v>
      </c>
      <c r="B34" s="198" t="s">
        <v>224</v>
      </c>
      <c r="C34">
        <v>0</v>
      </c>
    </row>
    <row r="35" spans="1:3" x14ac:dyDescent="0.15">
      <c r="A35">
        <v>34</v>
      </c>
      <c r="B35" s="198" t="s">
        <v>225</v>
      </c>
      <c r="C35">
        <v>0.8</v>
      </c>
    </row>
    <row r="36" spans="1:3" x14ac:dyDescent="0.15">
      <c r="A36">
        <v>35</v>
      </c>
      <c r="B36" s="198" t="s">
        <v>226</v>
      </c>
      <c r="C36">
        <v>0</v>
      </c>
    </row>
    <row r="37" spans="1:3" x14ac:dyDescent="0.15">
      <c r="A37">
        <v>36</v>
      </c>
      <c r="B37" s="198" t="s">
        <v>227</v>
      </c>
      <c r="C37">
        <v>0.8</v>
      </c>
    </row>
    <row r="38" spans="1:3" x14ac:dyDescent="0.15">
      <c r="A38">
        <v>37</v>
      </c>
      <c r="B38" s="198" t="s">
        <v>228</v>
      </c>
      <c r="C38">
        <v>0.8</v>
      </c>
    </row>
    <row r="39" spans="1:3" x14ac:dyDescent="0.15">
      <c r="A39">
        <v>38</v>
      </c>
      <c r="B39" s="198" t="s">
        <v>229</v>
      </c>
      <c r="C39">
        <v>0.8</v>
      </c>
    </row>
    <row r="40" spans="1:3" x14ac:dyDescent="0.15">
      <c r="A40">
        <v>39</v>
      </c>
      <c r="B40" s="198" t="s">
        <v>230</v>
      </c>
      <c r="C40">
        <v>0.8</v>
      </c>
    </row>
    <row r="41" spans="1:3" x14ac:dyDescent="0.15">
      <c r="A41">
        <v>40</v>
      </c>
      <c r="B41" s="198" t="s">
        <v>231</v>
      </c>
      <c r="C41">
        <v>0.8</v>
      </c>
    </row>
    <row r="42" spans="1:3" x14ac:dyDescent="0.15">
      <c r="A42">
        <v>41</v>
      </c>
      <c r="B42" s="198" t="s">
        <v>232</v>
      </c>
      <c r="C42">
        <v>0.8</v>
      </c>
    </row>
    <row r="43" spans="1:3" x14ac:dyDescent="0.15">
      <c r="A43">
        <v>42</v>
      </c>
      <c r="B43" s="198" t="s">
        <v>233</v>
      </c>
      <c r="C43">
        <v>0.8</v>
      </c>
    </row>
    <row r="44" spans="1:3" x14ac:dyDescent="0.15">
      <c r="A44">
        <v>43</v>
      </c>
      <c r="B44" s="198" t="s">
        <v>234</v>
      </c>
      <c r="C44">
        <v>0.8</v>
      </c>
    </row>
    <row r="45" spans="1:3" x14ac:dyDescent="0.15">
      <c r="A45">
        <v>44</v>
      </c>
      <c r="B45" s="198" t="s">
        <v>235</v>
      </c>
      <c r="C45">
        <v>0.8</v>
      </c>
    </row>
    <row r="46" spans="1:3" x14ac:dyDescent="0.15">
      <c r="A46">
        <v>45</v>
      </c>
      <c r="B46" s="198" t="s">
        <v>236</v>
      </c>
      <c r="C46">
        <v>0</v>
      </c>
    </row>
    <row r="47" spans="1:3" x14ac:dyDescent="0.15">
      <c r="A47">
        <v>46</v>
      </c>
      <c r="B47" s="198" t="s">
        <v>237</v>
      </c>
      <c r="C47">
        <v>0</v>
      </c>
    </row>
    <row r="48" spans="1:3" x14ac:dyDescent="0.15">
      <c r="A48">
        <v>47</v>
      </c>
      <c r="B48" s="198" t="s">
        <v>238</v>
      </c>
      <c r="C48">
        <v>0.8</v>
      </c>
    </row>
    <row r="49" spans="1:3" x14ac:dyDescent="0.15">
      <c r="A49">
        <v>48</v>
      </c>
      <c r="B49" s="198" t="s">
        <v>239</v>
      </c>
      <c r="C49">
        <v>0</v>
      </c>
    </row>
    <row r="50" spans="1:3" x14ac:dyDescent="0.15">
      <c r="A50">
        <v>49</v>
      </c>
      <c r="B50" s="198" t="s">
        <v>240</v>
      </c>
      <c r="C50">
        <v>0</v>
      </c>
    </row>
    <row r="51" spans="1:3" x14ac:dyDescent="0.15">
      <c r="A51">
        <v>50</v>
      </c>
      <c r="B51" s="198" t="s">
        <v>241</v>
      </c>
      <c r="C51">
        <v>0</v>
      </c>
    </row>
    <row r="52" spans="1:3" x14ac:dyDescent="0.15">
      <c r="A52">
        <v>51</v>
      </c>
      <c r="B52" s="198" t="s">
        <v>242</v>
      </c>
      <c r="C52">
        <v>0</v>
      </c>
    </row>
    <row r="53" spans="1:3" x14ac:dyDescent="0.15">
      <c r="A53">
        <v>52</v>
      </c>
      <c r="B53" s="198" t="s">
        <v>243</v>
      </c>
      <c r="C53">
        <v>0</v>
      </c>
    </row>
    <row r="54" spans="1:3" x14ac:dyDescent="0.15">
      <c r="A54">
        <v>53</v>
      </c>
      <c r="B54" s="198" t="s">
        <v>244</v>
      </c>
      <c r="C54">
        <v>0</v>
      </c>
    </row>
    <row r="55" spans="1:3" x14ac:dyDescent="0.15">
      <c r="A55">
        <v>54</v>
      </c>
      <c r="B55" s="198" t="s">
        <v>245</v>
      </c>
      <c r="C55">
        <v>0</v>
      </c>
    </row>
    <row r="56" spans="1:3" x14ac:dyDescent="0.15">
      <c r="A56">
        <v>55</v>
      </c>
      <c r="B56" s="198" t="s">
        <v>246</v>
      </c>
      <c r="C56">
        <v>0</v>
      </c>
    </row>
    <row r="57" spans="1:3" x14ac:dyDescent="0.15">
      <c r="A57">
        <v>56</v>
      </c>
      <c r="B57" s="198" t="s">
        <v>247</v>
      </c>
      <c r="C5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5" sqref="L5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51">
        <v>1</v>
      </c>
      <c r="B2" s="151" t="s">
        <v>192</v>
      </c>
      <c r="C2" s="8">
        <v>4.2679824829101562</v>
      </c>
      <c r="D2" s="9">
        <v>2.8000000864267349E-2</v>
      </c>
      <c r="E2" s="9">
        <v>0.10000000149011612</v>
      </c>
      <c r="F2" s="9">
        <v>76.182998657226562</v>
      </c>
      <c r="G2" s="7">
        <v>0</v>
      </c>
      <c r="H2" s="9">
        <v>1.3126288540661335E-3</v>
      </c>
      <c r="I2">
        <v>0</v>
      </c>
      <c r="J2"/>
    </row>
    <row r="3" spans="1:10" ht="15" customHeight="1" x14ac:dyDescent="0.15">
      <c r="A3" s="152">
        <v>2</v>
      </c>
      <c r="B3" s="152" t="s">
        <v>193</v>
      </c>
      <c r="C3" s="8">
        <v>4.4143104553222656</v>
      </c>
      <c r="D3" s="9">
        <v>7.8699998557567596E-2</v>
      </c>
      <c r="E3" s="9">
        <v>0.10000000149011612</v>
      </c>
      <c r="F3" s="9">
        <v>27</v>
      </c>
      <c r="G3" s="7">
        <v>0</v>
      </c>
      <c r="H3" s="9">
        <v>3.7037038709968328E-3</v>
      </c>
      <c r="I3">
        <v>0</v>
      </c>
      <c r="J3"/>
    </row>
    <row r="4" spans="1:10" ht="15" customHeight="1" x14ac:dyDescent="0.15">
      <c r="A4" s="153">
        <v>3</v>
      </c>
      <c r="B4" s="153" t="s">
        <v>194</v>
      </c>
      <c r="C4" s="8">
        <v>4.1938691139221191</v>
      </c>
      <c r="D4" s="9">
        <v>0.19499999284744263</v>
      </c>
      <c r="E4" s="9">
        <v>5.000000074505806E-2</v>
      </c>
      <c r="F4" s="9">
        <v>10.899999618530273</v>
      </c>
      <c r="G4" s="7">
        <v>0</v>
      </c>
      <c r="H4" s="9">
        <v>4.5871562324464321E-3</v>
      </c>
      <c r="I4">
        <v>0</v>
      </c>
      <c r="J4"/>
    </row>
    <row r="5" spans="1:10" ht="15" customHeight="1" x14ac:dyDescent="0.15">
      <c r="A5" s="154">
        <v>4</v>
      </c>
      <c r="B5" s="154" t="s">
        <v>195</v>
      </c>
      <c r="C5" s="8">
        <v>4.3729238510131836</v>
      </c>
      <c r="D5" s="9">
        <v>1.500000013038516E-3</v>
      </c>
      <c r="E5" s="9">
        <v>0.24699999392032623</v>
      </c>
      <c r="F5" s="9">
        <v>3.0999999046325684</v>
      </c>
      <c r="G5" s="7">
        <v>0</v>
      </c>
      <c r="H5" s="9">
        <v>7.9677417874336243E-2</v>
      </c>
      <c r="I5">
        <v>0</v>
      </c>
      <c r="J5"/>
    </row>
    <row r="6" spans="1:10" ht="15" customHeight="1" x14ac:dyDescent="0.15">
      <c r="A6" s="155">
        <v>5</v>
      </c>
      <c r="B6" s="155" t="s">
        <v>196</v>
      </c>
      <c r="C6" s="8">
        <v>4.0201115608215332</v>
      </c>
      <c r="D6" s="9">
        <v>5.4903276264667511E-2</v>
      </c>
      <c r="E6" s="9">
        <v>0.74000000953674316</v>
      </c>
      <c r="F6" s="9">
        <v>3.5999999046325684</v>
      </c>
      <c r="G6" s="9">
        <v>0.85000002384185791</v>
      </c>
      <c r="H6" s="9">
        <v>0.20555555820465088</v>
      </c>
      <c r="I6">
        <v>1.1687837541103363E-2</v>
      </c>
      <c r="J6"/>
    </row>
    <row r="7" spans="1:10" ht="15" customHeight="1" x14ac:dyDescent="0.15">
      <c r="A7" s="156">
        <v>6</v>
      </c>
      <c r="B7" s="156" t="s">
        <v>197</v>
      </c>
      <c r="C7" s="8">
        <v>4.3638668060302734</v>
      </c>
      <c r="D7" s="9">
        <v>0.50433379411697388</v>
      </c>
      <c r="E7" s="9">
        <v>0.34999999403953552</v>
      </c>
      <c r="F7" s="9">
        <v>3.0999999046325684</v>
      </c>
      <c r="G7" s="9">
        <v>0.85000002384185791</v>
      </c>
      <c r="H7" s="9">
        <v>0.11290322989225388</v>
      </c>
      <c r="I7">
        <v>0.14283667504787445</v>
      </c>
      <c r="J7"/>
    </row>
    <row r="8" spans="1:10" ht="15" customHeight="1" x14ac:dyDescent="0.15">
      <c r="A8" s="157">
        <v>7</v>
      </c>
      <c r="B8" s="157" t="s">
        <v>198</v>
      </c>
      <c r="C8" s="8">
        <v>3.3363127708435059</v>
      </c>
      <c r="D8" s="9">
        <v>3.5000000149011612E-2</v>
      </c>
      <c r="E8" s="9">
        <v>0.41999998688697815</v>
      </c>
      <c r="F8" s="9">
        <v>4.0999999046325684</v>
      </c>
      <c r="G8" s="9">
        <v>0.92303401231765747</v>
      </c>
      <c r="H8" s="9">
        <v>0.1024390235543251</v>
      </c>
      <c r="I8">
        <v>1.3568599708378315E-2</v>
      </c>
      <c r="J8"/>
    </row>
    <row r="9" spans="1:10" ht="15" customHeight="1" x14ac:dyDescent="0.15">
      <c r="A9" s="158">
        <v>8</v>
      </c>
      <c r="B9" s="158" t="s">
        <v>199</v>
      </c>
      <c r="C9" s="8">
        <v>3.286590576171875</v>
      </c>
      <c r="D9" s="9">
        <v>1.3238669373095036E-2</v>
      </c>
      <c r="E9" s="9">
        <v>1.3200000524520874</v>
      </c>
      <c r="F9" s="9">
        <v>5.5</v>
      </c>
      <c r="G9" s="9">
        <v>0.94999992847442627</v>
      </c>
      <c r="H9" s="9">
        <v>0.24000000953674316</v>
      </c>
      <c r="I9">
        <v>9.5759396208450198E-4</v>
      </c>
      <c r="J9"/>
    </row>
    <row r="10" spans="1:10" ht="15" customHeight="1" x14ac:dyDescent="0.15">
      <c r="A10" s="159">
        <v>9</v>
      </c>
      <c r="B10" s="159" t="s">
        <v>200</v>
      </c>
      <c r="C10" s="8">
        <v>2.4980194568634033</v>
      </c>
      <c r="D10" s="9">
        <v>4.295261949300766E-2</v>
      </c>
      <c r="E10" s="9">
        <v>1.8200000524520874</v>
      </c>
      <c r="F10" s="9">
        <v>19.299999237060547</v>
      </c>
      <c r="G10" s="9">
        <v>0.94999986886978149</v>
      </c>
      <c r="H10" s="9">
        <v>9.4300523400306702E-2</v>
      </c>
      <c r="I10">
        <v>0</v>
      </c>
      <c r="J10"/>
    </row>
    <row r="11" spans="1:10" ht="15" customHeight="1" x14ac:dyDescent="0.15">
      <c r="A11" s="160">
        <v>10</v>
      </c>
      <c r="B11" s="160" t="s">
        <v>201</v>
      </c>
      <c r="C11" s="8">
        <v>3.4651522636413574</v>
      </c>
      <c r="D11" s="9">
        <v>7.9999998211860657E-2</v>
      </c>
      <c r="E11" s="9">
        <v>2.2000000476837158</v>
      </c>
      <c r="F11" s="9">
        <v>5.5</v>
      </c>
      <c r="G11" s="9">
        <v>0.60809719562530518</v>
      </c>
      <c r="H11" s="9">
        <v>0.40000000596046448</v>
      </c>
      <c r="I11">
        <v>2.8620306402444839E-2</v>
      </c>
      <c r="J11"/>
    </row>
    <row r="12" spans="1:10" ht="15" customHeight="1" x14ac:dyDescent="0.15">
      <c r="A12" s="161">
        <v>11</v>
      </c>
      <c r="B12" s="161" t="s">
        <v>202</v>
      </c>
      <c r="C12" s="8">
        <v>3.4167659282684326</v>
      </c>
      <c r="D12" s="9">
        <v>4.3750768527388573E-3</v>
      </c>
      <c r="E12" s="9">
        <v>0.74000000953674316</v>
      </c>
      <c r="F12" s="9">
        <v>7.1399998664855957</v>
      </c>
      <c r="G12" s="9">
        <v>0.89999991655349731</v>
      </c>
      <c r="H12" s="9">
        <v>0.10364145785570145</v>
      </c>
      <c r="I12">
        <v>0</v>
      </c>
      <c r="J12"/>
    </row>
    <row r="13" spans="1:10" ht="15" customHeight="1" x14ac:dyDescent="0.15">
      <c r="A13" s="162">
        <v>12</v>
      </c>
      <c r="B13" s="162" t="s">
        <v>203</v>
      </c>
      <c r="C13" s="8">
        <v>4.2642712593078613</v>
      </c>
      <c r="D13" s="9">
        <v>0.22200000286102295</v>
      </c>
      <c r="E13" s="9">
        <v>0.12999999523162842</v>
      </c>
      <c r="F13" s="9">
        <v>1.3999999761581421</v>
      </c>
      <c r="G13" s="9">
        <v>0.96416181325912476</v>
      </c>
      <c r="H13" s="9">
        <v>9.2857137322425842E-2</v>
      </c>
      <c r="I13">
        <v>2.782570943236351E-2</v>
      </c>
      <c r="J13"/>
    </row>
    <row r="14" spans="1:10" ht="15" customHeight="1" x14ac:dyDescent="0.15">
      <c r="A14" s="163">
        <v>13</v>
      </c>
      <c r="B14" s="163" t="s">
        <v>204</v>
      </c>
      <c r="C14" s="8">
        <v>4.2575154304504395</v>
      </c>
      <c r="D14" s="9">
        <v>4.3719049543142319E-2</v>
      </c>
      <c r="E14" s="9">
        <v>0.98000001907348633</v>
      </c>
      <c r="F14" s="9">
        <v>3.5</v>
      </c>
      <c r="G14" s="9">
        <v>0.94999998807907104</v>
      </c>
      <c r="H14" s="9">
        <v>0.2800000011920929</v>
      </c>
      <c r="I14">
        <v>1.8842738121747971E-2</v>
      </c>
      <c r="J14"/>
    </row>
    <row r="15" spans="1:10" ht="15" customHeight="1" x14ac:dyDescent="0.15">
      <c r="A15" s="164">
        <v>14</v>
      </c>
      <c r="B15" s="164" t="s">
        <v>205</v>
      </c>
      <c r="C15" s="8">
        <v>4.1563210487365723</v>
      </c>
      <c r="D15" s="9">
        <v>0.58627879619598389</v>
      </c>
      <c r="E15" s="9">
        <v>0.18000000715255737</v>
      </c>
      <c r="F15" s="9">
        <v>4.7699999809265137</v>
      </c>
      <c r="G15" s="9">
        <v>0.94999998807907104</v>
      </c>
      <c r="H15" s="9">
        <v>3.7735849618911743E-2</v>
      </c>
      <c r="I15">
        <v>8.5231423377990723E-2</v>
      </c>
      <c r="J15"/>
    </row>
    <row r="16" spans="1:10" ht="15" customHeight="1" x14ac:dyDescent="0.15">
      <c r="A16" s="165">
        <v>15</v>
      </c>
      <c r="B16" s="165" t="s">
        <v>206</v>
      </c>
      <c r="C16" s="8">
        <v>3.2073791027069092</v>
      </c>
      <c r="D16" s="9">
        <v>4.1757450103759766</v>
      </c>
      <c r="E16" s="9">
        <v>0.5</v>
      </c>
      <c r="F16" s="9">
        <v>1.7999999523162842</v>
      </c>
      <c r="G16" s="9">
        <v>0.94999992847442627</v>
      </c>
      <c r="H16" s="9">
        <v>0.27777779102325439</v>
      </c>
      <c r="I16">
        <v>3.3090740907937288E-4</v>
      </c>
      <c r="J16"/>
    </row>
    <row r="17" spans="1:10" ht="15" customHeight="1" x14ac:dyDescent="0.15">
      <c r="A17" s="166">
        <v>16</v>
      </c>
      <c r="B17" s="166" t="s">
        <v>207</v>
      </c>
      <c r="C17" s="8">
        <v>4.5272383689880371</v>
      </c>
      <c r="D17" s="9">
        <v>1.38773238286376E-2</v>
      </c>
      <c r="E17" s="9">
        <v>0.43999999761581421</v>
      </c>
      <c r="F17" s="9">
        <v>5.2899999618530273</v>
      </c>
      <c r="G17" s="9">
        <v>0.89999997615814209</v>
      </c>
      <c r="H17" s="9">
        <v>8.3175800740718842E-2</v>
      </c>
      <c r="I17">
        <v>5.2017760463058949E-3</v>
      </c>
      <c r="J17"/>
    </row>
    <row r="18" spans="1:10" ht="15" customHeight="1" x14ac:dyDescent="0.15">
      <c r="A18" s="167">
        <v>17</v>
      </c>
      <c r="B18" s="167" t="s">
        <v>208</v>
      </c>
      <c r="C18" s="8">
        <v>4.1874556541442871</v>
      </c>
      <c r="D18" s="9">
        <v>5.0771016627550125E-2</v>
      </c>
      <c r="E18" s="9">
        <v>0.56000000238418579</v>
      </c>
      <c r="F18" s="9">
        <v>9.1999998092651367</v>
      </c>
      <c r="G18" s="9">
        <v>0.94999992847442627</v>
      </c>
      <c r="H18" s="9">
        <v>6.0869567096233368E-2</v>
      </c>
      <c r="I18">
        <v>1.4051249308977276E-5</v>
      </c>
      <c r="J18"/>
    </row>
    <row r="19" spans="1:10" ht="15" customHeight="1" x14ac:dyDescent="0.15">
      <c r="A19" s="168">
        <v>18</v>
      </c>
      <c r="B19" s="168" t="s">
        <v>209</v>
      </c>
      <c r="C19" s="8">
        <v>4.3010363578796387</v>
      </c>
      <c r="D19" s="9">
        <v>0.10400000214576721</v>
      </c>
      <c r="E19" s="9">
        <v>0.43000000715255737</v>
      </c>
      <c r="F19" s="9">
        <v>4.179999828338623</v>
      </c>
      <c r="G19" s="9">
        <v>0.87818241119384766</v>
      </c>
      <c r="H19" s="9">
        <v>0.10287082195281982</v>
      </c>
      <c r="I19">
        <v>3.9491062052547932E-3</v>
      </c>
      <c r="J19"/>
    </row>
    <row r="20" spans="1:10" ht="15" customHeight="1" x14ac:dyDescent="0.15">
      <c r="A20" s="169">
        <v>19</v>
      </c>
      <c r="B20" s="169" t="s">
        <v>210</v>
      </c>
      <c r="C20" s="8">
        <v>4.4706692695617676</v>
      </c>
      <c r="D20" s="9">
        <v>5.9999998658895493E-2</v>
      </c>
      <c r="E20" s="9">
        <v>0.40000000596046448</v>
      </c>
      <c r="F20" s="9">
        <v>4.6020002365112305</v>
      </c>
      <c r="G20" s="9">
        <v>0.99643903970718384</v>
      </c>
      <c r="H20" s="9">
        <v>8.6918726563453674E-2</v>
      </c>
      <c r="I20">
        <v>1.5602517873048782E-2</v>
      </c>
      <c r="J20"/>
    </row>
    <row r="21" spans="1:10" ht="15" customHeight="1" x14ac:dyDescent="0.15">
      <c r="A21" s="170">
        <v>20</v>
      </c>
      <c r="B21" s="170" t="s">
        <v>211</v>
      </c>
      <c r="C21" s="8">
        <v>3.0865099430084229</v>
      </c>
      <c r="D21" s="9">
        <v>1.1815721988677979</v>
      </c>
      <c r="E21" s="9">
        <v>0.4699999988079071</v>
      </c>
      <c r="F21" s="9">
        <v>3.1749999523162842</v>
      </c>
      <c r="G21" s="9">
        <v>0.89999991655349731</v>
      </c>
      <c r="H21" s="9">
        <v>0.14803150296211243</v>
      </c>
      <c r="I21">
        <v>7.9908102750778198E-2</v>
      </c>
      <c r="J21"/>
    </row>
    <row r="22" spans="1:10" ht="15" customHeight="1" x14ac:dyDescent="0.15">
      <c r="A22" s="171">
        <v>21</v>
      </c>
      <c r="B22" s="171" t="s">
        <v>212</v>
      </c>
      <c r="C22" s="8">
        <v>4.5082817077636719</v>
      </c>
      <c r="D22" s="9">
        <v>8.2999996840953827E-2</v>
      </c>
      <c r="E22" s="9">
        <v>0.61000001430511475</v>
      </c>
      <c r="F22" s="9">
        <v>4.5999999046325684</v>
      </c>
      <c r="G22" s="9">
        <v>0.99574148654937744</v>
      </c>
      <c r="H22" s="9">
        <v>0.13260869681835175</v>
      </c>
      <c r="I22">
        <v>2.2476393729448318E-2</v>
      </c>
      <c r="J22"/>
    </row>
    <row r="23" spans="1:10" ht="15" customHeight="1" x14ac:dyDescent="0.15">
      <c r="A23" s="172">
        <v>22</v>
      </c>
      <c r="B23" s="172" t="s">
        <v>213</v>
      </c>
      <c r="C23" s="8">
        <v>3.9054126739501953</v>
      </c>
      <c r="D23" s="9">
        <v>0.55000001192092896</v>
      </c>
      <c r="E23" s="9">
        <v>0.64999997615814209</v>
      </c>
      <c r="F23" s="9">
        <v>2.5799999237060547</v>
      </c>
      <c r="G23" s="9">
        <v>0.98688334226608276</v>
      </c>
      <c r="H23" s="9">
        <v>0.25193798542022705</v>
      </c>
      <c r="I23">
        <v>0.20349524915218353</v>
      </c>
      <c r="J23"/>
    </row>
    <row r="24" spans="1:10" ht="15" customHeight="1" x14ac:dyDescent="0.15">
      <c r="A24" s="173">
        <v>23</v>
      </c>
      <c r="B24" s="173" t="s">
        <v>214</v>
      </c>
      <c r="C24" s="8">
        <v>3.8074822425842285</v>
      </c>
      <c r="D24" s="9">
        <v>0.23499999940395355</v>
      </c>
      <c r="E24" s="9">
        <v>0.25999999046325684</v>
      </c>
      <c r="F24" s="9">
        <v>3</v>
      </c>
      <c r="G24" s="9">
        <v>0.98916226625442505</v>
      </c>
      <c r="H24" s="9">
        <v>8.6666665971279144E-2</v>
      </c>
      <c r="I24">
        <v>0</v>
      </c>
      <c r="J24"/>
    </row>
    <row r="25" spans="1:10" ht="15" customHeight="1" x14ac:dyDescent="0.15">
      <c r="A25" s="174">
        <v>24</v>
      </c>
      <c r="B25" s="174" t="s">
        <v>215</v>
      </c>
      <c r="C25" s="8">
        <v>4.1535305976867676</v>
      </c>
      <c r="D25" s="9">
        <v>7.2999998927116394E-2</v>
      </c>
      <c r="E25" s="9">
        <v>0.40000000596046448</v>
      </c>
      <c r="F25" s="9">
        <v>9.8570003509521484</v>
      </c>
      <c r="G25" s="9">
        <v>0.97205322980880737</v>
      </c>
      <c r="H25" s="9">
        <v>4.0580298751592636E-2</v>
      </c>
      <c r="I25">
        <v>2.4997189175337553E-3</v>
      </c>
      <c r="J25"/>
    </row>
    <row r="26" spans="1:10" ht="15" customHeight="1" x14ac:dyDescent="0.15">
      <c r="A26" s="175">
        <v>25</v>
      </c>
      <c r="B26" s="175" t="s">
        <v>216</v>
      </c>
      <c r="C26" s="8">
        <v>3.3310136795043945</v>
      </c>
      <c r="D26" s="9">
        <v>1</v>
      </c>
      <c r="E26" s="9">
        <v>0.60000002384185791</v>
      </c>
      <c r="F26" s="9">
        <v>4.0999999046325684</v>
      </c>
      <c r="G26" s="9">
        <v>0.86051058769226074</v>
      </c>
      <c r="H26" s="9">
        <v>0.146341472864151</v>
      </c>
      <c r="I26">
        <v>8.8456191122531891E-2</v>
      </c>
      <c r="J26"/>
    </row>
    <row r="27" spans="1:10" ht="15" customHeight="1" x14ac:dyDescent="0.15">
      <c r="A27" s="176">
        <v>26</v>
      </c>
      <c r="B27" s="176" t="s">
        <v>217</v>
      </c>
      <c r="C27" s="8">
        <v>4.0104770660400391</v>
      </c>
      <c r="D27" s="9">
        <v>1.4793691635131836</v>
      </c>
      <c r="E27" s="9">
        <v>0.55000001192092896</v>
      </c>
      <c r="F27" s="9">
        <v>4</v>
      </c>
      <c r="G27" s="9">
        <v>0.98999994993209839</v>
      </c>
      <c r="H27" s="9">
        <v>0.13750000298023224</v>
      </c>
      <c r="I27">
        <v>1.4493870548903942E-3</v>
      </c>
      <c r="J27"/>
    </row>
    <row r="28" spans="1:10" ht="15" customHeight="1" x14ac:dyDescent="0.15">
      <c r="A28" s="177">
        <v>27</v>
      </c>
      <c r="B28" s="177" t="s">
        <v>218</v>
      </c>
      <c r="C28" s="8">
        <v>3.0915553569793701</v>
      </c>
      <c r="D28" s="9">
        <v>6.5153779983520508</v>
      </c>
      <c r="E28" s="9">
        <v>0.76444399356842041</v>
      </c>
      <c r="F28" s="9">
        <v>5.0222220420837402</v>
      </c>
      <c r="G28" s="9">
        <v>0.98999994993209839</v>
      </c>
      <c r="H28" s="9">
        <v>0.15221230685710907</v>
      </c>
      <c r="I28">
        <v>4.3699381058104336E-4</v>
      </c>
      <c r="J28"/>
    </row>
    <row r="29" spans="1:10" ht="15" customHeight="1" x14ac:dyDescent="0.15">
      <c r="A29" s="178">
        <v>28</v>
      </c>
      <c r="B29" s="178" t="s">
        <v>219</v>
      </c>
      <c r="C29" s="8">
        <v>3.3374958038330078</v>
      </c>
      <c r="D29" s="9">
        <v>6.7816786468029022E-2</v>
      </c>
      <c r="E29" s="9">
        <v>2.5999999046325684</v>
      </c>
      <c r="F29" s="9">
        <v>10</v>
      </c>
      <c r="G29" s="9">
        <v>0.98999989032745361</v>
      </c>
      <c r="H29" s="9">
        <v>0.25999999046325684</v>
      </c>
      <c r="I29">
        <v>5.6204999054898508E-6</v>
      </c>
      <c r="J29"/>
    </row>
    <row r="30" spans="1:10" ht="15" customHeight="1" x14ac:dyDescent="0.15">
      <c r="A30" s="179">
        <v>29</v>
      </c>
      <c r="B30" s="179" t="s">
        <v>220</v>
      </c>
      <c r="C30" s="8">
        <v>3.4815027713775635</v>
      </c>
      <c r="D30" s="9">
        <v>0.78431552648544312</v>
      </c>
      <c r="E30" s="9">
        <v>1.7300000190734863</v>
      </c>
      <c r="F30" s="9">
        <v>13.569999694824219</v>
      </c>
      <c r="G30" s="9">
        <v>0.98000001907348633</v>
      </c>
      <c r="H30" s="9">
        <v>0.12748710811138153</v>
      </c>
      <c r="I30">
        <v>2.1393038332462311E-3</v>
      </c>
      <c r="J30"/>
    </row>
    <row r="31" spans="1:10" ht="15" customHeight="1" x14ac:dyDescent="0.15">
      <c r="A31" s="180">
        <v>30</v>
      </c>
      <c r="B31" s="180" t="s">
        <v>221</v>
      </c>
      <c r="C31" s="8">
        <v>3.6543388366699219</v>
      </c>
      <c r="D31" s="9">
        <v>6</v>
      </c>
      <c r="E31" s="9">
        <v>0.43000000715255737</v>
      </c>
      <c r="F31" s="9">
        <v>4.3000001907348633</v>
      </c>
      <c r="G31" s="9">
        <v>0.74945652484893799</v>
      </c>
      <c r="H31" s="9">
        <v>9.9999994039535522E-2</v>
      </c>
      <c r="I31">
        <v>0.14194370806217194</v>
      </c>
      <c r="J31"/>
    </row>
    <row r="32" spans="1:10" ht="15" customHeight="1" x14ac:dyDescent="0.15">
      <c r="A32" s="208">
        <v>31</v>
      </c>
      <c r="B32" s="208" t="s">
        <v>222</v>
      </c>
      <c r="C32" s="8">
        <v>3.3600001335144043</v>
      </c>
      <c r="D32" s="9">
        <v>2.8710982799530029</v>
      </c>
      <c r="E32" s="9">
        <v>1.5499999523162842</v>
      </c>
      <c r="F32" s="9">
        <v>31.399999618530273</v>
      </c>
      <c r="G32" s="9">
        <v>0.99000012874603271</v>
      </c>
      <c r="H32" s="9">
        <v>4.9363058060407639E-2</v>
      </c>
      <c r="I32">
        <v>1.4860892295837402</v>
      </c>
      <c r="J32"/>
    </row>
    <row r="33" spans="1:10" ht="15" customHeight="1" x14ac:dyDescent="0.15">
      <c r="A33" s="209">
        <v>32</v>
      </c>
      <c r="B33" s="209" t="s">
        <v>223</v>
      </c>
      <c r="C33" s="8">
        <v>3.5888171195983887</v>
      </c>
      <c r="D33" s="9">
        <v>0.36100000143051147</v>
      </c>
      <c r="E33" s="9">
        <v>0.4699999988079071</v>
      </c>
      <c r="F33" s="9">
        <v>7.3400001525878906</v>
      </c>
      <c r="G33" s="9">
        <v>0.90575557947158813</v>
      </c>
      <c r="H33" s="9">
        <v>6.4032696187496185E-2</v>
      </c>
      <c r="I33">
        <v>8.3647847175598145E-2</v>
      </c>
      <c r="J33"/>
    </row>
    <row r="34" spans="1:10" ht="15" customHeight="1" x14ac:dyDescent="0.15">
      <c r="A34" s="210">
        <v>33</v>
      </c>
      <c r="B34" s="210" t="s">
        <v>224</v>
      </c>
      <c r="C34" s="8">
        <v>4.2005186080932617</v>
      </c>
      <c r="D34" s="9">
        <v>0.33899998664855957</v>
      </c>
      <c r="E34" s="9">
        <v>0.69999998807907104</v>
      </c>
      <c r="F34" s="9">
        <v>6.7600002288818359</v>
      </c>
      <c r="G34" s="9">
        <v>0.92147529125213623</v>
      </c>
      <c r="H34" s="9">
        <v>0.10355029255151749</v>
      </c>
      <c r="I34">
        <v>0</v>
      </c>
      <c r="J34"/>
    </row>
    <row r="35" spans="1:10" ht="15" customHeight="1" x14ac:dyDescent="0.15">
      <c r="A35" s="211">
        <v>34</v>
      </c>
      <c r="B35" s="211" t="s">
        <v>225</v>
      </c>
      <c r="C35" s="8">
        <v>3.357180118560791</v>
      </c>
      <c r="D35" s="9">
        <v>8</v>
      </c>
      <c r="E35" s="9">
        <v>1.5</v>
      </c>
      <c r="F35" s="9">
        <v>5</v>
      </c>
      <c r="G35" s="9">
        <v>0.96611583232879639</v>
      </c>
      <c r="H35" s="9">
        <v>0.30000001192092896</v>
      </c>
      <c r="I35">
        <v>0.25257629156112671</v>
      </c>
      <c r="J35"/>
    </row>
    <row r="36" spans="1:10" ht="15" customHeight="1" x14ac:dyDescent="0.15">
      <c r="A36" s="212">
        <v>35</v>
      </c>
      <c r="B36" s="212" t="s">
        <v>226</v>
      </c>
      <c r="C36" s="8">
        <v>3.7448098659515381</v>
      </c>
      <c r="D36" s="9">
        <v>0.5910000205039978</v>
      </c>
      <c r="E36" s="9">
        <v>0.87999999523162842</v>
      </c>
      <c r="F36" s="9">
        <v>11.519000053405762</v>
      </c>
      <c r="G36" s="9">
        <v>0.70006203651428223</v>
      </c>
      <c r="H36" s="9">
        <v>7.6395519077777863E-2</v>
      </c>
      <c r="I36">
        <v>0</v>
      </c>
      <c r="J36"/>
    </row>
    <row r="37" spans="1:10" ht="15" customHeight="1" x14ac:dyDescent="0.15">
      <c r="A37" s="213">
        <v>36</v>
      </c>
      <c r="B37" s="213" t="s">
        <v>227</v>
      </c>
      <c r="C37" s="8">
        <v>3.1231188774108887</v>
      </c>
      <c r="D37" s="9">
        <v>0.15119826793670654</v>
      </c>
      <c r="E37" s="9">
        <v>1.3350000381469727</v>
      </c>
      <c r="F37" s="9">
        <v>7.4320001602172852</v>
      </c>
      <c r="G37" s="9">
        <v>0.94999986886978149</v>
      </c>
      <c r="H37" s="9">
        <v>0.1796286404132843</v>
      </c>
      <c r="I37">
        <v>1.4051249308977276E-5</v>
      </c>
      <c r="J37"/>
    </row>
    <row r="38" spans="1:10" ht="15" customHeight="1" x14ac:dyDescent="0.15">
      <c r="A38" s="214">
        <v>37</v>
      </c>
      <c r="B38" s="214" t="s">
        <v>228</v>
      </c>
      <c r="C38" s="8">
        <v>3.4524495601654053</v>
      </c>
      <c r="D38" s="9">
        <v>2.5328140258789062</v>
      </c>
      <c r="E38" s="9">
        <v>1.7000000476837158</v>
      </c>
      <c r="F38" s="9">
        <v>7</v>
      </c>
      <c r="G38" s="9">
        <v>0.98999994993209839</v>
      </c>
      <c r="H38" s="9">
        <v>0.24285714328289032</v>
      </c>
      <c r="I38">
        <v>0.36915397644042969</v>
      </c>
      <c r="J38"/>
    </row>
    <row r="39" spans="1:10" ht="15" customHeight="1" x14ac:dyDescent="0.15">
      <c r="A39" s="215">
        <v>38</v>
      </c>
      <c r="B39" s="215" t="s">
        <v>229</v>
      </c>
      <c r="C39" s="8">
        <v>2.4131152629852295</v>
      </c>
      <c r="D39" s="9">
        <v>0.91216433048248291</v>
      </c>
      <c r="E39" s="9">
        <v>4</v>
      </c>
      <c r="F39" s="9">
        <v>15</v>
      </c>
      <c r="G39" s="9">
        <v>0.99000012874603271</v>
      </c>
      <c r="H39" s="9">
        <v>0.26666668057441711</v>
      </c>
      <c r="I39">
        <v>3.6441939882934093E-3</v>
      </c>
      <c r="J39"/>
    </row>
    <row r="40" spans="1:10" ht="15" customHeight="1" x14ac:dyDescent="0.15">
      <c r="A40" s="216">
        <v>39</v>
      </c>
      <c r="B40" s="216" t="s">
        <v>230</v>
      </c>
      <c r="C40" s="8">
        <v>2.6388304233551025</v>
      </c>
      <c r="D40" s="9">
        <v>3.1253519058227539</v>
      </c>
      <c r="E40" s="9">
        <v>1.3819999694824219</v>
      </c>
      <c r="F40" s="9">
        <v>8.5</v>
      </c>
      <c r="G40" s="9">
        <v>0.94999992847442627</v>
      </c>
      <c r="H40" s="9">
        <v>0.16258823871612549</v>
      </c>
      <c r="I40">
        <v>0.10878484696149826</v>
      </c>
      <c r="J40"/>
    </row>
    <row r="41" spans="1:10" ht="15" customHeight="1" x14ac:dyDescent="0.15">
      <c r="A41" s="217">
        <v>40</v>
      </c>
      <c r="B41" s="217" t="s">
        <v>231</v>
      </c>
      <c r="C41" s="8">
        <v>3.2124078273773193</v>
      </c>
      <c r="D41" s="9">
        <v>1.2567955255508423</v>
      </c>
      <c r="E41" s="9">
        <v>1.2000000476837158</v>
      </c>
      <c r="F41" s="9">
        <v>8.1999998092651367</v>
      </c>
      <c r="G41" s="9">
        <v>0.94999992847442627</v>
      </c>
      <c r="H41" s="9">
        <v>0.146341472864151</v>
      </c>
      <c r="I41">
        <v>0.48682484030723572</v>
      </c>
      <c r="J41"/>
    </row>
    <row r="42" spans="1:10" ht="15" customHeight="1" x14ac:dyDescent="0.15">
      <c r="A42" s="218">
        <v>41</v>
      </c>
      <c r="B42" s="218" t="s">
        <v>232</v>
      </c>
      <c r="C42" s="8">
        <v>3.9069809913635254</v>
      </c>
      <c r="D42" s="9">
        <v>8.3742313086986542E-2</v>
      </c>
      <c r="E42" s="9">
        <v>3.0999999046325684</v>
      </c>
      <c r="F42" s="9">
        <v>7.3000001907348633</v>
      </c>
      <c r="G42" s="9">
        <v>0.95000004768371582</v>
      </c>
      <c r="H42" s="9">
        <v>0.42465752363204956</v>
      </c>
      <c r="I42">
        <v>1.6861500625964254E-5</v>
      </c>
      <c r="J42"/>
    </row>
    <row r="43" spans="1:10" ht="15" customHeight="1" x14ac:dyDescent="0.15">
      <c r="A43" s="219">
        <v>42</v>
      </c>
      <c r="B43" s="219" t="s">
        <v>233</v>
      </c>
      <c r="C43" s="8">
        <v>2.267035961151123</v>
      </c>
      <c r="D43" s="9">
        <v>8.3999996185302734</v>
      </c>
      <c r="E43" s="9">
        <v>1.2000000476837158</v>
      </c>
      <c r="F43" s="9">
        <v>3.7000000476837158</v>
      </c>
      <c r="G43" s="9">
        <v>0.65731841325759888</v>
      </c>
      <c r="H43" s="9">
        <v>0.3243243396282196</v>
      </c>
      <c r="I43">
        <v>3.3020490081980824E-4</v>
      </c>
      <c r="J43"/>
    </row>
    <row r="44" spans="1:10" ht="15" customHeight="1" x14ac:dyDescent="0.15">
      <c r="A44" s="220">
        <v>43</v>
      </c>
      <c r="B44" s="220" t="s">
        <v>234</v>
      </c>
      <c r="C44" s="8">
        <v>2.0110867023468018</v>
      </c>
      <c r="D44" s="9">
        <v>19.663999557495117</v>
      </c>
      <c r="E44" s="9">
        <v>1.218999981880188</v>
      </c>
      <c r="F44" s="9">
        <v>23</v>
      </c>
      <c r="G44" s="9">
        <v>0.81377708911895752</v>
      </c>
      <c r="H44" s="9">
        <v>5.299999937415123E-2</v>
      </c>
      <c r="I44">
        <v>0.50913470983505249</v>
      </c>
      <c r="J44"/>
    </row>
    <row r="45" spans="1:10" ht="15" customHeight="1" x14ac:dyDescent="0.15">
      <c r="A45" s="221">
        <v>44</v>
      </c>
      <c r="B45" s="221" t="s">
        <v>235</v>
      </c>
      <c r="C45" s="8">
        <v>2.1561348438262939</v>
      </c>
      <c r="D45" s="9">
        <v>9.7277708053588867</v>
      </c>
      <c r="E45" s="9">
        <v>0.80000001192092896</v>
      </c>
      <c r="F45" s="9">
        <v>9</v>
      </c>
      <c r="G45" s="9">
        <v>0.95000004768371582</v>
      </c>
      <c r="H45" s="9">
        <v>8.8888891041278839E-2</v>
      </c>
      <c r="I45">
        <v>2.9091725125908852E-2</v>
      </c>
      <c r="J45"/>
    </row>
    <row r="46" spans="1:10" ht="15" customHeight="1" x14ac:dyDescent="0.15">
      <c r="A46" s="222">
        <v>45</v>
      </c>
      <c r="B46" s="222" t="s">
        <v>236</v>
      </c>
      <c r="C46" s="8">
        <v>3.3071165084838867</v>
      </c>
      <c r="D46" s="9">
        <v>0.80697888135910034</v>
      </c>
      <c r="E46" s="9">
        <v>17</v>
      </c>
      <c r="F46" s="9">
        <v>134.92063903808594</v>
      </c>
      <c r="G46" s="9">
        <v>0.94999992847442627</v>
      </c>
      <c r="H46" s="9">
        <v>0.12600000202655792</v>
      </c>
      <c r="I46">
        <v>0</v>
      </c>
      <c r="J46"/>
    </row>
    <row r="47" spans="1:10" ht="15" customHeight="1" x14ac:dyDescent="0.15">
      <c r="A47" s="223">
        <v>46</v>
      </c>
      <c r="B47" s="223" t="s">
        <v>237</v>
      </c>
      <c r="C47" s="8">
        <v>2.7619638442993164</v>
      </c>
      <c r="D47" s="9">
        <v>5.4289679527282715</v>
      </c>
      <c r="E47" s="9">
        <v>2.5699999332427979</v>
      </c>
      <c r="F47" s="9">
        <v>17.133331298828125</v>
      </c>
      <c r="G47" s="9">
        <v>0.94999998807907104</v>
      </c>
      <c r="H47" s="9">
        <v>0.15000002086162567</v>
      </c>
      <c r="I47">
        <v>0</v>
      </c>
      <c r="J47"/>
    </row>
    <row r="48" spans="1:10" ht="15" customHeight="1" x14ac:dyDescent="0.15">
      <c r="A48" s="224">
        <v>47</v>
      </c>
      <c r="B48" s="224" t="s">
        <v>238</v>
      </c>
      <c r="C48" s="8">
        <v>2.1151530742645264</v>
      </c>
      <c r="D48" s="9">
        <v>9.3539981842041016</v>
      </c>
      <c r="E48" s="9">
        <v>4.0799999237060547</v>
      </c>
      <c r="F48" s="9">
        <v>27.19999885559082</v>
      </c>
      <c r="G48" s="9">
        <v>0.94999998807907104</v>
      </c>
      <c r="H48" s="9">
        <v>0.15000000596046448</v>
      </c>
      <c r="I48">
        <v>1.1241009815421421E-5</v>
      </c>
      <c r="J48"/>
    </row>
    <row r="49" spans="1:10" ht="15" customHeight="1" x14ac:dyDescent="0.15">
      <c r="A49" s="225">
        <v>48</v>
      </c>
      <c r="B49" s="225" t="s">
        <v>239</v>
      </c>
      <c r="C49" s="8">
        <v>2.108684778213501</v>
      </c>
      <c r="D49" s="9">
        <v>14.100000381469727</v>
      </c>
      <c r="E49" s="9">
        <v>5.0799999237060547</v>
      </c>
      <c r="F49" s="9">
        <v>21.520000457763672</v>
      </c>
      <c r="G49" s="9">
        <v>0.74403870105743408</v>
      </c>
      <c r="H49" s="9">
        <v>0.23605947196483612</v>
      </c>
      <c r="I49">
        <v>0</v>
      </c>
      <c r="J49"/>
    </row>
    <row r="50" spans="1:10" ht="15" customHeight="1" x14ac:dyDescent="0.15">
      <c r="A50" s="226">
        <v>49</v>
      </c>
      <c r="B50" s="226" t="s">
        <v>240</v>
      </c>
      <c r="C50" s="8">
        <v>2.7200000286102295</v>
      </c>
      <c r="D50" s="9">
        <v>51.689998626708984</v>
      </c>
      <c r="E50" s="9">
        <v>7</v>
      </c>
      <c r="F50" s="9">
        <v>21.875</v>
      </c>
      <c r="G50" s="9">
        <v>0.45150983333587646</v>
      </c>
      <c r="H50" s="9">
        <v>0.31999999284744263</v>
      </c>
      <c r="I50">
        <v>0</v>
      </c>
      <c r="J50"/>
    </row>
    <row r="51" spans="1:10" ht="15" customHeight="1" x14ac:dyDescent="0.15">
      <c r="A51" s="227">
        <v>50</v>
      </c>
      <c r="B51" s="227" t="s">
        <v>241</v>
      </c>
      <c r="C51" s="8">
        <v>2</v>
      </c>
      <c r="D51" s="9">
        <v>25</v>
      </c>
      <c r="E51" s="9">
        <v>40</v>
      </c>
      <c r="F51" s="9">
        <v>125</v>
      </c>
      <c r="G51" s="9">
        <v>0.9845350980758667</v>
      </c>
      <c r="H51" s="9">
        <v>0.31999999284744263</v>
      </c>
      <c r="I51">
        <v>0</v>
      </c>
      <c r="J51"/>
    </row>
    <row r="52" spans="1:10" ht="15" customHeight="1" x14ac:dyDescent="0.15">
      <c r="A52" s="228">
        <v>51</v>
      </c>
      <c r="B52" s="228" t="s">
        <v>242</v>
      </c>
      <c r="C52" s="8">
        <v>3.0655999183654785</v>
      </c>
      <c r="D52" s="9">
        <v>6.75782710313797E-2</v>
      </c>
      <c r="E52" s="9">
        <v>18.25</v>
      </c>
      <c r="F52" s="9">
        <v>80</v>
      </c>
      <c r="G52" s="9">
        <v>0.90000009536743164</v>
      </c>
      <c r="H52" s="9">
        <v>0.22812500596046448</v>
      </c>
      <c r="I52">
        <v>0</v>
      </c>
      <c r="J52"/>
    </row>
    <row r="53" spans="1:10" ht="15" customHeight="1" x14ac:dyDescent="0.15">
      <c r="A53" s="229">
        <v>52</v>
      </c>
      <c r="B53" s="229" t="s">
        <v>243</v>
      </c>
      <c r="C53" s="8">
        <v>1</v>
      </c>
      <c r="D53" s="9">
        <v>107.31099700927734</v>
      </c>
      <c r="E53" s="9">
        <v>88</v>
      </c>
      <c r="F53" s="10"/>
      <c r="G53" s="9">
        <v>0.3871045708656311</v>
      </c>
      <c r="H53" s="10"/>
      <c r="I53">
        <v>0</v>
      </c>
      <c r="J53"/>
    </row>
    <row r="54" spans="1:10" ht="15" customHeight="1" x14ac:dyDescent="0.15">
      <c r="A54" s="230">
        <v>53</v>
      </c>
      <c r="B54" s="230" t="s">
        <v>244</v>
      </c>
      <c r="C54" s="8">
        <v>1</v>
      </c>
      <c r="D54" s="9">
        <v>7.389040470123291</v>
      </c>
      <c r="E54" s="9">
        <v>5</v>
      </c>
      <c r="F54" s="10"/>
      <c r="G54" s="9">
        <v>0.70000004768371582</v>
      </c>
      <c r="H54" s="10"/>
      <c r="I54">
        <v>0</v>
      </c>
      <c r="J54"/>
    </row>
    <row r="55" spans="1:10" ht="15" customHeight="1" x14ac:dyDescent="0.15">
      <c r="A55" s="231">
        <v>54</v>
      </c>
      <c r="B55" s="231" t="s">
        <v>245</v>
      </c>
      <c r="C55" s="8">
        <v>1</v>
      </c>
      <c r="D55" s="9">
        <v>68</v>
      </c>
      <c r="E55" s="9">
        <v>55.574001312255859</v>
      </c>
      <c r="F55" s="10"/>
      <c r="G55" s="9">
        <v>7.8154824674129486E-2</v>
      </c>
      <c r="H55" s="10"/>
      <c r="I55">
        <v>0</v>
      </c>
      <c r="J55"/>
    </row>
    <row r="56" spans="1:10" ht="15" customHeight="1" x14ac:dyDescent="0.15">
      <c r="A56" s="232">
        <v>55</v>
      </c>
      <c r="B56" s="232" t="s">
        <v>246</v>
      </c>
      <c r="C56" s="8">
        <v>1</v>
      </c>
      <c r="D56" s="9">
        <v>155.69999694824219</v>
      </c>
      <c r="E56" s="10"/>
      <c r="F56" s="10"/>
      <c r="G56" s="7">
        <v>5.2221387624740601E-2</v>
      </c>
      <c r="H56" s="10"/>
      <c r="I56">
        <v>0</v>
      </c>
      <c r="J56"/>
    </row>
    <row r="57" spans="1:10" ht="15" customHeight="1" x14ac:dyDescent="0.15">
      <c r="A57" s="233">
        <v>56</v>
      </c>
      <c r="B57" s="233" t="s">
        <v>247</v>
      </c>
      <c r="C57" s="8">
        <v>1</v>
      </c>
      <c r="D57" s="9">
        <v>5</v>
      </c>
      <c r="E57" s="10"/>
      <c r="F57" s="10"/>
      <c r="G57" s="7">
        <v>0</v>
      </c>
      <c r="H57" s="10"/>
      <c r="I57">
        <v>0</v>
      </c>
      <c r="J57"/>
    </row>
    <row r="58" spans="1:10" ht="15" customHeight="1" x14ac:dyDescent="0.15">
      <c r="A58" s="234">
        <v>57</v>
      </c>
      <c r="B58" s="234" t="s">
        <v>248</v>
      </c>
      <c r="C58" s="8">
        <v>4.2711868286132812</v>
      </c>
      <c r="D58" s="10"/>
      <c r="E58" s="10"/>
      <c r="F58" s="10"/>
      <c r="G58" s="10"/>
      <c r="H58" s="10"/>
      <c r="I58">
        <v>4.2268004417419434</v>
      </c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253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 t="s">
        <v>225</v>
      </c>
      <c r="AM1" t="s">
        <v>226</v>
      </c>
      <c r="AN1" t="s">
        <v>227</v>
      </c>
      <c r="AO1" t="s">
        <v>228</v>
      </c>
      <c r="AP1" t="s">
        <v>229</v>
      </c>
      <c r="AQ1" t="s">
        <v>230</v>
      </c>
      <c r="AR1" t="s">
        <v>231</v>
      </c>
      <c r="AS1" t="s">
        <v>232</v>
      </c>
      <c r="AT1" t="s">
        <v>233</v>
      </c>
      <c r="AU1" t="s">
        <v>234</v>
      </c>
      <c r="AV1" t="s">
        <v>235</v>
      </c>
      <c r="AW1" t="s">
        <v>236</v>
      </c>
      <c r="AX1" t="s">
        <v>237</v>
      </c>
      <c r="AY1" t="s">
        <v>238</v>
      </c>
      <c r="AZ1" t="s">
        <v>239</v>
      </c>
      <c r="BA1" t="s">
        <v>240</v>
      </c>
      <c r="BB1" t="s">
        <v>241</v>
      </c>
      <c r="BC1" t="s">
        <v>242</v>
      </c>
      <c r="BD1" t="s">
        <v>243</v>
      </c>
      <c r="BE1" t="s">
        <v>244</v>
      </c>
      <c r="BF1" t="s">
        <v>245</v>
      </c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0.10000000149011612</v>
      </c>
      <c r="C2">
        <v>0.10000000149011612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0.10000000149011612</v>
      </c>
      <c r="C3">
        <v>0.10000000149011612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5.000000074505806E-2</v>
      </c>
      <c r="C4">
        <v>5.000000074505806E-2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0.24699999392032623</v>
      </c>
      <c r="C5">
        <v>0.24699999392032623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0.74000000953674316</v>
      </c>
      <c r="C6">
        <v>0.11099998652935028</v>
      </c>
      <c r="D6" s="235">
        <v>0.21288050711154938</v>
      </c>
      <c r="E6"/>
      <c r="F6"/>
      <c r="G6"/>
      <c r="H6"/>
      <c r="I6"/>
      <c r="J6" s="278">
        <v>0.28493195772171021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 s="270">
        <v>0.1311875581741333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0.34999999403953552</v>
      </c>
      <c r="C7">
        <v>5.2499990910291672E-2</v>
      </c>
      <c r="D7" s="236">
        <v>0.28321853280067444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 s="65">
        <v>1.4281468465924263E-2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0.41999998688697815</v>
      </c>
      <c r="C8">
        <v>3.2325714826583862E-2</v>
      </c>
      <c r="D8" s="237">
        <v>0.38767427206039429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1.3200000524520874</v>
      </c>
      <c r="C9">
        <v>6.6000096499919891E-2</v>
      </c>
      <c r="D9" s="63">
        <v>7.2333097457885742E-2</v>
      </c>
      <c r="E9"/>
      <c r="F9"/>
      <c r="G9"/>
      <c r="H9"/>
      <c r="I9"/>
      <c r="J9" s="279">
        <v>1.1816668510437012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1.8200000524520874</v>
      </c>
      <c r="C10">
        <v>9.100024402141571E-2</v>
      </c>
      <c r="D10"/>
      <c r="E10" s="277">
        <v>0.34763577580451965</v>
      </c>
      <c r="F10" s="282">
        <v>0.49470788240432739</v>
      </c>
      <c r="G10" s="282">
        <v>0.49484753608703613</v>
      </c>
      <c r="H10" s="11">
        <v>4.3303528218530118E-4</v>
      </c>
      <c r="I10" s="15">
        <v>1.8407298251986504E-2</v>
      </c>
      <c r="J10" s="274">
        <v>0.32769903540611267</v>
      </c>
      <c r="K10" s="19">
        <v>3.3408906310796738E-2</v>
      </c>
      <c r="L10" s="23">
        <v>1.186051033437252E-2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2.2000000476837158</v>
      </c>
      <c r="C11">
        <v>0.86218619346618652</v>
      </c>
      <c r="D11" s="238">
        <v>0.35775384306907654</v>
      </c>
      <c r="E11"/>
      <c r="F11"/>
      <c r="G11"/>
      <c r="H11"/>
      <c r="I11"/>
      <c r="J11"/>
      <c r="K11"/>
      <c r="L11"/>
      <c r="M11"/>
      <c r="N11"/>
      <c r="O11"/>
      <c r="P11"/>
      <c r="Q11" s="266">
        <v>7.3539301753044128E-2</v>
      </c>
      <c r="R11"/>
      <c r="S11"/>
      <c r="T11"/>
      <c r="U11"/>
      <c r="V11"/>
      <c r="W11"/>
      <c r="X11"/>
      <c r="Y11" s="288">
        <v>0.52383744716644287</v>
      </c>
      <c r="Z11" s="16">
        <v>3.5467516630887985E-2</v>
      </c>
      <c r="AA11"/>
      <c r="AB11" s="65">
        <v>9.003283828496933E-2</v>
      </c>
      <c r="AC11" s="281">
        <v>0.25718289613723755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0.74000000953674316</v>
      </c>
      <c r="C12">
        <v>7.4000060558319092E-2</v>
      </c>
      <c r="D12"/>
      <c r="E12"/>
      <c r="F12" s="258">
        <v>0.4856829047203064</v>
      </c>
      <c r="G12"/>
      <c r="H12" s="14">
        <v>1.0628384770825505E-3</v>
      </c>
      <c r="I12"/>
      <c r="J12"/>
      <c r="K12"/>
      <c r="L12"/>
      <c r="M12"/>
      <c r="N12"/>
      <c r="O12"/>
      <c r="P12"/>
      <c r="Q12"/>
      <c r="R12"/>
      <c r="S12"/>
      <c r="T12" s="253">
        <v>1.6779372468590736E-2</v>
      </c>
      <c r="U12"/>
      <c r="V12" s="256">
        <v>9.9362827837467194E-2</v>
      </c>
      <c r="W12" s="254">
        <v>6.3112035393714905E-2</v>
      </c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0.12999999523162842</v>
      </c>
      <c r="C13">
        <v>4.6589639969170094E-3</v>
      </c>
      <c r="D13" s="239">
        <v>0.1253410279750824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0.98000001907348633</v>
      </c>
      <c r="C14">
        <v>4.9000013619661331E-2</v>
      </c>
      <c r="D14" s="240">
        <v>0.43099606037139893</v>
      </c>
      <c r="E14"/>
      <c r="F14"/>
      <c r="G14"/>
      <c r="H14"/>
      <c r="I14"/>
      <c r="J14" s="280">
        <v>0.35782337188720703</v>
      </c>
      <c r="K14"/>
      <c r="L14"/>
      <c r="M14"/>
      <c r="N14"/>
      <c r="O14"/>
      <c r="P14" s="267">
        <v>0.14218059182167053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0.18000000715255737</v>
      </c>
      <c r="C15">
        <v>9.0000024065375328E-3</v>
      </c>
      <c r="D15" s="241">
        <v>0.14537695050239563</v>
      </c>
      <c r="E15"/>
      <c r="F15"/>
      <c r="G15"/>
      <c r="H15"/>
      <c r="I15"/>
      <c r="J15" s="271">
        <v>1.3337728567421436E-2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 s="269">
        <v>1.2285327538847923E-2</v>
      </c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0.5</v>
      </c>
      <c r="C16">
        <v>2.5000035762786865E-2</v>
      </c>
      <c r="D16" s="11">
        <v>7.9245117376558483E-5</v>
      </c>
      <c r="E16"/>
      <c r="F16"/>
      <c r="G16"/>
      <c r="H16"/>
      <c r="I16"/>
      <c r="J16" s="22">
        <v>3.7463249173015356E-3</v>
      </c>
      <c r="K16"/>
      <c r="L16"/>
      <c r="M16"/>
      <c r="N16"/>
      <c r="O16"/>
      <c r="P16" s="12">
        <v>1.4885966666042805E-3</v>
      </c>
      <c r="Q16"/>
      <c r="R16" s="146">
        <v>1.4251050539314747E-2</v>
      </c>
      <c r="S16"/>
      <c r="T16"/>
      <c r="U16"/>
      <c r="V16"/>
      <c r="W16"/>
      <c r="X16" s="23">
        <v>3.4022394102066755E-3</v>
      </c>
      <c r="Y16" s="15">
        <v>4.4603613205254078E-3</v>
      </c>
      <c r="Z16"/>
      <c r="AA16"/>
      <c r="AB16" s="18">
        <v>5.9466063976287842E-3</v>
      </c>
      <c r="AC16"/>
      <c r="AD16"/>
      <c r="AE16"/>
      <c r="AF16"/>
      <c r="AG16" s="317">
        <v>0.44162556529045105</v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0.43999999761581421</v>
      </c>
      <c r="C17">
        <v>4.4000010937452316E-2</v>
      </c>
      <c r="D17" s="242">
        <v>0.37484002113342285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 s="255">
        <v>2.1160000935196877E-2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0.56000000238418579</v>
      </c>
      <c r="C18">
        <v>2.8000039979815483E-2</v>
      </c>
      <c r="D18" s="11">
        <v>2.7675731689669192E-4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 s="264">
        <v>0.10410653799772263</v>
      </c>
      <c r="U18"/>
      <c r="V18" s="262">
        <v>8.5623659193515778E-2</v>
      </c>
      <c r="W18" s="111">
        <v>0.10877072066068649</v>
      </c>
      <c r="X18"/>
      <c r="Y18"/>
      <c r="Z18"/>
      <c r="AA18"/>
      <c r="AB18"/>
      <c r="AC18"/>
      <c r="AD18" s="273">
        <v>0.23322233557701111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0.43000000715255737</v>
      </c>
      <c r="C19">
        <v>5.2381563931703568E-2</v>
      </c>
      <c r="D19" s="243">
        <v>3.7972170859575272E-2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 s="63">
        <v>2.3293888196349144E-2</v>
      </c>
      <c r="U19"/>
      <c r="V19" s="284">
        <v>0.20899999141693115</v>
      </c>
      <c r="W19" s="272">
        <v>7.9649999737739563E-2</v>
      </c>
      <c r="X19"/>
      <c r="Y19"/>
      <c r="Z19"/>
      <c r="AA19"/>
      <c r="AB19" s="77">
        <v>2.7702417224645615E-2</v>
      </c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0.40000000596046448</v>
      </c>
      <c r="C20">
        <v>1.4243841869756579E-3</v>
      </c>
      <c r="D20" s="244">
        <v>0.26004195213317871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 s="259">
        <v>4.6493660658597946E-2</v>
      </c>
      <c r="U20"/>
      <c r="V20"/>
      <c r="W20" s="265">
        <v>9.2040002346038818E-2</v>
      </c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0.4699999988079071</v>
      </c>
      <c r="C21">
        <v>4.7000039368867874E-2</v>
      </c>
      <c r="D21" s="245">
        <v>6.7628622055053711E-2</v>
      </c>
      <c r="E21"/>
      <c r="F21"/>
      <c r="G21"/>
      <c r="H21"/>
      <c r="I21"/>
      <c r="J21" s="301">
        <v>0.10504882782697678</v>
      </c>
      <c r="K21"/>
      <c r="L21"/>
      <c r="M21"/>
      <c r="N21"/>
      <c r="O21"/>
      <c r="P21" s="18">
        <v>5.2607874386012554E-3</v>
      </c>
      <c r="Q21"/>
      <c r="R21"/>
      <c r="S21"/>
      <c r="T21"/>
      <c r="U21"/>
      <c r="V21" s="281">
        <v>5.5187489837408066E-2</v>
      </c>
      <c r="W21" s="23">
        <v>2.336886478587985E-3</v>
      </c>
      <c r="X21"/>
      <c r="Y21"/>
      <c r="Z21"/>
      <c r="AA21"/>
      <c r="AB21" s="26">
        <v>1.2191599234938622E-2</v>
      </c>
      <c r="AC21" s="26">
        <v>1.197661180049181E-2</v>
      </c>
      <c r="AD21"/>
      <c r="AE21"/>
      <c r="AF21"/>
      <c r="AG21" s="150">
        <v>0.12005618214607239</v>
      </c>
      <c r="AH21"/>
      <c r="AI21"/>
      <c r="AJ21"/>
      <c r="AK21"/>
      <c r="AL21"/>
      <c r="AM21"/>
      <c r="AN21"/>
      <c r="AO21"/>
      <c r="AP21"/>
      <c r="AQ21"/>
      <c r="AR21" s="13">
        <v>1.7444085329771042E-2</v>
      </c>
      <c r="AS21" s="63">
        <v>2.5868877768516541E-2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0.61000001430511475</v>
      </c>
      <c r="C22">
        <v>2.5976933538913727E-3</v>
      </c>
      <c r="D22" s="246">
        <v>0.27079993486404419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286">
        <v>0.33660238981246948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0.64999997615814209</v>
      </c>
      <c r="C23">
        <v>8.5258269682526588E-3</v>
      </c>
      <c r="D23" s="247">
        <v>0.36999136209487915</v>
      </c>
      <c r="E23"/>
      <c r="F23" s="66">
        <v>3.8634546101093292E-2</v>
      </c>
      <c r="G23"/>
      <c r="H23" s="14">
        <v>1.5640908386558294E-3</v>
      </c>
      <c r="I23"/>
      <c r="J23" s="243">
        <v>5.6856062263250351E-2</v>
      </c>
      <c r="K23"/>
      <c r="L23"/>
      <c r="M23"/>
      <c r="N23"/>
      <c r="O23"/>
      <c r="P23" s="22">
        <v>5.6509091518819332E-3</v>
      </c>
      <c r="Q23" s="12">
        <v>2.7811226900666952E-3</v>
      </c>
      <c r="R23" s="75">
        <v>5.0846118479967117E-2</v>
      </c>
      <c r="S23"/>
      <c r="T23"/>
      <c r="U23"/>
      <c r="V23"/>
      <c r="W23"/>
      <c r="X23" s="257">
        <v>3.4104757010936737E-2</v>
      </c>
      <c r="Y23" s="257">
        <v>3.4710843116044998E-2</v>
      </c>
      <c r="Z23" s="276">
        <v>2.5797834619879723E-2</v>
      </c>
      <c r="AA23"/>
      <c r="AB23" s="21">
        <v>1.3084220699965954E-2</v>
      </c>
      <c r="AC23" s="18">
        <v>7.4522797949612141E-3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0.25999999046325684</v>
      </c>
      <c r="C24">
        <v>2.8178107459098101E-3</v>
      </c>
      <c r="D24"/>
      <c r="E24"/>
      <c r="F24"/>
      <c r="G24"/>
      <c r="H24" s="11">
        <v>7.9148936492856592E-5</v>
      </c>
      <c r="I24"/>
      <c r="J24" s="142">
        <v>0.13313785195350647</v>
      </c>
      <c r="K24"/>
      <c r="L24"/>
      <c r="M24"/>
      <c r="N24"/>
      <c r="O24"/>
      <c r="P24" s="69">
        <v>1.322553213685751E-2</v>
      </c>
      <c r="Q24"/>
      <c r="R24"/>
      <c r="S24"/>
      <c r="T24"/>
      <c r="U24"/>
      <c r="V24"/>
      <c r="W24"/>
      <c r="X24"/>
      <c r="Y24"/>
      <c r="Z24" s="275">
        <v>6.0377910733222961E-2</v>
      </c>
      <c r="AA24"/>
      <c r="AB24"/>
      <c r="AC24"/>
      <c r="AD24" s="111">
        <v>5.0361759960651398E-2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0.40000000596046448</v>
      </c>
      <c r="C25">
        <v>1.1178708635270596E-2</v>
      </c>
      <c r="D25" s="248">
        <v>3.4242726862430573E-2</v>
      </c>
      <c r="E25"/>
      <c r="F25"/>
      <c r="G25"/>
      <c r="H25"/>
      <c r="I25"/>
      <c r="J25"/>
      <c r="K25"/>
      <c r="L25"/>
      <c r="M25"/>
      <c r="N25"/>
      <c r="O25"/>
      <c r="P25" s="257">
        <v>2.1287672221660614E-2</v>
      </c>
      <c r="Q25"/>
      <c r="R25"/>
      <c r="S25"/>
      <c r="T25"/>
      <c r="U25"/>
      <c r="V25" s="261">
        <v>5.9550687670707703E-2</v>
      </c>
      <c r="W25" s="263">
        <v>6.8084388971328735E-2</v>
      </c>
      <c r="X25"/>
      <c r="Y25" s="260">
        <v>5.2316769957542419E-2</v>
      </c>
      <c r="Z25" s="268">
        <v>9.7191743552684784E-2</v>
      </c>
      <c r="AA25"/>
      <c r="AB25"/>
      <c r="AC25" s="78">
        <v>5.6147314608097076E-2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0.60000002384185791</v>
      </c>
      <c r="C26">
        <v>8.3693653345108032E-2</v>
      </c>
      <c r="D26" s="249">
        <v>8.8456191122531891E-2</v>
      </c>
      <c r="E26"/>
      <c r="F26"/>
      <c r="G26"/>
      <c r="H26" s="11">
        <v>6.5100000938400626E-5</v>
      </c>
      <c r="I26"/>
      <c r="J26" s="299">
        <v>9.929821640253067E-2</v>
      </c>
      <c r="K26"/>
      <c r="L26"/>
      <c r="M26"/>
      <c r="N26"/>
      <c r="O26"/>
      <c r="P26" s="26">
        <v>1.5539998188614845E-2</v>
      </c>
      <c r="Q26"/>
      <c r="R26" s="275">
        <v>0.1388537734746933</v>
      </c>
      <c r="S26"/>
      <c r="T26"/>
      <c r="U26"/>
      <c r="V26" s="27">
        <v>2.173599973320961E-2</v>
      </c>
      <c r="W26" s="11">
        <v>2.7612005942501128E-4</v>
      </c>
      <c r="X26" s="143">
        <v>5.9935294091701508E-2</v>
      </c>
      <c r="Y26" s="23">
        <v>3.8181927520781755E-3</v>
      </c>
      <c r="Z26"/>
      <c r="AA26"/>
      <c r="AB26" s="24">
        <v>1.6554338857531548E-2</v>
      </c>
      <c r="AC26"/>
      <c r="AD26"/>
      <c r="AE26"/>
      <c r="AF26"/>
      <c r="AG26" s="19">
        <v>1.0641288943588734E-2</v>
      </c>
      <c r="AH26"/>
      <c r="AI26"/>
      <c r="AJ26"/>
      <c r="AK26"/>
      <c r="AL26"/>
      <c r="AM26"/>
      <c r="AN26"/>
      <c r="AO26"/>
      <c r="AP26"/>
      <c r="AQ26"/>
      <c r="AR26"/>
      <c r="AS26" s="293">
        <v>6.1131894588470459E-2</v>
      </c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0.55000001192092896</v>
      </c>
      <c r="C27">
        <v>5.5000274442136288E-3</v>
      </c>
      <c r="D27" s="14">
        <v>9.797331877052784E-4</v>
      </c>
      <c r="E27" s="303">
        <v>0.17591357231140137</v>
      </c>
      <c r="F27" s="302">
        <v>0.14363554120063782</v>
      </c>
      <c r="G27"/>
      <c r="H27" s="11">
        <v>1.3830218813382089E-4</v>
      </c>
      <c r="I27"/>
      <c r="J27" s="147">
        <v>3.3561002463102341E-2</v>
      </c>
      <c r="K27"/>
      <c r="L27"/>
      <c r="M27"/>
      <c r="N27"/>
      <c r="O27"/>
      <c r="P27" s="22">
        <v>4.2017912492156029E-3</v>
      </c>
      <c r="Q27"/>
      <c r="R27"/>
      <c r="S27"/>
      <c r="T27"/>
      <c r="U27"/>
      <c r="V27" s="15">
        <v>5.8770999312400818E-3</v>
      </c>
      <c r="W27" s="12">
        <v>2.2397655993700027E-3</v>
      </c>
      <c r="X27" s="26">
        <v>1.4405007474124432E-2</v>
      </c>
      <c r="Y27"/>
      <c r="Z27"/>
      <c r="AA27"/>
      <c r="AB27" s="19">
        <v>9.7280070185661316E-3</v>
      </c>
      <c r="AC27"/>
      <c r="AD27" s="77">
        <v>3.6018189042806625E-2</v>
      </c>
      <c r="AE27"/>
      <c r="AF27"/>
      <c r="AG27"/>
      <c r="AH27"/>
      <c r="AI27"/>
      <c r="AJ27" s="254">
        <v>4.6544913202524185E-2</v>
      </c>
      <c r="AK27" s="140">
        <v>7.1257025003433228E-2</v>
      </c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0.76444399356842041</v>
      </c>
      <c r="C28">
        <v>7.6444782316684723E-3</v>
      </c>
      <c r="D28" s="11">
        <v>6.7071137891616672E-5</v>
      </c>
      <c r="E28" s="257">
        <v>3.9942596107721329E-2</v>
      </c>
      <c r="F28" s="20">
        <v>3.2613608986139297E-2</v>
      </c>
      <c r="G28"/>
      <c r="H28" s="11">
        <v>1.3774335093330592E-4</v>
      </c>
      <c r="I28"/>
      <c r="J28" s="15">
        <v>7.6202964410185814E-3</v>
      </c>
      <c r="K28"/>
      <c r="L28"/>
      <c r="M28"/>
      <c r="N28"/>
      <c r="O28"/>
      <c r="P28" s="12">
        <v>3.3391774632036686E-3</v>
      </c>
      <c r="Q28" s="11">
        <v>6.0197536367923021E-4</v>
      </c>
      <c r="R28"/>
      <c r="S28"/>
      <c r="T28" s="14">
        <v>1.2506757630035281E-3</v>
      </c>
      <c r="U28" s="276">
        <v>2.9608340933918953E-2</v>
      </c>
      <c r="V28" s="16">
        <v>1.2410318478941917E-2</v>
      </c>
      <c r="W28" s="22">
        <v>5.4669864475727081E-3</v>
      </c>
      <c r="X28" s="22">
        <v>6.3371243886649609E-3</v>
      </c>
      <c r="Y28" s="11">
        <v>5.8602780336514115E-4</v>
      </c>
      <c r="Z28"/>
      <c r="AA28"/>
      <c r="AB28" s="14">
        <v>2.2088226396590471E-3</v>
      </c>
      <c r="AC28"/>
      <c r="AD28" s="315">
        <v>0.23353366553783417</v>
      </c>
      <c r="AE28" s="260">
        <v>0.10047685354948044</v>
      </c>
      <c r="AF28" s="14">
        <v>2.0817453041672707E-3</v>
      </c>
      <c r="AG28"/>
      <c r="AH28"/>
      <c r="AI28"/>
      <c r="AJ28" s="71">
        <v>5.4467909038066864E-2</v>
      </c>
      <c r="AK28" s="306">
        <v>6.1200648546218872E-2</v>
      </c>
      <c r="AL28"/>
      <c r="AM28"/>
      <c r="AN28" s="14">
        <v>1.7246975330635905E-3</v>
      </c>
      <c r="AO28"/>
      <c r="AP28"/>
      <c r="AQ28"/>
      <c r="AR28" s="264">
        <v>0.14235782623291016</v>
      </c>
      <c r="AS28" s="26">
        <v>1.8765417858958244E-2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2.5999999046325684</v>
      </c>
      <c r="C29">
        <v>2.6000283658504486E-2</v>
      </c>
      <c r="D29" s="11">
        <v>8.28777119750157E-5</v>
      </c>
      <c r="E29"/>
      <c r="F29"/>
      <c r="G29"/>
      <c r="H29"/>
      <c r="I29" s="26">
        <v>6.5497145056724548E-2</v>
      </c>
      <c r="J29" s="270">
        <v>0.46135178208351135</v>
      </c>
      <c r="K29"/>
      <c r="L29"/>
      <c r="M29"/>
      <c r="N29"/>
      <c r="O29"/>
      <c r="P29" s="243">
        <v>0.22914677858352661</v>
      </c>
      <c r="Q29"/>
      <c r="R29"/>
      <c r="S29"/>
      <c r="T29"/>
      <c r="U29"/>
      <c r="V29"/>
      <c r="W29"/>
      <c r="X29"/>
      <c r="Y29"/>
      <c r="Z29"/>
      <c r="AA29"/>
      <c r="AB29" s="65">
        <v>0.10611416399478912</v>
      </c>
      <c r="AC29"/>
      <c r="AD29" s="290">
        <v>0.69805806875228882</v>
      </c>
      <c r="AE29"/>
      <c r="AF29"/>
      <c r="AG29"/>
      <c r="AH29"/>
      <c r="AI29"/>
      <c r="AJ29"/>
      <c r="AK29" s="295">
        <v>1.0137490034103394</v>
      </c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1.7300000190734863</v>
      </c>
      <c r="C30">
        <v>3.4599967300891876E-2</v>
      </c>
      <c r="D30" s="14">
        <v>2.7276063337922096E-3</v>
      </c>
      <c r="E30"/>
      <c r="F30"/>
      <c r="G30"/>
      <c r="H30"/>
      <c r="I30"/>
      <c r="J30" s="253">
        <v>3.9891336113214493E-2</v>
      </c>
      <c r="K30"/>
      <c r="L30"/>
      <c r="M30"/>
      <c r="N30"/>
      <c r="O30"/>
      <c r="P30" s="18">
        <v>1.9813451915979385E-2</v>
      </c>
      <c r="Q30"/>
      <c r="R30"/>
      <c r="S30"/>
      <c r="T30"/>
      <c r="U30"/>
      <c r="V30" s="15">
        <v>1.6628000885248184E-2</v>
      </c>
      <c r="W30" s="22">
        <v>1.3025932013988495E-2</v>
      </c>
      <c r="X30"/>
      <c r="Y30"/>
      <c r="Z30"/>
      <c r="AA30"/>
      <c r="AB30" s="15">
        <v>1.8348883837461472E-2</v>
      </c>
      <c r="AC30"/>
      <c r="AD30" s="263">
        <v>0.29439452290534973</v>
      </c>
      <c r="AE30" s="298">
        <v>0.12520045042037964</v>
      </c>
      <c r="AF30"/>
      <c r="AG30" s="108">
        <v>0.2712494432926178</v>
      </c>
      <c r="AH30"/>
      <c r="AI30"/>
      <c r="AJ30" s="20">
        <v>7.428605854511261E-2</v>
      </c>
      <c r="AK30" s="304">
        <v>0.34769830107688904</v>
      </c>
      <c r="AL30"/>
      <c r="AM30"/>
      <c r="AN30"/>
      <c r="AO30"/>
      <c r="AP30"/>
      <c r="AQ30"/>
      <c r="AR30" s="289">
        <v>0.39419299364089966</v>
      </c>
      <c r="AS30" s="294">
        <v>7.7942989766597748E-2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0.43000000715255737</v>
      </c>
      <c r="C31">
        <v>0.10773369669914246</v>
      </c>
      <c r="D31" s="63">
        <v>2.3657284677028656E-2</v>
      </c>
      <c r="E31"/>
      <c r="F31" s="266">
        <v>1.4166000299155712E-2</v>
      </c>
      <c r="G31"/>
      <c r="H31" s="11">
        <v>1.0849999853235204E-5</v>
      </c>
      <c r="I31" s="64">
        <v>9.0960552915930748E-3</v>
      </c>
      <c r="J31" s="63">
        <v>2.3465549573302269E-2</v>
      </c>
      <c r="K31"/>
      <c r="L31"/>
      <c r="M31"/>
      <c r="N31"/>
      <c r="O31"/>
      <c r="P31"/>
      <c r="Q31"/>
      <c r="R31" s="262">
        <v>6.6120840609073639E-2</v>
      </c>
      <c r="S31"/>
      <c r="T31" s="23">
        <v>2.6917383074760437E-3</v>
      </c>
      <c r="U31" s="15">
        <v>4.2038401588797569E-3</v>
      </c>
      <c r="V31" s="12">
        <v>1.8837866373360157E-3</v>
      </c>
      <c r="W31" s="19">
        <v>7.6853404752910137E-3</v>
      </c>
      <c r="X31"/>
      <c r="Y31" s="12">
        <v>1.9095620373263955E-3</v>
      </c>
      <c r="Z31" s="20">
        <v>1.8917975947260857E-2</v>
      </c>
      <c r="AA31"/>
      <c r="AB31" s="147">
        <v>2.6159182190895081E-2</v>
      </c>
      <c r="AC31" s="18">
        <v>5.2907760255038738E-3</v>
      </c>
      <c r="AD31" s="265">
        <v>9.867442399263382E-2</v>
      </c>
      <c r="AE31"/>
      <c r="AF31"/>
      <c r="AG31"/>
      <c r="AH31"/>
      <c r="AI31"/>
      <c r="AJ31"/>
      <c r="AK31" s="20">
        <v>1.8333118408918381E-2</v>
      </c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1.5499999523162842</v>
      </c>
      <c r="C32">
        <v>1.5499799512326717E-2</v>
      </c>
      <c r="D32" s="250">
        <v>0.51760303974151611</v>
      </c>
      <c r="E32"/>
      <c r="F32"/>
      <c r="G32"/>
      <c r="H32" s="11">
        <v>3.935601853299886E-4</v>
      </c>
      <c r="I32"/>
      <c r="J32"/>
      <c r="K32"/>
      <c r="L32"/>
      <c r="M32"/>
      <c r="N32"/>
      <c r="O32"/>
      <c r="P32" s="12">
        <v>5.9538180939853191E-3</v>
      </c>
      <c r="Q32"/>
      <c r="R32"/>
      <c r="S32"/>
      <c r="T32" s="14">
        <v>1.5597075689584017E-3</v>
      </c>
      <c r="U32" s="21">
        <v>3.1724166125059128E-2</v>
      </c>
      <c r="V32" s="14">
        <v>4.3909605592489243E-3</v>
      </c>
      <c r="W32" s="12">
        <v>5.241387989372015E-3</v>
      </c>
      <c r="X32"/>
      <c r="Y32" s="14">
        <v>1.9952943548560143E-3</v>
      </c>
      <c r="Z32" s="16">
        <v>2.4706579744815826E-2</v>
      </c>
      <c r="AA32"/>
      <c r="AB32" s="14">
        <v>2.5064700748771429E-3</v>
      </c>
      <c r="AC32"/>
      <c r="AD32" s="310">
        <v>0.19899177551269531</v>
      </c>
      <c r="AE32" s="280">
        <v>0.56432938575744629</v>
      </c>
      <c r="AF32"/>
      <c r="AG32"/>
      <c r="AH32"/>
      <c r="AI32"/>
      <c r="AJ32" s="65">
        <v>6.3646800816059113E-2</v>
      </c>
      <c r="AK32" s="294">
        <v>7.0239439606666565E-2</v>
      </c>
      <c r="AL32"/>
      <c r="AM32"/>
      <c r="AN32"/>
      <c r="AO32"/>
      <c r="AP32"/>
      <c r="AQ32"/>
      <c r="AR32" s="253">
        <v>3.5894706845283508E-2</v>
      </c>
      <c r="AS32" s="12">
        <v>5.3230407647788525E-3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0.4699999988079071</v>
      </c>
      <c r="C33">
        <v>4.4294878840446472E-2</v>
      </c>
      <c r="D33" s="251">
        <v>0.23171147704124451</v>
      </c>
      <c r="E33"/>
      <c r="F33"/>
      <c r="G33"/>
      <c r="H33"/>
      <c r="I33"/>
      <c r="J33" s="272">
        <v>8.6668685078620911E-2</v>
      </c>
      <c r="K33"/>
      <c r="L33"/>
      <c r="M33"/>
      <c r="N33"/>
      <c r="O33"/>
      <c r="P33" s="68">
        <v>4.3047085404396057E-2</v>
      </c>
      <c r="Q33"/>
      <c r="R33"/>
      <c r="S33"/>
      <c r="T33" s="11">
        <v>2.0335469162091613E-4</v>
      </c>
      <c r="U33"/>
      <c r="V33"/>
      <c r="W33" s="14">
        <v>7.6487549813464284E-4</v>
      </c>
      <c r="X33"/>
      <c r="Y33" s="64">
        <v>1.0576711036264896E-2</v>
      </c>
      <c r="Z33"/>
      <c r="AA33"/>
      <c r="AB33" s="20">
        <v>1.9932568073272705E-2</v>
      </c>
      <c r="AC33"/>
      <c r="AD33" s="71">
        <v>3.2800368964672089E-2</v>
      </c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0.69999998807907104</v>
      </c>
      <c r="C34">
        <v>5.4967295378446579E-2</v>
      </c>
      <c r="D34"/>
      <c r="E34"/>
      <c r="F34"/>
      <c r="G34"/>
      <c r="H34"/>
      <c r="I34"/>
      <c r="J34" s="109">
        <v>4.6119816601276398E-2</v>
      </c>
      <c r="K34"/>
      <c r="L34"/>
      <c r="M34"/>
      <c r="N34"/>
      <c r="O34"/>
      <c r="P34" s="77">
        <v>4.5840702950954437E-2</v>
      </c>
      <c r="Q34" s="16">
        <v>1.1569608002901077E-2</v>
      </c>
      <c r="R34" s="281">
        <v>8.2504771649837494E-2</v>
      </c>
      <c r="S34"/>
      <c r="T34"/>
      <c r="U34"/>
      <c r="V34" s="287">
        <v>8.8482826948165894E-2</v>
      </c>
      <c r="W34" s="18">
        <v>8.1451330333948135E-3</v>
      </c>
      <c r="X34" s="79">
        <v>0.11786683648824692</v>
      </c>
      <c r="Y34"/>
      <c r="Z34"/>
      <c r="AA34"/>
      <c r="AB34"/>
      <c r="AC34"/>
      <c r="AD34" s="296">
        <v>0.24450300633907318</v>
      </c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1.5</v>
      </c>
      <c r="C35">
        <v>5.082625150680542E-2</v>
      </c>
      <c r="D35" s="64">
        <v>3.1572036445140839E-2</v>
      </c>
      <c r="E35" s="28">
        <v>6.9326527416706085E-2</v>
      </c>
      <c r="F35" s="307">
        <v>0.16972638666629791</v>
      </c>
      <c r="G35" s="314">
        <v>0.15675561130046844</v>
      </c>
      <c r="H35" s="11">
        <v>4.6499997552018613E-5</v>
      </c>
      <c r="I35" s="14">
        <v>3.70763149112463E-3</v>
      </c>
      <c r="J35" s="21">
        <v>2.9324017465114594E-2</v>
      </c>
      <c r="K35" s="14">
        <v>1.614375039935112E-3</v>
      </c>
      <c r="L35" s="11">
        <v>3.6388568696565926E-4</v>
      </c>
      <c r="M35"/>
      <c r="N35"/>
      <c r="O35"/>
      <c r="P35" s="23">
        <v>8.9354999363422394E-3</v>
      </c>
      <c r="Q35" s="22">
        <v>1.2501683086156845E-2</v>
      </c>
      <c r="R35" s="147">
        <v>9.1742672026157379E-2</v>
      </c>
      <c r="S35"/>
      <c r="T35" s="11">
        <v>5.5975920986384153E-4</v>
      </c>
      <c r="U35" s="22">
        <v>1.1385399848222733E-2</v>
      </c>
      <c r="V35" s="14">
        <v>1.5758599620312452E-3</v>
      </c>
      <c r="W35" s="14">
        <v>1.881067524664104E-3</v>
      </c>
      <c r="X35" s="26">
        <v>3.7461899220943451E-2</v>
      </c>
      <c r="Y35" s="17">
        <v>2.0909704267978668E-2</v>
      </c>
      <c r="Z35" s="26">
        <v>3.8311604410409927E-2</v>
      </c>
      <c r="AA35"/>
      <c r="AB35" s="12">
        <v>6.2078777700662613E-3</v>
      </c>
      <c r="AC35" s="21">
        <v>2.980426512658596E-2</v>
      </c>
      <c r="AD35" s="312">
        <v>8.6586818099021912E-2</v>
      </c>
      <c r="AE35" s="305">
        <v>0.12265036255121231</v>
      </c>
      <c r="AF35"/>
      <c r="AG35" s="266">
        <v>4.9011725932359695E-2</v>
      </c>
      <c r="AH35" s="141">
        <v>0.32240936160087585</v>
      </c>
      <c r="AI35"/>
      <c r="AJ35" s="16">
        <v>2.2842027246952057E-2</v>
      </c>
      <c r="AK35" s="27">
        <v>5.1561895757913589E-2</v>
      </c>
      <c r="AL35" s="266">
        <v>4.9986116588115692E-2</v>
      </c>
      <c r="AM35"/>
      <c r="AN35" s="12">
        <v>5.6185279972851276E-3</v>
      </c>
      <c r="AO35"/>
      <c r="AP35"/>
      <c r="AQ35"/>
      <c r="AR35" s="22">
        <v>1.2882153503596783E-2</v>
      </c>
      <c r="AS35" s="14">
        <v>1.9103717058897018E-3</v>
      </c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0.87999999523162842</v>
      </c>
      <c r="C36">
        <v>0.26394540071487427</v>
      </c>
      <c r="D36"/>
      <c r="E36"/>
      <c r="F36"/>
      <c r="G36"/>
      <c r="H36" s="11">
        <v>2.3604059606441297E-5</v>
      </c>
      <c r="I36"/>
      <c r="J36" s="274">
        <v>0.15877671539783478</v>
      </c>
      <c r="K36"/>
      <c r="L36"/>
      <c r="M36"/>
      <c r="N36"/>
      <c r="O36"/>
      <c r="P36"/>
      <c r="Q36"/>
      <c r="R36"/>
      <c r="S36"/>
      <c r="T36" s="24">
        <v>2.3973487317562103E-2</v>
      </c>
      <c r="U36" s="146">
        <v>2.5291010737419128E-2</v>
      </c>
      <c r="V36"/>
      <c r="W36" s="292">
        <v>9.8580911755561829E-2</v>
      </c>
      <c r="X36"/>
      <c r="Y36"/>
      <c r="Z36"/>
      <c r="AA36"/>
      <c r="AB36" s="300">
        <v>0.18273641169071198</v>
      </c>
      <c r="AC36"/>
      <c r="AD36" s="291">
        <v>8.0141685903072357E-2</v>
      </c>
      <c r="AE36"/>
      <c r="AF36"/>
      <c r="AG36"/>
      <c r="AH36"/>
      <c r="AI36"/>
      <c r="AJ36"/>
      <c r="AK36" s="257">
        <v>4.653075709939003E-2</v>
      </c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1.3350000381469727</v>
      </c>
      <c r="C37">
        <v>6.6750176250934601E-2</v>
      </c>
      <c r="D37" s="11">
        <v>9.2932612460572273E-5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 s="16">
        <v>2.1624939516186714E-2</v>
      </c>
      <c r="V37"/>
      <c r="W37"/>
      <c r="X37"/>
      <c r="Y37"/>
      <c r="Z37"/>
      <c r="AA37"/>
      <c r="AB37"/>
      <c r="AC37"/>
      <c r="AD37" s="252">
        <v>0.43072673678398132</v>
      </c>
      <c r="AE37"/>
      <c r="AF37"/>
      <c r="AG37" s="283">
        <v>0.14075940847396851</v>
      </c>
      <c r="AH37"/>
      <c r="AI37"/>
      <c r="AJ37" s="108">
        <v>0.21018895506858826</v>
      </c>
      <c r="AK37" s="289">
        <v>0.30313044786453247</v>
      </c>
      <c r="AL37"/>
      <c r="AM37"/>
      <c r="AN37"/>
      <c r="AO37"/>
      <c r="AP37"/>
      <c r="AQ37"/>
      <c r="AR37"/>
      <c r="AS37" s="285">
        <v>0.16172647476196289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1.7000000476837158</v>
      </c>
      <c r="C38">
        <v>1.7000084742903709E-2</v>
      </c>
      <c r="D38" s="248">
        <v>0.1457485556602478</v>
      </c>
      <c r="E38" s="140">
        <v>0.22149738669395447</v>
      </c>
      <c r="F38" s="255">
        <v>8.3894826471805573E-2</v>
      </c>
      <c r="G38" s="255">
        <v>8.3918511867523193E-2</v>
      </c>
      <c r="H38" s="11">
        <v>2.7171359397470951E-4</v>
      </c>
      <c r="I38" s="14">
        <v>3.903570119291544E-3</v>
      </c>
      <c r="J38" s="77">
        <v>0.11134166270494461</v>
      </c>
      <c r="K38"/>
      <c r="L38" s="11">
        <v>1.3364516198635101E-3</v>
      </c>
      <c r="M38"/>
      <c r="N38" s="12">
        <v>6.9476948119699955E-3</v>
      </c>
      <c r="O38"/>
      <c r="P38" s="12">
        <v>6.1354674398899078E-3</v>
      </c>
      <c r="Q38" s="12">
        <v>5.4197972640395164E-3</v>
      </c>
      <c r="R38" s="77">
        <v>0.10964387655258179</v>
      </c>
      <c r="S38"/>
      <c r="T38" s="14">
        <v>3.0723023228347301E-3</v>
      </c>
      <c r="U38" s="14">
        <v>3.503918182104826E-3</v>
      </c>
      <c r="V38" s="18">
        <v>1.887986995279789E-2</v>
      </c>
      <c r="W38" s="22">
        <v>1.30820507183671E-2</v>
      </c>
      <c r="X38" s="22">
        <v>1.4812853187322617E-2</v>
      </c>
      <c r="Y38" s="19">
        <v>2.9414445161819458E-2</v>
      </c>
      <c r="Z38" s="23">
        <v>1.1206437833607197E-2</v>
      </c>
      <c r="AA38"/>
      <c r="AB38" s="22">
        <v>1.4212996698915958E-2</v>
      </c>
      <c r="AC38" s="21">
        <v>3.2476983964443207E-2</v>
      </c>
      <c r="AD38" s="12">
        <v>7.0125148631632328E-3</v>
      </c>
      <c r="AE38" s="25">
        <v>5.1693063229322433E-2</v>
      </c>
      <c r="AF38"/>
      <c r="AG38" s="255">
        <v>8.4035567939281464E-2</v>
      </c>
      <c r="AH38" s="313">
        <v>0.40733760595321655</v>
      </c>
      <c r="AI38"/>
      <c r="AJ38" s="14">
        <v>2.0912319887429476E-3</v>
      </c>
      <c r="AK38" s="14">
        <v>3.6191211547702551E-3</v>
      </c>
      <c r="AL38"/>
      <c r="AM38"/>
      <c r="AN38" s="276">
        <v>6.6548846662044525E-2</v>
      </c>
      <c r="AO38" s="305">
        <v>0.13994063436985016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4</v>
      </c>
      <c r="C39">
        <v>3.9999485015869141E-2</v>
      </c>
      <c r="D39" s="14">
        <v>3.9951070211827755E-3</v>
      </c>
      <c r="E39" s="14">
        <v>1.169265154749155E-2</v>
      </c>
      <c r="F39"/>
      <c r="G39"/>
      <c r="H39"/>
      <c r="I39" s="23">
        <v>2.1678149700164795E-2</v>
      </c>
      <c r="J39"/>
      <c r="K39" s="14">
        <v>7.8659066930413246E-3</v>
      </c>
      <c r="L39" s="11">
        <v>2.5976554024964571E-3</v>
      </c>
      <c r="M39" s="23">
        <v>2.7264349162578583E-2</v>
      </c>
      <c r="N39"/>
      <c r="O39"/>
      <c r="P39" s="12">
        <v>1.7036402598023415E-2</v>
      </c>
      <c r="Q39" s="11">
        <v>3.4398157149553299E-3</v>
      </c>
      <c r="R39" s="19">
        <v>6.9588340818881989E-2</v>
      </c>
      <c r="S39" s="67">
        <v>0.2471514493227005</v>
      </c>
      <c r="T39" s="11">
        <v>1.8510414520278573E-3</v>
      </c>
      <c r="U39" s="23">
        <v>1.9970789551734924E-2</v>
      </c>
      <c r="V39" s="23">
        <v>2.2875877097249031E-2</v>
      </c>
      <c r="W39" s="14">
        <v>6.9622984156012535E-3</v>
      </c>
      <c r="X39" s="21">
        <v>8.2261942327022552E-2</v>
      </c>
      <c r="Y39"/>
      <c r="Z39" s="22">
        <v>3.111700527369976E-2</v>
      </c>
      <c r="AA39" s="23">
        <v>2.0095115527510643E-2</v>
      </c>
      <c r="AB39" s="22">
        <v>3.1572278589010239E-2</v>
      </c>
      <c r="AC39" s="64">
        <v>9.0179100632667542E-2</v>
      </c>
      <c r="AD39" s="307">
        <v>0.4543398916721344</v>
      </c>
      <c r="AE39" s="311">
        <v>0.71715259552001953</v>
      </c>
      <c r="AF39" s="16">
        <v>6.3938520848751068E-2</v>
      </c>
      <c r="AG39" s="243">
        <v>0.35001334547996521</v>
      </c>
      <c r="AH39" s="71">
        <v>0.28276440501213074</v>
      </c>
      <c r="AI39"/>
      <c r="AJ39" s="292">
        <v>0.44421565532684326</v>
      </c>
      <c r="AK39" s="18">
        <v>5.0246208906173706E-2</v>
      </c>
      <c r="AL39" s="18">
        <v>4.3857276439666748E-2</v>
      </c>
      <c r="AM39"/>
      <c r="AN39" s="28">
        <v>0.18478672206401825</v>
      </c>
      <c r="AO39"/>
      <c r="AP39"/>
      <c r="AQ39" s="267">
        <v>0.58247166872024536</v>
      </c>
      <c r="AR39"/>
      <c r="AS39" s="19">
        <v>6.7018508911132812E-2</v>
      </c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1.3819999694824219</v>
      </c>
      <c r="C40">
        <v>6.9100096821784973E-2</v>
      </c>
      <c r="D40" s="26">
        <v>3.4807231277227402E-2</v>
      </c>
      <c r="E40"/>
      <c r="F40"/>
      <c r="G40"/>
      <c r="H40" s="11">
        <v>5.9513299675018061E-6</v>
      </c>
      <c r="I40" s="12">
        <v>6.3269785605370998E-3</v>
      </c>
      <c r="J40"/>
      <c r="K40" s="14">
        <v>2.2957413457334042E-3</v>
      </c>
      <c r="L40" s="11">
        <v>7.581509998999536E-4</v>
      </c>
      <c r="M40"/>
      <c r="N40"/>
      <c r="O40"/>
      <c r="P40" s="12">
        <v>4.9722394905984402E-3</v>
      </c>
      <c r="Q40" s="11">
        <v>1.0039436165243387E-3</v>
      </c>
      <c r="R40" s="17">
        <v>2.0310034975409508E-2</v>
      </c>
      <c r="S40" s="257">
        <v>7.2133556008338928E-2</v>
      </c>
      <c r="T40" s="11">
        <v>7.2815554449334741E-4</v>
      </c>
      <c r="U40" s="11">
        <v>7.4726517777889967E-4</v>
      </c>
      <c r="V40" s="23">
        <v>6.9547365419566631E-3</v>
      </c>
      <c r="W40" s="14">
        <v>2.7388017624616623E-3</v>
      </c>
      <c r="X40" s="19">
        <v>2.4008946493268013E-2</v>
      </c>
      <c r="Y40"/>
      <c r="Z40" s="23">
        <v>9.0818004682660103E-3</v>
      </c>
      <c r="AA40" s="12">
        <v>4.7370786778628826E-3</v>
      </c>
      <c r="AB40" s="23">
        <v>9.2146769165992737E-3</v>
      </c>
      <c r="AC40" s="21">
        <v>2.6315400376915932E-2</v>
      </c>
      <c r="AD40" s="269">
        <v>9.4716779887676239E-2</v>
      </c>
      <c r="AE40" s="13">
        <v>5.2326992154121399E-2</v>
      </c>
      <c r="AF40" s="12">
        <v>4.9907537177205086E-3</v>
      </c>
      <c r="AG40" s="271">
        <v>0.10215479880571365</v>
      </c>
      <c r="AH40" s="66">
        <v>8.2527540624141693E-2</v>
      </c>
      <c r="AI40"/>
      <c r="AJ40" s="65">
        <v>5.7621624320745468E-2</v>
      </c>
      <c r="AK40" s="257">
        <v>7.3324218392372131E-2</v>
      </c>
      <c r="AL40" s="15">
        <v>1.2800171971321106E-2</v>
      </c>
      <c r="AM40"/>
      <c r="AN40" s="19">
        <v>2.5168173015117645E-2</v>
      </c>
      <c r="AO40"/>
      <c r="AP40"/>
      <c r="AQ40"/>
      <c r="AR40" s="316">
        <v>0.56056821346282959</v>
      </c>
      <c r="AS40" s="17">
        <v>1.9560003653168678E-2</v>
      </c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1.2000000476837158</v>
      </c>
      <c r="C41">
        <v>6.0000088065862656E-2</v>
      </c>
      <c r="D41" s="252">
        <v>0.3873540461063385</v>
      </c>
      <c r="E41"/>
      <c r="F41"/>
      <c r="G41"/>
      <c r="H41"/>
      <c r="I41" s="23">
        <v>7.8668463975191116E-3</v>
      </c>
      <c r="J41"/>
      <c r="K41"/>
      <c r="L41" s="11">
        <v>9.4267068197950721E-4</v>
      </c>
      <c r="M41"/>
      <c r="N41"/>
      <c r="O41"/>
      <c r="P41"/>
      <c r="Q41" s="14">
        <v>1.2482845922932029E-3</v>
      </c>
      <c r="R41" s="64">
        <v>2.5253115221858025E-2</v>
      </c>
      <c r="S41" s="143">
        <v>0.11958601325750351</v>
      </c>
      <c r="T41" s="11">
        <v>5.8411285863257945E-5</v>
      </c>
      <c r="U41"/>
      <c r="V41" s="17">
        <v>1.7294777557253838E-2</v>
      </c>
      <c r="W41" s="11">
        <v>2.1970165835227817E-4</v>
      </c>
      <c r="X41" s="255">
        <v>5.9704545885324478E-2</v>
      </c>
      <c r="Y41"/>
      <c r="Z41" s="21">
        <v>2.2584279999136925E-2</v>
      </c>
      <c r="AA41" s="23">
        <v>7.2923745028674603E-3</v>
      </c>
      <c r="AB41" s="15">
        <v>1.1457355692982674E-2</v>
      </c>
      <c r="AC41" s="257">
        <v>6.3323304057121277E-2</v>
      </c>
      <c r="AD41" s="16">
        <v>1.8843056634068489E-2</v>
      </c>
      <c r="AE41"/>
      <c r="AF41"/>
      <c r="AG41" s="78">
        <v>0.16935648024082184</v>
      </c>
      <c r="AH41" s="74">
        <v>0.11249805986881256</v>
      </c>
      <c r="AI41"/>
      <c r="AJ41"/>
      <c r="AK41" s="146">
        <v>3.4644588828086853E-2</v>
      </c>
      <c r="AL41" s="24">
        <v>3.1830988824367523E-2</v>
      </c>
      <c r="AM41"/>
      <c r="AN41"/>
      <c r="AO41"/>
      <c r="AP41"/>
      <c r="AQ41"/>
      <c r="AR41"/>
      <c r="AS41" s="65">
        <v>4.8641081899404526E-2</v>
      </c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3.0999999046325684</v>
      </c>
      <c r="C42">
        <v>0.15499985218048096</v>
      </c>
      <c r="D42" s="11">
        <v>2.0134981605224311E-4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254">
        <v>0.25955814123153687</v>
      </c>
      <c r="W42"/>
      <c r="X42"/>
      <c r="Y42"/>
      <c r="Z42"/>
      <c r="AA42"/>
      <c r="AB42" s="24">
        <v>8.5934117436408997E-2</v>
      </c>
      <c r="AC42"/>
      <c r="AD42" s="148">
        <v>0.77768498659133911</v>
      </c>
      <c r="AE42" s="149">
        <v>0.78173691034317017</v>
      </c>
      <c r="AF42"/>
      <c r="AG42"/>
      <c r="AH42"/>
      <c r="AI42"/>
      <c r="AJ42"/>
      <c r="AK42" s="297">
        <v>1.0398844480514526</v>
      </c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1.2000000476837158</v>
      </c>
      <c r="C43">
        <v>0.41121792793273926</v>
      </c>
      <c r="D43" s="11">
        <v>3.9310107240453362E-5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 s="319">
        <v>0.33636811375617981</v>
      </c>
      <c r="T43"/>
      <c r="U43"/>
      <c r="V43" s="11">
        <v>5.1752384752035141E-4</v>
      </c>
      <c r="W43"/>
      <c r="X43"/>
      <c r="Y43"/>
      <c r="Z43" s="11">
        <v>1.6889294784050435E-4</v>
      </c>
      <c r="AA43"/>
      <c r="AB43"/>
      <c r="AC43" s="253">
        <v>2.7404187247157097E-2</v>
      </c>
      <c r="AD43" s="12">
        <v>4.9337213858962059E-3</v>
      </c>
      <c r="AE43" s="318">
        <v>0.22600820660591125</v>
      </c>
      <c r="AF43" s="11">
        <v>3.2293712138198316E-4</v>
      </c>
      <c r="AG43"/>
      <c r="AH43"/>
      <c r="AI43"/>
      <c r="AJ43"/>
      <c r="AK43" s="12">
        <v>4.9106576479971409E-3</v>
      </c>
      <c r="AL43"/>
      <c r="AM43"/>
      <c r="AN43" s="14">
        <v>2.6754897553473711E-3</v>
      </c>
      <c r="AO43"/>
      <c r="AP43"/>
      <c r="AQ43"/>
      <c r="AR43" s="305">
        <v>9.8149746656417847E-2</v>
      </c>
      <c r="AS43" s="14">
        <v>2.1832822822034359E-3</v>
      </c>
      <c r="AT43" s="71">
        <v>8.5100002586841583E-2</v>
      </c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1.218999981880188</v>
      </c>
      <c r="C44">
        <v>0.2270057201385498</v>
      </c>
      <c r="D44" s="64">
        <v>2.5891717523336411E-2</v>
      </c>
      <c r="E44"/>
      <c r="F44"/>
      <c r="G44"/>
      <c r="H44"/>
      <c r="I44" s="11">
        <v>6.7765556741505861E-4</v>
      </c>
      <c r="J44"/>
      <c r="K44"/>
      <c r="L44" s="11">
        <v>3.4428227809257805E-4</v>
      </c>
      <c r="M44" s="23">
        <v>5.986369214951992E-3</v>
      </c>
      <c r="N44"/>
      <c r="O44"/>
      <c r="P44"/>
      <c r="Q44"/>
      <c r="R44" s="15">
        <v>1.2105116620659828E-2</v>
      </c>
      <c r="S44" s="276">
        <v>4.6623300760984421E-2</v>
      </c>
      <c r="T44" s="11">
        <v>3.7332711144699715E-6</v>
      </c>
      <c r="U44"/>
      <c r="V44" s="11">
        <v>2.2107406039140187E-5</v>
      </c>
      <c r="W44"/>
      <c r="X44" s="27">
        <v>4.1975207626819611E-2</v>
      </c>
      <c r="Y44"/>
      <c r="Z44" s="12">
        <v>3.6073545925319195E-3</v>
      </c>
      <c r="AA44"/>
      <c r="AB44"/>
      <c r="AC44" s="15">
        <v>1.2131236493587494E-2</v>
      </c>
      <c r="AD44"/>
      <c r="AE44" s="243">
        <v>0.10811755061149597</v>
      </c>
      <c r="AF44"/>
      <c r="AG44" s="311">
        <v>0.2164943516254425</v>
      </c>
      <c r="AH44" s="15">
        <v>1.3122017495334148E-2</v>
      </c>
      <c r="AI44"/>
      <c r="AJ44"/>
      <c r="AK44"/>
      <c r="AL44"/>
      <c r="AM44"/>
      <c r="AN44" s="23">
        <v>6.2859859317541122E-3</v>
      </c>
      <c r="AO44" s="22">
        <v>9.0125007554888725E-3</v>
      </c>
      <c r="AP44"/>
      <c r="AQ44" s="268">
        <v>0.29721358418464661</v>
      </c>
      <c r="AR44" s="245">
        <v>0.17504635453224182</v>
      </c>
      <c r="AS44" s="14">
        <v>3.1088229734450579E-3</v>
      </c>
      <c r="AT44" s="18">
        <v>1.4224979095160961E-2</v>
      </c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0.80000001192092896</v>
      </c>
      <c r="C45">
        <v>3.9999961853027344E-2</v>
      </c>
      <c r="D45" s="12">
        <v>2.9905850533396006E-3</v>
      </c>
      <c r="E45"/>
      <c r="F45"/>
      <c r="G45"/>
      <c r="H45"/>
      <c r="I45" s="11">
        <v>4.5661089825443923E-4</v>
      </c>
      <c r="J45"/>
      <c r="K45" s="11">
        <v>7.3757907375693321E-4</v>
      </c>
      <c r="L45" s="11">
        <v>3.4797113039530814E-4</v>
      </c>
      <c r="M45"/>
      <c r="N45" s="15">
        <v>8.3307716995477676E-3</v>
      </c>
      <c r="O45"/>
      <c r="P45"/>
      <c r="Q45"/>
      <c r="R45"/>
      <c r="S45"/>
      <c r="T45" s="11">
        <v>7.5465432018972933E-6</v>
      </c>
      <c r="U45"/>
      <c r="V45"/>
      <c r="W45" s="11">
        <v>2.8384720280882902E-5</v>
      </c>
      <c r="X45"/>
      <c r="Y45"/>
      <c r="Z45"/>
      <c r="AA45"/>
      <c r="AB45"/>
      <c r="AC45" s="64">
        <v>1.7643924802541733E-2</v>
      </c>
      <c r="AD45"/>
      <c r="AE45" s="282">
        <v>0.21871349215507507</v>
      </c>
      <c r="AF45" s="14">
        <v>1.1154339881613851E-3</v>
      </c>
      <c r="AG45"/>
      <c r="AH45"/>
      <c r="AI45"/>
      <c r="AJ45" s="64">
        <v>1.7696013674139977E-2</v>
      </c>
      <c r="AK45"/>
      <c r="AL45"/>
      <c r="AM45"/>
      <c r="AN45"/>
      <c r="AO45"/>
      <c r="AP45"/>
      <c r="AQ45"/>
      <c r="AR45" s="68">
        <v>7.4158884584903717E-2</v>
      </c>
      <c r="AS45" s="14">
        <v>1.8852798966690898E-3</v>
      </c>
      <c r="AT45" s="321">
        <v>0.32588759064674377</v>
      </c>
      <c r="AU45"/>
      <c r="AV45" s="292">
        <v>8.999999612569809E-2</v>
      </c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17</v>
      </c>
      <c r="C46">
        <v>0.85000121593475342</v>
      </c>
      <c r="D46"/>
      <c r="E46"/>
      <c r="F46"/>
      <c r="G46" s="16">
        <v>0.26338976621627808</v>
      </c>
      <c r="H46"/>
      <c r="I46" s="11">
        <v>1.3760603964328766E-2</v>
      </c>
      <c r="J46"/>
      <c r="K46"/>
      <c r="L46"/>
      <c r="M46"/>
      <c r="N46"/>
      <c r="O46" s="11">
        <v>3.8709871005266905E-3</v>
      </c>
      <c r="P46" s="14">
        <v>1.9257007166743279E-2</v>
      </c>
      <c r="Q46"/>
      <c r="R46" s="22">
        <v>0.12290440499782562</v>
      </c>
      <c r="S46"/>
      <c r="T46"/>
      <c r="U46"/>
      <c r="V46"/>
      <c r="W46"/>
      <c r="X46" s="17">
        <v>0.24912169575691223</v>
      </c>
      <c r="Y46"/>
      <c r="Z46" s="18">
        <v>0.20925459265708923</v>
      </c>
      <c r="AA46" s="253">
        <v>0.40177562832832336</v>
      </c>
      <c r="AB46" s="11">
        <v>8.9219375513494015E-4</v>
      </c>
      <c r="AC46" s="23">
        <v>8.8864274322986603E-2</v>
      </c>
      <c r="AD46"/>
      <c r="AE46"/>
      <c r="AF46"/>
      <c r="AG46"/>
      <c r="AH46" s="320">
        <v>3.5041062831878662</v>
      </c>
      <c r="AI46"/>
      <c r="AJ46"/>
      <c r="AK46"/>
      <c r="AL46" s="322">
        <v>7.4311699867248535</v>
      </c>
      <c r="AM46" s="255">
        <v>0.84360688924789429</v>
      </c>
      <c r="AN46"/>
      <c r="AO46" s="270">
        <v>2.9980254173278809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2.5699999332427979</v>
      </c>
      <c r="C47">
        <v>0.12850002944469452</v>
      </c>
      <c r="D47"/>
      <c r="E47"/>
      <c r="F47"/>
      <c r="G47" s="16">
        <v>3.9151083678007126E-2</v>
      </c>
      <c r="H47"/>
      <c r="I47"/>
      <c r="J47" s="14">
        <v>2.8807050548493862E-3</v>
      </c>
      <c r="K47" s="14">
        <v>2.64322804287076E-3</v>
      </c>
      <c r="L47"/>
      <c r="M47"/>
      <c r="N47"/>
      <c r="O47" s="11">
        <v>5.7539570843800902E-4</v>
      </c>
      <c r="P47"/>
      <c r="Q47" s="11">
        <v>1.0836579604074359E-3</v>
      </c>
      <c r="R47"/>
      <c r="S47" s="16">
        <v>4.1525054723024368E-2</v>
      </c>
      <c r="T47"/>
      <c r="U47"/>
      <c r="V47"/>
      <c r="W47"/>
      <c r="X47"/>
      <c r="Y47"/>
      <c r="Z47" s="11">
        <v>1.3068777043372393E-3</v>
      </c>
      <c r="AA47" s="23">
        <v>1.2989358976483345E-2</v>
      </c>
      <c r="AB47" s="11">
        <v>1.3261847198009491E-3</v>
      </c>
      <c r="AC47" s="17">
        <v>3.3658772706985474E-2</v>
      </c>
      <c r="AD47"/>
      <c r="AE47" s="28">
        <v>0.12058363109827042</v>
      </c>
      <c r="AF47"/>
      <c r="AG47" s="12">
        <v>1.1009532026946545E-2</v>
      </c>
      <c r="AH47" s="243">
        <v>0.22813726961612701</v>
      </c>
      <c r="AI47"/>
      <c r="AJ47"/>
      <c r="AK47"/>
      <c r="AL47" s="74">
        <v>0.24317079782485962</v>
      </c>
      <c r="AM47" s="253">
        <v>6.2698192894458771E-2</v>
      </c>
      <c r="AN47" s="14">
        <v>4.1396655142307281E-3</v>
      </c>
      <c r="AO47" s="67">
        <v>0.16321869194507599</v>
      </c>
      <c r="AP47"/>
      <c r="AQ47"/>
      <c r="AR47"/>
      <c r="AS47"/>
      <c r="AT47"/>
      <c r="AU47"/>
      <c r="AV47"/>
      <c r="AW47" s="295">
        <v>1.0027514696121216</v>
      </c>
      <c r="AX47"/>
      <c r="AY47" s="110">
        <v>0.46865031123161316</v>
      </c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4.0799999237060547</v>
      </c>
      <c r="C48">
        <v>0.20400004088878632</v>
      </c>
      <c r="D48" s="11">
        <v>1.2017331982860924E-6</v>
      </c>
      <c r="E48"/>
      <c r="F48"/>
      <c r="G48"/>
      <c r="H48" s="11">
        <v>1.5659079508623108E-5</v>
      </c>
      <c r="I48" s="11">
        <v>1.1871411697939038E-3</v>
      </c>
      <c r="J48"/>
      <c r="K48" s="14">
        <v>4.6023102477192879E-3</v>
      </c>
      <c r="L48" s="11">
        <v>3.8901616353541613E-3</v>
      </c>
      <c r="M48" s="14">
        <v>5.3174197673797607E-3</v>
      </c>
      <c r="N48" s="12">
        <v>1.7327316105365753E-2</v>
      </c>
      <c r="O48" s="11">
        <v>3.3395396894775331E-4</v>
      </c>
      <c r="P48"/>
      <c r="Q48"/>
      <c r="R48"/>
      <c r="S48" s="26">
        <v>0.10549356043338776</v>
      </c>
      <c r="T48"/>
      <c r="U48"/>
      <c r="V48"/>
      <c r="W48"/>
      <c r="X48" s="15">
        <v>3.6815635859966278E-2</v>
      </c>
      <c r="Y48"/>
      <c r="Z48" s="12">
        <v>1.3953439891338348E-2</v>
      </c>
      <c r="AA48"/>
      <c r="AB48"/>
      <c r="AC48" s="266">
        <v>0.13364551961421967</v>
      </c>
      <c r="AD48"/>
      <c r="AE48" s="17">
        <v>5.9487704187631607E-2</v>
      </c>
      <c r="AF48"/>
      <c r="AG48" s="17">
        <v>5.6880958378314972E-2</v>
      </c>
      <c r="AH48" s="19">
        <v>7.5575694441795349E-2</v>
      </c>
      <c r="AI48"/>
      <c r="AJ48"/>
      <c r="AK48"/>
      <c r="AL48" s="64">
        <v>8.5535712540149689E-2</v>
      </c>
      <c r="AM48"/>
      <c r="AN48" s="11">
        <v>2.4026208557188511E-3</v>
      </c>
      <c r="AO48" s="274">
        <v>0.73282098770141602</v>
      </c>
      <c r="AP48" s="15">
        <v>4.3882191181182861E-2</v>
      </c>
      <c r="AQ48" s="255">
        <v>0.19880107045173645</v>
      </c>
      <c r="AR48"/>
      <c r="AS48"/>
      <c r="AT48"/>
      <c r="AU48"/>
      <c r="AV48"/>
      <c r="AW48" s="245">
        <v>0.58198702335357666</v>
      </c>
      <c r="AX48" s="255">
        <v>0.19888032972812653</v>
      </c>
      <c r="AY48" s="256">
        <v>0.54399996995925903</v>
      </c>
      <c r="AZ48" s="313">
        <v>0.97316253185272217</v>
      </c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5.0799999237060547</v>
      </c>
      <c r="C49">
        <v>1.3002834320068359</v>
      </c>
      <c r="D49"/>
      <c r="E49" s="11">
        <v>2.1179954055696726E-3</v>
      </c>
      <c r="F49"/>
      <c r="G49"/>
      <c r="H49" s="11">
        <v>1.0388297596364282E-5</v>
      </c>
      <c r="I49" s="11">
        <v>6.3004338881000876E-4</v>
      </c>
      <c r="J49"/>
      <c r="K49" s="11">
        <v>3.5620564594864845E-3</v>
      </c>
      <c r="L49" s="11">
        <v>7.802266045473516E-4</v>
      </c>
      <c r="M49" s="14">
        <v>5.7029505260288715E-3</v>
      </c>
      <c r="N49" s="11">
        <v>8.2107225898653269E-4</v>
      </c>
      <c r="O49" s="11">
        <v>1.1077321832999587E-3</v>
      </c>
      <c r="P49" s="11">
        <v>1.1021274840459228E-3</v>
      </c>
      <c r="Q49" s="11">
        <v>5.5632577277719975E-4</v>
      </c>
      <c r="R49"/>
      <c r="S49" s="15">
        <v>4.8451058566570282E-2</v>
      </c>
      <c r="T49" s="11">
        <v>4.1651655919849873E-5</v>
      </c>
      <c r="U49" s="11">
        <v>9.9381559994071722E-4</v>
      </c>
      <c r="V49" s="11">
        <v>3.0831204639980569E-5</v>
      </c>
      <c r="W49" s="11">
        <v>1.5666383842471987E-4</v>
      </c>
      <c r="X49" s="23">
        <v>2.5961551815271378E-2</v>
      </c>
      <c r="Y49"/>
      <c r="Z49" s="14">
        <v>1.4095531776547432E-2</v>
      </c>
      <c r="AA49" s="12">
        <v>1.5004005283117294E-2</v>
      </c>
      <c r="AB49"/>
      <c r="AC49" s="22">
        <v>4.3603762984275818E-2</v>
      </c>
      <c r="AD49" s="23">
        <v>2.9392389580607414E-2</v>
      </c>
      <c r="AE49" s="283">
        <v>0.53366285562515259</v>
      </c>
      <c r="AF49" s="14">
        <v>8.5131712257862091E-3</v>
      </c>
      <c r="AG49" s="16">
        <v>8.3022609353065491E-2</v>
      </c>
      <c r="AH49" s="63">
        <v>0.27437072992324829</v>
      </c>
      <c r="AI49"/>
      <c r="AJ49" s="15">
        <v>5.4469611495733261E-2</v>
      </c>
      <c r="AK49" s="14">
        <v>6.3385786488652229E-3</v>
      </c>
      <c r="AL49" s="75">
        <v>0.39715725183486938</v>
      </c>
      <c r="AM49"/>
      <c r="AN49" s="11">
        <v>2.390862675383687E-3</v>
      </c>
      <c r="AO49" s="255">
        <v>0.25396689772605896</v>
      </c>
      <c r="AP49" s="23">
        <v>2.9111625626683235E-2</v>
      </c>
      <c r="AQ49" s="13">
        <v>0.18840773403644562</v>
      </c>
      <c r="AR49" s="17">
        <v>6.5781213343143463E-2</v>
      </c>
      <c r="AS49"/>
      <c r="AT49" s="20">
        <v>0.22042553126811981</v>
      </c>
      <c r="AU49" s="67">
        <v>0.32076027989387512</v>
      </c>
      <c r="AV49" s="253">
        <v>0.12418430298566818</v>
      </c>
      <c r="AW49" s="294">
        <v>0.2316555380821228</v>
      </c>
      <c r="AX49" s="276">
        <v>0.19790700078010559</v>
      </c>
      <c r="AY49" s="257">
        <v>0.27066886425018311</v>
      </c>
      <c r="AZ49" s="67">
        <v>0.32280001044273376</v>
      </c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7</v>
      </c>
      <c r="C50">
        <v>3.8394312858581543</v>
      </c>
      <c r="D50"/>
      <c r="E50" s="14">
        <v>8.459865115582943E-3</v>
      </c>
      <c r="F50"/>
      <c r="G50" s="11">
        <v>2.05600680783391E-3</v>
      </c>
      <c r="H50"/>
      <c r="I50"/>
      <c r="J50" s="11">
        <v>4.204318393021822E-3</v>
      </c>
      <c r="K50"/>
      <c r="L50" s="11">
        <v>4.9114682042272761E-5</v>
      </c>
      <c r="M50" s="11">
        <v>1.2830111663788557E-3</v>
      </c>
      <c r="N50" s="11">
        <v>1.4558188850060105E-3</v>
      </c>
      <c r="O50" s="11">
        <v>1.2086689821444452E-4</v>
      </c>
      <c r="P50" s="11">
        <v>2.4051075160969049E-4</v>
      </c>
      <c r="Q50" s="11">
        <v>4.7347424697363749E-5</v>
      </c>
      <c r="R50" s="11">
        <v>2.9749157838523388E-3</v>
      </c>
      <c r="S50" s="14">
        <v>1.453783456236124E-2</v>
      </c>
      <c r="T50" s="11">
        <v>2.698413300095126E-5</v>
      </c>
      <c r="U50" s="11">
        <v>4.5182176108937711E-5</v>
      </c>
      <c r="V50"/>
      <c r="W50" s="11">
        <v>1.068369165295735E-4</v>
      </c>
      <c r="X50" s="11">
        <v>3.265980863943696E-3</v>
      </c>
      <c r="Y50"/>
      <c r="Z50" s="11">
        <v>3.8428858388215303E-3</v>
      </c>
      <c r="AA50" s="11">
        <v>1.0911229765042663E-3</v>
      </c>
      <c r="AB50" s="11">
        <v>8.3534850273281336E-4</v>
      </c>
      <c r="AC50" s="14">
        <v>8.8017331436276436E-3</v>
      </c>
      <c r="AD50" s="11">
        <v>3.4361379221081734E-3</v>
      </c>
      <c r="AE50" s="17">
        <v>9.5545016229152679E-2</v>
      </c>
      <c r="AF50" s="11">
        <v>4.4214082881808281E-3</v>
      </c>
      <c r="AG50" s="14">
        <v>1.8119517713785172E-2</v>
      </c>
      <c r="AH50" s="253">
        <v>0.16915738582611084</v>
      </c>
      <c r="AI50" s="287">
        <v>0.87204962968826294</v>
      </c>
      <c r="AJ50" s="11">
        <v>2.050444483757019E-3</v>
      </c>
      <c r="AK50" s="11">
        <v>1.9950433634221554E-3</v>
      </c>
      <c r="AL50" s="13">
        <v>0.2553648054599762</v>
      </c>
      <c r="AM50" s="16">
        <v>0.1053624302148819</v>
      </c>
      <c r="AN50" s="11">
        <v>1.0869662510231137E-3</v>
      </c>
      <c r="AO50" s="15">
        <v>6.6876411437988281E-2</v>
      </c>
      <c r="AP50" s="12">
        <v>3.1764283776283264E-2</v>
      </c>
      <c r="AQ50" s="22">
        <v>5.6533258408308029E-2</v>
      </c>
      <c r="AR50"/>
      <c r="AS50"/>
      <c r="AT50"/>
      <c r="AU50"/>
      <c r="AV50" s="18">
        <v>7.6218754053115845E-2</v>
      </c>
      <c r="AW50" s="324">
        <v>1.0531834363937378</v>
      </c>
      <c r="AX50" s="25">
        <v>0.21594032645225525</v>
      </c>
      <c r="AY50" s="12">
        <v>2.461102232336998E-2</v>
      </c>
      <c r="AZ50" s="12">
        <v>2.9351133853197098E-2</v>
      </c>
      <c r="BA50"/>
      <c r="BB50"/>
      <c r="BC50" s="12">
        <v>2.4055721238255501E-2</v>
      </c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40</v>
      </c>
      <c r="C51">
        <v>0.61859607696533203</v>
      </c>
      <c r="D51"/>
      <c r="E51" s="11">
        <v>1.7064991698134691E-4</v>
      </c>
      <c r="F51"/>
      <c r="G51" s="11">
        <v>4.2509995400905609E-3</v>
      </c>
      <c r="H51"/>
      <c r="I51"/>
      <c r="J51"/>
      <c r="K51"/>
      <c r="L51"/>
      <c r="M51"/>
      <c r="N51" s="11">
        <v>2.3154237715061754E-4</v>
      </c>
      <c r="O51"/>
      <c r="P51"/>
      <c r="Q51"/>
      <c r="R51"/>
      <c r="S51"/>
      <c r="T51" s="11">
        <v>4.4046624680049717E-5</v>
      </c>
      <c r="U51" s="11">
        <v>1.121024033636786E-4</v>
      </c>
      <c r="V51"/>
      <c r="W51" s="11">
        <v>2.2089600679464638E-4</v>
      </c>
      <c r="X51"/>
      <c r="Y51"/>
      <c r="Z51"/>
      <c r="AA51"/>
      <c r="AB51"/>
      <c r="AC51"/>
      <c r="AD51" s="11">
        <v>2.0366406068205833E-2</v>
      </c>
      <c r="AE51" s="11">
        <v>2.5531137362122536E-2</v>
      </c>
      <c r="AF51" s="11">
        <v>9.1417031362652779E-3</v>
      </c>
      <c r="AG51"/>
      <c r="AH51" s="12">
        <v>0.15552577376365662</v>
      </c>
      <c r="AI51" s="294">
        <v>1.8030498027801514</v>
      </c>
      <c r="AJ51" s="11">
        <v>2.9131853953003883E-3</v>
      </c>
      <c r="AK51"/>
      <c r="AL51" s="23">
        <v>0.23987188935279846</v>
      </c>
      <c r="AM51" s="11">
        <v>1.3615459203720093E-2</v>
      </c>
      <c r="AN51"/>
      <c r="AO51"/>
      <c r="AP51" s="14">
        <v>7.6621800661087036E-2</v>
      </c>
      <c r="AQ51" s="11">
        <v>1.0626197792589664E-2</v>
      </c>
      <c r="AR51"/>
      <c r="AS51"/>
      <c r="AT51"/>
      <c r="AU51"/>
      <c r="AV51" s="12">
        <v>0.15758989751338959</v>
      </c>
      <c r="AW51" s="146">
        <v>1.1758835315704346</v>
      </c>
      <c r="AX51" s="28">
        <v>1.8603264093399048</v>
      </c>
      <c r="AY51" s="18">
        <v>0.50885748863220215</v>
      </c>
      <c r="AZ51" s="16">
        <v>0.60686403512954712</v>
      </c>
      <c r="BA51" s="325">
        <v>32.564701080322266</v>
      </c>
      <c r="BB51"/>
      <c r="BC51" s="12">
        <v>0.14488781988620758</v>
      </c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>
        <v>18.25</v>
      </c>
      <c r="C52">
        <v>1.8249982595443726</v>
      </c>
      <c r="D52"/>
      <c r="E52"/>
      <c r="F52"/>
      <c r="G52"/>
      <c r="H52"/>
      <c r="I52"/>
      <c r="J52"/>
      <c r="K52"/>
      <c r="L52"/>
      <c r="M52"/>
      <c r="N52" s="71">
        <v>1.2824583053588867</v>
      </c>
      <c r="O52"/>
      <c r="P52"/>
      <c r="Q52"/>
      <c r="R52" s="308">
        <v>6.7511906623840332</v>
      </c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 s="309">
        <v>8.3913516998291016</v>
      </c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>
        <v>88</v>
      </c>
      <c r="C53">
        <v>53.934799194335938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 s="11">
        <v>2.4401771370321512E-3</v>
      </c>
      <c r="AF53"/>
      <c r="AG53"/>
      <c r="AH53"/>
      <c r="AI53"/>
      <c r="AJ53"/>
      <c r="AK53"/>
      <c r="AL53" s="11">
        <v>3.7279538810253143E-2</v>
      </c>
      <c r="AM53"/>
      <c r="AN53"/>
      <c r="AO53"/>
      <c r="AP53" s="11">
        <v>1.147526316344738E-2</v>
      </c>
      <c r="AQ53"/>
      <c r="AR53"/>
      <c r="AS53"/>
      <c r="AT53" s="11">
        <v>8.1095136702060699E-3</v>
      </c>
      <c r="AU53" s="18">
        <v>1.0536478757858276</v>
      </c>
      <c r="AV53" s="14">
        <v>0.19172532856464386</v>
      </c>
      <c r="AW53" s="11">
        <v>5.0730172544717789E-2</v>
      </c>
      <c r="AX53" s="12">
        <v>0.26003760099411011</v>
      </c>
      <c r="AY53" s="14">
        <v>0.23709475994110107</v>
      </c>
      <c r="AZ53" s="14">
        <v>0.14137974381446838</v>
      </c>
      <c r="BA53" s="266">
        <v>2.9503152370452881</v>
      </c>
      <c r="BB53" s="326">
        <v>29.120967864990234</v>
      </c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244</v>
      </c>
      <c r="B54">
        <v>5</v>
      </c>
      <c r="C54">
        <v>1.4999997615814209</v>
      </c>
      <c r="D54"/>
      <c r="E54"/>
      <c r="F54"/>
      <c r="G54"/>
      <c r="H54"/>
      <c r="I54"/>
      <c r="J54"/>
      <c r="K54"/>
      <c r="L54"/>
      <c r="M54" s="11">
        <v>1.6828684601932764E-3</v>
      </c>
      <c r="N54"/>
      <c r="O54"/>
      <c r="P54"/>
      <c r="Q54"/>
      <c r="R54"/>
      <c r="S54" s="22">
        <v>4.067973792552948E-2</v>
      </c>
      <c r="T54"/>
      <c r="U54"/>
      <c r="V54" s="11">
        <v>1.176661578938365E-3</v>
      </c>
      <c r="W54"/>
      <c r="X54"/>
      <c r="Y54"/>
      <c r="Z54"/>
      <c r="AA54"/>
      <c r="AB54"/>
      <c r="AC54"/>
      <c r="AD54" s="11">
        <v>1.6024996293708682E-3</v>
      </c>
      <c r="AE54" s="291">
        <v>0.4518430233001709</v>
      </c>
      <c r="AF54"/>
      <c r="AG54"/>
      <c r="AH54"/>
      <c r="AI54"/>
      <c r="AJ54" s="11">
        <v>3.2273570541292429E-3</v>
      </c>
      <c r="AK54"/>
      <c r="AL54"/>
      <c r="AM54"/>
      <c r="AN54" s="11">
        <v>1.5207733958959579E-3</v>
      </c>
      <c r="AO54"/>
      <c r="AP54"/>
      <c r="AQ54" s="27">
        <v>0.17976279556751251</v>
      </c>
      <c r="AR54" s="18">
        <v>5.439450591802597E-2</v>
      </c>
      <c r="AS54"/>
      <c r="AT54" s="245">
        <v>0.71085274219512939</v>
      </c>
      <c r="AU54"/>
      <c r="AV54"/>
      <c r="AW54"/>
      <c r="AX54"/>
      <c r="AY54"/>
      <c r="AZ54" s="323">
        <v>2.0532572269439697</v>
      </c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245</v>
      </c>
      <c r="B55">
        <v>55.574001312255859</v>
      </c>
      <c r="C55">
        <v>51.230625152587891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 s="11">
        <v>1.1050890898332E-3</v>
      </c>
      <c r="T55"/>
      <c r="U55"/>
      <c r="V55"/>
      <c r="W55"/>
      <c r="X55"/>
      <c r="Y55"/>
      <c r="Z55"/>
      <c r="AA55"/>
      <c r="AB55"/>
      <c r="AC55"/>
      <c r="AD55"/>
      <c r="AE55" s="11">
        <v>1.2996619567275047E-2</v>
      </c>
      <c r="AF55"/>
      <c r="AG55"/>
      <c r="AH55"/>
      <c r="AI55"/>
      <c r="AJ55"/>
      <c r="AK55"/>
      <c r="AL55"/>
      <c r="AM55"/>
      <c r="AN55" s="11">
        <v>1.9830097444355488E-3</v>
      </c>
      <c r="AO55"/>
      <c r="AP55" s="11">
        <v>1.4084890484809875E-2</v>
      </c>
      <c r="AQ55" s="14">
        <v>8.2040488719940186E-2</v>
      </c>
      <c r="AR55" s="11">
        <v>3.7888686638325453E-3</v>
      </c>
      <c r="AS55"/>
      <c r="AT55" s="11">
        <v>4.5248821377754211E-2</v>
      </c>
      <c r="AU55" s="146">
        <v>1.5962539911270142</v>
      </c>
      <c r="AV55" s="14">
        <v>8.3687439560890198E-2</v>
      </c>
      <c r="AW55"/>
      <c r="AX55" s="11">
        <v>4.1036598384380341E-2</v>
      </c>
      <c r="AY55" s="21">
        <v>1.1224797964096069</v>
      </c>
      <c r="AZ55" s="253">
        <v>1.3386707305908203</v>
      </c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246</v>
      </c>
      <c r="B56"/>
      <c r="C56">
        <v>5.2221387624740601E-2</v>
      </c>
      <c r="D56"/>
      <c r="E56"/>
      <c r="F56"/>
      <c r="G56"/>
      <c r="H56"/>
      <c r="I56"/>
      <c r="J56"/>
      <c r="K56"/>
      <c r="L56"/>
      <c r="M56" s="9">
        <v>0.4774957001209259</v>
      </c>
      <c r="N56"/>
      <c r="O56"/>
      <c r="P56"/>
      <c r="Q56"/>
      <c r="R56" s="9">
        <v>2.79653649777174E-2</v>
      </c>
      <c r="S56" s="9">
        <v>0.15029211342334747</v>
      </c>
      <c r="T56"/>
      <c r="U56"/>
      <c r="V56"/>
      <c r="W56"/>
      <c r="X56" s="9">
        <v>1.0880270004272461</v>
      </c>
      <c r="Y56"/>
      <c r="Z56"/>
      <c r="AA56"/>
      <c r="AB56" s="9">
        <v>7.9212494194507599E-2</v>
      </c>
      <c r="AC56" s="9">
        <v>0.24583378434181213</v>
      </c>
      <c r="AD56" s="9">
        <v>5.9204674325883389E-3</v>
      </c>
      <c r="AE56" s="9">
        <v>3.4041512012481689</v>
      </c>
      <c r="AF56"/>
      <c r="AG56"/>
      <c r="AH56"/>
      <c r="AI56"/>
      <c r="AJ56" s="9">
        <v>3.7076905369758606E-2</v>
      </c>
      <c r="AK56"/>
      <c r="AL56" s="9">
        <v>1.9989323616027832</v>
      </c>
      <c r="AM56"/>
      <c r="AN56" s="9">
        <v>0.224741131067276</v>
      </c>
      <c r="AO56"/>
      <c r="AP56" s="9">
        <v>7.1148815155029297</v>
      </c>
      <c r="AQ56" s="9">
        <v>5.5787529945373535</v>
      </c>
      <c r="AR56" s="9">
        <v>0.5152861475944519</v>
      </c>
      <c r="AS56"/>
      <c r="AT56" s="9">
        <v>14.607599258422852</v>
      </c>
      <c r="AU56" s="9">
        <v>226.13600158691406</v>
      </c>
      <c r="AV56" s="9">
        <v>50.778961181640625</v>
      </c>
      <c r="AW56" s="9">
        <v>5.4439053535461426</v>
      </c>
      <c r="AX56"/>
      <c r="AY56" s="9">
        <v>127.21437072753906</v>
      </c>
      <c r="AZ56" s="9">
        <v>151.71600341796875</v>
      </c>
      <c r="BA56"/>
      <c r="BB56"/>
      <c r="BC56" s="9">
        <v>0.5406261682510376</v>
      </c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247</v>
      </c>
      <c r="B57"/>
      <c r="C57">
        <v>0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9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4.832031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4.8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200" t="s">
        <v>192</v>
      </c>
      <c r="E5">
        <v>4</v>
      </c>
      <c r="F5">
        <v>3.13</v>
      </c>
      <c r="G5">
        <v>4</v>
      </c>
      <c r="H5" s="201" t="s">
        <v>192</v>
      </c>
      <c r="J5" s="56"/>
      <c r="K5" s="57"/>
    </row>
    <row r="6" spans="1:12" ht="14" thickBot="1" x14ac:dyDescent="0.2">
      <c r="A6" s="40" t="s">
        <v>121</v>
      </c>
      <c r="D6" s="200" t="s">
        <v>193</v>
      </c>
      <c r="E6">
        <v>5</v>
      </c>
      <c r="F6">
        <v>3.13</v>
      </c>
      <c r="G6">
        <v>5</v>
      </c>
      <c r="H6" s="201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200" t="s">
        <v>194</v>
      </c>
      <c r="E7">
        <v>6</v>
      </c>
      <c r="F7">
        <v>3.13</v>
      </c>
      <c r="G7">
        <v>6</v>
      </c>
      <c r="H7" s="201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200" t="s">
        <v>195</v>
      </c>
      <c r="E8">
        <v>7</v>
      </c>
      <c r="F8">
        <v>3.13</v>
      </c>
      <c r="G8">
        <v>7</v>
      </c>
      <c r="H8" s="201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200" t="s">
        <v>196</v>
      </c>
      <c r="E9">
        <v>8</v>
      </c>
      <c r="F9">
        <v>3.22</v>
      </c>
      <c r="G9">
        <v>8</v>
      </c>
      <c r="H9" s="201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200" t="s">
        <v>197</v>
      </c>
      <c r="E10">
        <v>9</v>
      </c>
      <c r="F10">
        <v>3.22</v>
      </c>
      <c r="G10">
        <v>9</v>
      </c>
      <c r="H10" s="201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200" t="s">
        <v>198</v>
      </c>
      <c r="E11">
        <v>10</v>
      </c>
      <c r="F11">
        <v>3.22</v>
      </c>
      <c r="G11">
        <v>10</v>
      </c>
      <c r="H11" s="201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200" t="s">
        <v>199</v>
      </c>
      <c r="E12">
        <v>11</v>
      </c>
      <c r="F12">
        <v>3.22</v>
      </c>
      <c r="G12">
        <v>11</v>
      </c>
      <c r="H12" s="201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200" t="s">
        <v>200</v>
      </c>
      <c r="E13">
        <v>12</v>
      </c>
      <c r="F13">
        <v>3.22</v>
      </c>
      <c r="G13">
        <v>12</v>
      </c>
      <c r="H13" s="201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200" t="s">
        <v>201</v>
      </c>
      <c r="E14">
        <v>13</v>
      </c>
      <c r="F14">
        <v>3</v>
      </c>
      <c r="G14">
        <v>13</v>
      </c>
      <c r="H14" s="201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200" t="s">
        <v>202</v>
      </c>
      <c r="E15">
        <v>14</v>
      </c>
      <c r="F15">
        <v>3.12</v>
      </c>
      <c r="G15">
        <v>14</v>
      </c>
      <c r="H15" s="201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200" t="s">
        <v>203</v>
      </c>
      <c r="E16">
        <v>15</v>
      </c>
      <c r="F16">
        <v>3.12</v>
      </c>
      <c r="G16">
        <v>15</v>
      </c>
      <c r="H16" s="201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200" t="s">
        <v>204</v>
      </c>
      <c r="E17">
        <v>16</v>
      </c>
      <c r="F17">
        <v>3.22</v>
      </c>
      <c r="G17">
        <v>16</v>
      </c>
      <c r="H17" s="201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200" t="s">
        <v>205</v>
      </c>
      <c r="E18">
        <v>17</v>
      </c>
      <c r="F18">
        <v>3.22</v>
      </c>
      <c r="G18">
        <v>17</v>
      </c>
      <c r="H18" s="201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200" t="s">
        <v>206</v>
      </c>
      <c r="E19">
        <v>18</v>
      </c>
      <c r="F19">
        <v>3.22</v>
      </c>
      <c r="G19">
        <v>18</v>
      </c>
      <c r="H19" s="201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200" t="s">
        <v>207</v>
      </c>
      <c r="E20">
        <v>19</v>
      </c>
      <c r="F20">
        <v>3.12</v>
      </c>
      <c r="G20">
        <v>19</v>
      </c>
      <c r="H20" s="201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200" t="s">
        <v>208</v>
      </c>
      <c r="E21">
        <v>20</v>
      </c>
      <c r="F21">
        <v>3.12</v>
      </c>
      <c r="G21">
        <v>20</v>
      </c>
      <c r="H21" s="201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200" t="s">
        <v>209</v>
      </c>
      <c r="E22">
        <v>21</v>
      </c>
      <c r="F22">
        <v>3.12</v>
      </c>
      <c r="G22">
        <v>21</v>
      </c>
      <c r="H22" s="201" t="s">
        <v>209</v>
      </c>
    </row>
    <row r="23" spans="1:12" x14ac:dyDescent="0.15">
      <c r="A23" s="35" t="s">
        <v>129</v>
      </c>
      <c r="B23" s="43">
        <v>4</v>
      </c>
      <c r="C23" s="37"/>
      <c r="D23" s="200" t="s">
        <v>210</v>
      </c>
      <c r="E23">
        <v>22</v>
      </c>
      <c r="F23">
        <v>3.12</v>
      </c>
      <c r="G23">
        <v>22</v>
      </c>
      <c r="H23" s="201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200" t="s">
        <v>211</v>
      </c>
      <c r="E24">
        <v>23</v>
      </c>
      <c r="F24">
        <v>3.12</v>
      </c>
      <c r="G24">
        <v>23</v>
      </c>
      <c r="H24" s="201" t="s">
        <v>211</v>
      </c>
    </row>
    <row r="25" spans="1:12" x14ac:dyDescent="0.15">
      <c r="A25" s="35" t="s">
        <v>70</v>
      </c>
      <c r="B25" s="43">
        <v>4.2</v>
      </c>
      <c r="C25" s="37"/>
      <c r="D25" s="200" t="s">
        <v>212</v>
      </c>
      <c r="E25">
        <v>24</v>
      </c>
      <c r="F25">
        <v>3.12</v>
      </c>
      <c r="G25">
        <v>24</v>
      </c>
      <c r="H25" s="201" t="s">
        <v>212</v>
      </c>
    </row>
    <row r="26" spans="1:12" x14ac:dyDescent="0.15">
      <c r="A26" s="35" t="s">
        <v>123</v>
      </c>
      <c r="B26" s="43">
        <v>4.3</v>
      </c>
      <c r="C26" s="37"/>
      <c r="D26" s="200" t="s">
        <v>213</v>
      </c>
      <c r="E26">
        <v>25</v>
      </c>
      <c r="F26">
        <v>3.22</v>
      </c>
      <c r="G26">
        <v>25</v>
      </c>
      <c r="H26" s="201" t="s">
        <v>213</v>
      </c>
    </row>
    <row r="27" spans="1:12" x14ac:dyDescent="0.15">
      <c r="A27" s="35" t="s">
        <v>125</v>
      </c>
      <c r="B27" s="43">
        <v>6.1</v>
      </c>
      <c r="D27" s="200" t="s">
        <v>214</v>
      </c>
      <c r="E27">
        <v>26</v>
      </c>
      <c r="F27">
        <v>3</v>
      </c>
      <c r="G27">
        <v>26</v>
      </c>
      <c r="H27" s="201" t="s">
        <v>214</v>
      </c>
    </row>
    <row r="28" spans="1:12" x14ac:dyDescent="0.15">
      <c r="A28" s="35" t="s">
        <v>124</v>
      </c>
      <c r="B28" s="43">
        <v>6.2</v>
      </c>
      <c r="D28" s="200" t="s">
        <v>215</v>
      </c>
      <c r="E28">
        <v>27</v>
      </c>
      <c r="F28">
        <v>3.2</v>
      </c>
      <c r="G28">
        <v>27</v>
      </c>
      <c r="H28" s="201" t="s">
        <v>215</v>
      </c>
    </row>
    <row r="29" spans="1:12" x14ac:dyDescent="0.15">
      <c r="A29" s="35" t="s">
        <v>44</v>
      </c>
      <c r="B29" s="43">
        <v>5</v>
      </c>
      <c r="D29" s="200" t="s">
        <v>216</v>
      </c>
      <c r="E29">
        <v>28</v>
      </c>
      <c r="F29">
        <v>3.22</v>
      </c>
      <c r="G29">
        <v>28</v>
      </c>
      <c r="H29" s="201" t="s">
        <v>216</v>
      </c>
    </row>
    <row r="30" spans="1:12" x14ac:dyDescent="0.15">
      <c r="A30" s="35" t="s">
        <v>73</v>
      </c>
      <c r="B30" s="43">
        <v>7</v>
      </c>
      <c r="D30" s="200" t="s">
        <v>217</v>
      </c>
      <c r="E30">
        <v>29</v>
      </c>
      <c r="F30">
        <v>3.2</v>
      </c>
      <c r="G30">
        <v>29</v>
      </c>
      <c r="H30" s="201" t="s">
        <v>217</v>
      </c>
    </row>
    <row r="31" spans="1:12" x14ac:dyDescent="0.15">
      <c r="A31" s="35" t="s">
        <v>169</v>
      </c>
      <c r="B31" s="43">
        <v>3.14</v>
      </c>
      <c r="D31" s="200" t="s">
        <v>218</v>
      </c>
      <c r="E31">
        <v>30</v>
      </c>
      <c r="F31">
        <v>3.2</v>
      </c>
      <c r="G31">
        <v>30</v>
      </c>
      <c r="H31" s="201" t="s">
        <v>218</v>
      </c>
    </row>
    <row r="32" spans="1:12" ht="12" customHeight="1" thickBot="1" x14ac:dyDescent="0.2">
      <c r="A32" s="41" t="s">
        <v>170</v>
      </c>
      <c r="B32" s="44">
        <v>9</v>
      </c>
      <c r="D32" s="200" t="s">
        <v>219</v>
      </c>
      <c r="E32">
        <v>31</v>
      </c>
      <c r="F32">
        <v>3.2</v>
      </c>
      <c r="G32">
        <v>31</v>
      </c>
      <c r="H32" s="201" t="s">
        <v>219</v>
      </c>
    </row>
    <row r="33" spans="4:8" customFormat="1" ht="12" customHeight="1" x14ac:dyDescent="0.15">
      <c r="D33" s="200" t="s">
        <v>220</v>
      </c>
      <c r="E33">
        <v>32</v>
      </c>
      <c r="F33">
        <v>3.2</v>
      </c>
      <c r="G33">
        <v>32</v>
      </c>
      <c r="H33" s="201" t="s">
        <v>220</v>
      </c>
    </row>
    <row r="34" spans="4:8" customFormat="1" ht="12" customHeight="1" x14ac:dyDescent="0.15">
      <c r="D34" s="200" t="s">
        <v>221</v>
      </c>
      <c r="E34">
        <v>33</v>
      </c>
      <c r="F34">
        <v>3.12</v>
      </c>
      <c r="G34">
        <v>33</v>
      </c>
      <c r="H34" s="201" t="s">
        <v>221</v>
      </c>
    </row>
    <row r="35" spans="4:8" customFormat="1" x14ac:dyDescent="0.15">
      <c r="D35" s="200" t="s">
        <v>222</v>
      </c>
      <c r="E35">
        <v>34</v>
      </c>
      <c r="F35">
        <v>3.12</v>
      </c>
      <c r="G35">
        <v>34</v>
      </c>
      <c r="H35" s="201" t="s">
        <v>222</v>
      </c>
    </row>
    <row r="36" spans="4:8" customFormat="1" x14ac:dyDescent="0.15">
      <c r="D36" s="200" t="s">
        <v>223</v>
      </c>
      <c r="E36">
        <v>35</v>
      </c>
      <c r="F36">
        <v>3.22</v>
      </c>
      <c r="G36">
        <v>35</v>
      </c>
      <c r="H36" s="201" t="s">
        <v>223</v>
      </c>
    </row>
    <row r="37" spans="4:8" customFormat="1" ht="12" customHeight="1" x14ac:dyDescent="0.15">
      <c r="D37" s="200" t="s">
        <v>224</v>
      </c>
      <c r="E37">
        <v>36</v>
      </c>
      <c r="F37">
        <v>3.22</v>
      </c>
      <c r="G37">
        <v>36</v>
      </c>
      <c r="H37" s="201" t="s">
        <v>224</v>
      </c>
    </row>
    <row r="38" spans="4:8" customFormat="1" x14ac:dyDescent="0.15">
      <c r="D38" s="200" t="s">
        <v>225</v>
      </c>
      <c r="E38">
        <v>37</v>
      </c>
      <c r="F38">
        <v>3.12</v>
      </c>
      <c r="G38">
        <v>37</v>
      </c>
      <c r="H38" s="201" t="s">
        <v>225</v>
      </c>
    </row>
    <row r="39" spans="4:8" customFormat="1" x14ac:dyDescent="0.15">
      <c r="D39" s="200" t="s">
        <v>226</v>
      </c>
      <c r="E39">
        <v>38</v>
      </c>
      <c r="F39">
        <v>3.1</v>
      </c>
      <c r="G39">
        <v>38</v>
      </c>
      <c r="H39" s="201" t="s">
        <v>226</v>
      </c>
    </row>
    <row r="40" spans="4:8" customFormat="1" x14ac:dyDescent="0.15">
      <c r="D40" s="200" t="s">
        <v>227</v>
      </c>
      <c r="E40">
        <v>39</v>
      </c>
      <c r="F40">
        <v>3.21</v>
      </c>
      <c r="G40">
        <v>39</v>
      </c>
      <c r="H40" s="201" t="s">
        <v>227</v>
      </c>
    </row>
    <row r="41" spans="4:8" customFormat="1" x14ac:dyDescent="0.15">
      <c r="D41" s="200" t="s">
        <v>228</v>
      </c>
      <c r="E41">
        <v>40</v>
      </c>
      <c r="F41">
        <v>3.12</v>
      </c>
      <c r="G41">
        <v>40</v>
      </c>
      <c r="H41" s="201" t="s">
        <v>228</v>
      </c>
    </row>
    <row r="42" spans="4:8" customFormat="1" x14ac:dyDescent="0.15">
      <c r="D42" s="200" t="s">
        <v>229</v>
      </c>
      <c r="E42">
        <v>41</v>
      </c>
      <c r="F42">
        <v>3</v>
      </c>
      <c r="G42">
        <v>41</v>
      </c>
      <c r="H42" s="201" t="s">
        <v>229</v>
      </c>
    </row>
    <row r="43" spans="4:8" customFormat="1" x14ac:dyDescent="0.15">
      <c r="D43" s="200" t="s">
        <v>230</v>
      </c>
      <c r="E43">
        <v>42</v>
      </c>
      <c r="F43">
        <v>3.21</v>
      </c>
      <c r="G43">
        <v>42</v>
      </c>
      <c r="H43" s="201" t="s">
        <v>230</v>
      </c>
    </row>
    <row r="44" spans="4:8" customFormat="1" x14ac:dyDescent="0.15">
      <c r="D44" s="200" t="s">
        <v>231</v>
      </c>
      <c r="E44">
        <v>43</v>
      </c>
      <c r="F44">
        <v>3.21</v>
      </c>
      <c r="G44">
        <v>43</v>
      </c>
      <c r="H44" s="201" t="s">
        <v>231</v>
      </c>
    </row>
    <row r="45" spans="4:8" customFormat="1" x14ac:dyDescent="0.15">
      <c r="D45" s="200" t="s">
        <v>232</v>
      </c>
      <c r="E45">
        <v>44</v>
      </c>
      <c r="F45">
        <v>3.21</v>
      </c>
      <c r="G45">
        <v>44</v>
      </c>
      <c r="H45" s="201" t="s">
        <v>232</v>
      </c>
    </row>
    <row r="46" spans="4:8" customFormat="1" x14ac:dyDescent="0.15">
      <c r="D46" s="200" t="s">
        <v>233</v>
      </c>
      <c r="E46">
        <v>45</v>
      </c>
      <c r="F46">
        <v>3.21</v>
      </c>
      <c r="G46">
        <v>45</v>
      </c>
      <c r="H46" s="201" t="s">
        <v>233</v>
      </c>
    </row>
    <row r="47" spans="4:8" customFormat="1" x14ac:dyDescent="0.15">
      <c r="D47" s="200" t="s">
        <v>234</v>
      </c>
      <c r="E47">
        <v>46</v>
      </c>
      <c r="F47">
        <v>3.21</v>
      </c>
      <c r="G47">
        <v>46</v>
      </c>
      <c r="H47" s="201" t="s">
        <v>234</v>
      </c>
    </row>
    <row r="48" spans="4:8" customFormat="1" x14ac:dyDescent="0.15">
      <c r="D48" s="200" t="s">
        <v>235</v>
      </c>
      <c r="E48">
        <v>47</v>
      </c>
      <c r="F48">
        <v>3.21</v>
      </c>
      <c r="G48">
        <v>47</v>
      </c>
      <c r="H48" s="201" t="s">
        <v>235</v>
      </c>
    </row>
    <row r="49" spans="4:8" customFormat="1" x14ac:dyDescent="0.15">
      <c r="D49" s="200" t="s">
        <v>236</v>
      </c>
      <c r="E49">
        <v>48</v>
      </c>
      <c r="F49">
        <v>3.12</v>
      </c>
      <c r="G49">
        <v>48</v>
      </c>
      <c r="H49" s="201" t="s">
        <v>236</v>
      </c>
    </row>
    <row r="50" spans="4:8" customFormat="1" ht="12" customHeight="1" x14ac:dyDescent="0.15">
      <c r="D50" s="200" t="s">
        <v>237</v>
      </c>
      <c r="E50">
        <v>49</v>
      </c>
      <c r="F50">
        <v>3.21</v>
      </c>
      <c r="G50">
        <v>49</v>
      </c>
      <c r="H50" s="201" t="s">
        <v>237</v>
      </c>
    </row>
    <row r="51" spans="4:8" customFormat="1" x14ac:dyDescent="0.15">
      <c r="D51" s="200" t="s">
        <v>238</v>
      </c>
      <c r="E51">
        <v>50</v>
      </c>
      <c r="F51">
        <v>3.21</v>
      </c>
      <c r="G51">
        <v>50</v>
      </c>
      <c r="H51" s="201" t="s">
        <v>238</v>
      </c>
    </row>
    <row r="52" spans="4:8" customFormat="1" ht="12" customHeight="1" x14ac:dyDescent="0.15">
      <c r="D52" s="200" t="s">
        <v>239</v>
      </c>
      <c r="E52">
        <v>51</v>
      </c>
      <c r="F52">
        <v>3</v>
      </c>
      <c r="G52">
        <v>51</v>
      </c>
      <c r="H52" s="201" t="s">
        <v>239</v>
      </c>
    </row>
    <row r="53" spans="4:8" customFormat="1" x14ac:dyDescent="0.15">
      <c r="D53" s="200" t="s">
        <v>240</v>
      </c>
      <c r="E53">
        <v>52</v>
      </c>
      <c r="F53">
        <v>3.11</v>
      </c>
      <c r="G53">
        <v>52</v>
      </c>
      <c r="H53" s="201" t="s">
        <v>240</v>
      </c>
    </row>
    <row r="54" spans="4:8" customFormat="1" ht="12" customHeight="1" x14ac:dyDescent="0.15">
      <c r="D54" s="200" t="s">
        <v>241</v>
      </c>
      <c r="E54">
        <v>53</v>
      </c>
      <c r="F54">
        <v>3.14</v>
      </c>
      <c r="G54">
        <v>53</v>
      </c>
      <c r="H54" s="201" t="s">
        <v>241</v>
      </c>
    </row>
    <row r="55" spans="4:8" customFormat="1" ht="12" customHeight="1" x14ac:dyDescent="0.15">
      <c r="D55" s="200" t="s">
        <v>242</v>
      </c>
      <c r="E55">
        <v>54</v>
      </c>
      <c r="F55">
        <v>3.11</v>
      </c>
      <c r="G55">
        <v>54</v>
      </c>
      <c r="H55" s="201" t="s">
        <v>242</v>
      </c>
    </row>
    <row r="56" spans="4:8" customFormat="1" x14ac:dyDescent="0.15">
      <c r="D56" s="200" t="s">
        <v>243</v>
      </c>
      <c r="E56">
        <v>55</v>
      </c>
      <c r="F56">
        <v>2</v>
      </c>
      <c r="G56">
        <v>55</v>
      </c>
      <c r="H56" s="201" t="s">
        <v>243</v>
      </c>
    </row>
    <row r="57" spans="4:8" customFormat="1" x14ac:dyDescent="0.15">
      <c r="D57" s="200" t="s">
        <v>244</v>
      </c>
      <c r="E57">
        <v>56</v>
      </c>
      <c r="F57">
        <v>2.2999999999999998</v>
      </c>
      <c r="G57">
        <v>56</v>
      </c>
      <c r="H57" s="201" t="s">
        <v>244</v>
      </c>
    </row>
    <row r="58" spans="4:8" customFormat="1" x14ac:dyDescent="0.15">
      <c r="D58" s="200" t="s">
        <v>245</v>
      </c>
      <c r="E58">
        <v>57</v>
      </c>
      <c r="F58">
        <v>2</v>
      </c>
      <c r="G58">
        <v>57</v>
      </c>
      <c r="H58" s="201" t="s">
        <v>245</v>
      </c>
    </row>
    <row r="59" spans="4:8" customFormat="1" x14ac:dyDescent="0.15">
      <c r="D59" s="200" t="s">
        <v>246</v>
      </c>
      <c r="E59">
        <v>58</v>
      </c>
      <c r="F59">
        <v>4.0999999999999996</v>
      </c>
      <c r="G59">
        <v>58</v>
      </c>
      <c r="H59" s="201" t="s">
        <v>246</v>
      </c>
    </row>
    <row r="60" spans="4:8" customFormat="1" x14ac:dyDescent="0.15">
      <c r="D60" s="200" t="s">
        <v>247</v>
      </c>
      <c r="E60">
        <v>59</v>
      </c>
      <c r="F60">
        <v>4.3</v>
      </c>
      <c r="G60">
        <v>59</v>
      </c>
      <c r="H60" s="201" t="s">
        <v>247</v>
      </c>
    </row>
    <row r="61" spans="4:8" customFormat="1" x14ac:dyDescent="0.15">
      <c r="D61" s="200" t="s">
        <v>248</v>
      </c>
      <c r="E61">
        <v>60</v>
      </c>
      <c r="F61">
        <v>5</v>
      </c>
      <c r="G61">
        <v>60</v>
      </c>
      <c r="H61" s="201" t="s">
        <v>248</v>
      </c>
    </row>
    <row r="62" spans="4:8" customFormat="1" x14ac:dyDescent="0.15">
      <c r="D62" s="200" t="s">
        <v>138</v>
      </c>
      <c r="E62">
        <v>61</v>
      </c>
      <c r="F62">
        <v>6.1</v>
      </c>
      <c r="G62">
        <v>61</v>
      </c>
      <c r="H62" s="201" t="s">
        <v>138</v>
      </c>
    </row>
    <row r="63" spans="4:8" customFormat="1" x14ac:dyDescent="0.15">
      <c r="D63" s="200" t="s">
        <v>45</v>
      </c>
      <c r="E63">
        <v>62</v>
      </c>
      <c r="F63">
        <v>6.2</v>
      </c>
      <c r="G63">
        <v>62</v>
      </c>
      <c r="H63" s="201" t="s">
        <v>45</v>
      </c>
    </row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85" bestFit="1" customWidth="1"/>
    <col min="2" max="2" width="14.83203125" style="84" customWidth="1"/>
    <col min="3" max="3" width="13.1640625" style="84" customWidth="1"/>
    <col min="4" max="4" width="11.83203125" style="84" customWidth="1"/>
    <col min="5" max="5" width="14.83203125" style="84" customWidth="1"/>
    <col min="6" max="6" width="24.8320312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2" customWidth="1"/>
    <col min="17" max="17" width="2.33203125" style="84" customWidth="1"/>
    <col min="18" max="18" width="2.33203125" style="73" customWidth="1"/>
    <col min="19" max="16384" width="11.5" style="84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6" t="s">
        <v>48</v>
      </c>
      <c r="L1" s="73"/>
      <c r="M1" s="86" t="s">
        <v>119</v>
      </c>
      <c r="N1" s="73"/>
      <c r="O1" s="86" t="s">
        <v>49</v>
      </c>
      <c r="P1" s="76"/>
      <c r="Q1" s="86" t="s">
        <v>50</v>
      </c>
      <c r="R1" s="70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9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9">
        <v>0</v>
      </c>
      <c r="R4" s="113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9">
        <v>0</v>
      </c>
      <c r="R5" s="113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202" t="s">
        <v>192</v>
      </c>
      <c r="G6" s="84">
        <v>0</v>
      </c>
      <c r="H6" s="84">
        <v>0</v>
      </c>
      <c r="I6" s="84">
        <v>0</v>
      </c>
      <c r="J6" s="84">
        <v>0</v>
      </c>
      <c r="K6" s="84">
        <v>1</v>
      </c>
      <c r="L6" s="84">
        <v>0</v>
      </c>
      <c r="M6" s="84">
        <v>1</v>
      </c>
      <c r="N6" s="84">
        <v>0</v>
      </c>
      <c r="O6" s="84">
        <v>1</v>
      </c>
      <c r="P6" s="72">
        <v>0</v>
      </c>
      <c r="Q6" s="84">
        <v>0</v>
      </c>
      <c r="R6" s="73">
        <v>1</v>
      </c>
      <c r="S6"/>
      <c r="T6"/>
    </row>
    <row r="7" spans="1:23" ht="15" customHeight="1" thickBot="1" x14ac:dyDescent="0.2">
      <c r="F7" s="202" t="s">
        <v>193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2">
        <v>0</v>
      </c>
      <c r="Q7" s="84">
        <v>0</v>
      </c>
      <c r="R7" s="73">
        <v>1</v>
      </c>
      <c r="S7"/>
      <c r="T7"/>
    </row>
    <row r="8" spans="1:23" ht="15" customHeight="1" x14ac:dyDescent="0.15">
      <c r="A8" s="86" t="s">
        <v>56</v>
      </c>
      <c r="B8" s="93">
        <v>0.712204702108994</v>
      </c>
      <c r="C8" s="203" t="s">
        <v>243</v>
      </c>
      <c r="D8" s="88" t="s">
        <v>160</v>
      </c>
      <c r="F8" s="202" t="s">
        <v>194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2">
        <v>0</v>
      </c>
      <c r="Q8" s="84">
        <v>0</v>
      </c>
      <c r="R8" s="73">
        <v>1</v>
      </c>
      <c r="S8"/>
      <c r="T8"/>
      <c r="W8"/>
    </row>
    <row r="9" spans="1:23" ht="15" customHeight="1" x14ac:dyDescent="0.15">
      <c r="A9" s="127" t="s">
        <v>168</v>
      </c>
      <c r="B9" s="95">
        <v>2.7863519492238634E-3</v>
      </c>
      <c r="C9" s="203" t="s">
        <v>244</v>
      </c>
      <c r="D9" s="88" t="s">
        <v>160</v>
      </c>
      <c r="F9" s="202" t="s">
        <v>195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2">
        <v>0</v>
      </c>
      <c r="Q9" s="84">
        <v>0</v>
      </c>
      <c r="R9" s="73">
        <v>1</v>
      </c>
      <c r="S9"/>
      <c r="T9"/>
      <c r="W9"/>
    </row>
    <row r="10" spans="1:23" ht="15" customHeight="1" x14ac:dyDescent="0.15">
      <c r="B10" s="95">
        <v>0.28500894594178217</v>
      </c>
      <c r="C10" s="203" t="s">
        <v>245</v>
      </c>
      <c r="D10" s="88" t="s">
        <v>160</v>
      </c>
      <c r="F10" s="202" t="s">
        <v>196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2">
        <v>0</v>
      </c>
      <c r="Q10" s="84">
        <v>0</v>
      </c>
      <c r="R10" s="73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202" t="s">
        <v>197</v>
      </c>
      <c r="G11" s="84">
        <v>0</v>
      </c>
      <c r="H11" s="84">
        <v>0</v>
      </c>
      <c r="I11" s="84">
        <v>0</v>
      </c>
      <c r="J11" s="84">
        <v>0</v>
      </c>
      <c r="K11" s="84">
        <v>1</v>
      </c>
      <c r="L11" s="84">
        <v>0</v>
      </c>
      <c r="M11" s="84">
        <v>1</v>
      </c>
      <c r="N11" s="84">
        <v>0</v>
      </c>
      <c r="O11" s="84">
        <v>1</v>
      </c>
      <c r="P11" s="72">
        <v>0</v>
      </c>
      <c r="Q11" s="84">
        <v>0</v>
      </c>
      <c r="R11" s="73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202" t="s">
        <v>198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2">
        <v>0</v>
      </c>
      <c r="Q12" s="84">
        <v>0</v>
      </c>
      <c r="R12" s="73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202" t="s">
        <v>199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2">
        <v>0</v>
      </c>
      <c r="Q13" s="84">
        <v>0</v>
      </c>
      <c r="R13" s="73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202" t="s">
        <v>200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2">
        <v>0</v>
      </c>
      <c r="Q14" s="84">
        <v>0</v>
      </c>
      <c r="R14" s="73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202" t="s">
        <v>201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2">
        <v>0</v>
      </c>
      <c r="Q15" s="84">
        <v>0</v>
      </c>
      <c r="R15" s="73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202" t="s">
        <v>202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2">
        <v>0</v>
      </c>
      <c r="Q16" s="84">
        <v>0</v>
      </c>
      <c r="R16" s="73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202" t="s">
        <v>203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2">
        <v>0</v>
      </c>
      <c r="Q17" s="84">
        <v>0</v>
      </c>
      <c r="R17" s="73">
        <v>1</v>
      </c>
      <c r="S17"/>
      <c r="T17"/>
    </row>
    <row r="18" spans="1:20" ht="15" customHeight="1" thickBot="1" x14ac:dyDescent="0.2">
      <c r="B18" s="96"/>
      <c r="F18" s="202" t="s">
        <v>204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2">
        <v>0</v>
      </c>
      <c r="Q18" s="84">
        <v>0</v>
      </c>
      <c r="R18" s="73">
        <v>1</v>
      </c>
      <c r="S18"/>
      <c r="T18"/>
    </row>
    <row r="19" spans="1:20" ht="15" customHeight="1" x14ac:dyDescent="0.15">
      <c r="A19" s="86" t="s">
        <v>57</v>
      </c>
      <c r="B19" s="93">
        <v>0.712204702108994</v>
      </c>
      <c r="C19" s="204" t="s">
        <v>243</v>
      </c>
      <c r="D19" s="88" t="s">
        <v>160</v>
      </c>
      <c r="F19" s="202" t="s">
        <v>205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2">
        <v>0</v>
      </c>
      <c r="Q19" s="84">
        <v>0</v>
      </c>
      <c r="R19" s="73">
        <v>1</v>
      </c>
      <c r="S19"/>
      <c r="T19"/>
    </row>
    <row r="20" spans="1:20" ht="15" customHeight="1" x14ac:dyDescent="0.15">
      <c r="A20" s="127" t="s">
        <v>168</v>
      </c>
      <c r="B20" s="95">
        <v>2.7863519492238634E-3</v>
      </c>
      <c r="C20" s="204" t="s">
        <v>244</v>
      </c>
      <c r="D20" s="88" t="s">
        <v>160</v>
      </c>
      <c r="F20" s="202" t="s">
        <v>206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2">
        <v>0</v>
      </c>
      <c r="Q20" s="84">
        <v>0</v>
      </c>
      <c r="R20" s="73">
        <v>1</v>
      </c>
      <c r="S20"/>
      <c r="T20"/>
    </row>
    <row r="21" spans="1:20" ht="15" customHeight="1" x14ac:dyDescent="0.15">
      <c r="B21" s="95">
        <v>0.28500894594178217</v>
      </c>
      <c r="C21" s="204" t="s">
        <v>245</v>
      </c>
      <c r="D21" s="88" t="s">
        <v>160</v>
      </c>
      <c r="F21" s="202" t="s">
        <v>207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2">
        <v>0</v>
      </c>
      <c r="Q21" s="84">
        <v>0</v>
      </c>
      <c r="R21" s="73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202" t="s">
        <v>208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2">
        <v>0</v>
      </c>
      <c r="Q22" s="84">
        <v>0</v>
      </c>
      <c r="R22" s="73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202" t="s">
        <v>209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2">
        <v>0</v>
      </c>
      <c r="Q23" s="84">
        <v>0</v>
      </c>
      <c r="R23" s="73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202" t="s">
        <v>210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2">
        <v>0</v>
      </c>
      <c r="Q24" s="84">
        <v>0</v>
      </c>
      <c r="R24" s="73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202" t="s">
        <v>211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2">
        <v>0</v>
      </c>
      <c r="Q25" s="84">
        <v>0</v>
      </c>
      <c r="R25" s="73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202" t="s">
        <v>212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2">
        <v>0</v>
      </c>
      <c r="Q26" s="84">
        <v>0</v>
      </c>
      <c r="R26" s="73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202" t="s">
        <v>213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2">
        <v>0</v>
      </c>
      <c r="Q27" s="84">
        <v>0</v>
      </c>
      <c r="R27" s="73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202" t="s">
        <v>214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2">
        <v>0</v>
      </c>
      <c r="Q28" s="84">
        <v>0</v>
      </c>
      <c r="R28" s="73">
        <v>1</v>
      </c>
      <c r="S28"/>
      <c r="T28"/>
    </row>
    <row r="29" spans="1:20" ht="15" customHeight="1" x14ac:dyDescent="0.15">
      <c r="F29" s="202" t="s">
        <v>215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2">
        <v>0</v>
      </c>
      <c r="Q29" s="84">
        <v>0</v>
      </c>
      <c r="R29" s="73">
        <v>1</v>
      </c>
      <c r="S29"/>
      <c r="T29"/>
    </row>
    <row r="30" spans="1:20" ht="15" customHeight="1" x14ac:dyDescent="0.15">
      <c r="F30" s="202" t="s">
        <v>216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2">
        <v>0</v>
      </c>
      <c r="Q30" s="84">
        <v>0</v>
      </c>
      <c r="R30" s="73">
        <v>1</v>
      </c>
      <c r="S30"/>
      <c r="T30"/>
    </row>
    <row r="31" spans="1:20" ht="15" customHeight="1" x14ac:dyDescent="0.15">
      <c r="A31" s="128"/>
      <c r="B31" s="137" t="s">
        <v>17</v>
      </c>
      <c r="C31" s="137" t="s">
        <v>1</v>
      </c>
      <c r="D31" s="137" t="s">
        <v>161</v>
      </c>
      <c r="E31" s="138" t="s">
        <v>163</v>
      </c>
      <c r="F31" s="202" t="s">
        <v>217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2">
        <v>0</v>
      </c>
      <c r="Q31" s="84">
        <v>0</v>
      </c>
      <c r="R31" s="73">
        <v>1</v>
      </c>
      <c r="S31"/>
      <c r="T31"/>
    </row>
    <row r="32" spans="1:20" ht="15" customHeight="1" x14ac:dyDescent="0.15">
      <c r="A32" s="205" t="s">
        <v>243</v>
      </c>
      <c r="B32" s="96">
        <v>107.31100000000001</v>
      </c>
      <c r="C32" s="96">
        <v>88</v>
      </c>
      <c r="D32" s="96">
        <v>9443.3680000000004</v>
      </c>
      <c r="E32" s="129">
        <v>0.712204702108994</v>
      </c>
      <c r="F32" s="202" t="s">
        <v>218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2">
        <v>0</v>
      </c>
      <c r="Q32" s="84">
        <v>0</v>
      </c>
      <c r="R32" s="73">
        <v>1</v>
      </c>
      <c r="S32"/>
      <c r="T32"/>
    </row>
    <row r="33" spans="1:20" ht="15" customHeight="1" x14ac:dyDescent="0.15">
      <c r="A33" s="205" t="s">
        <v>244</v>
      </c>
      <c r="B33" s="96">
        <v>7.3890404700000003</v>
      </c>
      <c r="C33" s="96">
        <v>5</v>
      </c>
      <c r="D33" s="96">
        <v>36.945202350000002</v>
      </c>
      <c r="E33" s="129">
        <v>2.7863519492238634E-3</v>
      </c>
      <c r="F33" s="202" t="s">
        <v>219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2">
        <v>0</v>
      </c>
      <c r="Q33" s="84">
        <v>0</v>
      </c>
      <c r="R33" s="73">
        <v>1</v>
      </c>
      <c r="S33"/>
      <c r="T33"/>
    </row>
    <row r="34" spans="1:20" ht="15" customHeight="1" x14ac:dyDescent="0.15">
      <c r="A34" s="205" t="s">
        <v>245</v>
      </c>
      <c r="B34" s="96">
        <v>68</v>
      </c>
      <c r="C34" s="96">
        <v>55.573999999999998</v>
      </c>
      <c r="D34" s="96">
        <v>3779.0319999999997</v>
      </c>
      <c r="E34" s="129">
        <v>0.28500894594178217</v>
      </c>
      <c r="F34" s="202" t="s">
        <v>220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2">
        <v>0</v>
      </c>
      <c r="Q34" s="84">
        <v>0</v>
      </c>
      <c r="R34" s="73">
        <v>1</v>
      </c>
      <c r="S34"/>
      <c r="T34"/>
    </row>
    <row r="35" spans="1:20" ht="15" customHeight="1" x14ac:dyDescent="0.15">
      <c r="A35" s="130"/>
      <c r="B35" s="96"/>
      <c r="C35" s="96"/>
      <c r="D35" s="96"/>
      <c r="E35" s="129"/>
      <c r="F35" s="202" t="s">
        <v>221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2">
        <v>0</v>
      </c>
      <c r="Q35" s="84">
        <v>0</v>
      </c>
      <c r="R35" s="73">
        <v>1</v>
      </c>
      <c r="S35"/>
      <c r="T35"/>
    </row>
    <row r="36" spans="1:20" ht="15" customHeight="1" x14ac:dyDescent="0.15">
      <c r="A36" s="131"/>
      <c r="B36" s="96"/>
      <c r="C36" s="96"/>
      <c r="D36" s="96"/>
      <c r="E36" s="129"/>
      <c r="F36" s="202" t="s">
        <v>222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2">
        <v>0</v>
      </c>
      <c r="Q36" s="84">
        <v>0</v>
      </c>
      <c r="R36" s="73">
        <v>1</v>
      </c>
      <c r="S36"/>
      <c r="T36"/>
    </row>
    <row r="37" spans="1:20" ht="15" customHeight="1" x14ac:dyDescent="0.15">
      <c r="A37" s="131"/>
      <c r="B37" s="96"/>
      <c r="C37" s="96"/>
      <c r="D37" s="96"/>
      <c r="E37" s="129"/>
      <c r="F37" s="202" t="s">
        <v>223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2">
        <v>0</v>
      </c>
      <c r="Q37" s="84">
        <v>0</v>
      </c>
      <c r="R37" s="73">
        <v>1</v>
      </c>
      <c r="S37"/>
      <c r="T37"/>
    </row>
    <row r="38" spans="1:20" ht="15" customHeight="1" x14ac:dyDescent="0.15">
      <c r="A38" s="132"/>
      <c r="B38" s="96"/>
      <c r="C38" s="96"/>
      <c r="D38" s="96"/>
      <c r="E38" s="129"/>
      <c r="F38" s="202" t="s">
        <v>224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2">
        <v>0</v>
      </c>
      <c r="Q38" s="84">
        <v>0</v>
      </c>
      <c r="R38" s="73">
        <v>1</v>
      </c>
      <c r="S38"/>
      <c r="T38"/>
    </row>
    <row r="39" spans="1:20" ht="15" customHeight="1" x14ac:dyDescent="0.15">
      <c r="A39" s="132"/>
      <c r="B39" s="96"/>
      <c r="C39" s="96"/>
      <c r="D39" s="96"/>
      <c r="E39" s="129"/>
      <c r="F39" s="202" t="s">
        <v>225</v>
      </c>
      <c r="G39" s="84">
        <v>0</v>
      </c>
      <c r="H39" s="84">
        <v>0</v>
      </c>
      <c r="I39" s="84">
        <v>0</v>
      </c>
      <c r="J39" s="84">
        <v>0</v>
      </c>
      <c r="K39" s="84">
        <v>1</v>
      </c>
      <c r="L39" s="84">
        <v>0</v>
      </c>
      <c r="M39" s="84">
        <v>1</v>
      </c>
      <c r="N39" s="84">
        <v>0</v>
      </c>
      <c r="O39" s="84">
        <v>1</v>
      </c>
      <c r="P39" s="72">
        <v>0</v>
      </c>
      <c r="Q39" s="84">
        <v>0</v>
      </c>
      <c r="R39" s="73">
        <v>1</v>
      </c>
      <c r="S39"/>
      <c r="T39"/>
    </row>
    <row r="40" spans="1:20" ht="15" customHeight="1" x14ac:dyDescent="0.15">
      <c r="A40" s="132"/>
      <c r="B40" s="96"/>
      <c r="C40" s="96"/>
      <c r="D40" s="96"/>
      <c r="E40" s="129"/>
      <c r="F40" s="202" t="s">
        <v>226</v>
      </c>
      <c r="G40" s="84">
        <v>0</v>
      </c>
      <c r="H40" s="84">
        <v>0</v>
      </c>
      <c r="I40" s="84">
        <v>0</v>
      </c>
      <c r="J40" s="84">
        <v>0</v>
      </c>
      <c r="K40" s="84">
        <v>1</v>
      </c>
      <c r="L40" s="84">
        <v>0</v>
      </c>
      <c r="M40" s="84">
        <v>1</v>
      </c>
      <c r="N40" s="84">
        <v>0</v>
      </c>
      <c r="O40" s="84">
        <v>1</v>
      </c>
      <c r="P40" s="72">
        <v>0</v>
      </c>
      <c r="Q40" s="84">
        <v>0</v>
      </c>
      <c r="R40" s="73">
        <v>1</v>
      </c>
      <c r="S40"/>
      <c r="T40"/>
    </row>
    <row r="41" spans="1:20" ht="15" customHeight="1" thickBot="1" x14ac:dyDescent="0.2">
      <c r="A41" s="132"/>
      <c r="B41" s="96"/>
      <c r="C41" s="96"/>
      <c r="D41" s="97"/>
      <c r="E41" s="133"/>
      <c r="F41" s="202" t="s">
        <v>227</v>
      </c>
      <c r="G41" s="84">
        <v>0</v>
      </c>
      <c r="H41" s="84">
        <v>0</v>
      </c>
      <c r="I41" s="84">
        <v>0</v>
      </c>
      <c r="J41" s="84">
        <v>0</v>
      </c>
      <c r="K41" s="84">
        <v>1</v>
      </c>
      <c r="L41" s="84">
        <v>0</v>
      </c>
      <c r="M41" s="84">
        <v>1</v>
      </c>
      <c r="N41" s="84">
        <v>0</v>
      </c>
      <c r="O41" s="84">
        <v>1</v>
      </c>
      <c r="P41" s="72">
        <v>0</v>
      </c>
      <c r="Q41" s="84">
        <v>0</v>
      </c>
      <c r="R41" s="73">
        <v>1</v>
      </c>
      <c r="S41"/>
      <c r="T41"/>
    </row>
    <row r="42" spans="1:20" ht="15" customHeight="1" x14ac:dyDescent="0.15">
      <c r="A42" s="134"/>
      <c r="B42" s="135"/>
      <c r="C42" s="135" t="s">
        <v>162</v>
      </c>
      <c r="D42" s="135">
        <f>SUM(D32:D41)</f>
        <v>13259.345202349999</v>
      </c>
      <c r="E42" s="136">
        <f>SUM(E32:E41)</f>
        <v>1</v>
      </c>
      <c r="F42" s="202" t="s">
        <v>228</v>
      </c>
      <c r="G42" s="84">
        <v>0</v>
      </c>
      <c r="H42" s="84">
        <v>0</v>
      </c>
      <c r="I42" s="84">
        <v>0</v>
      </c>
      <c r="J42" s="84">
        <v>0</v>
      </c>
      <c r="K42" s="84">
        <v>1</v>
      </c>
      <c r="L42" s="84">
        <v>0</v>
      </c>
      <c r="M42" s="84">
        <v>1</v>
      </c>
      <c r="N42" s="84">
        <v>0</v>
      </c>
      <c r="O42" s="84">
        <v>1</v>
      </c>
      <c r="P42" s="72">
        <v>0</v>
      </c>
      <c r="Q42" s="84">
        <v>0</v>
      </c>
      <c r="R42" s="73">
        <v>1</v>
      </c>
      <c r="S42"/>
      <c r="T42"/>
    </row>
    <row r="43" spans="1:20" ht="15" customHeight="1" x14ac:dyDescent="0.15">
      <c r="A43" s="84"/>
      <c r="F43" s="202" t="s">
        <v>229</v>
      </c>
      <c r="G43" s="84">
        <v>0</v>
      </c>
      <c r="H43" s="84">
        <v>0</v>
      </c>
      <c r="I43" s="84">
        <v>0</v>
      </c>
      <c r="J43" s="84">
        <v>0</v>
      </c>
      <c r="K43" s="84">
        <v>1</v>
      </c>
      <c r="L43" s="84">
        <v>0</v>
      </c>
      <c r="M43" s="84">
        <v>1</v>
      </c>
      <c r="N43" s="84">
        <v>0</v>
      </c>
      <c r="O43" s="84">
        <v>1</v>
      </c>
      <c r="P43" s="72">
        <v>0</v>
      </c>
      <c r="Q43" s="84">
        <v>0</v>
      </c>
      <c r="R43" s="73">
        <v>1</v>
      </c>
      <c r="S43"/>
      <c r="T43"/>
    </row>
    <row r="44" spans="1:20" ht="15" customHeight="1" x14ac:dyDescent="0.15">
      <c r="A44" s="84"/>
      <c r="F44" s="202" t="s">
        <v>230</v>
      </c>
      <c r="G44" s="84">
        <v>0</v>
      </c>
      <c r="H44" s="84">
        <v>0</v>
      </c>
      <c r="I44" s="84">
        <v>0</v>
      </c>
      <c r="J44" s="84">
        <v>0</v>
      </c>
      <c r="K44" s="84">
        <v>1</v>
      </c>
      <c r="L44" s="84">
        <v>0</v>
      </c>
      <c r="M44" s="84">
        <v>1</v>
      </c>
      <c r="N44" s="84">
        <v>0</v>
      </c>
      <c r="O44" s="84">
        <v>1</v>
      </c>
      <c r="P44" s="72">
        <v>0</v>
      </c>
      <c r="Q44" s="84">
        <v>0</v>
      </c>
      <c r="R44" s="73">
        <v>1</v>
      </c>
    </row>
    <row r="45" spans="1:20" ht="15" customHeight="1" x14ac:dyDescent="0.15">
      <c r="A45" s="84"/>
      <c r="F45" s="202" t="s">
        <v>231</v>
      </c>
      <c r="G45" s="84">
        <v>0</v>
      </c>
      <c r="H45" s="84">
        <v>0</v>
      </c>
      <c r="I45" s="84">
        <v>0</v>
      </c>
      <c r="J45" s="84">
        <v>0</v>
      </c>
      <c r="K45" s="84">
        <v>1</v>
      </c>
      <c r="L45" s="84">
        <v>0</v>
      </c>
      <c r="M45" s="84">
        <v>1</v>
      </c>
      <c r="N45" s="84">
        <v>0</v>
      </c>
      <c r="O45" s="84">
        <v>1</v>
      </c>
      <c r="P45" s="72">
        <v>0</v>
      </c>
      <c r="Q45" s="84">
        <v>0</v>
      </c>
      <c r="R45" s="73">
        <v>1</v>
      </c>
    </row>
    <row r="46" spans="1:20" ht="15" customHeight="1" x14ac:dyDescent="0.15">
      <c r="A46" s="84"/>
      <c r="F46" s="202" t="s">
        <v>232</v>
      </c>
      <c r="G46" s="84">
        <v>0</v>
      </c>
      <c r="H46" s="84">
        <v>0</v>
      </c>
      <c r="I46" s="84">
        <v>0</v>
      </c>
      <c r="J46" s="84">
        <v>0</v>
      </c>
      <c r="K46" s="84">
        <v>1</v>
      </c>
      <c r="L46" s="84">
        <v>0</v>
      </c>
      <c r="M46" s="84">
        <v>1</v>
      </c>
      <c r="N46" s="84">
        <v>0</v>
      </c>
      <c r="O46" s="84">
        <v>1</v>
      </c>
      <c r="P46" s="72">
        <v>0</v>
      </c>
      <c r="Q46" s="84">
        <v>0</v>
      </c>
      <c r="R46" s="73">
        <v>1</v>
      </c>
    </row>
    <row r="47" spans="1:20" ht="15" customHeight="1" x14ac:dyDescent="0.15">
      <c r="A47" s="84"/>
      <c r="F47" s="202" t="s">
        <v>233</v>
      </c>
      <c r="G47" s="84">
        <v>0</v>
      </c>
      <c r="H47" s="84">
        <v>0</v>
      </c>
      <c r="I47" s="84">
        <v>0</v>
      </c>
      <c r="J47" s="84">
        <v>0</v>
      </c>
      <c r="K47" s="84">
        <v>1</v>
      </c>
      <c r="L47" s="84">
        <v>0</v>
      </c>
      <c r="M47" s="84">
        <v>1</v>
      </c>
      <c r="N47" s="84">
        <v>0</v>
      </c>
      <c r="O47" s="84">
        <v>1</v>
      </c>
      <c r="P47" s="72">
        <v>0</v>
      </c>
      <c r="Q47" s="84">
        <v>0</v>
      </c>
      <c r="R47" s="73">
        <v>1</v>
      </c>
    </row>
    <row r="48" spans="1:20" ht="15" customHeight="1" x14ac:dyDescent="0.15">
      <c r="A48" s="84"/>
      <c r="F48" s="202" t="s">
        <v>234</v>
      </c>
      <c r="G48" s="84">
        <v>0</v>
      </c>
      <c r="H48" s="84">
        <v>0</v>
      </c>
      <c r="I48" s="84">
        <v>0</v>
      </c>
      <c r="J48" s="84">
        <v>0</v>
      </c>
      <c r="K48" s="84">
        <v>1</v>
      </c>
      <c r="L48" s="84">
        <v>0</v>
      </c>
      <c r="M48" s="84">
        <v>1</v>
      </c>
      <c r="N48" s="84">
        <v>0</v>
      </c>
      <c r="O48" s="84">
        <v>1</v>
      </c>
      <c r="P48" s="72">
        <v>0</v>
      </c>
      <c r="Q48" s="84">
        <v>0</v>
      </c>
      <c r="R48" s="73">
        <v>1</v>
      </c>
    </row>
    <row r="49" spans="6:18" s="84" customFormat="1" ht="15" customHeight="1" x14ac:dyDescent="0.15">
      <c r="F49" s="202" t="s">
        <v>235</v>
      </c>
      <c r="G49" s="84">
        <v>0</v>
      </c>
      <c r="H49" s="84">
        <v>0</v>
      </c>
      <c r="I49" s="84">
        <v>0</v>
      </c>
      <c r="J49" s="84">
        <v>0</v>
      </c>
      <c r="K49" s="84">
        <v>0</v>
      </c>
      <c r="L49" s="84">
        <v>1</v>
      </c>
      <c r="M49" s="84">
        <v>0</v>
      </c>
      <c r="N49" s="84">
        <v>1</v>
      </c>
      <c r="O49" s="84">
        <v>0</v>
      </c>
      <c r="P49" s="72">
        <v>1</v>
      </c>
      <c r="Q49" s="84">
        <v>0</v>
      </c>
      <c r="R49" s="73">
        <v>1</v>
      </c>
    </row>
    <row r="50" spans="6:18" s="84" customFormat="1" ht="15" customHeight="1" x14ac:dyDescent="0.15">
      <c r="F50" s="202" t="s">
        <v>236</v>
      </c>
      <c r="G50" s="84">
        <v>0</v>
      </c>
      <c r="H50" s="84">
        <v>0</v>
      </c>
      <c r="I50" s="84">
        <v>0</v>
      </c>
      <c r="J50" s="84">
        <v>0</v>
      </c>
      <c r="K50" s="84">
        <v>1</v>
      </c>
      <c r="L50" s="84">
        <v>0</v>
      </c>
      <c r="M50" s="84">
        <v>1</v>
      </c>
      <c r="N50" s="84">
        <v>0</v>
      </c>
      <c r="O50" s="84">
        <v>1</v>
      </c>
      <c r="P50" s="72">
        <v>0</v>
      </c>
      <c r="Q50" s="84">
        <v>0</v>
      </c>
      <c r="R50" s="73">
        <v>1</v>
      </c>
    </row>
    <row r="51" spans="6:18" s="84" customFormat="1" ht="15" customHeight="1" x14ac:dyDescent="0.15">
      <c r="F51" s="202" t="s">
        <v>237</v>
      </c>
      <c r="G51" s="84">
        <v>0</v>
      </c>
      <c r="H51" s="84">
        <v>0</v>
      </c>
      <c r="I51" s="84">
        <v>0</v>
      </c>
      <c r="J51" s="84">
        <v>0</v>
      </c>
      <c r="K51" s="84">
        <v>1</v>
      </c>
      <c r="L51" s="84">
        <v>0</v>
      </c>
      <c r="M51" s="84">
        <v>1</v>
      </c>
      <c r="N51" s="84">
        <v>0</v>
      </c>
      <c r="O51" s="84">
        <v>1</v>
      </c>
      <c r="P51" s="72">
        <v>0</v>
      </c>
      <c r="Q51" s="84">
        <v>0</v>
      </c>
      <c r="R51" s="73">
        <v>1</v>
      </c>
    </row>
    <row r="52" spans="6:18" s="84" customFormat="1" ht="15" customHeight="1" x14ac:dyDescent="0.15">
      <c r="F52" s="202" t="s">
        <v>238</v>
      </c>
      <c r="G52" s="84">
        <v>0</v>
      </c>
      <c r="H52" s="84">
        <v>0</v>
      </c>
      <c r="I52" s="84">
        <v>0</v>
      </c>
      <c r="J52" s="84">
        <v>0</v>
      </c>
      <c r="K52" s="84">
        <v>1</v>
      </c>
      <c r="L52" s="84">
        <v>0</v>
      </c>
      <c r="M52" s="84">
        <v>1</v>
      </c>
      <c r="N52" s="84">
        <v>0</v>
      </c>
      <c r="O52" s="84">
        <v>1</v>
      </c>
      <c r="P52" s="72">
        <v>0</v>
      </c>
      <c r="Q52" s="84">
        <v>0</v>
      </c>
      <c r="R52" s="73">
        <v>1</v>
      </c>
    </row>
    <row r="53" spans="6:18" s="84" customFormat="1" ht="15" customHeight="1" x14ac:dyDescent="0.15">
      <c r="F53" s="202" t="s">
        <v>239</v>
      </c>
      <c r="G53" s="84">
        <v>0</v>
      </c>
      <c r="H53" s="84">
        <v>0</v>
      </c>
      <c r="I53" s="84">
        <v>0</v>
      </c>
      <c r="J53" s="84">
        <v>0</v>
      </c>
      <c r="K53" s="84">
        <v>1</v>
      </c>
      <c r="L53" s="84">
        <v>0</v>
      </c>
      <c r="M53" s="84">
        <v>1</v>
      </c>
      <c r="N53" s="84">
        <v>0</v>
      </c>
      <c r="O53" s="84">
        <v>1</v>
      </c>
      <c r="P53" s="72">
        <v>0</v>
      </c>
      <c r="Q53" s="84">
        <v>0</v>
      </c>
      <c r="R53" s="73">
        <v>1</v>
      </c>
    </row>
    <row r="54" spans="6:18" s="84" customFormat="1" ht="15" customHeight="1" x14ac:dyDescent="0.15">
      <c r="F54" s="202" t="s">
        <v>240</v>
      </c>
      <c r="G54" s="84">
        <v>0</v>
      </c>
      <c r="H54" s="84">
        <v>0</v>
      </c>
      <c r="I54" s="84">
        <v>0</v>
      </c>
      <c r="J54" s="84">
        <v>0</v>
      </c>
      <c r="K54" s="84">
        <v>1</v>
      </c>
      <c r="L54" s="84">
        <v>0</v>
      </c>
      <c r="M54" s="84">
        <v>1</v>
      </c>
      <c r="N54" s="84">
        <v>0</v>
      </c>
      <c r="O54" s="84">
        <v>1</v>
      </c>
      <c r="P54" s="72">
        <v>0</v>
      </c>
      <c r="Q54" s="84">
        <v>0</v>
      </c>
      <c r="R54" s="73">
        <v>1</v>
      </c>
    </row>
    <row r="55" spans="6:18" s="84" customFormat="1" ht="15" customHeight="1" x14ac:dyDescent="0.15">
      <c r="F55" s="202" t="s">
        <v>241</v>
      </c>
      <c r="G55" s="84">
        <v>0</v>
      </c>
      <c r="H55" s="84">
        <v>0</v>
      </c>
      <c r="I55" s="84">
        <v>0</v>
      </c>
      <c r="J55" s="84">
        <v>0</v>
      </c>
      <c r="K55" s="84">
        <v>1</v>
      </c>
      <c r="L55" s="84">
        <v>0</v>
      </c>
      <c r="M55" s="84">
        <v>1</v>
      </c>
      <c r="N55" s="84">
        <v>0</v>
      </c>
      <c r="O55" s="84">
        <v>1</v>
      </c>
      <c r="P55" s="72">
        <v>0</v>
      </c>
      <c r="Q55" s="84">
        <v>0</v>
      </c>
      <c r="R55" s="73">
        <v>1</v>
      </c>
    </row>
    <row r="56" spans="6:18" s="84" customFormat="1" ht="15" customHeight="1" x14ac:dyDescent="0.15">
      <c r="F56" s="202" t="s">
        <v>242</v>
      </c>
      <c r="G56" s="84">
        <v>0</v>
      </c>
      <c r="H56" s="84">
        <v>0</v>
      </c>
      <c r="I56" s="84">
        <v>0</v>
      </c>
      <c r="J56" s="84">
        <v>0</v>
      </c>
      <c r="K56" s="84">
        <v>1</v>
      </c>
      <c r="L56" s="84">
        <v>0</v>
      </c>
      <c r="M56" s="84">
        <v>1</v>
      </c>
      <c r="N56" s="84">
        <v>0</v>
      </c>
      <c r="O56" s="84">
        <v>1</v>
      </c>
      <c r="P56" s="72">
        <v>0</v>
      </c>
      <c r="Q56" s="84">
        <v>0</v>
      </c>
      <c r="R56" s="73">
        <v>1</v>
      </c>
    </row>
    <row r="57" spans="6:18" s="84" customFormat="1" ht="15" customHeight="1" x14ac:dyDescent="0.15">
      <c r="F57" s="202" t="s">
        <v>243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0</v>
      </c>
      <c r="M57" s="84">
        <v>1</v>
      </c>
      <c r="N57" s="84">
        <v>0</v>
      </c>
      <c r="O57" s="84">
        <v>0</v>
      </c>
      <c r="P57" s="72">
        <v>0</v>
      </c>
      <c r="Q57" s="84">
        <v>0</v>
      </c>
      <c r="R57" s="73">
        <v>1</v>
      </c>
    </row>
    <row r="58" spans="6:18" s="84" customFormat="1" ht="15" customHeight="1" x14ac:dyDescent="0.15">
      <c r="F58" s="202" t="s">
        <v>244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0</v>
      </c>
      <c r="M58" s="84">
        <v>1</v>
      </c>
      <c r="N58" s="84">
        <v>0</v>
      </c>
      <c r="O58" s="84">
        <v>0</v>
      </c>
      <c r="P58" s="72">
        <v>0</v>
      </c>
      <c r="Q58" s="84">
        <v>0</v>
      </c>
      <c r="R58" s="73">
        <v>1</v>
      </c>
    </row>
    <row r="59" spans="6:18" s="84" customFormat="1" ht="15" customHeight="1" x14ac:dyDescent="0.15">
      <c r="F59" s="202" t="s">
        <v>245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0</v>
      </c>
      <c r="M59" s="84">
        <v>1</v>
      </c>
      <c r="N59" s="84">
        <v>0</v>
      </c>
      <c r="O59" s="84">
        <v>0</v>
      </c>
      <c r="P59" s="72">
        <v>0</v>
      </c>
      <c r="Q59" s="84">
        <v>0</v>
      </c>
      <c r="R59" s="73">
        <v>1</v>
      </c>
    </row>
    <row r="60" spans="6:18" s="84" customFormat="1" ht="15" customHeight="1" x14ac:dyDescent="0.15">
      <c r="F60" s="202" t="s">
        <v>246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1</v>
      </c>
      <c r="M60" s="84">
        <v>0</v>
      </c>
      <c r="N60" s="84">
        <v>1</v>
      </c>
      <c r="O60" s="84">
        <v>0</v>
      </c>
      <c r="P60" s="72">
        <v>1</v>
      </c>
      <c r="Q60" s="84">
        <v>0</v>
      </c>
      <c r="R60" s="73">
        <v>1</v>
      </c>
    </row>
    <row r="61" spans="6:18" s="84" customFormat="1" ht="15" customHeight="1" x14ac:dyDescent="0.15">
      <c r="F61" s="202" t="s">
        <v>247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1</v>
      </c>
      <c r="M61" s="84">
        <v>0</v>
      </c>
      <c r="N61" s="84">
        <v>1</v>
      </c>
      <c r="O61" s="84">
        <v>0</v>
      </c>
      <c r="P61" s="72">
        <v>1</v>
      </c>
      <c r="Q61" s="84">
        <v>0</v>
      </c>
      <c r="R61" s="73">
        <v>1</v>
      </c>
    </row>
    <row r="62" spans="6:18" s="84" customFormat="1" ht="15" customHeight="1" x14ac:dyDescent="0.15">
      <c r="F62" s="202" t="s">
        <v>248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1</v>
      </c>
      <c r="M62" s="84">
        <v>0</v>
      </c>
      <c r="N62" s="84">
        <v>0</v>
      </c>
      <c r="O62" s="84">
        <v>0</v>
      </c>
      <c r="P62" s="72">
        <v>0</v>
      </c>
      <c r="Q62" s="84">
        <v>0</v>
      </c>
      <c r="R62" s="73">
        <v>1</v>
      </c>
    </row>
    <row r="63" spans="6:18" s="8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M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4.83203125" bestFit="1" customWidth="1"/>
    <col min="2" max="2" width="2.33203125" style="113" customWidth="1"/>
    <col min="3" max="5" width="7.83203125" style="113" customWidth="1"/>
    <col min="6" max="8" width="8.83203125" style="6"/>
    <col min="9" max="9" width="11.5" style="6" customWidth="1"/>
    <col min="10" max="10" width="19.5" style="6" customWidth="1"/>
    <col min="11" max="11" width="13.33203125" style="6" customWidth="1"/>
    <col min="12" max="12" width="6" style="6" customWidth="1"/>
    <col min="13" max="13" width="13.5" style="6" customWidth="1"/>
    <col min="14" max="14" width="9.5" style="6" customWidth="1"/>
    <col min="15" max="15" width="7" style="6" customWidth="1"/>
    <col min="16" max="16" width="5.5" style="6" customWidth="1"/>
    <col min="17" max="17" width="5.1640625" style="6" customWidth="1"/>
    <col min="18" max="18" width="11.1640625" style="6" customWidth="1"/>
    <col min="19" max="19" width="14.1640625" style="6" customWidth="1"/>
    <col min="20" max="20" width="11.6640625" style="6" customWidth="1"/>
    <col min="21" max="21" width="9" style="6" customWidth="1"/>
    <col min="22" max="22" width="12.5" style="6" customWidth="1"/>
    <col min="23" max="23" width="10.83203125" style="6" customWidth="1"/>
    <col min="24" max="24" width="8.6640625" style="6" customWidth="1"/>
    <col min="25" max="25" width="6.1640625" style="6" customWidth="1"/>
    <col min="26" max="26" width="13.6640625" style="6" customWidth="1"/>
    <col min="27" max="27" width="6.33203125" style="6" customWidth="1"/>
    <col min="28" max="28" width="15.33203125" style="6" customWidth="1"/>
    <col min="29" max="29" width="7.83203125" style="6" customWidth="1"/>
    <col min="30" max="30" width="14.6640625" style="6" customWidth="1"/>
    <col min="31" max="31" width="7.5" style="6" customWidth="1"/>
    <col min="32" max="32" width="16.33203125" style="6" customWidth="1"/>
    <col min="33" max="33" width="9.5" style="6" customWidth="1"/>
    <col min="34" max="34" width="17.83203125" style="6" customWidth="1"/>
    <col min="35" max="35" width="24.83203125" style="6" customWidth="1"/>
    <col min="36" max="36" width="19.5" style="6" customWidth="1"/>
    <col min="37" max="37" width="23.33203125" style="6" customWidth="1"/>
    <col min="38" max="38" width="22.33203125" style="6" customWidth="1"/>
    <col min="39" max="39" width="16.6640625" customWidth="1"/>
    <col min="40" max="40" width="13.5" customWidth="1"/>
    <col min="41" max="41" width="16" customWidth="1"/>
    <col min="42" max="42" width="10.5" customWidth="1"/>
    <col min="43" max="43" width="22.5" customWidth="1"/>
    <col min="44" max="44" width="12.33203125" customWidth="1"/>
    <col min="45" max="45" width="6" customWidth="1"/>
    <col min="46" max="46" width="7.1640625" customWidth="1"/>
    <col min="47" max="47" width="6.1640625" customWidth="1"/>
    <col min="48" max="48" width="8.5" customWidth="1"/>
    <col min="49" max="49" width="9.33203125" customWidth="1"/>
    <col min="50" max="50" width="12.6640625" customWidth="1"/>
    <col min="51" max="51" width="7.83203125" customWidth="1"/>
    <col min="52" max="52" width="17" customWidth="1"/>
    <col min="53" max="53" width="11.5" customWidth="1"/>
    <col min="54" max="54" width="7.33203125" customWidth="1"/>
    <col min="55" max="55" width="11.5" customWidth="1"/>
    <col min="56" max="56" width="16.6640625" customWidth="1"/>
    <col min="57" max="57" width="16.5" customWidth="1"/>
    <col min="58" max="58" width="15.83203125" customWidth="1"/>
    <col min="59" max="59" width="6.5" customWidth="1"/>
    <col min="60" max="60" width="13.1640625" customWidth="1"/>
    <col min="61" max="61" width="12" customWidth="1"/>
    <col min="62" max="62" width="17" customWidth="1"/>
    <col min="63" max="63" width="7.6640625" customWidth="1"/>
    <col min="64" max="64" width="21.6640625" customWidth="1"/>
    <col min="65" max="65" width="7.5" customWidth="1"/>
    <col min="81" max="81" width="22.1640625" bestFit="1" customWidth="1"/>
  </cols>
  <sheetData>
    <row r="1" spans="1:65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7" t="s">
        <v>192</v>
      </c>
      <c r="J1" s="207" t="s">
        <v>193</v>
      </c>
      <c r="K1" s="207" t="s">
        <v>194</v>
      </c>
      <c r="L1" s="207" t="s">
        <v>195</v>
      </c>
      <c r="M1" s="207" t="s">
        <v>196</v>
      </c>
      <c r="N1" s="207" t="s">
        <v>197</v>
      </c>
      <c r="O1" s="207" t="s">
        <v>198</v>
      </c>
      <c r="P1" s="207" t="s">
        <v>199</v>
      </c>
      <c r="Q1" s="207" t="s">
        <v>200</v>
      </c>
      <c r="R1" s="207" t="s">
        <v>201</v>
      </c>
      <c r="S1" s="207" t="s">
        <v>202</v>
      </c>
      <c r="T1" s="207" t="s">
        <v>203</v>
      </c>
      <c r="U1" s="207" t="s">
        <v>204</v>
      </c>
      <c r="V1" s="207" t="s">
        <v>205</v>
      </c>
      <c r="W1" s="207" t="s">
        <v>206</v>
      </c>
      <c r="X1" s="207" t="s">
        <v>207</v>
      </c>
      <c r="Y1" s="207" t="s">
        <v>208</v>
      </c>
      <c r="Z1" s="207" t="s">
        <v>209</v>
      </c>
      <c r="AA1" s="207" t="s">
        <v>210</v>
      </c>
      <c r="AB1" s="207" t="s">
        <v>211</v>
      </c>
      <c r="AC1" s="207" t="s">
        <v>212</v>
      </c>
      <c r="AD1" s="207" t="s">
        <v>213</v>
      </c>
      <c r="AE1" s="207" t="s">
        <v>214</v>
      </c>
      <c r="AF1" s="207" t="s">
        <v>215</v>
      </c>
      <c r="AG1" s="207" t="s">
        <v>216</v>
      </c>
      <c r="AH1" s="207" t="s">
        <v>217</v>
      </c>
      <c r="AI1" s="207" t="s">
        <v>218</v>
      </c>
      <c r="AJ1" s="207" t="s">
        <v>219</v>
      </c>
      <c r="AK1" s="207" t="s">
        <v>220</v>
      </c>
      <c r="AL1" s="207" t="s">
        <v>221</v>
      </c>
      <c r="AM1" s="207" t="s">
        <v>222</v>
      </c>
      <c r="AN1" s="207" t="s">
        <v>223</v>
      </c>
      <c r="AO1" s="207" t="s">
        <v>224</v>
      </c>
      <c r="AP1" s="207" t="s">
        <v>225</v>
      </c>
      <c r="AQ1" s="207" t="s">
        <v>226</v>
      </c>
      <c r="AR1" s="207" t="s">
        <v>227</v>
      </c>
      <c r="AS1" s="207" t="s">
        <v>228</v>
      </c>
      <c r="AT1" s="207" t="s">
        <v>229</v>
      </c>
      <c r="AU1" s="207" t="s">
        <v>230</v>
      </c>
      <c r="AV1" s="207" t="s">
        <v>231</v>
      </c>
      <c r="AW1" s="207" t="s">
        <v>232</v>
      </c>
      <c r="AX1" s="207" t="s">
        <v>233</v>
      </c>
      <c r="AY1" s="207" t="s">
        <v>234</v>
      </c>
      <c r="AZ1" s="207" t="s">
        <v>235</v>
      </c>
      <c r="BA1" s="207" t="s">
        <v>236</v>
      </c>
      <c r="BB1" s="207" t="s">
        <v>237</v>
      </c>
      <c r="BC1" s="207" t="s">
        <v>238</v>
      </c>
      <c r="BD1" s="207" t="s">
        <v>239</v>
      </c>
      <c r="BE1" s="207" t="s">
        <v>240</v>
      </c>
      <c r="BF1" s="207" t="s">
        <v>241</v>
      </c>
      <c r="BG1" s="207" t="s">
        <v>242</v>
      </c>
      <c r="BH1" s="207" t="s">
        <v>243</v>
      </c>
      <c r="BI1" s="207" t="s">
        <v>244</v>
      </c>
      <c r="BJ1" s="207" t="s">
        <v>245</v>
      </c>
      <c r="BK1" s="207" t="s">
        <v>246</v>
      </c>
      <c r="BL1" s="207" t="s">
        <v>247</v>
      </c>
      <c r="BM1" s="207" t="s">
        <v>248</v>
      </c>
    </row>
    <row r="2" spans="1:65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65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65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65" x14ac:dyDescent="0.15">
      <c r="A5" s="206" t="s">
        <v>192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65" x14ac:dyDescent="0.15">
      <c r="A6" s="206" t="s">
        <v>193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65" x14ac:dyDescent="0.15">
      <c r="A7" s="206" t="s">
        <v>194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65" x14ac:dyDescent="0.15">
      <c r="A8" s="206" t="s">
        <v>195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65" x14ac:dyDescent="0.15">
      <c r="A9" s="206" t="s">
        <v>196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65" x14ac:dyDescent="0.15">
      <c r="A10" s="206" t="s">
        <v>197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65" x14ac:dyDescent="0.15">
      <c r="A11" s="206" t="s">
        <v>198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65" x14ac:dyDescent="0.15">
      <c r="A12" s="206" t="s">
        <v>199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65" x14ac:dyDescent="0.15">
      <c r="A13" s="206" t="s">
        <v>200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65" x14ac:dyDescent="0.15">
      <c r="A14" s="206" t="s">
        <v>201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65" x14ac:dyDescent="0.15">
      <c r="A15" s="206" t="s">
        <v>202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65" x14ac:dyDescent="0.15">
      <c r="A16" s="206" t="s">
        <v>203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6" t="s">
        <v>204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6" t="s">
        <v>205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6" t="s">
        <v>206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6" t="s">
        <v>207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6" t="s">
        <v>208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6" t="s">
        <v>209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6" t="s">
        <v>210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6" t="s">
        <v>211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6" t="s">
        <v>212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6" t="s">
        <v>213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6" t="s">
        <v>214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6" t="s">
        <v>215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6" t="s">
        <v>216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6" t="s">
        <v>217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6" t="s">
        <v>218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6" t="s">
        <v>219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6" t="s">
        <v>220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6" t="s">
        <v>221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6" t="s">
        <v>222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6" t="s">
        <v>223</v>
      </c>
      <c r="B36" s="113">
        <v>0</v>
      </c>
      <c r="C36"/>
      <c r="D36"/>
    </row>
    <row r="37" spans="1:38" ht="15" customHeight="1" x14ac:dyDescent="0.15">
      <c r="A37" s="206" t="s">
        <v>224</v>
      </c>
      <c r="B37" s="113">
        <v>0</v>
      </c>
      <c r="C37"/>
      <c r="D37"/>
    </row>
    <row r="38" spans="1:38" ht="15" customHeight="1" x14ac:dyDescent="0.15">
      <c r="A38" s="206" t="s">
        <v>225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6" t="s">
        <v>226</v>
      </c>
      <c r="B39" s="113">
        <v>0</v>
      </c>
      <c r="C39"/>
      <c r="D39"/>
    </row>
    <row r="40" spans="1:38" ht="15" customHeight="1" x14ac:dyDescent="0.15">
      <c r="A40" s="206" t="s">
        <v>227</v>
      </c>
      <c r="B40" s="113">
        <v>0</v>
      </c>
      <c r="C40"/>
      <c r="D40"/>
    </row>
    <row r="41" spans="1:38" ht="15" customHeight="1" x14ac:dyDescent="0.15">
      <c r="A41" s="206" t="s">
        <v>228</v>
      </c>
      <c r="B41" s="113">
        <v>0</v>
      </c>
      <c r="C41"/>
      <c r="D41"/>
    </row>
    <row r="42" spans="1:38" ht="15" customHeight="1" x14ac:dyDescent="0.15">
      <c r="A42" s="206" t="s">
        <v>229</v>
      </c>
      <c r="B42" s="113">
        <v>0</v>
      </c>
    </row>
    <row r="43" spans="1:38" ht="15" customHeight="1" x14ac:dyDescent="0.15">
      <c r="A43" s="206" t="s">
        <v>230</v>
      </c>
      <c r="B43" s="113">
        <v>0</v>
      </c>
    </row>
    <row r="44" spans="1:38" ht="15" customHeight="1" x14ac:dyDescent="0.15">
      <c r="A44" s="206" t="s">
        <v>231</v>
      </c>
      <c r="B44" s="113">
        <v>0</v>
      </c>
    </row>
    <row r="45" spans="1:38" ht="15" customHeight="1" x14ac:dyDescent="0.15">
      <c r="A45" s="206" t="s">
        <v>232</v>
      </c>
      <c r="B45" s="113">
        <v>0</v>
      </c>
    </row>
    <row r="46" spans="1:38" ht="15" customHeight="1" x14ac:dyDescent="0.15">
      <c r="A46" s="206" t="s">
        <v>233</v>
      </c>
      <c r="B46" s="113">
        <v>0</v>
      </c>
    </row>
    <row r="47" spans="1:38" ht="15" customHeight="1" x14ac:dyDescent="0.15">
      <c r="A47" s="206" t="s">
        <v>234</v>
      </c>
      <c r="B47" s="113">
        <v>0</v>
      </c>
    </row>
    <row r="48" spans="1:38" ht="15" customHeight="1" x14ac:dyDescent="0.15">
      <c r="A48" s="206" t="s">
        <v>235</v>
      </c>
      <c r="B48" s="113">
        <v>0</v>
      </c>
    </row>
    <row r="49" spans="1:38" ht="15" customHeight="1" x14ac:dyDescent="0.15">
      <c r="A49" s="206" t="s">
        <v>236</v>
      </c>
      <c r="B49" s="113">
        <v>0</v>
      </c>
    </row>
    <row r="50" spans="1:38" ht="15" customHeight="1" x14ac:dyDescent="0.15">
      <c r="A50" s="206" t="s">
        <v>237</v>
      </c>
      <c r="B50" s="113">
        <v>0</v>
      </c>
    </row>
    <row r="51" spans="1:38" ht="15" customHeight="1" x14ac:dyDescent="0.15">
      <c r="A51" s="206" t="s">
        <v>238</v>
      </c>
      <c r="B51" s="113">
        <v>0</v>
      </c>
    </row>
    <row r="52" spans="1:38" ht="15" customHeight="1" x14ac:dyDescent="0.15">
      <c r="A52" s="206" t="s">
        <v>239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6" t="s">
        <v>240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6" t="s">
        <v>241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6" t="s">
        <v>242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6" t="s">
        <v>243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6" t="s">
        <v>244</v>
      </c>
      <c r="B57" s="11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6" t="s">
        <v>245</v>
      </c>
      <c r="B58" s="11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6" t="s">
        <v>246</v>
      </c>
      <c r="B59" s="11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6" t="s">
        <v>247</v>
      </c>
      <c r="B60" s="113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6" t="s">
        <v>248</v>
      </c>
      <c r="B61" s="113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2022-10-24T04:14:10Z</dcterms:modified>
</cp:coreProperties>
</file>