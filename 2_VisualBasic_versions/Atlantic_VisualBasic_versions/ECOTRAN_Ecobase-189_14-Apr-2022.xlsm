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670E57B7-55AA-3946-857B-66DF50AA2D36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Main!$C$2:$N$22</definedName>
    <definedName name="matDetritus">Detritus!$C$2:$E$22</definedName>
    <definedName name="matDiet">Diets!$B$2:$S$22</definedName>
    <definedName name="matDiscards">Discards!$C$2:$C$21</definedName>
    <definedName name="matFishery">Fishing!$C$2:$C$21</definedName>
    <definedName name="matFishing">Fishing!#REF!</definedName>
    <definedName name="matMort">Mortalities!$A$1:$X$21</definedName>
    <definedName name="matOut">MainOutputs!$A$2:$I$22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<sst xmlns="http://schemas.openxmlformats.org/spreadsheetml/2006/main" count="725" uniqueCount="218">
  <si>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</si>
  <si>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</si>
  <si>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</si>
  <si>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</si>
  <si>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</si>
  <si>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</si>
  <si>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</si>
  <si>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</si>
  <si>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</si>
  <si>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</si>
  <si>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</si>
  <si>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</si>
  <si>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</si>
  <si>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</si>
  <si>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</si>
  <si>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</si>
  <si>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</si>
  <si>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</si>
  <si>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</si>
  <si>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</si>
  <si>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</si>
  <si>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</si>
  <si>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</si>
  <si>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</si>
  <si>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</si>
  <si>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</si>
  <si>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</si>
  <si>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</si>
  <si>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</si>
  <si>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</si>
  <si>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</si>
  <si>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</si>
  <si>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</si>
  <si>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</si>
  <si>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</si>
  <si>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</si>
  <si>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</si>
  <si>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</si>
  <si>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</si>
  <si>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</si>
  <si>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</si>
  <si>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</si>
  <si>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</si>
  <si>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</si>
  <si>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</si>
  <si>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</si>
  <si>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</si>
  <si>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</si>
  <si>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</si>
  <si>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</si>
  <si>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</si>
  <si>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</si>
  <si>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</si>
  <si>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</si>
  <si>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</si>
  <si>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</si>
  <si>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</si>
  <si>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</si>
  <si>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</si>
  <si>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</si>
  <si>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</si>
  <si>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</si>
  <si>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</si>
  <si>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</si>
  <si>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</si>
  <si>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</si>
  <si>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</si>
  <si>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</si>
  <si>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</si>
  <si>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</si>
  <si>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</si>
  <si>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</si>
  <si>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</si>
  <si>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</si>
  <si>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</si>
  <si>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</si>
  <si>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</si>
  <si>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</si>
  <si>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</si>
  <si>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</si>
  <si>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</si>
  <si>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</si>
  <si>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</si>
  <si>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</si>
  <si>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</si>
  <si>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</si>
  <si>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</si>
  <si>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</si>
  <si>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</si>
  <si>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</si>
  <si>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</si>
  <si>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</si>
  <si>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</si>
  <si>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</si>
  <si>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</si>
  <si>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</si>
  <si>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</si>
  <si>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</si>
  <si>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</si>
  <si>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</si>
  <si>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</si>
  <si>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</si>
  <si>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</si>
  <si>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</si>
  <si>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</si>
  <si>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</si>
  <si>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</si>
  <si>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</si>
  <si>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</si>
  <si>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</si>
  <si>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</si>
  <si>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</si>
  <si>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</si>
  <si>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</si>
  <si>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</si>
  <si>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</si>
  <si>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</si>
  <si>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</si>
  <si>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</si>
  <si>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</si>
  <si>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</si>
  <si>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</si>
  <si>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</si>
  <si>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</si>
  <si>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</si>
  <si>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</si>
  <si>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</si>
  <si>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</si>
  <si>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</si>
  <si>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</si>
  <si>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</si>
  <si>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</si>
  <si>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</si>
  <si>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</si>
  <si>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</si>
  <si>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</si>
  <si>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</si>
  <si>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</si>
  <si>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</si>
  <si>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</si>
  <si>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</si>
  <si>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</si>
  <si>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</si>
  <si>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</si>
  <si>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</si>
  <si>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</si>
  <si>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</si>
  <si>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</si>
  <si>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</si>
  <si>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</si>
  <si>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</si>
  <si>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</si>
  <si>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</si>
  <si>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</si>
  <si>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</si>
  <si>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</si>
  <si>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</si>
  <si>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</si>
  <si>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</si>
  <si>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</si>
  <si>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</si>
  <si>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</si>
  <si>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</si>
  <si>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</si>
  <si>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</si>
  <si>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</si>
  <si>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</si>
  <si>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</si>
  <si>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</si>
  <si>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</si>
  <si>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</si>
  <si>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</si>
  <si>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</si>
  <si>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</si>
  <si>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</si>
  <si>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</si>
  <si>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</si>
  <si>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</si>
  <si>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</si>
  <si>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</si>
  <si>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</si>
  <si>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</si>
  <si>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</si>
  <si>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</si>
  <si>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</si>
  <si>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North Brazil</t>
  </si>
  <si>
    <t>Brazil</t>
  </si>
  <si>
    <t>BOX(-46.7363811797063 -0.989303992333883,-46.4619334906672 -0.792925698470168)</t>
  </si>
  <si>
    <t>estuary</t>
  </si>
  <si>
    <t>WetWeight</t>
  </si>
  <si>
    <t>This model was autobalanced because the EE&amp;gt;1 in Mammals and Birds groups.(Enter uncertainties: 10%. Goal: EE=0.95. Variation: 80% in Diet and Biomass, 20% in P/B and Q/B); 24/07/2007 05:38:28 p.m.</t>
  </si>
  <si>
    <t>Wolff M.,Koch V.,Isaac V.(2000). A Trophic Flow Model of the Caeté Mangrove Estuary (North Brazil) with Considerations for the Sustainable Use of its Resources Estuarine, Coastal and Shelf Science. pp 789-803</t>
  </si>
  <si>
    <t>Mangroves</t>
  </si>
  <si>
    <t>Phyto/Microphytobenthos</t>
  </si>
  <si>
    <t>Zooplankton</t>
  </si>
  <si>
    <t>Small benthos</t>
  </si>
  <si>
    <t>Predatory snails</t>
  </si>
  <si>
    <t>Predatory crabs</t>
  </si>
  <si>
    <t>Fiddler crabs</t>
  </si>
  <si>
    <t>Land (mangrove) crabs</t>
  </si>
  <si>
    <t>Wood borers</t>
  </si>
  <si>
    <t>Shrimps</t>
  </si>
  <si>
    <t>WCFeeders fish &amp;lt;7cm</t>
  </si>
  <si>
    <t>WCFeeders fish &amp;gt;7</t>
  </si>
  <si>
    <t>Bent.Feed.Fish &amp;lt;10</t>
  </si>
  <si>
    <t>Bent.Feed.Fish &amp;gt;10</t>
  </si>
  <si>
    <t>Predatory fish</t>
  </si>
  <si>
    <t>Insects</t>
  </si>
  <si>
    <t>Mammals</t>
  </si>
  <si>
    <t>Birds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</si>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</sst>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FFED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 applyAlignment="1">
      <alignment horizontal="center"/>
    </xf>
    <xf numFmtId="0" fontId="0" fillId="3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0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0" borderId="3" xfId="0" applyNumberFormat="1" applyFont="1" applyFill="1" applyBorder="1"/>
    <xf numFmtId="0" fontId="0" fillId="30" borderId="2" xfId="0" applyFont="1" applyFill="1" applyBorder="1"/>
    <xf numFmtId="0" fontId="0" fillId="30" borderId="3" xfId="0" applyFont="1" applyFill="1" applyBorder="1"/>
    <xf numFmtId="0" fontId="0" fillId="30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76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4" x14ac:dyDescent="0.15">
      <c r="B49" s="44" t="s">
        <v>44</v>
      </c>
      <c r="C49" s="28">
        <v>5</v>
      </c>
    </row>
    <row r="50" spans="2:4" x14ac:dyDescent="0.15">
      <c r="B50" s="44"/>
      <c r="C50" s="28"/>
    </row>
    <row r="51" spans="2:4" ht="14" thickBot="1" x14ac:dyDescent="0.2">
      <c r="B51" s="45" t="s">
        <v>73</v>
      </c>
      <c r="C51" s="29">
        <v>7</v>
      </c>
    </row>
    <row r="53" spans="2:4" x14ac:dyDescent="0.15">
      <c r="B53" s="156" t="s">
        <v>171</v>
      </c>
      <c r="C53" s="100">
        <v>189</v>
      </c>
      <c r="D53" s="100"/>
    </row>
    <row r="54" spans="2:4" x14ac:dyDescent="0.15">
      <c r="B54" s="156" t="s">
        <v>172</v>
      </c>
      <c r="C54" s="156" t="s">
        <v>185</v>
      </c>
      <c r="D54" s="100"/>
    </row>
    <row r="55" spans="2:4" x14ac:dyDescent="0.15">
      <c r="B55" s="156" t="s">
        <v>173</v>
      </c>
      <c r="C55" s="156" t="s">
        <v>186</v>
      </c>
      <c r="D55" s="100"/>
    </row>
    <row r="56" spans="2:4" x14ac:dyDescent="0.15">
      <c r="B56" s="156" t="s">
        <v>174</v>
      </c>
      <c r="C56" s="100">
        <v>220</v>
      </c>
      <c r="D56" s="100"/>
    </row>
    <row r="57" spans="2:4" x14ac:dyDescent="0.15">
      <c r="B57" s="156" t="s">
        <v>175</v>
      </c>
      <c r="C57" s="156" t="s">
        <v>187</v>
      </c>
      <c r="D57" s="100"/>
    </row>
    <row r="58" spans="2:4" x14ac:dyDescent="0.15">
      <c r="B58" s="156" t="s">
        <v>176</v>
      </c>
      <c r="C58" s="156" t="s">
        <v>188</v>
      </c>
      <c r="D58" s="100"/>
    </row>
    <row r="59" spans="2:4" x14ac:dyDescent="0.15">
      <c r="B59" s="156" t="s">
        <v>177</v>
      </c>
      <c r="C59" s="156" t="s">
        <v>189</v>
      </c>
      <c r="D59" s="100"/>
    </row>
    <row r="60" spans="2:4" x14ac:dyDescent="0.15">
      <c r="B60" s="156" t="s">
        <v>178</v>
      </c>
      <c r="C60" s="156" t="s">
        <v>190</v>
      </c>
      <c r="D60" s="100"/>
    </row>
    <row r="61" spans="2:4" x14ac:dyDescent="0.15">
      <c r="B61" s="156" t="s">
        <v>179</v>
      </c>
      <c r="C61" s="100">
        <v>19</v>
      </c>
      <c r="D61" s="100"/>
    </row>
    <row r="62" spans="2:4" x14ac:dyDescent="0.15">
      <c r="B62" s="156" t="s">
        <v>180</v>
      </c>
      <c r="C62" s="100">
        <v>1</v>
      </c>
      <c r="D62" s="100"/>
    </row>
    <row r="63" spans="2:4" x14ac:dyDescent="0.15">
      <c r="B63" s="156" t="s">
        <v>181</v>
      </c>
      <c r="C63" s="100">
        <v>1970</v>
      </c>
      <c r="D63" s="100"/>
    </row>
    <row r="64" spans="2:4" x14ac:dyDescent="0.15">
      <c r="B64" s="156" t="s">
        <v>182</v>
      </c>
      <c r="C64" s="100">
        <v>20</v>
      </c>
      <c r="D64" s="100"/>
    </row>
    <row r="65" spans="2:4" x14ac:dyDescent="0.15">
      <c r="B65" s="156" t="s">
        <v>183</v>
      </c>
      <c r="C65" s="156" t="s">
        <v>191</v>
      </c>
      <c r="D65" s="100"/>
    </row>
    <row r="66" spans="2:4" x14ac:dyDescent="0.15">
      <c r="B66" s="156" t="s">
        <v>184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73" customWidth="1"/>
    <col min="2" max="3" width="3.33203125" style="73" customWidth="1"/>
    <col min="4" max="4" width="14.33203125" style="73" customWidth="1"/>
    <col min="5" max="5" width="22.5" style="73" bestFit="1" customWidth="1"/>
    <col min="6" max="6" width="2.33203125" style="73" bestFit="1" customWidth="1"/>
    <col min="7" max="7" width="8.83203125" style="73" bestFit="1" customWidth="1"/>
    <col min="8" max="8" width="4.83203125" style="73" customWidth="1"/>
    <col min="9" max="9" width="4.33203125" style="73" customWidth="1"/>
    <col min="10" max="10" width="11.83203125" style="73" customWidth="1"/>
    <col min="11" max="11" width="13.83203125" style="73" customWidth="1"/>
    <col min="12" max="12" width="2.33203125" style="73" customWidth="1"/>
    <col min="13" max="13" width="3.83203125" style="73" customWidth="1"/>
    <col min="14" max="14" width="2.33203125" style="73" customWidth="1"/>
    <col min="16" max="25" width="8.83203125" style="7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3"/>
  </cols>
  <sheetData>
    <row r="1" spans="1:46" s="90" customFormat="1" ht="15" customHeight="1" x14ac:dyDescent="0.15">
      <c r="A1" s="69" t="s">
        <v>18</v>
      </c>
      <c r="C1" s="70" t="s">
        <v>8</v>
      </c>
      <c r="D1" s="69" t="s">
        <v>23</v>
      </c>
      <c r="E1" s="69" t="s">
        <v>0</v>
      </c>
      <c r="F1" s="69" t="s">
        <v>7</v>
      </c>
      <c r="G1" s="71" t="s">
        <v>13</v>
      </c>
      <c r="H1" s="69" t="s">
        <v>1</v>
      </c>
      <c r="I1" s="69" t="s">
        <v>2</v>
      </c>
      <c r="J1" s="69" t="s">
        <v>14</v>
      </c>
      <c r="K1" s="69" t="s">
        <v>3</v>
      </c>
      <c r="L1" s="69" t="s">
        <v>4</v>
      </c>
      <c r="M1" s="69" t="s">
        <v>5</v>
      </c>
      <c r="N1" s="6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0">
        <v>1</v>
      </c>
      <c r="D2"/>
      <c r="E2" s="157" t="s">
        <v>192</v>
      </c>
      <c r="F2" s="73">
        <v>1</v>
      </c>
      <c r="G2" s="73">
        <v>13000</v>
      </c>
      <c r="H2" s="73">
        <v>0.15</v>
      </c>
      <c r="I2" s="6">
        <v>0</v>
      </c>
      <c r="J2" s="6">
        <v>0.69721120000000003</v>
      </c>
      <c r="K2" s="6">
        <v>0</v>
      </c>
      <c r="L2" s="6">
        <v>0</v>
      </c>
      <c r="M2" s="73">
        <v>0</v>
      </c>
      <c r="N2" s="73">
        <v>0</v>
      </c>
    </row>
    <row r="3" spans="1:46" ht="15" customHeight="1" x14ac:dyDescent="0.15">
      <c r="A3" s="1" t="s">
        <v>9</v>
      </c>
      <c r="B3" s="4">
        <v>18</v>
      </c>
      <c r="C3" s="73">
        <v>2</v>
      </c>
      <c r="D3"/>
      <c r="E3" s="157" t="s">
        <v>193</v>
      </c>
      <c r="F3" s="73">
        <v>1</v>
      </c>
      <c r="G3" s="73">
        <v>6.4</v>
      </c>
      <c r="H3" s="73">
        <v>185</v>
      </c>
      <c r="I3" s="73">
        <v>0</v>
      </c>
      <c r="J3" s="73">
        <v>0.5010346</v>
      </c>
      <c r="K3" s="73">
        <v>0</v>
      </c>
      <c r="L3" s="73">
        <v>0</v>
      </c>
      <c r="M3" s="73">
        <v>0</v>
      </c>
      <c r="N3" s="73">
        <v>0</v>
      </c>
    </row>
    <row r="4" spans="1:46" ht="15" customHeight="1" x14ac:dyDescent="0.15">
      <c r="A4" s="1" t="s">
        <v>10</v>
      </c>
      <c r="B4" s="4">
        <v>2</v>
      </c>
      <c r="C4" s="73">
        <v>3</v>
      </c>
      <c r="D4"/>
      <c r="E4" s="157" t="s">
        <v>194</v>
      </c>
      <c r="F4" s="73">
        <v>0</v>
      </c>
      <c r="G4" s="73">
        <v>1.5</v>
      </c>
      <c r="H4" s="73">
        <v>100</v>
      </c>
      <c r="I4" s="73">
        <v>300</v>
      </c>
      <c r="J4" s="73">
        <v>0.82286669999999995</v>
      </c>
      <c r="K4" s="73">
        <v>0.333333343</v>
      </c>
      <c r="L4" s="73">
        <v>0</v>
      </c>
      <c r="M4" s="73">
        <v>0.2</v>
      </c>
      <c r="N4" s="7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3">
        <v>4</v>
      </c>
      <c r="D5"/>
      <c r="E5" s="157" t="s">
        <v>195</v>
      </c>
      <c r="F5" s="73">
        <v>0</v>
      </c>
      <c r="G5" s="73">
        <v>9.9700000000000006</v>
      </c>
      <c r="H5" s="73">
        <v>12</v>
      </c>
      <c r="I5" s="73">
        <v>50</v>
      </c>
      <c r="J5" s="73">
        <v>0.90289149999999996</v>
      </c>
      <c r="K5" s="73">
        <v>0.24</v>
      </c>
      <c r="L5" s="73">
        <v>0</v>
      </c>
      <c r="M5" s="73">
        <v>0.2</v>
      </c>
      <c r="N5" s="73">
        <v>0</v>
      </c>
      <c r="P5" s="64"/>
      <c r="Q5" s="64"/>
      <c r="R5" s="64"/>
    </row>
    <row r="6" spans="1:46" ht="15" customHeight="1" thickBot="1" x14ac:dyDescent="0.2">
      <c r="B6" s="1"/>
      <c r="C6" s="73">
        <v>5</v>
      </c>
      <c r="D6"/>
      <c r="E6" s="157" t="s">
        <v>196</v>
      </c>
      <c r="F6" s="73">
        <v>0</v>
      </c>
      <c r="G6" s="73">
        <v>2.1</v>
      </c>
      <c r="H6" s="73">
        <v>0.5</v>
      </c>
      <c r="I6" s="73">
        <v>4</v>
      </c>
      <c r="J6" s="73">
        <v>0.64571434299999997</v>
      </c>
      <c r="K6" s="73">
        <v>0.125</v>
      </c>
      <c r="L6" s="73">
        <v>0</v>
      </c>
      <c r="M6" s="73">
        <v>0.2</v>
      </c>
      <c r="N6" s="73">
        <v>0</v>
      </c>
      <c r="P6" s="64"/>
      <c r="Q6" s="64"/>
      <c r="R6" s="64"/>
      <c r="W6" s="31" t="s">
        <v>31</v>
      </c>
      <c r="X6" s="47">
        <f>MAX(MainOutputs!G:G)</f>
        <v>0.94999998807907104</v>
      </c>
    </row>
    <row r="7" spans="1:46" ht="15" customHeight="1" x14ac:dyDescent="0.15">
      <c r="A7" s="2" t="s">
        <v>27</v>
      </c>
      <c r="B7" s="73">
        <f ca="1">COUNTIF(OFFSET(cornerDiets,1,1,NumLiving+NumDead+1,NumLiving+NumDead),"&gt;0")+NumLiving+NumDead+1</f>
        <v>95</v>
      </c>
      <c r="C7" s="73">
        <v>6</v>
      </c>
      <c r="D7"/>
      <c r="E7" s="157" t="s">
        <v>197</v>
      </c>
      <c r="F7" s="73">
        <v>0</v>
      </c>
      <c r="G7" s="73">
        <v>2.5</v>
      </c>
      <c r="H7" s="73">
        <v>2</v>
      </c>
      <c r="I7" s="73">
        <v>22</v>
      </c>
      <c r="J7" s="73">
        <v>0.7670188</v>
      </c>
      <c r="K7" s="73">
        <v>9.0909089999999998E-2</v>
      </c>
      <c r="L7" s="73">
        <v>0</v>
      </c>
      <c r="M7" s="73">
        <v>0.2</v>
      </c>
      <c r="N7" s="73">
        <v>0</v>
      </c>
      <c r="P7" s="64"/>
      <c r="Q7" s="64"/>
      <c r="R7" s="64"/>
    </row>
    <row r="8" spans="1:46" ht="15" customHeight="1" x14ac:dyDescent="0.15">
      <c r="A8" s="2" t="s">
        <v>28</v>
      </c>
      <c r="B8" s="73">
        <f ca="1">COUNTIF(OFFSET(cornerFishing,1,2,NumLiving+NumDead,NumGears),"&gt;0")+NumDead*COUNTIF(OFFSET(cornerDiscards,1,2,NumLiving+NumDead,NumGears),"&gt;0")+NumLiving+NumDead+1</f>
        <v>29</v>
      </c>
      <c r="C8" s="73">
        <v>7</v>
      </c>
      <c r="D8"/>
      <c r="E8" s="157" t="s">
        <v>198</v>
      </c>
      <c r="F8" s="73">
        <v>0</v>
      </c>
      <c r="G8" s="73">
        <v>14.5</v>
      </c>
      <c r="H8" s="73">
        <v>5.5</v>
      </c>
      <c r="I8" s="73">
        <v>95</v>
      </c>
      <c r="J8" s="73">
        <v>0.66082669999999999</v>
      </c>
      <c r="K8" s="73">
        <v>5.7894736500000002E-2</v>
      </c>
      <c r="L8" s="73">
        <v>0</v>
      </c>
      <c r="M8" s="73">
        <v>0.2</v>
      </c>
      <c r="N8" s="73">
        <v>0</v>
      </c>
      <c r="P8" s="64"/>
      <c r="Q8" s="64"/>
      <c r="R8" s="64"/>
    </row>
    <row r="9" spans="1:46" ht="15" customHeight="1" x14ac:dyDescent="0.15">
      <c r="B9" s="1"/>
      <c r="C9" s="73">
        <v>8</v>
      </c>
      <c r="D9"/>
      <c r="E9" s="157" t="s">
        <v>199</v>
      </c>
      <c r="F9" s="73">
        <v>0</v>
      </c>
      <c r="G9" s="73">
        <v>82.790750000000003</v>
      </c>
      <c r="H9" s="73">
        <v>0.25</v>
      </c>
      <c r="I9" s="73">
        <v>14</v>
      </c>
      <c r="J9" s="73">
        <v>0.95</v>
      </c>
      <c r="K9" s="73">
        <v>1.7857143700000001E-2</v>
      </c>
      <c r="L9" s="73">
        <v>0</v>
      </c>
      <c r="M9" s="73">
        <v>0.2</v>
      </c>
      <c r="N9" s="73">
        <v>0</v>
      </c>
      <c r="P9" s="64"/>
      <c r="Q9" s="64"/>
      <c r="R9" s="64"/>
    </row>
    <row r="10" spans="1:46" ht="15" customHeight="1" x14ac:dyDescent="0.15">
      <c r="B10" s="1"/>
      <c r="C10" s="73">
        <v>9</v>
      </c>
      <c r="D10"/>
      <c r="E10" s="157" t="s">
        <v>200</v>
      </c>
      <c r="F10" s="73">
        <v>0</v>
      </c>
      <c r="G10" s="73">
        <v>2.5</v>
      </c>
      <c r="H10" s="73">
        <v>2.2000000000000002</v>
      </c>
      <c r="I10" s="73">
        <v>15</v>
      </c>
      <c r="J10" s="73">
        <v>0.94545449999999998</v>
      </c>
      <c r="K10" s="73">
        <v>0.146666676</v>
      </c>
      <c r="L10" s="73">
        <v>0</v>
      </c>
      <c r="M10" s="73">
        <v>0.2</v>
      </c>
      <c r="N10" s="73">
        <v>0</v>
      </c>
    </row>
    <row r="11" spans="1:46" ht="15" customHeight="1" x14ac:dyDescent="0.15">
      <c r="C11" s="73">
        <v>10</v>
      </c>
      <c r="D11"/>
      <c r="E11" s="157" t="s">
        <v>201</v>
      </c>
      <c r="F11" s="73">
        <v>0</v>
      </c>
      <c r="G11" s="73">
        <v>2.2000000000000002</v>
      </c>
      <c r="H11" s="73">
        <v>5.5</v>
      </c>
      <c r="I11" s="73">
        <v>25</v>
      </c>
      <c r="J11" s="73">
        <v>0.64384039999999998</v>
      </c>
      <c r="K11" s="73">
        <v>0.22</v>
      </c>
      <c r="L11" s="73">
        <v>0</v>
      </c>
      <c r="M11" s="73">
        <v>0.2</v>
      </c>
      <c r="N11" s="73">
        <v>0</v>
      </c>
    </row>
    <row r="12" spans="1:46" ht="15" customHeight="1" x14ac:dyDescent="0.15">
      <c r="C12" s="73">
        <v>11</v>
      </c>
      <c r="D12"/>
      <c r="E12" s="157" t="s">
        <v>202</v>
      </c>
      <c r="F12" s="73">
        <v>0</v>
      </c>
      <c r="G12" s="73">
        <v>1.9</v>
      </c>
      <c r="H12" s="73">
        <v>5.4</v>
      </c>
      <c r="I12" s="73">
        <v>20</v>
      </c>
      <c r="J12" s="73">
        <v>0.65335030000000005</v>
      </c>
      <c r="K12" s="73">
        <v>0.27</v>
      </c>
      <c r="L12" s="73">
        <v>0</v>
      </c>
      <c r="M12" s="73">
        <v>0.2</v>
      </c>
      <c r="N12" s="73">
        <v>0</v>
      </c>
    </row>
    <row r="13" spans="1:46" ht="15" customHeight="1" x14ac:dyDescent="0.15">
      <c r="C13" s="73">
        <v>12</v>
      </c>
      <c r="D13"/>
      <c r="E13" s="157" t="s">
        <v>203</v>
      </c>
      <c r="F13" s="73">
        <v>0</v>
      </c>
      <c r="G13" s="73">
        <v>1.3</v>
      </c>
      <c r="H13" s="73">
        <v>2.2999999999999998</v>
      </c>
      <c r="I13" s="73">
        <v>13</v>
      </c>
      <c r="J13" s="73">
        <v>0.88099914800000001</v>
      </c>
      <c r="K13" s="73">
        <v>0.17692306599999999</v>
      </c>
      <c r="L13" s="73">
        <v>0</v>
      </c>
      <c r="M13" s="73">
        <v>0.2</v>
      </c>
      <c r="N13" s="73">
        <v>0</v>
      </c>
    </row>
    <row r="14" spans="1:46" ht="15" customHeight="1" x14ac:dyDescent="0.15">
      <c r="C14" s="73">
        <v>13</v>
      </c>
      <c r="D14"/>
      <c r="E14" s="157" t="s">
        <v>204</v>
      </c>
      <c r="F14" s="73">
        <v>0</v>
      </c>
      <c r="G14" s="73">
        <v>2</v>
      </c>
      <c r="H14" s="73">
        <v>3</v>
      </c>
      <c r="I14" s="73">
        <v>8</v>
      </c>
      <c r="J14" s="73">
        <v>0.86306244099999996</v>
      </c>
      <c r="K14" s="73">
        <v>0.375</v>
      </c>
      <c r="L14" s="73">
        <v>0</v>
      </c>
      <c r="M14" s="73">
        <v>0.2</v>
      </c>
      <c r="N14" s="73">
        <v>0</v>
      </c>
    </row>
    <row r="15" spans="1:46" ht="15" customHeight="1" x14ac:dyDescent="0.15">
      <c r="C15" s="73">
        <v>14</v>
      </c>
      <c r="D15"/>
      <c r="E15" s="157" t="s">
        <v>205</v>
      </c>
      <c r="F15" s="73">
        <v>0</v>
      </c>
      <c r="G15" s="73">
        <v>3.2</v>
      </c>
      <c r="H15" s="73">
        <v>0.8</v>
      </c>
      <c r="I15" s="73">
        <v>4</v>
      </c>
      <c r="J15" s="73">
        <v>0.84034410000000004</v>
      </c>
      <c r="K15" s="73">
        <v>0.2</v>
      </c>
      <c r="L15" s="73">
        <v>0</v>
      </c>
      <c r="M15" s="73">
        <v>0.2</v>
      </c>
      <c r="N15" s="73">
        <v>0</v>
      </c>
    </row>
    <row r="16" spans="1:46" ht="15" customHeight="1" x14ac:dyDescent="0.15">
      <c r="C16" s="73">
        <v>15</v>
      </c>
      <c r="D16"/>
      <c r="E16" s="157" t="s">
        <v>206</v>
      </c>
      <c r="F16" s="73">
        <v>0</v>
      </c>
      <c r="G16" s="73">
        <v>0.7</v>
      </c>
      <c r="H16" s="73">
        <v>0.7</v>
      </c>
      <c r="I16" s="73">
        <v>4</v>
      </c>
      <c r="J16" s="73">
        <v>0.64712990000000004</v>
      </c>
      <c r="K16" s="73">
        <v>0.17499999999999999</v>
      </c>
      <c r="L16" s="73">
        <v>0</v>
      </c>
      <c r="M16" s="73">
        <v>0.2</v>
      </c>
      <c r="N16" s="73">
        <v>0</v>
      </c>
    </row>
    <row r="17" spans="1:22" ht="15" customHeight="1" x14ac:dyDescent="0.15">
      <c r="C17" s="73">
        <v>16</v>
      </c>
      <c r="D17"/>
      <c r="E17" s="157" t="s">
        <v>207</v>
      </c>
      <c r="F17" s="73">
        <v>0</v>
      </c>
      <c r="G17" s="73">
        <v>0.9</v>
      </c>
      <c r="H17" s="73">
        <v>6.2</v>
      </c>
      <c r="I17" s="73">
        <v>30</v>
      </c>
      <c r="J17" s="73">
        <v>0.85531080000000004</v>
      </c>
      <c r="K17" s="73">
        <v>0.206666663</v>
      </c>
      <c r="L17" s="73">
        <v>0</v>
      </c>
      <c r="M17" s="73">
        <v>0.2</v>
      </c>
      <c r="N17" s="73">
        <v>0</v>
      </c>
      <c r="V17" s="1" t="s">
        <v>30</v>
      </c>
    </row>
    <row r="18" spans="1:22" ht="15" customHeight="1" x14ac:dyDescent="0.15">
      <c r="C18" s="73">
        <v>17</v>
      </c>
      <c r="D18"/>
      <c r="E18" s="157" t="s">
        <v>208</v>
      </c>
      <c r="F18" s="73">
        <v>0</v>
      </c>
      <c r="G18" s="73">
        <v>0.32400000000000001</v>
      </c>
      <c r="H18" s="73">
        <v>0.35</v>
      </c>
      <c r="I18" s="73">
        <v>50</v>
      </c>
      <c r="J18" s="73">
        <v>0.95</v>
      </c>
      <c r="K18" s="73">
        <v>6.9999997500000003E-3</v>
      </c>
      <c r="L18" s="73">
        <v>0</v>
      </c>
      <c r="M18" s="73">
        <v>0.2</v>
      </c>
      <c r="N18" s="73">
        <v>0</v>
      </c>
      <c r="V18" s="1"/>
    </row>
    <row r="19" spans="1:22" ht="15" customHeight="1" x14ac:dyDescent="0.15">
      <c r="C19" s="73">
        <v>18</v>
      </c>
      <c r="D19"/>
      <c r="E19" s="157" t="s">
        <v>209</v>
      </c>
      <c r="F19" s="73">
        <v>0</v>
      </c>
      <c r="G19" s="73">
        <v>0.36</v>
      </c>
      <c r="H19" s="73">
        <v>0.3</v>
      </c>
      <c r="I19" s="73">
        <v>60</v>
      </c>
      <c r="J19" s="73">
        <v>0.94999990000000001</v>
      </c>
      <c r="K19" s="73">
        <v>5.0000003499999996E-3</v>
      </c>
      <c r="L19" s="73">
        <v>0</v>
      </c>
      <c r="M19" s="73">
        <v>0.2</v>
      </c>
      <c r="N19" s="73">
        <v>0</v>
      </c>
    </row>
    <row r="20" spans="1:22" ht="15" customHeight="1" thickBot="1" x14ac:dyDescent="0.2">
      <c r="C20" s="73">
        <v>19</v>
      </c>
      <c r="D20"/>
      <c r="E20" s="157" t="s">
        <v>210</v>
      </c>
      <c r="F20" s="73">
        <v>2</v>
      </c>
      <c r="G20" s="73">
        <v>1</v>
      </c>
      <c r="H20" s="73">
        <v>0</v>
      </c>
      <c r="I20" s="73">
        <v>0</v>
      </c>
      <c r="J20" s="73">
        <v>0.88072514499999999</v>
      </c>
      <c r="K20" s="73">
        <v>0</v>
      </c>
      <c r="L20" s="73">
        <v>0</v>
      </c>
      <c r="M20" s="73">
        <v>0</v>
      </c>
      <c r="N20" s="73">
        <v>0</v>
      </c>
    </row>
    <row r="21" spans="1:22" ht="15" customHeight="1" thickBot="1" x14ac:dyDescent="0.2">
      <c r="A21" s="42" t="s">
        <v>137</v>
      </c>
      <c r="B21" s="91"/>
      <c r="C21" s="73">
        <v>20</v>
      </c>
      <c r="D21"/>
      <c r="E21" s="157" t="s">
        <v>211</v>
      </c>
      <c r="F21" s="73">
        <v>2</v>
      </c>
      <c r="G21" s="73">
        <v>5</v>
      </c>
      <c r="H21" s="73">
        <v>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</row>
    <row r="22" spans="1:22" ht="15" customHeight="1" x14ac:dyDescent="0.15">
      <c r="A22" s="92" t="s">
        <v>58</v>
      </c>
      <c r="B22" s="93">
        <v>0</v>
      </c>
      <c r="C22" s="73">
        <v>21</v>
      </c>
      <c r="D22"/>
      <c r="E22" s="157" t="s">
        <v>212</v>
      </c>
      <c r="F22" s="73">
        <v>3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</row>
    <row r="23" spans="1:22" ht="15" customHeight="1" x14ac:dyDescent="0.15">
      <c r="A23" s="92" t="s">
        <v>59</v>
      </c>
      <c r="B23" s="93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92" t="s">
        <v>60</v>
      </c>
      <c r="B24" s="93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4" t="s">
        <v>44</v>
      </c>
      <c r="B25" s="95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6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2.5" style="131" bestFit="1" customWidth="1"/>
    <col min="2" max="3" width="2.33203125" style="131" bestFit="1" customWidth="1"/>
    <col min="4" max="4" width="3.83203125" style="131" bestFit="1" customWidth="1"/>
    <col min="5" max="5" width="4.83203125" style="131" bestFit="1" customWidth="1"/>
    <col min="6" max="6" width="3.83203125" style="131" bestFit="1" customWidth="1"/>
    <col min="7" max="7" width="4.83203125" style="131" bestFit="1" customWidth="1"/>
    <col min="8" max="9" width="3.83203125" style="131" bestFit="1" customWidth="1"/>
    <col min="10" max="10" width="2.33203125" style="131" bestFit="1" customWidth="1"/>
    <col min="11" max="11" width="4.83203125" style="131" bestFit="1" customWidth="1"/>
    <col min="12" max="12" width="3.83203125" style="131" bestFit="1" customWidth="1"/>
    <col min="13" max="16" width="4.83203125" style="131" bestFit="1" customWidth="1"/>
    <col min="17" max="17" width="2.33203125" style="131" bestFit="1" customWidth="1"/>
    <col min="18" max="19" width="14.83203125" style="131" bestFit="1" customWidth="1"/>
    <col min="20" max="21" width="2.33203125" style="131" bestFit="1" customWidth="1"/>
    <col min="22" max="29" width="9" style="131" bestFit="1" customWidth="1"/>
    <col min="30" max="16384" width="8.83203125" style="131"/>
  </cols>
  <sheetData>
    <row r="1" spans="1:34" x14ac:dyDescent="0.15">
      <c r="A1" s="130" t="s">
        <v>19</v>
      </c>
      <c r="B1" s="159" t="s">
        <v>192</v>
      </c>
      <c r="C1" s="159" t="s">
        <v>193</v>
      </c>
      <c r="D1" s="159" t="s">
        <v>194</v>
      </c>
      <c r="E1" s="159" t="s">
        <v>195</v>
      </c>
      <c r="F1" s="159" t="s">
        <v>196</v>
      </c>
      <c r="G1" s="159" t="s">
        <v>197</v>
      </c>
      <c r="H1" s="159" t="s">
        <v>198</v>
      </c>
      <c r="I1" s="159" t="s">
        <v>199</v>
      </c>
      <c r="J1" s="159" t="s">
        <v>200</v>
      </c>
      <c r="K1" s="159" t="s">
        <v>201</v>
      </c>
      <c r="L1" s="159" t="s">
        <v>202</v>
      </c>
      <c r="M1" s="159" t="s">
        <v>203</v>
      </c>
      <c r="N1" s="159" t="s">
        <v>204</v>
      </c>
      <c r="O1" s="159" t="s">
        <v>205</v>
      </c>
      <c r="P1" s="159" t="s">
        <v>206</v>
      </c>
      <c r="Q1" s="159" t="s">
        <v>207</v>
      </c>
      <c r="R1" s="159" t="s">
        <v>208</v>
      </c>
      <c r="S1" s="159" t="s">
        <v>209</v>
      </c>
      <c r="T1" s="159" t="s">
        <v>210</v>
      </c>
      <c r="U1" s="159" t="s">
        <v>211</v>
      </c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8" t="s">
        <v>192</v>
      </c>
      <c r="B2" s="131">
        <v>0</v>
      </c>
      <c r="C2" s="131">
        <v>0</v>
      </c>
      <c r="D2" s="131">
        <v>0</v>
      </c>
      <c r="E2" s="131">
        <v>0</v>
      </c>
      <c r="F2" s="131">
        <v>0</v>
      </c>
      <c r="G2" s="131">
        <v>0</v>
      </c>
      <c r="H2" s="131">
        <v>0</v>
      </c>
      <c r="I2" s="131">
        <v>0.9</v>
      </c>
      <c r="J2" s="131">
        <v>1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1</v>
      </c>
      <c r="R2" s="131">
        <v>5.0187073347057153E-2</v>
      </c>
      <c r="S2" s="131">
        <v>5.0253155279347081E-2</v>
      </c>
      <c r="T2" s="131">
        <v>0</v>
      </c>
      <c r="U2" s="131">
        <v>0</v>
      </c>
    </row>
    <row r="3" spans="1:34" customFormat="1" x14ac:dyDescent="0.15">
      <c r="A3" s="158" t="s">
        <v>193</v>
      </c>
      <c r="B3" s="131">
        <v>0</v>
      </c>
      <c r="C3" s="131">
        <v>0</v>
      </c>
      <c r="D3" s="131">
        <v>0.7</v>
      </c>
      <c r="E3" s="131">
        <v>0.25</v>
      </c>
      <c r="F3" s="131">
        <v>0</v>
      </c>
      <c r="G3" s="131">
        <v>0</v>
      </c>
      <c r="H3" s="131">
        <v>0.1</v>
      </c>
      <c r="I3" s="131">
        <v>0</v>
      </c>
      <c r="J3" s="131">
        <v>0</v>
      </c>
      <c r="K3" s="131">
        <v>0.15</v>
      </c>
      <c r="L3" s="131">
        <v>0.20000000000000004</v>
      </c>
      <c r="M3" s="131">
        <v>0</v>
      </c>
      <c r="N3" s="131">
        <v>0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</row>
    <row r="4" spans="1:34" customFormat="1" x14ac:dyDescent="0.15">
      <c r="A4" s="158" t="s">
        <v>194</v>
      </c>
      <c r="B4" s="131">
        <v>0</v>
      </c>
      <c r="C4" s="131">
        <v>0</v>
      </c>
      <c r="D4" s="131">
        <v>0.1</v>
      </c>
      <c r="E4" s="131">
        <v>0.05</v>
      </c>
      <c r="F4" s="131">
        <v>0</v>
      </c>
      <c r="G4" s="131">
        <v>0</v>
      </c>
      <c r="H4" s="131">
        <v>0</v>
      </c>
      <c r="I4" s="131">
        <v>0</v>
      </c>
      <c r="J4" s="131">
        <v>0</v>
      </c>
      <c r="K4" s="131">
        <v>0.1</v>
      </c>
      <c r="L4" s="131">
        <v>0.70000000000000007</v>
      </c>
      <c r="M4" s="131">
        <v>0.45</v>
      </c>
      <c r="N4" s="131">
        <v>0.05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</row>
    <row r="5" spans="1:34" customFormat="1" x14ac:dyDescent="0.15">
      <c r="A5" s="158" t="s">
        <v>195</v>
      </c>
      <c r="B5" s="131">
        <v>0</v>
      </c>
      <c r="C5" s="131">
        <v>0</v>
      </c>
      <c r="D5" s="131">
        <v>0</v>
      </c>
      <c r="E5" s="131">
        <v>0.1</v>
      </c>
      <c r="F5" s="131">
        <v>0.5</v>
      </c>
      <c r="G5" s="131">
        <v>0.29999999999999993</v>
      </c>
      <c r="H5" s="131">
        <v>0</v>
      </c>
      <c r="I5" s="131">
        <v>0</v>
      </c>
      <c r="J5" s="131">
        <v>0</v>
      </c>
      <c r="K5" s="131">
        <v>0.35</v>
      </c>
      <c r="L5" s="131">
        <v>0</v>
      </c>
      <c r="M5" s="131">
        <v>0.15</v>
      </c>
      <c r="N5" s="131">
        <v>0.7</v>
      </c>
      <c r="O5" s="131">
        <v>0.17</v>
      </c>
      <c r="P5" s="131">
        <v>0.05</v>
      </c>
      <c r="Q5" s="131">
        <v>0</v>
      </c>
      <c r="R5" s="131">
        <v>0</v>
      </c>
      <c r="S5" s="131">
        <v>0.10050631035869417</v>
      </c>
      <c r="T5" s="131">
        <v>0</v>
      </c>
      <c r="U5" s="131">
        <v>0</v>
      </c>
    </row>
    <row r="6" spans="1:34" customFormat="1" x14ac:dyDescent="0.15">
      <c r="A6" s="158" t="s">
        <v>196</v>
      </c>
      <c r="B6" s="131">
        <v>0</v>
      </c>
      <c r="C6" s="131">
        <v>0</v>
      </c>
      <c r="D6" s="131">
        <v>0</v>
      </c>
      <c r="E6" s="131">
        <v>0</v>
      </c>
      <c r="F6" s="131">
        <v>0</v>
      </c>
      <c r="G6" s="131">
        <v>9.9999999999999985E-3</v>
      </c>
      <c r="H6" s="131">
        <v>0</v>
      </c>
      <c r="I6" s="131">
        <v>0</v>
      </c>
      <c r="J6" s="131">
        <v>0</v>
      </c>
      <c r="K6" s="131">
        <v>0</v>
      </c>
      <c r="L6" s="131">
        <v>0</v>
      </c>
      <c r="M6" s="131">
        <v>0</v>
      </c>
      <c r="N6" s="131">
        <v>0</v>
      </c>
      <c r="O6" s="131">
        <v>0.01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</row>
    <row r="7" spans="1:34" customFormat="1" x14ac:dyDescent="0.15">
      <c r="A7" s="158" t="s">
        <v>197</v>
      </c>
      <c r="B7" s="131">
        <v>0</v>
      </c>
      <c r="C7" s="131">
        <v>0</v>
      </c>
      <c r="D7" s="131">
        <v>0</v>
      </c>
      <c r="E7" s="131">
        <v>0</v>
      </c>
      <c r="F7" s="131">
        <v>0</v>
      </c>
      <c r="G7" s="131">
        <v>9.9999999999999985E-3</v>
      </c>
      <c r="H7" s="131">
        <v>0</v>
      </c>
      <c r="I7" s="131">
        <v>0</v>
      </c>
      <c r="J7" s="131">
        <v>0</v>
      </c>
      <c r="K7" s="131">
        <v>0</v>
      </c>
      <c r="L7" s="131">
        <v>0</v>
      </c>
      <c r="M7" s="131">
        <v>0</v>
      </c>
      <c r="N7" s="131">
        <v>0</v>
      </c>
      <c r="O7" s="131">
        <v>0.16</v>
      </c>
      <c r="P7" s="131">
        <v>0.15</v>
      </c>
      <c r="Q7" s="131">
        <v>0</v>
      </c>
      <c r="R7" s="131">
        <v>0</v>
      </c>
      <c r="S7" s="131">
        <v>1.0050630835869422E-2</v>
      </c>
      <c r="T7" s="131">
        <v>0</v>
      </c>
      <c r="U7" s="131">
        <v>0</v>
      </c>
    </row>
    <row r="8" spans="1:34" customFormat="1" x14ac:dyDescent="0.15">
      <c r="A8" s="158" t="s">
        <v>198</v>
      </c>
      <c r="B8" s="131">
        <v>0</v>
      </c>
      <c r="C8" s="131">
        <v>0</v>
      </c>
      <c r="D8" s="131">
        <v>0</v>
      </c>
      <c r="E8" s="131">
        <v>0</v>
      </c>
      <c r="F8" s="131">
        <v>0</v>
      </c>
      <c r="G8" s="131">
        <v>0.48999999999999988</v>
      </c>
      <c r="H8" s="131">
        <v>0</v>
      </c>
      <c r="I8" s="131">
        <v>0</v>
      </c>
      <c r="J8" s="131">
        <v>0</v>
      </c>
      <c r="K8" s="131">
        <v>0</v>
      </c>
      <c r="L8" s="131">
        <v>0</v>
      </c>
      <c r="M8" s="131">
        <v>0</v>
      </c>
      <c r="N8" s="131">
        <v>0.15</v>
      </c>
      <c r="O8" s="131">
        <v>0.26</v>
      </c>
      <c r="P8" s="131">
        <v>0.1</v>
      </c>
      <c r="Q8" s="131">
        <v>0</v>
      </c>
      <c r="R8" s="131">
        <v>0.56205785016722842</v>
      </c>
      <c r="S8" s="131">
        <v>0.49248095005760067</v>
      </c>
      <c r="T8" s="131">
        <v>0</v>
      </c>
      <c r="U8" s="131">
        <v>0</v>
      </c>
    </row>
    <row r="9" spans="1:34" customFormat="1" x14ac:dyDescent="0.15">
      <c r="A9" s="158" t="s">
        <v>199</v>
      </c>
      <c r="B9" s="131">
        <v>0</v>
      </c>
      <c r="C9" s="131">
        <v>0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0</v>
      </c>
      <c r="M9" s="131">
        <v>0</v>
      </c>
      <c r="N9" s="131">
        <v>0</v>
      </c>
      <c r="O9" s="131">
        <v>0</v>
      </c>
      <c r="P9" s="131">
        <v>0</v>
      </c>
      <c r="Q9" s="131">
        <v>0</v>
      </c>
      <c r="R9" s="131">
        <v>0.22082312288705147</v>
      </c>
      <c r="S9" s="131">
        <v>5.0253155279347081E-2</v>
      </c>
      <c r="T9" s="131">
        <v>0</v>
      </c>
      <c r="U9" s="131">
        <v>0</v>
      </c>
    </row>
    <row r="10" spans="1:34" customFormat="1" x14ac:dyDescent="0.15">
      <c r="A10" s="158" t="s">
        <v>200</v>
      </c>
      <c r="B10" s="131">
        <v>0</v>
      </c>
      <c r="C10" s="131">
        <v>0</v>
      </c>
      <c r="D10" s="131">
        <v>0</v>
      </c>
      <c r="E10" s="131">
        <v>0</v>
      </c>
      <c r="F10" s="131">
        <v>0.5</v>
      </c>
      <c r="G10" s="131">
        <v>0</v>
      </c>
      <c r="H10" s="131">
        <v>0</v>
      </c>
      <c r="I10" s="131">
        <v>0</v>
      </c>
      <c r="J10" s="131">
        <v>0</v>
      </c>
      <c r="K10" s="131">
        <v>0</v>
      </c>
      <c r="L10" s="131">
        <v>0</v>
      </c>
      <c r="M10" s="131">
        <v>0</v>
      </c>
      <c r="N10" s="131">
        <v>0</v>
      </c>
      <c r="O10" s="131">
        <v>0</v>
      </c>
      <c r="P10" s="131">
        <v>0</v>
      </c>
      <c r="Q10" s="131">
        <v>0</v>
      </c>
      <c r="R10" s="131">
        <v>0</v>
      </c>
      <c r="S10" s="131">
        <v>0</v>
      </c>
      <c r="T10" s="131">
        <v>0</v>
      </c>
      <c r="U10" s="131">
        <v>0</v>
      </c>
    </row>
    <row r="11" spans="1:34" customFormat="1" x14ac:dyDescent="0.15">
      <c r="A11" s="158" t="s">
        <v>201</v>
      </c>
      <c r="B11" s="131">
        <v>0</v>
      </c>
      <c r="C11" s="131">
        <v>0</v>
      </c>
      <c r="D11" s="131">
        <v>0</v>
      </c>
      <c r="E11" s="131">
        <v>0</v>
      </c>
      <c r="F11" s="131">
        <v>0</v>
      </c>
      <c r="G11" s="131">
        <v>2.9999999999999992E-2</v>
      </c>
      <c r="H11" s="131">
        <v>0</v>
      </c>
      <c r="I11" s="131">
        <v>0</v>
      </c>
      <c r="J11" s="131">
        <v>0</v>
      </c>
      <c r="K11" s="131">
        <v>0</v>
      </c>
      <c r="L11" s="131">
        <v>0</v>
      </c>
      <c r="M11" s="131">
        <v>0.15</v>
      </c>
      <c r="N11" s="131">
        <v>0.05</v>
      </c>
      <c r="O11" s="131">
        <v>0.1</v>
      </c>
      <c r="P11" s="131">
        <v>0.05</v>
      </c>
      <c r="Q11" s="131">
        <v>0</v>
      </c>
      <c r="R11" s="131">
        <v>0</v>
      </c>
      <c r="S11" s="131">
        <v>5.0253155279347081E-2</v>
      </c>
      <c r="T11" s="131">
        <v>0</v>
      </c>
      <c r="U11" s="131">
        <v>0</v>
      </c>
    </row>
    <row r="12" spans="1:34" customFormat="1" x14ac:dyDescent="0.15">
      <c r="A12" s="158" t="s">
        <v>202</v>
      </c>
      <c r="B12" s="131">
        <v>0</v>
      </c>
      <c r="C12" s="131">
        <v>0</v>
      </c>
      <c r="D12" s="131">
        <v>0</v>
      </c>
      <c r="E12" s="131">
        <v>0</v>
      </c>
      <c r="F12" s="131">
        <v>0</v>
      </c>
      <c r="G12" s="131">
        <v>9.9999999999999985E-3</v>
      </c>
      <c r="H12" s="131">
        <v>0</v>
      </c>
      <c r="I12" s="131">
        <v>0</v>
      </c>
      <c r="J12" s="131">
        <v>0</v>
      </c>
      <c r="K12" s="131">
        <v>0</v>
      </c>
      <c r="L12" s="131">
        <v>0</v>
      </c>
      <c r="M12" s="131">
        <v>0.25</v>
      </c>
      <c r="N12" s="131">
        <v>0</v>
      </c>
      <c r="O12" s="131">
        <v>0.05</v>
      </c>
      <c r="P12" s="131">
        <v>0.15</v>
      </c>
      <c r="Q12" s="131">
        <v>0</v>
      </c>
      <c r="R12" s="131">
        <v>0</v>
      </c>
      <c r="S12" s="131">
        <v>4.0202523443477689E-2</v>
      </c>
      <c r="T12" s="131">
        <v>0</v>
      </c>
      <c r="U12" s="131">
        <v>0</v>
      </c>
    </row>
    <row r="13" spans="1:34" customFormat="1" x14ac:dyDescent="0.15">
      <c r="A13" s="158" t="s">
        <v>203</v>
      </c>
      <c r="B13" s="131">
        <v>0</v>
      </c>
      <c r="C13" s="131">
        <v>0</v>
      </c>
      <c r="D13" s="131">
        <v>0</v>
      </c>
      <c r="E13" s="131">
        <v>0</v>
      </c>
      <c r="F13" s="131">
        <v>0</v>
      </c>
      <c r="G13" s="131">
        <v>0</v>
      </c>
      <c r="H13" s="131">
        <v>0</v>
      </c>
      <c r="I13" s="131">
        <v>0</v>
      </c>
      <c r="J13" s="131">
        <v>0</v>
      </c>
      <c r="K13" s="131">
        <v>0</v>
      </c>
      <c r="L13" s="131">
        <v>0</v>
      </c>
      <c r="M13" s="131">
        <v>0</v>
      </c>
      <c r="N13" s="131">
        <v>0</v>
      </c>
      <c r="O13" s="131">
        <v>0.1</v>
      </c>
      <c r="P13" s="131">
        <v>0.15</v>
      </c>
      <c r="Q13" s="131">
        <v>0</v>
      </c>
      <c r="R13" s="131">
        <v>0</v>
      </c>
      <c r="S13" s="131">
        <v>2.0101261771738842E-2</v>
      </c>
      <c r="T13" s="131">
        <v>0</v>
      </c>
      <c r="U13" s="131">
        <v>0</v>
      </c>
    </row>
    <row r="14" spans="1:34" customFormat="1" x14ac:dyDescent="0.15">
      <c r="A14" s="158" t="s">
        <v>204</v>
      </c>
      <c r="B14" s="131">
        <v>0</v>
      </c>
      <c r="C14" s="131">
        <v>0</v>
      </c>
      <c r="D14" s="131">
        <v>0</v>
      </c>
      <c r="E14" s="131">
        <v>0</v>
      </c>
      <c r="F14" s="131">
        <v>0</v>
      </c>
      <c r="G14" s="131">
        <v>4.9999999999999989E-2</v>
      </c>
      <c r="H14" s="131">
        <v>0</v>
      </c>
      <c r="I14" s="131">
        <v>0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0.1</v>
      </c>
      <c r="P14" s="131">
        <v>0.1</v>
      </c>
      <c r="Q14" s="131">
        <v>0</v>
      </c>
      <c r="R14" s="131">
        <v>0</v>
      </c>
      <c r="S14" s="131">
        <v>4.0202523443477689E-2</v>
      </c>
      <c r="T14" s="131">
        <v>0</v>
      </c>
      <c r="U14" s="131">
        <v>0</v>
      </c>
    </row>
    <row r="15" spans="1:34" customFormat="1" x14ac:dyDescent="0.15">
      <c r="A15" s="158" t="s">
        <v>205</v>
      </c>
      <c r="B15" s="131">
        <v>0</v>
      </c>
      <c r="C15" s="131">
        <v>0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0</v>
      </c>
      <c r="L15" s="131">
        <v>0</v>
      </c>
      <c r="M15" s="131">
        <v>0</v>
      </c>
      <c r="N15" s="131">
        <v>0</v>
      </c>
      <c r="O15" s="131">
        <v>0</v>
      </c>
      <c r="P15" s="131">
        <v>0.25</v>
      </c>
      <c r="Q15" s="131">
        <v>0</v>
      </c>
      <c r="R15" s="131">
        <v>0</v>
      </c>
      <c r="S15" s="131">
        <v>3.0151893507608239E-2</v>
      </c>
      <c r="T15" s="131">
        <v>0</v>
      </c>
      <c r="U15" s="131">
        <v>0</v>
      </c>
    </row>
    <row r="16" spans="1:34" customFormat="1" x14ac:dyDescent="0.15">
      <c r="A16" s="158" t="s">
        <v>206</v>
      </c>
      <c r="B16" s="131">
        <v>0</v>
      </c>
      <c r="C16" s="131">
        <v>0</v>
      </c>
      <c r="D16" s="131">
        <v>0</v>
      </c>
      <c r="E16" s="131">
        <v>0</v>
      </c>
      <c r="F16" s="131">
        <v>0</v>
      </c>
      <c r="G16" s="131">
        <v>0</v>
      </c>
      <c r="H16" s="131">
        <v>0</v>
      </c>
      <c r="I16" s="131">
        <v>0</v>
      </c>
      <c r="J16" s="131">
        <v>0</v>
      </c>
      <c r="K16" s="131">
        <v>0</v>
      </c>
      <c r="L16" s="131">
        <v>0</v>
      </c>
      <c r="M16" s="131">
        <v>0</v>
      </c>
      <c r="N16" s="131">
        <v>0</v>
      </c>
      <c r="O16" s="131">
        <v>0</v>
      </c>
      <c r="P16" s="131">
        <v>0</v>
      </c>
      <c r="Q16" s="131">
        <v>0</v>
      </c>
      <c r="R16" s="131">
        <v>0</v>
      </c>
      <c r="S16" s="131">
        <v>1.0050630835869422E-2</v>
      </c>
      <c r="T16" s="131">
        <v>0</v>
      </c>
      <c r="U16" s="131">
        <v>0</v>
      </c>
    </row>
    <row r="17" spans="1:21" customFormat="1" x14ac:dyDescent="0.15">
      <c r="A17" s="158" t="s">
        <v>207</v>
      </c>
      <c r="B17" s="131">
        <v>0</v>
      </c>
      <c r="C17" s="131">
        <v>0</v>
      </c>
      <c r="D17" s="131">
        <v>0</v>
      </c>
      <c r="E17" s="131">
        <v>0</v>
      </c>
      <c r="F17" s="131">
        <v>0</v>
      </c>
      <c r="G17" s="131">
        <v>0</v>
      </c>
      <c r="H17" s="131">
        <v>0</v>
      </c>
      <c r="I17" s="131">
        <v>0</v>
      </c>
      <c r="J17" s="131">
        <v>0</v>
      </c>
      <c r="K17" s="131">
        <v>0</v>
      </c>
      <c r="L17" s="131">
        <v>0</v>
      </c>
      <c r="M17" s="131">
        <v>0</v>
      </c>
      <c r="N17" s="131">
        <v>0</v>
      </c>
      <c r="O17" s="131">
        <v>0</v>
      </c>
      <c r="P17" s="131">
        <v>0</v>
      </c>
      <c r="Q17" s="131">
        <v>0</v>
      </c>
      <c r="R17" s="131">
        <v>0.16059862019058296</v>
      </c>
      <c r="S17" s="131">
        <v>0.10050631035869417</v>
      </c>
      <c r="T17" s="131">
        <v>0</v>
      </c>
      <c r="U17" s="131">
        <v>0</v>
      </c>
    </row>
    <row r="18" spans="1:21" customFormat="1" x14ac:dyDescent="0.15">
      <c r="A18" s="158" t="s">
        <v>208</v>
      </c>
      <c r="B18" s="131">
        <v>0</v>
      </c>
      <c r="C18" s="131">
        <v>0</v>
      </c>
      <c r="D18" s="131">
        <v>0</v>
      </c>
      <c r="E18" s="131">
        <v>0</v>
      </c>
      <c r="F18" s="131">
        <v>0</v>
      </c>
      <c r="G18" s="131">
        <v>0</v>
      </c>
      <c r="H18" s="131">
        <v>0</v>
      </c>
      <c r="I18" s="131">
        <v>0</v>
      </c>
      <c r="J18" s="131">
        <v>0</v>
      </c>
      <c r="K18" s="131">
        <v>0</v>
      </c>
      <c r="L18" s="131">
        <v>0</v>
      </c>
      <c r="M18" s="131">
        <v>0</v>
      </c>
      <c r="N18" s="131">
        <v>0</v>
      </c>
      <c r="O18" s="131">
        <v>0</v>
      </c>
      <c r="P18" s="131">
        <v>0</v>
      </c>
      <c r="Q18" s="131">
        <v>0</v>
      </c>
      <c r="R18" s="131">
        <v>0</v>
      </c>
      <c r="S18" s="131">
        <v>4.9874995489285123E-3</v>
      </c>
      <c r="T18" s="131">
        <v>0</v>
      </c>
      <c r="U18" s="131">
        <v>0</v>
      </c>
    </row>
    <row r="19" spans="1:21" customFormat="1" x14ac:dyDescent="0.15">
      <c r="A19" s="158" t="s">
        <v>209</v>
      </c>
      <c r="B19" s="131">
        <v>0</v>
      </c>
      <c r="C19" s="131">
        <v>0</v>
      </c>
      <c r="D19" s="131">
        <v>0</v>
      </c>
      <c r="E19" s="131">
        <v>0</v>
      </c>
      <c r="F19" s="131">
        <v>0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  <c r="N19" s="131">
        <v>0</v>
      </c>
      <c r="O19" s="131">
        <v>0</v>
      </c>
      <c r="P19" s="131">
        <v>0</v>
      </c>
      <c r="Q19" s="131">
        <v>0</v>
      </c>
      <c r="R19" s="131">
        <v>6.3333334080799995E-3</v>
      </c>
      <c r="S19" s="131">
        <v>0</v>
      </c>
      <c r="T19" s="131">
        <v>0</v>
      </c>
      <c r="U19" s="131">
        <v>0</v>
      </c>
    </row>
    <row r="20" spans="1:21" customFormat="1" x14ac:dyDescent="0.15">
      <c r="A20" s="158" t="s">
        <v>210</v>
      </c>
      <c r="B20" s="131">
        <v>0</v>
      </c>
      <c r="C20" s="131">
        <v>0</v>
      </c>
      <c r="D20" s="131">
        <v>0.2</v>
      </c>
      <c r="E20" s="131">
        <v>0.6</v>
      </c>
      <c r="F20" s="131">
        <v>0</v>
      </c>
      <c r="G20" s="131">
        <v>9.9999999999999978E-2</v>
      </c>
      <c r="H20" s="131">
        <v>0.9</v>
      </c>
      <c r="I20" s="131">
        <v>0.1</v>
      </c>
      <c r="J20" s="131">
        <v>0</v>
      </c>
      <c r="K20" s="131">
        <v>0.4</v>
      </c>
      <c r="L20" s="131">
        <v>0.10000000000000002</v>
      </c>
      <c r="M20" s="131">
        <v>0</v>
      </c>
      <c r="N20" s="131">
        <v>0.05</v>
      </c>
      <c r="O20" s="131">
        <v>0.05</v>
      </c>
      <c r="P20" s="131">
        <v>0</v>
      </c>
      <c r="Q20" s="131">
        <v>0</v>
      </c>
      <c r="R20" s="131">
        <v>0</v>
      </c>
      <c r="S20" s="131">
        <v>0</v>
      </c>
      <c r="T20" s="131">
        <v>0</v>
      </c>
      <c r="U20" s="131">
        <v>0</v>
      </c>
    </row>
    <row r="21" spans="1:21" customFormat="1" x14ac:dyDescent="0.15">
      <c r="A21" s="158" t="s">
        <v>211</v>
      </c>
      <c r="B21" s="131">
        <v>0</v>
      </c>
      <c r="C21" s="131">
        <v>0</v>
      </c>
      <c r="D21" s="131">
        <v>0</v>
      </c>
      <c r="E21" s="131">
        <v>0</v>
      </c>
      <c r="F21" s="131">
        <v>0</v>
      </c>
      <c r="G21" s="131">
        <v>0</v>
      </c>
      <c r="H21" s="131">
        <v>0</v>
      </c>
      <c r="I21" s="131">
        <v>0</v>
      </c>
      <c r="J21" s="131">
        <v>0</v>
      </c>
      <c r="K21" s="131">
        <v>0</v>
      </c>
      <c r="L21" s="131">
        <v>0</v>
      </c>
      <c r="M21" s="131">
        <v>0</v>
      </c>
      <c r="N21" s="131">
        <v>0</v>
      </c>
      <c r="O21" s="131">
        <v>0</v>
      </c>
      <c r="P21" s="131">
        <v>0</v>
      </c>
      <c r="Q21" s="131">
        <v>0</v>
      </c>
      <c r="R21" s="131">
        <v>0</v>
      </c>
      <c r="S21" s="131">
        <v>0</v>
      </c>
      <c r="T21" s="131">
        <v>0</v>
      </c>
      <c r="U21" s="131">
        <v>0</v>
      </c>
    </row>
    <row r="22" spans="1:21" customFormat="1" x14ac:dyDescent="0.15">
      <c r="A22" s="158" t="s">
        <v>213</v>
      </c>
      <c r="B22" s="131">
        <v>0</v>
      </c>
      <c r="C22" s="131">
        <v>0</v>
      </c>
      <c r="D22" s="131">
        <v>0</v>
      </c>
      <c r="E22" s="131">
        <v>0</v>
      </c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24" sqref="H24"/>
    </sheetView>
  </sheetViews>
  <sheetFormatPr baseColWidth="10" defaultColWidth="8.83203125" defaultRowHeight="13" x14ac:dyDescent="0.15"/>
  <cols>
    <col min="1" max="1" width="3.33203125" customWidth="1"/>
    <col min="2" max="2" width="22.5" customWidth="1"/>
    <col min="3" max="4" width="11.83203125" style="102" customWidth="1"/>
    <col min="5" max="6" width="11.83203125" style="10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61" t="s">
        <v>210</v>
      </c>
      <c r="D1" s="161" t="s">
        <v>211</v>
      </c>
      <c r="E1" s="161" t="s">
        <v>214</v>
      </c>
      <c r="F1" s="161" t="s">
        <v>215</v>
      </c>
      <c r="G1"/>
      <c r="H1"/>
    </row>
    <row r="2" spans="1:8" x14ac:dyDescent="0.15">
      <c r="A2">
        <v>1</v>
      </c>
      <c r="B2" s="160" t="s">
        <v>192</v>
      </c>
      <c r="C2" s="102">
        <v>1</v>
      </c>
      <c r="D2" s="102">
        <v>0</v>
      </c>
      <c r="E2" s="101">
        <v>0</v>
      </c>
      <c r="F2" s="101">
        <v>1</v>
      </c>
      <c r="G2"/>
      <c r="H2"/>
    </row>
    <row r="3" spans="1:8" x14ac:dyDescent="0.15">
      <c r="A3">
        <v>2</v>
      </c>
      <c r="B3" s="160" t="s">
        <v>193</v>
      </c>
      <c r="C3" s="102">
        <v>1</v>
      </c>
      <c r="D3" s="102">
        <v>0</v>
      </c>
      <c r="E3" s="101">
        <v>0</v>
      </c>
      <c r="F3" s="101">
        <v>1</v>
      </c>
      <c r="G3"/>
      <c r="H3"/>
    </row>
    <row r="4" spans="1:8" x14ac:dyDescent="0.15">
      <c r="A4">
        <v>3</v>
      </c>
      <c r="B4" s="160" t="s">
        <v>194</v>
      </c>
      <c r="C4" s="102">
        <v>1</v>
      </c>
      <c r="D4" s="102">
        <v>0</v>
      </c>
      <c r="E4" s="101">
        <v>0</v>
      </c>
      <c r="F4" s="101">
        <v>1</v>
      </c>
      <c r="G4"/>
      <c r="H4"/>
    </row>
    <row r="5" spans="1:8" x14ac:dyDescent="0.15">
      <c r="A5">
        <v>4</v>
      </c>
      <c r="B5" s="160" t="s">
        <v>195</v>
      </c>
      <c r="C5" s="102">
        <v>1</v>
      </c>
      <c r="D5" s="102">
        <v>0</v>
      </c>
      <c r="E5" s="101">
        <v>0</v>
      </c>
      <c r="F5" s="101">
        <v>1</v>
      </c>
      <c r="G5"/>
      <c r="H5"/>
    </row>
    <row r="6" spans="1:8" x14ac:dyDescent="0.15">
      <c r="A6">
        <v>5</v>
      </c>
      <c r="B6" s="160" t="s">
        <v>196</v>
      </c>
      <c r="C6" s="102">
        <v>1</v>
      </c>
      <c r="D6" s="102">
        <v>0</v>
      </c>
      <c r="E6" s="101">
        <v>0</v>
      </c>
      <c r="F6" s="101">
        <v>1</v>
      </c>
      <c r="G6"/>
      <c r="H6"/>
    </row>
    <row r="7" spans="1:8" x14ac:dyDescent="0.15">
      <c r="A7">
        <v>6</v>
      </c>
      <c r="B7" s="160" t="s">
        <v>197</v>
      </c>
      <c r="C7" s="102">
        <v>1</v>
      </c>
      <c r="D7" s="102">
        <v>0</v>
      </c>
      <c r="E7" s="101">
        <v>0</v>
      </c>
      <c r="F7" s="101">
        <v>1</v>
      </c>
      <c r="G7"/>
      <c r="H7"/>
    </row>
    <row r="8" spans="1:8" x14ac:dyDescent="0.15">
      <c r="A8">
        <v>7</v>
      </c>
      <c r="B8" s="160" t="s">
        <v>198</v>
      </c>
      <c r="C8" s="102">
        <v>1</v>
      </c>
      <c r="D8" s="102">
        <v>0</v>
      </c>
      <c r="E8" s="101">
        <v>0</v>
      </c>
      <c r="F8" s="101">
        <v>1</v>
      </c>
      <c r="G8"/>
      <c r="H8"/>
    </row>
    <row r="9" spans="1:8" x14ac:dyDescent="0.15">
      <c r="A9">
        <v>8</v>
      </c>
      <c r="B9" s="160" t="s">
        <v>199</v>
      </c>
      <c r="C9" s="102">
        <v>1</v>
      </c>
      <c r="D9" s="102">
        <v>0</v>
      </c>
      <c r="E9" s="101">
        <v>0</v>
      </c>
      <c r="F9" s="101">
        <v>1</v>
      </c>
      <c r="G9"/>
      <c r="H9"/>
    </row>
    <row r="10" spans="1:8" x14ac:dyDescent="0.15">
      <c r="A10">
        <v>9</v>
      </c>
      <c r="B10" s="160" t="s">
        <v>200</v>
      </c>
      <c r="C10" s="102">
        <v>1</v>
      </c>
      <c r="D10" s="102">
        <v>0</v>
      </c>
      <c r="E10" s="101">
        <v>0</v>
      </c>
      <c r="F10" s="101">
        <v>1</v>
      </c>
      <c r="G10"/>
      <c r="H10"/>
    </row>
    <row r="11" spans="1:8" x14ac:dyDescent="0.15">
      <c r="A11">
        <v>10</v>
      </c>
      <c r="B11" s="160" t="s">
        <v>201</v>
      </c>
      <c r="C11" s="102">
        <v>1</v>
      </c>
      <c r="D11" s="102">
        <v>0</v>
      </c>
      <c r="E11" s="101">
        <v>0</v>
      </c>
      <c r="F11" s="101">
        <v>1</v>
      </c>
      <c r="G11"/>
      <c r="H11"/>
    </row>
    <row r="12" spans="1:8" x14ac:dyDescent="0.15">
      <c r="A12">
        <v>11</v>
      </c>
      <c r="B12" s="160" t="s">
        <v>202</v>
      </c>
      <c r="C12" s="102">
        <v>1</v>
      </c>
      <c r="D12" s="102">
        <v>0</v>
      </c>
      <c r="E12" s="101">
        <v>0</v>
      </c>
      <c r="F12" s="101">
        <v>1</v>
      </c>
      <c r="G12"/>
      <c r="H12"/>
    </row>
    <row r="13" spans="1:8" x14ac:dyDescent="0.15">
      <c r="A13">
        <v>12</v>
      </c>
      <c r="B13" s="160" t="s">
        <v>203</v>
      </c>
      <c r="C13" s="102">
        <v>1</v>
      </c>
      <c r="D13" s="102">
        <v>0</v>
      </c>
      <c r="E13" s="101">
        <v>0</v>
      </c>
      <c r="F13" s="101">
        <v>1</v>
      </c>
      <c r="G13"/>
      <c r="H13"/>
    </row>
    <row r="14" spans="1:8" x14ac:dyDescent="0.15">
      <c r="A14">
        <v>13</v>
      </c>
      <c r="B14" s="160" t="s">
        <v>204</v>
      </c>
      <c r="C14" s="102">
        <v>1</v>
      </c>
      <c r="D14" s="102">
        <v>0</v>
      </c>
      <c r="E14" s="101">
        <v>0</v>
      </c>
      <c r="F14" s="101">
        <v>1</v>
      </c>
      <c r="G14"/>
      <c r="H14"/>
    </row>
    <row r="15" spans="1:8" x14ac:dyDescent="0.15">
      <c r="A15">
        <v>14</v>
      </c>
      <c r="B15" s="160" t="s">
        <v>205</v>
      </c>
      <c r="C15" s="102">
        <v>1</v>
      </c>
      <c r="D15" s="102">
        <v>0</v>
      </c>
      <c r="E15" s="101">
        <v>0</v>
      </c>
      <c r="F15" s="101">
        <v>1</v>
      </c>
      <c r="G15"/>
      <c r="H15"/>
    </row>
    <row r="16" spans="1:8" x14ac:dyDescent="0.15">
      <c r="A16">
        <v>15</v>
      </c>
      <c r="B16" s="160" t="s">
        <v>206</v>
      </c>
      <c r="C16" s="102">
        <v>1</v>
      </c>
      <c r="D16" s="102">
        <v>0</v>
      </c>
      <c r="E16" s="101">
        <v>0</v>
      </c>
      <c r="F16" s="101">
        <v>1</v>
      </c>
      <c r="G16"/>
      <c r="H16"/>
    </row>
    <row r="17" spans="1:8" ht="15" customHeight="1" x14ac:dyDescent="0.15">
      <c r="A17">
        <v>16</v>
      </c>
      <c r="B17" s="160" t="s">
        <v>207</v>
      </c>
      <c r="C17" s="102">
        <v>1</v>
      </c>
      <c r="D17" s="102">
        <v>0</v>
      </c>
      <c r="E17" s="101">
        <v>0</v>
      </c>
      <c r="F17" s="101">
        <v>1</v>
      </c>
      <c r="G17"/>
      <c r="H17"/>
    </row>
    <row r="18" spans="1:8" ht="15" customHeight="1" x14ac:dyDescent="0.15">
      <c r="A18">
        <v>17</v>
      </c>
      <c r="B18" s="160" t="s">
        <v>208</v>
      </c>
      <c r="C18" s="102">
        <v>1</v>
      </c>
      <c r="D18" s="102">
        <v>0</v>
      </c>
      <c r="E18" s="101">
        <v>0</v>
      </c>
      <c r="F18" s="101">
        <v>1</v>
      </c>
      <c r="G18"/>
      <c r="H18"/>
    </row>
    <row r="19" spans="1:8" ht="15" customHeight="1" x14ac:dyDescent="0.15">
      <c r="A19">
        <v>18</v>
      </c>
      <c r="B19" s="160" t="s">
        <v>209</v>
      </c>
      <c r="C19" s="102">
        <v>1</v>
      </c>
      <c r="D19" s="102">
        <v>0</v>
      </c>
      <c r="E19" s="101">
        <v>0</v>
      </c>
      <c r="F19" s="101">
        <v>1</v>
      </c>
      <c r="G19"/>
      <c r="H19"/>
    </row>
    <row r="20" spans="1:8" ht="15" customHeight="1" x14ac:dyDescent="0.15">
      <c r="A20">
        <v>19</v>
      </c>
      <c r="B20" s="160" t="s">
        <v>210</v>
      </c>
      <c r="C20" s="102">
        <v>0</v>
      </c>
      <c r="D20" s="102">
        <v>1</v>
      </c>
      <c r="E20" s="101">
        <v>0</v>
      </c>
      <c r="F20" s="101">
        <v>1</v>
      </c>
      <c r="G20"/>
      <c r="H20"/>
    </row>
    <row r="21" spans="1:8" ht="15" customHeight="1" x14ac:dyDescent="0.15">
      <c r="A21">
        <v>20</v>
      </c>
      <c r="B21" s="160" t="s">
        <v>211</v>
      </c>
      <c r="C21" s="102">
        <v>0</v>
      </c>
      <c r="D21" s="102">
        <v>0</v>
      </c>
      <c r="E21" s="101">
        <v>1</v>
      </c>
      <c r="F21" s="101">
        <v>1</v>
      </c>
      <c r="G21"/>
      <c r="H21"/>
    </row>
    <row r="22" spans="1:8" ht="15" customHeight="1" x14ac:dyDescent="0.15">
      <c r="A22">
        <v>21</v>
      </c>
      <c r="B22" s="160" t="s">
        <v>212</v>
      </c>
      <c r="C22" s="102">
        <v>0</v>
      </c>
      <c r="D22" s="102">
        <v>1</v>
      </c>
      <c r="E22" s="101">
        <v>0</v>
      </c>
      <c r="F22" s="101">
        <v>1</v>
      </c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4" width="4.33203125" bestFit="1" customWidth="1"/>
    <col min="5" max="5" width="12.1640625" bestFit="1" customWidth="1"/>
  </cols>
  <sheetData>
    <row r="1" spans="1:5" s="103" customFormat="1" ht="112" x14ac:dyDescent="0.15">
      <c r="A1" s="5" t="s">
        <v>21</v>
      </c>
      <c r="B1" s="3" t="s">
        <v>0</v>
      </c>
      <c r="C1" s="163" t="s">
        <v>212</v>
      </c>
      <c r="D1" s="163" t="s">
        <v>216</v>
      </c>
      <c r="E1"/>
    </row>
    <row r="2" spans="1:5" ht="15" customHeight="1" x14ac:dyDescent="0.15">
      <c r="A2">
        <v>1</v>
      </c>
      <c r="B2" s="162" t="s">
        <v>192</v>
      </c>
      <c r="C2">
        <v>250</v>
      </c>
      <c r="D2">
        <v>250</v>
      </c>
    </row>
    <row r="3" spans="1:5" ht="15" customHeight="1" x14ac:dyDescent="0.15">
      <c r="A3">
        <v>2</v>
      </c>
      <c r="B3" s="162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2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2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2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62" t="s">
        <v>197</v>
      </c>
      <c r="C7">
        <v>0.6</v>
      </c>
      <c r="D7">
        <v>0.6</v>
      </c>
    </row>
    <row r="8" spans="1:5" ht="15" customHeight="1" x14ac:dyDescent="0.15">
      <c r="A8">
        <v>7</v>
      </c>
      <c r="B8" s="162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62" t="s">
        <v>199</v>
      </c>
      <c r="C9">
        <v>15</v>
      </c>
      <c r="D9">
        <v>15</v>
      </c>
    </row>
    <row r="10" spans="1:5" ht="15" customHeight="1" x14ac:dyDescent="0.15">
      <c r="A10">
        <v>9</v>
      </c>
      <c r="B10" s="162" t="s">
        <v>200</v>
      </c>
      <c r="C10">
        <v>1</v>
      </c>
      <c r="D10">
        <v>1</v>
      </c>
    </row>
    <row r="11" spans="1:5" ht="15" customHeight="1" x14ac:dyDescent="0.15">
      <c r="A11">
        <v>10</v>
      </c>
      <c r="B11" s="162" t="s">
        <v>201</v>
      </c>
      <c r="C11">
        <v>0.3</v>
      </c>
      <c r="D11">
        <v>0.3</v>
      </c>
    </row>
    <row r="12" spans="1:5" ht="15" customHeight="1" x14ac:dyDescent="0.15">
      <c r="A12">
        <v>11</v>
      </c>
      <c r="B12" s="162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2" t="s">
        <v>203</v>
      </c>
      <c r="C13">
        <v>0.5</v>
      </c>
      <c r="D13">
        <v>0.5</v>
      </c>
    </row>
    <row r="14" spans="1:5" ht="15" customHeight="1" x14ac:dyDescent="0.15">
      <c r="A14">
        <v>13</v>
      </c>
      <c r="B14" s="162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62" t="s">
        <v>205</v>
      </c>
      <c r="C15">
        <v>0.8</v>
      </c>
      <c r="D15">
        <v>0.8</v>
      </c>
    </row>
    <row r="16" spans="1:5" ht="15" customHeight="1" x14ac:dyDescent="0.15">
      <c r="A16">
        <v>15</v>
      </c>
      <c r="B16" s="162" t="s">
        <v>206</v>
      </c>
      <c r="C16">
        <v>0.1</v>
      </c>
      <c r="D16">
        <v>0.1</v>
      </c>
    </row>
    <row r="17" spans="1:4" ht="15" customHeight="1" x14ac:dyDescent="0.15">
      <c r="A17">
        <v>16</v>
      </c>
      <c r="B17" s="162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2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2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2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2" t="s">
        <v>211</v>
      </c>
      <c r="C21">
        <v>0</v>
      </c>
      <c r="D21">
        <v>0</v>
      </c>
    </row>
    <row r="22" spans="1:4" ht="15" customHeight="1" x14ac:dyDescent="0.15"/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2.5" bestFit="1" customWidth="1"/>
    <col min="3" max="4" width="2.33203125" bestFit="1" customWidth="1"/>
    <col min="5" max="5" width="12.1640625" bestFit="1" customWidth="1"/>
  </cols>
  <sheetData>
    <row r="1" spans="1:4" s="103" customFormat="1" ht="112" x14ac:dyDescent="0.15">
      <c r="A1" s="5" t="s">
        <v>22</v>
      </c>
      <c r="B1" s="3" t="s">
        <v>0</v>
      </c>
      <c r="C1" s="165" t="s">
        <v>212</v>
      </c>
      <c r="D1" s="165" t="s">
        <v>216</v>
      </c>
    </row>
    <row r="2" spans="1:4" x14ac:dyDescent="0.15">
      <c r="A2">
        <v>1</v>
      </c>
      <c r="B2" s="164" t="s">
        <v>192</v>
      </c>
      <c r="C2">
        <v>0</v>
      </c>
      <c r="D2">
        <v>0</v>
      </c>
    </row>
    <row r="3" spans="1:4" x14ac:dyDescent="0.15">
      <c r="A3">
        <v>2</v>
      </c>
      <c r="B3" s="164" t="s">
        <v>193</v>
      </c>
      <c r="C3">
        <v>0</v>
      </c>
      <c r="D3">
        <v>0</v>
      </c>
    </row>
    <row r="4" spans="1:4" x14ac:dyDescent="0.15">
      <c r="A4">
        <v>3</v>
      </c>
      <c r="B4" s="164" t="s">
        <v>194</v>
      </c>
      <c r="C4">
        <v>0</v>
      </c>
      <c r="D4">
        <v>0</v>
      </c>
    </row>
    <row r="5" spans="1:4" x14ac:dyDescent="0.15">
      <c r="A5">
        <v>4</v>
      </c>
      <c r="B5" s="164" t="s">
        <v>195</v>
      </c>
      <c r="C5">
        <v>0</v>
      </c>
      <c r="D5">
        <v>0</v>
      </c>
    </row>
    <row r="6" spans="1:4" x14ac:dyDescent="0.15">
      <c r="A6">
        <v>5</v>
      </c>
      <c r="B6" s="164" t="s">
        <v>196</v>
      </c>
      <c r="C6">
        <v>0</v>
      </c>
      <c r="D6">
        <v>0</v>
      </c>
    </row>
    <row r="7" spans="1:4" x14ac:dyDescent="0.15">
      <c r="A7">
        <v>6</v>
      </c>
      <c r="B7" s="164" t="s">
        <v>197</v>
      </c>
      <c r="C7">
        <v>0</v>
      </c>
      <c r="D7">
        <v>0</v>
      </c>
    </row>
    <row r="8" spans="1:4" x14ac:dyDescent="0.15">
      <c r="A8">
        <v>7</v>
      </c>
      <c r="B8" s="164" t="s">
        <v>198</v>
      </c>
      <c r="C8">
        <v>0</v>
      </c>
      <c r="D8">
        <v>0</v>
      </c>
    </row>
    <row r="9" spans="1:4" x14ac:dyDescent="0.15">
      <c r="A9">
        <v>8</v>
      </c>
      <c r="B9" s="164" t="s">
        <v>199</v>
      </c>
      <c r="C9">
        <v>0</v>
      </c>
      <c r="D9">
        <v>0</v>
      </c>
    </row>
    <row r="10" spans="1:4" x14ac:dyDescent="0.15">
      <c r="A10">
        <v>9</v>
      </c>
      <c r="B10" s="164" t="s">
        <v>200</v>
      </c>
      <c r="C10">
        <v>0</v>
      </c>
      <c r="D10">
        <v>0</v>
      </c>
    </row>
    <row r="11" spans="1:4" x14ac:dyDescent="0.15">
      <c r="A11">
        <v>10</v>
      </c>
      <c r="B11" s="164" t="s">
        <v>201</v>
      </c>
      <c r="C11">
        <v>0</v>
      </c>
      <c r="D11">
        <v>0</v>
      </c>
    </row>
    <row r="12" spans="1:4" x14ac:dyDescent="0.15">
      <c r="A12">
        <v>11</v>
      </c>
      <c r="B12" s="164" t="s">
        <v>202</v>
      </c>
      <c r="C12">
        <v>0</v>
      </c>
      <c r="D12">
        <v>0</v>
      </c>
    </row>
    <row r="13" spans="1:4" x14ac:dyDescent="0.15">
      <c r="A13">
        <v>12</v>
      </c>
      <c r="B13" s="164" t="s">
        <v>203</v>
      </c>
      <c r="C13">
        <v>0</v>
      </c>
      <c r="D13">
        <v>0</v>
      </c>
    </row>
    <row r="14" spans="1:4" x14ac:dyDescent="0.15">
      <c r="A14">
        <v>13</v>
      </c>
      <c r="B14" s="164" t="s">
        <v>204</v>
      </c>
      <c r="C14">
        <v>0</v>
      </c>
      <c r="D14">
        <v>0</v>
      </c>
    </row>
    <row r="15" spans="1:4" x14ac:dyDescent="0.15">
      <c r="A15">
        <v>14</v>
      </c>
      <c r="B15" s="164" t="s">
        <v>205</v>
      </c>
      <c r="C15">
        <v>0</v>
      </c>
      <c r="D15">
        <v>0</v>
      </c>
    </row>
    <row r="16" spans="1:4" x14ac:dyDescent="0.15">
      <c r="A16">
        <v>15</v>
      </c>
      <c r="B16" s="164" t="s">
        <v>206</v>
      </c>
      <c r="C16">
        <v>0</v>
      </c>
      <c r="D16">
        <v>0</v>
      </c>
    </row>
    <row r="17" spans="1:4" x14ac:dyDescent="0.15">
      <c r="A17">
        <v>16</v>
      </c>
      <c r="B17" s="164" t="s">
        <v>207</v>
      </c>
      <c r="C17">
        <v>0</v>
      </c>
      <c r="D17">
        <v>0</v>
      </c>
    </row>
    <row r="18" spans="1:4" x14ac:dyDescent="0.15">
      <c r="A18">
        <v>17</v>
      </c>
      <c r="B18" s="164" t="s">
        <v>208</v>
      </c>
      <c r="C18">
        <v>0</v>
      </c>
      <c r="D18">
        <v>0</v>
      </c>
    </row>
    <row r="19" spans="1:4" x14ac:dyDescent="0.15">
      <c r="A19">
        <v>18</v>
      </c>
      <c r="B19" s="164" t="s">
        <v>209</v>
      </c>
      <c r="C19">
        <v>0</v>
      </c>
      <c r="D19">
        <v>0</v>
      </c>
    </row>
    <row r="20" spans="1:4" x14ac:dyDescent="0.15">
      <c r="A20">
        <v>19</v>
      </c>
      <c r="B20" s="164" t="s">
        <v>210</v>
      </c>
      <c r="C20">
        <v>0</v>
      </c>
      <c r="D20">
        <v>0</v>
      </c>
    </row>
    <row r="21" spans="1:4" x14ac:dyDescent="0.15">
      <c r="A21">
        <v>20</v>
      </c>
      <c r="B21" s="164" t="s">
        <v>211</v>
      </c>
      <c r="C21">
        <v>0</v>
      </c>
      <c r="D2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2.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66" t="s">
        <v>192</v>
      </c>
      <c r="F2">
        <v>0.98</v>
      </c>
      <c r="G2">
        <v>0.8</v>
      </c>
      <c r="H2">
        <v>0.8</v>
      </c>
      <c r="I2">
        <v>0</v>
      </c>
      <c r="J2" s="102">
        <v>0</v>
      </c>
      <c r="K2" s="102">
        <v>0</v>
      </c>
    </row>
    <row r="3" spans="1:42" x14ac:dyDescent="0.15">
      <c r="A3" s="111" t="s">
        <v>75</v>
      </c>
      <c r="B3" s="113">
        <v>1</v>
      </c>
      <c r="D3">
        <v>2</v>
      </c>
      <c r="E3" s="166" t="s">
        <v>193</v>
      </c>
      <c r="F3">
        <v>0.98</v>
      </c>
      <c r="G3">
        <v>0.8</v>
      </c>
      <c r="H3">
        <v>0.8</v>
      </c>
      <c r="I3">
        <v>0</v>
      </c>
      <c r="J3" s="102">
        <v>0</v>
      </c>
      <c r="K3" s="102">
        <v>0</v>
      </c>
    </row>
    <row r="4" spans="1:42" x14ac:dyDescent="0.15">
      <c r="A4" s="111" t="s">
        <v>76</v>
      </c>
      <c r="B4" s="113">
        <v>1</v>
      </c>
      <c r="D4">
        <v>3</v>
      </c>
      <c r="E4" s="166" t="s">
        <v>194</v>
      </c>
      <c r="F4">
        <v>0.98</v>
      </c>
      <c r="G4">
        <v>0.8</v>
      </c>
      <c r="H4">
        <v>0.8</v>
      </c>
      <c r="I4">
        <v>0.8</v>
      </c>
      <c r="J4" s="102">
        <v>0.25</v>
      </c>
      <c r="K4" s="102">
        <v>0.05</v>
      </c>
    </row>
    <row r="5" spans="1:42" x14ac:dyDescent="0.15">
      <c r="A5" s="111" t="s">
        <v>77</v>
      </c>
      <c r="B5" s="113">
        <v>1</v>
      </c>
      <c r="D5">
        <v>4</v>
      </c>
      <c r="E5" s="166" t="s">
        <v>195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66" t="s">
        <v>196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66" t="s">
        <v>197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66" t="s">
        <v>198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6" t="s">
        <v>150</v>
      </c>
      <c r="D9">
        <v>8</v>
      </c>
      <c r="E9" s="166" t="s">
        <v>199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6" t="s">
        <v>150</v>
      </c>
      <c r="D10">
        <v>9</v>
      </c>
      <c r="E10" s="166" t="s">
        <v>200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66" t="s">
        <v>201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66" t="s">
        <v>202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66" t="s">
        <v>203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66" t="s">
        <v>204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66" t="s">
        <v>205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66" t="s">
        <v>206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66" t="s">
        <v>207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66" t="s">
        <v>208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66" t="s">
        <v>209</v>
      </c>
      <c r="F19">
        <v>0.98</v>
      </c>
      <c r="G19">
        <v>0.8</v>
      </c>
      <c r="H19">
        <v>0.8</v>
      </c>
      <c r="I19">
        <v>0.8</v>
      </c>
      <c r="J19" s="102">
        <v>0.25</v>
      </c>
      <c r="K19" s="102">
        <v>0.05</v>
      </c>
    </row>
    <row r="20" spans="4:33" ht="15" customHeight="1" x14ac:dyDescent="0.15">
      <c r="D20">
        <v>19</v>
      </c>
      <c r="E20" s="166" t="s">
        <v>210</v>
      </c>
      <c r="F20">
        <v>0.98</v>
      </c>
      <c r="G20">
        <v>0.8</v>
      </c>
      <c r="H20">
        <v>0</v>
      </c>
      <c r="I20">
        <v>0</v>
      </c>
      <c r="J20" s="102">
        <v>0</v>
      </c>
      <c r="K20" s="102">
        <v>0</v>
      </c>
    </row>
    <row r="21" spans="4:33" ht="15" customHeight="1" x14ac:dyDescent="0.15">
      <c r="D21">
        <v>20</v>
      </c>
      <c r="E21" s="166" t="s">
        <v>211</v>
      </c>
      <c r="F21">
        <v>0.98</v>
      </c>
      <c r="G21">
        <v>0.8</v>
      </c>
      <c r="H21">
        <v>0</v>
      </c>
      <c r="I21">
        <v>0</v>
      </c>
      <c r="J21" s="102">
        <v>0</v>
      </c>
      <c r="K21" s="102">
        <v>0</v>
      </c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2.5" style="100" bestFit="1" customWidth="1"/>
    <col min="2" max="3" width="2.33203125" style="100" customWidth="1"/>
    <col min="4" max="19" width="3.83203125" style="100" customWidth="1"/>
    <col min="20" max="21" width="2.33203125" style="100" customWidth="1"/>
    <col min="22" max="16384" width="10.83203125" style="100"/>
  </cols>
  <sheetData>
    <row r="1" spans="1:30" x14ac:dyDescent="0.15">
      <c r="A1" s="58" t="s">
        <v>118</v>
      </c>
      <c r="B1" s="168" t="s">
        <v>192</v>
      </c>
      <c r="C1" s="168" t="s">
        <v>193</v>
      </c>
      <c r="D1" s="168" t="s">
        <v>194</v>
      </c>
      <c r="E1" s="168" t="s">
        <v>195</v>
      </c>
      <c r="F1" s="168" t="s">
        <v>196</v>
      </c>
      <c r="G1" s="168" t="s">
        <v>197</v>
      </c>
      <c r="H1" s="168" t="s">
        <v>198</v>
      </c>
      <c r="I1" s="168" t="s">
        <v>199</v>
      </c>
      <c r="J1" s="168" t="s">
        <v>200</v>
      </c>
      <c r="K1" s="168" t="s">
        <v>201</v>
      </c>
      <c r="L1" s="168" t="s">
        <v>202</v>
      </c>
      <c r="M1" s="168" t="s">
        <v>203</v>
      </c>
      <c r="N1" s="168" t="s">
        <v>204</v>
      </c>
      <c r="O1" s="168" t="s">
        <v>205</v>
      </c>
      <c r="P1" s="168" t="s">
        <v>206</v>
      </c>
      <c r="Q1" s="168" t="s">
        <v>207</v>
      </c>
      <c r="R1" s="168" t="s">
        <v>208</v>
      </c>
      <c r="S1" s="168" t="s">
        <v>209</v>
      </c>
      <c r="T1" s="168" t="s">
        <v>210</v>
      </c>
      <c r="U1" s="168" t="s">
        <v>211</v>
      </c>
      <c r="V1"/>
      <c r="W1"/>
      <c r="X1"/>
      <c r="Y1"/>
      <c r="Z1"/>
      <c r="AA1"/>
      <c r="AB1"/>
      <c r="AC1"/>
      <c r="AD1"/>
    </row>
    <row r="2" spans="1:30" customFormat="1" x14ac:dyDescent="0.15">
      <c r="A2" s="167" t="s">
        <v>192</v>
      </c>
      <c r="B2" s="100">
        <v>0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0.8</v>
      </c>
      <c r="J2" s="100">
        <v>0.8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0.8</v>
      </c>
      <c r="R2" s="100">
        <v>0.8</v>
      </c>
      <c r="S2" s="100">
        <v>0.8</v>
      </c>
      <c r="T2" s="100">
        <v>0</v>
      </c>
      <c r="U2" s="100">
        <v>0</v>
      </c>
    </row>
    <row r="3" spans="1:30" customFormat="1" x14ac:dyDescent="0.15">
      <c r="A3" s="167" t="s">
        <v>193</v>
      </c>
      <c r="B3" s="100">
        <v>0</v>
      </c>
      <c r="C3" s="100">
        <v>0</v>
      </c>
      <c r="D3" s="100">
        <v>0.8</v>
      </c>
      <c r="E3" s="100">
        <v>0.8</v>
      </c>
      <c r="F3" s="100">
        <v>0</v>
      </c>
      <c r="G3" s="100">
        <v>0</v>
      </c>
      <c r="H3" s="100">
        <v>0.8</v>
      </c>
      <c r="I3" s="100">
        <v>0</v>
      </c>
      <c r="J3" s="100">
        <v>0</v>
      </c>
      <c r="K3" s="100">
        <v>0.8</v>
      </c>
      <c r="L3" s="100">
        <v>0.8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</row>
    <row r="4" spans="1:30" customFormat="1" x14ac:dyDescent="0.15">
      <c r="A4" s="167" t="s">
        <v>194</v>
      </c>
      <c r="B4" s="100">
        <v>0</v>
      </c>
      <c r="C4" s="100">
        <v>0</v>
      </c>
      <c r="D4" s="100">
        <v>0.8</v>
      </c>
      <c r="E4" s="100">
        <v>0.8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0.8</v>
      </c>
      <c r="L4" s="100">
        <v>0.8</v>
      </c>
      <c r="M4" s="100">
        <v>0.8</v>
      </c>
      <c r="N4" s="100">
        <v>0.8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</row>
    <row r="5" spans="1:30" customFormat="1" x14ac:dyDescent="0.15">
      <c r="A5" s="167" t="s">
        <v>195</v>
      </c>
      <c r="B5" s="100">
        <v>0</v>
      </c>
      <c r="C5" s="100">
        <v>0</v>
      </c>
      <c r="D5" s="100">
        <v>0</v>
      </c>
      <c r="E5" s="100">
        <v>0.8</v>
      </c>
      <c r="F5" s="100">
        <v>0.8</v>
      </c>
      <c r="G5" s="100">
        <v>0.8</v>
      </c>
      <c r="H5" s="100">
        <v>0</v>
      </c>
      <c r="I5" s="100">
        <v>0</v>
      </c>
      <c r="J5" s="100">
        <v>0</v>
      </c>
      <c r="K5" s="100">
        <v>0.8</v>
      </c>
      <c r="L5" s="100">
        <v>0</v>
      </c>
      <c r="M5" s="100">
        <v>0.8</v>
      </c>
      <c r="N5" s="100">
        <v>0.8</v>
      </c>
      <c r="O5" s="100">
        <v>0.8</v>
      </c>
      <c r="P5" s="100">
        <v>0.8</v>
      </c>
      <c r="Q5" s="100">
        <v>0</v>
      </c>
      <c r="R5" s="100">
        <v>0</v>
      </c>
      <c r="S5" s="100">
        <v>0.8</v>
      </c>
      <c r="T5" s="100">
        <v>0</v>
      </c>
      <c r="U5" s="100">
        <v>0</v>
      </c>
    </row>
    <row r="6" spans="1:30" customFormat="1" x14ac:dyDescent="0.15">
      <c r="A6" s="167" t="s">
        <v>196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0.8</v>
      </c>
      <c r="H6" s="100">
        <v>0</v>
      </c>
      <c r="I6" s="100">
        <v>0</v>
      </c>
      <c r="J6" s="100">
        <v>0</v>
      </c>
      <c r="K6" s="100">
        <v>0</v>
      </c>
      <c r="L6" s="100">
        <v>0</v>
      </c>
      <c r="M6" s="100">
        <v>0</v>
      </c>
      <c r="N6" s="100">
        <v>0</v>
      </c>
      <c r="O6" s="100">
        <v>0.8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</row>
    <row r="7" spans="1:30" customFormat="1" x14ac:dyDescent="0.15">
      <c r="A7" s="167" t="s">
        <v>197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0.8</v>
      </c>
      <c r="H7" s="100">
        <v>0</v>
      </c>
      <c r="I7" s="100">
        <v>0</v>
      </c>
      <c r="J7" s="100">
        <v>0</v>
      </c>
      <c r="K7" s="100">
        <v>0</v>
      </c>
      <c r="L7" s="100">
        <v>0</v>
      </c>
      <c r="M7" s="100">
        <v>0</v>
      </c>
      <c r="N7" s="100">
        <v>0</v>
      </c>
      <c r="O7" s="100">
        <v>0.8</v>
      </c>
      <c r="P7" s="100">
        <v>0.8</v>
      </c>
      <c r="Q7" s="100">
        <v>0</v>
      </c>
      <c r="R7" s="100">
        <v>0</v>
      </c>
      <c r="S7" s="100">
        <v>0.8</v>
      </c>
      <c r="T7" s="100">
        <v>0</v>
      </c>
      <c r="U7" s="100">
        <v>0</v>
      </c>
    </row>
    <row r="8" spans="1:30" customFormat="1" x14ac:dyDescent="0.15">
      <c r="A8" s="167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0.8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0.8</v>
      </c>
      <c r="O8" s="100">
        <v>0.8</v>
      </c>
      <c r="P8" s="100">
        <v>0.8</v>
      </c>
      <c r="Q8" s="100">
        <v>0</v>
      </c>
      <c r="R8" s="100">
        <v>0.8</v>
      </c>
      <c r="S8" s="100">
        <v>0.8</v>
      </c>
      <c r="T8" s="100">
        <v>0</v>
      </c>
      <c r="U8" s="100">
        <v>0</v>
      </c>
    </row>
    <row r="9" spans="1:30" customFormat="1" x14ac:dyDescent="0.15">
      <c r="A9" s="167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0.8</v>
      </c>
      <c r="S9" s="100">
        <v>0.8</v>
      </c>
      <c r="T9" s="100">
        <v>0</v>
      </c>
      <c r="U9" s="100">
        <v>0</v>
      </c>
    </row>
    <row r="10" spans="1:30" customFormat="1" x14ac:dyDescent="0.15">
      <c r="A10" s="167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0.8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</row>
    <row r="11" spans="1:30" customFormat="1" x14ac:dyDescent="0.15">
      <c r="A11" s="167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0.8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0.8</v>
      </c>
      <c r="N11" s="100">
        <v>0.8</v>
      </c>
      <c r="O11" s="100">
        <v>0.8</v>
      </c>
      <c r="P11" s="100">
        <v>0.8</v>
      </c>
      <c r="Q11" s="100">
        <v>0</v>
      </c>
      <c r="R11" s="100">
        <v>0</v>
      </c>
      <c r="S11" s="100">
        <v>0.8</v>
      </c>
      <c r="T11" s="100">
        <v>0</v>
      </c>
      <c r="U11" s="100">
        <v>0</v>
      </c>
    </row>
    <row r="12" spans="1:30" customFormat="1" x14ac:dyDescent="0.15">
      <c r="A12" s="167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0.8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0.8</v>
      </c>
      <c r="N12" s="100">
        <v>0</v>
      </c>
      <c r="O12" s="100">
        <v>0.8</v>
      </c>
      <c r="P12" s="100">
        <v>0.8</v>
      </c>
      <c r="Q12" s="100">
        <v>0</v>
      </c>
      <c r="R12" s="100">
        <v>0</v>
      </c>
      <c r="S12" s="100">
        <v>0.8</v>
      </c>
      <c r="T12" s="100">
        <v>0</v>
      </c>
      <c r="U12" s="100">
        <v>0</v>
      </c>
    </row>
    <row r="13" spans="1:30" customFormat="1" x14ac:dyDescent="0.15">
      <c r="A13" s="167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0.8</v>
      </c>
      <c r="P13" s="100">
        <v>0.8</v>
      </c>
      <c r="Q13" s="100">
        <v>0</v>
      </c>
      <c r="R13" s="100">
        <v>0</v>
      </c>
      <c r="S13" s="100">
        <v>0.8</v>
      </c>
      <c r="T13" s="100">
        <v>0</v>
      </c>
      <c r="U13" s="100">
        <v>0</v>
      </c>
    </row>
    <row r="14" spans="1:30" customFormat="1" x14ac:dyDescent="0.15">
      <c r="A14" s="167" t="s">
        <v>204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0.8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0.8</v>
      </c>
      <c r="P14" s="100">
        <v>0.8</v>
      </c>
      <c r="Q14" s="100">
        <v>0</v>
      </c>
      <c r="R14" s="100">
        <v>0</v>
      </c>
      <c r="S14" s="100">
        <v>0.8</v>
      </c>
      <c r="T14" s="100">
        <v>0</v>
      </c>
      <c r="U14" s="100">
        <v>0</v>
      </c>
    </row>
    <row r="15" spans="1:30" customFormat="1" x14ac:dyDescent="0.15">
      <c r="A15" s="167" t="s">
        <v>205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0.8</v>
      </c>
      <c r="Q15" s="100">
        <v>0</v>
      </c>
      <c r="R15" s="100">
        <v>0</v>
      </c>
      <c r="S15" s="100">
        <v>0.8</v>
      </c>
      <c r="T15" s="100">
        <v>0</v>
      </c>
      <c r="U15" s="100">
        <v>0</v>
      </c>
    </row>
    <row r="16" spans="1:30" customFormat="1" x14ac:dyDescent="0.15">
      <c r="A16" s="167" t="s">
        <v>206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0.8</v>
      </c>
      <c r="T16" s="100">
        <v>0</v>
      </c>
      <c r="U16" s="100">
        <v>0</v>
      </c>
    </row>
    <row r="17" spans="1:21" customFormat="1" x14ac:dyDescent="0.15">
      <c r="A17" s="167" t="s">
        <v>207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0.8</v>
      </c>
      <c r="S17" s="100">
        <v>0.8</v>
      </c>
      <c r="T17" s="100">
        <v>0</v>
      </c>
      <c r="U17" s="100">
        <v>0</v>
      </c>
    </row>
    <row r="18" spans="1:21" customFormat="1" x14ac:dyDescent="0.15">
      <c r="A18" s="167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0.8</v>
      </c>
      <c r="T18" s="100">
        <v>0</v>
      </c>
      <c r="U18" s="100">
        <v>0</v>
      </c>
    </row>
    <row r="19" spans="1:21" customFormat="1" x14ac:dyDescent="0.15">
      <c r="A19" s="167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0.8</v>
      </c>
      <c r="S19" s="100">
        <v>0</v>
      </c>
      <c r="T19" s="100">
        <v>0</v>
      </c>
      <c r="U19" s="100">
        <v>0</v>
      </c>
    </row>
    <row r="20" spans="1:21" customFormat="1" x14ac:dyDescent="0.15">
      <c r="A20" s="167" t="s">
        <v>210</v>
      </c>
      <c r="B20" s="100">
        <v>0</v>
      </c>
      <c r="C20" s="100">
        <v>0</v>
      </c>
      <c r="D20" s="100">
        <v>0.8</v>
      </c>
      <c r="E20" s="100">
        <v>0.8</v>
      </c>
      <c r="F20" s="100">
        <v>0</v>
      </c>
      <c r="G20" s="100">
        <v>0.8</v>
      </c>
      <c r="H20" s="100">
        <v>0.8</v>
      </c>
      <c r="I20" s="100">
        <v>0.8</v>
      </c>
      <c r="J20" s="100">
        <v>0</v>
      </c>
      <c r="K20" s="100">
        <v>0.8</v>
      </c>
      <c r="L20" s="100">
        <v>0.8</v>
      </c>
      <c r="M20" s="100">
        <v>0</v>
      </c>
      <c r="N20" s="100">
        <v>0.8</v>
      </c>
      <c r="O20" s="100">
        <v>0.8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</row>
    <row r="21" spans="1:21" customFormat="1" x14ac:dyDescent="0.15">
      <c r="A21" s="167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</row>
    <row r="22" spans="1:21" customFormat="1" x14ac:dyDescent="0.15">
      <c r="A22" s="167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  <row r="32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2.5" style="100" bestFit="1" customWidth="1"/>
    <col min="2" max="21" width="2.33203125" style="100" customWidth="1"/>
    <col min="22" max="16384" width="10.83203125" style="100"/>
  </cols>
  <sheetData>
    <row r="1" spans="1:31" x14ac:dyDescent="0.15">
      <c r="A1" s="58" t="s">
        <v>139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202</v>
      </c>
      <c r="M1" s="170" t="s">
        <v>203</v>
      </c>
      <c r="N1" s="170" t="s">
        <v>204</v>
      </c>
      <c r="O1" s="170" t="s">
        <v>205</v>
      </c>
      <c r="P1" s="170" t="s">
        <v>206</v>
      </c>
      <c r="Q1" s="170" t="s">
        <v>207</v>
      </c>
      <c r="R1" s="170" t="s">
        <v>208</v>
      </c>
      <c r="S1" s="170" t="s">
        <v>209</v>
      </c>
      <c r="T1" s="170" t="s">
        <v>210</v>
      </c>
      <c r="U1" s="170" t="s">
        <v>211</v>
      </c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9" t="s">
        <v>192</v>
      </c>
      <c r="B2" s="100">
        <v>0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</v>
      </c>
      <c r="I2" s="100">
        <v>1</v>
      </c>
      <c r="J2" s="100">
        <v>1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1</v>
      </c>
      <c r="R2" s="100">
        <v>1</v>
      </c>
      <c r="S2" s="100">
        <v>1</v>
      </c>
      <c r="T2" s="100">
        <v>0</v>
      </c>
      <c r="U2" s="100">
        <v>0</v>
      </c>
    </row>
    <row r="3" spans="1:31" customFormat="1" x14ac:dyDescent="0.15">
      <c r="A3" s="169" t="s">
        <v>193</v>
      </c>
      <c r="B3" s="100">
        <v>0</v>
      </c>
      <c r="C3" s="100">
        <v>0</v>
      </c>
      <c r="D3" s="100">
        <v>1</v>
      </c>
      <c r="E3" s="100">
        <v>1</v>
      </c>
      <c r="F3" s="100">
        <v>0</v>
      </c>
      <c r="G3" s="100">
        <v>0</v>
      </c>
      <c r="H3" s="100">
        <v>1</v>
      </c>
      <c r="I3" s="100">
        <v>0</v>
      </c>
      <c r="J3" s="100">
        <v>0</v>
      </c>
      <c r="K3" s="100">
        <v>1</v>
      </c>
      <c r="L3" s="100">
        <v>1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</row>
    <row r="4" spans="1:31" customFormat="1" x14ac:dyDescent="0.15">
      <c r="A4" s="169" t="s">
        <v>194</v>
      </c>
      <c r="B4" s="100">
        <v>0</v>
      </c>
      <c r="C4" s="100">
        <v>0</v>
      </c>
      <c r="D4" s="100">
        <v>1</v>
      </c>
      <c r="E4" s="100">
        <v>1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1</v>
      </c>
      <c r="L4" s="100">
        <v>1</v>
      </c>
      <c r="M4" s="100">
        <v>1</v>
      </c>
      <c r="N4" s="100">
        <v>1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</row>
    <row r="5" spans="1:31" customFormat="1" x14ac:dyDescent="0.15">
      <c r="A5" s="169" t="s">
        <v>195</v>
      </c>
      <c r="B5" s="100">
        <v>0</v>
      </c>
      <c r="C5" s="100">
        <v>0</v>
      </c>
      <c r="D5" s="100">
        <v>0</v>
      </c>
      <c r="E5" s="100">
        <v>1</v>
      </c>
      <c r="F5" s="100">
        <v>1</v>
      </c>
      <c r="G5" s="100">
        <v>1</v>
      </c>
      <c r="H5" s="100">
        <v>0</v>
      </c>
      <c r="I5" s="100">
        <v>0</v>
      </c>
      <c r="J5" s="100">
        <v>0</v>
      </c>
      <c r="K5" s="100">
        <v>1</v>
      </c>
      <c r="L5" s="100">
        <v>0</v>
      </c>
      <c r="M5" s="100">
        <v>1</v>
      </c>
      <c r="N5" s="100">
        <v>1</v>
      </c>
      <c r="O5" s="100">
        <v>1</v>
      </c>
      <c r="P5" s="100">
        <v>1</v>
      </c>
      <c r="Q5" s="100">
        <v>0</v>
      </c>
      <c r="R5" s="100">
        <v>0</v>
      </c>
      <c r="S5" s="100">
        <v>1</v>
      </c>
      <c r="T5" s="100">
        <v>0</v>
      </c>
      <c r="U5" s="100">
        <v>0</v>
      </c>
    </row>
    <row r="6" spans="1:31" customFormat="1" x14ac:dyDescent="0.15">
      <c r="A6" s="169" t="s">
        <v>196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1</v>
      </c>
      <c r="H6" s="100">
        <v>0</v>
      </c>
      <c r="I6" s="100">
        <v>0</v>
      </c>
      <c r="J6" s="100">
        <v>0</v>
      </c>
      <c r="K6" s="100">
        <v>0</v>
      </c>
      <c r="L6" s="100">
        <v>0</v>
      </c>
      <c r="M6" s="100">
        <v>0</v>
      </c>
      <c r="N6" s="100">
        <v>0</v>
      </c>
      <c r="O6" s="100">
        <v>1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</row>
    <row r="7" spans="1:31" customFormat="1" x14ac:dyDescent="0.15">
      <c r="A7" s="169" t="s">
        <v>197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1</v>
      </c>
      <c r="H7" s="100">
        <v>0</v>
      </c>
      <c r="I7" s="100">
        <v>0</v>
      </c>
      <c r="J7" s="100">
        <v>0</v>
      </c>
      <c r="K7" s="100">
        <v>0</v>
      </c>
      <c r="L7" s="100">
        <v>0</v>
      </c>
      <c r="M7" s="100">
        <v>0</v>
      </c>
      <c r="N7" s="100">
        <v>0</v>
      </c>
      <c r="O7" s="100">
        <v>1</v>
      </c>
      <c r="P7" s="100">
        <v>1</v>
      </c>
      <c r="Q7" s="100">
        <v>0</v>
      </c>
      <c r="R7" s="100">
        <v>0</v>
      </c>
      <c r="S7" s="100">
        <v>1</v>
      </c>
      <c r="T7" s="100">
        <v>0</v>
      </c>
      <c r="U7" s="100">
        <v>0</v>
      </c>
    </row>
    <row r="8" spans="1:31" customFormat="1" x14ac:dyDescent="0.15">
      <c r="A8" s="169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1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1</v>
      </c>
      <c r="O8" s="100">
        <v>1</v>
      </c>
      <c r="P8" s="100">
        <v>1</v>
      </c>
      <c r="Q8" s="100">
        <v>0</v>
      </c>
      <c r="R8" s="100">
        <v>1</v>
      </c>
      <c r="S8" s="100">
        <v>1</v>
      </c>
      <c r="T8" s="100">
        <v>0</v>
      </c>
      <c r="U8" s="100">
        <v>0</v>
      </c>
    </row>
    <row r="9" spans="1:31" customFormat="1" x14ac:dyDescent="0.15">
      <c r="A9" s="169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0</v>
      </c>
      <c r="O9" s="100">
        <v>0</v>
      </c>
      <c r="P9" s="100">
        <v>0</v>
      </c>
      <c r="Q9" s="100">
        <v>0</v>
      </c>
      <c r="R9" s="100">
        <v>1</v>
      </c>
      <c r="S9" s="100">
        <v>1</v>
      </c>
      <c r="T9" s="100">
        <v>0</v>
      </c>
      <c r="U9" s="100">
        <v>0</v>
      </c>
    </row>
    <row r="10" spans="1:31" customFormat="1" x14ac:dyDescent="0.15">
      <c r="A10" s="169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1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</row>
    <row r="11" spans="1:31" customFormat="1" x14ac:dyDescent="0.15">
      <c r="A11" s="169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1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1</v>
      </c>
      <c r="N11" s="100">
        <v>1</v>
      </c>
      <c r="O11" s="100">
        <v>1</v>
      </c>
      <c r="P11" s="100">
        <v>1</v>
      </c>
      <c r="Q11" s="100">
        <v>0</v>
      </c>
      <c r="R11" s="100">
        <v>0</v>
      </c>
      <c r="S11" s="100">
        <v>1</v>
      </c>
      <c r="T11" s="100">
        <v>0</v>
      </c>
      <c r="U11" s="100">
        <v>0</v>
      </c>
    </row>
    <row r="12" spans="1:31" customFormat="1" x14ac:dyDescent="0.15">
      <c r="A12" s="169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1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1</v>
      </c>
      <c r="N12" s="100">
        <v>0</v>
      </c>
      <c r="O12" s="100">
        <v>1</v>
      </c>
      <c r="P12" s="100">
        <v>1</v>
      </c>
      <c r="Q12" s="100">
        <v>0</v>
      </c>
      <c r="R12" s="100">
        <v>0</v>
      </c>
      <c r="S12" s="100">
        <v>1</v>
      </c>
      <c r="T12" s="100">
        <v>0</v>
      </c>
      <c r="U12" s="100">
        <v>0</v>
      </c>
    </row>
    <row r="13" spans="1:31" customFormat="1" x14ac:dyDescent="0.15">
      <c r="A13" s="169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1</v>
      </c>
      <c r="P13" s="100">
        <v>1</v>
      </c>
      <c r="Q13" s="100">
        <v>0</v>
      </c>
      <c r="R13" s="100">
        <v>0</v>
      </c>
      <c r="S13" s="100">
        <v>1</v>
      </c>
      <c r="T13" s="100">
        <v>0</v>
      </c>
      <c r="U13" s="100">
        <v>0</v>
      </c>
    </row>
    <row r="14" spans="1:31" customFormat="1" x14ac:dyDescent="0.15">
      <c r="A14" s="169" t="s">
        <v>204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1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1</v>
      </c>
      <c r="P14" s="100">
        <v>1</v>
      </c>
      <c r="Q14" s="100">
        <v>0</v>
      </c>
      <c r="R14" s="100">
        <v>0</v>
      </c>
      <c r="S14" s="100">
        <v>1</v>
      </c>
      <c r="T14" s="100">
        <v>0</v>
      </c>
      <c r="U14" s="100">
        <v>0</v>
      </c>
    </row>
    <row r="15" spans="1:31" customFormat="1" x14ac:dyDescent="0.15">
      <c r="A15" s="169" t="s">
        <v>205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1</v>
      </c>
      <c r="Q15" s="100">
        <v>0</v>
      </c>
      <c r="R15" s="100">
        <v>0</v>
      </c>
      <c r="S15" s="100">
        <v>1</v>
      </c>
      <c r="T15" s="100">
        <v>0</v>
      </c>
      <c r="U15" s="100">
        <v>0</v>
      </c>
    </row>
    <row r="16" spans="1:31" customFormat="1" x14ac:dyDescent="0.15">
      <c r="A16" s="169" t="s">
        <v>206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</v>
      </c>
      <c r="S16" s="100">
        <v>1</v>
      </c>
      <c r="T16" s="100">
        <v>0</v>
      </c>
      <c r="U16" s="100">
        <v>0</v>
      </c>
    </row>
    <row r="17" spans="1:21" customFormat="1" x14ac:dyDescent="0.15">
      <c r="A17" s="169" t="s">
        <v>207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1</v>
      </c>
      <c r="S17" s="100">
        <v>1</v>
      </c>
      <c r="T17" s="100">
        <v>0</v>
      </c>
      <c r="U17" s="100">
        <v>0</v>
      </c>
    </row>
    <row r="18" spans="1:21" customFormat="1" x14ac:dyDescent="0.15">
      <c r="A18" s="169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1</v>
      </c>
      <c r="T18" s="100">
        <v>0</v>
      </c>
      <c r="U18" s="100">
        <v>0</v>
      </c>
    </row>
    <row r="19" spans="1:21" customFormat="1" x14ac:dyDescent="0.15">
      <c r="A19" s="169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1</v>
      </c>
      <c r="S19" s="100">
        <v>0</v>
      </c>
      <c r="T19" s="100">
        <v>0</v>
      </c>
      <c r="U19" s="100">
        <v>0</v>
      </c>
    </row>
    <row r="20" spans="1:21" customFormat="1" x14ac:dyDescent="0.15">
      <c r="A20" s="169" t="s">
        <v>210</v>
      </c>
      <c r="B20" s="100">
        <v>0</v>
      </c>
      <c r="C20" s="100">
        <v>0</v>
      </c>
      <c r="D20" s="100">
        <v>1</v>
      </c>
      <c r="E20" s="100">
        <v>1</v>
      </c>
      <c r="F20" s="100">
        <v>0</v>
      </c>
      <c r="G20" s="100">
        <v>1</v>
      </c>
      <c r="H20" s="100">
        <v>1</v>
      </c>
      <c r="I20" s="100">
        <v>1</v>
      </c>
      <c r="J20" s="100">
        <v>0</v>
      </c>
      <c r="K20" s="100">
        <v>1</v>
      </c>
      <c r="L20" s="100">
        <v>1</v>
      </c>
      <c r="M20" s="100">
        <v>0</v>
      </c>
      <c r="N20" s="100">
        <v>1</v>
      </c>
      <c r="O20" s="100">
        <v>1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</row>
    <row r="21" spans="1:21" customFormat="1" x14ac:dyDescent="0.15">
      <c r="A21" s="169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</row>
    <row r="22" spans="1:21" customFormat="1" x14ac:dyDescent="0.15">
      <c r="A22" s="169" t="s">
        <v>213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</row>
    <row r="23" spans="1:21" customFormat="1" x14ac:dyDescent="0.15"/>
    <row r="24" spans="1:21" customFormat="1" x14ac:dyDescent="0.15"/>
    <row r="25" spans="1:21" customFormat="1" x14ac:dyDescent="0.15"/>
    <row r="26" spans="1:21" customFormat="1" x14ac:dyDescent="0.15"/>
    <row r="27" spans="1:21" customFormat="1" x14ac:dyDescent="0.15"/>
    <row r="28" spans="1:21" customFormat="1" x14ac:dyDescent="0.15"/>
    <row r="29" spans="1:21" customFormat="1" x14ac:dyDescent="0.15"/>
    <row r="30" spans="1:21" customFormat="1" x14ac:dyDescent="0.15"/>
    <row r="31" spans="1:2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2" t="s">
        <v>212</v>
      </c>
    </row>
    <row r="2" spans="1:3" x14ac:dyDescent="0.15">
      <c r="A2">
        <v>1</v>
      </c>
      <c r="B2" s="171" t="s">
        <v>192</v>
      </c>
      <c r="C2">
        <v>0.8</v>
      </c>
    </row>
    <row r="3" spans="1:3" x14ac:dyDescent="0.15">
      <c r="A3">
        <v>2</v>
      </c>
      <c r="B3" s="171" t="s">
        <v>193</v>
      </c>
      <c r="C3">
        <v>0</v>
      </c>
    </row>
    <row r="4" spans="1:3" x14ac:dyDescent="0.15">
      <c r="A4">
        <v>3</v>
      </c>
      <c r="B4" s="171" t="s">
        <v>194</v>
      </c>
      <c r="C4">
        <v>0</v>
      </c>
    </row>
    <row r="5" spans="1:3" x14ac:dyDescent="0.15">
      <c r="A5">
        <v>4</v>
      </c>
      <c r="B5" s="171" t="s">
        <v>195</v>
      </c>
      <c r="C5">
        <v>0</v>
      </c>
    </row>
    <row r="6" spans="1:3" x14ac:dyDescent="0.15">
      <c r="A6">
        <v>5</v>
      </c>
      <c r="B6" s="171" t="s">
        <v>196</v>
      </c>
      <c r="C6">
        <v>0</v>
      </c>
    </row>
    <row r="7" spans="1:3" x14ac:dyDescent="0.15">
      <c r="A7">
        <v>6</v>
      </c>
      <c r="B7" s="171" t="s">
        <v>197</v>
      </c>
      <c r="C7">
        <v>0.8</v>
      </c>
    </row>
    <row r="8" spans="1:3" x14ac:dyDescent="0.15">
      <c r="A8">
        <v>7</v>
      </c>
      <c r="B8" s="171" t="s">
        <v>198</v>
      </c>
      <c r="C8">
        <v>0</v>
      </c>
    </row>
    <row r="9" spans="1:3" x14ac:dyDescent="0.15">
      <c r="A9">
        <v>8</v>
      </c>
      <c r="B9" s="171" t="s">
        <v>199</v>
      </c>
      <c r="C9">
        <v>0.8</v>
      </c>
    </row>
    <row r="10" spans="1:3" x14ac:dyDescent="0.15">
      <c r="A10">
        <v>9</v>
      </c>
      <c r="B10" s="171" t="s">
        <v>200</v>
      </c>
      <c r="C10">
        <v>0.8</v>
      </c>
    </row>
    <row r="11" spans="1:3" x14ac:dyDescent="0.15">
      <c r="A11">
        <v>10</v>
      </c>
      <c r="B11" s="171" t="s">
        <v>201</v>
      </c>
      <c r="C11">
        <v>0.8</v>
      </c>
    </row>
    <row r="12" spans="1:3" x14ac:dyDescent="0.15">
      <c r="A12">
        <v>11</v>
      </c>
      <c r="B12" s="171" t="s">
        <v>202</v>
      </c>
      <c r="C12">
        <v>0</v>
      </c>
    </row>
    <row r="13" spans="1:3" x14ac:dyDescent="0.15">
      <c r="A13">
        <v>12</v>
      </c>
      <c r="B13" s="171" t="s">
        <v>203</v>
      </c>
      <c r="C13">
        <v>0.8</v>
      </c>
    </row>
    <row r="14" spans="1:3" x14ac:dyDescent="0.15">
      <c r="A14">
        <v>13</v>
      </c>
      <c r="B14" s="171" t="s">
        <v>204</v>
      </c>
      <c r="C14">
        <v>0</v>
      </c>
    </row>
    <row r="15" spans="1:3" x14ac:dyDescent="0.15">
      <c r="A15">
        <v>14</v>
      </c>
      <c r="B15" s="171" t="s">
        <v>205</v>
      </c>
      <c r="C15">
        <v>0.8</v>
      </c>
    </row>
    <row r="16" spans="1:3" x14ac:dyDescent="0.15">
      <c r="A16">
        <v>15</v>
      </c>
      <c r="B16" s="171" t="s">
        <v>206</v>
      </c>
      <c r="C16">
        <v>0.8</v>
      </c>
    </row>
    <row r="17" spans="1:3" x14ac:dyDescent="0.15">
      <c r="A17">
        <v>16</v>
      </c>
      <c r="B17" s="171" t="s">
        <v>207</v>
      </c>
      <c r="C17">
        <v>0</v>
      </c>
    </row>
    <row r="18" spans="1:3" x14ac:dyDescent="0.15">
      <c r="A18">
        <v>17</v>
      </c>
      <c r="B18" s="171" t="s">
        <v>208</v>
      </c>
      <c r="C18">
        <v>0</v>
      </c>
    </row>
    <row r="19" spans="1:3" x14ac:dyDescent="0.15">
      <c r="A19">
        <v>18</v>
      </c>
      <c r="B19" s="171" t="s">
        <v>209</v>
      </c>
      <c r="C19">
        <v>0</v>
      </c>
    </row>
    <row r="20" spans="1:3" x14ac:dyDescent="0.15">
      <c r="A20">
        <v>19</v>
      </c>
      <c r="B20" s="171" t="s">
        <v>210</v>
      </c>
      <c r="C20">
        <v>0</v>
      </c>
    </row>
    <row r="21" spans="1:3" x14ac:dyDescent="0.15">
      <c r="A21">
        <v>20</v>
      </c>
      <c r="B21" s="171" t="s">
        <v>211</v>
      </c>
      <c r="C2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2.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4" t="s">
        <v>212</v>
      </c>
    </row>
    <row r="2" spans="1:3" x14ac:dyDescent="0.15">
      <c r="A2">
        <v>1</v>
      </c>
      <c r="B2" s="173" t="s">
        <v>192</v>
      </c>
      <c r="C2">
        <v>0.8</v>
      </c>
    </row>
    <row r="3" spans="1:3" x14ac:dyDescent="0.15">
      <c r="A3">
        <v>2</v>
      </c>
      <c r="B3" s="173" t="s">
        <v>193</v>
      </c>
      <c r="C3">
        <v>0</v>
      </c>
    </row>
    <row r="4" spans="1:3" x14ac:dyDescent="0.15">
      <c r="A4">
        <v>3</v>
      </c>
      <c r="B4" s="173" t="s">
        <v>194</v>
      </c>
      <c r="C4">
        <v>0</v>
      </c>
    </row>
    <row r="5" spans="1:3" x14ac:dyDescent="0.15">
      <c r="A5">
        <v>4</v>
      </c>
      <c r="B5" s="173" t="s">
        <v>195</v>
      </c>
      <c r="C5">
        <v>0</v>
      </c>
    </row>
    <row r="6" spans="1:3" x14ac:dyDescent="0.15">
      <c r="A6">
        <v>5</v>
      </c>
      <c r="B6" s="173" t="s">
        <v>196</v>
      </c>
      <c r="C6">
        <v>0</v>
      </c>
    </row>
    <row r="7" spans="1:3" x14ac:dyDescent="0.15">
      <c r="A7">
        <v>6</v>
      </c>
      <c r="B7" s="173" t="s">
        <v>197</v>
      </c>
      <c r="C7">
        <v>0.8</v>
      </c>
    </row>
    <row r="8" spans="1:3" x14ac:dyDescent="0.15">
      <c r="A8">
        <v>7</v>
      </c>
      <c r="B8" s="173" t="s">
        <v>198</v>
      </c>
      <c r="C8">
        <v>0</v>
      </c>
    </row>
    <row r="9" spans="1:3" x14ac:dyDescent="0.15">
      <c r="A9">
        <v>8</v>
      </c>
      <c r="B9" s="173" t="s">
        <v>199</v>
      </c>
      <c r="C9">
        <v>0.8</v>
      </c>
    </row>
    <row r="10" spans="1:3" x14ac:dyDescent="0.15">
      <c r="A10">
        <v>9</v>
      </c>
      <c r="B10" s="173" t="s">
        <v>200</v>
      </c>
      <c r="C10">
        <v>0.8</v>
      </c>
    </row>
    <row r="11" spans="1:3" x14ac:dyDescent="0.15">
      <c r="A11">
        <v>10</v>
      </c>
      <c r="B11" s="173" t="s">
        <v>201</v>
      </c>
      <c r="C11">
        <v>0.8</v>
      </c>
    </row>
    <row r="12" spans="1:3" x14ac:dyDescent="0.15">
      <c r="A12">
        <v>11</v>
      </c>
      <c r="B12" s="173" t="s">
        <v>202</v>
      </c>
      <c r="C12">
        <v>0</v>
      </c>
    </row>
    <row r="13" spans="1:3" x14ac:dyDescent="0.15">
      <c r="A13">
        <v>12</v>
      </c>
      <c r="B13" s="173" t="s">
        <v>203</v>
      </c>
      <c r="C13">
        <v>0.8</v>
      </c>
    </row>
    <row r="14" spans="1:3" x14ac:dyDescent="0.15">
      <c r="A14">
        <v>13</v>
      </c>
      <c r="B14" s="173" t="s">
        <v>204</v>
      </c>
      <c r="C14">
        <v>0</v>
      </c>
    </row>
    <row r="15" spans="1:3" x14ac:dyDescent="0.15">
      <c r="A15">
        <v>14</v>
      </c>
      <c r="B15" s="173" t="s">
        <v>205</v>
      </c>
      <c r="C15">
        <v>0.8</v>
      </c>
    </row>
    <row r="16" spans="1:3" x14ac:dyDescent="0.15">
      <c r="A16">
        <v>15</v>
      </c>
      <c r="B16" s="173" t="s">
        <v>206</v>
      </c>
      <c r="C16">
        <v>0.8</v>
      </c>
    </row>
    <row r="17" spans="1:3" x14ac:dyDescent="0.15">
      <c r="A17">
        <v>16</v>
      </c>
      <c r="B17" s="173" t="s">
        <v>207</v>
      </c>
      <c r="C17">
        <v>0</v>
      </c>
    </row>
    <row r="18" spans="1:3" x14ac:dyDescent="0.15">
      <c r="A18">
        <v>17</v>
      </c>
      <c r="B18" s="173" t="s">
        <v>208</v>
      </c>
      <c r="C18">
        <v>0</v>
      </c>
    </row>
    <row r="19" spans="1:3" x14ac:dyDescent="0.15">
      <c r="A19">
        <v>18</v>
      </c>
      <c r="B19" s="173" t="s">
        <v>209</v>
      </c>
      <c r="C19">
        <v>0</v>
      </c>
    </row>
    <row r="20" spans="1:3" x14ac:dyDescent="0.15">
      <c r="A20">
        <v>19</v>
      </c>
      <c r="B20" s="173" t="s">
        <v>210</v>
      </c>
      <c r="C20">
        <v>0</v>
      </c>
    </row>
    <row r="21" spans="1:3" x14ac:dyDescent="0.15">
      <c r="A21">
        <v>20</v>
      </c>
      <c r="B21" s="173" t="s">
        <v>211</v>
      </c>
      <c r="C2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73"/>
    <col min="2" max="2" width="41.83203125" style="73" bestFit="1" customWidth="1"/>
    <col min="3" max="3" width="9.33203125" style="73" bestFit="1" customWidth="1"/>
    <col min="4" max="4" width="13" style="73" bestFit="1" customWidth="1"/>
    <col min="5" max="6" width="9.33203125" style="73" bestFit="1" customWidth="1"/>
    <col min="7" max="7" width="9.33203125" style="89" bestFit="1" customWidth="1"/>
    <col min="8" max="8" width="9.33203125" style="73" bestFit="1" customWidth="1"/>
    <col min="9" max="9" width="11" style="73" customWidth="1"/>
    <col min="10" max="10" width="8.83203125" style="73"/>
    <col min="15" max="16384" width="8.83203125" style="7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1</v>
      </c>
      <c r="D2" s="9">
        <v>13000</v>
      </c>
      <c r="E2" s="9">
        <v>0.15000000596046448</v>
      </c>
      <c r="F2" s="10"/>
      <c r="G2" s="9">
        <v>0.69721120595932007</v>
      </c>
      <c r="H2" s="10"/>
      <c r="I2">
        <v>250</v>
      </c>
      <c r="J2"/>
    </row>
    <row r="3" spans="1:10" ht="15" customHeight="1" x14ac:dyDescent="0.15">
      <c r="A3" s="136">
        <v>2</v>
      </c>
      <c r="B3" s="136" t="s">
        <v>193</v>
      </c>
      <c r="C3" s="8">
        <v>1</v>
      </c>
      <c r="D3" s="9">
        <v>6.4000000953674316</v>
      </c>
      <c r="E3" s="9">
        <v>185</v>
      </c>
      <c r="F3" s="10"/>
      <c r="G3" s="9">
        <v>0.50103461742401123</v>
      </c>
      <c r="H3" s="10"/>
      <c r="I3">
        <v>0</v>
      </c>
      <c r="J3"/>
    </row>
    <row r="4" spans="1:10" ht="15" customHeight="1" x14ac:dyDescent="0.15">
      <c r="A4" s="137">
        <v>3</v>
      </c>
      <c r="B4" s="137" t="s">
        <v>194</v>
      </c>
      <c r="C4" s="8">
        <v>2.1111111640930176</v>
      </c>
      <c r="D4" s="9">
        <v>1.5</v>
      </c>
      <c r="E4" s="9">
        <v>100</v>
      </c>
      <c r="F4" s="9">
        <v>300</v>
      </c>
      <c r="G4" s="9">
        <v>0.73619997501373291</v>
      </c>
      <c r="H4" s="9">
        <v>0.3333333432674408</v>
      </c>
      <c r="I4">
        <v>0</v>
      </c>
      <c r="J4"/>
    </row>
    <row r="5" spans="1:10" ht="15" customHeight="1" x14ac:dyDescent="0.15">
      <c r="A5" s="138">
        <v>4</v>
      </c>
      <c r="B5" s="138" t="s">
        <v>195</v>
      </c>
      <c r="C5" s="8">
        <v>2.1728396415710449</v>
      </c>
      <c r="D5" s="9">
        <v>9.9700002670288086</v>
      </c>
      <c r="E5" s="9">
        <v>12</v>
      </c>
      <c r="F5" s="9">
        <v>50</v>
      </c>
      <c r="G5" s="9">
        <v>0.90289151668548584</v>
      </c>
      <c r="H5" s="9">
        <v>0.23999999463558197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3.0864198207855225</v>
      </c>
      <c r="D6" s="9">
        <v>2.0999999046325684</v>
      </c>
      <c r="E6" s="9">
        <v>0.5</v>
      </c>
      <c r="F6" s="9">
        <v>4</v>
      </c>
      <c r="G6" s="9">
        <v>0.64571434259414673</v>
      </c>
      <c r="H6" s="9">
        <v>0.125</v>
      </c>
      <c r="I6">
        <v>0</v>
      </c>
      <c r="J6"/>
    </row>
    <row r="7" spans="1:10" ht="15" customHeight="1" x14ac:dyDescent="0.15">
      <c r="A7" s="140">
        <v>6</v>
      </c>
      <c r="B7" s="140" t="s">
        <v>197</v>
      </c>
      <c r="C7" s="8">
        <v>3.051790714263916</v>
      </c>
      <c r="D7" s="9">
        <v>2.5</v>
      </c>
      <c r="E7" s="9">
        <v>2</v>
      </c>
      <c r="F7" s="9">
        <v>22</v>
      </c>
      <c r="G7" s="9">
        <v>0.76701879501342773</v>
      </c>
      <c r="H7" s="9">
        <v>9.0909093618392944E-2</v>
      </c>
      <c r="I7">
        <v>0.60000002384185791</v>
      </c>
      <c r="J7"/>
    </row>
    <row r="8" spans="1:10" ht="15" customHeight="1" x14ac:dyDescent="0.15">
      <c r="A8" s="141">
        <v>7</v>
      </c>
      <c r="B8" s="141" t="s">
        <v>198</v>
      </c>
      <c r="C8" s="8">
        <v>2</v>
      </c>
      <c r="D8" s="9">
        <v>14.5</v>
      </c>
      <c r="E8" s="9">
        <v>5.5</v>
      </c>
      <c r="F8" s="9">
        <v>95</v>
      </c>
      <c r="G8" s="9">
        <v>0.66082668304443359</v>
      </c>
      <c r="H8" s="9">
        <v>5.7894736528396606E-2</v>
      </c>
      <c r="I8">
        <v>0</v>
      </c>
      <c r="J8"/>
    </row>
    <row r="9" spans="1:10" ht="15" customHeight="1" x14ac:dyDescent="0.15">
      <c r="A9" s="142">
        <v>8</v>
      </c>
      <c r="B9" s="142" t="s">
        <v>199</v>
      </c>
      <c r="C9" s="8">
        <v>2</v>
      </c>
      <c r="D9" s="9">
        <v>82.790748596191406</v>
      </c>
      <c r="E9" s="9">
        <v>0.25</v>
      </c>
      <c r="F9" s="9">
        <v>14</v>
      </c>
      <c r="G9" s="9">
        <v>0.94999998807907104</v>
      </c>
      <c r="H9" s="9">
        <v>1.785714365541935E-2</v>
      </c>
      <c r="I9">
        <v>15</v>
      </c>
      <c r="J9"/>
    </row>
    <row r="10" spans="1:10" ht="15" customHeight="1" x14ac:dyDescent="0.15">
      <c r="A10" s="143">
        <v>9</v>
      </c>
      <c r="B10" s="143" t="s">
        <v>200</v>
      </c>
      <c r="C10" s="8">
        <v>2</v>
      </c>
      <c r="D10" s="9">
        <v>2.5</v>
      </c>
      <c r="E10" s="9">
        <v>2.2000000476837158</v>
      </c>
      <c r="F10" s="9">
        <v>15</v>
      </c>
      <c r="G10" s="9">
        <v>0.94545447826385498</v>
      </c>
      <c r="H10" s="9">
        <v>0.14666667580604553</v>
      </c>
      <c r="I10">
        <v>1</v>
      </c>
      <c r="J10"/>
    </row>
    <row r="11" spans="1:10" ht="15" customHeight="1" x14ac:dyDescent="0.15">
      <c r="A11" s="144">
        <v>10</v>
      </c>
      <c r="B11" s="144" t="s">
        <v>201</v>
      </c>
      <c r="C11" s="8">
        <v>2.5216047763824463</v>
      </c>
      <c r="D11" s="9">
        <v>2.2000000476837158</v>
      </c>
      <c r="E11" s="9">
        <v>5.5</v>
      </c>
      <c r="F11" s="9">
        <v>25</v>
      </c>
      <c r="G11" s="9">
        <v>0.64384037256240845</v>
      </c>
      <c r="H11" s="9">
        <v>0.2199999988079071</v>
      </c>
      <c r="I11">
        <v>0.30000001192092896</v>
      </c>
      <c r="J11"/>
    </row>
    <row r="12" spans="1:10" ht="15" customHeight="1" x14ac:dyDescent="0.15">
      <c r="A12" s="145">
        <v>11</v>
      </c>
      <c r="B12" s="145" t="s">
        <v>202</v>
      </c>
      <c r="C12" s="8">
        <v>2.7777779102325439</v>
      </c>
      <c r="D12" s="9">
        <v>1.8999999761581421</v>
      </c>
      <c r="E12" s="9">
        <v>5.4000000953674316</v>
      </c>
      <c r="F12" s="9">
        <v>20</v>
      </c>
      <c r="G12" s="9">
        <v>0.65335029363632202</v>
      </c>
      <c r="H12" s="9">
        <v>0.27000001072883606</v>
      </c>
      <c r="I12">
        <v>0</v>
      </c>
      <c r="J12"/>
    </row>
    <row r="13" spans="1:10" ht="15" customHeight="1" x14ac:dyDescent="0.15">
      <c r="A13" s="146">
        <v>12</v>
      </c>
      <c r="B13" s="146" t="s">
        <v>203</v>
      </c>
      <c r="C13" s="8">
        <v>3.3486111164093018</v>
      </c>
      <c r="D13" s="9">
        <v>1.2999999523162842</v>
      </c>
      <c r="E13" s="9">
        <v>2.2999999523162842</v>
      </c>
      <c r="F13" s="9">
        <v>13</v>
      </c>
      <c r="G13" s="9">
        <v>0.88099914789199829</v>
      </c>
      <c r="H13" s="9">
        <v>0.17692306637763977</v>
      </c>
      <c r="I13">
        <v>0.5</v>
      </c>
      <c r="J13"/>
    </row>
    <row r="14" spans="1:10" ht="15" customHeight="1" x14ac:dyDescent="0.15">
      <c r="A14" s="147">
        <v>13</v>
      </c>
      <c r="B14" s="147" t="s">
        <v>204</v>
      </c>
      <c r="C14" s="8">
        <v>3.102623462677002</v>
      </c>
      <c r="D14" s="9">
        <v>2</v>
      </c>
      <c r="E14" s="9">
        <v>3</v>
      </c>
      <c r="F14" s="9">
        <v>8</v>
      </c>
      <c r="G14" s="9">
        <v>0.86306244134902954</v>
      </c>
      <c r="H14" s="9">
        <v>0.375</v>
      </c>
      <c r="I14">
        <v>0</v>
      </c>
      <c r="J14"/>
    </row>
    <row r="15" spans="1:10" ht="15" customHeight="1" x14ac:dyDescent="0.15">
      <c r="A15" s="148">
        <v>14</v>
      </c>
      <c r="B15" s="148" t="s">
        <v>205</v>
      </c>
      <c r="C15" s="8">
        <v>3.494706392288208</v>
      </c>
      <c r="D15" s="9">
        <v>3.2000000476837158</v>
      </c>
      <c r="E15" s="9">
        <v>0.80000001192092896</v>
      </c>
      <c r="F15" s="9">
        <v>4</v>
      </c>
      <c r="G15" s="9">
        <v>0.84034407138824463</v>
      </c>
      <c r="H15" s="9">
        <v>0.20000000298023224</v>
      </c>
      <c r="I15">
        <v>0.80000001192092896</v>
      </c>
      <c r="J15"/>
    </row>
    <row r="16" spans="1:10" ht="15" customHeight="1" x14ac:dyDescent="0.15">
      <c r="A16" s="149">
        <v>15</v>
      </c>
      <c r="B16" s="149" t="s">
        <v>206</v>
      </c>
      <c r="C16" s="8">
        <v>3.9953882694244385</v>
      </c>
      <c r="D16" s="9">
        <v>0.69999998807907104</v>
      </c>
      <c r="E16" s="9">
        <v>0.69999998807907104</v>
      </c>
      <c r="F16" s="9">
        <v>4</v>
      </c>
      <c r="G16" s="9">
        <v>0.64712989330291748</v>
      </c>
      <c r="H16" s="9">
        <v>0.17499999701976776</v>
      </c>
      <c r="I16">
        <v>0.10000000149011612</v>
      </c>
      <c r="J16"/>
    </row>
    <row r="17" spans="1:10" ht="15" customHeight="1" x14ac:dyDescent="0.15">
      <c r="A17" s="150">
        <v>16</v>
      </c>
      <c r="B17" s="150" t="s">
        <v>207</v>
      </c>
      <c r="C17" s="8">
        <v>2</v>
      </c>
      <c r="D17" s="9">
        <v>0.89999997615814209</v>
      </c>
      <c r="E17" s="9">
        <v>6.1999998092651367</v>
      </c>
      <c r="F17" s="9">
        <v>30</v>
      </c>
      <c r="G17" s="9">
        <v>0.85531079769134521</v>
      </c>
      <c r="H17" s="9">
        <v>0.20666666328907013</v>
      </c>
      <c r="I17">
        <v>0</v>
      </c>
      <c r="J17"/>
    </row>
    <row r="18" spans="1:10" ht="15" customHeight="1" x14ac:dyDescent="0.15">
      <c r="A18" s="151">
        <v>17</v>
      </c>
      <c r="B18" s="151" t="s">
        <v>208</v>
      </c>
      <c r="C18" s="8">
        <v>2.9572641849517822</v>
      </c>
      <c r="D18" s="9">
        <v>0.32400000095367432</v>
      </c>
      <c r="E18" s="9">
        <v>0.34999999403953552</v>
      </c>
      <c r="F18" s="9">
        <v>50</v>
      </c>
      <c r="G18" s="9">
        <v>0.94999998807907104</v>
      </c>
      <c r="H18" s="9">
        <v>6.99999975040555E-3</v>
      </c>
      <c r="I18">
        <v>0</v>
      </c>
      <c r="J18"/>
    </row>
    <row r="19" spans="1:10" ht="15" customHeight="1" x14ac:dyDescent="0.15">
      <c r="A19" s="152">
        <v>18</v>
      </c>
      <c r="B19" s="152" t="s">
        <v>209</v>
      </c>
      <c r="C19" s="8">
        <v>3.1765048503875732</v>
      </c>
      <c r="D19" s="9">
        <v>0.36000001430511475</v>
      </c>
      <c r="E19" s="9">
        <v>0.30000001192092896</v>
      </c>
      <c r="F19" s="9">
        <v>60</v>
      </c>
      <c r="G19" s="9">
        <v>0.94999992847442627</v>
      </c>
      <c r="H19" s="9">
        <v>5.0000003539025784E-3</v>
      </c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1</v>
      </c>
      <c r="D20" s="9">
        <v>1</v>
      </c>
      <c r="E20" s="10"/>
      <c r="F20" s="10"/>
      <c r="G20" s="9">
        <v>0.8750883936882019</v>
      </c>
      <c r="H20" s="10"/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1</v>
      </c>
      <c r="D21" s="9">
        <v>5</v>
      </c>
      <c r="E21" s="10"/>
      <c r="F21" s="10"/>
      <c r="G21" s="7">
        <v>0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2.0788564682006836</v>
      </c>
      <c r="D22" s="10"/>
      <c r="E22" s="10"/>
      <c r="F22" s="10"/>
      <c r="G22" s="10"/>
      <c r="H22" s="10"/>
      <c r="I22">
        <v>268.29998779296875</v>
      </c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3" bestFit="1" customWidth="1"/>
    <col min="2" max="4" width="9.5" style="73" bestFit="1" customWidth="1"/>
    <col min="5" max="7" width="9" style="73" bestFit="1" customWidth="1"/>
    <col min="8" max="16" width="12.6640625" style="73" bestFit="1" customWidth="1"/>
    <col min="17" max="17" width="12.33203125" style="73" bestFit="1" customWidth="1"/>
    <col min="18" max="18" width="8.83203125" style="73"/>
    <col min="19" max="21" width="9.33203125" style="73" bestFit="1" customWidth="1"/>
    <col min="22" max="23" width="8.83203125" style="73"/>
    <col min="24" max="24" width="9.33203125" style="73" bestFit="1" customWidth="1"/>
    <col min="25" max="27" width="8.83203125" style="73"/>
    <col min="28" max="58" width="9" style="73" bestFit="1" customWidth="1"/>
    <col min="59" max="59" width="12.33203125" style="73" bestFit="1" customWidth="1"/>
    <col min="60" max="60" width="9" style="73" bestFit="1" customWidth="1"/>
    <col min="61" max="61" width="11.33203125" style="73" bestFit="1" customWidth="1"/>
    <col min="62" max="77" width="9" style="73" bestFit="1" customWidth="1"/>
    <col min="78" max="78" width="12.33203125" style="73" bestFit="1" customWidth="1"/>
    <col min="79" max="79" width="9" style="73" bestFit="1" customWidth="1"/>
    <col min="80" max="80" width="12.33203125" style="73" bestFit="1" customWidth="1"/>
    <col min="81" max="107" width="9" style="73" bestFit="1" customWidth="1"/>
    <col min="108" max="108" width="11.33203125" style="73" bestFit="1" customWidth="1"/>
    <col min="109" max="124" width="9" style="73" bestFit="1" customWidth="1"/>
    <col min="125" max="125" width="10.33203125" style="73" bestFit="1" customWidth="1"/>
    <col min="126" max="129" width="9.33203125" style="73" bestFit="1" customWidth="1"/>
    <col min="130" max="130" width="9" style="73" bestFit="1" customWidth="1"/>
    <col min="131" max="134" width="9.33203125" style="73" bestFit="1" customWidth="1"/>
    <col min="135" max="165" width="9" style="73" bestFit="1" customWidth="1"/>
    <col min="166" max="166" width="12.33203125" style="73" bestFit="1" customWidth="1"/>
    <col min="167" max="170" width="9" style="73" bestFit="1" customWidth="1"/>
    <col min="171" max="176" width="8.83203125" style="73"/>
    <col min="177" max="177" width="13.83203125" style="73" bestFit="1" customWidth="1"/>
    <col min="178" max="16384" width="8.83203125" style="7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0.15000000596046448</v>
      </c>
      <c r="C2">
        <v>4.5418322086334229E-2</v>
      </c>
      <c r="D2" s="183">
        <v>1.9230769947171211E-2</v>
      </c>
      <c r="E2"/>
      <c r="F2"/>
      <c r="G2"/>
      <c r="H2"/>
      <c r="I2"/>
      <c r="J2"/>
      <c r="K2"/>
      <c r="L2" s="217">
        <v>8.0243341624736786E-2</v>
      </c>
      <c r="M2" s="19">
        <v>2.884615445509553E-3</v>
      </c>
      <c r="N2"/>
      <c r="O2"/>
      <c r="P2"/>
      <c r="Q2"/>
      <c r="R2"/>
      <c r="S2"/>
      <c r="T2" s="15">
        <v>2.0769231487065554E-3</v>
      </c>
      <c r="U2" s="11">
        <v>6.2540813814848661E-5</v>
      </c>
      <c r="V2" s="11">
        <v>8.3497550804167986E-5</v>
      </c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185</v>
      </c>
      <c r="C3">
        <v>92.30859375</v>
      </c>
      <c r="D3"/>
      <c r="E3"/>
      <c r="F3"/>
      <c r="G3" s="216">
        <v>49.21875</v>
      </c>
      <c r="H3" s="197">
        <v>19.47265625</v>
      </c>
      <c r="I3"/>
      <c r="J3"/>
      <c r="K3" s="215">
        <v>21.5234375</v>
      </c>
      <c r="L3"/>
      <c r="M3"/>
      <c r="N3" s="20">
        <v>1.2890626192092896</v>
      </c>
      <c r="O3" s="21">
        <v>1.1875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100</v>
      </c>
      <c r="C4">
        <v>26.380002975463867</v>
      </c>
      <c r="D4"/>
      <c r="E4"/>
      <c r="F4"/>
      <c r="G4" s="213">
        <v>30</v>
      </c>
      <c r="H4" s="184">
        <v>16.616666793823242</v>
      </c>
      <c r="I4"/>
      <c r="J4"/>
      <c r="K4"/>
      <c r="L4"/>
      <c r="M4"/>
      <c r="N4" s="13">
        <v>3.6666667461395264</v>
      </c>
      <c r="O4" s="211">
        <v>17.733331680297852</v>
      </c>
      <c r="P4" s="62">
        <v>5.0699996948242188</v>
      </c>
      <c r="Q4" s="21">
        <v>0.53333336114883423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12</v>
      </c>
      <c r="C5">
        <v>1.1653017997741699</v>
      </c>
      <c r="D5"/>
      <c r="E5"/>
      <c r="F5"/>
      <c r="G5"/>
      <c r="H5" s="214">
        <v>5</v>
      </c>
      <c r="I5" s="23">
        <v>0.42126375436782837</v>
      </c>
      <c r="J5" s="200">
        <v>1.654964804649353</v>
      </c>
      <c r="K5"/>
      <c r="L5"/>
      <c r="M5"/>
      <c r="N5" s="210">
        <v>1.9307923316955566</v>
      </c>
      <c r="O5"/>
      <c r="P5" s="59">
        <v>0.25426280498504639</v>
      </c>
      <c r="Q5" s="66">
        <v>1.1233700513839722</v>
      </c>
      <c r="R5" s="17">
        <v>0.21825478971004486</v>
      </c>
      <c r="S5" s="14">
        <v>1.4042126014828682E-2</v>
      </c>
      <c r="T5"/>
      <c r="U5"/>
      <c r="V5" s="17">
        <v>0.21774686872959137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</v>
      </c>
      <c r="C6">
        <v>0.17714282870292664</v>
      </c>
      <c r="D6"/>
      <c r="E6"/>
      <c r="F6"/>
      <c r="G6"/>
      <c r="H6"/>
      <c r="I6"/>
      <c r="J6" s="194">
        <v>0.26190477609634399</v>
      </c>
      <c r="K6"/>
      <c r="L6"/>
      <c r="M6"/>
      <c r="N6"/>
      <c r="O6"/>
      <c r="P6"/>
      <c r="Q6"/>
      <c r="R6" s="188">
        <v>6.0952387750148773E-2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</v>
      </c>
      <c r="C7">
        <v>0.46596240997314453</v>
      </c>
      <c r="D7" s="129">
        <v>0.24000000953674316</v>
      </c>
      <c r="E7"/>
      <c r="F7"/>
      <c r="G7"/>
      <c r="H7"/>
      <c r="I7"/>
      <c r="J7" s="192">
        <v>0.2199999988079071</v>
      </c>
      <c r="K7"/>
      <c r="L7"/>
      <c r="M7"/>
      <c r="N7"/>
      <c r="O7"/>
      <c r="P7"/>
      <c r="Q7"/>
      <c r="R7" s="201">
        <v>0.81920003890991211</v>
      </c>
      <c r="S7" s="190">
        <v>0.16800001263618469</v>
      </c>
      <c r="T7"/>
      <c r="U7"/>
      <c r="V7" s="18">
        <v>8.6837455630302429E-2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5.5</v>
      </c>
      <c r="C8">
        <v>1.8654532432556152</v>
      </c>
      <c r="D8"/>
      <c r="E8"/>
      <c r="F8"/>
      <c r="G8"/>
      <c r="H8"/>
      <c r="I8"/>
      <c r="J8" s="212">
        <v>1.8586207628250122</v>
      </c>
      <c r="K8"/>
      <c r="L8"/>
      <c r="M8"/>
      <c r="N8"/>
      <c r="O8"/>
      <c r="P8"/>
      <c r="Q8" s="132">
        <v>0.16551724076271057</v>
      </c>
      <c r="R8" s="60">
        <v>0.22951726615428925</v>
      </c>
      <c r="S8" s="12">
        <v>1.9310344010591507E-2</v>
      </c>
      <c r="T8"/>
      <c r="U8" s="208">
        <v>0.62795430421829224</v>
      </c>
      <c r="V8" s="209">
        <v>0.73362678289413452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0.25</v>
      </c>
      <c r="C9">
        <v>1.2500002980232239E-2</v>
      </c>
      <c r="D9" s="133">
        <v>0.18117965757846832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 s="98">
        <v>4.3209351599216461E-2</v>
      </c>
      <c r="V9" s="193">
        <v>1.3110984116792679E-2</v>
      </c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2.2000000476837158</v>
      </c>
      <c r="C10">
        <v>0.12000015377998352</v>
      </c>
      <c r="D10" s="99">
        <v>0.40000000596046448</v>
      </c>
      <c r="E10"/>
      <c r="F10"/>
      <c r="G10"/>
      <c r="H10"/>
      <c r="I10" s="206">
        <v>1.6799999475479126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5.5</v>
      </c>
      <c r="C11">
        <v>1.9588779211044312</v>
      </c>
      <c r="D11" s="22">
        <v>0.13636364042758942</v>
      </c>
      <c r="E11"/>
      <c r="F11"/>
      <c r="G11"/>
      <c r="H11"/>
      <c r="I11"/>
      <c r="J11" s="200">
        <v>0.75</v>
      </c>
      <c r="K11"/>
      <c r="L11"/>
      <c r="M11"/>
      <c r="N11"/>
      <c r="O11"/>
      <c r="P11" s="203">
        <v>1.1522727012634277</v>
      </c>
      <c r="Q11" s="97">
        <v>0.36363637447357178</v>
      </c>
      <c r="R11" s="197">
        <v>0.58181822299957275</v>
      </c>
      <c r="S11" s="16">
        <v>6.3636362552642822E-2</v>
      </c>
      <c r="T11"/>
      <c r="U11"/>
      <c r="V11" s="196">
        <v>0.49339461326599121</v>
      </c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5.4000000953674316</v>
      </c>
      <c r="C12">
        <v>1.87190842628479</v>
      </c>
      <c r="D12"/>
      <c r="E12"/>
      <c r="F12"/>
      <c r="G12"/>
      <c r="H12"/>
      <c r="I12"/>
      <c r="J12" s="193">
        <v>0.28947368264198303</v>
      </c>
      <c r="K12"/>
      <c r="L12"/>
      <c r="M12"/>
      <c r="N12"/>
      <c r="O12"/>
      <c r="P12" s="207">
        <v>2.2236840724945068</v>
      </c>
      <c r="Q12"/>
      <c r="R12" s="61">
        <v>0.3368421196937561</v>
      </c>
      <c r="S12" s="60">
        <v>0.22105264663696289</v>
      </c>
      <c r="T12"/>
      <c r="U12"/>
      <c r="V12" s="190">
        <v>0.45703926682472229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2.2999999523162842</v>
      </c>
      <c r="C13">
        <v>0.27370196580886841</v>
      </c>
      <c r="D13" s="184">
        <v>0.38461539149284363</v>
      </c>
      <c r="E13"/>
      <c r="F13"/>
      <c r="G13"/>
      <c r="H13"/>
      <c r="I13"/>
      <c r="J13"/>
      <c r="K13"/>
      <c r="L13"/>
      <c r="M13"/>
      <c r="N13"/>
      <c r="O13"/>
      <c r="P13"/>
      <c r="Q13"/>
      <c r="R13" s="198">
        <v>0.9846155047416687</v>
      </c>
      <c r="S13" s="68">
        <v>0.32307693362236023</v>
      </c>
      <c r="T13"/>
      <c r="U13"/>
      <c r="V13" s="191">
        <v>0.33399024605751038</v>
      </c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3</v>
      </c>
      <c r="C14">
        <v>0.41081267595291138</v>
      </c>
      <c r="D14"/>
      <c r="E14"/>
      <c r="F14"/>
      <c r="G14"/>
      <c r="H14"/>
      <c r="I14"/>
      <c r="J14" s="205">
        <v>1.375</v>
      </c>
      <c r="K14"/>
      <c r="L14"/>
      <c r="M14"/>
      <c r="N14"/>
      <c r="O14"/>
      <c r="P14"/>
      <c r="Q14"/>
      <c r="R14" s="199">
        <v>0.64000004529953003</v>
      </c>
      <c r="S14" s="24">
        <v>0.14000000059604645</v>
      </c>
      <c r="T14"/>
      <c r="U14"/>
      <c r="V14" s="191">
        <v>0.43418729305267334</v>
      </c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0.80000001192092896</v>
      </c>
      <c r="C15">
        <v>0.12772475183010101</v>
      </c>
      <c r="D15" s="185">
        <v>0.25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 s="195">
        <v>0.21875</v>
      </c>
      <c r="T15"/>
      <c r="U15"/>
      <c r="V15" s="134">
        <v>0.20352527499198914</v>
      </c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0.69999998807907104</v>
      </c>
      <c r="C16">
        <v>0.24700906872749329</v>
      </c>
      <c r="D16" s="186">
        <v>0.1428571492433548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 s="189">
        <v>0.31013378500938416</v>
      </c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6.1999998092651367</v>
      </c>
      <c r="C17">
        <v>0.89707303047180176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 s="204">
        <v>2.890775203704834</v>
      </c>
      <c r="V17" s="202">
        <v>2.412151575088501</v>
      </c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0.34999999403953552</v>
      </c>
      <c r="C18">
        <v>1.7500003799796104E-2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87">
        <v>0.33249998092651367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0.30000001192092896</v>
      </c>
      <c r="C19">
        <v>1.5000022016465664E-2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 s="187">
        <v>0.28499999642372131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/>
      <c r="C20">
        <v>0.8750883936882019</v>
      </c>
      <c r="D20"/>
      <c r="E20"/>
      <c r="F20"/>
      <c r="G20" s="9">
        <v>90</v>
      </c>
      <c r="H20" s="9">
        <v>299.10000610351562</v>
      </c>
      <c r="I20"/>
      <c r="J20" s="9">
        <v>5.5</v>
      </c>
      <c r="K20" s="9">
        <v>1239.75</v>
      </c>
      <c r="L20" s="9">
        <v>115.90705108642578</v>
      </c>
      <c r="M20"/>
      <c r="N20" s="9">
        <v>22</v>
      </c>
      <c r="O20" s="9">
        <v>3.7999999523162842</v>
      </c>
      <c r="P20"/>
      <c r="Q20" s="9">
        <v>0.80000001192092896</v>
      </c>
      <c r="R20" s="9">
        <v>0.64000004529953003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2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2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75" t="s">
        <v>192</v>
      </c>
      <c r="E5">
        <v>4</v>
      </c>
      <c r="F5">
        <v>2.2999999999999998</v>
      </c>
      <c r="G5">
        <v>4</v>
      </c>
      <c r="H5" s="176" t="s">
        <v>192</v>
      </c>
      <c r="J5" s="52"/>
      <c r="K5" s="53"/>
    </row>
    <row r="6" spans="1:12" ht="14" thickBot="1" x14ac:dyDescent="0.2">
      <c r="A6" s="36" t="s">
        <v>121</v>
      </c>
      <c r="D6" s="175" t="s">
        <v>193</v>
      </c>
      <c r="E6">
        <v>5</v>
      </c>
      <c r="F6">
        <v>2</v>
      </c>
      <c r="G6">
        <v>5</v>
      </c>
      <c r="H6" s="176" t="s">
        <v>193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75" t="s">
        <v>194</v>
      </c>
      <c r="E7">
        <v>6</v>
      </c>
      <c r="F7">
        <v>3.11</v>
      </c>
      <c r="G7">
        <v>6</v>
      </c>
      <c r="H7" s="176" t="s">
        <v>194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75" t="s">
        <v>195</v>
      </c>
      <c r="E8">
        <v>7</v>
      </c>
      <c r="F8">
        <v>3.21</v>
      </c>
      <c r="G8">
        <v>7</v>
      </c>
      <c r="H8" s="176" t="s">
        <v>195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75" t="s">
        <v>196</v>
      </c>
      <c r="E9">
        <v>8</v>
      </c>
      <c r="F9">
        <v>3.21</v>
      </c>
      <c r="G9">
        <v>8</v>
      </c>
      <c r="H9" s="176" t="s">
        <v>196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75" t="s">
        <v>197</v>
      </c>
      <c r="E10">
        <v>9</v>
      </c>
      <c r="F10">
        <v>3.21</v>
      </c>
      <c r="G10">
        <v>9</v>
      </c>
      <c r="H10" s="176" t="s">
        <v>197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75" t="s">
        <v>198</v>
      </c>
      <c r="E11">
        <v>10</v>
      </c>
      <c r="F11">
        <v>3.21</v>
      </c>
      <c r="G11">
        <v>10</v>
      </c>
      <c r="H11" s="176" t="s">
        <v>198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75" t="s">
        <v>199</v>
      </c>
      <c r="E12">
        <v>11</v>
      </c>
      <c r="F12">
        <v>3.21</v>
      </c>
      <c r="G12">
        <v>11</v>
      </c>
      <c r="H12" s="176" t="s">
        <v>199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75" t="s">
        <v>200</v>
      </c>
      <c r="E13">
        <v>12</v>
      </c>
      <c r="F13">
        <v>3.21</v>
      </c>
      <c r="G13">
        <v>12</v>
      </c>
      <c r="H13" s="176" t="s">
        <v>200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75" t="s">
        <v>201</v>
      </c>
      <c r="E14">
        <v>13</v>
      </c>
      <c r="F14">
        <v>3</v>
      </c>
      <c r="G14">
        <v>13</v>
      </c>
      <c r="H14" s="176" t="s">
        <v>201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75" t="s">
        <v>202</v>
      </c>
      <c r="E15">
        <v>14</v>
      </c>
      <c r="F15">
        <v>3.12</v>
      </c>
      <c r="G15">
        <v>14</v>
      </c>
      <c r="H15" s="176" t="s">
        <v>202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75" t="s">
        <v>203</v>
      </c>
      <c r="E16">
        <v>15</v>
      </c>
      <c r="F16">
        <v>3.12</v>
      </c>
      <c r="G16">
        <v>15</v>
      </c>
      <c r="H16" s="176" t="s">
        <v>203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75" t="s">
        <v>204</v>
      </c>
      <c r="E17">
        <v>16</v>
      </c>
      <c r="F17">
        <v>3.22</v>
      </c>
      <c r="G17">
        <v>16</v>
      </c>
      <c r="H17" s="176" t="s">
        <v>204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75" t="s">
        <v>205</v>
      </c>
      <c r="E18">
        <v>17</v>
      </c>
      <c r="F18">
        <v>3.22</v>
      </c>
      <c r="G18">
        <v>17</v>
      </c>
      <c r="H18" s="176" t="s">
        <v>205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75" t="s">
        <v>206</v>
      </c>
      <c r="E19">
        <v>18</v>
      </c>
      <c r="F19">
        <v>3</v>
      </c>
      <c r="G19">
        <v>18</v>
      </c>
      <c r="H19" s="176" t="s">
        <v>206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75" t="s">
        <v>207</v>
      </c>
      <c r="E20">
        <v>19</v>
      </c>
      <c r="F20">
        <v>3</v>
      </c>
      <c r="G20">
        <v>19</v>
      </c>
      <c r="H20" s="176" t="s">
        <v>207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75" t="s">
        <v>208</v>
      </c>
      <c r="E21">
        <v>20</v>
      </c>
      <c r="F21">
        <v>3.13</v>
      </c>
      <c r="G21">
        <v>20</v>
      </c>
      <c r="H21" s="176" t="s">
        <v>208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75" t="s">
        <v>209</v>
      </c>
      <c r="E22">
        <v>21</v>
      </c>
      <c r="F22">
        <v>3.13</v>
      </c>
      <c r="G22">
        <v>21</v>
      </c>
      <c r="H22" s="176" t="s">
        <v>209</v>
      </c>
    </row>
    <row r="23" spans="1:12" x14ac:dyDescent="0.15">
      <c r="A23" s="31" t="s">
        <v>129</v>
      </c>
      <c r="B23" s="39">
        <v>4</v>
      </c>
      <c r="C23" s="33"/>
      <c r="D23" s="175" t="s">
        <v>210</v>
      </c>
      <c r="E23">
        <v>22</v>
      </c>
      <c r="F23">
        <v>4.0999999999999996</v>
      </c>
      <c r="G23">
        <v>22</v>
      </c>
      <c r="H23" s="176" t="s">
        <v>210</v>
      </c>
    </row>
    <row r="24" spans="1:12" x14ac:dyDescent="0.15">
      <c r="A24" s="31" t="s">
        <v>122</v>
      </c>
      <c r="B24" s="39">
        <v>4.0999999999999996</v>
      </c>
      <c r="C24" s="33"/>
      <c r="D24" s="175" t="s">
        <v>211</v>
      </c>
      <c r="E24">
        <v>23</v>
      </c>
      <c r="F24">
        <v>4.3</v>
      </c>
      <c r="G24">
        <v>23</v>
      </c>
      <c r="H24" s="176" t="s">
        <v>211</v>
      </c>
    </row>
    <row r="25" spans="1:12" x14ac:dyDescent="0.15">
      <c r="A25" s="31" t="s">
        <v>70</v>
      </c>
      <c r="B25" s="39">
        <v>4.2</v>
      </c>
      <c r="C25" s="33"/>
      <c r="D25" s="175" t="s">
        <v>212</v>
      </c>
      <c r="E25">
        <v>24</v>
      </c>
      <c r="F25">
        <v>5</v>
      </c>
      <c r="G25">
        <v>24</v>
      </c>
      <c r="H25" s="176" t="s">
        <v>212</v>
      </c>
    </row>
    <row r="26" spans="1:12" x14ac:dyDescent="0.15">
      <c r="A26" s="31" t="s">
        <v>123</v>
      </c>
      <c r="B26" s="39">
        <v>4.3</v>
      </c>
      <c r="C26" s="33"/>
      <c r="D26" s="175" t="s">
        <v>138</v>
      </c>
      <c r="E26">
        <v>25</v>
      </c>
      <c r="F26">
        <v>6.1</v>
      </c>
      <c r="G26">
        <v>25</v>
      </c>
      <c r="H26" s="176" t="s">
        <v>138</v>
      </c>
    </row>
    <row r="27" spans="1:12" x14ac:dyDescent="0.15">
      <c r="A27" s="31" t="s">
        <v>125</v>
      </c>
      <c r="B27" s="39">
        <v>6.1</v>
      </c>
      <c r="D27" s="175" t="s">
        <v>45</v>
      </c>
      <c r="E27">
        <v>26</v>
      </c>
      <c r="F27">
        <v>6.2</v>
      </c>
      <c r="G27">
        <v>26</v>
      </c>
      <c r="H27" s="176" t="s">
        <v>45</v>
      </c>
    </row>
    <row r="28" spans="1:12" x14ac:dyDescent="0.15">
      <c r="A28" s="31" t="s">
        <v>124</v>
      </c>
      <c r="B28" s="39">
        <v>6.2</v>
      </c>
    </row>
    <row r="29" spans="1:12" x14ac:dyDescent="0.15">
      <c r="A29" s="31" t="s">
        <v>44</v>
      </c>
      <c r="B29" s="39">
        <v>5</v>
      </c>
    </row>
    <row r="30" spans="1:12" x14ac:dyDescent="0.15">
      <c r="A30" s="31" t="s">
        <v>73</v>
      </c>
      <c r="B30" s="39">
        <v>7</v>
      </c>
    </row>
    <row r="31" spans="1:12" x14ac:dyDescent="0.15">
      <c r="A31" s="31" t="s">
        <v>169</v>
      </c>
      <c r="B31" s="39">
        <v>3.14</v>
      </c>
    </row>
    <row r="32" spans="1:12" ht="12" customHeight="1" thickBot="1" x14ac:dyDescent="0.2">
      <c r="A32" s="37" t="s">
        <v>170</v>
      </c>
      <c r="B32" s="4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0.1640625" style="74" bestFit="1" customWidth="1"/>
    <col min="2" max="2" width="12.83203125" style="73" customWidth="1"/>
    <col min="3" max="3" width="10.1640625" style="73" customWidth="1"/>
    <col min="4" max="4" width="5.33203125" style="73" customWidth="1"/>
    <col min="5" max="5" width="12.83203125" style="73" customWidth="1"/>
    <col min="6" max="6" width="22.5" style="73" bestFit="1" customWidth="1"/>
    <col min="7" max="9" width="2.33203125" style="73" customWidth="1"/>
    <col min="10" max="10" width="2.33203125" style="73" bestFit="1" customWidth="1"/>
    <col min="11" max="15" width="2.33203125" style="73" customWidth="1"/>
    <col min="16" max="16" width="2.33203125" style="64" customWidth="1"/>
    <col min="17" max="17" width="2.33203125" style="73" customWidth="1"/>
    <col min="18" max="18" width="2.33203125" style="65" customWidth="1"/>
    <col min="19" max="16384" width="11.5" style="73"/>
  </cols>
  <sheetData>
    <row r="1" spans="1:23" ht="15" customHeight="1" thickBot="1" x14ac:dyDescent="0.2">
      <c r="F1" s="1"/>
      <c r="G1" s="63" t="s">
        <v>46</v>
      </c>
      <c r="H1" s="63" t="s">
        <v>47</v>
      </c>
      <c r="I1" s="63" t="s">
        <v>120</v>
      </c>
      <c r="J1" s="63" t="s">
        <v>132</v>
      </c>
      <c r="K1" s="75" t="s">
        <v>48</v>
      </c>
      <c r="L1" s="65"/>
      <c r="M1" s="75" t="s">
        <v>119</v>
      </c>
      <c r="N1" s="65"/>
      <c r="O1" s="75" t="s">
        <v>49</v>
      </c>
      <c r="P1" s="67"/>
      <c r="Q1" s="75" t="s">
        <v>50</v>
      </c>
      <c r="R1" s="63" t="s">
        <v>154</v>
      </c>
    </row>
    <row r="2" spans="1:23" ht="15" customHeight="1" x14ac:dyDescent="0.15">
      <c r="A2" s="75" t="s">
        <v>51</v>
      </c>
      <c r="B2" s="76">
        <v>0.5</v>
      </c>
      <c r="C2" s="74" t="s">
        <v>52</v>
      </c>
      <c r="D2" s="77"/>
      <c r="F2" s="1"/>
      <c r="G2" s="78"/>
      <c r="H2" s="78"/>
      <c r="I2" s="78" t="s">
        <v>133</v>
      </c>
      <c r="J2" s="78" t="s">
        <v>133</v>
      </c>
      <c r="K2" s="78" t="s">
        <v>52</v>
      </c>
      <c r="L2" s="78" t="s">
        <v>53</v>
      </c>
      <c r="M2" s="78" t="s">
        <v>52</v>
      </c>
      <c r="N2" s="78" t="s">
        <v>53</v>
      </c>
      <c r="O2" s="78" t="s">
        <v>52</v>
      </c>
      <c r="P2" s="79" t="s">
        <v>53</v>
      </c>
      <c r="Q2" s="78"/>
      <c r="R2" s="80" t="s">
        <v>155</v>
      </c>
    </row>
    <row r="3" spans="1:23" ht="15" customHeight="1" thickBot="1" x14ac:dyDescent="0.2">
      <c r="A3" s="75" t="s">
        <v>54</v>
      </c>
      <c r="B3" s="81">
        <v>0.5</v>
      </c>
      <c r="C3" s="74" t="s">
        <v>53</v>
      </c>
      <c r="D3" s="7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8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8">
        <v>0</v>
      </c>
      <c r="R4" s="101">
        <v>0</v>
      </c>
    </row>
    <row r="5" spans="1:23" ht="15" customHeight="1" x14ac:dyDescent="0.15">
      <c r="A5" s="75" t="s">
        <v>55</v>
      </c>
      <c r="B5" s="82">
        <v>0.5</v>
      </c>
      <c r="C5" s="74" t="s">
        <v>52</v>
      </c>
      <c r="D5" s="7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8">
        <v>0</v>
      </c>
      <c r="R5" s="101">
        <v>0</v>
      </c>
    </row>
    <row r="6" spans="1:23" ht="15" customHeight="1" thickBot="1" x14ac:dyDescent="0.2">
      <c r="A6" s="75"/>
      <c r="B6" s="83">
        <v>0.5</v>
      </c>
      <c r="C6" s="74" t="s">
        <v>53</v>
      </c>
      <c r="D6" s="77"/>
      <c r="F6" s="177" t="s">
        <v>192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1</v>
      </c>
      <c r="N6" s="73">
        <v>0</v>
      </c>
      <c r="O6" s="73">
        <v>0</v>
      </c>
      <c r="P6" s="64">
        <v>0</v>
      </c>
      <c r="Q6" s="73">
        <v>0</v>
      </c>
      <c r="R6" s="65">
        <v>1</v>
      </c>
      <c r="S6"/>
      <c r="T6"/>
    </row>
    <row r="7" spans="1:23" ht="15" customHeight="1" thickBot="1" x14ac:dyDescent="0.2">
      <c r="F7" s="177" t="s">
        <v>193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1</v>
      </c>
      <c r="N7" s="73">
        <v>0</v>
      </c>
      <c r="O7" s="73">
        <v>0</v>
      </c>
      <c r="P7" s="64">
        <v>0</v>
      </c>
      <c r="Q7" s="73">
        <v>0</v>
      </c>
      <c r="R7" s="65">
        <v>1</v>
      </c>
      <c r="S7"/>
      <c r="T7"/>
    </row>
    <row r="8" spans="1:23" ht="15" customHeight="1" x14ac:dyDescent="0.15">
      <c r="A8" s="75" t="s">
        <v>56</v>
      </c>
      <c r="B8" s="82">
        <v>0.62220804084237391</v>
      </c>
      <c r="C8" s="178" t="s">
        <v>192</v>
      </c>
      <c r="D8" s="77" t="s">
        <v>160</v>
      </c>
      <c r="F8" s="177" t="s">
        <v>194</v>
      </c>
      <c r="G8" s="73">
        <v>0</v>
      </c>
      <c r="H8" s="73">
        <v>0</v>
      </c>
      <c r="I8" s="73">
        <v>0</v>
      </c>
      <c r="J8" s="73">
        <v>0</v>
      </c>
      <c r="K8" s="73">
        <v>1</v>
      </c>
      <c r="L8" s="73">
        <v>0</v>
      </c>
      <c r="M8" s="73">
        <v>1</v>
      </c>
      <c r="N8" s="73">
        <v>0</v>
      </c>
      <c r="O8" s="73">
        <v>1</v>
      </c>
      <c r="P8" s="64">
        <v>0</v>
      </c>
      <c r="Q8" s="73">
        <v>0</v>
      </c>
      <c r="R8" s="65">
        <v>1</v>
      </c>
      <c r="S8"/>
      <c r="T8"/>
      <c r="W8"/>
    </row>
    <row r="9" spans="1:23" ht="15" customHeight="1" x14ac:dyDescent="0.15">
      <c r="A9" s="115" t="s">
        <v>168</v>
      </c>
      <c r="B9" s="84">
        <v>0.37779195915762603</v>
      </c>
      <c r="C9" s="178" t="s">
        <v>193</v>
      </c>
      <c r="D9" s="77" t="s">
        <v>160</v>
      </c>
      <c r="F9" s="177" t="s">
        <v>195</v>
      </c>
      <c r="G9" s="73">
        <v>0</v>
      </c>
      <c r="H9" s="73">
        <v>0</v>
      </c>
      <c r="I9" s="73">
        <v>0</v>
      </c>
      <c r="J9" s="73">
        <v>0</v>
      </c>
      <c r="K9" s="73">
        <v>1</v>
      </c>
      <c r="L9" s="73">
        <v>0</v>
      </c>
      <c r="M9" s="73">
        <v>1</v>
      </c>
      <c r="N9" s="73">
        <v>0</v>
      </c>
      <c r="O9" s="73">
        <v>1</v>
      </c>
      <c r="P9" s="64">
        <v>0</v>
      </c>
      <c r="Q9" s="73">
        <v>0</v>
      </c>
      <c r="R9" s="65">
        <v>1</v>
      </c>
      <c r="S9"/>
      <c r="T9"/>
      <c r="W9"/>
    </row>
    <row r="10" spans="1:23" ht="15" customHeight="1" x14ac:dyDescent="0.15">
      <c r="B10" s="84"/>
      <c r="C10" s="72"/>
      <c r="D10" s="77" t="s">
        <v>160</v>
      </c>
      <c r="F10" s="177" t="s">
        <v>196</v>
      </c>
      <c r="G10" s="73">
        <v>0</v>
      </c>
      <c r="H10" s="73">
        <v>0</v>
      </c>
      <c r="I10" s="73">
        <v>0</v>
      </c>
      <c r="J10" s="73">
        <v>0</v>
      </c>
      <c r="K10" s="73">
        <v>1</v>
      </c>
      <c r="L10" s="73">
        <v>0</v>
      </c>
      <c r="M10" s="73">
        <v>1</v>
      </c>
      <c r="N10" s="73">
        <v>0</v>
      </c>
      <c r="O10" s="73">
        <v>1</v>
      </c>
      <c r="P10" s="64">
        <v>0</v>
      </c>
      <c r="Q10" s="73">
        <v>0</v>
      </c>
      <c r="R10" s="65">
        <v>1</v>
      </c>
      <c r="S10"/>
      <c r="T10"/>
      <c r="W10"/>
    </row>
    <row r="11" spans="1:23" ht="15" customHeight="1" x14ac:dyDescent="0.15">
      <c r="A11" s="75"/>
      <c r="B11" s="84"/>
      <c r="C11" s="87"/>
      <c r="D11" s="77" t="s">
        <v>160</v>
      </c>
      <c r="F11" s="177" t="s">
        <v>197</v>
      </c>
      <c r="G11" s="73">
        <v>0</v>
      </c>
      <c r="H11" s="73">
        <v>0</v>
      </c>
      <c r="I11" s="73">
        <v>0</v>
      </c>
      <c r="J11" s="73">
        <v>0</v>
      </c>
      <c r="K11" s="73">
        <v>1</v>
      </c>
      <c r="L11" s="73">
        <v>0</v>
      </c>
      <c r="M11" s="73">
        <v>1</v>
      </c>
      <c r="N11" s="73">
        <v>0</v>
      </c>
      <c r="O11" s="73">
        <v>1</v>
      </c>
      <c r="P11" s="64">
        <v>0</v>
      </c>
      <c r="Q11" s="73">
        <v>0</v>
      </c>
      <c r="R11" s="65">
        <v>1</v>
      </c>
      <c r="S11"/>
      <c r="T11"/>
      <c r="W11"/>
    </row>
    <row r="12" spans="1:23" ht="15" customHeight="1" x14ac:dyDescent="0.15">
      <c r="B12" s="84"/>
      <c r="C12" s="88"/>
      <c r="D12" s="77" t="s">
        <v>160</v>
      </c>
      <c r="F12" s="177" t="s">
        <v>198</v>
      </c>
      <c r="G12" s="73">
        <v>0</v>
      </c>
      <c r="H12" s="73">
        <v>0</v>
      </c>
      <c r="I12" s="73">
        <v>0</v>
      </c>
      <c r="J12" s="73">
        <v>0</v>
      </c>
      <c r="K12" s="73">
        <v>1</v>
      </c>
      <c r="L12" s="73">
        <v>0</v>
      </c>
      <c r="M12" s="73">
        <v>1</v>
      </c>
      <c r="N12" s="73">
        <v>0</v>
      </c>
      <c r="O12" s="73">
        <v>1</v>
      </c>
      <c r="P12" s="64">
        <v>0</v>
      </c>
      <c r="Q12" s="73">
        <v>0</v>
      </c>
      <c r="R12" s="65">
        <v>1</v>
      </c>
      <c r="S12"/>
      <c r="T12"/>
      <c r="W12"/>
    </row>
    <row r="13" spans="1:23" ht="15" customHeight="1" x14ac:dyDescent="0.15">
      <c r="B13" s="84"/>
      <c r="C13" s="88"/>
      <c r="D13" s="77" t="s">
        <v>160</v>
      </c>
      <c r="F13" s="177" t="s">
        <v>199</v>
      </c>
      <c r="G13" s="73">
        <v>0</v>
      </c>
      <c r="H13" s="73">
        <v>0</v>
      </c>
      <c r="I13" s="73">
        <v>0</v>
      </c>
      <c r="J13" s="73">
        <v>0</v>
      </c>
      <c r="K13" s="73">
        <v>1</v>
      </c>
      <c r="L13" s="73">
        <v>0</v>
      </c>
      <c r="M13" s="73">
        <v>1</v>
      </c>
      <c r="N13" s="73">
        <v>0</v>
      </c>
      <c r="O13" s="73">
        <v>1</v>
      </c>
      <c r="P13" s="64">
        <v>0</v>
      </c>
      <c r="Q13" s="73">
        <v>0</v>
      </c>
      <c r="R13" s="65">
        <v>1</v>
      </c>
      <c r="S13"/>
      <c r="T13"/>
      <c r="W13"/>
    </row>
    <row r="14" spans="1:23" ht="15" customHeight="1" x14ac:dyDescent="0.15">
      <c r="B14" s="84"/>
      <c r="C14" s="72"/>
      <c r="D14" s="77" t="s">
        <v>160</v>
      </c>
      <c r="F14" s="177" t="s">
        <v>200</v>
      </c>
      <c r="G14" s="73">
        <v>0</v>
      </c>
      <c r="H14" s="73">
        <v>0</v>
      </c>
      <c r="I14" s="73">
        <v>0</v>
      </c>
      <c r="J14" s="73">
        <v>0</v>
      </c>
      <c r="K14" s="73">
        <v>1</v>
      </c>
      <c r="L14" s="73">
        <v>0</v>
      </c>
      <c r="M14" s="73">
        <v>1</v>
      </c>
      <c r="N14" s="73">
        <v>0</v>
      </c>
      <c r="O14" s="73">
        <v>1</v>
      </c>
      <c r="P14" s="64">
        <v>0</v>
      </c>
      <c r="Q14" s="73">
        <v>0</v>
      </c>
      <c r="R14" s="65">
        <v>1</v>
      </c>
      <c r="S14"/>
      <c r="T14"/>
      <c r="W14"/>
    </row>
    <row r="15" spans="1:23" ht="15" customHeight="1" x14ac:dyDescent="0.15">
      <c r="B15" s="84"/>
      <c r="C15" s="72"/>
      <c r="D15" s="77" t="s">
        <v>160</v>
      </c>
      <c r="F15" s="177" t="s">
        <v>201</v>
      </c>
      <c r="G15" s="73">
        <v>0</v>
      </c>
      <c r="H15" s="73">
        <v>0</v>
      </c>
      <c r="I15" s="73">
        <v>0</v>
      </c>
      <c r="J15" s="73">
        <v>0</v>
      </c>
      <c r="K15" s="73">
        <v>1</v>
      </c>
      <c r="L15" s="73">
        <v>0</v>
      </c>
      <c r="M15" s="73">
        <v>1</v>
      </c>
      <c r="N15" s="73">
        <v>0</v>
      </c>
      <c r="O15" s="73">
        <v>1</v>
      </c>
      <c r="P15" s="64">
        <v>0</v>
      </c>
      <c r="Q15" s="73">
        <v>0</v>
      </c>
      <c r="R15" s="65">
        <v>1</v>
      </c>
      <c r="S15"/>
      <c r="T15"/>
      <c r="W15"/>
    </row>
    <row r="16" spans="1:23" ht="15" customHeight="1" x14ac:dyDescent="0.15">
      <c r="B16" s="84"/>
      <c r="C16" s="72"/>
      <c r="D16" s="77" t="s">
        <v>160</v>
      </c>
      <c r="F16" s="177" t="s">
        <v>202</v>
      </c>
      <c r="G16" s="73">
        <v>0</v>
      </c>
      <c r="H16" s="73">
        <v>0</v>
      </c>
      <c r="I16" s="73">
        <v>0</v>
      </c>
      <c r="J16" s="73">
        <v>0</v>
      </c>
      <c r="K16" s="73">
        <v>1</v>
      </c>
      <c r="L16" s="73">
        <v>0</v>
      </c>
      <c r="M16" s="73">
        <v>1</v>
      </c>
      <c r="N16" s="73">
        <v>0</v>
      </c>
      <c r="O16" s="73">
        <v>1</v>
      </c>
      <c r="P16" s="64">
        <v>0</v>
      </c>
      <c r="Q16" s="73">
        <v>0</v>
      </c>
      <c r="R16" s="65">
        <v>1</v>
      </c>
      <c r="S16"/>
      <c r="T16"/>
    </row>
    <row r="17" spans="1:20" ht="15" customHeight="1" thickBot="1" x14ac:dyDescent="0.2">
      <c r="B17" s="83"/>
      <c r="C17" s="72"/>
      <c r="D17" s="77" t="s">
        <v>160</v>
      </c>
      <c r="F17" s="177" t="s">
        <v>203</v>
      </c>
      <c r="G17" s="73">
        <v>0</v>
      </c>
      <c r="H17" s="73">
        <v>0</v>
      </c>
      <c r="I17" s="73">
        <v>0</v>
      </c>
      <c r="J17" s="73">
        <v>0</v>
      </c>
      <c r="K17" s="73">
        <v>1</v>
      </c>
      <c r="L17" s="73">
        <v>0</v>
      </c>
      <c r="M17" s="73">
        <v>1</v>
      </c>
      <c r="N17" s="73">
        <v>0</v>
      </c>
      <c r="O17" s="73">
        <v>1</v>
      </c>
      <c r="P17" s="64">
        <v>0</v>
      </c>
      <c r="Q17" s="73">
        <v>0</v>
      </c>
      <c r="R17" s="65">
        <v>1</v>
      </c>
      <c r="S17"/>
      <c r="T17"/>
    </row>
    <row r="18" spans="1:20" ht="15" customHeight="1" thickBot="1" x14ac:dyDescent="0.2">
      <c r="B18" s="85"/>
      <c r="F18" s="177" t="s">
        <v>204</v>
      </c>
      <c r="G18" s="73">
        <v>0</v>
      </c>
      <c r="H18" s="73">
        <v>0</v>
      </c>
      <c r="I18" s="73">
        <v>0</v>
      </c>
      <c r="J18" s="73">
        <v>0</v>
      </c>
      <c r="K18" s="73">
        <v>1</v>
      </c>
      <c r="L18" s="73">
        <v>0</v>
      </c>
      <c r="M18" s="73">
        <v>1</v>
      </c>
      <c r="N18" s="73">
        <v>0</v>
      </c>
      <c r="O18" s="73">
        <v>1</v>
      </c>
      <c r="P18" s="64">
        <v>0</v>
      </c>
      <c r="Q18" s="73">
        <v>0</v>
      </c>
      <c r="R18" s="65">
        <v>1</v>
      </c>
      <c r="S18"/>
      <c r="T18"/>
    </row>
    <row r="19" spans="1:20" ht="15" customHeight="1" x14ac:dyDescent="0.15">
      <c r="A19" s="75" t="s">
        <v>57</v>
      </c>
      <c r="B19" s="82">
        <v>0.62220804084237391</v>
      </c>
      <c r="C19" s="179" t="s">
        <v>192</v>
      </c>
      <c r="D19" s="77" t="s">
        <v>160</v>
      </c>
      <c r="F19" s="177" t="s">
        <v>205</v>
      </c>
      <c r="G19" s="73">
        <v>0</v>
      </c>
      <c r="H19" s="73">
        <v>0</v>
      </c>
      <c r="I19" s="73">
        <v>0</v>
      </c>
      <c r="J19" s="73">
        <v>0</v>
      </c>
      <c r="K19" s="73">
        <v>1</v>
      </c>
      <c r="L19" s="73">
        <v>0</v>
      </c>
      <c r="M19" s="73">
        <v>1</v>
      </c>
      <c r="N19" s="73">
        <v>0</v>
      </c>
      <c r="O19" s="73">
        <v>1</v>
      </c>
      <c r="P19" s="64">
        <v>0</v>
      </c>
      <c r="Q19" s="73">
        <v>0</v>
      </c>
      <c r="R19" s="65">
        <v>1</v>
      </c>
      <c r="S19"/>
      <c r="T19"/>
    </row>
    <row r="20" spans="1:20" ht="15" customHeight="1" x14ac:dyDescent="0.15">
      <c r="A20" s="115" t="s">
        <v>168</v>
      </c>
      <c r="B20" s="84">
        <v>0.37779195915762603</v>
      </c>
      <c r="C20" s="179" t="s">
        <v>193</v>
      </c>
      <c r="D20" s="77" t="s">
        <v>160</v>
      </c>
      <c r="F20" s="177" t="s">
        <v>206</v>
      </c>
      <c r="G20" s="73">
        <v>0</v>
      </c>
      <c r="H20" s="73">
        <v>0</v>
      </c>
      <c r="I20" s="73">
        <v>0</v>
      </c>
      <c r="J20" s="73">
        <v>0</v>
      </c>
      <c r="K20" s="73">
        <v>1</v>
      </c>
      <c r="L20" s="73">
        <v>0</v>
      </c>
      <c r="M20" s="73">
        <v>1</v>
      </c>
      <c r="N20" s="73">
        <v>0</v>
      </c>
      <c r="O20" s="73">
        <v>1</v>
      </c>
      <c r="P20" s="64">
        <v>0</v>
      </c>
      <c r="Q20" s="73">
        <v>0</v>
      </c>
      <c r="R20" s="65">
        <v>1</v>
      </c>
      <c r="S20"/>
      <c r="T20"/>
    </row>
    <row r="21" spans="1:20" ht="15" customHeight="1" x14ac:dyDescent="0.15">
      <c r="B21" s="84"/>
      <c r="C21" s="72"/>
      <c r="D21" s="77" t="s">
        <v>160</v>
      </c>
      <c r="F21" s="177" t="s">
        <v>207</v>
      </c>
      <c r="G21" s="73">
        <v>0</v>
      </c>
      <c r="H21" s="73">
        <v>0</v>
      </c>
      <c r="I21" s="73">
        <v>0</v>
      </c>
      <c r="J21" s="73">
        <v>0</v>
      </c>
      <c r="K21" s="73">
        <v>1</v>
      </c>
      <c r="L21" s="73">
        <v>0</v>
      </c>
      <c r="M21" s="73">
        <v>1</v>
      </c>
      <c r="N21" s="73">
        <v>0</v>
      </c>
      <c r="O21" s="73">
        <v>1</v>
      </c>
      <c r="P21" s="64">
        <v>0</v>
      </c>
      <c r="Q21" s="73">
        <v>0</v>
      </c>
      <c r="R21" s="65">
        <v>1</v>
      </c>
      <c r="S21"/>
      <c r="T21"/>
    </row>
    <row r="22" spans="1:20" ht="15" customHeight="1" x14ac:dyDescent="0.15">
      <c r="A22" s="73"/>
      <c r="B22" s="84"/>
      <c r="C22" s="87"/>
      <c r="D22" s="77" t="s">
        <v>160</v>
      </c>
      <c r="F22" s="177" t="s">
        <v>208</v>
      </c>
      <c r="G22" s="73">
        <v>0</v>
      </c>
      <c r="H22" s="73">
        <v>0</v>
      </c>
      <c r="I22" s="73">
        <v>0</v>
      </c>
      <c r="J22" s="73">
        <v>0</v>
      </c>
      <c r="K22" s="73">
        <v>1</v>
      </c>
      <c r="L22" s="73">
        <v>0</v>
      </c>
      <c r="M22" s="73">
        <v>1</v>
      </c>
      <c r="N22" s="73">
        <v>0</v>
      </c>
      <c r="O22" s="73">
        <v>1</v>
      </c>
      <c r="P22" s="64">
        <v>0</v>
      </c>
      <c r="Q22" s="73">
        <v>0</v>
      </c>
      <c r="R22" s="65">
        <v>1</v>
      </c>
      <c r="S22"/>
      <c r="T22"/>
    </row>
    <row r="23" spans="1:20" ht="15" customHeight="1" x14ac:dyDescent="0.15">
      <c r="A23" s="73"/>
      <c r="B23" s="84"/>
      <c r="C23" s="88"/>
      <c r="D23" s="77" t="s">
        <v>160</v>
      </c>
      <c r="F23" s="177" t="s">
        <v>209</v>
      </c>
      <c r="G23" s="73">
        <v>0</v>
      </c>
      <c r="H23" s="73">
        <v>0</v>
      </c>
      <c r="I23" s="73">
        <v>0</v>
      </c>
      <c r="J23" s="73">
        <v>0</v>
      </c>
      <c r="K23" s="73">
        <v>1</v>
      </c>
      <c r="L23" s="73">
        <v>0</v>
      </c>
      <c r="M23" s="73">
        <v>1</v>
      </c>
      <c r="N23" s="73">
        <v>0</v>
      </c>
      <c r="O23" s="73">
        <v>1</v>
      </c>
      <c r="P23" s="64">
        <v>0</v>
      </c>
      <c r="Q23" s="73">
        <v>0</v>
      </c>
      <c r="R23" s="65">
        <v>1</v>
      </c>
      <c r="S23"/>
      <c r="T23"/>
    </row>
    <row r="24" spans="1:20" ht="15" customHeight="1" x14ac:dyDescent="0.15">
      <c r="A24" s="73"/>
      <c r="B24" s="84"/>
      <c r="C24" s="88"/>
      <c r="D24" s="77" t="s">
        <v>160</v>
      </c>
      <c r="F24" s="177" t="s">
        <v>210</v>
      </c>
      <c r="G24" s="73">
        <v>0</v>
      </c>
      <c r="H24" s="73">
        <v>0</v>
      </c>
      <c r="I24" s="73">
        <v>0</v>
      </c>
      <c r="J24" s="73">
        <v>0</v>
      </c>
      <c r="K24" s="73">
        <v>0</v>
      </c>
      <c r="L24" s="73">
        <v>1</v>
      </c>
      <c r="M24" s="73">
        <v>0</v>
      </c>
      <c r="N24" s="73">
        <v>1</v>
      </c>
      <c r="O24" s="73">
        <v>0</v>
      </c>
      <c r="P24" s="64">
        <v>1</v>
      </c>
      <c r="Q24" s="73">
        <v>0</v>
      </c>
      <c r="R24" s="65">
        <v>1</v>
      </c>
      <c r="S24"/>
      <c r="T24"/>
    </row>
    <row r="25" spans="1:20" ht="15" customHeight="1" x14ac:dyDescent="0.15">
      <c r="A25" s="73"/>
      <c r="B25" s="84"/>
      <c r="C25" s="72"/>
      <c r="D25" s="77" t="s">
        <v>160</v>
      </c>
      <c r="F25" s="177" t="s">
        <v>211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1</v>
      </c>
      <c r="M25" s="73">
        <v>0</v>
      </c>
      <c r="N25" s="73">
        <v>1</v>
      </c>
      <c r="O25" s="73">
        <v>0</v>
      </c>
      <c r="P25" s="64">
        <v>1</v>
      </c>
      <c r="Q25" s="73">
        <v>0</v>
      </c>
      <c r="R25" s="65">
        <v>1</v>
      </c>
      <c r="S25"/>
      <c r="T25"/>
    </row>
    <row r="26" spans="1:20" ht="15" customHeight="1" x14ac:dyDescent="0.15">
      <c r="B26" s="84"/>
      <c r="C26" s="72"/>
      <c r="D26" s="77" t="s">
        <v>160</v>
      </c>
      <c r="F26" s="177" t="s">
        <v>212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1</v>
      </c>
      <c r="M26" s="73">
        <v>0</v>
      </c>
      <c r="N26" s="73">
        <v>0</v>
      </c>
      <c r="O26" s="73">
        <v>0</v>
      </c>
      <c r="P26" s="64">
        <v>0</v>
      </c>
      <c r="Q26" s="73">
        <v>0</v>
      </c>
      <c r="R26" s="65">
        <v>1</v>
      </c>
      <c r="S26"/>
      <c r="T26"/>
    </row>
    <row r="27" spans="1:20" ht="15" customHeight="1" x14ac:dyDescent="0.15">
      <c r="B27" s="84"/>
      <c r="C27" s="72"/>
      <c r="D27" s="77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3"/>
      <c r="C28" s="72"/>
      <c r="D28" s="77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6"/>
      <c r="B31" s="126" t="s">
        <v>17</v>
      </c>
      <c r="C31" s="126" t="s">
        <v>1</v>
      </c>
      <c r="D31" s="126" t="s">
        <v>161</v>
      </c>
      <c r="E31" s="127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0" t="s">
        <v>192</v>
      </c>
      <c r="B32" s="85">
        <v>13000</v>
      </c>
      <c r="C32" s="85">
        <v>0.15</v>
      </c>
      <c r="D32" s="85">
        <v>1950</v>
      </c>
      <c r="E32" s="117">
        <v>0.62220804084237391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0" t="s">
        <v>193</v>
      </c>
      <c r="B33" s="85">
        <v>6.4</v>
      </c>
      <c r="C33" s="85">
        <v>185</v>
      </c>
      <c r="D33" s="85">
        <v>1184</v>
      </c>
      <c r="E33" s="117">
        <v>0.37779195915762603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8"/>
      <c r="B34" s="85"/>
      <c r="C34" s="85"/>
      <c r="D34" s="85"/>
      <c r="E34" s="11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9"/>
      <c r="B35" s="85"/>
      <c r="C35" s="85"/>
      <c r="D35" s="85"/>
      <c r="E35" s="11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0"/>
      <c r="B36" s="85"/>
      <c r="C36" s="85"/>
      <c r="D36" s="85"/>
      <c r="E36" s="11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0"/>
      <c r="B37" s="85"/>
      <c r="C37" s="85"/>
      <c r="D37" s="85"/>
      <c r="E37" s="11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1"/>
      <c r="B38" s="85"/>
      <c r="C38" s="85"/>
      <c r="D38" s="85"/>
      <c r="E38" s="11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1"/>
      <c r="B39" s="85"/>
      <c r="C39" s="85"/>
      <c r="D39" s="85"/>
      <c r="E39" s="11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1"/>
      <c r="B40" s="85"/>
      <c r="C40" s="85"/>
      <c r="D40" s="85"/>
      <c r="E40" s="11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1"/>
      <c r="B41" s="85"/>
      <c r="C41" s="85"/>
      <c r="D41" s="86"/>
      <c r="E41" s="12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3"/>
      <c r="B42" s="124"/>
      <c r="C42" s="124" t="s">
        <v>162</v>
      </c>
      <c r="D42" s="124">
        <f>SUM(D32:D41)</f>
        <v>3134</v>
      </c>
      <c r="E42" s="12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2.5" bestFit="1" customWidth="1"/>
    <col min="2" max="2" width="2.33203125" style="101" customWidth="1"/>
    <col min="3" max="5" width="7.83203125" style="101" customWidth="1"/>
    <col min="6" max="8" width="8.83203125" style="6"/>
    <col min="9" max="9" width="10.1640625" style="6" customWidth="1"/>
    <col min="10" max="10" width="22.5" style="6" customWidth="1"/>
    <col min="11" max="11" width="11.33203125" style="6" customWidth="1"/>
    <col min="12" max="12" width="13.1640625" style="6" customWidth="1"/>
    <col min="13" max="13" width="14.6640625" style="6" customWidth="1"/>
    <col min="14" max="14" width="14.5" style="6" customWidth="1"/>
    <col min="15" max="15" width="12" style="6" customWidth="1"/>
    <col min="16" max="16" width="20" style="6" customWidth="1"/>
    <col min="17" max="17" width="11.83203125" style="6" customWidth="1"/>
    <col min="18" max="18" width="8.1640625" style="6" customWidth="1"/>
    <col min="19" max="19" width="21.5" style="6" customWidth="1"/>
    <col min="20" max="21" width="19.5" style="6" customWidth="1"/>
    <col min="22" max="22" width="20" style="6" customWidth="1"/>
    <col min="23" max="23" width="12.6640625" style="6" customWidth="1"/>
    <col min="24" max="24" width="7.33203125" style="6" customWidth="1"/>
    <col min="25" max="25" width="9.5" style="6" customWidth="1"/>
    <col min="26" max="26" width="5.5" style="6" customWidth="1"/>
    <col min="27" max="27" width="7.6640625" style="6" customWidth="1"/>
    <col min="28" max="28" width="21.6640625" style="6" customWidth="1"/>
    <col min="29" max="29" width="6.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 t="s">
        <v>38</v>
      </c>
      <c r="G1" t="s">
        <v>40</v>
      </c>
      <c r="H1" t="s">
        <v>41</v>
      </c>
      <c r="I1" s="182" t="s">
        <v>192</v>
      </c>
      <c r="J1" s="182" t="s">
        <v>193</v>
      </c>
      <c r="K1" s="182" t="s">
        <v>194</v>
      </c>
      <c r="L1" s="182" t="s">
        <v>195</v>
      </c>
      <c r="M1" s="182" t="s">
        <v>196</v>
      </c>
      <c r="N1" s="182" t="s">
        <v>197</v>
      </c>
      <c r="O1" s="182" t="s">
        <v>198</v>
      </c>
      <c r="P1" s="182" t="s">
        <v>199</v>
      </c>
      <c r="Q1" s="182" t="s">
        <v>200</v>
      </c>
      <c r="R1" s="182" t="s">
        <v>201</v>
      </c>
      <c r="S1" s="182" t="s">
        <v>202</v>
      </c>
      <c r="T1" s="182" t="s">
        <v>203</v>
      </c>
      <c r="U1" s="182" t="s">
        <v>204</v>
      </c>
      <c r="V1" s="182" t="s">
        <v>205</v>
      </c>
      <c r="W1" s="182" t="s">
        <v>206</v>
      </c>
      <c r="X1" s="182" t="s">
        <v>207</v>
      </c>
      <c r="Y1" s="182" t="s">
        <v>208</v>
      </c>
      <c r="Z1" s="182" t="s">
        <v>209</v>
      </c>
      <c r="AA1" s="182" t="s">
        <v>210</v>
      </c>
      <c r="AB1" s="182" t="s">
        <v>211</v>
      </c>
      <c r="AC1" s="182" t="s">
        <v>212</v>
      </c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1" t="s">
        <v>192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1" t="s">
        <v>193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1" t="s">
        <v>194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1" t="s">
        <v>195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1" t="s">
        <v>196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1" t="s">
        <v>197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1" t="s">
        <v>198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1" t="s">
        <v>199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1" t="s">
        <v>200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1" t="s">
        <v>201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1" t="s">
        <v>202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1" t="s">
        <v>203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1" t="s">
        <v>204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1" t="s">
        <v>205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1" t="s">
        <v>206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1" t="s">
        <v>207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1" t="s">
        <v>208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1" t="s">
        <v>209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1" t="s">
        <v>210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1" t="s">
        <v>211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1" t="s">
        <v>212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2022-10-24T04:22:18Z</dcterms:modified>
</cp:coreProperties>
</file>