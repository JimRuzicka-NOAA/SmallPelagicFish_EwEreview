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9390EC95-755E-1F40-8C0C-C71A1623B7AC}" xr6:coauthVersionLast="45" xr6:coauthVersionMax="45" xr10:uidLastSave="{00000000-0000-0000-0000-000000000000}"/>
  <bookViews>
    <workbookView xWindow="0" yWindow="460" windowWidth="25600" windowHeight="14240" tabRatio="728" firstSheet="2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Main!$C$2:$N$36</definedName>
    <definedName name="matDetritus">Detritus!$C$2:$F$36</definedName>
    <definedName name="matDiet">Diets!$B$2:$AF$36</definedName>
    <definedName name="matDiscards">Discards!$C$2:$C$35</definedName>
    <definedName name="matFishery">Fishing!$C$2:$C$35</definedName>
    <definedName name="matFishing">Fishing!#REF!</definedName>
    <definedName name="matMort">Mortalities!$A$1:$AL$35</definedName>
    <definedName name="matOut">MainOutputs!$A$2:$I$36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<sst xmlns="http://schemas.openxmlformats.org/spreadsheetml/2006/main" count="1017" uniqueCount="233">
  <si>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</si>
  <si>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</si>
  <si>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</si>
  <si>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</si>
  <si>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</si>
  <si>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</si>
  <si>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</si>
  <si>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</si>
  <si>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</si>
  <si>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</si>
  <si>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</si>
  <si>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</si>
  <si>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</si>
  <si>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</si>
  <si>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</si>
  <si>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</si>
  <si>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</si>
  <si>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</si>
  <si>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</si>
  <si>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</si>
  <si>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</si>
  <si>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</si>
  <si>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</si>
  <si>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</si>
  <si>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</si>
  <si>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</si>
  <si>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</si>
  <si>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</si>
  <si>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</si>
  <si>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</si>
  <si>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</si>
  <si>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</si>
  <si>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</si>
  <si>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</si>
  <si>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</si>
  <si>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</si>
  <si>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</si>
  <si>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</si>
  <si>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</si>
  <si>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</si>
  <si>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</si>
  <si>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</si>
  <si>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</si>
  <si>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</si>
  <si>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</si>
  <si>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</si>
  <si>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</si>
  <si>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</si>
  <si>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</si>
  <si>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</si>
  <si>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</si>
  <si>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</si>
  <si>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</si>
  <si>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</si>
  <si>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</si>
  <si>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</si>
  <si>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</si>
  <si>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</si>
  <si>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</si>
  <si>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</si>
  <si>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</si>
  <si>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</si>
  <si>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</si>
  <si>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</si>
  <si>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</si>
  <si>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</si>
  <si>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</si>
  <si>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</si>
  <si>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</si>
  <si>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</si>
  <si>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</si>
  <si>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</si>
  <si>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</si>
  <si>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</si>
  <si>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</si>
  <si>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</si>
  <si>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</si>
  <si>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</si>
  <si>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</si>
  <si>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</si>
  <si>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</si>
  <si>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</si>
  <si>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</si>
  <si>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</si>
  <si>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</si>
  <si>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</si>
  <si>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</si>
  <si>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</si>
  <si>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</si>
  <si>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</si>
  <si>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</si>
  <si>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</si>
  <si>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</si>
  <si>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</si>
  <si>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</si>
  <si>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</si>
  <si>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</si>
  <si>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</si>
  <si>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</si>
  <si>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</si>
  <si>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</si>
  <si>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</si>
  <si>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</si>
  <si>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</si>
  <si>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</si>
  <si>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</si>
  <si>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</si>
  <si>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</si>
  <si>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</si>
  <si>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</si>
  <si>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</si>
  <si>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</si>
  <si>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</si>
  <si>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</si>
  <si>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</si>
  <si>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</si>
  <si>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</si>
  <si>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</si>
  <si>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</si>
  <si>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</si>
  <si>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</si>
  <si>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</si>
  <si>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</si>
  <si>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</si>
  <si>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</si>
  <si>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</si>
  <si>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</si>
  <si>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</si>
  <si>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</si>
  <si>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</si>
  <si>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</si>
  <si>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</si>
  <si>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</si>
  <si>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</si>
  <si>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</si>
  <si>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</si>
  <si>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</si>
  <si>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</si>
  <si>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</si>
  <si>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</si>
  <si>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</si>
  <si>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</si>
  <si>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</si>
  <si>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</si>
  <si>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</si>
  <si>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</si>
  <si>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</si>
  <si>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</si>
  <si>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</si>
  <si>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</si>
  <si>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</si>
  <si>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</si>
  <si>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</si>
  <si>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</si>
  <si>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</si>
  <si>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</si>
  <si>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</si>
  <si>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</si>
  <si>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</si>
  <si>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</si>
  <si>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</si>
  <si>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</si>
  <si>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</si>
  <si>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</si>
  <si>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</si>
  <si>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</si>
  <si>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</si>
  <si>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</si>
  <si>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</si>
  <si>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</si>
  <si>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</si>
  <si>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</si>
  <si>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</si>
  <si>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</si>
  <si>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</si>
  <si>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</si>
  <si>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</si>
  <si>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</si>
  <si>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</si>
  <si>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</si>
  <si>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</si>
  <si>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</si>
  <si>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</si>
  <si>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</si>
  <si>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</si>
  <si>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Southern New England</t>
  </si>
  <si>
    <t>united States of America</t>
  </si>
  <si>
    <t>BOX(-73.9950692414754 39.1526743776419,-69.0184745152532 41.6888056667924)</t>
  </si>
  <si>
    <t>continental shelf</t>
  </si>
  <si>
    <t>WetWeight</t>
  </si>
  <si>
    <t>; 7/20/2006 4:01:45 PM</t>
  </si>
  <si>
    <t>Link J.S.,Griswold C.A.,Methratta E.T.,Gunnard J.(2006). Documentation for the Energy Modeling and Analysis eXercise (EMAX) Northeast Fisheries Science Center Reference Document</t>
  </si>
  <si>
    <t>Phytoplankton- Primary Producers</t>
  </si>
  <si>
    <t>Bacteria</t>
  </si>
  <si>
    <t>Microzooplankton</t>
  </si>
  <si>
    <t>Small copepods</t>
  </si>
  <si>
    <t>Large Copepods</t>
  </si>
  <si>
    <t>Gelatinous Zooplankton</t>
  </si>
  <si>
    <t>Micronekton</t>
  </si>
  <si>
    <t>Mesopelagics</t>
  </si>
  <si>
    <t>Macrobenthos- polychaetes</t>
  </si>
  <si>
    <t>Macrobenthos- crustaceans</t>
  </si>
  <si>
    <t>Macrobenthos- molluscs</t>
  </si>
  <si>
    <t>Macrobenthos- other</t>
  </si>
  <si>
    <t>Megabenthos- filterers</t>
  </si>
  <si>
    <t>Megabenthos- other</t>
  </si>
  <si>
    <t>Shrimp et al.</t>
  </si>
  <si>
    <t>Larval-juv fish- all</t>
  </si>
  <si>
    <t>Small Pelagics- commercial</t>
  </si>
  <si>
    <t>Small Pelagics- other</t>
  </si>
  <si>
    <t>Small Pelagics- squid</t>
  </si>
  <si>
    <t>Small Pelagics- anadromous</t>
  </si>
  <si>
    <t>Medium Pelagics- (piscivores &amp;amp; other)</t>
  </si>
  <si>
    <t>Demersals- benthivores</t>
  </si>
  <si>
    <t>Demersals- omnivores</t>
  </si>
  <si>
    <t>Demersals- piscivores</t>
  </si>
  <si>
    <t>Sharks- coastal</t>
  </si>
  <si>
    <t>Sharks- pelagics</t>
  </si>
  <si>
    <t>HMS</t>
  </si>
  <si>
    <t>Pinnipeds</t>
  </si>
  <si>
    <t>Baleen Whales</t>
  </si>
  <si>
    <t>Odontocetes</t>
  </si>
  <si>
    <t>Sea Birds</t>
  </si>
  <si>
    <t>Discard</t>
  </si>
  <si>
    <t>Detritus-POC</t>
  </si>
  <si>
    <t>detritus_TerminalBenthic</t>
  </si>
  <si>
    <t>Landings</t>
  </si>
  <si>
    <t>Import</t>
  </si>
  <si>
    <t>export</t>
  </si>
  <si>
    <t>sum</t>
  </si>
  <si>
    <t>TOTAL</t>
  </si>
  <si>
    <t>ba was 0.886159956 (Jruz 5/8/2022)</t>
  </si>
  <si>
    <t>F Landings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</si>
</sst>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6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FF8900"/>
        <bgColor indexed="64"/>
      </patternFill>
    </fill>
    <fill>
      <patternFill patternType="solid">
        <fgColor rgb="FFFF7A00"/>
        <bgColor indexed="64"/>
      </patternFill>
    </fill>
    <fill>
      <patternFill patternType="solid">
        <fgColor rgb="FFFF93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9EFF00"/>
        <bgColor indexed="64"/>
      </patternFill>
    </fill>
    <fill>
      <patternFill patternType="solid">
        <fgColor rgb="FFE7FF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7C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FF9A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E4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FFE100"/>
        <bgColor indexed="64"/>
      </patternFill>
    </fill>
    <fill>
      <patternFill patternType="solid">
        <fgColor rgb="FFFF77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AE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CEF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DE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C4FF00"/>
        <bgColor indexed="64"/>
      </patternFill>
    </fill>
    <fill>
      <patternFill patternType="solid">
        <fgColor rgb="FF2D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9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35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7" borderId="0" xfId="0" applyFill="1"/>
    <xf numFmtId="0" fontId="0" fillId="38" borderId="0" xfId="0" applyFill="1"/>
    <xf numFmtId="0" fontId="0" fillId="0" borderId="0" xfId="0" applyFont="1" applyFill="1" applyAlignment="1">
      <alignment horizontal="center"/>
    </xf>
    <xf numFmtId="0" fontId="0" fillId="39" borderId="0" xfId="0" applyFill="1"/>
    <xf numFmtId="0" fontId="0" fillId="40" borderId="0" xfId="0" applyFill="1"/>
    <xf numFmtId="0" fontId="0" fillId="41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6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6" borderId="3" xfId="0" applyNumberFormat="1" applyFont="1" applyFill="1" applyBorder="1"/>
    <xf numFmtId="0" fontId="0" fillId="36" borderId="2" xfId="0" applyFont="1" applyFill="1" applyBorder="1"/>
    <xf numFmtId="0" fontId="0" fillId="36" borderId="3" xfId="0" applyFont="1" applyFill="1" applyBorder="1"/>
    <xf numFmtId="0" fontId="0" fillId="36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2" borderId="0" xfId="0" applyFill="1"/>
    <xf numFmtId="0" fontId="0" fillId="43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8" borderId="0" xfId="0" applyFont="1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4" t="s">
        <v>171</v>
      </c>
      <c r="C53" s="108">
        <v>706</v>
      </c>
      <c r="D53" s="108"/>
    </row>
    <row r="54" spans="2:4" x14ac:dyDescent="0.15">
      <c r="B54" s="174" t="s">
        <v>172</v>
      </c>
      <c r="C54" s="174" t="s">
        <v>185</v>
      </c>
      <c r="D54" s="108"/>
    </row>
    <row r="55" spans="2:4" x14ac:dyDescent="0.15">
      <c r="B55" s="174" t="s">
        <v>173</v>
      </c>
      <c r="C55" s="174" t="s">
        <v>186</v>
      </c>
      <c r="D55" s="108"/>
    </row>
    <row r="56" spans="2:4" x14ac:dyDescent="0.15">
      <c r="B56" s="174" t="s">
        <v>174</v>
      </c>
      <c r="C56" s="108">
        <v>64060</v>
      </c>
      <c r="D56" s="108"/>
    </row>
    <row r="57" spans="2:4" x14ac:dyDescent="0.15">
      <c r="B57" s="174" t="s">
        <v>175</v>
      </c>
      <c r="C57" s="174" t="s">
        <v>187</v>
      </c>
      <c r="D57" s="108"/>
    </row>
    <row r="58" spans="2:4" x14ac:dyDescent="0.15">
      <c r="B58" s="174" t="s">
        <v>176</v>
      </c>
      <c r="C58" s="174" t="s">
        <v>188</v>
      </c>
      <c r="D58" s="108"/>
    </row>
    <row r="59" spans="2:4" x14ac:dyDescent="0.15">
      <c r="B59" s="174" t="s">
        <v>177</v>
      </c>
      <c r="C59" s="174" t="s">
        <v>189</v>
      </c>
      <c r="D59" s="108"/>
    </row>
    <row r="60" spans="2:4" x14ac:dyDescent="0.15">
      <c r="B60" s="174" t="s">
        <v>178</v>
      </c>
      <c r="C60" s="174" t="s">
        <v>190</v>
      </c>
      <c r="D60" s="108"/>
    </row>
    <row r="61" spans="2:4" x14ac:dyDescent="0.15">
      <c r="B61" s="174" t="s">
        <v>179</v>
      </c>
      <c r="C61" s="108">
        <v>33</v>
      </c>
      <c r="D61" s="108"/>
    </row>
    <row r="62" spans="2:4" x14ac:dyDescent="0.15">
      <c r="B62" s="174" t="s">
        <v>180</v>
      </c>
      <c r="C62" s="108">
        <v>1</v>
      </c>
      <c r="D62" s="108"/>
    </row>
    <row r="63" spans="2:4" x14ac:dyDescent="0.15">
      <c r="B63" s="174" t="s">
        <v>181</v>
      </c>
      <c r="C63" s="108">
        <v>1996</v>
      </c>
      <c r="D63" s="108"/>
    </row>
    <row r="64" spans="2:4" x14ac:dyDescent="0.15">
      <c r="B64" s="174" t="s">
        <v>182</v>
      </c>
      <c r="C64" s="108">
        <v>4</v>
      </c>
      <c r="D64" s="108"/>
    </row>
    <row r="65" spans="2:4" x14ac:dyDescent="0.15">
      <c r="B65" s="174" t="s">
        <v>183</v>
      </c>
      <c r="C65" s="174" t="s">
        <v>191</v>
      </c>
      <c r="D65" s="108"/>
    </row>
    <row r="66" spans="2:4" x14ac:dyDescent="0.15">
      <c r="B66" s="174" t="s">
        <v>184</v>
      </c>
      <c r="D66" s="108"/>
    </row>
    <row r="67" spans="2:4" x14ac:dyDescent="0.15">
      <c r="B67" s="108"/>
      <c r="C67" s="108"/>
      <c r="D67" s="108"/>
    </row>
    <row r="68" spans="2:4" x14ac:dyDescent="0.15">
      <c r="B68" s="108"/>
      <c r="C68" s="108"/>
      <c r="D68" s="108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opLeftCell="E1" workbookViewId="0">
      <pane ySplit="1" topLeftCell="A2" activePane="bottomLeft" state="frozenSplit"/>
      <selection activeCell="E1" sqref="E1"/>
      <selection pane="bottomLeft" activeCell="Q3" sqref="Q3"/>
    </sheetView>
  </sheetViews>
  <sheetFormatPr baseColWidth="10" defaultColWidth="8.83203125" defaultRowHeight="15" customHeight="1" x14ac:dyDescent="0.15"/>
  <cols>
    <col min="1" max="1" width="22.5" style="82" customWidth="1"/>
    <col min="2" max="3" width="3.33203125" style="82" customWidth="1"/>
    <col min="4" max="4" width="14.33203125" style="82" customWidth="1"/>
    <col min="5" max="5" width="36.6640625" style="82" bestFit="1" customWidth="1"/>
    <col min="6" max="6" width="2.33203125" style="82" bestFit="1" customWidth="1"/>
    <col min="7" max="7" width="13.83203125" style="82" bestFit="1" customWidth="1"/>
    <col min="8" max="8" width="12.83203125" style="82" customWidth="1"/>
    <col min="9" max="9" width="11.83203125" style="82" customWidth="1"/>
    <col min="10" max="11" width="12.83203125" style="82" customWidth="1"/>
    <col min="12" max="12" width="11.83203125" style="82" customWidth="1"/>
    <col min="13" max="13" width="4.83203125" style="82" customWidth="1"/>
    <col min="14" max="14" width="2.33203125" style="82" customWidth="1"/>
    <col min="16" max="25" width="8.83203125" style="8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2"/>
  </cols>
  <sheetData>
    <row r="1" spans="1:46" s="99" customFormat="1" ht="15" customHeight="1" x14ac:dyDescent="0.15">
      <c r="A1" s="78" t="s">
        <v>18</v>
      </c>
      <c r="C1" s="79" t="s">
        <v>8</v>
      </c>
      <c r="D1" s="78" t="s">
        <v>23</v>
      </c>
      <c r="E1" s="78" t="s">
        <v>0</v>
      </c>
      <c r="F1" s="78" t="s">
        <v>7</v>
      </c>
      <c r="G1" s="80" t="s">
        <v>13</v>
      </c>
      <c r="H1" s="78" t="s">
        <v>1</v>
      </c>
      <c r="I1" s="78" t="s">
        <v>2</v>
      </c>
      <c r="J1" s="78" t="s">
        <v>14</v>
      </c>
      <c r="K1" s="78" t="s">
        <v>3</v>
      </c>
      <c r="L1" s="78" t="s">
        <v>4</v>
      </c>
      <c r="M1" s="78" t="s">
        <v>5</v>
      </c>
      <c r="N1" s="7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9">
        <v>1</v>
      </c>
      <c r="D2"/>
      <c r="E2" s="175" t="s">
        <v>192</v>
      </c>
      <c r="F2" s="82">
        <v>1</v>
      </c>
      <c r="G2" s="82">
        <v>26.5280533</v>
      </c>
      <c r="H2" s="82">
        <v>182.85931400000001</v>
      </c>
      <c r="I2" s="6">
        <v>0</v>
      </c>
      <c r="J2" s="6">
        <v>0.52158099999999996</v>
      </c>
      <c r="K2" s="6">
        <v>0</v>
      </c>
      <c r="L2" s="6">
        <v>0</v>
      </c>
      <c r="M2" s="82">
        <v>0</v>
      </c>
      <c r="N2" s="82">
        <v>0</v>
      </c>
    </row>
    <row r="3" spans="1:46" ht="15" customHeight="1" x14ac:dyDescent="0.15">
      <c r="A3" s="1" t="s">
        <v>9</v>
      </c>
      <c r="B3" s="4">
        <v>31</v>
      </c>
      <c r="C3" s="82">
        <v>2</v>
      </c>
      <c r="D3"/>
      <c r="E3" s="175" t="s">
        <v>193</v>
      </c>
      <c r="F3" s="82">
        <v>0</v>
      </c>
      <c r="G3" s="82">
        <v>7.5316000000000001</v>
      </c>
      <c r="H3" s="82">
        <v>91.250010000000003</v>
      </c>
      <c r="I3" s="82">
        <v>380.20822099999998</v>
      </c>
      <c r="J3" s="82">
        <v>0.89999989999999996</v>
      </c>
      <c r="K3" s="82">
        <v>0.240000084</v>
      </c>
      <c r="L3" s="82">
        <v>0</v>
      </c>
      <c r="M3" s="82">
        <v>0.2</v>
      </c>
      <c r="N3" s="82">
        <v>0</v>
      </c>
    </row>
    <row r="4" spans="1:46" ht="15" customHeight="1" x14ac:dyDescent="0.15">
      <c r="A4" s="1" t="s">
        <v>10</v>
      </c>
      <c r="B4" s="4">
        <v>3</v>
      </c>
      <c r="C4" s="82">
        <v>3</v>
      </c>
      <c r="D4"/>
      <c r="E4" s="175" t="s">
        <v>194</v>
      </c>
      <c r="F4" s="82">
        <v>0</v>
      </c>
      <c r="G4" s="82">
        <v>5.0830535899999996</v>
      </c>
      <c r="H4" s="82">
        <v>71.999984699999999</v>
      </c>
      <c r="I4" s="82">
        <v>242.42422500000001</v>
      </c>
      <c r="J4" s="82">
        <v>0.89999989999999996</v>
      </c>
      <c r="K4" s="82">
        <v>0.29699996099999998</v>
      </c>
      <c r="L4" s="82">
        <v>0</v>
      </c>
      <c r="M4" s="82">
        <v>0.1</v>
      </c>
      <c r="N4" s="82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2">
        <v>4</v>
      </c>
      <c r="D5"/>
      <c r="E5" s="175" t="s">
        <v>195</v>
      </c>
      <c r="F5" s="82">
        <v>0</v>
      </c>
      <c r="G5" s="82">
        <v>11.825181000000001</v>
      </c>
      <c r="H5" s="82">
        <v>45.432113600000001</v>
      </c>
      <c r="I5" s="82">
        <v>127.75</v>
      </c>
      <c r="J5" s="82">
        <v>0.9</v>
      </c>
      <c r="K5" s="82">
        <v>0.35563299999999998</v>
      </c>
      <c r="L5" s="82">
        <v>0</v>
      </c>
      <c r="M5" s="82">
        <v>0.25</v>
      </c>
      <c r="N5" s="82">
        <v>0</v>
      </c>
      <c r="P5" s="70"/>
      <c r="Q5" s="70"/>
      <c r="R5" s="70"/>
    </row>
    <row r="6" spans="1:46" ht="15" customHeight="1" thickBot="1" x14ac:dyDescent="0.2">
      <c r="B6" s="1"/>
      <c r="C6" s="82">
        <v>5</v>
      </c>
      <c r="D6"/>
      <c r="E6" s="175" t="s">
        <v>196</v>
      </c>
      <c r="F6" s="82">
        <v>0</v>
      </c>
      <c r="G6" s="82">
        <v>5.652736</v>
      </c>
      <c r="H6" s="82">
        <v>61.986370000000001</v>
      </c>
      <c r="I6" s="82">
        <v>109.5</v>
      </c>
      <c r="J6" s="82">
        <v>0.9</v>
      </c>
      <c r="K6" s="82">
        <v>0.56608559999999997</v>
      </c>
      <c r="L6" s="82">
        <v>0</v>
      </c>
      <c r="M6" s="82">
        <v>0.25</v>
      </c>
      <c r="N6" s="82">
        <v>0</v>
      </c>
      <c r="P6" s="70"/>
      <c r="Q6" s="70"/>
      <c r="R6" s="70"/>
      <c r="W6" s="35" t="s">
        <v>31</v>
      </c>
      <c r="X6" s="51">
        <f>MAX(MainOutputs!G:G)</f>
        <v>0.92535293102264404</v>
      </c>
    </row>
    <row r="7" spans="1:46" ht="15" customHeight="1" x14ac:dyDescent="0.15">
      <c r="A7" s="2" t="s">
        <v>27</v>
      </c>
      <c r="B7" s="82">
        <f ca="1">COUNTIF(OFFSET(cornerDiets,1,1,NumLiving+NumDead+1,NumLiving+NumDead),"&gt;0")+NumLiving+NumDead+1</f>
        <v>356</v>
      </c>
      <c r="C7" s="82">
        <v>6</v>
      </c>
      <c r="D7"/>
      <c r="E7" s="175" t="s">
        <v>197</v>
      </c>
      <c r="F7" s="82">
        <v>0</v>
      </c>
      <c r="G7" s="82">
        <v>1.1958411900000001</v>
      </c>
      <c r="H7" s="82">
        <v>40</v>
      </c>
      <c r="I7" s="82">
        <v>146</v>
      </c>
      <c r="J7" s="82">
        <v>0.89962226199999995</v>
      </c>
      <c r="K7" s="82">
        <v>0.27397260000000001</v>
      </c>
      <c r="L7" s="82">
        <v>0</v>
      </c>
      <c r="M7" s="82">
        <v>0.35</v>
      </c>
      <c r="N7" s="82">
        <v>0</v>
      </c>
      <c r="P7" s="70"/>
      <c r="Q7" s="70"/>
      <c r="R7" s="70"/>
    </row>
    <row r="8" spans="1:46" ht="15" customHeight="1" x14ac:dyDescent="0.15">
      <c r="A8" s="2" t="s">
        <v>28</v>
      </c>
      <c r="B8" s="82">
        <f ca="1">COUNTIF(OFFSET(cornerFishing,1,2,NumLiving+NumDead,NumGears),"&gt;0")+NumDead*COUNTIF(OFFSET(cornerDiscards,1,2,NumLiving+NumDead,NumGears),"&gt;0")+NumLiving+NumDead+1</f>
        <v>127</v>
      </c>
      <c r="C8" s="82">
        <v>7</v>
      </c>
      <c r="D8"/>
      <c r="E8" s="175" t="s">
        <v>198</v>
      </c>
      <c r="F8" s="82">
        <v>0</v>
      </c>
      <c r="G8" s="82">
        <v>4.2327950000000003</v>
      </c>
      <c r="H8" s="82">
        <v>14.25</v>
      </c>
      <c r="I8" s="82">
        <v>139.28639200000001</v>
      </c>
      <c r="J8" s="82">
        <v>0.77589136400000003</v>
      </c>
      <c r="K8" s="82">
        <v>0.102307193</v>
      </c>
      <c r="L8" s="82">
        <v>0</v>
      </c>
      <c r="M8" s="82">
        <v>0.25</v>
      </c>
      <c r="N8" s="82">
        <v>0</v>
      </c>
      <c r="P8" s="70"/>
      <c r="Q8" s="70"/>
      <c r="R8" s="70"/>
    </row>
    <row r="9" spans="1:46" ht="15" customHeight="1" x14ac:dyDescent="0.15">
      <c r="B9" s="1"/>
      <c r="C9" s="82">
        <v>8</v>
      </c>
      <c r="D9"/>
      <c r="E9" s="175" t="s">
        <v>199</v>
      </c>
      <c r="F9" s="82">
        <v>0</v>
      </c>
      <c r="G9" s="82">
        <v>0.228357792</v>
      </c>
      <c r="H9" s="82">
        <v>0.95037629999999995</v>
      </c>
      <c r="I9" s="82">
        <v>1.825</v>
      </c>
      <c r="J9" s="82">
        <v>0.82759910000000003</v>
      </c>
      <c r="K9" s="82">
        <v>0.5207541</v>
      </c>
      <c r="L9" s="82">
        <v>0</v>
      </c>
      <c r="M9" s="82">
        <v>0.15</v>
      </c>
      <c r="N9" s="82">
        <v>0</v>
      </c>
      <c r="P9" s="70"/>
      <c r="Q9" s="70"/>
      <c r="R9" s="70"/>
    </row>
    <row r="10" spans="1:46" ht="15" customHeight="1" x14ac:dyDescent="0.15">
      <c r="B10" s="1"/>
      <c r="C10" s="82">
        <v>9</v>
      </c>
      <c r="D10"/>
      <c r="E10" s="175" t="s">
        <v>200</v>
      </c>
      <c r="F10" s="82">
        <v>0</v>
      </c>
      <c r="G10" s="82">
        <v>35.436237300000002</v>
      </c>
      <c r="H10" s="82">
        <v>2.5</v>
      </c>
      <c r="I10" s="82">
        <v>17.5</v>
      </c>
      <c r="J10" s="82">
        <v>0.8966343</v>
      </c>
      <c r="K10" s="82">
        <v>0.14285714899999999</v>
      </c>
      <c r="L10" s="82">
        <v>0</v>
      </c>
      <c r="M10" s="82">
        <v>0.5</v>
      </c>
      <c r="N10" s="82">
        <v>0</v>
      </c>
    </row>
    <row r="11" spans="1:46" ht="15" customHeight="1" x14ac:dyDescent="0.15">
      <c r="C11" s="82">
        <v>10</v>
      </c>
      <c r="D11"/>
      <c r="E11" s="175" t="s">
        <v>201</v>
      </c>
      <c r="F11" s="82">
        <v>0</v>
      </c>
      <c r="G11" s="82">
        <v>6.3922243099999996</v>
      </c>
      <c r="H11" s="82">
        <v>3</v>
      </c>
      <c r="I11" s="82">
        <v>21</v>
      </c>
      <c r="J11" s="82">
        <v>0.89653910000000003</v>
      </c>
      <c r="K11" s="82">
        <v>0.14285714899999999</v>
      </c>
      <c r="L11" s="82">
        <v>0</v>
      </c>
      <c r="M11" s="82">
        <v>0.5</v>
      </c>
      <c r="N11" s="82">
        <v>0</v>
      </c>
    </row>
    <row r="12" spans="1:46" ht="15" customHeight="1" x14ac:dyDescent="0.15">
      <c r="C12" s="82">
        <v>11</v>
      </c>
      <c r="D12"/>
      <c r="E12" s="175" t="s">
        <v>202</v>
      </c>
      <c r="F12" s="82">
        <v>0</v>
      </c>
      <c r="G12" s="82">
        <v>17.805395099999998</v>
      </c>
      <c r="H12" s="82">
        <v>2</v>
      </c>
      <c r="I12" s="82">
        <v>14</v>
      </c>
      <c r="J12" s="82">
        <v>0.89880800000000005</v>
      </c>
      <c r="K12" s="82">
        <v>0.14285714899999999</v>
      </c>
      <c r="L12" s="82">
        <v>0</v>
      </c>
      <c r="M12" s="82">
        <v>0.6</v>
      </c>
      <c r="N12" s="82">
        <v>0</v>
      </c>
    </row>
    <row r="13" spans="1:46" ht="15" customHeight="1" x14ac:dyDescent="0.15">
      <c r="C13" s="82">
        <v>12</v>
      </c>
      <c r="D13"/>
      <c r="E13" s="175" t="s">
        <v>203</v>
      </c>
      <c r="F13" s="82">
        <v>0</v>
      </c>
      <c r="G13" s="82">
        <v>18.932615299999998</v>
      </c>
      <c r="H13" s="82">
        <v>2.04</v>
      </c>
      <c r="I13" s="82">
        <v>17.64</v>
      </c>
      <c r="J13" s="82">
        <v>0.89526470000000002</v>
      </c>
      <c r="K13" s="82">
        <v>0.115646258</v>
      </c>
      <c r="L13" s="82">
        <v>0</v>
      </c>
      <c r="M13" s="82">
        <v>0.5</v>
      </c>
      <c r="N13" s="82">
        <v>0</v>
      </c>
    </row>
    <row r="14" spans="1:46" ht="15" customHeight="1" x14ac:dyDescent="0.15">
      <c r="C14" s="82">
        <v>13</v>
      </c>
      <c r="D14"/>
      <c r="E14" s="175" t="s">
        <v>204</v>
      </c>
      <c r="F14" s="82">
        <v>0</v>
      </c>
      <c r="G14" s="82">
        <v>3.7024714900000002</v>
      </c>
      <c r="H14" s="82">
        <v>5</v>
      </c>
      <c r="I14" s="82">
        <v>19</v>
      </c>
      <c r="J14" s="82">
        <v>0.73129580000000005</v>
      </c>
      <c r="K14" s="82">
        <v>0.2631579</v>
      </c>
      <c r="L14" s="82">
        <v>0</v>
      </c>
      <c r="M14" s="82">
        <v>0.7</v>
      </c>
      <c r="N14" s="82">
        <v>0</v>
      </c>
    </row>
    <row r="15" spans="1:46" ht="15" customHeight="1" x14ac:dyDescent="0.15">
      <c r="C15" s="82">
        <v>14</v>
      </c>
      <c r="D15"/>
      <c r="E15" s="175" t="s">
        <v>205</v>
      </c>
      <c r="F15" s="82">
        <v>0</v>
      </c>
      <c r="G15" s="82">
        <v>3.3728907100000001</v>
      </c>
      <c r="H15" s="82">
        <v>2</v>
      </c>
      <c r="I15" s="82">
        <v>16.9414558</v>
      </c>
      <c r="J15" s="82">
        <v>0.899175167</v>
      </c>
      <c r="K15" s="82">
        <v>0.118053608</v>
      </c>
      <c r="L15" s="82">
        <v>0</v>
      </c>
      <c r="M15" s="82">
        <v>0.3</v>
      </c>
      <c r="N15" s="82">
        <v>0</v>
      </c>
    </row>
    <row r="16" spans="1:46" ht="15" customHeight="1" x14ac:dyDescent="0.15">
      <c r="C16" s="82">
        <v>15</v>
      </c>
      <c r="D16"/>
      <c r="E16" s="175" t="s">
        <v>206</v>
      </c>
      <c r="F16" s="82">
        <v>0</v>
      </c>
      <c r="G16" s="82">
        <v>0.269999981</v>
      </c>
      <c r="H16" s="82">
        <v>2</v>
      </c>
      <c r="I16" s="82">
        <v>5</v>
      </c>
      <c r="J16" s="82">
        <v>0.87770146100000002</v>
      </c>
      <c r="K16" s="82">
        <v>0.4</v>
      </c>
      <c r="L16" s="82">
        <v>0</v>
      </c>
      <c r="M16" s="82">
        <v>0.3</v>
      </c>
      <c r="N16" s="82">
        <v>0</v>
      </c>
    </row>
    <row r="17" spans="1:22" ht="15" customHeight="1" x14ac:dyDescent="0.15">
      <c r="C17" s="82">
        <v>16</v>
      </c>
      <c r="D17"/>
      <c r="E17" s="175" t="s">
        <v>207</v>
      </c>
      <c r="F17" s="82">
        <v>0</v>
      </c>
      <c r="G17" s="82">
        <v>0.42223805199999997</v>
      </c>
      <c r="H17" s="82">
        <v>21</v>
      </c>
      <c r="I17" s="82">
        <v>45</v>
      </c>
      <c r="J17" s="82">
        <v>0.59239609999999998</v>
      </c>
      <c r="K17" s="82">
        <v>0.46666666899999998</v>
      </c>
      <c r="L17" s="82">
        <v>0</v>
      </c>
      <c r="M17" s="82">
        <v>0.15</v>
      </c>
      <c r="N17" s="82">
        <v>0</v>
      </c>
      <c r="V17" s="1" t="s">
        <v>30</v>
      </c>
    </row>
    <row r="18" spans="1:22" ht="15" customHeight="1" x14ac:dyDescent="0.15">
      <c r="C18" s="82">
        <v>17</v>
      </c>
      <c r="D18"/>
      <c r="E18" s="175" t="s">
        <v>208</v>
      </c>
      <c r="F18" s="82">
        <v>0</v>
      </c>
      <c r="G18" s="82">
        <v>14.8511448</v>
      </c>
      <c r="H18" s="82">
        <v>0.36310842599999998</v>
      </c>
      <c r="I18" s="82">
        <v>2</v>
      </c>
      <c r="J18" s="82">
        <v>0.7881013</v>
      </c>
      <c r="K18" s="82">
        <v>0.18155421299999999</v>
      </c>
      <c r="L18" s="82">
        <v>0</v>
      </c>
      <c r="M18" s="82">
        <v>0.15</v>
      </c>
      <c r="N18" s="82">
        <v>0</v>
      </c>
      <c r="V18" s="1"/>
    </row>
    <row r="19" spans="1:22" ht="15" customHeight="1" x14ac:dyDescent="0.15">
      <c r="C19" s="82">
        <v>18</v>
      </c>
      <c r="D19"/>
      <c r="E19" s="175" t="s">
        <v>209</v>
      </c>
      <c r="F19" s="82">
        <v>0</v>
      </c>
      <c r="G19" s="82">
        <v>1.9457679999999999</v>
      </c>
      <c r="H19" s="82">
        <v>0.95037629999999995</v>
      </c>
      <c r="I19" s="82">
        <v>2</v>
      </c>
      <c r="J19" s="82">
        <v>0.9022348</v>
      </c>
      <c r="K19" s="82">
        <v>0.47518813599999998</v>
      </c>
      <c r="L19" s="82">
        <v>0</v>
      </c>
      <c r="M19" s="82">
        <v>0.35</v>
      </c>
      <c r="N19" s="82">
        <v>0</v>
      </c>
    </row>
    <row r="20" spans="1:22" ht="15" customHeight="1" thickBot="1" x14ac:dyDescent="0.2">
      <c r="C20" s="82">
        <v>19</v>
      </c>
      <c r="D20"/>
      <c r="E20" s="175" t="s">
        <v>210</v>
      </c>
      <c r="F20" s="82">
        <v>0</v>
      </c>
      <c r="G20" s="82">
        <v>3.0697605600000002</v>
      </c>
      <c r="H20" s="82">
        <v>0.95037629999999995</v>
      </c>
      <c r="I20" s="82">
        <v>2.75</v>
      </c>
      <c r="J20" s="82">
        <v>0.74922929999999999</v>
      </c>
      <c r="K20" s="82">
        <v>0.34559136600000001</v>
      </c>
      <c r="L20" s="82">
        <v>0</v>
      </c>
      <c r="M20" s="82">
        <v>0.15</v>
      </c>
      <c r="N20" s="82">
        <v>0</v>
      </c>
    </row>
    <row r="21" spans="1:22" ht="15" customHeight="1" thickBot="1" x14ac:dyDescent="0.2">
      <c r="A21" s="46" t="s">
        <v>137</v>
      </c>
      <c r="B21" s="100"/>
      <c r="C21" s="82">
        <v>20</v>
      </c>
      <c r="D21"/>
      <c r="E21" s="175" t="s">
        <v>211</v>
      </c>
      <c r="F21" s="82">
        <v>0</v>
      </c>
      <c r="G21" s="82">
        <v>0.65910005599999999</v>
      </c>
      <c r="H21" s="82">
        <v>0.45897939999999998</v>
      </c>
      <c r="I21" s="82">
        <v>2</v>
      </c>
      <c r="J21" s="82">
        <v>0.92535293100000005</v>
      </c>
      <c r="K21" s="82">
        <v>0.22948969999999999</v>
      </c>
      <c r="L21" s="82">
        <v>0</v>
      </c>
      <c r="M21" s="82">
        <v>0.15</v>
      </c>
      <c r="N21" s="82">
        <v>0</v>
      </c>
    </row>
    <row r="22" spans="1:22" ht="15" customHeight="1" x14ac:dyDescent="0.15">
      <c r="A22" s="101" t="s">
        <v>58</v>
      </c>
      <c r="B22" s="102">
        <v>0</v>
      </c>
      <c r="C22" s="82">
        <v>21</v>
      </c>
      <c r="D22"/>
      <c r="E22" s="175" t="s">
        <v>212</v>
      </c>
      <c r="F22" s="82">
        <v>0</v>
      </c>
      <c r="G22" s="82">
        <v>0.34955307800000002</v>
      </c>
      <c r="H22" s="82">
        <v>0.58499999999999996</v>
      </c>
      <c r="I22" s="82">
        <v>1.4279999999999999</v>
      </c>
      <c r="J22" s="82">
        <v>0.90746176199999995</v>
      </c>
      <c r="K22" s="82">
        <v>0.40966385599999999</v>
      </c>
      <c r="L22" s="82">
        <v>0</v>
      </c>
      <c r="M22" s="82">
        <v>0.15</v>
      </c>
      <c r="N22" s="82">
        <v>0</v>
      </c>
    </row>
    <row r="23" spans="1:22" ht="15" customHeight="1" x14ac:dyDescent="0.15">
      <c r="A23" s="101" t="s">
        <v>59</v>
      </c>
      <c r="B23" s="102">
        <v>1</v>
      </c>
      <c r="C23" s="82">
        <v>22</v>
      </c>
      <c r="D23"/>
      <c r="E23" s="175" t="s">
        <v>213</v>
      </c>
      <c r="F23" s="82">
        <v>0</v>
      </c>
      <c r="G23" s="82">
        <v>2.3374362</v>
      </c>
      <c r="H23" s="82">
        <v>0.45</v>
      </c>
      <c r="I23" s="82">
        <v>0.9</v>
      </c>
      <c r="J23" s="82">
        <v>0.79019700000000004</v>
      </c>
      <c r="K23" s="82">
        <v>0.5</v>
      </c>
      <c r="L23" s="82">
        <v>0</v>
      </c>
      <c r="M23" s="82">
        <v>0.3</v>
      </c>
      <c r="N23" s="82">
        <v>0</v>
      </c>
    </row>
    <row r="24" spans="1:22" ht="15" customHeight="1" x14ac:dyDescent="0.15">
      <c r="A24" s="101" t="s">
        <v>60</v>
      </c>
      <c r="B24" s="102">
        <v>2</v>
      </c>
      <c r="C24" s="82">
        <v>23</v>
      </c>
      <c r="D24"/>
      <c r="E24" s="175" t="s">
        <v>214</v>
      </c>
      <c r="F24" s="82">
        <v>0</v>
      </c>
      <c r="G24" s="82">
        <v>3.6347622899999998</v>
      </c>
      <c r="H24" s="82">
        <v>0.45</v>
      </c>
      <c r="I24" s="82">
        <v>0.8</v>
      </c>
      <c r="J24" s="82">
        <v>0.88411444400000005</v>
      </c>
      <c r="K24" s="82">
        <v>0.5625</v>
      </c>
      <c r="L24" s="82">
        <v>0</v>
      </c>
      <c r="M24" s="82">
        <v>0.35</v>
      </c>
      <c r="N24" s="82">
        <v>0</v>
      </c>
    </row>
    <row r="25" spans="1:22" ht="15" customHeight="1" thickBot="1" x14ac:dyDescent="0.2">
      <c r="A25" s="103" t="s">
        <v>44</v>
      </c>
      <c r="B25" s="104">
        <v>3</v>
      </c>
      <c r="C25" s="82">
        <v>24</v>
      </c>
      <c r="D25"/>
      <c r="E25" s="175" t="s">
        <v>215</v>
      </c>
      <c r="F25" s="82">
        <v>0</v>
      </c>
      <c r="G25" s="82">
        <v>2.33421755</v>
      </c>
      <c r="H25" s="82">
        <v>0.46800000000000003</v>
      </c>
      <c r="I25" s="82">
        <v>1.0349999999999999</v>
      </c>
      <c r="J25" s="82">
        <v>0.91032326200000002</v>
      </c>
      <c r="K25" s="82">
        <v>0.45217391800000001</v>
      </c>
      <c r="L25" s="82">
        <v>0</v>
      </c>
      <c r="M25" s="82">
        <v>0.15</v>
      </c>
      <c r="N25" s="82">
        <v>0</v>
      </c>
    </row>
    <row r="26" spans="1:22" ht="15" customHeight="1" x14ac:dyDescent="0.15">
      <c r="A26" s="105" t="s">
        <v>140</v>
      </c>
      <c r="C26" s="82">
        <v>25</v>
      </c>
      <c r="D26"/>
      <c r="E26" s="175" t="s">
        <v>216</v>
      </c>
      <c r="F26" s="82">
        <v>0</v>
      </c>
      <c r="G26" s="82">
        <v>2.1472606799999999E-2</v>
      </c>
      <c r="H26" s="82">
        <v>0.10199999999999999</v>
      </c>
      <c r="I26" s="82">
        <v>0.876000047</v>
      </c>
      <c r="J26" s="82">
        <v>0.84158630000000001</v>
      </c>
      <c r="K26" s="82">
        <v>0.116438344</v>
      </c>
      <c r="L26" s="82">
        <v>0</v>
      </c>
      <c r="M26" s="82">
        <v>0.15</v>
      </c>
      <c r="N26" s="82">
        <v>0</v>
      </c>
    </row>
    <row r="27" spans="1:22" ht="15" customHeight="1" x14ac:dyDescent="0.15">
      <c r="C27" s="82">
        <v>26</v>
      </c>
      <c r="D27"/>
      <c r="E27" s="175" t="s">
        <v>217</v>
      </c>
      <c r="F27" s="82">
        <v>0</v>
      </c>
      <c r="G27" s="82">
        <v>3.8751670000000002E-2</v>
      </c>
      <c r="H27" s="82">
        <v>0.10523974899999999</v>
      </c>
      <c r="I27" s="82">
        <v>0.40798807100000001</v>
      </c>
      <c r="J27" s="82">
        <v>0.85514384499999996</v>
      </c>
      <c r="K27" s="82">
        <v>0.25794810000000001</v>
      </c>
      <c r="L27" s="82">
        <v>0</v>
      </c>
      <c r="M27" s="82">
        <v>0.15</v>
      </c>
      <c r="N27" s="82">
        <v>0</v>
      </c>
    </row>
    <row r="28" spans="1:22" ht="15" customHeight="1" x14ac:dyDescent="0.15">
      <c r="C28" s="82">
        <v>27</v>
      </c>
      <c r="D28"/>
      <c r="E28" s="175" t="s">
        <v>218</v>
      </c>
      <c r="F28" s="82">
        <v>0</v>
      </c>
      <c r="G28" s="82">
        <v>5.4784165700000002E-3</v>
      </c>
      <c r="H28" s="82">
        <v>0.58379110000000001</v>
      </c>
      <c r="I28" s="82">
        <v>7.2890930000000003</v>
      </c>
      <c r="J28" s="82">
        <v>0.83240085799999997</v>
      </c>
      <c r="K28" s="82">
        <v>8.0091044299999997E-2</v>
      </c>
      <c r="L28" s="82">
        <v>0</v>
      </c>
      <c r="M28" s="82">
        <v>0.15</v>
      </c>
      <c r="N28" s="82">
        <v>0</v>
      </c>
    </row>
    <row r="29" spans="1:22" customFormat="1" ht="15" customHeight="1" x14ac:dyDescent="0.15">
      <c r="C29" s="82">
        <v>28</v>
      </c>
      <c r="E29" s="175" t="s">
        <v>219</v>
      </c>
      <c r="F29" s="82">
        <v>0</v>
      </c>
      <c r="G29" s="82">
        <v>1.78088564E-2</v>
      </c>
      <c r="H29" s="82">
        <v>0.10574317699999999</v>
      </c>
      <c r="I29" s="82">
        <v>8.7777779999999996</v>
      </c>
      <c r="J29" s="82">
        <v>0.58118210000000003</v>
      </c>
      <c r="K29" s="82">
        <v>1.2046691E-2</v>
      </c>
      <c r="L29" s="82">
        <v>0</v>
      </c>
      <c r="M29" s="82">
        <v>0.2</v>
      </c>
      <c r="N29" s="82">
        <v>0</v>
      </c>
    </row>
    <row r="30" spans="1:22" customFormat="1" ht="15" customHeight="1" x14ac:dyDescent="0.15">
      <c r="C30" s="82">
        <v>29</v>
      </c>
      <c r="E30" s="175" t="s">
        <v>220</v>
      </c>
      <c r="F30" s="82">
        <v>0</v>
      </c>
      <c r="G30" s="82">
        <v>0.14004380999999999</v>
      </c>
      <c r="H30" s="82">
        <v>4.0519565299999998E-2</v>
      </c>
      <c r="I30" s="82">
        <v>4.49</v>
      </c>
      <c r="J30" s="82">
        <v>6.7605495500000001E-2</v>
      </c>
      <c r="K30" s="82">
        <v>9.0244020000000008E-3</v>
      </c>
      <c r="L30" s="82">
        <v>0</v>
      </c>
      <c r="M30" s="82">
        <v>0.2</v>
      </c>
      <c r="N30" s="82">
        <v>0</v>
      </c>
    </row>
    <row r="31" spans="1:22" customFormat="1" ht="15" customHeight="1" x14ac:dyDescent="0.15">
      <c r="C31" s="82">
        <v>30</v>
      </c>
      <c r="E31" s="175" t="s">
        <v>221</v>
      </c>
      <c r="F31" s="82">
        <v>0</v>
      </c>
      <c r="G31" s="82">
        <v>7.5230350000000001E-2</v>
      </c>
      <c r="H31" s="82">
        <v>4.07999977E-2</v>
      </c>
      <c r="I31" s="82">
        <v>15.6408</v>
      </c>
      <c r="J31" s="82">
        <v>0.79320029999999997</v>
      </c>
      <c r="K31" s="82">
        <v>2.608562E-3</v>
      </c>
      <c r="L31" s="82">
        <v>0</v>
      </c>
      <c r="M31" s="82">
        <v>0.2</v>
      </c>
      <c r="N31" s="82">
        <v>0</v>
      </c>
    </row>
    <row r="32" spans="1:22" customFormat="1" ht="15" customHeight="1" x14ac:dyDescent="0.15">
      <c r="C32" s="82">
        <v>31</v>
      </c>
      <c r="E32" s="175" t="s">
        <v>222</v>
      </c>
      <c r="F32" s="82">
        <v>0</v>
      </c>
      <c r="G32" s="82">
        <v>1.070364E-2</v>
      </c>
      <c r="H32" s="82">
        <v>0.27500000000000002</v>
      </c>
      <c r="I32" s="82">
        <v>9.9520490000000006</v>
      </c>
      <c r="J32" s="82">
        <v>0.74582479999999995</v>
      </c>
      <c r="K32" s="82">
        <v>2.7632501E-2</v>
      </c>
      <c r="L32" s="82">
        <v>0</v>
      </c>
      <c r="M32" s="82">
        <v>0.15</v>
      </c>
      <c r="N32" s="82">
        <v>0</v>
      </c>
    </row>
    <row r="33" spans="3:16" customFormat="1" ht="15" customHeight="1" x14ac:dyDescent="0.15">
      <c r="C33" s="82">
        <v>32</v>
      </c>
      <c r="E33" s="175" t="s">
        <v>223</v>
      </c>
      <c r="F33" s="82">
        <v>2</v>
      </c>
      <c r="G33" s="82">
        <v>0.97425395299999995</v>
      </c>
      <c r="H33" s="82">
        <v>0</v>
      </c>
      <c r="I33" s="82">
        <v>0</v>
      </c>
      <c r="J33" s="82">
        <v>0.2217568</v>
      </c>
      <c r="K33" s="82">
        <v>0</v>
      </c>
      <c r="L33" s="201">
        <v>0</v>
      </c>
      <c r="M33" s="82">
        <v>0.2</v>
      </c>
      <c r="N33" s="82">
        <v>0</v>
      </c>
      <c r="P33" s="60" t="s">
        <v>231</v>
      </c>
    </row>
    <row r="34" spans="3:16" customFormat="1" ht="15" customHeight="1" x14ac:dyDescent="0.15">
      <c r="C34" s="82">
        <v>33</v>
      </c>
      <c r="E34" s="175" t="s">
        <v>224</v>
      </c>
      <c r="F34" s="82">
        <v>2</v>
      </c>
      <c r="G34" s="82">
        <v>40</v>
      </c>
      <c r="H34" s="82">
        <v>0</v>
      </c>
      <c r="I34" s="82">
        <v>0</v>
      </c>
      <c r="J34" s="82">
        <v>0.83647143800000001</v>
      </c>
      <c r="K34" s="82">
        <v>0</v>
      </c>
      <c r="L34" s="82">
        <v>0</v>
      </c>
      <c r="M34" s="82">
        <v>0</v>
      </c>
      <c r="N34" s="82">
        <v>0</v>
      </c>
    </row>
    <row r="35" spans="3:16" customFormat="1" ht="15" customHeight="1" x14ac:dyDescent="0.15">
      <c r="C35" s="82">
        <v>34</v>
      </c>
      <c r="E35" s="175" t="s">
        <v>225</v>
      </c>
      <c r="F35" s="82">
        <v>2</v>
      </c>
      <c r="G35" s="82">
        <v>5</v>
      </c>
      <c r="H35" s="82">
        <v>0</v>
      </c>
      <c r="I35" s="82">
        <v>0</v>
      </c>
      <c r="J35" s="82">
        <v>0</v>
      </c>
      <c r="K35" s="82">
        <v>0</v>
      </c>
      <c r="L35" s="82">
        <v>0</v>
      </c>
      <c r="M35" s="82">
        <v>0</v>
      </c>
      <c r="N35" s="82">
        <v>0</v>
      </c>
    </row>
    <row r="36" spans="3:16" customFormat="1" ht="15" customHeight="1" x14ac:dyDescent="0.15">
      <c r="C36" s="82">
        <v>35</v>
      </c>
      <c r="E36" s="175" t="s">
        <v>226</v>
      </c>
      <c r="F36" s="82">
        <v>3</v>
      </c>
      <c r="G36" s="82">
        <v>0</v>
      </c>
      <c r="H36" s="82">
        <v>0</v>
      </c>
      <c r="I36" s="82">
        <v>0</v>
      </c>
      <c r="J36" s="82">
        <v>0</v>
      </c>
      <c r="K36" s="82">
        <v>0</v>
      </c>
      <c r="L36" s="82">
        <v>0</v>
      </c>
      <c r="M36" s="82">
        <v>0</v>
      </c>
      <c r="N36" s="82">
        <v>0</v>
      </c>
    </row>
    <row r="37" spans="3:16" customFormat="1" ht="15" customHeight="1" x14ac:dyDescent="0.15"/>
    <row r="38" spans="3:16" customFormat="1" ht="15" customHeight="1" x14ac:dyDescent="0.15"/>
    <row r="39" spans="3:16" customFormat="1" ht="15" customHeight="1" x14ac:dyDescent="0.15"/>
    <row r="40" spans="3:16" customFormat="1" ht="15" customHeight="1" x14ac:dyDescent="0.15"/>
    <row r="41" spans="3:16" customFormat="1" ht="15" customHeight="1" x14ac:dyDescent="0.15"/>
    <row r="42" spans="3:16" customFormat="1" ht="15" customHeight="1" x14ac:dyDescent="0.15"/>
    <row r="43" spans="3:16" customFormat="1" ht="15" customHeight="1" x14ac:dyDescent="0.15"/>
    <row r="44" spans="3:16" customFormat="1" ht="15" customHeight="1" x14ac:dyDescent="0.15"/>
    <row r="45" spans="3:16" customFormat="1" ht="15" customHeight="1" x14ac:dyDescent="0.15"/>
    <row r="46" spans="3:16" customFormat="1" ht="15" customHeight="1" x14ac:dyDescent="0.15"/>
    <row r="47" spans="3:16" customFormat="1" ht="15" customHeight="1" x14ac:dyDescent="0.15"/>
    <row r="48" spans="3:16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I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6.6640625" style="142" bestFit="1" customWidth="1"/>
    <col min="2" max="2" width="2.33203125" style="142" bestFit="1" customWidth="1"/>
    <col min="3" max="3" width="4.83203125" style="142" bestFit="1" customWidth="1"/>
    <col min="4" max="4" width="12.83203125" style="142" bestFit="1" customWidth="1"/>
    <col min="5" max="5" width="13.83203125" style="142" bestFit="1" customWidth="1"/>
    <col min="6" max="7" width="15.83203125" style="142" bestFit="1" customWidth="1"/>
    <col min="8" max="8" width="13.83203125" style="142" bestFit="1" customWidth="1"/>
    <col min="9" max="9" width="14.83203125" style="142" bestFit="1" customWidth="1"/>
    <col min="10" max="11" width="15.83203125" style="142" bestFit="1" customWidth="1"/>
    <col min="12" max="12" width="14.83203125" style="142" bestFit="1" customWidth="1"/>
    <col min="13" max="13" width="15.83203125" style="142" bestFit="1" customWidth="1"/>
    <col min="14" max="14" width="11.83203125" style="142" bestFit="1" customWidth="1"/>
    <col min="15" max="15" width="14.83203125" style="142" bestFit="1" customWidth="1"/>
    <col min="16" max="17" width="13.83203125" style="142" bestFit="1" customWidth="1"/>
    <col min="18" max="19" width="15.83203125" style="142" bestFit="1" customWidth="1"/>
    <col min="20" max="21" width="14.83203125" style="142" bestFit="1" customWidth="1"/>
    <col min="22" max="22" width="13.83203125" style="142" bestFit="1" customWidth="1"/>
    <col min="23" max="27" width="14.83203125" style="142" bestFit="1" customWidth="1"/>
    <col min="28" max="28" width="13.83203125" style="142" bestFit="1" customWidth="1"/>
    <col min="29" max="29" width="15.83203125" style="142" bestFit="1" customWidth="1"/>
    <col min="30" max="32" width="15.83203125" style="142" customWidth="1"/>
    <col min="33" max="35" width="2.33203125" style="142" customWidth="1"/>
    <col min="36" max="16384" width="8.83203125" style="142"/>
  </cols>
  <sheetData>
    <row r="1" spans="1:35" x14ac:dyDescent="0.15">
      <c r="A1" s="141" t="s">
        <v>19</v>
      </c>
      <c r="B1" s="177" t="s">
        <v>192</v>
      </c>
      <c r="C1" s="177" t="s">
        <v>193</v>
      </c>
      <c r="D1" s="177" t="s">
        <v>194</v>
      </c>
      <c r="E1" s="177" t="s">
        <v>195</v>
      </c>
      <c r="F1" s="177" t="s">
        <v>196</v>
      </c>
      <c r="G1" s="177" t="s">
        <v>197</v>
      </c>
      <c r="H1" s="177" t="s">
        <v>198</v>
      </c>
      <c r="I1" s="177" t="s">
        <v>199</v>
      </c>
      <c r="J1" s="177" t="s">
        <v>200</v>
      </c>
      <c r="K1" s="177" t="s">
        <v>201</v>
      </c>
      <c r="L1" s="177" t="s">
        <v>202</v>
      </c>
      <c r="M1" s="177" t="s">
        <v>203</v>
      </c>
      <c r="N1" s="177" t="s">
        <v>204</v>
      </c>
      <c r="O1" s="177" t="s">
        <v>205</v>
      </c>
      <c r="P1" s="177" t="s">
        <v>206</v>
      </c>
      <c r="Q1" s="177" t="s">
        <v>207</v>
      </c>
      <c r="R1" s="177" t="s">
        <v>208</v>
      </c>
      <c r="S1" s="177" t="s">
        <v>209</v>
      </c>
      <c r="T1" s="177" t="s">
        <v>210</v>
      </c>
      <c r="U1" s="177" t="s">
        <v>211</v>
      </c>
      <c r="V1" s="177" t="s">
        <v>212</v>
      </c>
      <c r="W1" s="177" t="s">
        <v>213</v>
      </c>
      <c r="X1" s="177" t="s">
        <v>214</v>
      </c>
      <c r="Y1" s="177" t="s">
        <v>215</v>
      </c>
      <c r="Z1" s="177" t="s">
        <v>216</v>
      </c>
      <c r="AA1" s="177" t="s">
        <v>217</v>
      </c>
      <c r="AB1" s="177" t="s">
        <v>218</v>
      </c>
      <c r="AC1" s="177" t="s">
        <v>219</v>
      </c>
      <c r="AD1" s="177" t="s">
        <v>220</v>
      </c>
      <c r="AE1" s="177" t="s">
        <v>221</v>
      </c>
      <c r="AF1" s="177" t="s">
        <v>222</v>
      </c>
      <c r="AG1" s="177" t="s">
        <v>223</v>
      </c>
      <c r="AH1" s="177" t="s">
        <v>224</v>
      </c>
      <c r="AI1" s="177" t="s">
        <v>225</v>
      </c>
    </row>
    <row r="2" spans="1:35" customFormat="1" x14ac:dyDescent="0.15">
      <c r="A2" s="176" t="s">
        <v>192</v>
      </c>
      <c r="B2" s="142">
        <v>0</v>
      </c>
      <c r="C2" s="142">
        <v>0.15</v>
      </c>
      <c r="D2" s="142">
        <v>0.19707978994893072</v>
      </c>
      <c r="E2" s="142">
        <v>0.69814768941868111</v>
      </c>
      <c r="F2" s="142">
        <v>0.54512870280087122</v>
      </c>
      <c r="G2" s="142">
        <v>8.6522131878741276E-2</v>
      </c>
      <c r="H2" s="142">
        <v>0.22501549752482952</v>
      </c>
      <c r="I2" s="142">
        <v>2.0342855416591948E-2</v>
      </c>
      <c r="J2" s="142">
        <v>0.12251430136166244</v>
      </c>
      <c r="K2" s="142">
        <v>0.16704901434844074</v>
      </c>
      <c r="L2" s="142">
        <v>0.42396277602764637</v>
      </c>
      <c r="M2" s="142">
        <v>0.207824165027757</v>
      </c>
      <c r="N2" s="142">
        <v>0.60000043199999364</v>
      </c>
      <c r="O2" s="142">
        <v>0</v>
      </c>
      <c r="P2" s="142">
        <v>5.7467351289808406E-2</v>
      </c>
      <c r="Q2" s="142">
        <v>5.9386608494099415E-2</v>
      </c>
      <c r="R2" s="142">
        <v>1.1793005702099296E-2</v>
      </c>
      <c r="S2" s="142">
        <v>0.15749751839146778</v>
      </c>
      <c r="T2" s="142">
        <v>0</v>
      </c>
      <c r="U2" s="142">
        <v>1.1038493056040558E-2</v>
      </c>
      <c r="V2" s="142">
        <v>0</v>
      </c>
      <c r="W2" s="142">
        <v>0</v>
      </c>
      <c r="X2" s="142">
        <v>0</v>
      </c>
      <c r="Y2" s="142">
        <v>0</v>
      </c>
      <c r="Z2" s="142">
        <v>0</v>
      </c>
      <c r="AA2" s="142">
        <v>0</v>
      </c>
      <c r="AB2" s="142">
        <v>0</v>
      </c>
      <c r="AC2" s="142">
        <v>0</v>
      </c>
      <c r="AD2" s="142">
        <v>0</v>
      </c>
      <c r="AE2" s="142">
        <v>0</v>
      </c>
      <c r="AF2" s="142">
        <v>0</v>
      </c>
      <c r="AG2" s="142">
        <v>0</v>
      </c>
      <c r="AH2" s="142">
        <v>0</v>
      </c>
      <c r="AI2" s="142">
        <v>0</v>
      </c>
    </row>
    <row r="3" spans="1:35" customFormat="1" x14ac:dyDescent="0.15">
      <c r="A3" s="176" t="s">
        <v>193</v>
      </c>
      <c r="B3" s="142">
        <v>0</v>
      </c>
      <c r="C3" s="142">
        <v>0</v>
      </c>
      <c r="D3" s="142">
        <v>0.21386270609300201</v>
      </c>
      <c r="E3" s="142">
        <v>0</v>
      </c>
      <c r="F3" s="142">
        <v>0</v>
      </c>
      <c r="G3" s="142">
        <v>2.0121417769474032E-2</v>
      </c>
      <c r="H3" s="142">
        <v>0</v>
      </c>
      <c r="I3" s="142">
        <v>2.0342855416591948E-2</v>
      </c>
      <c r="J3" s="142">
        <v>0.29494161338915753</v>
      </c>
      <c r="K3" s="142">
        <v>0.14756009562447459</v>
      </c>
      <c r="L3" s="142">
        <v>0.1957611458597309</v>
      </c>
      <c r="M3" s="142">
        <v>0.2231668315868548</v>
      </c>
      <c r="N3" s="142">
        <v>0.19999941900000875</v>
      </c>
      <c r="O3" s="142">
        <v>0.19088516181745349</v>
      </c>
      <c r="P3" s="142">
        <v>0.34054721068034011</v>
      </c>
      <c r="Q3" s="142">
        <v>0</v>
      </c>
      <c r="R3" s="142">
        <v>0</v>
      </c>
      <c r="S3" s="142">
        <v>0</v>
      </c>
      <c r="T3" s="142">
        <v>0</v>
      </c>
      <c r="U3" s="142">
        <v>0</v>
      </c>
      <c r="V3" s="142">
        <v>0</v>
      </c>
      <c r="W3" s="142">
        <v>0</v>
      </c>
      <c r="X3" s="142">
        <v>0</v>
      </c>
      <c r="Y3" s="142">
        <v>0</v>
      </c>
      <c r="Z3" s="142">
        <v>0</v>
      </c>
      <c r="AA3" s="142">
        <v>0</v>
      </c>
      <c r="AB3" s="142">
        <v>0</v>
      </c>
      <c r="AC3" s="142">
        <v>0</v>
      </c>
      <c r="AD3" s="142">
        <v>0</v>
      </c>
      <c r="AE3" s="142">
        <v>0</v>
      </c>
      <c r="AF3" s="142">
        <v>0</v>
      </c>
      <c r="AG3" s="142">
        <v>0</v>
      </c>
      <c r="AH3" s="142">
        <v>0</v>
      </c>
      <c r="AI3" s="142">
        <v>0</v>
      </c>
    </row>
    <row r="4" spans="1:35" customFormat="1" x14ac:dyDescent="0.15">
      <c r="A4" s="176" t="s">
        <v>194</v>
      </c>
      <c r="B4" s="142">
        <v>0</v>
      </c>
      <c r="C4" s="142">
        <v>0</v>
      </c>
      <c r="D4" s="142">
        <v>0.12920468341056116</v>
      </c>
      <c r="E4" s="142">
        <v>8.2535978769023757E-2</v>
      </c>
      <c r="F4" s="142">
        <v>5.9253130304442576E-2</v>
      </c>
      <c r="G4" s="142">
        <v>5.0303564173686713E-2</v>
      </c>
      <c r="H4" s="142">
        <v>0</v>
      </c>
      <c r="I4" s="142">
        <v>6.102857184977601E-2</v>
      </c>
      <c r="J4" s="142">
        <v>0</v>
      </c>
      <c r="K4" s="142">
        <v>0</v>
      </c>
      <c r="L4" s="142">
        <v>0</v>
      </c>
      <c r="M4" s="142">
        <v>0</v>
      </c>
      <c r="N4" s="142">
        <v>0</v>
      </c>
      <c r="O4" s="142">
        <v>0</v>
      </c>
      <c r="P4" s="142">
        <v>0</v>
      </c>
      <c r="Q4" s="142">
        <v>0</v>
      </c>
      <c r="R4" s="142">
        <v>0</v>
      </c>
      <c r="S4" s="142">
        <v>0</v>
      </c>
      <c r="T4" s="142">
        <v>0</v>
      </c>
      <c r="U4" s="142">
        <v>0</v>
      </c>
      <c r="V4" s="142">
        <v>0</v>
      </c>
      <c r="W4" s="142">
        <v>0</v>
      </c>
      <c r="X4" s="142">
        <v>0</v>
      </c>
      <c r="Y4" s="142">
        <v>0</v>
      </c>
      <c r="Z4" s="142">
        <v>0</v>
      </c>
      <c r="AA4" s="142">
        <v>0</v>
      </c>
      <c r="AB4" s="142">
        <v>0</v>
      </c>
      <c r="AC4" s="142">
        <v>0</v>
      </c>
      <c r="AD4" s="142">
        <v>0</v>
      </c>
      <c r="AE4" s="142">
        <v>0</v>
      </c>
      <c r="AF4" s="142">
        <v>0</v>
      </c>
      <c r="AG4" s="142">
        <v>0</v>
      </c>
      <c r="AH4" s="142">
        <v>0</v>
      </c>
      <c r="AI4" s="142">
        <v>0</v>
      </c>
    </row>
    <row r="5" spans="1:35" customFormat="1" x14ac:dyDescent="0.15">
      <c r="A5" s="176" t="s">
        <v>195</v>
      </c>
      <c r="B5" s="142">
        <v>0</v>
      </c>
      <c r="C5" s="142">
        <v>0</v>
      </c>
      <c r="D5" s="142">
        <v>0</v>
      </c>
      <c r="E5" s="142">
        <v>9.2325694551656748E-2</v>
      </c>
      <c r="F5" s="142">
        <v>0.18880464197007824</v>
      </c>
      <c r="G5" s="142">
        <v>0.37124028880180676</v>
      </c>
      <c r="H5" s="142">
        <v>0.25013252824854215</v>
      </c>
      <c r="I5" s="142">
        <v>0.50857141541479955</v>
      </c>
      <c r="J5" s="142">
        <v>0</v>
      </c>
      <c r="K5" s="142">
        <v>1.5312828440274031E-2</v>
      </c>
      <c r="L5" s="142">
        <v>0</v>
      </c>
      <c r="M5" s="142">
        <v>0</v>
      </c>
      <c r="N5" s="142">
        <v>0</v>
      </c>
      <c r="O5" s="142">
        <v>0</v>
      </c>
      <c r="P5" s="142">
        <v>0</v>
      </c>
      <c r="Q5" s="142">
        <v>0.43397925464916792</v>
      </c>
      <c r="R5" s="142">
        <v>0.12757889461361904</v>
      </c>
      <c r="S5" s="142">
        <v>0.11536443814661726</v>
      </c>
      <c r="T5" s="142">
        <v>0</v>
      </c>
      <c r="U5" s="142">
        <v>7.9276457529745603E-2</v>
      </c>
      <c r="V5" s="142">
        <v>0</v>
      </c>
      <c r="W5" s="142">
        <v>0</v>
      </c>
      <c r="X5" s="142">
        <v>0</v>
      </c>
      <c r="Y5" s="142">
        <v>0</v>
      </c>
      <c r="Z5" s="142">
        <v>0</v>
      </c>
      <c r="AA5" s="142">
        <v>0</v>
      </c>
      <c r="AB5" s="142">
        <v>0</v>
      </c>
      <c r="AC5" s="142">
        <v>0</v>
      </c>
      <c r="AD5" s="142">
        <v>5.8961736458668597E-2</v>
      </c>
      <c r="AE5" s="142">
        <v>0</v>
      </c>
      <c r="AF5" s="142">
        <v>0</v>
      </c>
      <c r="AG5" s="142">
        <v>0</v>
      </c>
      <c r="AH5" s="142">
        <v>0</v>
      </c>
      <c r="AI5" s="142">
        <v>0</v>
      </c>
    </row>
    <row r="6" spans="1:35" customFormat="1" x14ac:dyDescent="0.15">
      <c r="A6" s="176" t="s">
        <v>196</v>
      </c>
      <c r="B6" s="142">
        <v>0</v>
      </c>
      <c r="C6" s="142">
        <v>0</v>
      </c>
      <c r="D6" s="142">
        <v>0</v>
      </c>
      <c r="E6" s="142">
        <v>0</v>
      </c>
      <c r="F6" s="142">
        <v>0.12206140062715147</v>
      </c>
      <c r="G6" s="142">
        <v>0.41248923422423178</v>
      </c>
      <c r="H6" s="142">
        <v>0.24062189735315911</v>
      </c>
      <c r="I6" s="142">
        <v>0.37634287440695252</v>
      </c>
      <c r="J6" s="142">
        <v>0</v>
      </c>
      <c r="K6" s="142">
        <v>2.9233577085977069E-2</v>
      </c>
      <c r="L6" s="142">
        <v>0</v>
      </c>
      <c r="M6" s="142">
        <v>0</v>
      </c>
      <c r="N6" s="142">
        <v>0</v>
      </c>
      <c r="O6" s="142">
        <v>0</v>
      </c>
      <c r="P6" s="142">
        <v>0</v>
      </c>
      <c r="Q6" s="142">
        <v>0.25125107374426281</v>
      </c>
      <c r="R6" s="142">
        <v>0.43741338153240694</v>
      </c>
      <c r="S6" s="142">
        <v>0.45142602405197851</v>
      </c>
      <c r="T6" s="142">
        <v>0.10355120100548217</v>
      </c>
      <c r="U6" s="142">
        <v>0.87537937272317889</v>
      </c>
      <c r="V6" s="142">
        <v>0</v>
      </c>
      <c r="W6" s="142">
        <v>0</v>
      </c>
      <c r="X6" s="142">
        <v>0</v>
      </c>
      <c r="Y6" s="142">
        <v>0</v>
      </c>
      <c r="Z6" s="142">
        <v>0</v>
      </c>
      <c r="AA6" s="142">
        <v>3.2425283663621809E-2</v>
      </c>
      <c r="AB6" s="142">
        <v>0</v>
      </c>
      <c r="AC6" s="142">
        <v>0</v>
      </c>
      <c r="AD6" s="142">
        <v>0.45034568433086619</v>
      </c>
      <c r="AE6" s="142">
        <v>0</v>
      </c>
      <c r="AF6" s="142">
        <v>3.2054729895950346E-2</v>
      </c>
      <c r="AG6" s="142">
        <v>0</v>
      </c>
      <c r="AH6" s="142">
        <v>0</v>
      </c>
      <c r="AI6" s="142">
        <v>0</v>
      </c>
    </row>
    <row r="7" spans="1:35" customFormat="1" x14ac:dyDescent="0.15">
      <c r="A7" s="176" t="s">
        <v>197</v>
      </c>
      <c r="B7" s="142">
        <v>0</v>
      </c>
      <c r="C7" s="142">
        <v>0</v>
      </c>
      <c r="D7" s="142">
        <v>0</v>
      </c>
      <c r="E7" s="142">
        <v>0</v>
      </c>
      <c r="F7" s="142">
        <v>5.9209663704219248E-2</v>
      </c>
      <c r="G7" s="142">
        <v>2.0121417769474032E-2</v>
      </c>
      <c r="H7" s="142">
        <v>0</v>
      </c>
      <c r="I7" s="142">
        <v>0</v>
      </c>
      <c r="J7" s="142">
        <v>0</v>
      </c>
      <c r="K7" s="142">
        <v>0</v>
      </c>
      <c r="L7" s="142">
        <v>0</v>
      </c>
      <c r="M7" s="142">
        <v>0</v>
      </c>
      <c r="N7" s="142">
        <v>0</v>
      </c>
      <c r="O7" s="142">
        <v>0</v>
      </c>
      <c r="P7" s="142">
        <v>0</v>
      </c>
      <c r="Q7" s="142">
        <v>0</v>
      </c>
      <c r="R7" s="142">
        <v>6.2181309974705078E-2</v>
      </c>
      <c r="S7" s="142">
        <v>0.22270349886564242</v>
      </c>
      <c r="T7" s="142">
        <v>0</v>
      </c>
      <c r="U7" s="142">
        <v>0</v>
      </c>
      <c r="V7" s="142">
        <v>1.0798259402856255E-2</v>
      </c>
      <c r="W7" s="142">
        <v>0</v>
      </c>
      <c r="X7" s="142">
        <v>1.2702581264897338E-2</v>
      </c>
      <c r="Y7" s="142">
        <v>1.5085633168675124E-2</v>
      </c>
      <c r="Z7" s="142">
        <v>1.0281162819869695E-3</v>
      </c>
      <c r="AA7" s="142">
        <v>1.0808427854540606E-3</v>
      </c>
      <c r="AB7" s="142">
        <v>9.3599999988768001E-2</v>
      </c>
      <c r="AC7" s="142">
        <v>0</v>
      </c>
      <c r="AD7" s="142">
        <v>2.033163222712699E-2</v>
      </c>
      <c r="AE7" s="142">
        <v>5.1817263193175943E-2</v>
      </c>
      <c r="AF7" s="142">
        <v>0</v>
      </c>
      <c r="AG7" s="142">
        <v>0</v>
      </c>
      <c r="AH7" s="142">
        <v>0</v>
      </c>
      <c r="AI7" s="142">
        <v>0</v>
      </c>
    </row>
    <row r="8" spans="1:35" customFormat="1" x14ac:dyDescent="0.15">
      <c r="A8" s="176" t="s">
        <v>198</v>
      </c>
      <c r="B8" s="142">
        <v>0</v>
      </c>
      <c r="C8" s="142">
        <v>0</v>
      </c>
      <c r="D8" s="142">
        <v>0</v>
      </c>
      <c r="E8" s="142">
        <v>0</v>
      </c>
      <c r="F8" s="142">
        <v>0</v>
      </c>
      <c r="G8" s="142">
        <v>0</v>
      </c>
      <c r="H8" s="142">
        <v>5.7240779370351422E-2</v>
      </c>
      <c r="I8" s="142">
        <v>1.0171427708295974E-2</v>
      </c>
      <c r="J8" s="142">
        <v>0</v>
      </c>
      <c r="K8" s="142">
        <v>0</v>
      </c>
      <c r="L8" s="142">
        <v>0</v>
      </c>
      <c r="M8" s="142">
        <v>0</v>
      </c>
      <c r="N8" s="142">
        <v>0</v>
      </c>
      <c r="O8" s="142">
        <v>0</v>
      </c>
      <c r="P8" s="142">
        <v>0.1149347023796168</v>
      </c>
      <c r="Q8" s="142">
        <v>6.8523032839343065E-2</v>
      </c>
      <c r="R8" s="142">
        <v>0.22835549035883115</v>
      </c>
      <c r="S8" s="142">
        <v>4.2133095144851307E-2</v>
      </c>
      <c r="T8" s="142">
        <v>0.50394930489334777</v>
      </c>
      <c r="U8" s="142">
        <v>1.9066487805888242E-2</v>
      </c>
      <c r="V8" s="142">
        <v>0</v>
      </c>
      <c r="W8" s="142">
        <v>1.0889958102268545E-3</v>
      </c>
      <c r="X8" s="142">
        <v>3.7049186689284676E-2</v>
      </c>
      <c r="Y8" s="142">
        <v>1.0775451291910787E-3</v>
      </c>
      <c r="Z8" s="142">
        <v>3.4955950667557106E-2</v>
      </c>
      <c r="AA8" s="142">
        <v>0</v>
      </c>
      <c r="AB8" s="142">
        <v>0</v>
      </c>
      <c r="AC8" s="142">
        <v>8.0960295338973226E-2</v>
      </c>
      <c r="AD8" s="142">
        <v>0.29379207118198342</v>
      </c>
      <c r="AE8" s="142">
        <v>2.5908631596587971E-2</v>
      </c>
      <c r="AF8" s="142">
        <v>0.13142439957339641</v>
      </c>
      <c r="AG8" s="142">
        <v>0</v>
      </c>
      <c r="AH8" s="142">
        <v>0</v>
      </c>
      <c r="AI8" s="142">
        <v>0</v>
      </c>
    </row>
    <row r="9" spans="1:35" customFormat="1" x14ac:dyDescent="0.15">
      <c r="A9" s="176" t="s">
        <v>199</v>
      </c>
      <c r="B9" s="142">
        <v>0</v>
      </c>
      <c r="C9" s="142">
        <v>0</v>
      </c>
      <c r="D9" s="142">
        <v>0</v>
      </c>
      <c r="E9" s="142">
        <v>0</v>
      </c>
      <c r="F9" s="142">
        <v>0</v>
      </c>
      <c r="G9" s="142">
        <v>8.6881627208568602E-4</v>
      </c>
      <c r="H9" s="142">
        <v>0</v>
      </c>
      <c r="I9" s="142">
        <v>0</v>
      </c>
      <c r="J9" s="142">
        <v>0</v>
      </c>
      <c r="K9" s="142">
        <v>0</v>
      </c>
      <c r="L9" s="142">
        <v>0</v>
      </c>
      <c r="M9" s="142">
        <v>0</v>
      </c>
      <c r="N9" s="142">
        <v>0</v>
      </c>
      <c r="O9" s="142">
        <v>0</v>
      </c>
      <c r="P9" s="142">
        <v>0</v>
      </c>
      <c r="Q9" s="142">
        <v>0</v>
      </c>
      <c r="R9" s="142">
        <v>0</v>
      </c>
      <c r="S9" s="142">
        <v>0</v>
      </c>
      <c r="T9" s="142">
        <v>0</v>
      </c>
      <c r="U9" s="142">
        <v>0</v>
      </c>
      <c r="V9" s="142">
        <v>0</v>
      </c>
      <c r="W9" s="142">
        <v>0</v>
      </c>
      <c r="X9" s="142">
        <v>0</v>
      </c>
      <c r="Y9" s="142">
        <v>0</v>
      </c>
      <c r="Z9" s="142">
        <v>0</v>
      </c>
      <c r="AA9" s="142">
        <v>1.0808431254540528E-2</v>
      </c>
      <c r="AB9" s="142">
        <v>1.3000001198439999E-3</v>
      </c>
      <c r="AC9" s="142">
        <v>0</v>
      </c>
      <c r="AD9" s="142">
        <v>5.0829081767817617E-3</v>
      </c>
      <c r="AE9" s="142">
        <v>2.0726899517270511E-2</v>
      </c>
      <c r="AF9" s="142">
        <v>1.0684909965316782E-3</v>
      </c>
      <c r="AG9" s="142">
        <v>0</v>
      </c>
      <c r="AH9" s="142">
        <v>0</v>
      </c>
      <c r="AI9" s="142">
        <v>0</v>
      </c>
    </row>
    <row r="10" spans="1:35" customFormat="1" x14ac:dyDescent="0.15">
      <c r="A10" s="176" t="s">
        <v>200</v>
      </c>
      <c r="B10" s="142">
        <v>0</v>
      </c>
      <c r="C10" s="142">
        <v>0</v>
      </c>
      <c r="D10" s="142">
        <v>0</v>
      </c>
      <c r="E10" s="142">
        <v>0</v>
      </c>
      <c r="F10" s="142">
        <v>0</v>
      </c>
      <c r="G10" s="142">
        <v>0</v>
      </c>
      <c r="H10" s="142">
        <v>0</v>
      </c>
      <c r="I10" s="142">
        <v>0</v>
      </c>
      <c r="J10" s="142">
        <v>4.7611842658513981E-2</v>
      </c>
      <c r="K10" s="142">
        <v>0.13920757645704299</v>
      </c>
      <c r="L10" s="142">
        <v>0</v>
      </c>
      <c r="M10" s="142">
        <v>6.9739617995892608E-2</v>
      </c>
      <c r="N10" s="142">
        <v>0</v>
      </c>
      <c r="O10" s="142">
        <v>0.10657755743974648</v>
      </c>
      <c r="P10" s="142">
        <v>0</v>
      </c>
      <c r="Q10" s="142">
        <v>4.568201522622941E-2</v>
      </c>
      <c r="R10" s="142">
        <v>5.3604577736814721E-3</v>
      </c>
      <c r="S10" s="142">
        <v>0</v>
      </c>
      <c r="T10" s="142">
        <v>0</v>
      </c>
      <c r="U10" s="142">
        <v>3.0104982661928745E-3</v>
      </c>
      <c r="V10" s="142">
        <v>0</v>
      </c>
      <c r="W10" s="142">
        <v>9.4742647409736008E-2</v>
      </c>
      <c r="X10" s="142">
        <v>0.20853404336539785</v>
      </c>
      <c r="Y10" s="142">
        <v>1.0775451291910787E-3</v>
      </c>
      <c r="Z10" s="142">
        <v>0</v>
      </c>
      <c r="AA10" s="142">
        <v>0</v>
      </c>
      <c r="AB10" s="142">
        <v>0</v>
      </c>
      <c r="AC10" s="142">
        <v>0</v>
      </c>
      <c r="AD10" s="142">
        <v>0</v>
      </c>
      <c r="AE10" s="142">
        <v>0</v>
      </c>
      <c r="AF10" s="142">
        <v>0</v>
      </c>
      <c r="AG10" s="142">
        <v>0</v>
      </c>
      <c r="AH10" s="142">
        <v>0</v>
      </c>
      <c r="AI10" s="142">
        <v>0</v>
      </c>
    </row>
    <row r="11" spans="1:35" customFormat="1" x14ac:dyDescent="0.15">
      <c r="A11" s="176" t="s">
        <v>201</v>
      </c>
      <c r="B11" s="142">
        <v>0</v>
      </c>
      <c r="C11" s="142">
        <v>0</v>
      </c>
      <c r="D11" s="142">
        <v>0</v>
      </c>
      <c r="E11" s="142">
        <v>0</v>
      </c>
      <c r="F11" s="142">
        <v>1.201206126171797E-3</v>
      </c>
      <c r="G11" s="142">
        <v>0</v>
      </c>
      <c r="H11" s="142">
        <v>0</v>
      </c>
      <c r="I11" s="142">
        <v>0</v>
      </c>
      <c r="J11" s="142">
        <v>4.3712683237785138E-3</v>
      </c>
      <c r="K11" s="142">
        <v>1.8643378105784959E-2</v>
      </c>
      <c r="L11" s="142">
        <v>0</v>
      </c>
      <c r="M11" s="142">
        <v>9.5349657259936917E-3</v>
      </c>
      <c r="N11" s="142">
        <v>0</v>
      </c>
      <c r="O11" s="142">
        <v>7.2040363140162239E-2</v>
      </c>
      <c r="P11" s="142">
        <v>5.7467351289808406E-2</v>
      </c>
      <c r="Q11" s="142">
        <v>2.6566415123809618E-2</v>
      </c>
      <c r="R11" s="142">
        <v>3.5687344493280308E-2</v>
      </c>
      <c r="S11" s="142">
        <v>1.4014727946704704E-3</v>
      </c>
      <c r="T11" s="142">
        <v>0.15532682950822352</v>
      </c>
      <c r="U11" s="142">
        <v>4.2006948691063481E-3</v>
      </c>
      <c r="V11" s="142">
        <v>2.3756174886283524E-2</v>
      </c>
      <c r="W11" s="142">
        <v>0.17750633814697672</v>
      </c>
      <c r="X11" s="142">
        <v>0.18736307125723595</v>
      </c>
      <c r="Y11" s="142">
        <v>1.0775451291910787E-3</v>
      </c>
      <c r="Z11" s="142">
        <v>1.1309278571856689E-2</v>
      </c>
      <c r="AA11" s="142">
        <v>1.0808431254540528E-2</v>
      </c>
      <c r="AB11" s="142">
        <v>0</v>
      </c>
      <c r="AC11" s="142">
        <v>0</v>
      </c>
      <c r="AD11" s="142">
        <v>5.8961736458668597E-2</v>
      </c>
      <c r="AE11" s="142">
        <v>0</v>
      </c>
      <c r="AF11" s="142">
        <v>0</v>
      </c>
      <c r="AG11" s="142">
        <v>0</v>
      </c>
      <c r="AH11" s="142">
        <v>0</v>
      </c>
      <c r="AI11" s="142">
        <v>0</v>
      </c>
    </row>
    <row r="12" spans="1:35" customFormat="1" x14ac:dyDescent="0.15">
      <c r="A12" s="176" t="s">
        <v>202</v>
      </c>
      <c r="B12" s="142">
        <v>0</v>
      </c>
      <c r="C12" s="142">
        <v>0</v>
      </c>
      <c r="D12" s="142">
        <v>0</v>
      </c>
      <c r="E12" s="142">
        <v>0</v>
      </c>
      <c r="F12" s="142">
        <v>0</v>
      </c>
      <c r="G12" s="142">
        <v>0</v>
      </c>
      <c r="H12" s="142">
        <v>0</v>
      </c>
      <c r="I12" s="142">
        <v>0</v>
      </c>
      <c r="J12" s="142">
        <v>2.3541539743949093E-3</v>
      </c>
      <c r="K12" s="142">
        <v>4.3386606064145926E-2</v>
      </c>
      <c r="L12" s="142">
        <v>1.6706533858712073E-2</v>
      </c>
      <c r="M12" s="142">
        <v>3.4189413217498833E-2</v>
      </c>
      <c r="N12" s="142">
        <v>0</v>
      </c>
      <c r="O12" s="142">
        <v>0.14477699640732414</v>
      </c>
      <c r="P12" s="142">
        <v>0</v>
      </c>
      <c r="Q12" s="142">
        <v>1.2918516550015021E-2</v>
      </c>
      <c r="R12" s="142">
        <v>4.8225221963931119E-3</v>
      </c>
      <c r="S12" s="142">
        <v>9.8177025230871892E-4</v>
      </c>
      <c r="T12" s="142">
        <v>0</v>
      </c>
      <c r="U12" s="142">
        <v>0</v>
      </c>
      <c r="V12" s="142">
        <v>1.079826090285617E-3</v>
      </c>
      <c r="W12" s="142">
        <v>4.2470828838847542E-2</v>
      </c>
      <c r="X12" s="142">
        <v>0.12702581664897303</v>
      </c>
      <c r="Y12" s="142">
        <v>3.2326356175732397E-3</v>
      </c>
      <c r="Z12" s="142">
        <v>0</v>
      </c>
      <c r="AA12" s="142">
        <v>0</v>
      </c>
      <c r="AB12" s="142">
        <v>0</v>
      </c>
      <c r="AC12" s="142">
        <v>0</v>
      </c>
      <c r="AD12" s="142">
        <v>1.2198979436276207E-2</v>
      </c>
      <c r="AE12" s="142">
        <v>0</v>
      </c>
      <c r="AF12" s="142">
        <v>0</v>
      </c>
      <c r="AG12" s="142">
        <v>0</v>
      </c>
      <c r="AH12" s="142">
        <v>0</v>
      </c>
      <c r="AI12" s="142">
        <v>0</v>
      </c>
    </row>
    <row r="13" spans="1:35" customFormat="1" x14ac:dyDescent="0.15">
      <c r="A13" s="176" t="s">
        <v>203</v>
      </c>
      <c r="B13" s="142">
        <v>0</v>
      </c>
      <c r="C13" s="142">
        <v>0</v>
      </c>
      <c r="D13" s="142">
        <v>0</v>
      </c>
      <c r="E13" s="142">
        <v>0</v>
      </c>
      <c r="F13" s="142">
        <v>6.4000004528832013E-4</v>
      </c>
      <c r="G13" s="142">
        <v>0</v>
      </c>
      <c r="H13" s="142">
        <v>0</v>
      </c>
      <c r="I13" s="142">
        <v>0</v>
      </c>
      <c r="J13" s="142">
        <v>8.1728970914822351E-3</v>
      </c>
      <c r="K13" s="142">
        <v>5.041455704644264E-2</v>
      </c>
      <c r="L13" s="142">
        <v>8.3206660790463294E-3</v>
      </c>
      <c r="M13" s="142">
        <v>2.4593110393267788E-2</v>
      </c>
      <c r="N13" s="142">
        <v>0</v>
      </c>
      <c r="O13" s="142">
        <v>0.15667021157664657</v>
      </c>
      <c r="P13" s="142">
        <v>3.0365211470636928E-2</v>
      </c>
      <c r="Q13" s="142">
        <v>1.0426778210401676E-2</v>
      </c>
      <c r="R13" s="142">
        <v>4.8071800570408576E-3</v>
      </c>
      <c r="S13" s="142">
        <v>1.4699999783215987E-3</v>
      </c>
      <c r="T13" s="142">
        <v>1.7258534367580371E-2</v>
      </c>
      <c r="U13" s="142">
        <v>0</v>
      </c>
      <c r="V13" s="142">
        <v>2.3756174886283524E-2</v>
      </c>
      <c r="W13" s="142">
        <v>0.19928619455151542</v>
      </c>
      <c r="X13" s="142">
        <v>0.12490873383815554</v>
      </c>
      <c r="Y13" s="142">
        <v>4.2024262948452115E-2</v>
      </c>
      <c r="Z13" s="142">
        <v>1.1309278571856689E-2</v>
      </c>
      <c r="AA13" s="142">
        <v>1.0808431254540528E-2</v>
      </c>
      <c r="AB13" s="142">
        <v>0</v>
      </c>
      <c r="AC13" s="142">
        <v>0</v>
      </c>
      <c r="AD13" s="142">
        <v>1.154516296465715E-2</v>
      </c>
      <c r="AE13" s="142">
        <v>0</v>
      </c>
      <c r="AF13" s="142">
        <v>0</v>
      </c>
      <c r="AG13" s="142">
        <v>0</v>
      </c>
      <c r="AH13" s="142">
        <v>0</v>
      </c>
      <c r="AI13" s="142">
        <v>0</v>
      </c>
    </row>
    <row r="14" spans="1:35" customFormat="1" x14ac:dyDescent="0.15">
      <c r="A14" s="176" t="s">
        <v>204</v>
      </c>
      <c r="B14" s="142">
        <v>0</v>
      </c>
      <c r="C14" s="142">
        <v>0</v>
      </c>
      <c r="D14" s="142">
        <v>0</v>
      </c>
      <c r="E14" s="142">
        <v>0</v>
      </c>
      <c r="F14" s="142">
        <v>0</v>
      </c>
      <c r="G14" s="142">
        <v>0</v>
      </c>
      <c r="H14" s="142">
        <v>0</v>
      </c>
      <c r="I14" s="142">
        <v>0</v>
      </c>
      <c r="J14" s="142">
        <v>3.4031734544904117E-3</v>
      </c>
      <c r="K14" s="142">
        <v>1.5312828440274031E-2</v>
      </c>
      <c r="L14" s="142">
        <v>1.2304986916897376E-2</v>
      </c>
      <c r="M14" s="142">
        <v>5.5791701496713877E-3</v>
      </c>
      <c r="N14" s="142">
        <v>0</v>
      </c>
      <c r="O14" s="142">
        <v>5.2493421574800095E-2</v>
      </c>
      <c r="P14" s="142">
        <v>0</v>
      </c>
      <c r="Q14" s="142">
        <v>0</v>
      </c>
      <c r="R14" s="142">
        <v>0</v>
      </c>
      <c r="S14" s="142">
        <v>0</v>
      </c>
      <c r="T14" s="142">
        <v>0</v>
      </c>
      <c r="U14" s="142">
        <v>0</v>
      </c>
      <c r="V14" s="142">
        <v>1.079826090285617E-3</v>
      </c>
      <c r="W14" s="142">
        <v>6.7517738154065046E-2</v>
      </c>
      <c r="X14" s="142">
        <v>4.5517582132548862E-2</v>
      </c>
      <c r="Y14" s="142">
        <v>0.20473356864630482</v>
      </c>
      <c r="Z14" s="142">
        <v>0</v>
      </c>
      <c r="AA14" s="142">
        <v>0</v>
      </c>
      <c r="AB14" s="142">
        <v>0</v>
      </c>
      <c r="AC14" s="142">
        <v>0</v>
      </c>
      <c r="AD14" s="142">
        <v>0</v>
      </c>
      <c r="AE14" s="142">
        <v>0</v>
      </c>
      <c r="AF14" s="142">
        <v>0</v>
      </c>
      <c r="AG14" s="142">
        <v>0</v>
      </c>
      <c r="AH14" s="142">
        <v>0</v>
      </c>
      <c r="AI14" s="142">
        <v>0</v>
      </c>
    </row>
    <row r="15" spans="1:35" customFormat="1" x14ac:dyDescent="0.15">
      <c r="A15" s="176" t="s">
        <v>205</v>
      </c>
      <c r="B15" s="142">
        <v>0</v>
      </c>
      <c r="C15" s="142">
        <v>0</v>
      </c>
      <c r="D15" s="142">
        <v>0</v>
      </c>
      <c r="E15" s="142">
        <v>0</v>
      </c>
      <c r="F15" s="142">
        <v>0</v>
      </c>
      <c r="G15" s="142">
        <v>0</v>
      </c>
      <c r="H15" s="142">
        <v>0</v>
      </c>
      <c r="I15" s="142">
        <v>0</v>
      </c>
      <c r="J15" s="142">
        <v>4.8278930547602898E-4</v>
      </c>
      <c r="K15" s="142">
        <v>2.4741630758137729E-3</v>
      </c>
      <c r="L15" s="142">
        <v>1.7601410167213396E-3</v>
      </c>
      <c r="M15" s="142">
        <v>8.2673317624216893E-3</v>
      </c>
      <c r="N15" s="142">
        <v>0</v>
      </c>
      <c r="O15" s="142">
        <v>2.6779647184607645E-2</v>
      </c>
      <c r="P15" s="142">
        <v>0</v>
      </c>
      <c r="Q15" s="142">
        <v>0</v>
      </c>
      <c r="R15" s="142">
        <v>0</v>
      </c>
      <c r="S15" s="142">
        <v>0</v>
      </c>
      <c r="T15" s="142">
        <v>0</v>
      </c>
      <c r="U15" s="142">
        <v>0</v>
      </c>
      <c r="V15" s="142">
        <v>4.3193037611425018E-2</v>
      </c>
      <c r="W15" s="142">
        <v>8.1674687767014031E-2</v>
      </c>
      <c r="X15" s="142">
        <v>0.10585484454081108</v>
      </c>
      <c r="Y15" s="142">
        <v>6.0342531074700466E-2</v>
      </c>
      <c r="Z15" s="142">
        <v>1.1309278571856689E-2</v>
      </c>
      <c r="AA15" s="142">
        <v>0</v>
      </c>
      <c r="AB15" s="142">
        <v>0</v>
      </c>
      <c r="AC15" s="142">
        <v>0</v>
      </c>
      <c r="AD15" s="142">
        <v>7.1160717794945018E-3</v>
      </c>
      <c r="AE15" s="142">
        <v>0</v>
      </c>
      <c r="AF15" s="142">
        <v>0</v>
      </c>
      <c r="AG15" s="142">
        <v>0</v>
      </c>
      <c r="AH15" s="142">
        <v>0</v>
      </c>
      <c r="AI15" s="142">
        <v>0</v>
      </c>
    </row>
    <row r="16" spans="1:35" customFormat="1" x14ac:dyDescent="0.15">
      <c r="A16" s="176" t="s">
        <v>206</v>
      </c>
      <c r="B16" s="142">
        <v>0</v>
      </c>
      <c r="C16" s="142">
        <v>0</v>
      </c>
      <c r="D16" s="142">
        <v>0</v>
      </c>
      <c r="E16" s="142">
        <v>0</v>
      </c>
      <c r="F16" s="142">
        <v>0</v>
      </c>
      <c r="G16" s="142">
        <v>0</v>
      </c>
      <c r="H16" s="142">
        <v>0</v>
      </c>
      <c r="I16" s="142">
        <v>0</v>
      </c>
      <c r="J16" s="142">
        <v>0</v>
      </c>
      <c r="K16" s="142">
        <v>0</v>
      </c>
      <c r="L16" s="142">
        <v>0</v>
      </c>
      <c r="M16" s="142">
        <v>0</v>
      </c>
      <c r="N16" s="142">
        <v>0</v>
      </c>
      <c r="O16" s="142">
        <v>0</v>
      </c>
      <c r="P16" s="142">
        <v>1.2036109196409321E-3</v>
      </c>
      <c r="Q16" s="142">
        <v>0</v>
      </c>
      <c r="R16" s="142">
        <v>0</v>
      </c>
      <c r="S16" s="142">
        <v>0</v>
      </c>
      <c r="T16" s="142">
        <v>1.5572632851210265E-2</v>
      </c>
      <c r="U16" s="142">
        <v>0</v>
      </c>
      <c r="V16" s="142">
        <v>4.2558641646507113E-2</v>
      </c>
      <c r="W16" s="142">
        <v>5.6776368447734087E-2</v>
      </c>
      <c r="X16" s="142">
        <v>2.8130862186226156E-2</v>
      </c>
      <c r="Y16" s="142">
        <v>3.1834588066974007E-2</v>
      </c>
      <c r="Z16" s="142">
        <v>0</v>
      </c>
      <c r="AA16" s="142">
        <v>0</v>
      </c>
      <c r="AB16" s="142">
        <v>0</v>
      </c>
      <c r="AC16" s="142">
        <v>0</v>
      </c>
      <c r="AD16" s="142">
        <v>0</v>
      </c>
      <c r="AE16" s="142">
        <v>0</v>
      </c>
      <c r="AF16" s="142">
        <v>1.0351181966400065E-2</v>
      </c>
      <c r="AG16" s="142">
        <v>0</v>
      </c>
      <c r="AH16" s="142">
        <v>0</v>
      </c>
      <c r="AI16" s="142">
        <v>0</v>
      </c>
    </row>
    <row r="17" spans="1:35" customFormat="1" x14ac:dyDescent="0.15">
      <c r="A17" s="176" t="s">
        <v>207</v>
      </c>
      <c r="B17" s="142">
        <v>0</v>
      </c>
      <c r="C17" s="142">
        <v>0</v>
      </c>
      <c r="D17" s="142">
        <v>0</v>
      </c>
      <c r="E17" s="142">
        <v>0</v>
      </c>
      <c r="F17" s="142">
        <v>0</v>
      </c>
      <c r="G17" s="142">
        <v>1.0060708834737012E-2</v>
      </c>
      <c r="H17" s="142">
        <v>0</v>
      </c>
      <c r="I17" s="142">
        <v>0</v>
      </c>
      <c r="J17" s="142">
        <v>0</v>
      </c>
      <c r="K17" s="142">
        <v>0</v>
      </c>
      <c r="L17" s="142">
        <v>0</v>
      </c>
      <c r="M17" s="142">
        <v>0</v>
      </c>
      <c r="N17" s="142">
        <v>0</v>
      </c>
      <c r="O17" s="142">
        <v>0</v>
      </c>
      <c r="P17" s="142">
        <v>0</v>
      </c>
      <c r="Q17" s="142">
        <v>3.1879696668571697E-2</v>
      </c>
      <c r="R17" s="142">
        <v>5.3201257753842886E-2</v>
      </c>
      <c r="S17" s="142">
        <v>7.0221823741418764E-3</v>
      </c>
      <c r="T17" s="142">
        <v>9.0013010874026342E-2</v>
      </c>
      <c r="U17" s="142">
        <v>8.027995749847654E-3</v>
      </c>
      <c r="V17" s="142">
        <v>1.2957913983427355E-2</v>
      </c>
      <c r="W17" s="142">
        <v>0</v>
      </c>
      <c r="X17" s="142">
        <v>1.2702581264897338E-2</v>
      </c>
      <c r="Y17" s="142">
        <v>1.1852998511101902E-2</v>
      </c>
      <c r="Z17" s="142">
        <v>0</v>
      </c>
      <c r="AA17" s="142">
        <v>0</v>
      </c>
      <c r="AB17" s="142">
        <v>0</v>
      </c>
      <c r="AC17" s="142">
        <v>0</v>
      </c>
      <c r="AD17" s="142">
        <v>0</v>
      </c>
      <c r="AE17" s="142">
        <v>0</v>
      </c>
      <c r="AF17" s="142">
        <v>0</v>
      </c>
      <c r="AG17" s="142">
        <v>0</v>
      </c>
      <c r="AH17" s="142">
        <v>0</v>
      </c>
      <c r="AI17" s="142">
        <v>0</v>
      </c>
    </row>
    <row r="18" spans="1:35" customFormat="1" x14ac:dyDescent="0.15">
      <c r="A18" s="176" t="s">
        <v>208</v>
      </c>
      <c r="B18" s="142">
        <v>0</v>
      </c>
      <c r="C18" s="142">
        <v>0</v>
      </c>
      <c r="D18" s="142">
        <v>0</v>
      </c>
      <c r="E18" s="142">
        <v>0</v>
      </c>
      <c r="F18" s="142">
        <v>0</v>
      </c>
      <c r="G18" s="142">
        <v>1.3793831944474236E-2</v>
      </c>
      <c r="H18" s="142">
        <v>0</v>
      </c>
      <c r="I18" s="142">
        <v>0</v>
      </c>
      <c r="J18" s="142">
        <v>0</v>
      </c>
      <c r="K18" s="142">
        <v>0</v>
      </c>
      <c r="L18" s="142">
        <v>0</v>
      </c>
      <c r="M18" s="142">
        <v>0</v>
      </c>
      <c r="N18" s="142">
        <v>0</v>
      </c>
      <c r="O18" s="142">
        <v>0</v>
      </c>
      <c r="P18" s="142">
        <v>0</v>
      </c>
      <c r="Q18" s="142">
        <v>0</v>
      </c>
      <c r="R18" s="142">
        <v>0</v>
      </c>
      <c r="S18" s="142">
        <v>0</v>
      </c>
      <c r="T18" s="142">
        <v>1.6107963556408329E-2</v>
      </c>
      <c r="U18" s="142">
        <v>0</v>
      </c>
      <c r="V18" s="142">
        <v>0.2699565850714008</v>
      </c>
      <c r="W18" s="142">
        <v>5.4449791511342702E-2</v>
      </c>
      <c r="X18" s="142">
        <v>3.7049186689284676E-2</v>
      </c>
      <c r="Y18" s="142">
        <v>0.25968844162505111</v>
      </c>
      <c r="Z18" s="142">
        <v>0.17477977983778425</v>
      </c>
      <c r="AA18" s="142">
        <v>0.21508775211535716</v>
      </c>
      <c r="AB18" s="142">
        <v>0.18589999997769202</v>
      </c>
      <c r="AC18" s="142">
        <v>0.48685574042355612</v>
      </c>
      <c r="AD18" s="142">
        <v>5.3877955901791279E-2</v>
      </c>
      <c r="AE18" s="142">
        <v>0.31608529263837359</v>
      </c>
      <c r="AF18" s="142">
        <v>0.28101313008783141</v>
      </c>
      <c r="AG18" s="142">
        <v>0</v>
      </c>
      <c r="AH18" s="142">
        <v>0</v>
      </c>
      <c r="AI18" s="142">
        <v>0</v>
      </c>
    </row>
    <row r="19" spans="1:35" customFormat="1" x14ac:dyDescent="0.15">
      <c r="A19" s="176" t="s">
        <v>209</v>
      </c>
      <c r="B19" s="142">
        <v>0</v>
      </c>
      <c r="C19" s="142">
        <v>0</v>
      </c>
      <c r="D19" s="142">
        <v>0</v>
      </c>
      <c r="E19" s="142">
        <v>0</v>
      </c>
      <c r="F19" s="142">
        <v>0</v>
      </c>
      <c r="G19" s="142">
        <v>1.3036651081650941E-3</v>
      </c>
      <c r="H19" s="142">
        <v>0</v>
      </c>
      <c r="I19" s="142">
        <v>0</v>
      </c>
      <c r="J19" s="142">
        <v>0</v>
      </c>
      <c r="K19" s="142">
        <v>0</v>
      </c>
      <c r="L19" s="142">
        <v>0</v>
      </c>
      <c r="M19" s="142">
        <v>0</v>
      </c>
      <c r="N19" s="142">
        <v>0</v>
      </c>
      <c r="O19" s="142">
        <v>0</v>
      </c>
      <c r="P19" s="142">
        <v>0</v>
      </c>
      <c r="Q19" s="142">
        <v>0</v>
      </c>
      <c r="R19" s="142">
        <v>2.5795134510929418E-2</v>
      </c>
      <c r="S19" s="142">
        <v>0</v>
      </c>
      <c r="T19" s="142">
        <v>1.7258534367580371E-2</v>
      </c>
      <c r="U19" s="142">
        <v>0</v>
      </c>
      <c r="V19" s="142">
        <v>0.19436870925141034</v>
      </c>
      <c r="W19" s="142">
        <v>8.711966761814828E-3</v>
      </c>
      <c r="X19" s="142">
        <v>3.7702514230903328E-3</v>
      </c>
      <c r="Y19" s="142">
        <v>2.1550905383821619E-2</v>
      </c>
      <c r="Z19" s="142">
        <v>0.17477977983778425</v>
      </c>
      <c r="AA19" s="142">
        <v>5.4042151872702733E-2</v>
      </c>
      <c r="AB19" s="142">
        <v>0.63729999992352393</v>
      </c>
      <c r="AC19" s="142">
        <v>0.16192059047794646</v>
      </c>
      <c r="AD19" s="142">
        <v>3.6546836403340455E-3</v>
      </c>
      <c r="AE19" s="142">
        <v>0.19690554841406979</v>
      </c>
      <c r="AF19" s="142">
        <v>0.24895840819188103</v>
      </c>
      <c r="AG19" s="142">
        <v>0</v>
      </c>
      <c r="AH19" s="142">
        <v>0</v>
      </c>
      <c r="AI19" s="142">
        <v>0</v>
      </c>
    </row>
    <row r="20" spans="1:35" customFormat="1" x14ac:dyDescent="0.15">
      <c r="A20" s="176" t="s">
        <v>210</v>
      </c>
      <c r="B20" s="142">
        <v>0</v>
      </c>
      <c r="C20" s="142">
        <v>0</v>
      </c>
      <c r="D20" s="142">
        <v>0</v>
      </c>
      <c r="E20" s="142">
        <v>0</v>
      </c>
      <c r="F20" s="142">
        <v>0</v>
      </c>
      <c r="G20" s="142">
        <v>3.018214380421247E-3</v>
      </c>
      <c r="H20" s="142">
        <v>0</v>
      </c>
      <c r="I20" s="142">
        <v>0</v>
      </c>
      <c r="J20" s="142">
        <v>0</v>
      </c>
      <c r="K20" s="142">
        <v>0</v>
      </c>
      <c r="L20" s="142">
        <v>0</v>
      </c>
      <c r="M20" s="142">
        <v>0</v>
      </c>
      <c r="N20" s="142">
        <v>0</v>
      </c>
      <c r="O20" s="142">
        <v>0</v>
      </c>
      <c r="P20" s="142">
        <v>0</v>
      </c>
      <c r="Q20" s="142">
        <v>0</v>
      </c>
      <c r="R20" s="142">
        <v>0</v>
      </c>
      <c r="S20" s="142">
        <v>0</v>
      </c>
      <c r="T20" s="142">
        <v>6.6064760641488834E-2</v>
      </c>
      <c r="U20" s="142">
        <v>0</v>
      </c>
      <c r="V20" s="142">
        <v>8.6386075222850037E-2</v>
      </c>
      <c r="W20" s="142">
        <v>3.2669869106805777E-2</v>
      </c>
      <c r="X20" s="142">
        <v>8.468387243264916E-3</v>
      </c>
      <c r="Y20" s="142">
        <v>0.16917460301299966</v>
      </c>
      <c r="Z20" s="142">
        <v>0.12440206319042364</v>
      </c>
      <c r="AA20" s="142">
        <v>0.16212646331810804</v>
      </c>
      <c r="AB20" s="142">
        <v>8.1899999990172001E-2</v>
      </c>
      <c r="AC20" s="142">
        <v>0</v>
      </c>
      <c r="AD20" s="142">
        <v>1.1182397924919867E-2</v>
      </c>
      <c r="AE20" s="142">
        <v>0.24250477035206391</v>
      </c>
      <c r="AF20" s="142">
        <v>6.6246449784964023E-2</v>
      </c>
      <c r="AG20" s="142">
        <v>0</v>
      </c>
      <c r="AH20" s="142">
        <v>0</v>
      </c>
      <c r="AI20" s="142">
        <v>0</v>
      </c>
    </row>
    <row r="21" spans="1:35" customFormat="1" x14ac:dyDescent="0.15">
      <c r="A21" s="176" t="s">
        <v>211</v>
      </c>
      <c r="B21" s="142">
        <v>0</v>
      </c>
      <c r="C21" s="142">
        <v>0</v>
      </c>
      <c r="D21" s="142">
        <v>0</v>
      </c>
      <c r="E21" s="142">
        <v>0</v>
      </c>
      <c r="F21" s="142">
        <v>0</v>
      </c>
      <c r="G21" s="142">
        <v>9.6000007965120658E-5</v>
      </c>
      <c r="H21" s="142">
        <v>0</v>
      </c>
      <c r="I21" s="142">
        <v>0</v>
      </c>
      <c r="J21" s="142">
        <v>0</v>
      </c>
      <c r="K21" s="142">
        <v>0</v>
      </c>
      <c r="L21" s="142">
        <v>0</v>
      </c>
      <c r="M21" s="142">
        <v>0</v>
      </c>
      <c r="N21" s="142">
        <v>0</v>
      </c>
      <c r="O21" s="142">
        <v>0</v>
      </c>
      <c r="P21" s="142">
        <v>0</v>
      </c>
      <c r="Q21" s="142">
        <v>0</v>
      </c>
      <c r="R21" s="142">
        <v>0</v>
      </c>
      <c r="S21" s="142">
        <v>0</v>
      </c>
      <c r="T21" s="142">
        <v>1.090400400587788E-3</v>
      </c>
      <c r="U21" s="142">
        <v>0</v>
      </c>
      <c r="V21" s="142">
        <v>3.8477485772195036E-2</v>
      </c>
      <c r="W21" s="142">
        <v>0</v>
      </c>
      <c r="X21" s="142">
        <v>0</v>
      </c>
      <c r="Y21" s="142">
        <v>4.1142475632747484E-2</v>
      </c>
      <c r="Z21" s="142">
        <v>0.11617712157452842</v>
      </c>
      <c r="AA21" s="142">
        <v>2.1616862609081054E-2</v>
      </c>
      <c r="AB21" s="142">
        <v>0</v>
      </c>
      <c r="AC21" s="142">
        <v>5.5020633582806053E-2</v>
      </c>
      <c r="AD21" s="142">
        <v>7.5000008215500894E-4</v>
      </c>
      <c r="AE21" s="142">
        <v>1.3815001278248621E-2</v>
      </c>
      <c r="AF21" s="142">
        <v>3.0689092300383209E-2</v>
      </c>
      <c r="AG21" s="142">
        <v>0</v>
      </c>
      <c r="AH21" s="142">
        <v>0</v>
      </c>
      <c r="AI21" s="142">
        <v>0</v>
      </c>
    </row>
    <row r="22" spans="1:35" customFormat="1" x14ac:dyDescent="0.15">
      <c r="A22" s="176" t="s">
        <v>212</v>
      </c>
      <c r="B22" s="142">
        <v>0</v>
      </c>
      <c r="C22" s="142">
        <v>0</v>
      </c>
      <c r="D22" s="142">
        <v>0</v>
      </c>
      <c r="E22" s="142">
        <v>0</v>
      </c>
      <c r="F22" s="142">
        <v>0</v>
      </c>
      <c r="G22" s="142">
        <v>0</v>
      </c>
      <c r="H22" s="142">
        <v>0</v>
      </c>
      <c r="I22" s="142">
        <v>0</v>
      </c>
      <c r="J22" s="142">
        <v>0</v>
      </c>
      <c r="K22" s="142">
        <v>0</v>
      </c>
      <c r="L22" s="142">
        <v>0</v>
      </c>
      <c r="M22" s="142">
        <v>0</v>
      </c>
      <c r="N22" s="142">
        <v>0</v>
      </c>
      <c r="O22" s="142">
        <v>0</v>
      </c>
      <c r="P22" s="142">
        <v>0</v>
      </c>
      <c r="Q22" s="142">
        <v>0</v>
      </c>
      <c r="R22" s="142">
        <v>0</v>
      </c>
      <c r="S22" s="142">
        <v>0</v>
      </c>
      <c r="T22" s="142">
        <v>0</v>
      </c>
      <c r="U22" s="142">
        <v>0</v>
      </c>
      <c r="V22" s="142">
        <v>4.6464321430523023E-2</v>
      </c>
      <c r="W22" s="142">
        <v>0</v>
      </c>
      <c r="X22" s="142">
        <v>0</v>
      </c>
      <c r="Y22" s="142">
        <v>2.404002892815291E-2</v>
      </c>
      <c r="Z22" s="142">
        <v>1.4314553031510371E-3</v>
      </c>
      <c r="AA22" s="142">
        <v>8.6745948029999534E-2</v>
      </c>
      <c r="AB22" s="142">
        <v>0</v>
      </c>
      <c r="AC22" s="142">
        <v>1.2499999882500002E-4</v>
      </c>
      <c r="AD22" s="142">
        <v>0</v>
      </c>
      <c r="AE22" s="142">
        <v>1.2499999708875007E-4</v>
      </c>
      <c r="AF22" s="142">
        <v>5.2327534430144837E-4</v>
      </c>
      <c r="AG22" s="142">
        <v>0</v>
      </c>
      <c r="AH22" s="142">
        <v>0</v>
      </c>
      <c r="AI22" s="142">
        <v>0</v>
      </c>
    </row>
    <row r="23" spans="1:35" customFormat="1" x14ac:dyDescent="0.15">
      <c r="A23" s="176" t="s">
        <v>213</v>
      </c>
      <c r="B23" s="142">
        <v>0</v>
      </c>
      <c r="C23" s="142">
        <v>0</v>
      </c>
      <c r="D23" s="142">
        <v>0</v>
      </c>
      <c r="E23" s="142">
        <v>0</v>
      </c>
      <c r="F23" s="142">
        <v>0</v>
      </c>
      <c r="G23" s="142">
        <v>0</v>
      </c>
      <c r="H23" s="142">
        <v>0</v>
      </c>
      <c r="I23" s="142">
        <v>0</v>
      </c>
      <c r="J23" s="142">
        <v>0</v>
      </c>
      <c r="K23" s="142">
        <v>6.400247894562649E-4</v>
      </c>
      <c r="L23" s="142">
        <v>0</v>
      </c>
      <c r="M23" s="142">
        <v>8.2671867624258542E-4</v>
      </c>
      <c r="N23" s="142">
        <v>0</v>
      </c>
      <c r="O23" s="142">
        <v>1.3139169996584609E-3</v>
      </c>
      <c r="P23" s="142">
        <v>0</v>
      </c>
      <c r="Q23" s="142">
        <v>0</v>
      </c>
      <c r="R23" s="142">
        <v>8.5983786369764521E-4</v>
      </c>
      <c r="S23" s="142">
        <v>0</v>
      </c>
      <c r="T23" s="142">
        <v>0</v>
      </c>
      <c r="U23" s="142">
        <v>0</v>
      </c>
      <c r="V23" s="142">
        <v>9.7184354625705169E-2</v>
      </c>
      <c r="W23" s="142">
        <v>5.0247082926244753E-2</v>
      </c>
      <c r="X23" s="142">
        <v>1.434674081797524E-2</v>
      </c>
      <c r="Y23" s="142">
        <v>5.0644620901980693E-2</v>
      </c>
      <c r="Z23" s="142">
        <v>5.8602620863257598E-2</v>
      </c>
      <c r="AA23" s="142">
        <v>5.4042151872702733E-2</v>
      </c>
      <c r="AB23" s="142">
        <v>0</v>
      </c>
      <c r="AC23" s="142">
        <v>5.3197149499946798E-2</v>
      </c>
      <c r="AD23" s="142">
        <v>0</v>
      </c>
      <c r="AE23" s="142">
        <v>0</v>
      </c>
      <c r="AF23" s="142">
        <v>0</v>
      </c>
      <c r="AG23" s="142">
        <v>0</v>
      </c>
      <c r="AH23" s="142">
        <v>0</v>
      </c>
      <c r="AI23" s="142">
        <v>0</v>
      </c>
    </row>
    <row r="24" spans="1:35" customFormat="1" x14ac:dyDescent="0.15">
      <c r="A24" s="176" t="s">
        <v>214</v>
      </c>
      <c r="B24" s="142">
        <v>0</v>
      </c>
      <c r="C24" s="142">
        <v>0</v>
      </c>
      <c r="D24" s="142">
        <v>0</v>
      </c>
      <c r="E24" s="142">
        <v>0</v>
      </c>
      <c r="F24" s="142">
        <v>0</v>
      </c>
      <c r="G24" s="142">
        <v>0</v>
      </c>
      <c r="H24" s="142">
        <v>0</v>
      </c>
      <c r="I24" s="142">
        <v>0</v>
      </c>
      <c r="J24" s="142">
        <v>0</v>
      </c>
      <c r="K24" s="142">
        <v>1.8653433307190372E-3</v>
      </c>
      <c r="L24" s="142">
        <v>0</v>
      </c>
      <c r="M24" s="142">
        <v>1.3494775212200645E-3</v>
      </c>
      <c r="N24" s="142">
        <v>0</v>
      </c>
      <c r="O24" s="142">
        <v>2.4386769848146819E-3</v>
      </c>
      <c r="P24" s="142">
        <v>0</v>
      </c>
      <c r="Q24" s="142">
        <v>0</v>
      </c>
      <c r="R24" s="142">
        <v>1.0720915847362931E-3</v>
      </c>
      <c r="S24" s="142">
        <v>0</v>
      </c>
      <c r="T24" s="142">
        <v>0</v>
      </c>
      <c r="U24" s="142">
        <v>0</v>
      </c>
      <c r="V24" s="142">
        <v>4.3193037611425018E-2</v>
      </c>
      <c r="W24" s="142">
        <v>4.0292843098393663E-2</v>
      </c>
      <c r="X24" s="142">
        <v>5.2927415270406161E-3</v>
      </c>
      <c r="Y24" s="142">
        <v>2.2628443703012577E-2</v>
      </c>
      <c r="Z24" s="142">
        <v>5.8602620863257598E-2</v>
      </c>
      <c r="AA24" s="142">
        <v>8.6467448036324265E-2</v>
      </c>
      <c r="AB24" s="142">
        <v>0</v>
      </c>
      <c r="AC24" s="142">
        <v>8.0960295338973226E-2</v>
      </c>
      <c r="AD24" s="142">
        <v>0</v>
      </c>
      <c r="AE24" s="142">
        <v>6.528973847940199E-2</v>
      </c>
      <c r="AF24" s="142">
        <v>3.9534166371672098E-2</v>
      </c>
      <c r="AG24" s="142">
        <v>0</v>
      </c>
      <c r="AH24" s="142">
        <v>0</v>
      </c>
      <c r="AI24" s="142">
        <v>0</v>
      </c>
    </row>
    <row r="25" spans="1:35" customFormat="1" x14ac:dyDescent="0.15">
      <c r="A25" s="176" t="s">
        <v>215</v>
      </c>
      <c r="B25" s="142">
        <v>0</v>
      </c>
      <c r="C25" s="142">
        <v>0</v>
      </c>
      <c r="D25" s="142">
        <v>0</v>
      </c>
      <c r="E25" s="142">
        <v>0</v>
      </c>
      <c r="F25" s="142">
        <v>0</v>
      </c>
      <c r="G25" s="142">
        <v>0</v>
      </c>
      <c r="H25" s="142">
        <v>0</v>
      </c>
      <c r="I25" s="142">
        <v>0</v>
      </c>
      <c r="J25" s="142">
        <v>0</v>
      </c>
      <c r="K25" s="142">
        <v>0</v>
      </c>
      <c r="L25" s="142">
        <v>0</v>
      </c>
      <c r="M25" s="142">
        <v>6.7586484757767198E-4</v>
      </c>
      <c r="N25" s="142">
        <v>0</v>
      </c>
      <c r="O25" s="142">
        <v>2.6454634825325389E-3</v>
      </c>
      <c r="P25" s="142">
        <v>0</v>
      </c>
      <c r="Q25" s="142">
        <v>0</v>
      </c>
      <c r="R25" s="142">
        <v>1.0720915847362931E-3</v>
      </c>
      <c r="S25" s="142">
        <v>0</v>
      </c>
      <c r="T25" s="142">
        <v>1.3806827534064297E-2</v>
      </c>
      <c r="U25" s="142">
        <v>0</v>
      </c>
      <c r="V25" s="142">
        <v>6.478957641713641E-2</v>
      </c>
      <c r="W25" s="142">
        <v>6.642874818383801E-2</v>
      </c>
      <c r="X25" s="142">
        <v>3.1756453162243344E-3</v>
      </c>
      <c r="Y25" s="142">
        <v>3.8791627390878873E-2</v>
      </c>
      <c r="Z25" s="142">
        <v>5.8602620863257598E-2</v>
      </c>
      <c r="AA25" s="142">
        <v>7.5659008281783929E-2</v>
      </c>
      <c r="AB25" s="142">
        <v>0</v>
      </c>
      <c r="AC25" s="142">
        <v>8.0960295338973226E-2</v>
      </c>
      <c r="AD25" s="142">
        <v>0</v>
      </c>
      <c r="AE25" s="142">
        <v>6.528973847940199E-2</v>
      </c>
      <c r="AF25" s="142">
        <v>2.6712275913291953E-2</v>
      </c>
      <c r="AG25" s="142">
        <v>0</v>
      </c>
      <c r="AH25" s="142">
        <v>0</v>
      </c>
      <c r="AI25" s="142">
        <v>0</v>
      </c>
    </row>
    <row r="26" spans="1:35" customFormat="1" x14ac:dyDescent="0.15">
      <c r="A26" s="176" t="s">
        <v>216</v>
      </c>
      <c r="B26" s="142">
        <v>0</v>
      </c>
      <c r="C26" s="142">
        <v>0</v>
      </c>
      <c r="D26" s="142">
        <v>0</v>
      </c>
      <c r="E26" s="142">
        <v>0</v>
      </c>
      <c r="F26" s="142">
        <v>0</v>
      </c>
      <c r="G26" s="142">
        <v>0</v>
      </c>
      <c r="H26" s="142">
        <v>0</v>
      </c>
      <c r="I26" s="142">
        <v>0</v>
      </c>
      <c r="J26" s="142">
        <v>0</v>
      </c>
      <c r="K26" s="142">
        <v>0</v>
      </c>
      <c r="L26" s="142">
        <v>0</v>
      </c>
      <c r="M26" s="142">
        <v>0</v>
      </c>
      <c r="N26" s="142">
        <v>0</v>
      </c>
      <c r="O26" s="142">
        <v>0</v>
      </c>
      <c r="P26" s="142">
        <v>0</v>
      </c>
      <c r="Q26" s="142">
        <v>0</v>
      </c>
      <c r="R26" s="142">
        <v>0</v>
      </c>
      <c r="S26" s="142">
        <v>0</v>
      </c>
      <c r="T26" s="142">
        <v>0</v>
      </c>
      <c r="U26" s="142">
        <v>0</v>
      </c>
      <c r="V26" s="142">
        <v>0</v>
      </c>
      <c r="W26" s="142">
        <v>0</v>
      </c>
      <c r="X26" s="142">
        <v>0</v>
      </c>
      <c r="Y26" s="142">
        <v>0</v>
      </c>
      <c r="Z26" s="142">
        <v>0</v>
      </c>
      <c r="AA26" s="142">
        <v>1.5385442050596613E-2</v>
      </c>
      <c r="AB26" s="142">
        <v>0</v>
      </c>
      <c r="AC26" s="142">
        <v>0</v>
      </c>
      <c r="AD26" s="142">
        <v>0</v>
      </c>
      <c r="AE26" s="142">
        <v>0</v>
      </c>
      <c r="AF26" s="142">
        <v>0</v>
      </c>
      <c r="AG26" s="142">
        <v>0</v>
      </c>
      <c r="AH26" s="142">
        <v>0</v>
      </c>
      <c r="AI26" s="142">
        <v>0</v>
      </c>
    </row>
    <row r="27" spans="1:35" customFormat="1" x14ac:dyDescent="0.15">
      <c r="A27" s="176" t="s">
        <v>217</v>
      </c>
      <c r="B27" s="142">
        <v>0</v>
      </c>
      <c r="C27" s="142">
        <v>0</v>
      </c>
      <c r="D27" s="142">
        <v>0</v>
      </c>
      <c r="E27" s="142">
        <v>0</v>
      </c>
      <c r="F27" s="142">
        <v>0</v>
      </c>
      <c r="G27" s="142">
        <v>0</v>
      </c>
      <c r="H27" s="142">
        <v>0</v>
      </c>
      <c r="I27" s="142">
        <v>0</v>
      </c>
      <c r="J27" s="142">
        <v>0</v>
      </c>
      <c r="K27" s="142">
        <v>0</v>
      </c>
      <c r="L27" s="142">
        <v>0</v>
      </c>
      <c r="M27" s="142">
        <v>0</v>
      </c>
      <c r="N27" s="142">
        <v>0</v>
      </c>
      <c r="O27" s="142">
        <v>0</v>
      </c>
      <c r="P27" s="142">
        <v>0</v>
      </c>
      <c r="Q27" s="142">
        <v>0</v>
      </c>
      <c r="R27" s="142">
        <v>0</v>
      </c>
      <c r="S27" s="142">
        <v>0</v>
      </c>
      <c r="T27" s="142">
        <v>0</v>
      </c>
      <c r="U27" s="142">
        <v>0</v>
      </c>
      <c r="V27" s="142">
        <v>0</v>
      </c>
      <c r="W27" s="142">
        <v>0</v>
      </c>
      <c r="X27" s="142">
        <v>0</v>
      </c>
      <c r="Y27" s="142">
        <v>0</v>
      </c>
      <c r="Z27" s="142">
        <v>1.1291111272705103E-2</v>
      </c>
      <c r="AA27" s="142">
        <v>1.1073548048519725E-2</v>
      </c>
      <c r="AB27" s="142">
        <v>0</v>
      </c>
      <c r="AC27" s="142">
        <v>0</v>
      </c>
      <c r="AD27" s="142">
        <v>0</v>
      </c>
      <c r="AE27" s="142">
        <v>0</v>
      </c>
      <c r="AF27" s="142">
        <v>0</v>
      </c>
      <c r="AG27" s="142">
        <v>0</v>
      </c>
      <c r="AH27" s="142">
        <v>0</v>
      </c>
      <c r="AI27" s="142">
        <v>0</v>
      </c>
    </row>
    <row r="28" spans="1:35" customFormat="1" x14ac:dyDescent="0.15">
      <c r="A28" s="176" t="s">
        <v>218</v>
      </c>
      <c r="B28" s="142">
        <v>0</v>
      </c>
      <c r="C28" s="142">
        <v>0</v>
      </c>
      <c r="D28" s="142">
        <v>0</v>
      </c>
      <c r="E28" s="142">
        <v>0</v>
      </c>
      <c r="F28" s="142">
        <v>0</v>
      </c>
      <c r="G28" s="142">
        <v>0</v>
      </c>
      <c r="H28" s="142">
        <v>0</v>
      </c>
      <c r="I28" s="142">
        <v>0</v>
      </c>
      <c r="J28" s="142">
        <v>0</v>
      </c>
      <c r="K28" s="142">
        <v>0</v>
      </c>
      <c r="L28" s="142">
        <v>0</v>
      </c>
      <c r="M28" s="142">
        <v>0</v>
      </c>
      <c r="N28" s="142">
        <v>0</v>
      </c>
      <c r="O28" s="142">
        <v>0</v>
      </c>
      <c r="P28" s="142">
        <v>0</v>
      </c>
      <c r="Q28" s="142">
        <v>0</v>
      </c>
      <c r="R28" s="142">
        <v>0</v>
      </c>
      <c r="S28" s="142">
        <v>0</v>
      </c>
      <c r="T28" s="142">
        <v>0</v>
      </c>
      <c r="U28" s="142">
        <v>0</v>
      </c>
      <c r="V28" s="142">
        <v>0</v>
      </c>
      <c r="W28" s="142">
        <v>0</v>
      </c>
      <c r="X28" s="142">
        <v>0</v>
      </c>
      <c r="Y28" s="142">
        <v>0</v>
      </c>
      <c r="Z28" s="142">
        <v>1.1302182872188059E-2</v>
      </c>
      <c r="AA28" s="142">
        <v>1.0808431254540528E-2</v>
      </c>
      <c r="AB28" s="142">
        <v>0</v>
      </c>
      <c r="AC28" s="142">
        <v>0</v>
      </c>
      <c r="AD28" s="142">
        <v>0</v>
      </c>
      <c r="AE28" s="142">
        <v>0</v>
      </c>
      <c r="AF28" s="142">
        <v>0</v>
      </c>
      <c r="AG28" s="142">
        <v>0</v>
      </c>
      <c r="AH28" s="142">
        <v>0</v>
      </c>
      <c r="AI28" s="142">
        <v>0</v>
      </c>
    </row>
    <row r="29" spans="1:35" customFormat="1" x14ac:dyDescent="0.15">
      <c r="A29" s="176" t="s">
        <v>219</v>
      </c>
      <c r="B29" s="142">
        <v>0</v>
      </c>
      <c r="C29" s="142">
        <v>0</v>
      </c>
      <c r="D29" s="142">
        <v>0</v>
      </c>
      <c r="E29" s="142">
        <v>0</v>
      </c>
      <c r="F29" s="142">
        <v>0</v>
      </c>
      <c r="G29" s="142">
        <v>0</v>
      </c>
      <c r="H29" s="142">
        <v>0</v>
      </c>
      <c r="I29" s="142">
        <v>0</v>
      </c>
      <c r="J29" s="142">
        <v>0</v>
      </c>
      <c r="K29" s="142">
        <v>0</v>
      </c>
      <c r="L29" s="142">
        <v>0</v>
      </c>
      <c r="M29" s="142">
        <v>0</v>
      </c>
      <c r="N29" s="142">
        <v>0</v>
      </c>
      <c r="O29" s="142">
        <v>0</v>
      </c>
      <c r="P29" s="142">
        <v>0</v>
      </c>
      <c r="Q29" s="142">
        <v>0</v>
      </c>
      <c r="R29" s="142">
        <v>0</v>
      </c>
      <c r="S29" s="142">
        <v>0</v>
      </c>
      <c r="T29" s="142">
        <v>0</v>
      </c>
      <c r="U29" s="142">
        <v>0</v>
      </c>
      <c r="V29" s="142">
        <v>0</v>
      </c>
      <c r="W29" s="142">
        <v>0</v>
      </c>
      <c r="X29" s="142">
        <v>0</v>
      </c>
      <c r="Y29" s="142">
        <v>0</v>
      </c>
      <c r="Z29" s="142">
        <v>3.0930934855525338E-2</v>
      </c>
      <c r="AA29" s="142">
        <v>3.2425283663621809E-2</v>
      </c>
      <c r="AB29" s="142">
        <v>0</v>
      </c>
      <c r="AC29" s="142">
        <v>0</v>
      </c>
      <c r="AD29" s="142">
        <v>0</v>
      </c>
      <c r="AE29" s="142">
        <v>0</v>
      </c>
      <c r="AF29" s="142">
        <v>0</v>
      </c>
      <c r="AG29" s="142">
        <v>0</v>
      </c>
      <c r="AH29" s="142">
        <v>0</v>
      </c>
      <c r="AI29" s="142">
        <v>0</v>
      </c>
    </row>
    <row r="30" spans="1:35" customFormat="1" x14ac:dyDescent="0.15">
      <c r="A30" s="176" t="s">
        <v>220</v>
      </c>
      <c r="B30" s="142">
        <v>0</v>
      </c>
      <c r="C30" s="142">
        <v>0</v>
      </c>
      <c r="D30" s="142">
        <v>0</v>
      </c>
      <c r="E30" s="142">
        <v>0</v>
      </c>
      <c r="F30" s="142">
        <v>0</v>
      </c>
      <c r="G30" s="142">
        <v>0</v>
      </c>
      <c r="H30" s="142">
        <v>0</v>
      </c>
      <c r="I30" s="142">
        <v>0</v>
      </c>
      <c r="J30" s="142">
        <v>0</v>
      </c>
      <c r="K30" s="142">
        <v>0</v>
      </c>
      <c r="L30" s="142">
        <v>0</v>
      </c>
      <c r="M30" s="142">
        <v>0</v>
      </c>
      <c r="N30" s="142">
        <v>0</v>
      </c>
      <c r="O30" s="142">
        <v>0</v>
      </c>
      <c r="P30" s="142">
        <v>0</v>
      </c>
      <c r="Q30" s="142">
        <v>0</v>
      </c>
      <c r="R30" s="142">
        <v>0</v>
      </c>
      <c r="S30" s="142">
        <v>0</v>
      </c>
      <c r="T30" s="142">
        <v>0</v>
      </c>
      <c r="U30" s="142">
        <v>0</v>
      </c>
      <c r="V30" s="142">
        <v>0</v>
      </c>
      <c r="W30" s="142">
        <v>0</v>
      </c>
      <c r="X30" s="142">
        <v>0</v>
      </c>
      <c r="Y30" s="142">
        <v>0</v>
      </c>
      <c r="Z30" s="142">
        <v>1.1309278571856689E-2</v>
      </c>
      <c r="AA30" s="142">
        <v>1.0808431254540528E-2</v>
      </c>
      <c r="AB30" s="142">
        <v>0</v>
      </c>
      <c r="AC30" s="142">
        <v>0</v>
      </c>
      <c r="AD30" s="142">
        <v>0</v>
      </c>
      <c r="AE30" s="142">
        <v>0</v>
      </c>
      <c r="AF30" s="142">
        <v>0</v>
      </c>
      <c r="AG30" s="142">
        <v>0</v>
      </c>
      <c r="AH30" s="142">
        <v>0</v>
      </c>
      <c r="AI30" s="142">
        <v>0</v>
      </c>
    </row>
    <row r="31" spans="1:35" customFormat="1" x14ac:dyDescent="0.15">
      <c r="A31" s="176" t="s">
        <v>221</v>
      </c>
      <c r="B31" s="142">
        <v>0</v>
      </c>
      <c r="C31" s="142">
        <v>0</v>
      </c>
      <c r="D31" s="142">
        <v>0</v>
      </c>
      <c r="E31" s="142">
        <v>0</v>
      </c>
      <c r="F31" s="142">
        <v>0</v>
      </c>
      <c r="G31" s="142">
        <v>0</v>
      </c>
      <c r="H31" s="142">
        <v>0</v>
      </c>
      <c r="I31" s="142">
        <v>0</v>
      </c>
      <c r="J31" s="142">
        <v>0</v>
      </c>
      <c r="K31" s="142">
        <v>0</v>
      </c>
      <c r="L31" s="142">
        <v>0</v>
      </c>
      <c r="M31" s="142">
        <v>0</v>
      </c>
      <c r="N31" s="142">
        <v>0</v>
      </c>
      <c r="O31" s="142">
        <v>0</v>
      </c>
      <c r="P31" s="142">
        <v>0</v>
      </c>
      <c r="Q31" s="142">
        <v>0</v>
      </c>
      <c r="R31" s="142">
        <v>0</v>
      </c>
      <c r="S31" s="142">
        <v>0</v>
      </c>
      <c r="T31" s="142">
        <v>0</v>
      </c>
      <c r="U31" s="142">
        <v>0</v>
      </c>
      <c r="V31" s="142">
        <v>0</v>
      </c>
      <c r="W31" s="142">
        <v>0</v>
      </c>
      <c r="X31" s="142">
        <v>0</v>
      </c>
      <c r="Y31" s="142">
        <v>0</v>
      </c>
      <c r="Z31" s="142">
        <v>1.5421741879804652E-2</v>
      </c>
      <c r="AA31" s="142">
        <v>2.1616862609081054E-2</v>
      </c>
      <c r="AB31" s="142">
        <v>0</v>
      </c>
      <c r="AC31" s="142">
        <v>0</v>
      </c>
      <c r="AD31" s="142">
        <v>0</v>
      </c>
      <c r="AE31" s="142">
        <v>1.5321160543170173E-3</v>
      </c>
      <c r="AF31" s="142">
        <v>0</v>
      </c>
      <c r="AG31" s="142">
        <v>0</v>
      </c>
      <c r="AH31" s="142">
        <v>0</v>
      </c>
      <c r="AI31" s="142">
        <v>0</v>
      </c>
    </row>
    <row r="32" spans="1:35" customFormat="1" x14ac:dyDescent="0.15">
      <c r="A32" s="176" t="s">
        <v>222</v>
      </c>
      <c r="B32" s="142">
        <v>0</v>
      </c>
      <c r="C32" s="142">
        <v>0</v>
      </c>
      <c r="D32" s="142">
        <v>0</v>
      </c>
      <c r="E32" s="142">
        <v>0</v>
      </c>
      <c r="F32" s="142">
        <v>0</v>
      </c>
      <c r="G32" s="142">
        <v>0</v>
      </c>
      <c r="H32" s="142">
        <v>0</v>
      </c>
      <c r="I32" s="142">
        <v>3.1999997869919935E-3</v>
      </c>
      <c r="J32" s="142">
        <v>0</v>
      </c>
      <c r="K32" s="142">
        <v>0</v>
      </c>
      <c r="L32" s="142">
        <v>0</v>
      </c>
      <c r="M32" s="142">
        <v>0</v>
      </c>
      <c r="N32" s="142">
        <v>0</v>
      </c>
      <c r="O32" s="142">
        <v>0</v>
      </c>
      <c r="P32" s="142">
        <v>0</v>
      </c>
      <c r="Q32" s="142">
        <v>0</v>
      </c>
      <c r="R32" s="142">
        <v>0</v>
      </c>
      <c r="S32" s="142">
        <v>0</v>
      </c>
      <c r="T32" s="142">
        <v>0</v>
      </c>
      <c r="U32" s="142">
        <v>0</v>
      </c>
      <c r="V32" s="142">
        <v>0</v>
      </c>
      <c r="W32" s="142">
        <v>0</v>
      </c>
      <c r="X32" s="142">
        <v>0</v>
      </c>
      <c r="Y32" s="142">
        <v>0</v>
      </c>
      <c r="Z32" s="142">
        <v>2.3852164686103905E-2</v>
      </c>
      <c r="AA32" s="142">
        <v>2.2120642897640205E-2</v>
      </c>
      <c r="AB32" s="142">
        <v>0</v>
      </c>
      <c r="AC32" s="142">
        <v>0</v>
      </c>
      <c r="AD32" s="142">
        <v>0</v>
      </c>
      <c r="AE32" s="142">
        <v>0</v>
      </c>
      <c r="AF32" s="142">
        <v>0</v>
      </c>
      <c r="AG32" s="142">
        <v>0</v>
      </c>
      <c r="AH32" s="142">
        <v>0</v>
      </c>
      <c r="AI32" s="142">
        <v>0</v>
      </c>
    </row>
    <row r="33" spans="1:35" customFormat="1" x14ac:dyDescent="0.15">
      <c r="A33" s="176" t="s">
        <v>223</v>
      </c>
      <c r="B33" s="142">
        <v>0</v>
      </c>
      <c r="C33" s="142">
        <v>0</v>
      </c>
      <c r="D33" s="142">
        <v>0</v>
      </c>
      <c r="E33" s="142">
        <v>0</v>
      </c>
      <c r="F33" s="142">
        <v>0</v>
      </c>
      <c r="G33" s="142">
        <v>0</v>
      </c>
      <c r="H33" s="142">
        <v>0</v>
      </c>
      <c r="I33" s="142">
        <v>0</v>
      </c>
      <c r="J33" s="142">
        <v>5.6719582674843545E-3</v>
      </c>
      <c r="K33" s="142">
        <v>6.9603776028519778E-3</v>
      </c>
      <c r="L33" s="142">
        <v>5.5931760531351725E-3</v>
      </c>
      <c r="M33" s="142">
        <v>9.7635447194250168E-3</v>
      </c>
      <c r="N33" s="142">
        <v>0</v>
      </c>
      <c r="O33" s="142">
        <v>5.2493421574800095E-2</v>
      </c>
      <c r="P33" s="142">
        <v>5.7467351289808406E-2</v>
      </c>
      <c r="Q33" s="142">
        <v>0</v>
      </c>
      <c r="R33" s="142">
        <v>0</v>
      </c>
      <c r="S33" s="142">
        <v>0</v>
      </c>
      <c r="T33" s="142">
        <v>0</v>
      </c>
      <c r="U33" s="142">
        <v>0</v>
      </c>
      <c r="V33" s="142">
        <v>0</v>
      </c>
      <c r="W33" s="142">
        <v>1.3067949642722256E-2</v>
      </c>
      <c r="X33" s="142">
        <v>2.5405162529794675E-2</v>
      </c>
      <c r="Y33" s="142">
        <v>0</v>
      </c>
      <c r="Z33" s="142">
        <v>5.8602620863257598E-2</v>
      </c>
      <c r="AA33" s="142">
        <v>0</v>
      </c>
      <c r="AB33" s="142">
        <v>0</v>
      </c>
      <c r="AC33" s="142">
        <v>0</v>
      </c>
      <c r="AD33" s="142">
        <v>0</v>
      </c>
      <c r="AE33" s="142">
        <v>0</v>
      </c>
      <c r="AF33" s="142">
        <v>0.13142439957339641</v>
      </c>
      <c r="AG33" s="142">
        <v>0</v>
      </c>
      <c r="AH33" s="142">
        <v>0</v>
      </c>
      <c r="AI33" s="142">
        <v>0</v>
      </c>
    </row>
    <row r="34" spans="1:35" customFormat="1" x14ac:dyDescent="0.15">
      <c r="A34" s="176" t="s">
        <v>224</v>
      </c>
      <c r="B34" s="142">
        <v>0</v>
      </c>
      <c r="C34" s="142">
        <v>0.85</v>
      </c>
      <c r="D34" s="142">
        <v>0.45985282054750615</v>
      </c>
      <c r="E34" s="142">
        <v>0.12699063726063842</v>
      </c>
      <c r="F34" s="142">
        <v>2.3701254421777042E-2</v>
      </c>
      <c r="G34" s="142">
        <v>1.0060708834737012E-2</v>
      </c>
      <c r="H34" s="142">
        <v>0.22698929750311772</v>
      </c>
      <c r="I34" s="142">
        <v>0</v>
      </c>
      <c r="J34" s="142">
        <v>0.51047600217355971</v>
      </c>
      <c r="K34" s="142">
        <v>0.36193962958830206</v>
      </c>
      <c r="L34" s="142">
        <v>0.33559057418811045</v>
      </c>
      <c r="M34" s="142">
        <v>0.404489788376177</v>
      </c>
      <c r="N34" s="142">
        <v>0.20000014899999777</v>
      </c>
      <c r="O34" s="142">
        <v>0.19088516181745349</v>
      </c>
      <c r="P34" s="142">
        <v>0.34054721068034011</v>
      </c>
      <c r="Q34" s="142">
        <v>5.9386608494099415E-2</v>
      </c>
      <c r="R34" s="142">
        <v>0</v>
      </c>
      <c r="S34" s="142">
        <v>0</v>
      </c>
      <c r="T34" s="142">
        <v>0</v>
      </c>
      <c r="U34" s="142">
        <v>0</v>
      </c>
      <c r="V34" s="142">
        <v>0</v>
      </c>
      <c r="W34" s="142">
        <v>1.3067949642722256E-2</v>
      </c>
      <c r="X34" s="142">
        <v>1.2702581264897338E-2</v>
      </c>
      <c r="Y34" s="142">
        <v>0</v>
      </c>
      <c r="Z34" s="142">
        <v>0</v>
      </c>
      <c r="AA34" s="142">
        <v>5.4042151872702733E-2</v>
      </c>
      <c r="AB34" s="142">
        <v>0</v>
      </c>
      <c r="AC34" s="142">
        <v>0</v>
      </c>
      <c r="AD34" s="142">
        <v>1.2198979436276207E-2</v>
      </c>
      <c r="AE34" s="142">
        <v>0</v>
      </c>
      <c r="AF34" s="142">
        <v>0</v>
      </c>
      <c r="AG34" s="142">
        <v>0</v>
      </c>
      <c r="AH34" s="142">
        <v>0</v>
      </c>
      <c r="AI34" s="142">
        <v>0</v>
      </c>
    </row>
    <row r="35" spans="1:35" customFormat="1" x14ac:dyDescent="0.15">
      <c r="A35" s="176" t="s">
        <v>225</v>
      </c>
      <c r="B35" s="142">
        <v>0</v>
      </c>
      <c r="C35" s="142">
        <v>0</v>
      </c>
      <c r="D35" s="142">
        <v>0</v>
      </c>
      <c r="E35" s="142">
        <v>0</v>
      </c>
      <c r="F35" s="142">
        <v>0</v>
      </c>
      <c r="G35" s="142">
        <v>0</v>
      </c>
      <c r="H35" s="142">
        <v>0</v>
      </c>
      <c r="I35" s="142">
        <v>0</v>
      </c>
      <c r="J35" s="142">
        <v>0</v>
      </c>
      <c r="K35" s="142">
        <v>0</v>
      </c>
      <c r="L35" s="142">
        <v>0</v>
      </c>
      <c r="M35" s="142">
        <v>0</v>
      </c>
      <c r="N35" s="142">
        <v>0</v>
      </c>
      <c r="O35" s="142">
        <v>0</v>
      </c>
      <c r="P35" s="142">
        <v>0</v>
      </c>
      <c r="Q35" s="142">
        <v>0</v>
      </c>
      <c r="R35" s="142">
        <v>0</v>
      </c>
      <c r="S35" s="142">
        <v>0</v>
      </c>
      <c r="T35" s="142">
        <v>0</v>
      </c>
      <c r="U35" s="142">
        <v>0</v>
      </c>
      <c r="V35" s="142">
        <v>0</v>
      </c>
      <c r="W35" s="142">
        <v>0</v>
      </c>
      <c r="X35" s="142">
        <v>0</v>
      </c>
      <c r="Y35" s="142">
        <v>0</v>
      </c>
      <c r="Z35" s="142">
        <v>0</v>
      </c>
      <c r="AA35" s="142">
        <v>0</v>
      </c>
      <c r="AB35" s="142">
        <v>0</v>
      </c>
      <c r="AC35" s="142">
        <v>0</v>
      </c>
      <c r="AD35" s="142">
        <v>0</v>
      </c>
      <c r="AE35" s="142">
        <v>0</v>
      </c>
      <c r="AF35" s="142">
        <v>0</v>
      </c>
      <c r="AG35" s="142">
        <v>0</v>
      </c>
      <c r="AH35" s="142">
        <v>0</v>
      </c>
      <c r="AI35" s="142">
        <v>0</v>
      </c>
    </row>
    <row r="36" spans="1:35" customFormat="1" x14ac:dyDescent="0.15">
      <c r="A36" s="176" t="s">
        <v>227</v>
      </c>
      <c r="B36" s="142">
        <v>0</v>
      </c>
      <c r="C36" s="142">
        <v>0</v>
      </c>
      <c r="D36" s="142">
        <v>0</v>
      </c>
      <c r="E36" s="142">
        <v>0</v>
      </c>
      <c r="F36" s="142">
        <v>0</v>
      </c>
      <c r="G36" s="142">
        <v>0</v>
      </c>
      <c r="H36" s="142">
        <v>0</v>
      </c>
      <c r="I36" s="142">
        <v>0</v>
      </c>
      <c r="J36" s="142">
        <v>0</v>
      </c>
      <c r="K36" s="142">
        <v>0</v>
      </c>
      <c r="L36" s="142">
        <v>0</v>
      </c>
      <c r="M36" s="142">
        <v>0</v>
      </c>
      <c r="N36" s="142">
        <v>0</v>
      </c>
      <c r="O36" s="142">
        <v>0</v>
      </c>
      <c r="P36" s="142">
        <v>0</v>
      </c>
      <c r="Q36" s="142">
        <v>0</v>
      </c>
      <c r="R36" s="142">
        <v>0</v>
      </c>
      <c r="S36" s="142">
        <v>0</v>
      </c>
      <c r="T36" s="142">
        <v>0</v>
      </c>
      <c r="U36" s="142">
        <v>0</v>
      </c>
      <c r="V36" s="142">
        <v>0</v>
      </c>
      <c r="W36" s="142">
        <v>0</v>
      </c>
      <c r="X36" s="142">
        <v>0</v>
      </c>
      <c r="Y36" s="142">
        <v>0</v>
      </c>
      <c r="Z36" s="142">
        <v>0</v>
      </c>
      <c r="AA36" s="142">
        <v>0</v>
      </c>
      <c r="AB36" s="142">
        <v>0</v>
      </c>
      <c r="AC36" s="142">
        <v>0</v>
      </c>
      <c r="AD36" s="142">
        <v>0</v>
      </c>
      <c r="AE36" s="142">
        <v>0</v>
      </c>
      <c r="AF36" s="142">
        <v>0</v>
      </c>
      <c r="AG36" s="142">
        <v>0</v>
      </c>
      <c r="AH36" s="142">
        <v>0</v>
      </c>
      <c r="AI36" s="142">
        <v>0</v>
      </c>
    </row>
    <row r="37" spans="1:35" customFormat="1" x14ac:dyDescent="0.15"/>
    <row r="38" spans="1:35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18" activePane="bottomRight" state="frozen"/>
      <selection pane="topRight" activeCell="C1" sqref="C1"/>
      <selection pane="bottomLeft" activeCell="A2" sqref="A2"/>
      <selection pane="bottomRight" activeCell="H39" sqref="H39"/>
    </sheetView>
  </sheetViews>
  <sheetFormatPr baseColWidth="10" defaultColWidth="8.83203125" defaultRowHeight="13" x14ac:dyDescent="0.15"/>
  <cols>
    <col min="1" max="1" width="3.33203125" customWidth="1"/>
    <col min="2" max="2" width="36.6640625" customWidth="1"/>
    <col min="3" max="4" width="24.83203125" style="110" customWidth="1"/>
    <col min="5" max="6" width="24.83203125" style="109" customWidth="1"/>
    <col min="7" max="7" width="24.83203125" style="110" customWidth="1"/>
    <col min="8" max="8" width="8.83203125" style="110"/>
  </cols>
  <sheetData>
    <row r="1" spans="1:8" ht="70" x14ac:dyDescent="0.15">
      <c r="A1" s="5" t="s">
        <v>20</v>
      </c>
      <c r="B1" s="1" t="s">
        <v>0</v>
      </c>
      <c r="C1" s="179" t="s">
        <v>223</v>
      </c>
      <c r="D1" s="179" t="s">
        <v>224</v>
      </c>
      <c r="E1" s="179" t="s">
        <v>225</v>
      </c>
      <c r="F1" s="179" t="s">
        <v>228</v>
      </c>
      <c r="G1" s="179" t="s">
        <v>229</v>
      </c>
      <c r="H1"/>
    </row>
    <row r="2" spans="1:8" x14ac:dyDescent="0.15">
      <c r="A2">
        <v>1</v>
      </c>
      <c r="B2" s="178" t="s">
        <v>192</v>
      </c>
      <c r="C2" s="110">
        <v>0.01</v>
      </c>
      <c r="D2" s="110">
        <v>0.99</v>
      </c>
      <c r="E2" s="109">
        <v>0</v>
      </c>
      <c r="F2" s="109">
        <v>0</v>
      </c>
      <c r="G2" s="110">
        <v>1</v>
      </c>
      <c r="H2"/>
    </row>
    <row r="3" spans="1:8" x14ac:dyDescent="0.15">
      <c r="A3">
        <v>2</v>
      </c>
      <c r="B3" s="178" t="s">
        <v>193</v>
      </c>
      <c r="C3" s="110">
        <v>0.01</v>
      </c>
      <c r="D3" s="110">
        <v>0.99</v>
      </c>
      <c r="E3" s="109">
        <v>0</v>
      </c>
      <c r="F3" s="109">
        <v>0</v>
      </c>
      <c r="G3" s="110">
        <v>1</v>
      </c>
      <c r="H3"/>
    </row>
    <row r="4" spans="1:8" x14ac:dyDescent="0.15">
      <c r="A4">
        <v>3</v>
      </c>
      <c r="B4" s="178" t="s">
        <v>194</v>
      </c>
      <c r="C4" s="110">
        <v>0.01</v>
      </c>
      <c r="D4" s="110">
        <v>0.99</v>
      </c>
      <c r="E4" s="109">
        <v>0</v>
      </c>
      <c r="F4" s="109">
        <v>0</v>
      </c>
      <c r="G4" s="110">
        <v>1</v>
      </c>
      <c r="H4"/>
    </row>
    <row r="5" spans="1:8" x14ac:dyDescent="0.15">
      <c r="A5">
        <v>4</v>
      </c>
      <c r="B5" s="178" t="s">
        <v>195</v>
      </c>
      <c r="C5" s="110">
        <v>0.01</v>
      </c>
      <c r="D5" s="110">
        <v>0.99</v>
      </c>
      <c r="E5" s="109">
        <v>0</v>
      </c>
      <c r="F5" s="109">
        <v>0</v>
      </c>
      <c r="G5" s="110">
        <v>1</v>
      </c>
      <c r="H5"/>
    </row>
    <row r="6" spans="1:8" x14ac:dyDescent="0.15">
      <c r="A6">
        <v>5</v>
      </c>
      <c r="B6" s="178" t="s">
        <v>196</v>
      </c>
      <c r="C6" s="110">
        <v>0.01</v>
      </c>
      <c r="D6" s="110">
        <v>0.99</v>
      </c>
      <c r="E6" s="109">
        <v>0</v>
      </c>
      <c r="F6" s="109">
        <v>0</v>
      </c>
      <c r="G6" s="110">
        <v>1</v>
      </c>
      <c r="H6"/>
    </row>
    <row r="7" spans="1:8" x14ac:dyDescent="0.15">
      <c r="A7">
        <v>6</v>
      </c>
      <c r="B7" s="178" t="s">
        <v>197</v>
      </c>
      <c r="C7" s="110">
        <v>0.01</v>
      </c>
      <c r="D7" s="110">
        <v>0.99</v>
      </c>
      <c r="E7" s="109">
        <v>0</v>
      </c>
      <c r="F7" s="109">
        <v>0</v>
      </c>
      <c r="G7" s="110">
        <v>1</v>
      </c>
      <c r="H7"/>
    </row>
    <row r="8" spans="1:8" x14ac:dyDescent="0.15">
      <c r="A8">
        <v>7</v>
      </c>
      <c r="B8" s="178" t="s">
        <v>198</v>
      </c>
      <c r="C8" s="110">
        <v>0.01</v>
      </c>
      <c r="D8" s="110">
        <v>0.99</v>
      </c>
      <c r="E8" s="109">
        <v>0</v>
      </c>
      <c r="F8" s="109">
        <v>0</v>
      </c>
      <c r="G8" s="110">
        <v>1</v>
      </c>
      <c r="H8"/>
    </row>
    <row r="9" spans="1:8" x14ac:dyDescent="0.15">
      <c r="A9">
        <v>8</v>
      </c>
      <c r="B9" s="178" t="s">
        <v>199</v>
      </c>
      <c r="C9" s="110">
        <v>0</v>
      </c>
      <c r="D9" s="110">
        <v>0</v>
      </c>
      <c r="E9" s="109">
        <v>0</v>
      </c>
      <c r="F9" s="109">
        <v>1</v>
      </c>
      <c r="G9" s="110">
        <v>1</v>
      </c>
      <c r="H9"/>
    </row>
    <row r="10" spans="1:8" x14ac:dyDescent="0.15">
      <c r="A10">
        <v>9</v>
      </c>
      <c r="B10" s="178" t="s">
        <v>200</v>
      </c>
      <c r="C10" s="110">
        <v>0.01</v>
      </c>
      <c r="D10" s="110">
        <v>0.99</v>
      </c>
      <c r="E10" s="109">
        <v>0</v>
      </c>
      <c r="F10" s="109">
        <v>0</v>
      </c>
      <c r="G10" s="110">
        <v>1</v>
      </c>
      <c r="H10"/>
    </row>
    <row r="11" spans="1:8" x14ac:dyDescent="0.15">
      <c r="A11">
        <v>10</v>
      </c>
      <c r="B11" s="178" t="s">
        <v>201</v>
      </c>
      <c r="C11" s="110">
        <v>0.01</v>
      </c>
      <c r="D11" s="110">
        <v>0.99</v>
      </c>
      <c r="E11" s="109">
        <v>0</v>
      </c>
      <c r="F11" s="109">
        <v>0</v>
      </c>
      <c r="G11" s="110">
        <v>1</v>
      </c>
      <c r="H11"/>
    </row>
    <row r="12" spans="1:8" x14ac:dyDescent="0.15">
      <c r="A12">
        <v>11</v>
      </c>
      <c r="B12" s="178" t="s">
        <v>202</v>
      </c>
      <c r="C12" s="110">
        <v>0.01</v>
      </c>
      <c r="D12" s="110">
        <v>0.99</v>
      </c>
      <c r="E12" s="109">
        <v>0</v>
      </c>
      <c r="F12" s="109">
        <v>0</v>
      </c>
      <c r="G12" s="110">
        <v>1</v>
      </c>
      <c r="H12"/>
    </row>
    <row r="13" spans="1:8" x14ac:dyDescent="0.15">
      <c r="A13">
        <v>12</v>
      </c>
      <c r="B13" s="178" t="s">
        <v>203</v>
      </c>
      <c r="C13" s="110">
        <v>0.01</v>
      </c>
      <c r="D13" s="110">
        <v>0.99</v>
      </c>
      <c r="E13" s="109">
        <v>0</v>
      </c>
      <c r="F13" s="109">
        <v>0</v>
      </c>
      <c r="G13" s="110">
        <v>1</v>
      </c>
      <c r="H13"/>
    </row>
    <row r="14" spans="1:8" x14ac:dyDescent="0.15">
      <c r="A14">
        <v>13</v>
      </c>
      <c r="B14" s="178" t="s">
        <v>204</v>
      </c>
      <c r="C14" s="110">
        <v>0.01</v>
      </c>
      <c r="D14" s="110">
        <v>0.99</v>
      </c>
      <c r="E14" s="109">
        <v>0</v>
      </c>
      <c r="F14" s="109">
        <v>0</v>
      </c>
      <c r="G14" s="110">
        <v>1</v>
      </c>
      <c r="H14"/>
    </row>
    <row r="15" spans="1:8" x14ac:dyDescent="0.15">
      <c r="A15">
        <v>14</v>
      </c>
      <c r="B15" s="178" t="s">
        <v>205</v>
      </c>
      <c r="C15" s="110">
        <v>0.01</v>
      </c>
      <c r="D15" s="110">
        <v>0.99</v>
      </c>
      <c r="E15" s="109">
        <v>0</v>
      </c>
      <c r="F15" s="109">
        <v>0</v>
      </c>
      <c r="G15" s="110">
        <v>1</v>
      </c>
      <c r="H15"/>
    </row>
    <row r="16" spans="1:8" x14ac:dyDescent="0.15">
      <c r="A16">
        <v>15</v>
      </c>
      <c r="B16" s="178" t="s">
        <v>206</v>
      </c>
      <c r="C16" s="110">
        <v>0.01</v>
      </c>
      <c r="D16" s="110">
        <v>0.99</v>
      </c>
      <c r="E16" s="109">
        <v>0</v>
      </c>
      <c r="F16" s="109">
        <v>0</v>
      </c>
      <c r="G16" s="110">
        <v>1</v>
      </c>
      <c r="H16"/>
    </row>
    <row r="17" spans="1:8" ht="15" customHeight="1" x14ac:dyDescent="0.15">
      <c r="A17">
        <v>16</v>
      </c>
      <c r="B17" s="178" t="s">
        <v>207</v>
      </c>
      <c r="C17" s="110">
        <v>0.01</v>
      </c>
      <c r="D17" s="110">
        <v>0.99</v>
      </c>
      <c r="E17" s="109">
        <v>0</v>
      </c>
      <c r="F17" s="109">
        <v>0</v>
      </c>
      <c r="G17" s="110">
        <v>1</v>
      </c>
      <c r="H17"/>
    </row>
    <row r="18" spans="1:8" ht="15" customHeight="1" x14ac:dyDescent="0.15">
      <c r="A18">
        <v>17</v>
      </c>
      <c r="B18" s="178" t="s">
        <v>208</v>
      </c>
      <c r="C18" s="110">
        <v>0.01</v>
      </c>
      <c r="D18" s="110">
        <v>0.99</v>
      </c>
      <c r="E18" s="109">
        <v>0</v>
      </c>
      <c r="F18" s="109">
        <v>0</v>
      </c>
      <c r="G18" s="110">
        <v>1</v>
      </c>
      <c r="H18"/>
    </row>
    <row r="19" spans="1:8" ht="15" customHeight="1" x14ac:dyDescent="0.15">
      <c r="A19">
        <v>18</v>
      </c>
      <c r="B19" s="178" t="s">
        <v>209</v>
      </c>
      <c r="C19" s="110">
        <v>0.01</v>
      </c>
      <c r="D19" s="110">
        <v>0.99</v>
      </c>
      <c r="E19" s="109">
        <v>0</v>
      </c>
      <c r="F19" s="109">
        <v>0</v>
      </c>
      <c r="G19" s="110">
        <v>1</v>
      </c>
      <c r="H19"/>
    </row>
    <row r="20" spans="1:8" ht="15" customHeight="1" x14ac:dyDescent="0.15">
      <c r="A20">
        <v>19</v>
      </c>
      <c r="B20" s="178" t="s">
        <v>210</v>
      </c>
      <c r="C20" s="110">
        <v>0.01</v>
      </c>
      <c r="D20" s="110">
        <v>0.99</v>
      </c>
      <c r="E20" s="109">
        <v>0</v>
      </c>
      <c r="F20" s="109">
        <v>0</v>
      </c>
      <c r="G20" s="110">
        <v>1</v>
      </c>
      <c r="H20"/>
    </row>
    <row r="21" spans="1:8" ht="15" customHeight="1" x14ac:dyDescent="0.15">
      <c r="A21">
        <v>20</v>
      </c>
      <c r="B21" s="178" t="s">
        <v>211</v>
      </c>
      <c r="C21" s="110">
        <v>0.01</v>
      </c>
      <c r="D21" s="110">
        <v>0.99</v>
      </c>
      <c r="E21" s="109">
        <v>0</v>
      </c>
      <c r="F21" s="109">
        <v>0</v>
      </c>
      <c r="G21" s="110">
        <v>1</v>
      </c>
      <c r="H21"/>
    </row>
    <row r="22" spans="1:8" ht="15" customHeight="1" x14ac:dyDescent="0.15">
      <c r="A22">
        <v>21</v>
      </c>
      <c r="B22" s="178" t="s">
        <v>212</v>
      </c>
      <c r="C22" s="110">
        <v>0.01</v>
      </c>
      <c r="D22" s="110">
        <v>0.99</v>
      </c>
      <c r="E22" s="109">
        <v>0</v>
      </c>
      <c r="F22" s="109">
        <v>0</v>
      </c>
      <c r="G22" s="110">
        <v>1</v>
      </c>
      <c r="H22"/>
    </row>
    <row r="23" spans="1:8" ht="15" customHeight="1" x14ac:dyDescent="0.15">
      <c r="A23">
        <v>22</v>
      </c>
      <c r="B23" s="178" t="s">
        <v>213</v>
      </c>
      <c r="C23" s="110">
        <v>0.01</v>
      </c>
      <c r="D23" s="110">
        <v>0.99</v>
      </c>
      <c r="E23" s="109">
        <v>0</v>
      </c>
      <c r="F23" s="109">
        <v>0</v>
      </c>
      <c r="G23" s="110">
        <v>1</v>
      </c>
      <c r="H23"/>
    </row>
    <row r="24" spans="1:8" ht="15" customHeight="1" x14ac:dyDescent="0.15">
      <c r="A24">
        <v>23</v>
      </c>
      <c r="B24" s="178" t="s">
        <v>214</v>
      </c>
      <c r="C24" s="110">
        <v>0.01</v>
      </c>
      <c r="D24" s="110">
        <v>0.99</v>
      </c>
      <c r="E24" s="109">
        <v>0</v>
      </c>
      <c r="F24" s="109">
        <v>0</v>
      </c>
      <c r="G24" s="110">
        <v>1</v>
      </c>
      <c r="H24"/>
    </row>
    <row r="25" spans="1:8" ht="15" customHeight="1" x14ac:dyDescent="0.15">
      <c r="A25">
        <v>24</v>
      </c>
      <c r="B25" s="178" t="s">
        <v>215</v>
      </c>
      <c r="C25" s="110">
        <v>0.01</v>
      </c>
      <c r="D25" s="110">
        <v>0.99</v>
      </c>
      <c r="E25" s="109">
        <v>0</v>
      </c>
      <c r="F25" s="109">
        <v>0</v>
      </c>
      <c r="G25" s="110">
        <v>1</v>
      </c>
      <c r="H25"/>
    </row>
    <row r="26" spans="1:8" ht="15" customHeight="1" x14ac:dyDescent="0.15">
      <c r="A26">
        <v>25</v>
      </c>
      <c r="B26" s="178" t="s">
        <v>216</v>
      </c>
      <c r="C26" s="110">
        <v>0</v>
      </c>
      <c r="D26" s="110">
        <v>0</v>
      </c>
      <c r="E26" s="109">
        <v>0</v>
      </c>
      <c r="F26" s="109">
        <v>1</v>
      </c>
      <c r="G26" s="110">
        <v>1</v>
      </c>
      <c r="H26"/>
    </row>
    <row r="27" spans="1:8" ht="15" customHeight="1" x14ac:dyDescent="0.15">
      <c r="A27">
        <v>26</v>
      </c>
      <c r="B27" s="178" t="s">
        <v>217</v>
      </c>
      <c r="C27" s="110">
        <v>0.01</v>
      </c>
      <c r="D27" s="110">
        <v>0.99</v>
      </c>
      <c r="E27" s="109">
        <v>0</v>
      </c>
      <c r="F27" s="109">
        <v>0</v>
      </c>
      <c r="G27" s="110">
        <v>1</v>
      </c>
      <c r="H27"/>
    </row>
    <row r="28" spans="1:8" ht="15" customHeight="1" x14ac:dyDescent="0.15">
      <c r="A28">
        <v>27</v>
      </c>
      <c r="B28" s="178" t="s">
        <v>218</v>
      </c>
      <c r="C28" s="110">
        <v>0.01</v>
      </c>
      <c r="D28" s="110">
        <v>0.99</v>
      </c>
      <c r="E28" s="109">
        <v>0</v>
      </c>
      <c r="F28" s="109">
        <v>0</v>
      </c>
      <c r="G28" s="110">
        <v>1</v>
      </c>
      <c r="H28"/>
    </row>
    <row r="29" spans="1:8" ht="15" customHeight="1" x14ac:dyDescent="0.15">
      <c r="A29">
        <v>28</v>
      </c>
      <c r="B29" s="178" t="s">
        <v>219</v>
      </c>
      <c r="C29" s="110">
        <v>0</v>
      </c>
      <c r="D29" s="110">
        <v>0</v>
      </c>
      <c r="E29" s="109">
        <v>0</v>
      </c>
      <c r="F29" s="109">
        <v>1</v>
      </c>
      <c r="G29" s="110">
        <v>1</v>
      </c>
      <c r="H29"/>
    </row>
    <row r="30" spans="1:8" ht="15" customHeight="1" x14ac:dyDescent="0.15">
      <c r="A30">
        <v>29</v>
      </c>
      <c r="B30" s="178" t="s">
        <v>220</v>
      </c>
      <c r="C30" s="110">
        <v>0.01</v>
      </c>
      <c r="D30" s="110">
        <v>0.99</v>
      </c>
      <c r="E30" s="109">
        <v>0</v>
      </c>
      <c r="F30" s="109">
        <v>0</v>
      </c>
      <c r="G30" s="110">
        <v>1</v>
      </c>
      <c r="H30"/>
    </row>
    <row r="31" spans="1:8" ht="15" customHeight="1" x14ac:dyDescent="0.15">
      <c r="A31">
        <v>30</v>
      </c>
      <c r="B31" s="178" t="s">
        <v>221</v>
      </c>
      <c r="C31" s="110">
        <v>0.01</v>
      </c>
      <c r="D31" s="110">
        <v>0.99</v>
      </c>
      <c r="E31" s="109">
        <v>0</v>
      </c>
      <c r="F31" s="109">
        <v>0</v>
      </c>
      <c r="G31" s="110">
        <v>1</v>
      </c>
      <c r="H31"/>
    </row>
    <row r="32" spans="1:8" ht="15" customHeight="1" x14ac:dyDescent="0.15">
      <c r="A32">
        <v>31</v>
      </c>
      <c r="B32" s="178" t="s">
        <v>222</v>
      </c>
      <c r="C32" s="110">
        <v>0.01</v>
      </c>
      <c r="D32" s="110">
        <v>0.99</v>
      </c>
      <c r="E32" s="109">
        <v>0</v>
      </c>
      <c r="F32" s="109">
        <v>0</v>
      </c>
      <c r="G32" s="110">
        <v>1</v>
      </c>
    </row>
    <row r="33" spans="1:8" ht="15" customHeight="1" x14ac:dyDescent="0.15">
      <c r="A33">
        <v>32</v>
      </c>
      <c r="B33" s="178" t="s">
        <v>223</v>
      </c>
      <c r="C33" s="110">
        <v>0.01</v>
      </c>
      <c r="D33" s="110">
        <v>1E-3</v>
      </c>
      <c r="E33" s="109">
        <v>0</v>
      </c>
      <c r="F33" s="109">
        <v>0.98899999999999999</v>
      </c>
      <c r="G33" s="110">
        <v>1</v>
      </c>
    </row>
    <row r="34" spans="1:8" ht="15" customHeight="1" x14ac:dyDescent="0.15">
      <c r="A34">
        <v>33</v>
      </c>
      <c r="B34" s="178" t="s">
        <v>224</v>
      </c>
      <c r="C34" s="110">
        <v>0</v>
      </c>
      <c r="D34" s="110">
        <v>0</v>
      </c>
      <c r="E34" s="109">
        <v>1</v>
      </c>
      <c r="F34" s="109">
        <v>0</v>
      </c>
      <c r="G34" s="110">
        <v>1</v>
      </c>
    </row>
    <row r="35" spans="1:8" ht="15" customHeight="1" x14ac:dyDescent="0.15">
      <c r="A35">
        <v>34</v>
      </c>
      <c r="B35" s="178" t="s">
        <v>225</v>
      </c>
      <c r="C35" s="110">
        <v>0</v>
      </c>
      <c r="D35" s="110">
        <v>0</v>
      </c>
      <c r="E35" s="109">
        <v>0</v>
      </c>
      <c r="F35" s="109">
        <v>1</v>
      </c>
      <c r="G35" s="110">
        <v>1</v>
      </c>
    </row>
    <row r="36" spans="1:8" ht="15" customHeight="1" x14ac:dyDescent="0.15">
      <c r="A36">
        <v>35</v>
      </c>
      <c r="B36" s="178" t="s">
        <v>226</v>
      </c>
      <c r="C36" s="110">
        <v>1</v>
      </c>
      <c r="D36" s="110">
        <v>0</v>
      </c>
      <c r="E36" s="110">
        <v>0</v>
      </c>
      <c r="F36" s="110">
        <v>0</v>
      </c>
      <c r="G36" s="110">
        <v>1</v>
      </c>
      <c r="H36"/>
    </row>
    <row r="37" spans="1:8" ht="15" customHeight="1" x14ac:dyDescent="0.15">
      <c r="C37"/>
      <c r="D37"/>
      <c r="E37" s="110"/>
      <c r="F37" s="110"/>
      <c r="G37"/>
      <c r="H37"/>
    </row>
    <row r="38" spans="1:8" ht="15" customHeight="1" x14ac:dyDescent="0.15">
      <c r="C38"/>
      <c r="D38"/>
      <c r="E38" s="110"/>
      <c r="F38" s="110"/>
      <c r="G38"/>
      <c r="H38"/>
    </row>
    <row r="39" spans="1:8" ht="15" customHeight="1" x14ac:dyDescent="0.15">
      <c r="C39"/>
      <c r="D39"/>
      <c r="E39" s="110"/>
      <c r="F39" s="110"/>
      <c r="G39"/>
      <c r="H39"/>
    </row>
    <row r="40" spans="1:8" ht="15" customHeight="1" x14ac:dyDescent="0.15">
      <c r="C40"/>
      <c r="D40"/>
      <c r="E40" s="110"/>
      <c r="F40" s="110"/>
      <c r="G40"/>
      <c r="H40"/>
    </row>
    <row r="41" spans="1:8" ht="15" customHeight="1" x14ac:dyDescent="0.15">
      <c r="C41"/>
      <c r="D41"/>
      <c r="E41" s="110"/>
      <c r="F41" s="110"/>
      <c r="G41"/>
      <c r="H41"/>
    </row>
    <row r="42" spans="1:8" ht="15" customHeight="1" x14ac:dyDescent="0.15">
      <c r="C42"/>
      <c r="D42"/>
      <c r="E42" s="110"/>
      <c r="F42" s="110"/>
      <c r="G42"/>
      <c r="H42"/>
    </row>
    <row r="43" spans="1:8" ht="15" customHeight="1" x14ac:dyDescent="0.15">
      <c r="C43"/>
      <c r="D43"/>
      <c r="E43" s="110"/>
      <c r="F43" s="110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0"/>
      <c r="F46" s="110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6.6640625" bestFit="1" customWidth="1"/>
    <col min="3" max="4" width="12.83203125" bestFit="1" customWidth="1"/>
    <col min="5" max="5" width="12.1640625" bestFit="1" customWidth="1"/>
  </cols>
  <sheetData>
    <row r="1" spans="1:5" s="111" customFormat="1" ht="112" x14ac:dyDescent="0.15">
      <c r="A1" s="5" t="s">
        <v>21</v>
      </c>
      <c r="B1" s="3" t="s">
        <v>0</v>
      </c>
      <c r="C1" s="181" t="s">
        <v>226</v>
      </c>
      <c r="D1" s="181" t="s">
        <v>230</v>
      </c>
      <c r="E1"/>
    </row>
    <row r="2" spans="1:5" ht="15" customHeight="1" x14ac:dyDescent="0.15">
      <c r="A2">
        <v>1</v>
      </c>
      <c r="B2" s="180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80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80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80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80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80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80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80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80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80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80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80" t="s">
        <v>203</v>
      </c>
      <c r="C13">
        <v>1.66836655</v>
      </c>
      <c r="D13">
        <v>1.66836655</v>
      </c>
    </row>
    <row r="14" spans="1:5" ht="15" customHeight="1" x14ac:dyDescent="0.15">
      <c r="A14">
        <v>13</v>
      </c>
      <c r="B14" s="180" t="s">
        <v>204</v>
      </c>
      <c r="C14">
        <v>0.15279811600000001</v>
      </c>
      <c r="D14">
        <v>0.15279811600000001</v>
      </c>
    </row>
    <row r="15" spans="1:5" ht="15" customHeight="1" x14ac:dyDescent="0.15">
      <c r="A15">
        <v>14</v>
      </c>
      <c r="B15" s="180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80" t="s">
        <v>206</v>
      </c>
      <c r="C16">
        <v>3.07598114E-2</v>
      </c>
      <c r="D16">
        <v>3.07598114E-2</v>
      </c>
    </row>
    <row r="17" spans="1:4" ht="15" customHeight="1" x14ac:dyDescent="0.15">
      <c r="A17">
        <v>16</v>
      </c>
      <c r="B17" s="180" t="s">
        <v>207</v>
      </c>
      <c r="C17">
        <v>0.44048559999999998</v>
      </c>
      <c r="D17">
        <v>0.44048559999999998</v>
      </c>
    </row>
    <row r="18" spans="1:4" ht="15" customHeight="1" x14ac:dyDescent="0.15">
      <c r="A18">
        <v>17</v>
      </c>
      <c r="B18" s="180" t="s">
        <v>208</v>
      </c>
      <c r="C18">
        <v>3.0455810900000001E-2</v>
      </c>
      <c r="D18">
        <v>3.0455810900000001E-2</v>
      </c>
    </row>
    <row r="19" spans="1:4" ht="15" customHeight="1" x14ac:dyDescent="0.15">
      <c r="A19">
        <v>18</v>
      </c>
      <c r="B19" s="180" t="s">
        <v>209</v>
      </c>
      <c r="C19">
        <v>6.9392389999999998E-3</v>
      </c>
      <c r="D19">
        <v>6.9392389999999998E-3</v>
      </c>
    </row>
    <row r="20" spans="1:4" ht="15" customHeight="1" x14ac:dyDescent="0.15">
      <c r="A20">
        <v>19</v>
      </c>
      <c r="B20" s="180" t="s">
        <v>210</v>
      </c>
      <c r="C20">
        <v>0.247663036</v>
      </c>
      <c r="D20">
        <v>0.247663036</v>
      </c>
    </row>
    <row r="21" spans="1:4" ht="15" customHeight="1" x14ac:dyDescent="0.15">
      <c r="A21">
        <v>20</v>
      </c>
      <c r="B21" s="180" t="s">
        <v>211</v>
      </c>
      <c r="C21">
        <v>6.4587295099999997E-2</v>
      </c>
      <c r="D21">
        <v>6.4587295099999997E-2</v>
      </c>
    </row>
    <row r="22" spans="1:4" ht="15" customHeight="1" x14ac:dyDescent="0.15">
      <c r="A22">
        <v>21</v>
      </c>
      <c r="B22" s="180" t="s">
        <v>212</v>
      </c>
      <c r="C22">
        <v>8.3295369999999994E-2</v>
      </c>
      <c r="D22">
        <v>8.3295369999999994E-2</v>
      </c>
    </row>
    <row r="23" spans="1:4" ht="15" customHeight="1" x14ac:dyDescent="0.15">
      <c r="A23">
        <v>22</v>
      </c>
      <c r="B23" s="180" t="s">
        <v>213</v>
      </c>
      <c r="C23">
        <v>1.46015342E-2</v>
      </c>
      <c r="D23">
        <v>1.46015342E-2</v>
      </c>
    </row>
    <row r="24" spans="1:4" ht="15" customHeight="1" x14ac:dyDescent="0.15">
      <c r="A24">
        <v>23</v>
      </c>
      <c r="B24" s="180" t="s">
        <v>214</v>
      </c>
      <c r="C24">
        <v>0.29122920000000002</v>
      </c>
      <c r="D24">
        <v>0.29122920000000002</v>
      </c>
    </row>
    <row r="25" spans="1:4" ht="15" customHeight="1" x14ac:dyDescent="0.15">
      <c r="A25">
        <v>24</v>
      </c>
      <c r="B25" s="180" t="s">
        <v>215</v>
      </c>
      <c r="C25">
        <v>1.2135162E-2</v>
      </c>
      <c r="D25">
        <v>1.2135162E-2</v>
      </c>
    </row>
    <row r="26" spans="1:4" ht="15" customHeight="1" x14ac:dyDescent="0.15">
      <c r="A26">
        <v>25</v>
      </c>
      <c r="B26" s="180" t="s">
        <v>216</v>
      </c>
      <c r="C26">
        <v>5.9999999999999995E-4</v>
      </c>
      <c r="D26">
        <v>5.9999999999999995E-4</v>
      </c>
    </row>
    <row r="27" spans="1:4" ht="15" customHeight="1" x14ac:dyDescent="0.15">
      <c r="A27">
        <v>26</v>
      </c>
      <c r="B27" s="180" t="s">
        <v>217</v>
      </c>
      <c r="C27">
        <v>3.0000000000000001E-3</v>
      </c>
      <c r="D27">
        <v>3.0000000000000001E-3</v>
      </c>
    </row>
    <row r="28" spans="1:4" ht="15" customHeight="1" x14ac:dyDescent="0.15">
      <c r="A28">
        <v>27</v>
      </c>
      <c r="B28" s="180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80" t="s">
        <v>219</v>
      </c>
      <c r="C29">
        <v>0</v>
      </c>
      <c r="D29">
        <v>0</v>
      </c>
    </row>
    <row r="30" spans="1:4" ht="15" customHeight="1" x14ac:dyDescent="0.15">
      <c r="A30">
        <v>29</v>
      </c>
      <c r="B30" s="180" t="s">
        <v>220</v>
      </c>
      <c r="C30">
        <v>0</v>
      </c>
      <c r="D30">
        <v>0</v>
      </c>
    </row>
    <row r="31" spans="1:4" ht="15" customHeight="1" x14ac:dyDescent="0.15">
      <c r="A31">
        <v>30</v>
      </c>
      <c r="B31" s="180" t="s">
        <v>221</v>
      </c>
      <c r="C31">
        <v>0</v>
      </c>
      <c r="D31">
        <v>0</v>
      </c>
    </row>
    <row r="32" spans="1:4" ht="15" customHeight="1" x14ac:dyDescent="0.15">
      <c r="A32">
        <v>31</v>
      </c>
      <c r="B32" s="180" t="s">
        <v>222</v>
      </c>
      <c r="C32">
        <v>0</v>
      </c>
      <c r="D32">
        <v>0</v>
      </c>
    </row>
    <row r="33" spans="1:4" ht="15" customHeight="1" x14ac:dyDescent="0.15">
      <c r="A33">
        <v>32</v>
      </c>
      <c r="B33" s="180" t="s">
        <v>223</v>
      </c>
      <c r="C33">
        <v>0</v>
      </c>
      <c r="D33">
        <v>0</v>
      </c>
    </row>
    <row r="34" spans="1:4" ht="15" customHeight="1" x14ac:dyDescent="0.15">
      <c r="A34">
        <v>33</v>
      </c>
      <c r="B34" s="180" t="s">
        <v>224</v>
      </c>
      <c r="C34">
        <v>0</v>
      </c>
      <c r="D34">
        <v>0</v>
      </c>
    </row>
    <row r="35" spans="1:4" ht="15" customHeight="1" x14ac:dyDescent="0.15">
      <c r="A35">
        <v>34</v>
      </c>
      <c r="B35" s="180" t="s">
        <v>225</v>
      </c>
      <c r="C35">
        <v>0</v>
      </c>
      <c r="D35">
        <v>0</v>
      </c>
    </row>
    <row r="36" spans="1:4" ht="15" customHeight="1" x14ac:dyDescent="0.15"/>
    <row r="37" spans="1:4" ht="15" customHeight="1" x14ac:dyDescent="0.15"/>
    <row r="38" spans="1:4" ht="15" customHeight="1" x14ac:dyDescent="0.15"/>
    <row r="39" spans="1:4" ht="15" customHeight="1" x14ac:dyDescent="0.15"/>
    <row r="40" spans="1:4" ht="15" customHeight="1" x14ac:dyDescent="0.15"/>
    <row r="41" spans="1:4" ht="15" customHeight="1" x14ac:dyDescent="0.15"/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3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36.6640625" bestFit="1" customWidth="1"/>
    <col min="3" max="4" width="12.83203125" bestFit="1" customWidth="1"/>
    <col min="5" max="5" width="12.1640625" bestFit="1" customWidth="1"/>
  </cols>
  <sheetData>
    <row r="1" spans="1:4" s="111" customFormat="1" ht="112" x14ac:dyDescent="0.15">
      <c r="A1" s="5" t="s">
        <v>22</v>
      </c>
      <c r="B1" s="3" t="s">
        <v>0</v>
      </c>
      <c r="C1" s="183" t="s">
        <v>226</v>
      </c>
      <c r="D1" s="183" t="s">
        <v>230</v>
      </c>
    </row>
    <row r="2" spans="1:4" x14ac:dyDescent="0.15">
      <c r="A2">
        <v>1</v>
      </c>
      <c r="B2" s="182" t="s">
        <v>192</v>
      </c>
      <c r="C2">
        <v>0</v>
      </c>
      <c r="D2">
        <v>0</v>
      </c>
    </row>
    <row r="3" spans="1:4" x14ac:dyDescent="0.15">
      <c r="A3">
        <v>2</v>
      </c>
      <c r="B3" s="182" t="s">
        <v>193</v>
      </c>
      <c r="C3">
        <v>0</v>
      </c>
      <c r="D3">
        <v>0</v>
      </c>
    </row>
    <row r="4" spans="1:4" x14ac:dyDescent="0.15">
      <c r="A4">
        <v>3</v>
      </c>
      <c r="B4" s="182" t="s">
        <v>194</v>
      </c>
      <c r="C4">
        <v>0</v>
      </c>
      <c r="D4">
        <v>0</v>
      </c>
    </row>
    <row r="5" spans="1:4" x14ac:dyDescent="0.15">
      <c r="A5">
        <v>4</v>
      </c>
      <c r="B5" s="182" t="s">
        <v>195</v>
      </c>
      <c r="C5">
        <v>0</v>
      </c>
      <c r="D5">
        <v>0</v>
      </c>
    </row>
    <row r="6" spans="1:4" x14ac:dyDescent="0.15">
      <c r="A6">
        <v>5</v>
      </c>
      <c r="B6" s="182" t="s">
        <v>196</v>
      </c>
      <c r="C6">
        <v>0</v>
      </c>
      <c r="D6">
        <v>0</v>
      </c>
    </row>
    <row r="7" spans="1:4" x14ac:dyDescent="0.15">
      <c r="A7">
        <v>6</v>
      </c>
      <c r="B7" s="182" t="s">
        <v>197</v>
      </c>
      <c r="C7">
        <v>6.3585899999999995E-7</v>
      </c>
      <c r="D7">
        <v>6.3585899999999995E-7</v>
      </c>
    </row>
    <row r="8" spans="1:4" x14ac:dyDescent="0.15">
      <c r="A8">
        <v>7</v>
      </c>
      <c r="B8" s="182" t="s">
        <v>198</v>
      </c>
      <c r="C8">
        <v>9.6171940000000008E-3</v>
      </c>
      <c r="D8">
        <v>9.6171940000000008E-3</v>
      </c>
    </row>
    <row r="9" spans="1:4" x14ac:dyDescent="0.15">
      <c r="A9">
        <v>8</v>
      </c>
      <c r="B9" s="182" t="s">
        <v>199</v>
      </c>
      <c r="C9">
        <v>1.31439E-10</v>
      </c>
      <c r="D9">
        <v>1.31439E-10</v>
      </c>
    </row>
    <row r="10" spans="1:4" x14ac:dyDescent="0.15">
      <c r="A10">
        <v>9</v>
      </c>
      <c r="B10" s="182" t="s">
        <v>200</v>
      </c>
      <c r="C10">
        <v>3.5436199999999999E-4</v>
      </c>
      <c r="D10">
        <v>3.5436199999999999E-4</v>
      </c>
    </row>
    <row r="11" spans="1:4" x14ac:dyDescent="0.15">
      <c r="A11">
        <v>10</v>
      </c>
      <c r="B11" s="182" t="s">
        <v>201</v>
      </c>
      <c r="C11">
        <v>6.1408400000000007E-5</v>
      </c>
      <c r="D11">
        <v>6.1408400000000007E-5</v>
      </c>
    </row>
    <row r="12" spans="1:4" x14ac:dyDescent="0.15">
      <c r="A12">
        <v>11</v>
      </c>
      <c r="B12" s="182" t="s">
        <v>202</v>
      </c>
      <c r="C12">
        <v>4.3188999999999999E-4</v>
      </c>
      <c r="D12">
        <v>4.3188999999999999E-4</v>
      </c>
    </row>
    <row r="13" spans="1:4" x14ac:dyDescent="0.15">
      <c r="A13">
        <v>12</v>
      </c>
      <c r="B13" s="182" t="s">
        <v>203</v>
      </c>
      <c r="C13">
        <v>3.9041299999999999E-4</v>
      </c>
      <c r="D13">
        <v>3.9041299999999999E-4</v>
      </c>
    </row>
    <row r="14" spans="1:4" x14ac:dyDescent="0.15">
      <c r="A14">
        <v>13</v>
      </c>
      <c r="B14" s="182" t="s">
        <v>204</v>
      </c>
      <c r="C14">
        <v>0.51951639999999999</v>
      </c>
      <c r="D14">
        <v>0.51951639999999999</v>
      </c>
    </row>
    <row r="15" spans="1:4" x14ac:dyDescent="0.15">
      <c r="A15">
        <v>14</v>
      </c>
      <c r="B15" s="182" t="s">
        <v>205</v>
      </c>
      <c r="C15">
        <v>5.2421804500000002E-2</v>
      </c>
      <c r="D15">
        <v>5.2421804500000002E-2</v>
      </c>
    </row>
    <row r="16" spans="1:4" x14ac:dyDescent="0.15">
      <c r="A16">
        <v>15</v>
      </c>
      <c r="B16" s="182" t="s">
        <v>206</v>
      </c>
      <c r="C16">
        <v>9.6171940000000008E-3</v>
      </c>
      <c r="D16">
        <v>9.6171940000000008E-3</v>
      </c>
    </row>
    <row r="17" spans="1:4" x14ac:dyDescent="0.15">
      <c r="A17">
        <v>16</v>
      </c>
      <c r="B17" s="182" t="s">
        <v>207</v>
      </c>
      <c r="C17">
        <v>8.6813499999999992E-9</v>
      </c>
      <c r="D17">
        <v>8.6813499999999992E-9</v>
      </c>
    </row>
    <row r="18" spans="1:4" x14ac:dyDescent="0.15">
      <c r="A18">
        <v>17</v>
      </c>
      <c r="B18" s="182" t="s">
        <v>208</v>
      </c>
      <c r="C18">
        <v>0.16478409999999999</v>
      </c>
      <c r="D18">
        <v>0.16478409999999999</v>
      </c>
    </row>
    <row r="19" spans="1:4" x14ac:dyDescent="0.15">
      <c r="A19">
        <v>18</v>
      </c>
      <c r="B19" s="182" t="s">
        <v>209</v>
      </c>
      <c r="C19">
        <v>2.82157268E-2</v>
      </c>
      <c r="D19">
        <v>2.82157268E-2</v>
      </c>
    </row>
    <row r="20" spans="1:4" x14ac:dyDescent="0.15">
      <c r="A20">
        <v>19</v>
      </c>
      <c r="B20" s="182" t="s">
        <v>210</v>
      </c>
      <c r="C20">
        <v>7.0016499999999999E-4</v>
      </c>
      <c r="D20">
        <v>7.0016499999999999E-4</v>
      </c>
    </row>
    <row r="21" spans="1:4" x14ac:dyDescent="0.15">
      <c r="A21">
        <v>20</v>
      </c>
      <c r="B21" s="182" t="s">
        <v>211</v>
      </c>
      <c r="C21">
        <v>3.9650900000000003E-2</v>
      </c>
      <c r="D21">
        <v>3.9650900000000003E-2</v>
      </c>
    </row>
    <row r="22" spans="1:4" x14ac:dyDescent="0.15">
      <c r="A22">
        <v>21</v>
      </c>
      <c r="B22" s="182" t="s">
        <v>212</v>
      </c>
      <c r="C22">
        <v>1.9377525900000001E-2</v>
      </c>
      <c r="D22">
        <v>1.9377525900000001E-2</v>
      </c>
    </row>
    <row r="23" spans="1:4" x14ac:dyDescent="0.15">
      <c r="A23">
        <v>22</v>
      </c>
      <c r="B23" s="182" t="s">
        <v>213</v>
      </c>
      <c r="C23">
        <v>2.5372004100000001E-2</v>
      </c>
      <c r="D23">
        <v>2.5372004100000001E-2</v>
      </c>
    </row>
    <row r="24" spans="1:4" x14ac:dyDescent="0.15">
      <c r="A24">
        <v>23</v>
      </c>
      <c r="B24" s="182" t="s">
        <v>214</v>
      </c>
      <c r="C24">
        <v>1.0045010599999999E-2</v>
      </c>
      <c r="D24">
        <v>1.0045010599999999E-2</v>
      </c>
    </row>
    <row r="25" spans="1:4" x14ac:dyDescent="0.15">
      <c r="A25">
        <v>24</v>
      </c>
      <c r="B25" s="182" t="s">
        <v>215</v>
      </c>
      <c r="C25">
        <v>8.7368760000000004E-2</v>
      </c>
      <c r="D25">
        <v>8.7368760000000004E-2</v>
      </c>
    </row>
    <row r="26" spans="1:4" x14ac:dyDescent="0.15">
      <c r="A26">
        <v>25</v>
      </c>
      <c r="B26" s="182" t="s">
        <v>216</v>
      </c>
      <c r="C26">
        <v>1E-3</v>
      </c>
      <c r="D26">
        <v>1E-3</v>
      </c>
    </row>
    <row r="27" spans="1:4" x14ac:dyDescent="0.15">
      <c r="A27">
        <v>26</v>
      </c>
      <c r="B27" s="182" t="s">
        <v>217</v>
      </c>
      <c r="C27">
        <v>1E-4</v>
      </c>
      <c r="D27">
        <v>1E-4</v>
      </c>
    </row>
    <row r="28" spans="1:4" x14ac:dyDescent="0.15">
      <c r="A28">
        <v>27</v>
      </c>
      <c r="B28" s="182" t="s">
        <v>218</v>
      </c>
      <c r="C28">
        <v>2.2787490000000001E-3</v>
      </c>
      <c r="D28">
        <v>2.2787490000000001E-3</v>
      </c>
    </row>
    <row r="29" spans="1:4" x14ac:dyDescent="0.15">
      <c r="A29">
        <v>28</v>
      </c>
      <c r="B29" s="182" t="s">
        <v>219</v>
      </c>
      <c r="C29">
        <v>3.1678500000000001E-11</v>
      </c>
      <c r="D29">
        <v>3.1678500000000001E-11</v>
      </c>
    </row>
    <row r="30" spans="1:4" x14ac:dyDescent="0.15">
      <c r="A30">
        <v>29</v>
      </c>
      <c r="B30" s="182" t="s">
        <v>220</v>
      </c>
      <c r="C30">
        <v>1.70708E-8</v>
      </c>
      <c r="D30">
        <v>1.70708E-8</v>
      </c>
    </row>
    <row r="31" spans="1:4" x14ac:dyDescent="0.15">
      <c r="A31">
        <v>30</v>
      </c>
      <c r="B31" s="182" t="s">
        <v>221</v>
      </c>
      <c r="C31">
        <v>1.3060700000000001E-8</v>
      </c>
      <c r="D31">
        <v>1.3060700000000001E-8</v>
      </c>
    </row>
    <row r="32" spans="1:4" x14ac:dyDescent="0.15">
      <c r="A32">
        <v>31</v>
      </c>
      <c r="B32" s="182" t="s">
        <v>222</v>
      </c>
      <c r="C32">
        <v>6.3335200000000003E-5</v>
      </c>
      <c r="D32">
        <v>6.3335200000000003E-5</v>
      </c>
    </row>
    <row r="33" spans="1:4" x14ac:dyDescent="0.15">
      <c r="A33">
        <v>32</v>
      </c>
      <c r="B33" s="182" t="s">
        <v>223</v>
      </c>
      <c r="C33">
        <v>0</v>
      </c>
      <c r="D33">
        <v>0</v>
      </c>
    </row>
    <row r="34" spans="1:4" x14ac:dyDescent="0.15">
      <c r="A34">
        <v>33</v>
      </c>
      <c r="B34" s="182" t="s">
        <v>224</v>
      </c>
      <c r="C34">
        <v>0</v>
      </c>
      <c r="D34">
        <v>0</v>
      </c>
    </row>
    <row r="35" spans="1:4" x14ac:dyDescent="0.15">
      <c r="A35">
        <v>34</v>
      </c>
      <c r="B35" s="182" t="s">
        <v>225</v>
      </c>
      <c r="C35">
        <v>0</v>
      </c>
      <c r="D3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36.6640625" bestFit="1" customWidth="1"/>
    <col min="6" max="6" width="4.83203125" bestFit="1" customWidth="1"/>
    <col min="7" max="9" width="3.83203125" bestFit="1" customWidth="1"/>
    <col min="10" max="11" width="4.83203125" style="110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2" customFormat="1" ht="14" thickBot="1" x14ac:dyDescent="0.2">
      <c r="D1" s="113" t="s">
        <v>8</v>
      </c>
      <c r="E1" s="113" t="s">
        <v>0</v>
      </c>
      <c r="F1" s="114" t="s">
        <v>99</v>
      </c>
      <c r="G1" s="115" t="s">
        <v>84</v>
      </c>
      <c r="H1" s="115" t="s">
        <v>85</v>
      </c>
      <c r="I1" s="115" t="s">
        <v>86</v>
      </c>
      <c r="J1" s="115" t="s">
        <v>87</v>
      </c>
      <c r="K1" s="115" t="s">
        <v>88</v>
      </c>
      <c r="L1" s="116" t="s">
        <v>89</v>
      </c>
      <c r="M1" s="116" t="s">
        <v>93</v>
      </c>
      <c r="N1" s="116" t="s">
        <v>92</v>
      </c>
      <c r="O1" s="116" t="s">
        <v>90</v>
      </c>
      <c r="P1" s="116" t="s">
        <v>91</v>
      </c>
      <c r="Q1" s="117" t="s">
        <v>94</v>
      </c>
      <c r="R1" s="117" t="s">
        <v>95</v>
      </c>
      <c r="S1" s="117" t="s">
        <v>96</v>
      </c>
      <c r="T1" s="117" t="s">
        <v>97</v>
      </c>
      <c r="U1" s="117" t="s">
        <v>98</v>
      </c>
      <c r="V1" s="115" t="s">
        <v>100</v>
      </c>
      <c r="W1" s="115" t="s">
        <v>101</v>
      </c>
      <c r="X1" s="115" t="s">
        <v>102</v>
      </c>
      <c r="Y1" s="115" t="s">
        <v>134</v>
      </c>
      <c r="Z1" s="116" t="s">
        <v>103</v>
      </c>
      <c r="AA1" s="116" t="s">
        <v>104</v>
      </c>
      <c r="AB1" s="116" t="s">
        <v>105</v>
      </c>
      <c r="AC1" s="118" t="s">
        <v>135</v>
      </c>
      <c r="AD1" s="117" t="s">
        <v>106</v>
      </c>
      <c r="AE1" s="117" t="s">
        <v>107</v>
      </c>
      <c r="AF1" s="117" t="s">
        <v>108</v>
      </c>
      <c r="AG1" s="117" t="s">
        <v>136</v>
      </c>
      <c r="AH1" s="115" t="s">
        <v>109</v>
      </c>
      <c r="AI1" s="115" t="s">
        <v>111</v>
      </c>
      <c r="AJ1" s="115" t="s">
        <v>110</v>
      </c>
      <c r="AK1" s="116" t="s">
        <v>115</v>
      </c>
      <c r="AL1" s="116" t="s">
        <v>116</v>
      </c>
      <c r="AM1" s="116" t="s">
        <v>117</v>
      </c>
      <c r="AN1" s="117" t="s">
        <v>112</v>
      </c>
      <c r="AO1" s="117" t="s">
        <v>113</v>
      </c>
      <c r="AP1" s="117" t="s">
        <v>114</v>
      </c>
    </row>
    <row r="2" spans="1:42" x14ac:dyDescent="0.15">
      <c r="A2" s="119" t="s">
        <v>74</v>
      </c>
      <c r="B2" s="120">
        <v>1</v>
      </c>
      <c r="D2">
        <v>1</v>
      </c>
      <c r="E2" s="184" t="s">
        <v>192</v>
      </c>
      <c r="F2">
        <v>0.98</v>
      </c>
      <c r="G2">
        <v>0.8</v>
      </c>
      <c r="H2">
        <v>0.8</v>
      </c>
      <c r="I2">
        <v>0</v>
      </c>
      <c r="J2" s="110">
        <v>0</v>
      </c>
      <c r="K2" s="110">
        <v>0</v>
      </c>
    </row>
    <row r="3" spans="1:42" x14ac:dyDescent="0.15">
      <c r="A3" s="119" t="s">
        <v>75</v>
      </c>
      <c r="B3" s="121">
        <v>1</v>
      </c>
      <c r="D3">
        <v>2</v>
      </c>
      <c r="E3" s="184" t="s">
        <v>193</v>
      </c>
      <c r="F3">
        <v>0.98</v>
      </c>
      <c r="G3">
        <v>0.8</v>
      </c>
      <c r="H3">
        <v>0.8</v>
      </c>
      <c r="I3">
        <v>0.8</v>
      </c>
      <c r="J3" s="110">
        <v>0.25</v>
      </c>
      <c r="K3" s="110">
        <v>0.05</v>
      </c>
    </row>
    <row r="4" spans="1:42" x14ac:dyDescent="0.15">
      <c r="A4" s="119" t="s">
        <v>76</v>
      </c>
      <c r="B4" s="121">
        <v>1</v>
      </c>
      <c r="D4">
        <v>3</v>
      </c>
      <c r="E4" s="184" t="s">
        <v>194</v>
      </c>
      <c r="F4">
        <v>0.98</v>
      </c>
      <c r="G4">
        <v>0.8</v>
      </c>
      <c r="H4">
        <v>0.8</v>
      </c>
      <c r="I4">
        <v>0.8</v>
      </c>
      <c r="J4" s="110">
        <v>0.25</v>
      </c>
      <c r="K4" s="110">
        <v>0.05</v>
      </c>
    </row>
    <row r="5" spans="1:42" x14ac:dyDescent="0.15">
      <c r="A5" s="119" t="s">
        <v>77</v>
      </c>
      <c r="B5" s="121">
        <v>1</v>
      </c>
      <c r="D5">
        <v>4</v>
      </c>
      <c r="E5" s="184" t="s">
        <v>195</v>
      </c>
      <c r="F5">
        <v>0.98</v>
      </c>
      <c r="G5">
        <v>0.8</v>
      </c>
      <c r="H5">
        <v>0.8</v>
      </c>
      <c r="I5">
        <v>0.8</v>
      </c>
      <c r="J5" s="110">
        <v>0.25</v>
      </c>
      <c r="K5" s="110">
        <v>0.05</v>
      </c>
    </row>
    <row r="6" spans="1:42" x14ac:dyDescent="0.15">
      <c r="A6" s="119" t="s">
        <v>78</v>
      </c>
      <c r="B6" s="121">
        <v>1</v>
      </c>
      <c r="D6">
        <v>5</v>
      </c>
      <c r="E6" s="184" t="s">
        <v>196</v>
      </c>
      <c r="F6">
        <v>0.98</v>
      </c>
      <c r="G6">
        <v>0.8</v>
      </c>
      <c r="H6">
        <v>0.8</v>
      </c>
      <c r="I6">
        <v>0.8</v>
      </c>
      <c r="J6" s="110">
        <v>0.25</v>
      </c>
      <c r="K6" s="110">
        <v>0.05</v>
      </c>
    </row>
    <row r="7" spans="1:42" x14ac:dyDescent="0.15">
      <c r="A7" s="119" t="s">
        <v>79</v>
      </c>
      <c r="B7" s="121">
        <v>1</v>
      </c>
      <c r="D7">
        <v>6</v>
      </c>
      <c r="E7" s="184" t="s">
        <v>197</v>
      </c>
      <c r="F7">
        <v>0.98</v>
      </c>
      <c r="G7">
        <v>0.8</v>
      </c>
      <c r="H7">
        <v>0.8</v>
      </c>
      <c r="I7">
        <v>0.8</v>
      </c>
      <c r="J7" s="110">
        <v>0.25</v>
      </c>
      <c r="K7" s="110">
        <v>0.05</v>
      </c>
    </row>
    <row r="8" spans="1:42" x14ac:dyDescent="0.15">
      <c r="A8" s="119" t="s">
        <v>80</v>
      </c>
      <c r="B8" s="121">
        <v>1</v>
      </c>
      <c r="D8">
        <v>7</v>
      </c>
      <c r="E8" s="184" t="s">
        <v>198</v>
      </c>
      <c r="F8">
        <v>0.98</v>
      </c>
      <c r="G8">
        <v>0.8</v>
      </c>
      <c r="H8">
        <v>0.8</v>
      </c>
      <c r="I8">
        <v>0.8</v>
      </c>
      <c r="J8" s="110">
        <v>0.25</v>
      </c>
      <c r="K8" s="110">
        <v>0.05</v>
      </c>
    </row>
    <row r="9" spans="1:42" x14ac:dyDescent="0.15">
      <c r="A9" s="119" t="s">
        <v>81</v>
      </c>
      <c r="B9" s="121">
        <v>0.1</v>
      </c>
      <c r="C9" s="60" t="s">
        <v>150</v>
      </c>
      <c r="D9">
        <v>8</v>
      </c>
      <c r="E9" s="184" t="s">
        <v>199</v>
      </c>
      <c r="F9">
        <v>0.98</v>
      </c>
      <c r="G9">
        <v>0.8</v>
      </c>
      <c r="H9">
        <v>0.8</v>
      </c>
      <c r="I9">
        <v>0.8</v>
      </c>
      <c r="J9" s="110">
        <v>0.25</v>
      </c>
      <c r="K9" s="110">
        <v>0.05</v>
      </c>
    </row>
    <row r="10" spans="1:42" ht="14" thickBot="1" x14ac:dyDescent="0.2">
      <c r="A10" s="119" t="s">
        <v>149</v>
      </c>
      <c r="B10" s="122">
        <f>1/3</f>
        <v>0.33333333333333331</v>
      </c>
      <c r="C10" s="60" t="s">
        <v>150</v>
      </c>
      <c r="D10">
        <v>9</v>
      </c>
      <c r="E10" s="184" t="s">
        <v>200</v>
      </c>
      <c r="F10">
        <v>0.98</v>
      </c>
      <c r="G10">
        <v>0.8</v>
      </c>
      <c r="H10">
        <v>0.8</v>
      </c>
      <c r="I10">
        <v>0.8</v>
      </c>
      <c r="J10" s="110">
        <v>0.25</v>
      </c>
      <c r="K10" s="110">
        <v>0.05</v>
      </c>
    </row>
    <row r="11" spans="1:42" x14ac:dyDescent="0.15">
      <c r="D11">
        <v>10</v>
      </c>
      <c r="E11" s="184" t="s">
        <v>201</v>
      </c>
      <c r="F11">
        <v>0.98</v>
      </c>
      <c r="G11">
        <v>0.8</v>
      </c>
      <c r="H11">
        <v>0.8</v>
      </c>
      <c r="I11">
        <v>0.8</v>
      </c>
      <c r="J11" s="110">
        <v>0.25</v>
      </c>
      <c r="K11" s="110">
        <v>0.05</v>
      </c>
    </row>
    <row r="12" spans="1:42" x14ac:dyDescent="0.15">
      <c r="D12">
        <v>11</v>
      </c>
      <c r="E12" s="184" t="s">
        <v>202</v>
      </c>
      <c r="F12">
        <v>0.98</v>
      </c>
      <c r="G12">
        <v>0.8</v>
      </c>
      <c r="H12">
        <v>0.8</v>
      </c>
      <c r="I12">
        <v>0.8</v>
      </c>
      <c r="J12" s="110">
        <v>0.25</v>
      </c>
      <c r="K12" s="110">
        <v>0.05</v>
      </c>
    </row>
    <row r="13" spans="1:42" x14ac:dyDescent="0.15">
      <c r="D13">
        <v>12</v>
      </c>
      <c r="E13" s="184" t="s">
        <v>203</v>
      </c>
      <c r="F13">
        <v>0.98</v>
      </c>
      <c r="G13">
        <v>0.8</v>
      </c>
      <c r="H13">
        <v>0.8</v>
      </c>
      <c r="I13">
        <v>0.8</v>
      </c>
      <c r="J13" s="110">
        <v>0.25</v>
      </c>
      <c r="K13" s="110">
        <v>0.05</v>
      </c>
    </row>
    <row r="14" spans="1:42" x14ac:dyDescent="0.15">
      <c r="D14">
        <v>13</v>
      </c>
      <c r="E14" s="184" t="s">
        <v>204</v>
      </c>
      <c r="F14">
        <v>0.98</v>
      </c>
      <c r="G14">
        <v>0.8</v>
      </c>
      <c r="H14">
        <v>0.8</v>
      </c>
      <c r="I14">
        <v>0.8</v>
      </c>
      <c r="J14" s="110">
        <v>0.25</v>
      </c>
      <c r="K14" s="110">
        <v>0.05</v>
      </c>
    </row>
    <row r="15" spans="1:42" x14ac:dyDescent="0.15">
      <c r="D15">
        <v>14</v>
      </c>
      <c r="E15" s="184" t="s">
        <v>205</v>
      </c>
      <c r="F15">
        <v>0.98</v>
      </c>
      <c r="G15">
        <v>0.8</v>
      </c>
      <c r="H15">
        <v>0.8</v>
      </c>
      <c r="I15">
        <v>0.8</v>
      </c>
      <c r="J15" s="110">
        <v>0.25</v>
      </c>
      <c r="K15" s="110">
        <v>0.05</v>
      </c>
    </row>
    <row r="16" spans="1:42" x14ac:dyDescent="0.15">
      <c r="D16">
        <v>15</v>
      </c>
      <c r="E16" s="184" t="s">
        <v>206</v>
      </c>
      <c r="F16">
        <v>0.98</v>
      </c>
      <c r="G16">
        <v>0.8</v>
      </c>
      <c r="H16">
        <v>0.8</v>
      </c>
      <c r="I16">
        <v>0.8</v>
      </c>
      <c r="J16" s="110">
        <v>0.25</v>
      </c>
      <c r="K16" s="110">
        <v>0.05</v>
      </c>
    </row>
    <row r="17" spans="4:33" ht="15" customHeight="1" x14ac:dyDescent="0.15">
      <c r="D17">
        <v>16</v>
      </c>
      <c r="E17" s="184" t="s">
        <v>207</v>
      </c>
      <c r="F17">
        <v>0.98</v>
      </c>
      <c r="G17">
        <v>0.8</v>
      </c>
      <c r="H17">
        <v>0.8</v>
      </c>
      <c r="I17">
        <v>0.8</v>
      </c>
      <c r="J17" s="110">
        <v>0.25</v>
      </c>
      <c r="K17" s="110">
        <v>0.05</v>
      </c>
    </row>
    <row r="18" spans="4:33" ht="15" customHeight="1" x14ac:dyDescent="0.15">
      <c r="D18">
        <v>17</v>
      </c>
      <c r="E18" s="184" t="s">
        <v>208</v>
      </c>
      <c r="F18">
        <v>0.98</v>
      </c>
      <c r="G18">
        <v>0.8</v>
      </c>
      <c r="H18">
        <v>0.8</v>
      </c>
      <c r="I18">
        <v>0.8</v>
      </c>
      <c r="J18" s="110">
        <v>0.25</v>
      </c>
      <c r="K18" s="110">
        <v>0.05</v>
      </c>
    </row>
    <row r="19" spans="4:33" ht="15" customHeight="1" x14ac:dyDescent="0.15">
      <c r="D19">
        <v>18</v>
      </c>
      <c r="E19" s="184" t="s">
        <v>209</v>
      </c>
      <c r="F19">
        <v>0.98</v>
      </c>
      <c r="G19">
        <v>0.8</v>
      </c>
      <c r="H19">
        <v>0.8</v>
      </c>
      <c r="I19">
        <v>0.8</v>
      </c>
      <c r="J19" s="110">
        <v>0.25</v>
      </c>
      <c r="K19" s="110">
        <v>0.05</v>
      </c>
    </row>
    <row r="20" spans="4:33" ht="15" customHeight="1" x14ac:dyDescent="0.15">
      <c r="D20">
        <v>19</v>
      </c>
      <c r="E20" s="184" t="s">
        <v>210</v>
      </c>
      <c r="F20">
        <v>0.98</v>
      </c>
      <c r="G20">
        <v>0.8</v>
      </c>
      <c r="H20">
        <v>0.8</v>
      </c>
      <c r="I20">
        <v>0.8</v>
      </c>
      <c r="J20" s="110">
        <v>0.25</v>
      </c>
      <c r="K20" s="110">
        <v>0.05</v>
      </c>
    </row>
    <row r="21" spans="4:33" ht="15" customHeight="1" x14ac:dyDescent="0.15">
      <c r="D21">
        <v>20</v>
      </c>
      <c r="E21" s="184" t="s">
        <v>211</v>
      </c>
      <c r="F21">
        <v>0.98</v>
      </c>
      <c r="G21">
        <v>0.8</v>
      </c>
      <c r="H21">
        <v>0.8</v>
      </c>
      <c r="I21">
        <v>0.8</v>
      </c>
      <c r="J21" s="110">
        <v>0.25</v>
      </c>
      <c r="K21" s="110">
        <v>0.05</v>
      </c>
    </row>
    <row r="22" spans="4:33" ht="15" customHeight="1" x14ac:dyDescent="0.15">
      <c r="D22">
        <v>21</v>
      </c>
      <c r="E22" s="184" t="s">
        <v>212</v>
      </c>
      <c r="F22">
        <v>0.98</v>
      </c>
      <c r="G22">
        <v>0.8</v>
      </c>
      <c r="H22">
        <v>0.8</v>
      </c>
      <c r="I22">
        <v>0.8</v>
      </c>
      <c r="J22" s="110">
        <v>0.25</v>
      </c>
      <c r="K22" s="110">
        <v>0.05</v>
      </c>
    </row>
    <row r="23" spans="4:33" ht="15" customHeight="1" x14ac:dyDescent="0.15">
      <c r="D23">
        <v>22</v>
      </c>
      <c r="E23" s="184" t="s">
        <v>213</v>
      </c>
      <c r="F23">
        <v>0.98</v>
      </c>
      <c r="G23">
        <v>0.8</v>
      </c>
      <c r="H23">
        <v>0.8</v>
      </c>
      <c r="I23">
        <v>0.8</v>
      </c>
      <c r="J23" s="110">
        <v>0.25</v>
      </c>
      <c r="K23" s="110">
        <v>0.05</v>
      </c>
    </row>
    <row r="24" spans="4:33" ht="15" customHeight="1" x14ac:dyDescent="0.15">
      <c r="D24">
        <v>23</v>
      </c>
      <c r="E24" s="184" t="s">
        <v>214</v>
      </c>
      <c r="F24">
        <v>0.98</v>
      </c>
      <c r="G24">
        <v>0.8</v>
      </c>
      <c r="H24">
        <v>0.8</v>
      </c>
      <c r="I24">
        <v>0.8</v>
      </c>
      <c r="J24" s="110">
        <v>0.25</v>
      </c>
      <c r="K24" s="110">
        <v>0.05</v>
      </c>
    </row>
    <row r="25" spans="4:33" ht="15" customHeight="1" x14ac:dyDescent="0.15">
      <c r="D25">
        <v>24</v>
      </c>
      <c r="E25" s="184" t="s">
        <v>215</v>
      </c>
      <c r="F25">
        <v>0.98</v>
      </c>
      <c r="G25">
        <v>0.8</v>
      </c>
      <c r="H25">
        <v>0.8</v>
      </c>
      <c r="I25">
        <v>0.8</v>
      </c>
      <c r="J25" s="110">
        <v>0.25</v>
      </c>
      <c r="K25" s="110">
        <v>0.05</v>
      </c>
    </row>
    <row r="26" spans="4:33" ht="15" customHeight="1" x14ac:dyDescent="0.15">
      <c r="D26">
        <v>25</v>
      </c>
      <c r="E26" s="184" t="s">
        <v>216</v>
      </c>
      <c r="F26">
        <v>0.98</v>
      </c>
      <c r="G26">
        <v>0.8</v>
      </c>
      <c r="H26">
        <v>0.8</v>
      </c>
      <c r="I26">
        <v>0.8</v>
      </c>
      <c r="J26" s="110">
        <v>0.25</v>
      </c>
      <c r="K26" s="110">
        <v>0.05</v>
      </c>
    </row>
    <row r="27" spans="4:33" ht="15" customHeight="1" x14ac:dyDescent="0.15">
      <c r="D27">
        <v>26</v>
      </c>
      <c r="E27" s="184" t="s">
        <v>217</v>
      </c>
      <c r="F27">
        <v>0.98</v>
      </c>
      <c r="G27">
        <v>0.8</v>
      </c>
      <c r="H27">
        <v>0.8</v>
      </c>
      <c r="I27">
        <v>0.8</v>
      </c>
      <c r="J27" s="110">
        <v>0.25</v>
      </c>
      <c r="K27" s="110">
        <v>0.05</v>
      </c>
    </row>
    <row r="28" spans="4:33" ht="15" customHeight="1" x14ac:dyDescent="0.15">
      <c r="D28">
        <v>27</v>
      </c>
      <c r="E28" s="184" t="s">
        <v>218</v>
      </c>
      <c r="F28">
        <v>0.98</v>
      </c>
      <c r="G28">
        <v>0.8</v>
      </c>
      <c r="H28">
        <v>0.8</v>
      </c>
      <c r="I28">
        <v>0.8</v>
      </c>
      <c r="J28" s="110">
        <v>0.25</v>
      </c>
      <c r="K28" s="110">
        <v>0.05</v>
      </c>
    </row>
    <row r="29" spans="4:33" ht="15" customHeight="1" x14ac:dyDescent="0.15">
      <c r="D29">
        <v>28</v>
      </c>
      <c r="E29" s="184" t="s">
        <v>219</v>
      </c>
      <c r="F29">
        <v>0.98</v>
      </c>
      <c r="G29">
        <v>0.8</v>
      </c>
      <c r="H29">
        <v>0.8</v>
      </c>
      <c r="I29">
        <v>0.8</v>
      </c>
      <c r="J29" s="110">
        <v>0.25</v>
      </c>
      <c r="K29" s="110">
        <v>0.05</v>
      </c>
      <c r="Y29"/>
      <c r="AC29"/>
      <c r="AG29"/>
    </row>
    <row r="30" spans="4:33" ht="15" customHeight="1" x14ac:dyDescent="0.15">
      <c r="D30">
        <v>29</v>
      </c>
      <c r="E30" s="184" t="s">
        <v>220</v>
      </c>
      <c r="F30">
        <v>0.98</v>
      </c>
      <c r="G30">
        <v>0.8</v>
      </c>
      <c r="H30">
        <v>0.8</v>
      </c>
      <c r="I30">
        <v>0.8</v>
      </c>
      <c r="J30" s="110">
        <v>0.25</v>
      </c>
      <c r="K30" s="110">
        <v>0.05</v>
      </c>
      <c r="Y30"/>
      <c r="AC30"/>
      <c r="AG30"/>
    </row>
    <row r="31" spans="4:33" ht="15" customHeight="1" x14ac:dyDescent="0.15">
      <c r="D31">
        <v>30</v>
      </c>
      <c r="E31" s="184" t="s">
        <v>221</v>
      </c>
      <c r="F31">
        <v>0.98</v>
      </c>
      <c r="G31">
        <v>0.8</v>
      </c>
      <c r="H31">
        <v>0.8</v>
      </c>
      <c r="I31">
        <v>0.8</v>
      </c>
      <c r="J31" s="110">
        <v>0.25</v>
      </c>
      <c r="K31" s="110">
        <v>0.05</v>
      </c>
      <c r="Y31"/>
      <c r="AC31"/>
      <c r="AG31"/>
    </row>
    <row r="32" spans="4:33" ht="15" customHeight="1" x14ac:dyDescent="0.15">
      <c r="D32">
        <v>31</v>
      </c>
      <c r="E32" s="184" t="s">
        <v>222</v>
      </c>
      <c r="F32">
        <v>0.98</v>
      </c>
      <c r="G32">
        <v>0.8</v>
      </c>
      <c r="H32">
        <v>0.8</v>
      </c>
      <c r="I32">
        <v>0.8</v>
      </c>
      <c r="J32" s="110">
        <v>0.25</v>
      </c>
      <c r="K32" s="110">
        <v>0.05</v>
      </c>
      <c r="Y32"/>
      <c r="AC32"/>
      <c r="AG32"/>
    </row>
    <row r="33" spans="4:33" ht="15" customHeight="1" x14ac:dyDescent="0.15">
      <c r="D33">
        <v>32</v>
      </c>
      <c r="E33" s="184" t="s">
        <v>223</v>
      </c>
      <c r="F33">
        <v>0.98</v>
      </c>
      <c r="G33">
        <v>0.8</v>
      </c>
      <c r="H33">
        <v>0</v>
      </c>
      <c r="I33">
        <v>0</v>
      </c>
      <c r="J33" s="110">
        <v>0</v>
      </c>
      <c r="K33" s="110">
        <v>0</v>
      </c>
      <c r="Y33"/>
      <c r="AC33"/>
      <c r="AG33"/>
    </row>
    <row r="34" spans="4:33" ht="15" customHeight="1" x14ac:dyDescent="0.15">
      <c r="D34">
        <v>33</v>
      </c>
      <c r="E34" s="184" t="s">
        <v>224</v>
      </c>
      <c r="F34">
        <v>0.98</v>
      </c>
      <c r="G34">
        <v>0.8</v>
      </c>
      <c r="H34">
        <v>0</v>
      </c>
      <c r="I34">
        <v>0</v>
      </c>
      <c r="J34" s="110">
        <v>0</v>
      </c>
      <c r="K34" s="110">
        <v>0</v>
      </c>
      <c r="Y34"/>
      <c r="AC34"/>
      <c r="AG34"/>
    </row>
    <row r="35" spans="4:33" ht="15" customHeight="1" x14ac:dyDescent="0.15">
      <c r="D35">
        <v>34</v>
      </c>
      <c r="E35" s="184" t="s">
        <v>225</v>
      </c>
      <c r="F35">
        <v>0.98</v>
      </c>
      <c r="G35">
        <v>0.8</v>
      </c>
      <c r="H35">
        <v>0</v>
      </c>
      <c r="I35">
        <v>0</v>
      </c>
      <c r="J35" s="110">
        <v>0</v>
      </c>
      <c r="K35" s="110">
        <v>0</v>
      </c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I36"/>
  <sheetViews>
    <sheetView workbookViewId="0">
      <selection activeCell="A3" sqref="A3"/>
    </sheetView>
  </sheetViews>
  <sheetFormatPr baseColWidth="10" defaultRowHeight="13" x14ac:dyDescent="0.15"/>
  <cols>
    <col min="1" max="1" width="36.6640625" style="108" bestFit="1" customWidth="1"/>
    <col min="2" max="2" width="2.33203125" style="108" customWidth="1"/>
    <col min="3" max="32" width="3.83203125" style="108" customWidth="1"/>
    <col min="33" max="35" width="2.33203125" style="108" customWidth="1"/>
    <col min="36" max="16384" width="10.83203125" style="108"/>
  </cols>
  <sheetData>
    <row r="1" spans="1:35" x14ac:dyDescent="0.15">
      <c r="A1" s="62" t="s">
        <v>118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  <c r="AH1" s="186" t="s">
        <v>224</v>
      </c>
      <c r="AI1" s="186" t="s">
        <v>225</v>
      </c>
    </row>
    <row r="2" spans="1:35" customFormat="1" x14ac:dyDescent="0.15">
      <c r="A2" s="185" t="s">
        <v>192</v>
      </c>
      <c r="B2" s="108">
        <v>0</v>
      </c>
      <c r="C2" s="108">
        <v>0.8</v>
      </c>
      <c r="D2" s="108">
        <v>0.8</v>
      </c>
      <c r="E2" s="108">
        <v>0.8</v>
      </c>
      <c r="F2" s="108">
        <v>0.8</v>
      </c>
      <c r="G2" s="108">
        <v>0.8</v>
      </c>
      <c r="H2" s="108">
        <v>0.8</v>
      </c>
      <c r="I2" s="108">
        <v>0.8</v>
      </c>
      <c r="J2" s="108">
        <v>0.8</v>
      </c>
      <c r="K2" s="108">
        <v>0.8</v>
      </c>
      <c r="L2" s="108">
        <v>0.8</v>
      </c>
      <c r="M2" s="108">
        <v>0.8</v>
      </c>
      <c r="N2" s="108">
        <v>0.8</v>
      </c>
      <c r="O2" s="108">
        <v>0</v>
      </c>
      <c r="P2" s="108">
        <v>0.8</v>
      </c>
      <c r="Q2" s="108">
        <v>0.8</v>
      </c>
      <c r="R2" s="108">
        <v>0.8</v>
      </c>
      <c r="S2" s="108">
        <v>0.8</v>
      </c>
      <c r="T2" s="108">
        <v>0</v>
      </c>
      <c r="U2" s="108">
        <v>0.8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  <c r="AI2" s="108">
        <v>0</v>
      </c>
    </row>
    <row r="3" spans="1:35" customFormat="1" x14ac:dyDescent="0.15">
      <c r="A3" s="185" t="s">
        <v>193</v>
      </c>
      <c r="B3" s="108">
        <v>0</v>
      </c>
      <c r="C3" s="108">
        <v>0</v>
      </c>
      <c r="D3" s="108">
        <v>0.8</v>
      </c>
      <c r="E3" s="108">
        <v>0</v>
      </c>
      <c r="F3" s="108">
        <v>0</v>
      </c>
      <c r="G3" s="108">
        <v>0.8</v>
      </c>
      <c r="H3" s="108">
        <v>0</v>
      </c>
      <c r="I3" s="108">
        <v>0.8</v>
      </c>
      <c r="J3" s="108">
        <v>0.8</v>
      </c>
      <c r="K3" s="108">
        <v>0.8</v>
      </c>
      <c r="L3" s="108">
        <v>0.8</v>
      </c>
      <c r="M3" s="108">
        <v>0.8</v>
      </c>
      <c r="N3" s="108">
        <v>0.8</v>
      </c>
      <c r="O3" s="108">
        <v>0.8</v>
      </c>
      <c r="P3" s="108">
        <v>0.8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  <c r="AH3" s="108">
        <v>0</v>
      </c>
      <c r="AI3" s="108">
        <v>0</v>
      </c>
    </row>
    <row r="4" spans="1:35" customFormat="1" x14ac:dyDescent="0.15">
      <c r="A4" s="185" t="s">
        <v>194</v>
      </c>
      <c r="B4" s="108">
        <v>0</v>
      </c>
      <c r="C4" s="108">
        <v>0</v>
      </c>
      <c r="D4" s="108">
        <v>0.8</v>
      </c>
      <c r="E4" s="108">
        <v>0.8</v>
      </c>
      <c r="F4" s="108">
        <v>0.8</v>
      </c>
      <c r="G4" s="108">
        <v>0.8</v>
      </c>
      <c r="H4" s="108">
        <v>0</v>
      </c>
      <c r="I4" s="108">
        <v>0.8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  <c r="AH4" s="108">
        <v>0</v>
      </c>
      <c r="AI4" s="108">
        <v>0</v>
      </c>
    </row>
    <row r="5" spans="1:35" customFormat="1" x14ac:dyDescent="0.15">
      <c r="A5" s="185" t="s">
        <v>195</v>
      </c>
      <c r="B5" s="108">
        <v>0</v>
      </c>
      <c r="C5" s="108">
        <v>0</v>
      </c>
      <c r="D5" s="108">
        <v>0</v>
      </c>
      <c r="E5" s="108">
        <v>0.8</v>
      </c>
      <c r="F5" s="108">
        <v>0.8</v>
      </c>
      <c r="G5" s="108">
        <v>0.8</v>
      </c>
      <c r="H5" s="108">
        <v>0.8</v>
      </c>
      <c r="I5" s="108">
        <v>0.8</v>
      </c>
      <c r="J5" s="108">
        <v>0</v>
      </c>
      <c r="K5" s="108">
        <v>0.8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0.8</v>
      </c>
      <c r="R5" s="108">
        <v>0.8</v>
      </c>
      <c r="S5" s="108">
        <v>0.8</v>
      </c>
      <c r="T5" s="108">
        <v>0</v>
      </c>
      <c r="U5" s="108">
        <v>0.8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0.8</v>
      </c>
      <c r="AE5" s="108">
        <v>0</v>
      </c>
      <c r="AF5" s="108">
        <v>0</v>
      </c>
      <c r="AG5" s="108">
        <v>0</v>
      </c>
      <c r="AH5" s="108">
        <v>0</v>
      </c>
      <c r="AI5" s="108">
        <v>0</v>
      </c>
    </row>
    <row r="6" spans="1:35" customFormat="1" x14ac:dyDescent="0.15">
      <c r="A6" s="185" t="s">
        <v>196</v>
      </c>
      <c r="B6" s="108">
        <v>0</v>
      </c>
      <c r="C6" s="108">
        <v>0</v>
      </c>
      <c r="D6" s="108">
        <v>0</v>
      </c>
      <c r="E6" s="108">
        <v>0</v>
      </c>
      <c r="F6" s="108">
        <v>0.8</v>
      </c>
      <c r="G6" s="108">
        <v>0.8</v>
      </c>
      <c r="H6" s="108">
        <v>0.8</v>
      </c>
      <c r="I6" s="108">
        <v>0.8</v>
      </c>
      <c r="J6" s="108">
        <v>0</v>
      </c>
      <c r="K6" s="108">
        <v>0.8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0.8</v>
      </c>
      <c r="R6" s="108">
        <v>0.8</v>
      </c>
      <c r="S6" s="108">
        <v>0.8</v>
      </c>
      <c r="T6" s="108">
        <v>0.8</v>
      </c>
      <c r="U6" s="108">
        <v>0.8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0.8</v>
      </c>
      <c r="AB6" s="108">
        <v>0</v>
      </c>
      <c r="AC6" s="108">
        <v>0</v>
      </c>
      <c r="AD6" s="108">
        <v>0.8</v>
      </c>
      <c r="AE6" s="108">
        <v>0</v>
      </c>
      <c r="AF6" s="108">
        <v>0.8</v>
      </c>
      <c r="AG6" s="108">
        <v>0</v>
      </c>
      <c r="AH6" s="108">
        <v>0</v>
      </c>
      <c r="AI6" s="108">
        <v>0</v>
      </c>
    </row>
    <row r="7" spans="1:35" customFormat="1" x14ac:dyDescent="0.15">
      <c r="A7" s="185" t="s">
        <v>197</v>
      </c>
      <c r="B7" s="108">
        <v>0</v>
      </c>
      <c r="C7" s="108">
        <v>0</v>
      </c>
      <c r="D7" s="108">
        <v>0</v>
      </c>
      <c r="E7" s="108">
        <v>0</v>
      </c>
      <c r="F7" s="108">
        <v>0.8</v>
      </c>
      <c r="G7" s="108">
        <v>0.8</v>
      </c>
      <c r="H7" s="108">
        <v>0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0.8</v>
      </c>
      <c r="S7" s="108">
        <v>0.8</v>
      </c>
      <c r="T7" s="108">
        <v>0</v>
      </c>
      <c r="U7" s="108">
        <v>0</v>
      </c>
      <c r="V7" s="108">
        <v>0.8</v>
      </c>
      <c r="W7" s="108">
        <v>0</v>
      </c>
      <c r="X7" s="108">
        <v>0.8</v>
      </c>
      <c r="Y7" s="108">
        <v>0.8</v>
      </c>
      <c r="Z7" s="108">
        <v>0.8</v>
      </c>
      <c r="AA7" s="108">
        <v>0.8</v>
      </c>
      <c r="AB7" s="108">
        <v>0.8</v>
      </c>
      <c r="AC7" s="108">
        <v>0</v>
      </c>
      <c r="AD7" s="108">
        <v>0.8</v>
      </c>
      <c r="AE7" s="108">
        <v>0.8</v>
      </c>
      <c r="AF7" s="108">
        <v>0</v>
      </c>
      <c r="AG7" s="108">
        <v>0</v>
      </c>
      <c r="AH7" s="108">
        <v>0</v>
      </c>
      <c r="AI7" s="108">
        <v>0</v>
      </c>
    </row>
    <row r="8" spans="1:35" customFormat="1" x14ac:dyDescent="0.15">
      <c r="A8" s="185" t="s">
        <v>198</v>
      </c>
      <c r="B8" s="108">
        <v>0</v>
      </c>
      <c r="C8" s="108">
        <v>0</v>
      </c>
      <c r="D8" s="108">
        <v>0</v>
      </c>
      <c r="E8" s="108">
        <v>0</v>
      </c>
      <c r="F8" s="108">
        <v>0</v>
      </c>
      <c r="G8" s="108">
        <v>0</v>
      </c>
      <c r="H8" s="108">
        <v>0.8</v>
      </c>
      <c r="I8" s="108">
        <v>0.8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</v>
      </c>
      <c r="P8" s="108">
        <v>0.8</v>
      </c>
      <c r="Q8" s="108">
        <v>0.8</v>
      </c>
      <c r="R8" s="108">
        <v>0.8</v>
      </c>
      <c r="S8" s="108">
        <v>0.8</v>
      </c>
      <c r="T8" s="108">
        <v>0.8</v>
      </c>
      <c r="U8" s="108">
        <v>0.8</v>
      </c>
      <c r="V8" s="108">
        <v>0</v>
      </c>
      <c r="W8" s="108">
        <v>0.8</v>
      </c>
      <c r="X8" s="108">
        <v>0.8</v>
      </c>
      <c r="Y8" s="108">
        <v>0.8</v>
      </c>
      <c r="Z8" s="108">
        <v>0.8</v>
      </c>
      <c r="AA8" s="108">
        <v>0</v>
      </c>
      <c r="AB8" s="108">
        <v>0</v>
      </c>
      <c r="AC8" s="108">
        <v>0.8</v>
      </c>
      <c r="AD8" s="108">
        <v>0.8</v>
      </c>
      <c r="AE8" s="108">
        <v>0.8</v>
      </c>
      <c r="AF8" s="108">
        <v>0.8</v>
      </c>
      <c r="AG8" s="108">
        <v>0</v>
      </c>
      <c r="AH8" s="108">
        <v>0</v>
      </c>
      <c r="AI8" s="108">
        <v>0</v>
      </c>
    </row>
    <row r="9" spans="1:35" customFormat="1" x14ac:dyDescent="0.15">
      <c r="A9" s="185" t="s">
        <v>199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0.8</v>
      </c>
      <c r="H9" s="108">
        <v>0</v>
      </c>
      <c r="I9" s="108">
        <v>0</v>
      </c>
      <c r="J9" s="108">
        <v>0</v>
      </c>
      <c r="K9" s="108">
        <v>0</v>
      </c>
      <c r="L9" s="108">
        <v>0</v>
      </c>
      <c r="M9" s="108">
        <v>0</v>
      </c>
      <c r="N9" s="108">
        <v>0</v>
      </c>
      <c r="O9" s="108">
        <v>0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0.8</v>
      </c>
      <c r="AB9" s="108">
        <v>0.8</v>
      </c>
      <c r="AC9" s="108">
        <v>0</v>
      </c>
      <c r="AD9" s="108">
        <v>0.8</v>
      </c>
      <c r="AE9" s="108">
        <v>0.8</v>
      </c>
      <c r="AF9" s="108">
        <v>0.8</v>
      </c>
      <c r="AG9" s="108">
        <v>0</v>
      </c>
      <c r="AH9" s="108">
        <v>0</v>
      </c>
      <c r="AI9" s="108">
        <v>0</v>
      </c>
    </row>
    <row r="10" spans="1:35" customFormat="1" x14ac:dyDescent="0.15">
      <c r="A10" s="185" t="s">
        <v>200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0.8</v>
      </c>
      <c r="K10" s="108">
        <v>0.8</v>
      </c>
      <c r="L10" s="108">
        <v>0</v>
      </c>
      <c r="M10" s="108">
        <v>0.8</v>
      </c>
      <c r="N10" s="108">
        <v>0</v>
      </c>
      <c r="O10" s="108">
        <v>0.8</v>
      </c>
      <c r="P10" s="108">
        <v>0</v>
      </c>
      <c r="Q10" s="108">
        <v>0.8</v>
      </c>
      <c r="R10" s="108">
        <v>0.8</v>
      </c>
      <c r="S10" s="108">
        <v>0</v>
      </c>
      <c r="T10" s="108">
        <v>0</v>
      </c>
      <c r="U10" s="108">
        <v>0.8</v>
      </c>
      <c r="V10" s="108">
        <v>0</v>
      </c>
      <c r="W10" s="108">
        <v>0.8</v>
      </c>
      <c r="X10" s="108">
        <v>0.8</v>
      </c>
      <c r="Y10" s="108">
        <v>0.8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  <c r="AH10" s="108">
        <v>0</v>
      </c>
      <c r="AI10" s="108">
        <v>0</v>
      </c>
    </row>
    <row r="11" spans="1:35" customFormat="1" x14ac:dyDescent="0.15">
      <c r="A11" s="185" t="s">
        <v>201</v>
      </c>
      <c r="B11" s="108">
        <v>0</v>
      </c>
      <c r="C11" s="108">
        <v>0</v>
      </c>
      <c r="D11" s="108">
        <v>0</v>
      </c>
      <c r="E11" s="108">
        <v>0</v>
      </c>
      <c r="F11" s="108">
        <v>0.8</v>
      </c>
      <c r="G11" s="108">
        <v>0</v>
      </c>
      <c r="H11" s="108">
        <v>0</v>
      </c>
      <c r="I11" s="108">
        <v>0</v>
      </c>
      <c r="J11" s="108">
        <v>0.8</v>
      </c>
      <c r="K11" s="108">
        <v>0.8</v>
      </c>
      <c r="L11" s="108">
        <v>0</v>
      </c>
      <c r="M11" s="108">
        <v>0.8</v>
      </c>
      <c r="N11" s="108">
        <v>0</v>
      </c>
      <c r="O11" s="108">
        <v>0.8</v>
      </c>
      <c r="P11" s="108">
        <v>0.8</v>
      </c>
      <c r="Q11" s="108">
        <v>0.8</v>
      </c>
      <c r="R11" s="108">
        <v>0.8</v>
      </c>
      <c r="S11" s="108">
        <v>0.8</v>
      </c>
      <c r="T11" s="108">
        <v>0.8</v>
      </c>
      <c r="U11" s="108">
        <v>0.8</v>
      </c>
      <c r="V11" s="108">
        <v>0.8</v>
      </c>
      <c r="W11" s="108">
        <v>0.8</v>
      </c>
      <c r="X11" s="108">
        <v>0.8</v>
      </c>
      <c r="Y11" s="108">
        <v>0.8</v>
      </c>
      <c r="Z11" s="108">
        <v>0.8</v>
      </c>
      <c r="AA11" s="108">
        <v>0.8</v>
      </c>
      <c r="AB11" s="108">
        <v>0</v>
      </c>
      <c r="AC11" s="108">
        <v>0</v>
      </c>
      <c r="AD11" s="108">
        <v>0.8</v>
      </c>
      <c r="AE11" s="108">
        <v>0</v>
      </c>
      <c r="AF11" s="108">
        <v>0</v>
      </c>
      <c r="AG11" s="108">
        <v>0</v>
      </c>
      <c r="AH11" s="108">
        <v>0</v>
      </c>
      <c r="AI11" s="108">
        <v>0</v>
      </c>
    </row>
    <row r="12" spans="1:35" customFormat="1" x14ac:dyDescent="0.15">
      <c r="A12" s="185" t="s">
        <v>202</v>
      </c>
      <c r="B12" s="108">
        <v>0</v>
      </c>
      <c r="C12" s="108">
        <v>0</v>
      </c>
      <c r="D12" s="108">
        <v>0</v>
      </c>
      <c r="E12" s="108">
        <v>0</v>
      </c>
      <c r="F12" s="108">
        <v>0</v>
      </c>
      <c r="G12" s="108">
        <v>0</v>
      </c>
      <c r="H12" s="108">
        <v>0</v>
      </c>
      <c r="I12" s="108">
        <v>0</v>
      </c>
      <c r="J12" s="108">
        <v>0.8</v>
      </c>
      <c r="K12" s="108">
        <v>0.8</v>
      </c>
      <c r="L12" s="108">
        <v>0.8</v>
      </c>
      <c r="M12" s="108">
        <v>0.8</v>
      </c>
      <c r="N12" s="108">
        <v>0</v>
      </c>
      <c r="O12" s="108">
        <v>0.8</v>
      </c>
      <c r="P12" s="108">
        <v>0</v>
      </c>
      <c r="Q12" s="108">
        <v>0.8</v>
      </c>
      <c r="R12" s="108">
        <v>0.8</v>
      </c>
      <c r="S12" s="108">
        <v>0.8</v>
      </c>
      <c r="T12" s="108">
        <v>0</v>
      </c>
      <c r="U12" s="108">
        <v>0</v>
      </c>
      <c r="V12" s="108">
        <v>0.8</v>
      </c>
      <c r="W12" s="108">
        <v>0.8</v>
      </c>
      <c r="X12" s="108">
        <v>0.8</v>
      </c>
      <c r="Y12" s="108">
        <v>0.8</v>
      </c>
      <c r="Z12" s="108">
        <v>0</v>
      </c>
      <c r="AA12" s="108">
        <v>0</v>
      </c>
      <c r="AB12" s="108">
        <v>0</v>
      </c>
      <c r="AC12" s="108">
        <v>0</v>
      </c>
      <c r="AD12" s="108">
        <v>0.8</v>
      </c>
      <c r="AE12" s="108">
        <v>0</v>
      </c>
      <c r="AF12" s="108">
        <v>0</v>
      </c>
      <c r="AG12" s="108">
        <v>0</v>
      </c>
      <c r="AH12" s="108">
        <v>0</v>
      </c>
      <c r="AI12" s="108">
        <v>0</v>
      </c>
    </row>
    <row r="13" spans="1:35" customFormat="1" x14ac:dyDescent="0.15">
      <c r="A13" s="185" t="s">
        <v>203</v>
      </c>
      <c r="B13" s="108">
        <v>0</v>
      </c>
      <c r="C13" s="108">
        <v>0</v>
      </c>
      <c r="D13" s="108">
        <v>0</v>
      </c>
      <c r="E13" s="108">
        <v>0</v>
      </c>
      <c r="F13" s="108">
        <v>0.8</v>
      </c>
      <c r="G13" s="108">
        <v>0</v>
      </c>
      <c r="H13" s="108">
        <v>0</v>
      </c>
      <c r="I13" s="108">
        <v>0</v>
      </c>
      <c r="J13" s="108">
        <v>0.8</v>
      </c>
      <c r="K13" s="108">
        <v>0.8</v>
      </c>
      <c r="L13" s="108">
        <v>0.8</v>
      </c>
      <c r="M13" s="108">
        <v>0.8</v>
      </c>
      <c r="N13" s="108">
        <v>0</v>
      </c>
      <c r="O13" s="108">
        <v>0.8</v>
      </c>
      <c r="P13" s="108">
        <v>0.8</v>
      </c>
      <c r="Q13" s="108">
        <v>0.8</v>
      </c>
      <c r="R13" s="108">
        <v>0.8</v>
      </c>
      <c r="S13" s="108">
        <v>0.8</v>
      </c>
      <c r="T13" s="108">
        <v>0.8</v>
      </c>
      <c r="U13" s="108">
        <v>0</v>
      </c>
      <c r="V13" s="108">
        <v>0.8</v>
      </c>
      <c r="W13" s="108">
        <v>0.8</v>
      </c>
      <c r="X13" s="108">
        <v>0.8</v>
      </c>
      <c r="Y13" s="108">
        <v>0.8</v>
      </c>
      <c r="Z13" s="108">
        <v>0.8</v>
      </c>
      <c r="AA13" s="108">
        <v>0.8</v>
      </c>
      <c r="AB13" s="108">
        <v>0</v>
      </c>
      <c r="AC13" s="108">
        <v>0</v>
      </c>
      <c r="AD13" s="108">
        <v>0.8</v>
      </c>
      <c r="AE13" s="108">
        <v>0</v>
      </c>
      <c r="AF13" s="108">
        <v>0</v>
      </c>
      <c r="AG13" s="108">
        <v>0</v>
      </c>
      <c r="AH13" s="108">
        <v>0</v>
      </c>
      <c r="AI13" s="108">
        <v>0</v>
      </c>
    </row>
    <row r="14" spans="1:35" customFormat="1" x14ac:dyDescent="0.15">
      <c r="A14" s="185" t="s">
        <v>204</v>
      </c>
      <c r="B14" s="108">
        <v>0</v>
      </c>
      <c r="C14" s="108">
        <v>0</v>
      </c>
      <c r="D14" s="108">
        <v>0</v>
      </c>
      <c r="E14" s="108">
        <v>0</v>
      </c>
      <c r="F14" s="108">
        <v>0</v>
      </c>
      <c r="G14" s="108">
        <v>0</v>
      </c>
      <c r="H14" s="108">
        <v>0</v>
      </c>
      <c r="I14" s="108">
        <v>0</v>
      </c>
      <c r="J14" s="108">
        <v>0.8</v>
      </c>
      <c r="K14" s="108">
        <v>0.8</v>
      </c>
      <c r="L14" s="108">
        <v>0.8</v>
      </c>
      <c r="M14" s="108">
        <v>0.8</v>
      </c>
      <c r="N14" s="108">
        <v>0</v>
      </c>
      <c r="O14" s="108">
        <v>0.8</v>
      </c>
      <c r="P14" s="108">
        <v>0</v>
      </c>
      <c r="Q14" s="108">
        <v>0</v>
      </c>
      <c r="R14" s="108">
        <v>0</v>
      </c>
      <c r="S14" s="108">
        <v>0</v>
      </c>
      <c r="T14" s="108">
        <v>0</v>
      </c>
      <c r="U14" s="108">
        <v>0</v>
      </c>
      <c r="V14" s="108">
        <v>0.8</v>
      </c>
      <c r="W14" s="108">
        <v>0.8</v>
      </c>
      <c r="X14" s="108">
        <v>0.8</v>
      </c>
      <c r="Y14" s="108">
        <v>0.8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  <c r="AH14" s="108">
        <v>0</v>
      </c>
      <c r="AI14" s="108">
        <v>0</v>
      </c>
    </row>
    <row r="15" spans="1:35" customFormat="1" x14ac:dyDescent="0.15">
      <c r="A15" s="185" t="s">
        <v>205</v>
      </c>
      <c r="B15" s="108">
        <v>0</v>
      </c>
      <c r="C15" s="108">
        <v>0</v>
      </c>
      <c r="D15" s="108">
        <v>0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0.8</v>
      </c>
      <c r="K15" s="108">
        <v>0.8</v>
      </c>
      <c r="L15" s="108">
        <v>0.8</v>
      </c>
      <c r="M15" s="108">
        <v>0.8</v>
      </c>
      <c r="N15" s="108">
        <v>0</v>
      </c>
      <c r="O15" s="108">
        <v>0.8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0.8</v>
      </c>
      <c r="W15" s="108">
        <v>0.8</v>
      </c>
      <c r="X15" s="108">
        <v>0.8</v>
      </c>
      <c r="Y15" s="108">
        <v>0.8</v>
      </c>
      <c r="Z15" s="108">
        <v>0.8</v>
      </c>
      <c r="AA15" s="108">
        <v>0</v>
      </c>
      <c r="AB15" s="108">
        <v>0</v>
      </c>
      <c r="AC15" s="108">
        <v>0</v>
      </c>
      <c r="AD15" s="108">
        <v>0.8</v>
      </c>
      <c r="AE15" s="108">
        <v>0</v>
      </c>
      <c r="AF15" s="108">
        <v>0</v>
      </c>
      <c r="AG15" s="108">
        <v>0</v>
      </c>
      <c r="AH15" s="108">
        <v>0</v>
      </c>
      <c r="AI15" s="108">
        <v>0</v>
      </c>
    </row>
    <row r="16" spans="1:35" customFormat="1" x14ac:dyDescent="0.15">
      <c r="A16" s="185" t="s">
        <v>206</v>
      </c>
      <c r="B16" s="108">
        <v>0</v>
      </c>
      <c r="C16" s="108">
        <v>0</v>
      </c>
      <c r="D16" s="108">
        <v>0</v>
      </c>
      <c r="E16" s="108">
        <v>0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>
        <v>0.8</v>
      </c>
      <c r="Q16" s="108">
        <v>0</v>
      </c>
      <c r="R16" s="108">
        <v>0</v>
      </c>
      <c r="S16" s="108">
        <v>0</v>
      </c>
      <c r="T16" s="108">
        <v>0.8</v>
      </c>
      <c r="U16" s="108">
        <v>0</v>
      </c>
      <c r="V16" s="108">
        <v>0.8</v>
      </c>
      <c r="W16" s="108">
        <v>0.8</v>
      </c>
      <c r="X16" s="108">
        <v>0.8</v>
      </c>
      <c r="Y16" s="108">
        <v>0.8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0.8</v>
      </c>
      <c r="AG16" s="108">
        <v>0</v>
      </c>
      <c r="AH16" s="108">
        <v>0</v>
      </c>
      <c r="AI16" s="108">
        <v>0</v>
      </c>
    </row>
    <row r="17" spans="1:35" customFormat="1" x14ac:dyDescent="0.15">
      <c r="A17" s="185" t="s">
        <v>207</v>
      </c>
      <c r="B17" s="108">
        <v>0</v>
      </c>
      <c r="C17" s="108">
        <v>0</v>
      </c>
      <c r="D17" s="108">
        <v>0</v>
      </c>
      <c r="E17" s="108">
        <v>0</v>
      </c>
      <c r="F17" s="108">
        <v>0</v>
      </c>
      <c r="G17" s="108">
        <v>0.8</v>
      </c>
      <c r="H17" s="108">
        <v>0</v>
      </c>
      <c r="I17" s="108">
        <v>0</v>
      </c>
      <c r="J17" s="108">
        <v>0</v>
      </c>
      <c r="K17" s="108">
        <v>0</v>
      </c>
      <c r="L17" s="108">
        <v>0</v>
      </c>
      <c r="M17" s="108">
        <v>0</v>
      </c>
      <c r="N17" s="108">
        <v>0</v>
      </c>
      <c r="O17" s="108">
        <v>0</v>
      </c>
      <c r="P17" s="108">
        <v>0</v>
      </c>
      <c r="Q17" s="108">
        <v>0.8</v>
      </c>
      <c r="R17" s="108">
        <v>0.8</v>
      </c>
      <c r="S17" s="108">
        <v>0.8</v>
      </c>
      <c r="T17" s="108">
        <v>0.8</v>
      </c>
      <c r="U17" s="108">
        <v>0.8</v>
      </c>
      <c r="V17" s="108">
        <v>0.8</v>
      </c>
      <c r="W17" s="108">
        <v>0</v>
      </c>
      <c r="X17" s="108">
        <v>0.8</v>
      </c>
      <c r="Y17" s="108">
        <v>0.8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</v>
      </c>
      <c r="AI17" s="108">
        <v>0</v>
      </c>
    </row>
    <row r="18" spans="1:35" customFormat="1" x14ac:dyDescent="0.15">
      <c r="A18" s="185" t="s">
        <v>208</v>
      </c>
      <c r="B18" s="108">
        <v>0</v>
      </c>
      <c r="C18" s="108">
        <v>0</v>
      </c>
      <c r="D18" s="108">
        <v>0</v>
      </c>
      <c r="E18" s="108">
        <v>0</v>
      </c>
      <c r="F18" s="108">
        <v>0</v>
      </c>
      <c r="G18" s="108">
        <v>0.8</v>
      </c>
      <c r="H18" s="108">
        <v>0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0</v>
      </c>
      <c r="O18" s="108">
        <v>0</v>
      </c>
      <c r="P18" s="108">
        <v>0</v>
      </c>
      <c r="Q18" s="108">
        <v>0</v>
      </c>
      <c r="R18" s="108">
        <v>0</v>
      </c>
      <c r="S18" s="108">
        <v>0</v>
      </c>
      <c r="T18" s="108">
        <v>0.8</v>
      </c>
      <c r="U18" s="108">
        <v>0</v>
      </c>
      <c r="V18" s="108">
        <v>0.8</v>
      </c>
      <c r="W18" s="108">
        <v>0.8</v>
      </c>
      <c r="X18" s="108">
        <v>0.8</v>
      </c>
      <c r="Y18" s="108">
        <v>0.8</v>
      </c>
      <c r="Z18" s="108">
        <v>0.8</v>
      </c>
      <c r="AA18" s="108">
        <v>0.8</v>
      </c>
      <c r="AB18" s="108">
        <v>0.8</v>
      </c>
      <c r="AC18" s="108">
        <v>0.8</v>
      </c>
      <c r="AD18" s="108">
        <v>0.8</v>
      </c>
      <c r="AE18" s="108">
        <v>0.8</v>
      </c>
      <c r="AF18" s="108">
        <v>0.8</v>
      </c>
      <c r="AG18" s="108">
        <v>0</v>
      </c>
      <c r="AH18" s="108">
        <v>0</v>
      </c>
      <c r="AI18" s="108">
        <v>0</v>
      </c>
    </row>
    <row r="19" spans="1:35" customFormat="1" x14ac:dyDescent="0.15">
      <c r="A19" s="185" t="s">
        <v>209</v>
      </c>
      <c r="B19" s="108">
        <v>0</v>
      </c>
      <c r="C19" s="108">
        <v>0</v>
      </c>
      <c r="D19" s="108">
        <v>0</v>
      </c>
      <c r="E19" s="108">
        <v>0</v>
      </c>
      <c r="F19" s="108">
        <v>0</v>
      </c>
      <c r="G19" s="108">
        <v>0.8</v>
      </c>
      <c r="H19" s="108">
        <v>0</v>
      </c>
      <c r="I19" s="108">
        <v>0</v>
      </c>
      <c r="J19" s="108">
        <v>0</v>
      </c>
      <c r="K19" s="108">
        <v>0</v>
      </c>
      <c r="L19" s="108">
        <v>0</v>
      </c>
      <c r="M19" s="108">
        <v>0</v>
      </c>
      <c r="N19" s="108">
        <v>0</v>
      </c>
      <c r="O19" s="108">
        <v>0</v>
      </c>
      <c r="P19" s="108">
        <v>0</v>
      </c>
      <c r="Q19" s="108">
        <v>0</v>
      </c>
      <c r="R19" s="108">
        <v>0.8</v>
      </c>
      <c r="S19" s="108">
        <v>0</v>
      </c>
      <c r="T19" s="108">
        <v>0.8</v>
      </c>
      <c r="U19" s="108">
        <v>0</v>
      </c>
      <c r="V19" s="108">
        <v>0.8</v>
      </c>
      <c r="W19" s="108">
        <v>0.8</v>
      </c>
      <c r="X19" s="108">
        <v>0.8</v>
      </c>
      <c r="Y19" s="108">
        <v>0.8</v>
      </c>
      <c r="Z19" s="108">
        <v>0.8</v>
      </c>
      <c r="AA19" s="108">
        <v>0.8</v>
      </c>
      <c r="AB19" s="108">
        <v>0.8</v>
      </c>
      <c r="AC19" s="108">
        <v>0.8</v>
      </c>
      <c r="AD19" s="108">
        <v>0.8</v>
      </c>
      <c r="AE19" s="108">
        <v>0.8</v>
      </c>
      <c r="AF19" s="108">
        <v>0.8</v>
      </c>
      <c r="AG19" s="108">
        <v>0</v>
      </c>
      <c r="AH19" s="108">
        <v>0</v>
      </c>
      <c r="AI19" s="108">
        <v>0</v>
      </c>
    </row>
    <row r="20" spans="1:35" customFormat="1" x14ac:dyDescent="0.15">
      <c r="A20" s="185" t="s">
        <v>210</v>
      </c>
      <c r="B20" s="108">
        <v>0</v>
      </c>
      <c r="C20" s="108">
        <v>0</v>
      </c>
      <c r="D20" s="108">
        <v>0</v>
      </c>
      <c r="E20" s="108">
        <v>0</v>
      </c>
      <c r="F20" s="108">
        <v>0</v>
      </c>
      <c r="G20" s="108">
        <v>0.8</v>
      </c>
      <c r="H20" s="108">
        <v>0</v>
      </c>
      <c r="I20" s="108">
        <v>0</v>
      </c>
      <c r="J20" s="108">
        <v>0</v>
      </c>
      <c r="K20" s="108">
        <v>0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0</v>
      </c>
      <c r="R20" s="108">
        <v>0</v>
      </c>
      <c r="S20" s="108">
        <v>0</v>
      </c>
      <c r="T20" s="108">
        <v>0.8</v>
      </c>
      <c r="U20" s="108">
        <v>0</v>
      </c>
      <c r="V20" s="108">
        <v>0.8</v>
      </c>
      <c r="W20" s="108">
        <v>0.8</v>
      </c>
      <c r="X20" s="108">
        <v>0.8</v>
      </c>
      <c r="Y20" s="108">
        <v>0.8</v>
      </c>
      <c r="Z20" s="108">
        <v>0.8</v>
      </c>
      <c r="AA20" s="108">
        <v>0.8</v>
      </c>
      <c r="AB20" s="108">
        <v>0.8</v>
      </c>
      <c r="AC20" s="108">
        <v>0</v>
      </c>
      <c r="AD20" s="108">
        <v>0.8</v>
      </c>
      <c r="AE20" s="108">
        <v>0.8</v>
      </c>
      <c r="AF20" s="108">
        <v>0.8</v>
      </c>
      <c r="AG20" s="108">
        <v>0</v>
      </c>
      <c r="AH20" s="108">
        <v>0</v>
      </c>
      <c r="AI20" s="108">
        <v>0</v>
      </c>
    </row>
    <row r="21" spans="1:35" customFormat="1" x14ac:dyDescent="0.15">
      <c r="A21" s="185" t="s">
        <v>211</v>
      </c>
      <c r="B21" s="108">
        <v>0</v>
      </c>
      <c r="C21" s="108">
        <v>0</v>
      </c>
      <c r="D21" s="108">
        <v>0</v>
      </c>
      <c r="E21" s="108">
        <v>0</v>
      </c>
      <c r="F21" s="108">
        <v>0</v>
      </c>
      <c r="G21" s="108">
        <v>0.8</v>
      </c>
      <c r="H21" s="108">
        <v>0</v>
      </c>
      <c r="I21" s="108">
        <v>0</v>
      </c>
      <c r="J21" s="108">
        <v>0</v>
      </c>
      <c r="K21" s="108">
        <v>0</v>
      </c>
      <c r="L21" s="108">
        <v>0</v>
      </c>
      <c r="M21" s="108">
        <v>0</v>
      </c>
      <c r="N21" s="108">
        <v>0</v>
      </c>
      <c r="O21" s="108">
        <v>0</v>
      </c>
      <c r="P21" s="108">
        <v>0</v>
      </c>
      <c r="Q21" s="108">
        <v>0</v>
      </c>
      <c r="R21" s="108">
        <v>0</v>
      </c>
      <c r="S21" s="108">
        <v>0</v>
      </c>
      <c r="T21" s="108">
        <v>0.8</v>
      </c>
      <c r="U21" s="108">
        <v>0</v>
      </c>
      <c r="V21" s="108">
        <v>0.8</v>
      </c>
      <c r="W21" s="108">
        <v>0</v>
      </c>
      <c r="X21" s="108">
        <v>0</v>
      </c>
      <c r="Y21" s="108">
        <v>0.8</v>
      </c>
      <c r="Z21" s="108">
        <v>0.8</v>
      </c>
      <c r="AA21" s="108">
        <v>0.8</v>
      </c>
      <c r="AB21" s="108">
        <v>0</v>
      </c>
      <c r="AC21" s="108">
        <v>0.8</v>
      </c>
      <c r="AD21" s="108">
        <v>0.8</v>
      </c>
      <c r="AE21" s="108">
        <v>0.8</v>
      </c>
      <c r="AF21" s="108">
        <v>0.8</v>
      </c>
      <c r="AG21" s="108">
        <v>0</v>
      </c>
      <c r="AH21" s="108">
        <v>0</v>
      </c>
      <c r="AI21" s="108">
        <v>0</v>
      </c>
    </row>
    <row r="22" spans="1:35" customFormat="1" x14ac:dyDescent="0.15">
      <c r="A22" s="185" t="s">
        <v>212</v>
      </c>
      <c r="B22" s="108">
        <v>0</v>
      </c>
      <c r="C22" s="108">
        <v>0</v>
      </c>
      <c r="D22" s="108">
        <v>0</v>
      </c>
      <c r="E22" s="108">
        <v>0</v>
      </c>
      <c r="F22" s="108">
        <v>0</v>
      </c>
      <c r="G22" s="108">
        <v>0</v>
      </c>
      <c r="H22" s="108">
        <v>0</v>
      </c>
      <c r="I22" s="108">
        <v>0</v>
      </c>
      <c r="J22" s="108">
        <v>0</v>
      </c>
      <c r="K22" s="108">
        <v>0</v>
      </c>
      <c r="L22" s="108">
        <v>0</v>
      </c>
      <c r="M22" s="108">
        <v>0</v>
      </c>
      <c r="N22" s="108">
        <v>0</v>
      </c>
      <c r="O22" s="108">
        <v>0</v>
      </c>
      <c r="P22" s="108">
        <v>0</v>
      </c>
      <c r="Q22" s="108">
        <v>0</v>
      </c>
      <c r="R22" s="108">
        <v>0</v>
      </c>
      <c r="S22" s="108">
        <v>0</v>
      </c>
      <c r="T22" s="108">
        <v>0</v>
      </c>
      <c r="U22" s="108">
        <v>0</v>
      </c>
      <c r="V22" s="108">
        <v>0.8</v>
      </c>
      <c r="W22" s="108">
        <v>0</v>
      </c>
      <c r="X22" s="108">
        <v>0</v>
      </c>
      <c r="Y22" s="108">
        <v>0.8</v>
      </c>
      <c r="Z22" s="108">
        <v>0.8</v>
      </c>
      <c r="AA22" s="108">
        <v>0.8</v>
      </c>
      <c r="AB22" s="108">
        <v>0</v>
      </c>
      <c r="AC22" s="108">
        <v>0.8</v>
      </c>
      <c r="AD22" s="108">
        <v>0</v>
      </c>
      <c r="AE22" s="108">
        <v>0.8</v>
      </c>
      <c r="AF22" s="108">
        <v>0.8</v>
      </c>
      <c r="AG22" s="108">
        <v>0</v>
      </c>
      <c r="AH22" s="108">
        <v>0</v>
      </c>
      <c r="AI22" s="108">
        <v>0</v>
      </c>
    </row>
    <row r="23" spans="1:35" customFormat="1" x14ac:dyDescent="0.15">
      <c r="A23" s="185" t="s">
        <v>213</v>
      </c>
      <c r="B23" s="108">
        <v>0</v>
      </c>
      <c r="C23" s="108">
        <v>0</v>
      </c>
      <c r="D23" s="108">
        <v>0</v>
      </c>
      <c r="E23" s="108">
        <v>0</v>
      </c>
      <c r="F23" s="108">
        <v>0</v>
      </c>
      <c r="G23" s="108">
        <v>0</v>
      </c>
      <c r="H23" s="108">
        <v>0</v>
      </c>
      <c r="I23" s="108">
        <v>0</v>
      </c>
      <c r="J23" s="108">
        <v>0</v>
      </c>
      <c r="K23" s="108">
        <v>0.8</v>
      </c>
      <c r="L23" s="108">
        <v>0</v>
      </c>
      <c r="M23" s="108">
        <v>0.8</v>
      </c>
      <c r="N23" s="108">
        <v>0</v>
      </c>
      <c r="O23" s="108">
        <v>0.8</v>
      </c>
      <c r="P23" s="108">
        <v>0</v>
      </c>
      <c r="Q23" s="108">
        <v>0</v>
      </c>
      <c r="R23" s="108">
        <v>0.8</v>
      </c>
      <c r="S23" s="108">
        <v>0</v>
      </c>
      <c r="T23" s="108">
        <v>0</v>
      </c>
      <c r="U23" s="108">
        <v>0</v>
      </c>
      <c r="V23" s="108">
        <v>0.8</v>
      </c>
      <c r="W23" s="108">
        <v>0.8</v>
      </c>
      <c r="X23" s="108">
        <v>0.8</v>
      </c>
      <c r="Y23" s="108">
        <v>0.8</v>
      </c>
      <c r="Z23" s="108">
        <v>0.8</v>
      </c>
      <c r="AA23" s="108">
        <v>0.8</v>
      </c>
      <c r="AB23" s="108">
        <v>0</v>
      </c>
      <c r="AC23" s="108">
        <v>0.8</v>
      </c>
      <c r="AD23" s="108">
        <v>0</v>
      </c>
      <c r="AE23" s="108">
        <v>0</v>
      </c>
      <c r="AF23" s="108">
        <v>0</v>
      </c>
      <c r="AG23" s="108">
        <v>0</v>
      </c>
      <c r="AH23" s="108">
        <v>0</v>
      </c>
      <c r="AI23" s="108">
        <v>0</v>
      </c>
    </row>
    <row r="24" spans="1:35" customFormat="1" x14ac:dyDescent="0.15">
      <c r="A24" s="185" t="s">
        <v>214</v>
      </c>
      <c r="B24" s="108">
        <v>0</v>
      </c>
      <c r="C24" s="108">
        <v>0</v>
      </c>
      <c r="D24" s="108">
        <v>0</v>
      </c>
      <c r="E24" s="108">
        <v>0</v>
      </c>
      <c r="F24" s="108">
        <v>0</v>
      </c>
      <c r="G24" s="108">
        <v>0</v>
      </c>
      <c r="H24" s="108">
        <v>0</v>
      </c>
      <c r="I24" s="108">
        <v>0</v>
      </c>
      <c r="J24" s="108">
        <v>0</v>
      </c>
      <c r="K24" s="108">
        <v>0.8</v>
      </c>
      <c r="L24" s="108">
        <v>0</v>
      </c>
      <c r="M24" s="108">
        <v>0.8</v>
      </c>
      <c r="N24" s="108">
        <v>0</v>
      </c>
      <c r="O24" s="108">
        <v>0.8</v>
      </c>
      <c r="P24" s="108">
        <v>0</v>
      </c>
      <c r="Q24" s="108">
        <v>0</v>
      </c>
      <c r="R24" s="108">
        <v>0.8</v>
      </c>
      <c r="S24" s="108">
        <v>0</v>
      </c>
      <c r="T24" s="108">
        <v>0</v>
      </c>
      <c r="U24" s="108">
        <v>0</v>
      </c>
      <c r="V24" s="108">
        <v>0.8</v>
      </c>
      <c r="W24" s="108">
        <v>0.8</v>
      </c>
      <c r="X24" s="108">
        <v>0.8</v>
      </c>
      <c r="Y24" s="108">
        <v>0.8</v>
      </c>
      <c r="Z24" s="108">
        <v>0.8</v>
      </c>
      <c r="AA24" s="108">
        <v>0.8</v>
      </c>
      <c r="AB24" s="108">
        <v>0</v>
      </c>
      <c r="AC24" s="108">
        <v>0.8</v>
      </c>
      <c r="AD24" s="108">
        <v>0</v>
      </c>
      <c r="AE24" s="108">
        <v>0.8</v>
      </c>
      <c r="AF24" s="108">
        <v>0.8</v>
      </c>
      <c r="AG24" s="108">
        <v>0</v>
      </c>
      <c r="AH24" s="108">
        <v>0</v>
      </c>
      <c r="AI24" s="108">
        <v>0</v>
      </c>
    </row>
    <row r="25" spans="1:35" customFormat="1" x14ac:dyDescent="0.15">
      <c r="A25" s="185" t="s">
        <v>215</v>
      </c>
      <c r="B25" s="108">
        <v>0</v>
      </c>
      <c r="C25" s="108">
        <v>0</v>
      </c>
      <c r="D25" s="108">
        <v>0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0</v>
      </c>
      <c r="M25" s="108">
        <v>0.8</v>
      </c>
      <c r="N25" s="108">
        <v>0</v>
      </c>
      <c r="O25" s="108">
        <v>0.8</v>
      </c>
      <c r="P25" s="108">
        <v>0</v>
      </c>
      <c r="Q25" s="108">
        <v>0</v>
      </c>
      <c r="R25" s="108">
        <v>0.8</v>
      </c>
      <c r="S25" s="108">
        <v>0</v>
      </c>
      <c r="T25" s="108">
        <v>0.8</v>
      </c>
      <c r="U25" s="108">
        <v>0</v>
      </c>
      <c r="V25" s="108">
        <v>0.8</v>
      </c>
      <c r="W25" s="108">
        <v>0.8</v>
      </c>
      <c r="X25" s="108">
        <v>0.8</v>
      </c>
      <c r="Y25" s="108">
        <v>0.8</v>
      </c>
      <c r="Z25" s="108">
        <v>0.8</v>
      </c>
      <c r="AA25" s="108">
        <v>0.8</v>
      </c>
      <c r="AB25" s="108">
        <v>0</v>
      </c>
      <c r="AC25" s="108">
        <v>0.8</v>
      </c>
      <c r="AD25" s="108">
        <v>0</v>
      </c>
      <c r="AE25" s="108">
        <v>0.8</v>
      </c>
      <c r="AF25" s="108">
        <v>0.8</v>
      </c>
      <c r="AG25" s="108">
        <v>0</v>
      </c>
      <c r="AH25" s="108">
        <v>0</v>
      </c>
      <c r="AI25" s="108">
        <v>0</v>
      </c>
    </row>
    <row r="26" spans="1:35" customFormat="1" x14ac:dyDescent="0.15">
      <c r="A26" s="185" t="s">
        <v>216</v>
      </c>
      <c r="B26" s="108">
        <v>0</v>
      </c>
      <c r="C26" s="108">
        <v>0</v>
      </c>
      <c r="D26" s="108">
        <v>0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0</v>
      </c>
      <c r="M26" s="108">
        <v>0</v>
      </c>
      <c r="N26" s="108">
        <v>0</v>
      </c>
      <c r="O26" s="108">
        <v>0</v>
      </c>
      <c r="P26" s="108">
        <v>0</v>
      </c>
      <c r="Q26" s="108">
        <v>0</v>
      </c>
      <c r="R26" s="108">
        <v>0</v>
      </c>
      <c r="S26" s="108">
        <v>0</v>
      </c>
      <c r="T26" s="108">
        <v>0</v>
      </c>
      <c r="U26" s="108">
        <v>0</v>
      </c>
      <c r="V26" s="108">
        <v>0</v>
      </c>
      <c r="W26" s="108">
        <v>0</v>
      </c>
      <c r="X26" s="108">
        <v>0</v>
      </c>
      <c r="Y26" s="108">
        <v>0</v>
      </c>
      <c r="Z26" s="108">
        <v>0</v>
      </c>
      <c r="AA26" s="108">
        <v>0.8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  <c r="AI26" s="108">
        <v>0</v>
      </c>
    </row>
    <row r="27" spans="1:35" customFormat="1" x14ac:dyDescent="0.15">
      <c r="A27" s="185" t="s">
        <v>217</v>
      </c>
      <c r="B27" s="108">
        <v>0</v>
      </c>
      <c r="C27" s="108">
        <v>0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0</v>
      </c>
      <c r="K27" s="108">
        <v>0</v>
      </c>
      <c r="L27" s="108">
        <v>0</v>
      </c>
      <c r="M27" s="108">
        <v>0</v>
      </c>
      <c r="N27" s="108">
        <v>0</v>
      </c>
      <c r="O27" s="108">
        <v>0</v>
      </c>
      <c r="P27" s="108">
        <v>0</v>
      </c>
      <c r="Q27" s="108">
        <v>0</v>
      </c>
      <c r="R27" s="108">
        <v>0</v>
      </c>
      <c r="S27" s="108">
        <v>0</v>
      </c>
      <c r="T27" s="108">
        <v>0</v>
      </c>
      <c r="U27" s="108">
        <v>0</v>
      </c>
      <c r="V27" s="108">
        <v>0</v>
      </c>
      <c r="W27" s="108">
        <v>0</v>
      </c>
      <c r="X27" s="108">
        <v>0</v>
      </c>
      <c r="Y27" s="108">
        <v>0</v>
      </c>
      <c r="Z27" s="108">
        <v>0.8</v>
      </c>
      <c r="AA27" s="108">
        <v>0.8</v>
      </c>
      <c r="AB27" s="108">
        <v>0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  <c r="AH27" s="108">
        <v>0</v>
      </c>
      <c r="AI27" s="108">
        <v>0</v>
      </c>
    </row>
    <row r="28" spans="1:35" customFormat="1" x14ac:dyDescent="0.15">
      <c r="A28" s="185" t="s">
        <v>218</v>
      </c>
      <c r="B28" s="108">
        <v>0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0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</v>
      </c>
      <c r="Y28" s="108">
        <v>0</v>
      </c>
      <c r="Z28" s="108">
        <v>0.8</v>
      </c>
      <c r="AA28" s="108">
        <v>0.8</v>
      </c>
      <c r="AB28" s="108">
        <v>0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  <c r="AH28" s="108">
        <v>0</v>
      </c>
      <c r="AI28" s="108">
        <v>0</v>
      </c>
    </row>
    <row r="29" spans="1:35" customFormat="1" x14ac:dyDescent="0.15">
      <c r="A29" s="185" t="s">
        <v>219</v>
      </c>
      <c r="B29" s="108">
        <v>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</v>
      </c>
      <c r="L29" s="108">
        <v>0</v>
      </c>
      <c r="M29" s="108">
        <v>0</v>
      </c>
      <c r="N29" s="108">
        <v>0</v>
      </c>
      <c r="O29" s="108">
        <v>0</v>
      </c>
      <c r="P29" s="108">
        <v>0</v>
      </c>
      <c r="Q29" s="108">
        <v>0</v>
      </c>
      <c r="R29" s="108">
        <v>0</v>
      </c>
      <c r="S29" s="108">
        <v>0</v>
      </c>
      <c r="T29" s="108">
        <v>0</v>
      </c>
      <c r="U29" s="108">
        <v>0</v>
      </c>
      <c r="V29" s="108">
        <v>0</v>
      </c>
      <c r="W29" s="108">
        <v>0</v>
      </c>
      <c r="X29" s="108">
        <v>0</v>
      </c>
      <c r="Y29" s="108">
        <v>0</v>
      </c>
      <c r="Z29" s="108">
        <v>0.8</v>
      </c>
      <c r="AA29" s="108">
        <v>0.8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8">
        <v>0</v>
      </c>
      <c r="AH29" s="108">
        <v>0</v>
      </c>
      <c r="AI29" s="108">
        <v>0</v>
      </c>
    </row>
    <row r="30" spans="1:35" customFormat="1" x14ac:dyDescent="0.15">
      <c r="A30" s="185" t="s">
        <v>220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0</v>
      </c>
      <c r="M30" s="108">
        <v>0</v>
      </c>
      <c r="N30" s="108">
        <v>0</v>
      </c>
      <c r="O30" s="108">
        <v>0</v>
      </c>
      <c r="P30" s="108">
        <v>0</v>
      </c>
      <c r="Q30" s="108">
        <v>0</v>
      </c>
      <c r="R30" s="108">
        <v>0</v>
      </c>
      <c r="S30" s="108">
        <v>0</v>
      </c>
      <c r="T30" s="108">
        <v>0</v>
      </c>
      <c r="U30" s="108">
        <v>0</v>
      </c>
      <c r="V30" s="108">
        <v>0</v>
      </c>
      <c r="W30" s="108">
        <v>0</v>
      </c>
      <c r="X30" s="108">
        <v>0</v>
      </c>
      <c r="Y30" s="108">
        <v>0</v>
      </c>
      <c r="Z30" s="108">
        <v>0.8</v>
      </c>
      <c r="AA30" s="108">
        <v>0.8</v>
      </c>
      <c r="AB30" s="108">
        <v>0</v>
      </c>
      <c r="AC30" s="108">
        <v>0</v>
      </c>
      <c r="AD30" s="108">
        <v>0</v>
      </c>
      <c r="AE30" s="108">
        <v>0</v>
      </c>
      <c r="AF30" s="108">
        <v>0</v>
      </c>
      <c r="AG30" s="108">
        <v>0</v>
      </c>
      <c r="AH30" s="108">
        <v>0</v>
      </c>
      <c r="AI30" s="108">
        <v>0</v>
      </c>
    </row>
    <row r="31" spans="1:35" customFormat="1" x14ac:dyDescent="0.15">
      <c r="A31" s="185" t="s">
        <v>221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0</v>
      </c>
      <c r="T31" s="108">
        <v>0</v>
      </c>
      <c r="U31" s="108">
        <v>0</v>
      </c>
      <c r="V31" s="108">
        <v>0</v>
      </c>
      <c r="W31" s="108">
        <v>0</v>
      </c>
      <c r="X31" s="108">
        <v>0</v>
      </c>
      <c r="Y31" s="108">
        <v>0</v>
      </c>
      <c r="Z31" s="108">
        <v>0.8</v>
      </c>
      <c r="AA31" s="108">
        <v>0.8</v>
      </c>
      <c r="AB31" s="108">
        <v>0</v>
      </c>
      <c r="AC31" s="108">
        <v>0</v>
      </c>
      <c r="AD31" s="108">
        <v>0</v>
      </c>
      <c r="AE31" s="108">
        <v>0.8</v>
      </c>
      <c r="AF31" s="108">
        <v>0</v>
      </c>
      <c r="AG31" s="108">
        <v>0</v>
      </c>
      <c r="AH31" s="108">
        <v>0</v>
      </c>
      <c r="AI31" s="108">
        <v>0</v>
      </c>
    </row>
    <row r="32" spans="1:35" customFormat="1" x14ac:dyDescent="0.15">
      <c r="A32" s="185" t="s">
        <v>222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0.8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</v>
      </c>
      <c r="R32" s="108">
        <v>0</v>
      </c>
      <c r="S32" s="108">
        <v>0</v>
      </c>
      <c r="T32" s="108">
        <v>0</v>
      </c>
      <c r="U32" s="108">
        <v>0</v>
      </c>
      <c r="V32" s="108">
        <v>0</v>
      </c>
      <c r="W32" s="108">
        <v>0</v>
      </c>
      <c r="X32" s="108">
        <v>0</v>
      </c>
      <c r="Y32" s="108">
        <v>0</v>
      </c>
      <c r="Z32" s="108">
        <v>0.8</v>
      </c>
      <c r="AA32" s="108">
        <v>0.8</v>
      </c>
      <c r="AB32" s="108">
        <v>0</v>
      </c>
      <c r="AC32" s="108">
        <v>0</v>
      </c>
      <c r="AD32" s="108">
        <v>0</v>
      </c>
      <c r="AE32" s="108">
        <v>0</v>
      </c>
      <c r="AF32" s="108">
        <v>0</v>
      </c>
      <c r="AG32" s="108">
        <v>0</v>
      </c>
      <c r="AH32" s="108">
        <v>0</v>
      </c>
      <c r="AI32" s="108">
        <v>0</v>
      </c>
    </row>
    <row r="33" spans="1:35" x14ac:dyDescent="0.15">
      <c r="A33" s="185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0.8</v>
      </c>
      <c r="K33" s="108">
        <v>0.8</v>
      </c>
      <c r="L33" s="108">
        <v>0.8</v>
      </c>
      <c r="M33" s="108">
        <v>0.8</v>
      </c>
      <c r="N33" s="108">
        <v>0</v>
      </c>
      <c r="O33" s="108">
        <v>0.8</v>
      </c>
      <c r="P33" s="108">
        <v>0.8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</v>
      </c>
      <c r="W33" s="108">
        <v>0.8</v>
      </c>
      <c r="X33" s="108">
        <v>0.8</v>
      </c>
      <c r="Y33" s="108">
        <v>0</v>
      </c>
      <c r="Z33" s="108">
        <v>0.8</v>
      </c>
      <c r="AA33" s="108">
        <v>0</v>
      </c>
      <c r="AB33" s="108">
        <v>0</v>
      </c>
      <c r="AC33" s="108">
        <v>0</v>
      </c>
      <c r="AD33" s="108">
        <v>0</v>
      </c>
      <c r="AE33" s="108">
        <v>0</v>
      </c>
      <c r="AF33" s="108">
        <v>0.8</v>
      </c>
      <c r="AG33" s="108">
        <v>0</v>
      </c>
      <c r="AH33" s="108">
        <v>0</v>
      </c>
      <c r="AI33" s="108">
        <v>0</v>
      </c>
    </row>
    <row r="34" spans="1:35" x14ac:dyDescent="0.15">
      <c r="A34" s="185" t="s">
        <v>224</v>
      </c>
      <c r="B34" s="108">
        <v>0</v>
      </c>
      <c r="C34" s="108">
        <v>0.8</v>
      </c>
      <c r="D34" s="108">
        <v>0.8</v>
      </c>
      <c r="E34" s="108">
        <v>0.8</v>
      </c>
      <c r="F34" s="108">
        <v>0.8</v>
      </c>
      <c r="G34" s="108">
        <v>0.8</v>
      </c>
      <c r="H34" s="108">
        <v>0.8</v>
      </c>
      <c r="I34" s="108">
        <v>0</v>
      </c>
      <c r="J34" s="108">
        <v>0.8</v>
      </c>
      <c r="K34" s="108">
        <v>0.8</v>
      </c>
      <c r="L34" s="108">
        <v>0.8</v>
      </c>
      <c r="M34" s="108">
        <v>0.8</v>
      </c>
      <c r="N34" s="108">
        <v>0.8</v>
      </c>
      <c r="O34" s="108">
        <v>0.8</v>
      </c>
      <c r="P34" s="108">
        <v>0.8</v>
      </c>
      <c r="Q34" s="108">
        <v>0.8</v>
      </c>
      <c r="R34" s="108">
        <v>0</v>
      </c>
      <c r="S34" s="108">
        <v>0</v>
      </c>
      <c r="T34" s="108">
        <v>0</v>
      </c>
      <c r="U34" s="108">
        <v>0</v>
      </c>
      <c r="V34" s="108">
        <v>0</v>
      </c>
      <c r="W34" s="108">
        <v>0.8</v>
      </c>
      <c r="X34" s="108">
        <v>0.8</v>
      </c>
      <c r="Y34" s="108">
        <v>0</v>
      </c>
      <c r="Z34" s="108">
        <v>0</v>
      </c>
      <c r="AA34" s="108">
        <v>0.8</v>
      </c>
      <c r="AB34" s="108">
        <v>0</v>
      </c>
      <c r="AC34" s="108">
        <v>0</v>
      </c>
      <c r="AD34" s="108">
        <v>0.8</v>
      </c>
      <c r="AE34" s="108">
        <v>0</v>
      </c>
      <c r="AF34" s="108">
        <v>0</v>
      </c>
      <c r="AG34" s="108">
        <v>0</v>
      </c>
      <c r="AH34" s="108">
        <v>0</v>
      </c>
      <c r="AI34" s="108">
        <v>0</v>
      </c>
    </row>
    <row r="35" spans="1:35" x14ac:dyDescent="0.15">
      <c r="A35" s="185" t="s">
        <v>225</v>
      </c>
      <c r="B35" s="108">
        <v>0</v>
      </c>
      <c r="C35" s="108">
        <v>0</v>
      </c>
      <c r="D35" s="108">
        <v>0</v>
      </c>
      <c r="E35" s="108">
        <v>0</v>
      </c>
      <c r="F35" s="108">
        <v>0</v>
      </c>
      <c r="G35" s="108">
        <v>0</v>
      </c>
      <c r="H35" s="108">
        <v>0</v>
      </c>
      <c r="I35" s="108">
        <v>0</v>
      </c>
      <c r="J35" s="108">
        <v>0</v>
      </c>
      <c r="K35" s="108">
        <v>0</v>
      </c>
      <c r="L35" s="108">
        <v>0</v>
      </c>
      <c r="M35" s="108">
        <v>0</v>
      </c>
      <c r="N35" s="108">
        <v>0</v>
      </c>
      <c r="O35" s="108">
        <v>0</v>
      </c>
      <c r="P35" s="108">
        <v>0</v>
      </c>
      <c r="Q35" s="108">
        <v>0</v>
      </c>
      <c r="R35" s="108">
        <v>0</v>
      </c>
      <c r="S35" s="108">
        <v>0</v>
      </c>
      <c r="T35" s="108">
        <v>0</v>
      </c>
      <c r="U35" s="108">
        <v>0</v>
      </c>
      <c r="V35" s="108">
        <v>0</v>
      </c>
      <c r="W35" s="108">
        <v>0</v>
      </c>
      <c r="X35" s="108">
        <v>0</v>
      </c>
      <c r="Y35" s="108">
        <v>0</v>
      </c>
      <c r="Z35" s="108">
        <v>0</v>
      </c>
      <c r="AA35" s="108">
        <v>0</v>
      </c>
      <c r="AB35" s="108">
        <v>0</v>
      </c>
      <c r="AC35" s="108">
        <v>0</v>
      </c>
      <c r="AD35" s="108">
        <v>0</v>
      </c>
      <c r="AE35" s="108">
        <v>0</v>
      </c>
      <c r="AF35" s="108">
        <v>0</v>
      </c>
      <c r="AG35" s="108">
        <v>0</v>
      </c>
      <c r="AH35" s="108">
        <v>0</v>
      </c>
      <c r="AI35" s="108">
        <v>0</v>
      </c>
    </row>
    <row r="36" spans="1:35" x14ac:dyDescent="0.15">
      <c r="A36" s="185" t="s">
        <v>227</v>
      </c>
      <c r="B36" s="108">
        <v>0</v>
      </c>
      <c r="C36" s="108">
        <v>0</v>
      </c>
      <c r="D36" s="108">
        <v>0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  <c r="J36" s="108">
        <v>0</v>
      </c>
      <c r="K36" s="108">
        <v>0</v>
      </c>
      <c r="L36" s="108">
        <v>0</v>
      </c>
      <c r="M36" s="108">
        <v>0</v>
      </c>
      <c r="N36" s="108">
        <v>0</v>
      </c>
      <c r="O36" s="108">
        <v>0</v>
      </c>
      <c r="P36" s="108">
        <v>0</v>
      </c>
      <c r="Q36" s="108">
        <v>0</v>
      </c>
      <c r="R36" s="108">
        <v>0</v>
      </c>
      <c r="S36" s="108">
        <v>0</v>
      </c>
      <c r="T36" s="108">
        <v>0</v>
      </c>
      <c r="U36" s="108">
        <v>0</v>
      </c>
      <c r="V36" s="108">
        <v>0</v>
      </c>
      <c r="W36" s="108">
        <v>0</v>
      </c>
      <c r="X36" s="108">
        <v>0</v>
      </c>
      <c r="Y36" s="108">
        <v>0</v>
      </c>
      <c r="Z36" s="108">
        <v>0</v>
      </c>
      <c r="AA36" s="108">
        <v>0</v>
      </c>
      <c r="AB36" s="108">
        <v>0</v>
      </c>
      <c r="AC36" s="108">
        <v>0</v>
      </c>
      <c r="AD36" s="108">
        <v>0</v>
      </c>
      <c r="AE36" s="108">
        <v>0</v>
      </c>
      <c r="AF36" s="108">
        <v>0</v>
      </c>
      <c r="AG36" s="108">
        <v>0</v>
      </c>
      <c r="AH36" s="108">
        <v>0</v>
      </c>
      <c r="AI36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I36"/>
  <sheetViews>
    <sheetView workbookViewId="0">
      <selection activeCell="A3" sqref="A3"/>
    </sheetView>
  </sheetViews>
  <sheetFormatPr baseColWidth="10" defaultRowHeight="13" x14ac:dyDescent="0.15"/>
  <cols>
    <col min="1" max="1" width="36.6640625" style="108" bestFit="1" customWidth="1"/>
    <col min="2" max="35" width="2.33203125" style="108" customWidth="1"/>
    <col min="36" max="16384" width="10.83203125" style="108"/>
  </cols>
  <sheetData>
    <row r="1" spans="1:35" x14ac:dyDescent="0.15">
      <c r="A1" s="62" t="s">
        <v>139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  <c r="AF1" s="188" t="s">
        <v>222</v>
      </c>
      <c r="AG1" s="188" t="s">
        <v>223</v>
      </c>
      <c r="AH1" s="188" t="s">
        <v>224</v>
      </c>
      <c r="AI1" s="188" t="s">
        <v>225</v>
      </c>
    </row>
    <row r="2" spans="1:35" customFormat="1" x14ac:dyDescent="0.15">
      <c r="A2" s="187" t="s">
        <v>192</v>
      </c>
      <c r="B2" s="108">
        <v>0</v>
      </c>
      <c r="C2" s="108">
        <v>1</v>
      </c>
      <c r="D2" s="108">
        <v>1</v>
      </c>
      <c r="E2" s="108">
        <v>1</v>
      </c>
      <c r="F2" s="108">
        <v>1</v>
      </c>
      <c r="G2" s="108">
        <v>1</v>
      </c>
      <c r="H2" s="108">
        <v>1</v>
      </c>
      <c r="I2" s="108">
        <v>1</v>
      </c>
      <c r="J2" s="108">
        <v>1</v>
      </c>
      <c r="K2" s="108">
        <v>1</v>
      </c>
      <c r="L2" s="108">
        <v>1</v>
      </c>
      <c r="M2" s="108">
        <v>1</v>
      </c>
      <c r="N2" s="108">
        <v>1</v>
      </c>
      <c r="O2" s="108">
        <v>0</v>
      </c>
      <c r="P2" s="108">
        <v>1</v>
      </c>
      <c r="Q2" s="108">
        <v>1</v>
      </c>
      <c r="R2" s="108">
        <v>1</v>
      </c>
      <c r="S2" s="108">
        <v>1</v>
      </c>
      <c r="T2" s="108">
        <v>0</v>
      </c>
      <c r="U2" s="108">
        <v>1</v>
      </c>
      <c r="V2" s="108">
        <v>0</v>
      </c>
      <c r="W2" s="108">
        <v>0</v>
      </c>
      <c r="X2" s="108">
        <v>0</v>
      </c>
      <c r="Y2" s="108">
        <v>0</v>
      </c>
      <c r="Z2" s="108">
        <v>0</v>
      </c>
      <c r="AA2" s="108">
        <v>0</v>
      </c>
      <c r="AB2" s="108">
        <v>0</v>
      </c>
      <c r="AC2" s="108">
        <v>0</v>
      </c>
      <c r="AD2" s="108">
        <v>0</v>
      </c>
      <c r="AE2" s="108">
        <v>0</v>
      </c>
      <c r="AF2" s="108">
        <v>0</v>
      </c>
      <c r="AG2" s="108">
        <v>0</v>
      </c>
      <c r="AH2" s="108">
        <v>0</v>
      </c>
      <c r="AI2" s="108">
        <v>0</v>
      </c>
    </row>
    <row r="3" spans="1:35" customFormat="1" x14ac:dyDescent="0.15">
      <c r="A3" s="187" t="s">
        <v>193</v>
      </c>
      <c r="B3" s="108">
        <v>0</v>
      </c>
      <c r="C3" s="108">
        <v>0</v>
      </c>
      <c r="D3" s="108">
        <v>1</v>
      </c>
      <c r="E3" s="108">
        <v>0</v>
      </c>
      <c r="F3" s="108">
        <v>0</v>
      </c>
      <c r="G3" s="108">
        <v>1</v>
      </c>
      <c r="H3" s="108">
        <v>0</v>
      </c>
      <c r="I3" s="108">
        <v>1</v>
      </c>
      <c r="J3" s="108">
        <v>1</v>
      </c>
      <c r="K3" s="108">
        <v>1</v>
      </c>
      <c r="L3" s="108">
        <v>1</v>
      </c>
      <c r="M3" s="108">
        <v>1</v>
      </c>
      <c r="N3" s="108">
        <v>1</v>
      </c>
      <c r="O3" s="108">
        <v>1</v>
      </c>
      <c r="P3" s="108">
        <v>1</v>
      </c>
      <c r="Q3" s="108">
        <v>0</v>
      </c>
      <c r="R3" s="108">
        <v>0</v>
      </c>
      <c r="S3" s="108">
        <v>0</v>
      </c>
      <c r="T3" s="108">
        <v>0</v>
      </c>
      <c r="U3" s="108">
        <v>0</v>
      </c>
      <c r="V3" s="108">
        <v>0</v>
      </c>
      <c r="W3" s="108">
        <v>0</v>
      </c>
      <c r="X3" s="108">
        <v>0</v>
      </c>
      <c r="Y3" s="108">
        <v>0</v>
      </c>
      <c r="Z3" s="108">
        <v>0</v>
      </c>
      <c r="AA3" s="108">
        <v>0</v>
      </c>
      <c r="AB3" s="108">
        <v>0</v>
      </c>
      <c r="AC3" s="108">
        <v>0</v>
      </c>
      <c r="AD3" s="108">
        <v>0</v>
      </c>
      <c r="AE3" s="108">
        <v>0</v>
      </c>
      <c r="AF3" s="108">
        <v>0</v>
      </c>
      <c r="AG3" s="108">
        <v>0</v>
      </c>
      <c r="AH3" s="108">
        <v>0</v>
      </c>
      <c r="AI3" s="108">
        <v>0</v>
      </c>
    </row>
    <row r="4" spans="1:35" customFormat="1" x14ac:dyDescent="0.15">
      <c r="A4" s="187" t="s">
        <v>194</v>
      </c>
      <c r="B4" s="108">
        <v>0</v>
      </c>
      <c r="C4" s="108">
        <v>0</v>
      </c>
      <c r="D4" s="108">
        <v>1</v>
      </c>
      <c r="E4" s="108">
        <v>1</v>
      </c>
      <c r="F4" s="108">
        <v>1</v>
      </c>
      <c r="G4" s="108">
        <v>1</v>
      </c>
      <c r="H4" s="108">
        <v>0</v>
      </c>
      <c r="I4" s="108">
        <v>1</v>
      </c>
      <c r="J4" s="108">
        <v>0</v>
      </c>
      <c r="K4" s="108">
        <v>0</v>
      </c>
      <c r="L4" s="108">
        <v>0</v>
      </c>
      <c r="M4" s="108">
        <v>0</v>
      </c>
      <c r="N4" s="108">
        <v>0</v>
      </c>
      <c r="O4" s="108">
        <v>0</v>
      </c>
      <c r="P4" s="108">
        <v>0</v>
      </c>
      <c r="Q4" s="108">
        <v>0</v>
      </c>
      <c r="R4" s="108">
        <v>0</v>
      </c>
      <c r="S4" s="108">
        <v>0</v>
      </c>
      <c r="T4" s="108">
        <v>0</v>
      </c>
      <c r="U4" s="108">
        <v>0</v>
      </c>
      <c r="V4" s="108">
        <v>0</v>
      </c>
      <c r="W4" s="108">
        <v>0</v>
      </c>
      <c r="X4" s="108">
        <v>0</v>
      </c>
      <c r="Y4" s="108">
        <v>0</v>
      </c>
      <c r="Z4" s="108">
        <v>0</v>
      </c>
      <c r="AA4" s="108">
        <v>0</v>
      </c>
      <c r="AB4" s="108">
        <v>0</v>
      </c>
      <c r="AC4" s="108">
        <v>0</v>
      </c>
      <c r="AD4" s="108">
        <v>0</v>
      </c>
      <c r="AE4" s="108">
        <v>0</v>
      </c>
      <c r="AF4" s="108">
        <v>0</v>
      </c>
      <c r="AG4" s="108">
        <v>0</v>
      </c>
      <c r="AH4" s="108">
        <v>0</v>
      </c>
      <c r="AI4" s="108">
        <v>0</v>
      </c>
    </row>
    <row r="5" spans="1:35" customFormat="1" x14ac:dyDescent="0.15">
      <c r="A5" s="187" t="s">
        <v>195</v>
      </c>
      <c r="B5" s="108">
        <v>0</v>
      </c>
      <c r="C5" s="108">
        <v>0</v>
      </c>
      <c r="D5" s="108">
        <v>0</v>
      </c>
      <c r="E5" s="108">
        <v>1</v>
      </c>
      <c r="F5" s="108">
        <v>1</v>
      </c>
      <c r="G5" s="108">
        <v>1</v>
      </c>
      <c r="H5" s="108">
        <v>1</v>
      </c>
      <c r="I5" s="108">
        <v>1</v>
      </c>
      <c r="J5" s="108">
        <v>0</v>
      </c>
      <c r="K5" s="108">
        <v>1</v>
      </c>
      <c r="L5" s="108">
        <v>0</v>
      </c>
      <c r="M5" s="108">
        <v>0</v>
      </c>
      <c r="N5" s="108">
        <v>0</v>
      </c>
      <c r="O5" s="108">
        <v>0</v>
      </c>
      <c r="P5" s="108">
        <v>0</v>
      </c>
      <c r="Q5" s="108">
        <v>1</v>
      </c>
      <c r="R5" s="108">
        <v>1</v>
      </c>
      <c r="S5" s="108">
        <v>1</v>
      </c>
      <c r="T5" s="108">
        <v>0</v>
      </c>
      <c r="U5" s="108">
        <v>1</v>
      </c>
      <c r="V5" s="108">
        <v>0</v>
      </c>
      <c r="W5" s="108">
        <v>0</v>
      </c>
      <c r="X5" s="108">
        <v>0</v>
      </c>
      <c r="Y5" s="108">
        <v>0</v>
      </c>
      <c r="Z5" s="108">
        <v>0</v>
      </c>
      <c r="AA5" s="108">
        <v>0</v>
      </c>
      <c r="AB5" s="108">
        <v>0</v>
      </c>
      <c r="AC5" s="108">
        <v>0</v>
      </c>
      <c r="AD5" s="108">
        <v>1</v>
      </c>
      <c r="AE5" s="108">
        <v>0</v>
      </c>
      <c r="AF5" s="108">
        <v>0</v>
      </c>
      <c r="AG5" s="108">
        <v>0</v>
      </c>
      <c r="AH5" s="108">
        <v>0</v>
      </c>
      <c r="AI5" s="108">
        <v>0</v>
      </c>
    </row>
    <row r="6" spans="1:35" customFormat="1" x14ac:dyDescent="0.15">
      <c r="A6" s="187" t="s">
        <v>196</v>
      </c>
      <c r="B6" s="108">
        <v>0</v>
      </c>
      <c r="C6" s="108">
        <v>0</v>
      </c>
      <c r="D6" s="108">
        <v>0</v>
      </c>
      <c r="E6" s="108">
        <v>0</v>
      </c>
      <c r="F6" s="108">
        <v>1</v>
      </c>
      <c r="G6" s="108">
        <v>1</v>
      </c>
      <c r="H6" s="108">
        <v>1</v>
      </c>
      <c r="I6" s="108">
        <v>1</v>
      </c>
      <c r="J6" s="108">
        <v>0</v>
      </c>
      <c r="K6" s="108">
        <v>1</v>
      </c>
      <c r="L6" s="108">
        <v>0</v>
      </c>
      <c r="M6" s="108">
        <v>0</v>
      </c>
      <c r="N6" s="108">
        <v>0</v>
      </c>
      <c r="O6" s="108">
        <v>0</v>
      </c>
      <c r="P6" s="108">
        <v>0</v>
      </c>
      <c r="Q6" s="108">
        <v>1</v>
      </c>
      <c r="R6" s="108">
        <v>1</v>
      </c>
      <c r="S6" s="108">
        <v>1</v>
      </c>
      <c r="T6" s="108">
        <v>1</v>
      </c>
      <c r="U6" s="108">
        <v>1</v>
      </c>
      <c r="V6" s="108">
        <v>0</v>
      </c>
      <c r="W6" s="108">
        <v>0</v>
      </c>
      <c r="X6" s="108">
        <v>0</v>
      </c>
      <c r="Y6" s="108">
        <v>0</v>
      </c>
      <c r="Z6" s="108">
        <v>0</v>
      </c>
      <c r="AA6" s="108">
        <v>1</v>
      </c>
      <c r="AB6" s="108">
        <v>0</v>
      </c>
      <c r="AC6" s="108">
        <v>0</v>
      </c>
      <c r="AD6" s="108">
        <v>1</v>
      </c>
      <c r="AE6" s="108">
        <v>0</v>
      </c>
      <c r="AF6" s="108">
        <v>1</v>
      </c>
      <c r="AG6" s="108">
        <v>0</v>
      </c>
      <c r="AH6" s="108">
        <v>0</v>
      </c>
      <c r="AI6" s="108">
        <v>0</v>
      </c>
    </row>
    <row r="7" spans="1:35" customFormat="1" x14ac:dyDescent="0.15">
      <c r="A7" s="187" t="s">
        <v>197</v>
      </c>
      <c r="B7" s="108">
        <v>0</v>
      </c>
      <c r="C7" s="108">
        <v>0</v>
      </c>
      <c r="D7" s="108">
        <v>0</v>
      </c>
      <c r="E7" s="108">
        <v>0</v>
      </c>
      <c r="F7" s="108">
        <v>1</v>
      </c>
      <c r="G7" s="108">
        <v>1</v>
      </c>
      <c r="H7" s="108">
        <v>0</v>
      </c>
      <c r="I7" s="108">
        <v>0</v>
      </c>
      <c r="J7" s="108">
        <v>0</v>
      </c>
      <c r="K7" s="108">
        <v>0</v>
      </c>
      <c r="L7" s="108">
        <v>0</v>
      </c>
      <c r="M7" s="108">
        <v>0</v>
      </c>
      <c r="N7" s="108">
        <v>0</v>
      </c>
      <c r="O7" s="108">
        <v>0</v>
      </c>
      <c r="P7" s="108">
        <v>0</v>
      </c>
      <c r="Q7" s="108">
        <v>0</v>
      </c>
      <c r="R7" s="108">
        <v>1</v>
      </c>
      <c r="S7" s="108">
        <v>1</v>
      </c>
      <c r="T7" s="108">
        <v>0</v>
      </c>
      <c r="U7" s="108">
        <v>0</v>
      </c>
      <c r="V7" s="108">
        <v>1</v>
      </c>
      <c r="W7" s="108">
        <v>0</v>
      </c>
      <c r="X7" s="108">
        <v>1</v>
      </c>
      <c r="Y7" s="108">
        <v>1</v>
      </c>
      <c r="Z7" s="108">
        <v>1</v>
      </c>
      <c r="AA7" s="108">
        <v>1</v>
      </c>
      <c r="AB7" s="108">
        <v>1</v>
      </c>
      <c r="AC7" s="108">
        <v>0</v>
      </c>
      <c r="AD7" s="108">
        <v>1</v>
      </c>
      <c r="AE7" s="108">
        <v>1</v>
      </c>
      <c r="AF7" s="108">
        <v>0</v>
      </c>
      <c r="AG7" s="108">
        <v>0</v>
      </c>
      <c r="AH7" s="108">
        <v>0</v>
      </c>
      <c r="AI7" s="108">
        <v>0</v>
      </c>
    </row>
    <row r="8" spans="1:35" customFormat="1" x14ac:dyDescent="0.15">
      <c r="A8" s="187" t="s">
        <v>198</v>
      </c>
      <c r="B8" s="108">
        <v>0</v>
      </c>
      <c r="C8" s="108">
        <v>0</v>
      </c>
      <c r="D8" s="108">
        <v>0</v>
      </c>
      <c r="E8" s="108">
        <v>0</v>
      </c>
      <c r="F8" s="108">
        <v>0</v>
      </c>
      <c r="G8" s="108">
        <v>0</v>
      </c>
      <c r="H8" s="108">
        <v>1</v>
      </c>
      <c r="I8" s="108">
        <v>1</v>
      </c>
      <c r="J8" s="108">
        <v>0</v>
      </c>
      <c r="K8" s="108">
        <v>0</v>
      </c>
      <c r="L8" s="108">
        <v>0</v>
      </c>
      <c r="M8" s="108">
        <v>0</v>
      </c>
      <c r="N8" s="108">
        <v>0</v>
      </c>
      <c r="O8" s="108">
        <v>0</v>
      </c>
      <c r="P8" s="108">
        <v>1</v>
      </c>
      <c r="Q8" s="108">
        <v>1</v>
      </c>
      <c r="R8" s="108">
        <v>1</v>
      </c>
      <c r="S8" s="108">
        <v>1</v>
      </c>
      <c r="T8" s="108">
        <v>1</v>
      </c>
      <c r="U8" s="108">
        <v>1</v>
      </c>
      <c r="V8" s="108">
        <v>0</v>
      </c>
      <c r="W8" s="108">
        <v>1</v>
      </c>
      <c r="X8" s="108">
        <v>1</v>
      </c>
      <c r="Y8" s="108">
        <v>1</v>
      </c>
      <c r="Z8" s="108">
        <v>1</v>
      </c>
      <c r="AA8" s="108">
        <v>0</v>
      </c>
      <c r="AB8" s="108">
        <v>0</v>
      </c>
      <c r="AC8" s="108">
        <v>1</v>
      </c>
      <c r="AD8" s="108">
        <v>1</v>
      </c>
      <c r="AE8" s="108">
        <v>1</v>
      </c>
      <c r="AF8" s="108">
        <v>1</v>
      </c>
      <c r="AG8" s="108">
        <v>0</v>
      </c>
      <c r="AH8" s="108">
        <v>0</v>
      </c>
      <c r="AI8" s="108">
        <v>0</v>
      </c>
    </row>
    <row r="9" spans="1:35" customFormat="1" x14ac:dyDescent="0.15">
      <c r="A9" s="187" t="s">
        <v>199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1</v>
      </c>
      <c r="H9" s="108">
        <v>0</v>
      </c>
      <c r="I9" s="108">
        <v>0</v>
      </c>
      <c r="J9" s="108">
        <v>0</v>
      </c>
      <c r="K9" s="108">
        <v>0</v>
      </c>
      <c r="L9" s="108">
        <v>0</v>
      </c>
      <c r="M9" s="108">
        <v>0</v>
      </c>
      <c r="N9" s="108">
        <v>0</v>
      </c>
      <c r="O9" s="108">
        <v>0</v>
      </c>
      <c r="P9" s="108">
        <v>0</v>
      </c>
      <c r="Q9" s="108">
        <v>0</v>
      </c>
      <c r="R9" s="108">
        <v>0</v>
      </c>
      <c r="S9" s="108">
        <v>0</v>
      </c>
      <c r="T9" s="108">
        <v>0</v>
      </c>
      <c r="U9" s="108">
        <v>0</v>
      </c>
      <c r="V9" s="108">
        <v>0</v>
      </c>
      <c r="W9" s="108">
        <v>0</v>
      </c>
      <c r="X9" s="108">
        <v>0</v>
      </c>
      <c r="Y9" s="108">
        <v>0</v>
      </c>
      <c r="Z9" s="108">
        <v>0</v>
      </c>
      <c r="AA9" s="108">
        <v>1</v>
      </c>
      <c r="AB9" s="108">
        <v>1</v>
      </c>
      <c r="AC9" s="108">
        <v>0</v>
      </c>
      <c r="AD9" s="108">
        <v>1</v>
      </c>
      <c r="AE9" s="108">
        <v>1</v>
      </c>
      <c r="AF9" s="108">
        <v>1</v>
      </c>
      <c r="AG9" s="108">
        <v>0</v>
      </c>
      <c r="AH9" s="108">
        <v>0</v>
      </c>
      <c r="AI9" s="108">
        <v>0</v>
      </c>
    </row>
    <row r="10" spans="1:35" customFormat="1" x14ac:dyDescent="0.15">
      <c r="A10" s="187" t="s">
        <v>200</v>
      </c>
      <c r="B10" s="108">
        <v>0</v>
      </c>
      <c r="C10" s="108">
        <v>0</v>
      </c>
      <c r="D10" s="108">
        <v>0</v>
      </c>
      <c r="E10" s="108">
        <v>0</v>
      </c>
      <c r="F10" s="108">
        <v>0</v>
      </c>
      <c r="G10" s="108">
        <v>0</v>
      </c>
      <c r="H10" s="108">
        <v>0</v>
      </c>
      <c r="I10" s="108">
        <v>0</v>
      </c>
      <c r="J10" s="108">
        <v>1</v>
      </c>
      <c r="K10" s="108">
        <v>1</v>
      </c>
      <c r="L10" s="108">
        <v>0</v>
      </c>
      <c r="M10" s="108">
        <v>1</v>
      </c>
      <c r="N10" s="108">
        <v>0</v>
      </c>
      <c r="O10" s="108">
        <v>1</v>
      </c>
      <c r="P10" s="108">
        <v>0</v>
      </c>
      <c r="Q10" s="108">
        <v>1</v>
      </c>
      <c r="R10" s="108">
        <v>1</v>
      </c>
      <c r="S10" s="108">
        <v>0</v>
      </c>
      <c r="T10" s="108">
        <v>0</v>
      </c>
      <c r="U10" s="108">
        <v>1</v>
      </c>
      <c r="V10" s="108">
        <v>0</v>
      </c>
      <c r="W10" s="108">
        <v>1</v>
      </c>
      <c r="X10" s="108">
        <v>1</v>
      </c>
      <c r="Y10" s="108">
        <v>1</v>
      </c>
      <c r="Z10" s="108">
        <v>0</v>
      </c>
      <c r="AA10" s="108">
        <v>0</v>
      </c>
      <c r="AB10" s="108">
        <v>0</v>
      </c>
      <c r="AC10" s="108">
        <v>0</v>
      </c>
      <c r="AD10" s="108">
        <v>0</v>
      </c>
      <c r="AE10" s="108">
        <v>0</v>
      </c>
      <c r="AF10" s="108">
        <v>0</v>
      </c>
      <c r="AG10" s="108">
        <v>0</v>
      </c>
      <c r="AH10" s="108">
        <v>0</v>
      </c>
      <c r="AI10" s="108">
        <v>0</v>
      </c>
    </row>
    <row r="11" spans="1:35" customFormat="1" x14ac:dyDescent="0.15">
      <c r="A11" s="187" t="s">
        <v>201</v>
      </c>
      <c r="B11" s="108">
        <v>0</v>
      </c>
      <c r="C11" s="108">
        <v>0</v>
      </c>
      <c r="D11" s="108">
        <v>0</v>
      </c>
      <c r="E11" s="108">
        <v>0</v>
      </c>
      <c r="F11" s="108">
        <v>1</v>
      </c>
      <c r="G11" s="108">
        <v>0</v>
      </c>
      <c r="H11" s="108">
        <v>0</v>
      </c>
      <c r="I11" s="108">
        <v>0</v>
      </c>
      <c r="J11" s="108">
        <v>1</v>
      </c>
      <c r="K11" s="108">
        <v>1</v>
      </c>
      <c r="L11" s="108">
        <v>0</v>
      </c>
      <c r="M11" s="108">
        <v>1</v>
      </c>
      <c r="N11" s="108">
        <v>0</v>
      </c>
      <c r="O11" s="108">
        <v>1</v>
      </c>
      <c r="P11" s="108">
        <v>1</v>
      </c>
      <c r="Q11" s="108">
        <v>1</v>
      </c>
      <c r="R11" s="108">
        <v>1</v>
      </c>
      <c r="S11" s="108">
        <v>1</v>
      </c>
      <c r="T11" s="108">
        <v>1</v>
      </c>
      <c r="U11" s="108">
        <v>1</v>
      </c>
      <c r="V11" s="108">
        <v>1</v>
      </c>
      <c r="W11" s="108">
        <v>1</v>
      </c>
      <c r="X11" s="108">
        <v>1</v>
      </c>
      <c r="Y11" s="108">
        <v>1</v>
      </c>
      <c r="Z11" s="108">
        <v>1</v>
      </c>
      <c r="AA11" s="108">
        <v>1</v>
      </c>
      <c r="AB11" s="108">
        <v>0</v>
      </c>
      <c r="AC11" s="108">
        <v>0</v>
      </c>
      <c r="AD11" s="108">
        <v>1</v>
      </c>
      <c r="AE11" s="108">
        <v>0</v>
      </c>
      <c r="AF11" s="108">
        <v>0</v>
      </c>
      <c r="AG11" s="108">
        <v>0</v>
      </c>
      <c r="AH11" s="108">
        <v>0</v>
      </c>
      <c r="AI11" s="108">
        <v>0</v>
      </c>
    </row>
    <row r="12" spans="1:35" customFormat="1" x14ac:dyDescent="0.15">
      <c r="A12" s="187" t="s">
        <v>202</v>
      </c>
      <c r="B12" s="108">
        <v>0</v>
      </c>
      <c r="C12" s="108">
        <v>0</v>
      </c>
      <c r="D12" s="108">
        <v>0</v>
      </c>
      <c r="E12" s="108">
        <v>0</v>
      </c>
      <c r="F12" s="108">
        <v>0</v>
      </c>
      <c r="G12" s="108">
        <v>0</v>
      </c>
      <c r="H12" s="108">
        <v>0</v>
      </c>
      <c r="I12" s="108">
        <v>0</v>
      </c>
      <c r="J12" s="108">
        <v>1</v>
      </c>
      <c r="K12" s="108">
        <v>1</v>
      </c>
      <c r="L12" s="108">
        <v>1</v>
      </c>
      <c r="M12" s="108">
        <v>1</v>
      </c>
      <c r="N12" s="108">
        <v>0</v>
      </c>
      <c r="O12" s="108">
        <v>1</v>
      </c>
      <c r="P12" s="108">
        <v>0</v>
      </c>
      <c r="Q12" s="108">
        <v>1</v>
      </c>
      <c r="R12" s="108">
        <v>1</v>
      </c>
      <c r="S12" s="108">
        <v>1</v>
      </c>
      <c r="T12" s="108">
        <v>0</v>
      </c>
      <c r="U12" s="108">
        <v>0</v>
      </c>
      <c r="V12" s="108">
        <v>1</v>
      </c>
      <c r="W12" s="108">
        <v>1</v>
      </c>
      <c r="X12" s="108">
        <v>1</v>
      </c>
      <c r="Y12" s="108">
        <v>1</v>
      </c>
      <c r="Z12" s="108">
        <v>0</v>
      </c>
      <c r="AA12" s="108">
        <v>0</v>
      </c>
      <c r="AB12" s="108">
        <v>0</v>
      </c>
      <c r="AC12" s="108">
        <v>0</v>
      </c>
      <c r="AD12" s="108">
        <v>1</v>
      </c>
      <c r="AE12" s="108">
        <v>0</v>
      </c>
      <c r="AF12" s="108">
        <v>0</v>
      </c>
      <c r="AG12" s="108">
        <v>0</v>
      </c>
      <c r="AH12" s="108">
        <v>0</v>
      </c>
      <c r="AI12" s="108">
        <v>0</v>
      </c>
    </row>
    <row r="13" spans="1:35" customFormat="1" x14ac:dyDescent="0.15">
      <c r="A13" s="187" t="s">
        <v>203</v>
      </c>
      <c r="B13" s="108">
        <v>0</v>
      </c>
      <c r="C13" s="108">
        <v>0</v>
      </c>
      <c r="D13" s="108">
        <v>0</v>
      </c>
      <c r="E13" s="108">
        <v>0</v>
      </c>
      <c r="F13" s="108">
        <v>1</v>
      </c>
      <c r="G13" s="108">
        <v>0</v>
      </c>
      <c r="H13" s="108">
        <v>0</v>
      </c>
      <c r="I13" s="108">
        <v>0</v>
      </c>
      <c r="J13" s="108">
        <v>1</v>
      </c>
      <c r="K13" s="108">
        <v>1</v>
      </c>
      <c r="L13" s="108">
        <v>1</v>
      </c>
      <c r="M13" s="108">
        <v>1</v>
      </c>
      <c r="N13" s="108">
        <v>0</v>
      </c>
      <c r="O13" s="108">
        <v>1</v>
      </c>
      <c r="P13" s="108">
        <v>1</v>
      </c>
      <c r="Q13" s="108">
        <v>1</v>
      </c>
      <c r="R13" s="108">
        <v>1</v>
      </c>
      <c r="S13" s="108">
        <v>1</v>
      </c>
      <c r="T13" s="108">
        <v>1</v>
      </c>
      <c r="U13" s="108">
        <v>0</v>
      </c>
      <c r="V13" s="108">
        <v>1</v>
      </c>
      <c r="W13" s="108">
        <v>1</v>
      </c>
      <c r="X13" s="108">
        <v>1</v>
      </c>
      <c r="Y13" s="108">
        <v>1</v>
      </c>
      <c r="Z13" s="108">
        <v>1</v>
      </c>
      <c r="AA13" s="108">
        <v>1</v>
      </c>
      <c r="AB13" s="108">
        <v>0</v>
      </c>
      <c r="AC13" s="108">
        <v>0</v>
      </c>
      <c r="AD13" s="108">
        <v>1</v>
      </c>
      <c r="AE13" s="108">
        <v>0</v>
      </c>
      <c r="AF13" s="108">
        <v>0</v>
      </c>
      <c r="AG13" s="108">
        <v>0</v>
      </c>
      <c r="AH13" s="108">
        <v>0</v>
      </c>
      <c r="AI13" s="108">
        <v>0</v>
      </c>
    </row>
    <row r="14" spans="1:35" customFormat="1" x14ac:dyDescent="0.15">
      <c r="A14" s="187" t="s">
        <v>204</v>
      </c>
      <c r="B14" s="108">
        <v>0</v>
      </c>
      <c r="C14" s="108">
        <v>0</v>
      </c>
      <c r="D14" s="108">
        <v>0</v>
      </c>
      <c r="E14" s="108">
        <v>0</v>
      </c>
      <c r="F14" s="108">
        <v>0</v>
      </c>
      <c r="G14" s="108">
        <v>0</v>
      </c>
      <c r="H14" s="108">
        <v>0</v>
      </c>
      <c r="I14" s="108">
        <v>0</v>
      </c>
      <c r="J14" s="108">
        <v>1</v>
      </c>
      <c r="K14" s="108">
        <v>1</v>
      </c>
      <c r="L14" s="108">
        <v>1</v>
      </c>
      <c r="M14" s="108">
        <v>1</v>
      </c>
      <c r="N14" s="108">
        <v>0</v>
      </c>
      <c r="O14" s="108">
        <v>1</v>
      </c>
      <c r="P14" s="108">
        <v>0</v>
      </c>
      <c r="Q14" s="108">
        <v>0</v>
      </c>
      <c r="R14" s="108">
        <v>0</v>
      </c>
      <c r="S14" s="108">
        <v>0</v>
      </c>
      <c r="T14" s="108">
        <v>0</v>
      </c>
      <c r="U14" s="108">
        <v>0</v>
      </c>
      <c r="V14" s="108">
        <v>1</v>
      </c>
      <c r="W14" s="108">
        <v>1</v>
      </c>
      <c r="X14" s="108">
        <v>1</v>
      </c>
      <c r="Y14" s="108">
        <v>1</v>
      </c>
      <c r="Z14" s="108">
        <v>0</v>
      </c>
      <c r="AA14" s="108">
        <v>0</v>
      </c>
      <c r="AB14" s="108">
        <v>0</v>
      </c>
      <c r="AC14" s="108">
        <v>0</v>
      </c>
      <c r="AD14" s="108">
        <v>0</v>
      </c>
      <c r="AE14" s="108">
        <v>0</v>
      </c>
      <c r="AF14" s="108">
        <v>0</v>
      </c>
      <c r="AG14" s="108">
        <v>0</v>
      </c>
      <c r="AH14" s="108">
        <v>0</v>
      </c>
      <c r="AI14" s="108">
        <v>0</v>
      </c>
    </row>
    <row r="15" spans="1:35" customFormat="1" x14ac:dyDescent="0.15">
      <c r="A15" s="187" t="s">
        <v>205</v>
      </c>
      <c r="B15" s="108">
        <v>0</v>
      </c>
      <c r="C15" s="108">
        <v>0</v>
      </c>
      <c r="D15" s="108">
        <v>0</v>
      </c>
      <c r="E15" s="108">
        <v>0</v>
      </c>
      <c r="F15" s="108">
        <v>0</v>
      </c>
      <c r="G15" s="108">
        <v>0</v>
      </c>
      <c r="H15" s="108">
        <v>0</v>
      </c>
      <c r="I15" s="108">
        <v>0</v>
      </c>
      <c r="J15" s="108">
        <v>1</v>
      </c>
      <c r="K15" s="108">
        <v>1</v>
      </c>
      <c r="L15" s="108">
        <v>1</v>
      </c>
      <c r="M15" s="108">
        <v>1</v>
      </c>
      <c r="N15" s="108">
        <v>0</v>
      </c>
      <c r="O15" s="108">
        <v>1</v>
      </c>
      <c r="P15" s="108">
        <v>0</v>
      </c>
      <c r="Q15" s="108">
        <v>0</v>
      </c>
      <c r="R15" s="108">
        <v>0</v>
      </c>
      <c r="S15" s="108">
        <v>0</v>
      </c>
      <c r="T15" s="108">
        <v>0</v>
      </c>
      <c r="U15" s="108">
        <v>0</v>
      </c>
      <c r="V15" s="108">
        <v>1</v>
      </c>
      <c r="W15" s="108">
        <v>1</v>
      </c>
      <c r="X15" s="108">
        <v>1</v>
      </c>
      <c r="Y15" s="108">
        <v>1</v>
      </c>
      <c r="Z15" s="108">
        <v>1</v>
      </c>
      <c r="AA15" s="108">
        <v>0</v>
      </c>
      <c r="AB15" s="108">
        <v>0</v>
      </c>
      <c r="AC15" s="108">
        <v>0</v>
      </c>
      <c r="AD15" s="108">
        <v>1</v>
      </c>
      <c r="AE15" s="108">
        <v>0</v>
      </c>
      <c r="AF15" s="108">
        <v>0</v>
      </c>
      <c r="AG15" s="108">
        <v>0</v>
      </c>
      <c r="AH15" s="108">
        <v>0</v>
      </c>
      <c r="AI15" s="108">
        <v>0</v>
      </c>
    </row>
    <row r="16" spans="1:35" customFormat="1" x14ac:dyDescent="0.15">
      <c r="A16" s="187" t="s">
        <v>206</v>
      </c>
      <c r="B16" s="108">
        <v>0</v>
      </c>
      <c r="C16" s="108">
        <v>0</v>
      </c>
      <c r="D16" s="108">
        <v>0</v>
      </c>
      <c r="E16" s="108">
        <v>0</v>
      </c>
      <c r="F16" s="108">
        <v>0</v>
      </c>
      <c r="G16" s="108">
        <v>0</v>
      </c>
      <c r="H16" s="108">
        <v>0</v>
      </c>
      <c r="I16" s="108">
        <v>0</v>
      </c>
      <c r="J16" s="108">
        <v>0</v>
      </c>
      <c r="K16" s="108">
        <v>0</v>
      </c>
      <c r="L16" s="108">
        <v>0</v>
      </c>
      <c r="M16" s="108">
        <v>0</v>
      </c>
      <c r="N16" s="108">
        <v>0</v>
      </c>
      <c r="O16" s="108">
        <v>0</v>
      </c>
      <c r="P16" s="108">
        <v>1</v>
      </c>
      <c r="Q16" s="108">
        <v>0</v>
      </c>
      <c r="R16" s="108">
        <v>0</v>
      </c>
      <c r="S16" s="108">
        <v>0</v>
      </c>
      <c r="T16" s="108">
        <v>1</v>
      </c>
      <c r="U16" s="108">
        <v>0</v>
      </c>
      <c r="V16" s="108">
        <v>1</v>
      </c>
      <c r="W16" s="108">
        <v>1</v>
      </c>
      <c r="X16" s="108">
        <v>1</v>
      </c>
      <c r="Y16" s="108">
        <v>1</v>
      </c>
      <c r="Z16" s="108">
        <v>0</v>
      </c>
      <c r="AA16" s="108">
        <v>0</v>
      </c>
      <c r="AB16" s="108">
        <v>0</v>
      </c>
      <c r="AC16" s="108">
        <v>0</v>
      </c>
      <c r="AD16" s="108">
        <v>0</v>
      </c>
      <c r="AE16" s="108">
        <v>0</v>
      </c>
      <c r="AF16" s="108">
        <v>1</v>
      </c>
      <c r="AG16" s="108">
        <v>0</v>
      </c>
      <c r="AH16" s="108">
        <v>0</v>
      </c>
      <c r="AI16" s="108">
        <v>0</v>
      </c>
    </row>
    <row r="17" spans="1:35" customFormat="1" x14ac:dyDescent="0.15">
      <c r="A17" s="187" t="s">
        <v>207</v>
      </c>
      <c r="B17" s="108">
        <v>0</v>
      </c>
      <c r="C17" s="108">
        <v>0</v>
      </c>
      <c r="D17" s="108">
        <v>0</v>
      </c>
      <c r="E17" s="108">
        <v>0</v>
      </c>
      <c r="F17" s="108">
        <v>0</v>
      </c>
      <c r="G17" s="108">
        <v>1</v>
      </c>
      <c r="H17" s="108">
        <v>0</v>
      </c>
      <c r="I17" s="108">
        <v>0</v>
      </c>
      <c r="J17" s="108">
        <v>0</v>
      </c>
      <c r="K17" s="108">
        <v>0</v>
      </c>
      <c r="L17" s="108">
        <v>0</v>
      </c>
      <c r="M17" s="108">
        <v>0</v>
      </c>
      <c r="N17" s="108">
        <v>0</v>
      </c>
      <c r="O17" s="108">
        <v>0</v>
      </c>
      <c r="P17" s="108">
        <v>0</v>
      </c>
      <c r="Q17" s="108">
        <v>1</v>
      </c>
      <c r="R17" s="108">
        <v>1</v>
      </c>
      <c r="S17" s="108">
        <v>1</v>
      </c>
      <c r="T17" s="108">
        <v>1</v>
      </c>
      <c r="U17" s="108">
        <v>1</v>
      </c>
      <c r="V17" s="108">
        <v>1</v>
      </c>
      <c r="W17" s="108">
        <v>0</v>
      </c>
      <c r="X17" s="108">
        <v>1</v>
      </c>
      <c r="Y17" s="108">
        <v>1</v>
      </c>
      <c r="Z17" s="108">
        <v>0</v>
      </c>
      <c r="AA17" s="108">
        <v>0</v>
      </c>
      <c r="AB17" s="108">
        <v>0</v>
      </c>
      <c r="AC17" s="108">
        <v>0</v>
      </c>
      <c r="AD17" s="108">
        <v>0</v>
      </c>
      <c r="AE17" s="108">
        <v>0</v>
      </c>
      <c r="AF17" s="108">
        <v>0</v>
      </c>
      <c r="AG17" s="108">
        <v>0</v>
      </c>
      <c r="AH17" s="108">
        <v>0</v>
      </c>
      <c r="AI17" s="108">
        <v>0</v>
      </c>
    </row>
    <row r="18" spans="1:35" customFormat="1" x14ac:dyDescent="0.15">
      <c r="A18" s="187" t="s">
        <v>208</v>
      </c>
      <c r="B18" s="108">
        <v>0</v>
      </c>
      <c r="C18" s="108">
        <v>0</v>
      </c>
      <c r="D18" s="108">
        <v>0</v>
      </c>
      <c r="E18" s="108">
        <v>0</v>
      </c>
      <c r="F18" s="108">
        <v>0</v>
      </c>
      <c r="G18" s="108">
        <v>1</v>
      </c>
      <c r="H18" s="108">
        <v>0</v>
      </c>
      <c r="I18" s="108">
        <v>0</v>
      </c>
      <c r="J18" s="108">
        <v>0</v>
      </c>
      <c r="K18" s="108">
        <v>0</v>
      </c>
      <c r="L18" s="108">
        <v>0</v>
      </c>
      <c r="M18" s="108">
        <v>0</v>
      </c>
      <c r="N18" s="108">
        <v>0</v>
      </c>
      <c r="O18" s="108">
        <v>0</v>
      </c>
      <c r="P18" s="108">
        <v>0</v>
      </c>
      <c r="Q18" s="108">
        <v>0</v>
      </c>
      <c r="R18" s="108">
        <v>0</v>
      </c>
      <c r="S18" s="108">
        <v>0</v>
      </c>
      <c r="T18" s="108">
        <v>1</v>
      </c>
      <c r="U18" s="108">
        <v>0</v>
      </c>
      <c r="V18" s="108">
        <v>1</v>
      </c>
      <c r="W18" s="108">
        <v>1</v>
      </c>
      <c r="X18" s="108">
        <v>1</v>
      </c>
      <c r="Y18" s="108">
        <v>1</v>
      </c>
      <c r="Z18" s="108">
        <v>1</v>
      </c>
      <c r="AA18" s="108">
        <v>1</v>
      </c>
      <c r="AB18" s="108">
        <v>1</v>
      </c>
      <c r="AC18" s="108">
        <v>1</v>
      </c>
      <c r="AD18" s="108">
        <v>1</v>
      </c>
      <c r="AE18" s="108">
        <v>1</v>
      </c>
      <c r="AF18" s="108">
        <v>1</v>
      </c>
      <c r="AG18" s="108">
        <v>0</v>
      </c>
      <c r="AH18" s="108">
        <v>0</v>
      </c>
      <c r="AI18" s="108">
        <v>0</v>
      </c>
    </row>
    <row r="19" spans="1:35" customFormat="1" x14ac:dyDescent="0.15">
      <c r="A19" s="187" t="s">
        <v>209</v>
      </c>
      <c r="B19" s="108">
        <v>0</v>
      </c>
      <c r="C19" s="108">
        <v>0</v>
      </c>
      <c r="D19" s="108">
        <v>0</v>
      </c>
      <c r="E19" s="108">
        <v>0</v>
      </c>
      <c r="F19" s="108">
        <v>0</v>
      </c>
      <c r="G19" s="108">
        <v>1</v>
      </c>
      <c r="H19" s="108">
        <v>0</v>
      </c>
      <c r="I19" s="108">
        <v>0</v>
      </c>
      <c r="J19" s="108">
        <v>0</v>
      </c>
      <c r="K19" s="108">
        <v>0</v>
      </c>
      <c r="L19" s="108">
        <v>0</v>
      </c>
      <c r="M19" s="108">
        <v>0</v>
      </c>
      <c r="N19" s="108">
        <v>0</v>
      </c>
      <c r="O19" s="108">
        <v>0</v>
      </c>
      <c r="P19" s="108">
        <v>0</v>
      </c>
      <c r="Q19" s="108">
        <v>0</v>
      </c>
      <c r="R19" s="108">
        <v>1</v>
      </c>
      <c r="S19" s="108">
        <v>0</v>
      </c>
      <c r="T19" s="108">
        <v>1</v>
      </c>
      <c r="U19" s="108">
        <v>0</v>
      </c>
      <c r="V19" s="108">
        <v>1</v>
      </c>
      <c r="W19" s="108">
        <v>1</v>
      </c>
      <c r="X19" s="108">
        <v>1</v>
      </c>
      <c r="Y19" s="108">
        <v>1</v>
      </c>
      <c r="Z19" s="108">
        <v>1</v>
      </c>
      <c r="AA19" s="108">
        <v>1</v>
      </c>
      <c r="AB19" s="108">
        <v>1</v>
      </c>
      <c r="AC19" s="108">
        <v>1</v>
      </c>
      <c r="AD19" s="108">
        <v>1</v>
      </c>
      <c r="AE19" s="108">
        <v>1</v>
      </c>
      <c r="AF19" s="108">
        <v>1</v>
      </c>
      <c r="AG19" s="108">
        <v>0</v>
      </c>
      <c r="AH19" s="108">
        <v>0</v>
      </c>
      <c r="AI19" s="108">
        <v>0</v>
      </c>
    </row>
    <row r="20" spans="1:35" customFormat="1" x14ac:dyDescent="0.15">
      <c r="A20" s="187" t="s">
        <v>210</v>
      </c>
      <c r="B20" s="108">
        <v>0</v>
      </c>
      <c r="C20" s="108">
        <v>0</v>
      </c>
      <c r="D20" s="108">
        <v>0</v>
      </c>
      <c r="E20" s="108">
        <v>0</v>
      </c>
      <c r="F20" s="108">
        <v>0</v>
      </c>
      <c r="G20" s="108">
        <v>1</v>
      </c>
      <c r="H20" s="108">
        <v>0</v>
      </c>
      <c r="I20" s="108">
        <v>0</v>
      </c>
      <c r="J20" s="108">
        <v>0</v>
      </c>
      <c r="K20" s="108">
        <v>0</v>
      </c>
      <c r="L20" s="108">
        <v>0</v>
      </c>
      <c r="M20" s="108">
        <v>0</v>
      </c>
      <c r="N20" s="108">
        <v>0</v>
      </c>
      <c r="O20" s="108">
        <v>0</v>
      </c>
      <c r="P20" s="108">
        <v>0</v>
      </c>
      <c r="Q20" s="108">
        <v>0</v>
      </c>
      <c r="R20" s="108">
        <v>0</v>
      </c>
      <c r="S20" s="108">
        <v>0</v>
      </c>
      <c r="T20" s="108">
        <v>1</v>
      </c>
      <c r="U20" s="108">
        <v>0</v>
      </c>
      <c r="V20" s="108">
        <v>1</v>
      </c>
      <c r="W20" s="108">
        <v>1</v>
      </c>
      <c r="X20" s="108">
        <v>1</v>
      </c>
      <c r="Y20" s="108">
        <v>1</v>
      </c>
      <c r="Z20" s="108">
        <v>1</v>
      </c>
      <c r="AA20" s="108">
        <v>1</v>
      </c>
      <c r="AB20" s="108">
        <v>1</v>
      </c>
      <c r="AC20" s="108">
        <v>0</v>
      </c>
      <c r="AD20" s="108">
        <v>1</v>
      </c>
      <c r="AE20" s="108">
        <v>1</v>
      </c>
      <c r="AF20" s="108">
        <v>1</v>
      </c>
      <c r="AG20" s="108">
        <v>0</v>
      </c>
      <c r="AH20" s="108">
        <v>0</v>
      </c>
      <c r="AI20" s="108">
        <v>0</v>
      </c>
    </row>
    <row r="21" spans="1:35" customFormat="1" x14ac:dyDescent="0.15">
      <c r="A21" s="187" t="s">
        <v>211</v>
      </c>
      <c r="B21" s="108">
        <v>0</v>
      </c>
      <c r="C21" s="108">
        <v>0</v>
      </c>
      <c r="D21" s="108">
        <v>0</v>
      </c>
      <c r="E21" s="108">
        <v>0</v>
      </c>
      <c r="F21" s="108">
        <v>0</v>
      </c>
      <c r="G21" s="108">
        <v>1</v>
      </c>
      <c r="H21" s="108">
        <v>0</v>
      </c>
      <c r="I21" s="108">
        <v>0</v>
      </c>
      <c r="J21" s="108">
        <v>0</v>
      </c>
      <c r="K21" s="108">
        <v>0</v>
      </c>
      <c r="L21" s="108">
        <v>0</v>
      </c>
      <c r="M21" s="108">
        <v>0</v>
      </c>
      <c r="N21" s="108">
        <v>0</v>
      </c>
      <c r="O21" s="108">
        <v>0</v>
      </c>
      <c r="P21" s="108">
        <v>0</v>
      </c>
      <c r="Q21" s="108">
        <v>0</v>
      </c>
      <c r="R21" s="108">
        <v>0</v>
      </c>
      <c r="S21" s="108">
        <v>0</v>
      </c>
      <c r="T21" s="108">
        <v>1</v>
      </c>
      <c r="U21" s="108">
        <v>0</v>
      </c>
      <c r="V21" s="108">
        <v>1</v>
      </c>
      <c r="W21" s="108">
        <v>0</v>
      </c>
      <c r="X21" s="108">
        <v>0</v>
      </c>
      <c r="Y21" s="108">
        <v>1</v>
      </c>
      <c r="Z21" s="108">
        <v>1</v>
      </c>
      <c r="AA21" s="108">
        <v>1</v>
      </c>
      <c r="AB21" s="108">
        <v>0</v>
      </c>
      <c r="AC21" s="108">
        <v>1</v>
      </c>
      <c r="AD21" s="108">
        <v>1</v>
      </c>
      <c r="AE21" s="108">
        <v>1</v>
      </c>
      <c r="AF21" s="108">
        <v>1</v>
      </c>
      <c r="AG21" s="108">
        <v>0</v>
      </c>
      <c r="AH21" s="108">
        <v>0</v>
      </c>
      <c r="AI21" s="108">
        <v>0</v>
      </c>
    </row>
    <row r="22" spans="1:35" customFormat="1" x14ac:dyDescent="0.15">
      <c r="A22" s="187" t="s">
        <v>212</v>
      </c>
      <c r="B22" s="108">
        <v>0</v>
      </c>
      <c r="C22" s="108">
        <v>0</v>
      </c>
      <c r="D22" s="108">
        <v>0</v>
      </c>
      <c r="E22" s="108">
        <v>0</v>
      </c>
      <c r="F22" s="108">
        <v>0</v>
      </c>
      <c r="G22" s="108">
        <v>0</v>
      </c>
      <c r="H22" s="108">
        <v>0</v>
      </c>
      <c r="I22" s="108">
        <v>0</v>
      </c>
      <c r="J22" s="108">
        <v>0</v>
      </c>
      <c r="K22" s="108">
        <v>0</v>
      </c>
      <c r="L22" s="108">
        <v>0</v>
      </c>
      <c r="M22" s="108">
        <v>0</v>
      </c>
      <c r="N22" s="108">
        <v>0</v>
      </c>
      <c r="O22" s="108">
        <v>0</v>
      </c>
      <c r="P22" s="108">
        <v>0</v>
      </c>
      <c r="Q22" s="108">
        <v>0</v>
      </c>
      <c r="R22" s="108">
        <v>0</v>
      </c>
      <c r="S22" s="108">
        <v>0</v>
      </c>
      <c r="T22" s="108">
        <v>0</v>
      </c>
      <c r="U22" s="108">
        <v>0</v>
      </c>
      <c r="V22" s="108">
        <v>1</v>
      </c>
      <c r="W22" s="108">
        <v>0</v>
      </c>
      <c r="X22" s="108">
        <v>0</v>
      </c>
      <c r="Y22" s="108">
        <v>1</v>
      </c>
      <c r="Z22" s="108">
        <v>1</v>
      </c>
      <c r="AA22" s="108">
        <v>1</v>
      </c>
      <c r="AB22" s="108">
        <v>0</v>
      </c>
      <c r="AC22" s="108">
        <v>1</v>
      </c>
      <c r="AD22" s="108">
        <v>0</v>
      </c>
      <c r="AE22" s="108">
        <v>1</v>
      </c>
      <c r="AF22" s="108">
        <v>1</v>
      </c>
      <c r="AG22" s="108">
        <v>0</v>
      </c>
      <c r="AH22" s="108">
        <v>0</v>
      </c>
      <c r="AI22" s="108">
        <v>0</v>
      </c>
    </row>
    <row r="23" spans="1:35" customFormat="1" x14ac:dyDescent="0.15">
      <c r="A23" s="187" t="s">
        <v>213</v>
      </c>
      <c r="B23" s="108">
        <v>0</v>
      </c>
      <c r="C23" s="108">
        <v>0</v>
      </c>
      <c r="D23" s="108">
        <v>0</v>
      </c>
      <c r="E23" s="108">
        <v>0</v>
      </c>
      <c r="F23" s="108">
        <v>0</v>
      </c>
      <c r="G23" s="108">
        <v>0</v>
      </c>
      <c r="H23" s="108">
        <v>0</v>
      </c>
      <c r="I23" s="108">
        <v>0</v>
      </c>
      <c r="J23" s="108">
        <v>0</v>
      </c>
      <c r="K23" s="108">
        <v>1</v>
      </c>
      <c r="L23" s="108">
        <v>0</v>
      </c>
      <c r="M23" s="108">
        <v>1</v>
      </c>
      <c r="N23" s="108">
        <v>0</v>
      </c>
      <c r="O23" s="108">
        <v>1</v>
      </c>
      <c r="P23" s="108">
        <v>0</v>
      </c>
      <c r="Q23" s="108">
        <v>0</v>
      </c>
      <c r="R23" s="108">
        <v>1</v>
      </c>
      <c r="S23" s="108">
        <v>0</v>
      </c>
      <c r="T23" s="108">
        <v>0</v>
      </c>
      <c r="U23" s="108">
        <v>0</v>
      </c>
      <c r="V23" s="108">
        <v>1</v>
      </c>
      <c r="W23" s="108">
        <v>1</v>
      </c>
      <c r="X23" s="108">
        <v>1</v>
      </c>
      <c r="Y23" s="108">
        <v>1</v>
      </c>
      <c r="Z23" s="108">
        <v>1</v>
      </c>
      <c r="AA23" s="108">
        <v>1</v>
      </c>
      <c r="AB23" s="108">
        <v>0</v>
      </c>
      <c r="AC23" s="108">
        <v>1</v>
      </c>
      <c r="AD23" s="108">
        <v>0</v>
      </c>
      <c r="AE23" s="108">
        <v>0</v>
      </c>
      <c r="AF23" s="108">
        <v>0</v>
      </c>
      <c r="AG23" s="108">
        <v>0</v>
      </c>
      <c r="AH23" s="108">
        <v>0</v>
      </c>
      <c r="AI23" s="108">
        <v>0</v>
      </c>
    </row>
    <row r="24" spans="1:35" customFormat="1" x14ac:dyDescent="0.15">
      <c r="A24" s="187" t="s">
        <v>214</v>
      </c>
      <c r="B24" s="108">
        <v>0</v>
      </c>
      <c r="C24" s="108">
        <v>0</v>
      </c>
      <c r="D24" s="108">
        <v>0</v>
      </c>
      <c r="E24" s="108">
        <v>0</v>
      </c>
      <c r="F24" s="108">
        <v>0</v>
      </c>
      <c r="G24" s="108">
        <v>0</v>
      </c>
      <c r="H24" s="108">
        <v>0</v>
      </c>
      <c r="I24" s="108">
        <v>0</v>
      </c>
      <c r="J24" s="108">
        <v>0</v>
      </c>
      <c r="K24" s="108">
        <v>1</v>
      </c>
      <c r="L24" s="108">
        <v>0</v>
      </c>
      <c r="M24" s="108">
        <v>1</v>
      </c>
      <c r="N24" s="108">
        <v>0</v>
      </c>
      <c r="O24" s="108">
        <v>1</v>
      </c>
      <c r="P24" s="108">
        <v>0</v>
      </c>
      <c r="Q24" s="108">
        <v>0</v>
      </c>
      <c r="R24" s="108">
        <v>1</v>
      </c>
      <c r="S24" s="108">
        <v>0</v>
      </c>
      <c r="T24" s="108">
        <v>0</v>
      </c>
      <c r="U24" s="108">
        <v>0</v>
      </c>
      <c r="V24" s="108">
        <v>1</v>
      </c>
      <c r="W24" s="108">
        <v>1</v>
      </c>
      <c r="X24" s="108">
        <v>1</v>
      </c>
      <c r="Y24" s="108">
        <v>1</v>
      </c>
      <c r="Z24" s="108">
        <v>1</v>
      </c>
      <c r="AA24" s="108">
        <v>1</v>
      </c>
      <c r="AB24" s="108">
        <v>0</v>
      </c>
      <c r="AC24" s="108">
        <v>1</v>
      </c>
      <c r="AD24" s="108">
        <v>0</v>
      </c>
      <c r="AE24" s="108">
        <v>1</v>
      </c>
      <c r="AF24" s="108">
        <v>1</v>
      </c>
      <c r="AG24" s="108">
        <v>0</v>
      </c>
      <c r="AH24" s="108">
        <v>0</v>
      </c>
      <c r="AI24" s="108">
        <v>0</v>
      </c>
    </row>
    <row r="25" spans="1:35" customFormat="1" x14ac:dyDescent="0.15">
      <c r="A25" s="187" t="s">
        <v>215</v>
      </c>
      <c r="B25" s="108">
        <v>0</v>
      </c>
      <c r="C25" s="108">
        <v>0</v>
      </c>
      <c r="D25" s="108">
        <v>0</v>
      </c>
      <c r="E25" s="108">
        <v>0</v>
      </c>
      <c r="F25" s="108">
        <v>0</v>
      </c>
      <c r="G25" s="108">
        <v>0</v>
      </c>
      <c r="H25" s="108">
        <v>0</v>
      </c>
      <c r="I25" s="108">
        <v>0</v>
      </c>
      <c r="J25" s="108">
        <v>0</v>
      </c>
      <c r="K25" s="108">
        <v>0</v>
      </c>
      <c r="L25" s="108">
        <v>0</v>
      </c>
      <c r="M25" s="108">
        <v>1</v>
      </c>
      <c r="N25" s="108">
        <v>0</v>
      </c>
      <c r="O25" s="108">
        <v>1</v>
      </c>
      <c r="P25" s="108">
        <v>0</v>
      </c>
      <c r="Q25" s="108">
        <v>0</v>
      </c>
      <c r="R25" s="108">
        <v>1</v>
      </c>
      <c r="S25" s="108">
        <v>0</v>
      </c>
      <c r="T25" s="108">
        <v>1</v>
      </c>
      <c r="U25" s="108">
        <v>0</v>
      </c>
      <c r="V25" s="108">
        <v>1</v>
      </c>
      <c r="W25" s="108">
        <v>1</v>
      </c>
      <c r="X25" s="108">
        <v>1</v>
      </c>
      <c r="Y25" s="108">
        <v>1</v>
      </c>
      <c r="Z25" s="108">
        <v>1</v>
      </c>
      <c r="AA25" s="108">
        <v>1</v>
      </c>
      <c r="AB25" s="108">
        <v>0</v>
      </c>
      <c r="AC25" s="108">
        <v>1</v>
      </c>
      <c r="AD25" s="108">
        <v>0</v>
      </c>
      <c r="AE25" s="108">
        <v>1</v>
      </c>
      <c r="AF25" s="108">
        <v>1</v>
      </c>
      <c r="AG25" s="108">
        <v>0</v>
      </c>
      <c r="AH25" s="108">
        <v>0</v>
      </c>
      <c r="AI25" s="108">
        <v>0</v>
      </c>
    </row>
    <row r="26" spans="1:35" customFormat="1" x14ac:dyDescent="0.15">
      <c r="A26" s="187" t="s">
        <v>216</v>
      </c>
      <c r="B26" s="108">
        <v>0</v>
      </c>
      <c r="C26" s="108">
        <v>0</v>
      </c>
      <c r="D26" s="108">
        <v>0</v>
      </c>
      <c r="E26" s="108">
        <v>0</v>
      </c>
      <c r="F26" s="108">
        <v>0</v>
      </c>
      <c r="G26" s="108">
        <v>0</v>
      </c>
      <c r="H26" s="108">
        <v>0</v>
      </c>
      <c r="I26" s="108">
        <v>0</v>
      </c>
      <c r="J26" s="108">
        <v>0</v>
      </c>
      <c r="K26" s="108">
        <v>0</v>
      </c>
      <c r="L26" s="108">
        <v>0</v>
      </c>
      <c r="M26" s="108">
        <v>0</v>
      </c>
      <c r="N26" s="108">
        <v>0</v>
      </c>
      <c r="O26" s="108">
        <v>0</v>
      </c>
      <c r="P26" s="108">
        <v>0</v>
      </c>
      <c r="Q26" s="108">
        <v>0</v>
      </c>
      <c r="R26" s="108">
        <v>0</v>
      </c>
      <c r="S26" s="108">
        <v>0</v>
      </c>
      <c r="T26" s="108">
        <v>0</v>
      </c>
      <c r="U26" s="108">
        <v>0</v>
      </c>
      <c r="V26" s="108">
        <v>0</v>
      </c>
      <c r="W26" s="108">
        <v>0</v>
      </c>
      <c r="X26" s="108">
        <v>0</v>
      </c>
      <c r="Y26" s="108">
        <v>0</v>
      </c>
      <c r="Z26" s="108">
        <v>0</v>
      </c>
      <c r="AA26" s="108">
        <v>1</v>
      </c>
      <c r="AB26" s="108">
        <v>0</v>
      </c>
      <c r="AC26" s="108">
        <v>0</v>
      </c>
      <c r="AD26" s="108">
        <v>0</v>
      </c>
      <c r="AE26" s="108">
        <v>0</v>
      </c>
      <c r="AF26" s="108">
        <v>0</v>
      </c>
      <c r="AG26" s="108">
        <v>0</v>
      </c>
      <c r="AH26" s="108">
        <v>0</v>
      </c>
      <c r="AI26" s="108">
        <v>0</v>
      </c>
    </row>
    <row r="27" spans="1:35" customFormat="1" x14ac:dyDescent="0.15">
      <c r="A27" s="187" t="s">
        <v>217</v>
      </c>
      <c r="B27" s="108">
        <v>0</v>
      </c>
      <c r="C27" s="108">
        <v>0</v>
      </c>
      <c r="D27" s="108">
        <v>0</v>
      </c>
      <c r="E27" s="108">
        <v>0</v>
      </c>
      <c r="F27" s="108">
        <v>0</v>
      </c>
      <c r="G27" s="108">
        <v>0</v>
      </c>
      <c r="H27" s="108">
        <v>0</v>
      </c>
      <c r="I27" s="108">
        <v>0</v>
      </c>
      <c r="J27" s="108">
        <v>0</v>
      </c>
      <c r="K27" s="108">
        <v>0</v>
      </c>
      <c r="L27" s="108">
        <v>0</v>
      </c>
      <c r="M27" s="108">
        <v>0</v>
      </c>
      <c r="N27" s="108">
        <v>0</v>
      </c>
      <c r="O27" s="108">
        <v>0</v>
      </c>
      <c r="P27" s="108">
        <v>0</v>
      </c>
      <c r="Q27" s="108">
        <v>0</v>
      </c>
      <c r="R27" s="108">
        <v>0</v>
      </c>
      <c r="S27" s="108">
        <v>0</v>
      </c>
      <c r="T27" s="108">
        <v>0</v>
      </c>
      <c r="U27" s="108">
        <v>0</v>
      </c>
      <c r="V27" s="108">
        <v>0</v>
      </c>
      <c r="W27" s="108">
        <v>0</v>
      </c>
      <c r="X27" s="108">
        <v>0</v>
      </c>
      <c r="Y27" s="108">
        <v>0</v>
      </c>
      <c r="Z27" s="108">
        <v>1</v>
      </c>
      <c r="AA27" s="108">
        <v>1</v>
      </c>
      <c r="AB27" s="108">
        <v>0</v>
      </c>
      <c r="AC27" s="108">
        <v>0</v>
      </c>
      <c r="AD27" s="108">
        <v>0</v>
      </c>
      <c r="AE27" s="108">
        <v>0</v>
      </c>
      <c r="AF27" s="108">
        <v>0</v>
      </c>
      <c r="AG27" s="108">
        <v>0</v>
      </c>
      <c r="AH27" s="108">
        <v>0</v>
      </c>
      <c r="AI27" s="108">
        <v>0</v>
      </c>
    </row>
    <row r="28" spans="1:35" customFormat="1" x14ac:dyDescent="0.15">
      <c r="A28" s="187" t="s">
        <v>218</v>
      </c>
      <c r="B28" s="108">
        <v>0</v>
      </c>
      <c r="C28" s="108">
        <v>0</v>
      </c>
      <c r="D28" s="108">
        <v>0</v>
      </c>
      <c r="E28" s="108">
        <v>0</v>
      </c>
      <c r="F28" s="108">
        <v>0</v>
      </c>
      <c r="G28" s="108">
        <v>0</v>
      </c>
      <c r="H28" s="108">
        <v>0</v>
      </c>
      <c r="I28" s="108">
        <v>0</v>
      </c>
      <c r="J28" s="108">
        <v>0</v>
      </c>
      <c r="K28" s="108">
        <v>0</v>
      </c>
      <c r="L28" s="108">
        <v>0</v>
      </c>
      <c r="M28" s="108">
        <v>0</v>
      </c>
      <c r="N28" s="108">
        <v>0</v>
      </c>
      <c r="O28" s="108">
        <v>0</v>
      </c>
      <c r="P28" s="108">
        <v>0</v>
      </c>
      <c r="Q28" s="108">
        <v>0</v>
      </c>
      <c r="R28" s="108">
        <v>0</v>
      </c>
      <c r="S28" s="108">
        <v>0</v>
      </c>
      <c r="T28" s="108">
        <v>0</v>
      </c>
      <c r="U28" s="108">
        <v>0</v>
      </c>
      <c r="V28" s="108">
        <v>0</v>
      </c>
      <c r="W28" s="108">
        <v>0</v>
      </c>
      <c r="X28" s="108">
        <v>0</v>
      </c>
      <c r="Y28" s="108">
        <v>0</v>
      </c>
      <c r="Z28" s="108">
        <v>1</v>
      </c>
      <c r="AA28" s="108">
        <v>1</v>
      </c>
      <c r="AB28" s="108">
        <v>0</v>
      </c>
      <c r="AC28" s="108">
        <v>0</v>
      </c>
      <c r="AD28" s="108">
        <v>0</v>
      </c>
      <c r="AE28" s="108">
        <v>0</v>
      </c>
      <c r="AF28" s="108">
        <v>0</v>
      </c>
      <c r="AG28" s="108">
        <v>0</v>
      </c>
      <c r="AH28" s="108">
        <v>0</v>
      </c>
      <c r="AI28" s="108">
        <v>0</v>
      </c>
    </row>
    <row r="29" spans="1:35" customFormat="1" x14ac:dyDescent="0.15">
      <c r="A29" s="187" t="s">
        <v>219</v>
      </c>
      <c r="B29" s="108">
        <v>0</v>
      </c>
      <c r="C29" s="108">
        <v>0</v>
      </c>
      <c r="D29" s="108">
        <v>0</v>
      </c>
      <c r="E29" s="108">
        <v>0</v>
      </c>
      <c r="F29" s="108">
        <v>0</v>
      </c>
      <c r="G29" s="108">
        <v>0</v>
      </c>
      <c r="H29" s="108">
        <v>0</v>
      </c>
      <c r="I29" s="108">
        <v>0</v>
      </c>
      <c r="J29" s="108">
        <v>0</v>
      </c>
      <c r="K29" s="108">
        <v>0</v>
      </c>
      <c r="L29" s="108">
        <v>0</v>
      </c>
      <c r="M29" s="108">
        <v>0</v>
      </c>
      <c r="N29" s="108">
        <v>0</v>
      </c>
      <c r="O29" s="108">
        <v>0</v>
      </c>
      <c r="P29" s="108">
        <v>0</v>
      </c>
      <c r="Q29" s="108">
        <v>0</v>
      </c>
      <c r="R29" s="108">
        <v>0</v>
      </c>
      <c r="S29" s="108">
        <v>0</v>
      </c>
      <c r="T29" s="108">
        <v>0</v>
      </c>
      <c r="U29" s="108">
        <v>0</v>
      </c>
      <c r="V29" s="108">
        <v>0</v>
      </c>
      <c r="W29" s="108">
        <v>0</v>
      </c>
      <c r="X29" s="108">
        <v>0</v>
      </c>
      <c r="Y29" s="108">
        <v>0</v>
      </c>
      <c r="Z29" s="108">
        <v>1</v>
      </c>
      <c r="AA29" s="108">
        <v>1</v>
      </c>
      <c r="AB29" s="108">
        <v>0</v>
      </c>
      <c r="AC29" s="108">
        <v>0</v>
      </c>
      <c r="AD29" s="108">
        <v>0</v>
      </c>
      <c r="AE29" s="108">
        <v>0</v>
      </c>
      <c r="AF29" s="108">
        <v>0</v>
      </c>
      <c r="AG29" s="108">
        <v>0</v>
      </c>
      <c r="AH29" s="108">
        <v>0</v>
      </c>
      <c r="AI29" s="108">
        <v>0</v>
      </c>
    </row>
    <row r="30" spans="1:35" customFormat="1" x14ac:dyDescent="0.15">
      <c r="A30" s="187" t="s">
        <v>220</v>
      </c>
      <c r="B30" s="108">
        <v>0</v>
      </c>
      <c r="C30" s="108">
        <v>0</v>
      </c>
      <c r="D30" s="108">
        <v>0</v>
      </c>
      <c r="E30" s="108">
        <v>0</v>
      </c>
      <c r="F30" s="108">
        <v>0</v>
      </c>
      <c r="G30" s="108">
        <v>0</v>
      </c>
      <c r="H30" s="108">
        <v>0</v>
      </c>
      <c r="I30" s="108">
        <v>0</v>
      </c>
      <c r="J30" s="108">
        <v>0</v>
      </c>
      <c r="K30" s="108">
        <v>0</v>
      </c>
      <c r="L30" s="108">
        <v>0</v>
      </c>
      <c r="M30" s="108">
        <v>0</v>
      </c>
      <c r="N30" s="108">
        <v>0</v>
      </c>
      <c r="O30" s="108">
        <v>0</v>
      </c>
      <c r="P30" s="108">
        <v>0</v>
      </c>
      <c r="Q30" s="108">
        <v>0</v>
      </c>
      <c r="R30" s="108">
        <v>0</v>
      </c>
      <c r="S30" s="108">
        <v>0</v>
      </c>
      <c r="T30" s="108">
        <v>0</v>
      </c>
      <c r="U30" s="108">
        <v>0</v>
      </c>
      <c r="V30" s="108">
        <v>0</v>
      </c>
      <c r="W30" s="108">
        <v>0</v>
      </c>
      <c r="X30" s="108">
        <v>0</v>
      </c>
      <c r="Y30" s="108">
        <v>0</v>
      </c>
      <c r="Z30" s="108">
        <v>1</v>
      </c>
      <c r="AA30" s="108">
        <v>1</v>
      </c>
      <c r="AB30" s="108">
        <v>0</v>
      </c>
      <c r="AC30" s="108">
        <v>0</v>
      </c>
      <c r="AD30" s="108">
        <v>0</v>
      </c>
      <c r="AE30" s="108">
        <v>0</v>
      </c>
      <c r="AF30" s="108">
        <v>0</v>
      </c>
      <c r="AG30" s="108">
        <v>0</v>
      </c>
      <c r="AH30" s="108">
        <v>0</v>
      </c>
      <c r="AI30" s="108">
        <v>0</v>
      </c>
    </row>
    <row r="31" spans="1:35" customFormat="1" x14ac:dyDescent="0.15">
      <c r="A31" s="187" t="s">
        <v>221</v>
      </c>
      <c r="B31" s="108">
        <v>0</v>
      </c>
      <c r="C31" s="108">
        <v>0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8">
        <v>0</v>
      </c>
      <c r="L31" s="108">
        <v>0</v>
      </c>
      <c r="M31" s="108">
        <v>0</v>
      </c>
      <c r="N31" s="108">
        <v>0</v>
      </c>
      <c r="O31" s="108">
        <v>0</v>
      </c>
      <c r="P31" s="108">
        <v>0</v>
      </c>
      <c r="Q31" s="108">
        <v>0</v>
      </c>
      <c r="R31" s="108">
        <v>0</v>
      </c>
      <c r="S31" s="108">
        <v>0</v>
      </c>
      <c r="T31" s="108">
        <v>0</v>
      </c>
      <c r="U31" s="108">
        <v>0</v>
      </c>
      <c r="V31" s="108">
        <v>0</v>
      </c>
      <c r="W31" s="108">
        <v>0</v>
      </c>
      <c r="X31" s="108">
        <v>0</v>
      </c>
      <c r="Y31" s="108">
        <v>0</v>
      </c>
      <c r="Z31" s="108">
        <v>1</v>
      </c>
      <c r="AA31" s="108">
        <v>1</v>
      </c>
      <c r="AB31" s="108">
        <v>0</v>
      </c>
      <c r="AC31" s="108">
        <v>0</v>
      </c>
      <c r="AD31" s="108">
        <v>0</v>
      </c>
      <c r="AE31" s="108">
        <v>1</v>
      </c>
      <c r="AF31" s="108">
        <v>0</v>
      </c>
      <c r="AG31" s="108">
        <v>0</v>
      </c>
      <c r="AH31" s="108">
        <v>0</v>
      </c>
      <c r="AI31" s="108">
        <v>0</v>
      </c>
    </row>
    <row r="32" spans="1:35" x14ac:dyDescent="0.15">
      <c r="A32" s="187" t="s">
        <v>222</v>
      </c>
      <c r="B32" s="108">
        <v>0</v>
      </c>
      <c r="C32" s="108">
        <v>0</v>
      </c>
      <c r="D32" s="108">
        <v>0</v>
      </c>
      <c r="E32" s="108">
        <v>0</v>
      </c>
      <c r="F32" s="108">
        <v>0</v>
      </c>
      <c r="G32" s="108">
        <v>0</v>
      </c>
      <c r="H32" s="108">
        <v>0</v>
      </c>
      <c r="I32" s="108">
        <v>1</v>
      </c>
      <c r="J32" s="108">
        <v>0</v>
      </c>
      <c r="K32" s="108">
        <v>0</v>
      </c>
      <c r="L32" s="108">
        <v>0</v>
      </c>
      <c r="M32" s="108">
        <v>0</v>
      </c>
      <c r="N32" s="108">
        <v>0</v>
      </c>
      <c r="O32" s="108">
        <v>0</v>
      </c>
      <c r="P32" s="108">
        <v>0</v>
      </c>
      <c r="Q32" s="108">
        <v>0</v>
      </c>
      <c r="R32" s="108">
        <v>0</v>
      </c>
      <c r="S32" s="108">
        <v>0</v>
      </c>
      <c r="T32" s="108">
        <v>0</v>
      </c>
      <c r="U32" s="108">
        <v>0</v>
      </c>
      <c r="V32" s="108">
        <v>0</v>
      </c>
      <c r="W32" s="108">
        <v>0</v>
      </c>
      <c r="X32" s="108">
        <v>0</v>
      </c>
      <c r="Y32" s="108">
        <v>0</v>
      </c>
      <c r="Z32" s="108">
        <v>1</v>
      </c>
      <c r="AA32" s="108">
        <v>1</v>
      </c>
      <c r="AB32" s="108">
        <v>0</v>
      </c>
      <c r="AC32" s="108">
        <v>0</v>
      </c>
      <c r="AD32" s="108">
        <v>0</v>
      </c>
      <c r="AE32" s="108">
        <v>0</v>
      </c>
      <c r="AF32" s="108">
        <v>0</v>
      </c>
      <c r="AG32" s="108">
        <v>0</v>
      </c>
      <c r="AH32" s="108">
        <v>0</v>
      </c>
      <c r="AI32" s="108">
        <v>0</v>
      </c>
    </row>
    <row r="33" spans="1:35" x14ac:dyDescent="0.15">
      <c r="A33" s="187" t="s">
        <v>223</v>
      </c>
      <c r="B33" s="108">
        <v>0</v>
      </c>
      <c r="C33" s="108">
        <v>0</v>
      </c>
      <c r="D33" s="108">
        <v>0</v>
      </c>
      <c r="E33" s="108">
        <v>0</v>
      </c>
      <c r="F33" s="108">
        <v>0</v>
      </c>
      <c r="G33" s="108">
        <v>0</v>
      </c>
      <c r="H33" s="108">
        <v>0</v>
      </c>
      <c r="I33" s="108">
        <v>0</v>
      </c>
      <c r="J33" s="108">
        <v>1</v>
      </c>
      <c r="K33" s="108">
        <v>1</v>
      </c>
      <c r="L33" s="108">
        <v>1</v>
      </c>
      <c r="M33" s="108">
        <v>1</v>
      </c>
      <c r="N33" s="108">
        <v>0</v>
      </c>
      <c r="O33" s="108">
        <v>1</v>
      </c>
      <c r="P33" s="108">
        <v>1</v>
      </c>
      <c r="Q33" s="108">
        <v>0</v>
      </c>
      <c r="R33" s="108">
        <v>0</v>
      </c>
      <c r="S33" s="108">
        <v>0</v>
      </c>
      <c r="T33" s="108">
        <v>0</v>
      </c>
      <c r="U33" s="108">
        <v>0</v>
      </c>
      <c r="V33" s="108">
        <v>0</v>
      </c>
      <c r="W33" s="108">
        <v>1</v>
      </c>
      <c r="X33" s="108">
        <v>1</v>
      </c>
      <c r="Y33" s="108">
        <v>0</v>
      </c>
      <c r="Z33" s="108">
        <v>1</v>
      </c>
      <c r="AA33" s="108">
        <v>0</v>
      </c>
      <c r="AB33" s="108">
        <v>0</v>
      </c>
      <c r="AC33" s="108">
        <v>0</v>
      </c>
      <c r="AD33" s="108">
        <v>0</v>
      </c>
      <c r="AE33" s="108">
        <v>0</v>
      </c>
      <c r="AF33" s="108">
        <v>1</v>
      </c>
      <c r="AG33" s="108">
        <v>0</v>
      </c>
      <c r="AH33" s="108">
        <v>0</v>
      </c>
      <c r="AI33" s="108">
        <v>0</v>
      </c>
    </row>
    <row r="34" spans="1:35" x14ac:dyDescent="0.15">
      <c r="A34" s="187" t="s">
        <v>224</v>
      </c>
      <c r="B34" s="108">
        <v>0</v>
      </c>
      <c r="C34" s="108">
        <v>1</v>
      </c>
      <c r="D34" s="108">
        <v>1</v>
      </c>
      <c r="E34" s="108">
        <v>1</v>
      </c>
      <c r="F34" s="108">
        <v>1</v>
      </c>
      <c r="G34" s="108">
        <v>1</v>
      </c>
      <c r="H34" s="108">
        <v>1</v>
      </c>
      <c r="I34" s="108">
        <v>0</v>
      </c>
      <c r="J34" s="108">
        <v>1</v>
      </c>
      <c r="K34" s="108">
        <v>1</v>
      </c>
      <c r="L34" s="108">
        <v>1</v>
      </c>
      <c r="M34" s="108">
        <v>1</v>
      </c>
      <c r="N34" s="108">
        <v>1</v>
      </c>
      <c r="O34" s="108">
        <v>1</v>
      </c>
      <c r="P34" s="108">
        <v>1</v>
      </c>
      <c r="Q34" s="108">
        <v>1</v>
      </c>
      <c r="R34" s="108">
        <v>0</v>
      </c>
      <c r="S34" s="108">
        <v>0</v>
      </c>
      <c r="T34" s="108">
        <v>0</v>
      </c>
      <c r="U34" s="108">
        <v>0</v>
      </c>
      <c r="V34" s="108">
        <v>0</v>
      </c>
      <c r="W34" s="108">
        <v>1</v>
      </c>
      <c r="X34" s="108">
        <v>1</v>
      </c>
      <c r="Y34" s="108">
        <v>0</v>
      </c>
      <c r="Z34" s="108">
        <v>0</v>
      </c>
      <c r="AA34" s="108">
        <v>1</v>
      </c>
      <c r="AB34" s="108">
        <v>0</v>
      </c>
      <c r="AC34" s="108">
        <v>0</v>
      </c>
      <c r="AD34" s="108">
        <v>1</v>
      </c>
      <c r="AE34" s="108">
        <v>0</v>
      </c>
      <c r="AF34" s="108">
        <v>0</v>
      </c>
      <c r="AG34" s="108">
        <v>0</v>
      </c>
      <c r="AH34" s="108">
        <v>0</v>
      </c>
      <c r="AI34" s="108">
        <v>0</v>
      </c>
    </row>
    <row r="35" spans="1:35" x14ac:dyDescent="0.15">
      <c r="A35" s="187" t="s">
        <v>225</v>
      </c>
      <c r="B35" s="108">
        <v>0</v>
      </c>
      <c r="C35" s="108">
        <v>0</v>
      </c>
      <c r="D35" s="108">
        <v>0</v>
      </c>
      <c r="E35" s="108">
        <v>0</v>
      </c>
      <c r="F35" s="108">
        <v>0</v>
      </c>
      <c r="G35" s="108">
        <v>0</v>
      </c>
      <c r="H35" s="108">
        <v>0</v>
      </c>
      <c r="I35" s="108">
        <v>0</v>
      </c>
      <c r="J35" s="108">
        <v>0</v>
      </c>
      <c r="K35" s="108">
        <v>0</v>
      </c>
      <c r="L35" s="108">
        <v>0</v>
      </c>
      <c r="M35" s="108">
        <v>0</v>
      </c>
      <c r="N35" s="108">
        <v>0</v>
      </c>
      <c r="O35" s="108">
        <v>0</v>
      </c>
      <c r="P35" s="108">
        <v>0</v>
      </c>
      <c r="Q35" s="108">
        <v>0</v>
      </c>
      <c r="R35" s="108">
        <v>0</v>
      </c>
      <c r="S35" s="108">
        <v>0</v>
      </c>
      <c r="T35" s="108">
        <v>0</v>
      </c>
      <c r="U35" s="108">
        <v>0</v>
      </c>
      <c r="V35" s="108">
        <v>0</v>
      </c>
      <c r="W35" s="108">
        <v>0</v>
      </c>
      <c r="X35" s="108">
        <v>0</v>
      </c>
      <c r="Y35" s="108">
        <v>0</v>
      </c>
      <c r="Z35" s="108">
        <v>0</v>
      </c>
      <c r="AA35" s="108">
        <v>0</v>
      </c>
      <c r="AB35" s="108">
        <v>0</v>
      </c>
      <c r="AC35" s="108">
        <v>0</v>
      </c>
      <c r="AD35" s="108">
        <v>0</v>
      </c>
      <c r="AE35" s="108">
        <v>0</v>
      </c>
      <c r="AF35" s="108">
        <v>0</v>
      </c>
      <c r="AG35" s="108">
        <v>0</v>
      </c>
      <c r="AH35" s="108">
        <v>0</v>
      </c>
      <c r="AI35" s="108">
        <v>0</v>
      </c>
    </row>
    <row r="36" spans="1:35" x14ac:dyDescent="0.15">
      <c r="A36" s="187" t="s">
        <v>227</v>
      </c>
      <c r="B36" s="108">
        <v>0</v>
      </c>
      <c r="C36" s="108">
        <v>0</v>
      </c>
      <c r="D36" s="108">
        <v>0</v>
      </c>
      <c r="E36" s="108">
        <v>0</v>
      </c>
      <c r="F36" s="108">
        <v>0</v>
      </c>
      <c r="G36" s="108">
        <v>0</v>
      </c>
      <c r="H36" s="108">
        <v>0</v>
      </c>
      <c r="I36" s="108">
        <v>0</v>
      </c>
      <c r="J36" s="108">
        <v>0</v>
      </c>
      <c r="K36" s="108">
        <v>0</v>
      </c>
      <c r="L36" s="108">
        <v>0</v>
      </c>
      <c r="M36" s="108">
        <v>0</v>
      </c>
      <c r="N36" s="108">
        <v>0</v>
      </c>
      <c r="O36" s="108">
        <v>0</v>
      </c>
      <c r="P36" s="108">
        <v>0</v>
      </c>
      <c r="Q36" s="108">
        <v>0</v>
      </c>
      <c r="R36" s="108">
        <v>0</v>
      </c>
      <c r="S36" s="108">
        <v>0</v>
      </c>
      <c r="T36" s="108">
        <v>0</v>
      </c>
      <c r="U36" s="108">
        <v>0</v>
      </c>
      <c r="V36" s="108">
        <v>0</v>
      </c>
      <c r="W36" s="108">
        <v>0</v>
      </c>
      <c r="X36" s="108">
        <v>0</v>
      </c>
      <c r="Y36" s="108">
        <v>0</v>
      </c>
      <c r="Z36" s="108">
        <v>0</v>
      </c>
      <c r="AA36" s="108">
        <v>0</v>
      </c>
      <c r="AB36" s="108">
        <v>0</v>
      </c>
      <c r="AC36" s="108">
        <v>0</v>
      </c>
      <c r="AD36" s="108">
        <v>0</v>
      </c>
      <c r="AE36" s="108">
        <v>0</v>
      </c>
      <c r="AF36" s="108">
        <v>0</v>
      </c>
      <c r="AG36" s="108">
        <v>0</v>
      </c>
      <c r="AH36" s="108">
        <v>0</v>
      </c>
      <c r="AI36" s="108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6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0" t="s">
        <v>226</v>
      </c>
    </row>
    <row r="2" spans="1:3" x14ac:dyDescent="0.15">
      <c r="A2">
        <v>1</v>
      </c>
      <c r="B2" s="189" t="s">
        <v>192</v>
      </c>
      <c r="C2">
        <v>0</v>
      </c>
    </row>
    <row r="3" spans="1:3" x14ac:dyDescent="0.15">
      <c r="A3">
        <v>2</v>
      </c>
      <c r="B3" s="189" t="s">
        <v>193</v>
      </c>
      <c r="C3">
        <v>0</v>
      </c>
    </row>
    <row r="4" spans="1:3" x14ac:dyDescent="0.15">
      <c r="A4">
        <v>3</v>
      </c>
      <c r="B4" s="189" t="s">
        <v>194</v>
      </c>
      <c r="C4">
        <v>0</v>
      </c>
    </row>
    <row r="5" spans="1:3" x14ac:dyDescent="0.15">
      <c r="A5">
        <v>4</v>
      </c>
      <c r="B5" s="189" t="s">
        <v>195</v>
      </c>
      <c r="C5">
        <v>0</v>
      </c>
    </row>
    <row r="6" spans="1:3" x14ac:dyDescent="0.15">
      <c r="A6">
        <v>5</v>
      </c>
      <c r="B6" s="189" t="s">
        <v>196</v>
      </c>
      <c r="C6">
        <v>0</v>
      </c>
    </row>
    <row r="7" spans="1:3" x14ac:dyDescent="0.15">
      <c r="A7">
        <v>6</v>
      </c>
      <c r="B7" s="189" t="s">
        <v>197</v>
      </c>
      <c r="C7">
        <v>0.8</v>
      </c>
    </row>
    <row r="8" spans="1:3" x14ac:dyDescent="0.15">
      <c r="A8">
        <v>7</v>
      </c>
      <c r="B8" s="189" t="s">
        <v>198</v>
      </c>
      <c r="C8">
        <v>0.8</v>
      </c>
    </row>
    <row r="9" spans="1:3" x14ac:dyDescent="0.15">
      <c r="A9">
        <v>8</v>
      </c>
      <c r="B9" s="189" t="s">
        <v>199</v>
      </c>
      <c r="C9">
        <v>0.8</v>
      </c>
    </row>
    <row r="10" spans="1:3" x14ac:dyDescent="0.15">
      <c r="A10">
        <v>9</v>
      </c>
      <c r="B10" s="189" t="s">
        <v>200</v>
      </c>
      <c r="C10">
        <v>0.8</v>
      </c>
    </row>
    <row r="11" spans="1:3" x14ac:dyDescent="0.15">
      <c r="A11">
        <v>10</v>
      </c>
      <c r="B11" s="189" t="s">
        <v>201</v>
      </c>
      <c r="C11">
        <v>0.8</v>
      </c>
    </row>
    <row r="12" spans="1:3" x14ac:dyDescent="0.15">
      <c r="A12">
        <v>11</v>
      </c>
      <c r="B12" s="189" t="s">
        <v>202</v>
      </c>
      <c r="C12">
        <v>0.8</v>
      </c>
    </row>
    <row r="13" spans="1:3" x14ac:dyDescent="0.15">
      <c r="A13">
        <v>12</v>
      </c>
      <c r="B13" s="189" t="s">
        <v>203</v>
      </c>
      <c r="C13">
        <v>0.8</v>
      </c>
    </row>
    <row r="14" spans="1:3" x14ac:dyDescent="0.15">
      <c r="A14">
        <v>13</v>
      </c>
      <c r="B14" s="189" t="s">
        <v>204</v>
      </c>
      <c r="C14">
        <v>0.8</v>
      </c>
    </row>
    <row r="15" spans="1:3" x14ac:dyDescent="0.15">
      <c r="A15">
        <v>14</v>
      </c>
      <c r="B15" s="189" t="s">
        <v>205</v>
      </c>
      <c r="C15">
        <v>0.8</v>
      </c>
    </row>
    <row r="16" spans="1:3" x14ac:dyDescent="0.15">
      <c r="A16">
        <v>15</v>
      </c>
      <c r="B16" s="189" t="s">
        <v>206</v>
      </c>
      <c r="C16">
        <v>0.8</v>
      </c>
    </row>
    <row r="17" spans="1:3" x14ac:dyDescent="0.15">
      <c r="A17">
        <v>16</v>
      </c>
      <c r="B17" s="189" t="s">
        <v>207</v>
      </c>
      <c r="C17">
        <v>0.8</v>
      </c>
    </row>
    <row r="18" spans="1:3" x14ac:dyDescent="0.15">
      <c r="A18">
        <v>17</v>
      </c>
      <c r="B18" s="189" t="s">
        <v>208</v>
      </c>
      <c r="C18">
        <v>0.8</v>
      </c>
    </row>
    <row r="19" spans="1:3" x14ac:dyDescent="0.15">
      <c r="A19">
        <v>18</v>
      </c>
      <c r="B19" s="189" t="s">
        <v>209</v>
      </c>
      <c r="C19">
        <v>0.8</v>
      </c>
    </row>
    <row r="20" spans="1:3" x14ac:dyDescent="0.15">
      <c r="A20">
        <v>19</v>
      </c>
      <c r="B20" s="189" t="s">
        <v>210</v>
      </c>
      <c r="C20">
        <v>0.8</v>
      </c>
    </row>
    <row r="21" spans="1:3" x14ac:dyDescent="0.15">
      <c r="A21">
        <v>20</v>
      </c>
      <c r="B21" s="189" t="s">
        <v>211</v>
      </c>
      <c r="C21">
        <v>0.8</v>
      </c>
    </row>
    <row r="22" spans="1:3" x14ac:dyDescent="0.15">
      <c r="A22">
        <v>21</v>
      </c>
      <c r="B22" s="189" t="s">
        <v>212</v>
      </c>
      <c r="C22">
        <v>0.8</v>
      </c>
    </row>
    <row r="23" spans="1:3" x14ac:dyDescent="0.15">
      <c r="A23">
        <v>22</v>
      </c>
      <c r="B23" s="189" t="s">
        <v>213</v>
      </c>
      <c r="C23">
        <v>0.8</v>
      </c>
    </row>
    <row r="24" spans="1:3" x14ac:dyDescent="0.15">
      <c r="A24">
        <v>23</v>
      </c>
      <c r="B24" s="189" t="s">
        <v>214</v>
      </c>
      <c r="C24">
        <v>0.8</v>
      </c>
    </row>
    <row r="25" spans="1:3" x14ac:dyDescent="0.15">
      <c r="A25">
        <v>24</v>
      </c>
      <c r="B25" s="189" t="s">
        <v>215</v>
      </c>
      <c r="C25">
        <v>0.8</v>
      </c>
    </row>
    <row r="26" spans="1:3" x14ac:dyDescent="0.15">
      <c r="A26">
        <v>25</v>
      </c>
      <c r="B26" s="189" t="s">
        <v>216</v>
      </c>
      <c r="C26">
        <v>0.8</v>
      </c>
    </row>
    <row r="27" spans="1:3" x14ac:dyDescent="0.15">
      <c r="A27">
        <v>26</v>
      </c>
      <c r="B27" s="189" t="s">
        <v>217</v>
      </c>
      <c r="C27">
        <v>0.8</v>
      </c>
    </row>
    <row r="28" spans="1:3" x14ac:dyDescent="0.15">
      <c r="A28">
        <v>27</v>
      </c>
      <c r="B28" s="189" t="s">
        <v>218</v>
      </c>
      <c r="C28">
        <v>0.8</v>
      </c>
    </row>
    <row r="29" spans="1:3" x14ac:dyDescent="0.15">
      <c r="A29">
        <v>28</v>
      </c>
      <c r="B29" s="189" t="s">
        <v>219</v>
      </c>
      <c r="C29">
        <v>0.8</v>
      </c>
    </row>
    <row r="30" spans="1:3" x14ac:dyDescent="0.15">
      <c r="A30">
        <v>29</v>
      </c>
      <c r="B30" s="189" t="s">
        <v>220</v>
      </c>
      <c r="C30">
        <v>0.8</v>
      </c>
    </row>
    <row r="31" spans="1:3" x14ac:dyDescent="0.15">
      <c r="A31">
        <v>30</v>
      </c>
      <c r="B31" s="189" t="s">
        <v>221</v>
      </c>
      <c r="C31">
        <v>0.8</v>
      </c>
    </row>
    <row r="32" spans="1:3" x14ac:dyDescent="0.15">
      <c r="A32">
        <v>31</v>
      </c>
      <c r="B32" s="189" t="s">
        <v>222</v>
      </c>
      <c r="C32">
        <v>0.8</v>
      </c>
    </row>
    <row r="33" spans="1:3" x14ac:dyDescent="0.15">
      <c r="A33">
        <v>32</v>
      </c>
      <c r="B33" s="189" t="s">
        <v>223</v>
      </c>
      <c r="C33">
        <v>0</v>
      </c>
    </row>
    <row r="34" spans="1:3" x14ac:dyDescent="0.15">
      <c r="A34">
        <v>33</v>
      </c>
      <c r="B34" s="189" t="s">
        <v>224</v>
      </c>
      <c r="C34">
        <v>0</v>
      </c>
    </row>
    <row r="35" spans="1:3" x14ac:dyDescent="0.15">
      <c r="A35">
        <v>34</v>
      </c>
      <c r="B35" s="189" t="s">
        <v>225</v>
      </c>
      <c r="C3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3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36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2" t="s">
        <v>226</v>
      </c>
    </row>
    <row r="2" spans="1:3" x14ac:dyDescent="0.15">
      <c r="A2">
        <v>1</v>
      </c>
      <c r="B2" s="191" t="s">
        <v>192</v>
      </c>
      <c r="C2">
        <v>0</v>
      </c>
    </row>
    <row r="3" spans="1:3" x14ac:dyDescent="0.15">
      <c r="A3">
        <v>2</v>
      </c>
      <c r="B3" s="191" t="s">
        <v>193</v>
      </c>
      <c r="C3">
        <v>0</v>
      </c>
    </row>
    <row r="4" spans="1:3" x14ac:dyDescent="0.15">
      <c r="A4">
        <v>3</v>
      </c>
      <c r="B4" s="191" t="s">
        <v>194</v>
      </c>
      <c r="C4">
        <v>0</v>
      </c>
    </row>
    <row r="5" spans="1:3" x14ac:dyDescent="0.15">
      <c r="A5">
        <v>4</v>
      </c>
      <c r="B5" s="191" t="s">
        <v>195</v>
      </c>
      <c r="C5">
        <v>0</v>
      </c>
    </row>
    <row r="6" spans="1:3" x14ac:dyDescent="0.15">
      <c r="A6">
        <v>5</v>
      </c>
      <c r="B6" s="191" t="s">
        <v>196</v>
      </c>
      <c r="C6">
        <v>0</v>
      </c>
    </row>
    <row r="7" spans="1:3" x14ac:dyDescent="0.15">
      <c r="A7">
        <v>6</v>
      </c>
      <c r="B7" s="191" t="s">
        <v>197</v>
      </c>
      <c r="C7">
        <v>0.8</v>
      </c>
    </row>
    <row r="8" spans="1:3" x14ac:dyDescent="0.15">
      <c r="A8">
        <v>7</v>
      </c>
      <c r="B8" s="191" t="s">
        <v>198</v>
      </c>
      <c r="C8">
        <v>0.8</v>
      </c>
    </row>
    <row r="9" spans="1:3" x14ac:dyDescent="0.15">
      <c r="A9">
        <v>8</v>
      </c>
      <c r="B9" s="191" t="s">
        <v>199</v>
      </c>
      <c r="C9">
        <v>0.8</v>
      </c>
    </row>
    <row r="10" spans="1:3" x14ac:dyDescent="0.15">
      <c r="A10">
        <v>9</v>
      </c>
      <c r="B10" s="191" t="s">
        <v>200</v>
      </c>
      <c r="C10">
        <v>0.8</v>
      </c>
    </row>
    <row r="11" spans="1:3" x14ac:dyDescent="0.15">
      <c r="A11">
        <v>10</v>
      </c>
      <c r="B11" s="191" t="s">
        <v>201</v>
      </c>
      <c r="C11">
        <v>0.8</v>
      </c>
    </row>
    <row r="12" spans="1:3" x14ac:dyDescent="0.15">
      <c r="A12">
        <v>11</v>
      </c>
      <c r="B12" s="191" t="s">
        <v>202</v>
      </c>
      <c r="C12">
        <v>0.8</v>
      </c>
    </row>
    <row r="13" spans="1:3" x14ac:dyDescent="0.15">
      <c r="A13">
        <v>12</v>
      </c>
      <c r="B13" s="191" t="s">
        <v>203</v>
      </c>
      <c r="C13">
        <v>0.8</v>
      </c>
    </row>
    <row r="14" spans="1:3" x14ac:dyDescent="0.15">
      <c r="A14">
        <v>13</v>
      </c>
      <c r="B14" s="191" t="s">
        <v>204</v>
      </c>
      <c r="C14">
        <v>0.8</v>
      </c>
    </row>
    <row r="15" spans="1:3" x14ac:dyDescent="0.15">
      <c r="A15">
        <v>14</v>
      </c>
      <c r="B15" s="191" t="s">
        <v>205</v>
      </c>
      <c r="C15">
        <v>0.8</v>
      </c>
    </row>
    <row r="16" spans="1:3" x14ac:dyDescent="0.15">
      <c r="A16">
        <v>15</v>
      </c>
      <c r="B16" s="191" t="s">
        <v>206</v>
      </c>
      <c r="C16">
        <v>0.8</v>
      </c>
    </row>
    <row r="17" spans="1:3" x14ac:dyDescent="0.15">
      <c r="A17">
        <v>16</v>
      </c>
      <c r="B17" s="191" t="s">
        <v>207</v>
      </c>
      <c r="C17">
        <v>0.8</v>
      </c>
    </row>
    <row r="18" spans="1:3" x14ac:dyDescent="0.15">
      <c r="A18">
        <v>17</v>
      </c>
      <c r="B18" s="191" t="s">
        <v>208</v>
      </c>
      <c r="C18">
        <v>0.8</v>
      </c>
    </row>
    <row r="19" spans="1:3" x14ac:dyDescent="0.15">
      <c r="A19">
        <v>18</v>
      </c>
      <c r="B19" s="191" t="s">
        <v>209</v>
      </c>
      <c r="C19">
        <v>0.8</v>
      </c>
    </row>
    <row r="20" spans="1:3" x14ac:dyDescent="0.15">
      <c r="A20">
        <v>19</v>
      </c>
      <c r="B20" s="191" t="s">
        <v>210</v>
      </c>
      <c r="C20">
        <v>0.8</v>
      </c>
    </row>
    <row r="21" spans="1:3" x14ac:dyDescent="0.15">
      <c r="A21">
        <v>20</v>
      </c>
      <c r="B21" s="191" t="s">
        <v>211</v>
      </c>
      <c r="C21">
        <v>0.8</v>
      </c>
    </row>
    <row r="22" spans="1:3" x14ac:dyDescent="0.15">
      <c r="A22">
        <v>21</v>
      </c>
      <c r="B22" s="191" t="s">
        <v>212</v>
      </c>
      <c r="C22">
        <v>0.8</v>
      </c>
    </row>
    <row r="23" spans="1:3" x14ac:dyDescent="0.15">
      <c r="A23">
        <v>22</v>
      </c>
      <c r="B23" s="191" t="s">
        <v>213</v>
      </c>
      <c r="C23">
        <v>0.8</v>
      </c>
    </row>
    <row r="24" spans="1:3" x14ac:dyDescent="0.15">
      <c r="A24">
        <v>23</v>
      </c>
      <c r="B24" s="191" t="s">
        <v>214</v>
      </c>
      <c r="C24">
        <v>0.8</v>
      </c>
    </row>
    <row r="25" spans="1:3" x14ac:dyDescent="0.15">
      <c r="A25">
        <v>24</v>
      </c>
      <c r="B25" s="191" t="s">
        <v>215</v>
      </c>
      <c r="C25">
        <v>0.8</v>
      </c>
    </row>
    <row r="26" spans="1:3" x14ac:dyDescent="0.15">
      <c r="A26">
        <v>25</v>
      </c>
      <c r="B26" s="191" t="s">
        <v>216</v>
      </c>
      <c r="C26">
        <v>0.8</v>
      </c>
    </row>
    <row r="27" spans="1:3" x14ac:dyDescent="0.15">
      <c r="A27">
        <v>26</v>
      </c>
      <c r="B27" s="191" t="s">
        <v>217</v>
      </c>
      <c r="C27">
        <v>0.8</v>
      </c>
    </row>
    <row r="28" spans="1:3" x14ac:dyDescent="0.15">
      <c r="A28">
        <v>27</v>
      </c>
      <c r="B28" s="191" t="s">
        <v>218</v>
      </c>
      <c r="C28">
        <v>0.8</v>
      </c>
    </row>
    <row r="29" spans="1:3" x14ac:dyDescent="0.15">
      <c r="A29">
        <v>28</v>
      </c>
      <c r="B29" s="191" t="s">
        <v>219</v>
      </c>
      <c r="C29">
        <v>0.8</v>
      </c>
    </row>
    <row r="30" spans="1:3" x14ac:dyDescent="0.15">
      <c r="A30">
        <v>29</v>
      </c>
      <c r="B30" s="191" t="s">
        <v>220</v>
      </c>
      <c r="C30">
        <v>0.8</v>
      </c>
    </row>
    <row r="31" spans="1:3" x14ac:dyDescent="0.15">
      <c r="A31">
        <v>30</v>
      </c>
      <c r="B31" s="191" t="s">
        <v>221</v>
      </c>
      <c r="C31">
        <v>0.8</v>
      </c>
    </row>
    <row r="32" spans="1:3" x14ac:dyDescent="0.15">
      <c r="A32">
        <v>31</v>
      </c>
      <c r="B32" s="191" t="s">
        <v>222</v>
      </c>
      <c r="C32">
        <v>0.8</v>
      </c>
    </row>
    <row r="33" spans="1:3" x14ac:dyDescent="0.15">
      <c r="A33">
        <v>32</v>
      </c>
      <c r="B33" s="191" t="s">
        <v>223</v>
      </c>
      <c r="C33">
        <v>0</v>
      </c>
    </row>
    <row r="34" spans="1:3" x14ac:dyDescent="0.15">
      <c r="A34">
        <v>33</v>
      </c>
      <c r="B34" s="191" t="s">
        <v>224</v>
      </c>
      <c r="C34">
        <v>0</v>
      </c>
    </row>
    <row r="35" spans="1:3" x14ac:dyDescent="0.15">
      <c r="A35">
        <v>34</v>
      </c>
      <c r="B35" s="191" t="s">
        <v>225</v>
      </c>
      <c r="C3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82"/>
    <col min="2" max="2" width="41.83203125" style="82" bestFit="1" customWidth="1"/>
    <col min="3" max="3" width="9.33203125" style="82" bestFit="1" customWidth="1"/>
    <col min="4" max="4" width="13" style="82" bestFit="1" customWidth="1"/>
    <col min="5" max="6" width="9.33203125" style="82" bestFit="1" customWidth="1"/>
    <col min="7" max="7" width="9.33203125" style="98" bestFit="1" customWidth="1"/>
    <col min="8" max="8" width="9.33203125" style="82" bestFit="1" customWidth="1"/>
    <col min="9" max="9" width="11" style="82" customWidth="1"/>
    <col min="10" max="10" width="8.83203125" style="82"/>
    <col min="15" max="16384" width="8.83203125" style="8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4">
        <v>1</v>
      </c>
      <c r="B2" s="144" t="s">
        <v>192</v>
      </c>
      <c r="C2" s="8">
        <v>1</v>
      </c>
      <c r="D2" s="9">
        <v>26.528053283691406</v>
      </c>
      <c r="E2" s="9">
        <v>182.85931396484375</v>
      </c>
      <c r="F2" s="10"/>
      <c r="G2" s="9">
        <v>0.52158099412918091</v>
      </c>
      <c r="H2" s="10"/>
      <c r="I2">
        <v>0</v>
      </c>
      <c r="J2"/>
    </row>
    <row r="3" spans="1:10" ht="15" customHeight="1" x14ac:dyDescent="0.15">
      <c r="A3" s="145">
        <v>2</v>
      </c>
      <c r="B3" s="145" t="s">
        <v>193</v>
      </c>
      <c r="C3" s="8">
        <v>2</v>
      </c>
      <c r="D3" s="9">
        <v>7.5315999984741211</v>
      </c>
      <c r="E3" s="9">
        <v>91.250007629394531</v>
      </c>
      <c r="F3" s="9">
        <v>380.20822143554688</v>
      </c>
      <c r="G3" s="9">
        <v>0.89999991655349731</v>
      </c>
      <c r="H3" s="9">
        <v>0.24000008404254913</v>
      </c>
      <c r="I3">
        <v>0</v>
      </c>
      <c r="J3"/>
    </row>
    <row r="4" spans="1:10" ht="15" customHeight="1" x14ac:dyDescent="0.15">
      <c r="A4" s="146">
        <v>3</v>
      </c>
      <c r="B4" s="146" t="s">
        <v>194</v>
      </c>
      <c r="C4" s="8">
        <v>2.3939700126647949</v>
      </c>
      <c r="D4" s="9">
        <v>5.0830535888671875</v>
      </c>
      <c r="E4" s="9">
        <v>71.999984741210938</v>
      </c>
      <c r="F4" s="9">
        <v>242.42422485351562</v>
      </c>
      <c r="G4" s="9">
        <v>0.90000003576278687</v>
      </c>
      <c r="H4" s="9">
        <v>0.29699996113777161</v>
      </c>
      <c r="I4">
        <v>0</v>
      </c>
      <c r="J4"/>
    </row>
    <row r="5" spans="1:10" ht="15" customHeight="1" x14ac:dyDescent="0.15">
      <c r="A5" s="147">
        <v>4</v>
      </c>
      <c r="B5" s="147" t="s">
        <v>195</v>
      </c>
      <c r="C5" s="8">
        <v>2.2284722328186035</v>
      </c>
      <c r="D5" s="9">
        <v>11.825181007385254</v>
      </c>
      <c r="E5" s="9">
        <v>45.432113647460938</v>
      </c>
      <c r="F5" s="9">
        <v>127.75</v>
      </c>
      <c r="G5" s="9">
        <v>0.90000003576278687</v>
      </c>
      <c r="H5" s="9">
        <v>0.35563299059867859</v>
      </c>
      <c r="I5">
        <v>0</v>
      </c>
      <c r="J5"/>
    </row>
    <row r="6" spans="1:10" ht="15" customHeight="1" x14ac:dyDescent="0.15">
      <c r="A6" s="148">
        <v>5</v>
      </c>
      <c r="B6" s="148" t="s">
        <v>196</v>
      </c>
      <c r="C6" s="8">
        <v>2.6592171192169189</v>
      </c>
      <c r="D6" s="9">
        <v>5.6527361869812012</v>
      </c>
      <c r="E6" s="9">
        <v>61.986370086669922</v>
      </c>
      <c r="F6" s="9">
        <v>109.5</v>
      </c>
      <c r="G6" s="9">
        <v>0.90000009536743164</v>
      </c>
      <c r="H6" s="9">
        <v>0.5660855770111084</v>
      </c>
      <c r="I6">
        <v>0</v>
      </c>
      <c r="J6"/>
    </row>
    <row r="7" spans="1:10" ht="15" customHeight="1" x14ac:dyDescent="0.15">
      <c r="A7" s="149">
        <v>6</v>
      </c>
      <c r="B7" s="149" t="s">
        <v>197</v>
      </c>
      <c r="C7" s="8">
        <v>3.3528754711151123</v>
      </c>
      <c r="D7" s="9">
        <v>1.1958411931991577</v>
      </c>
      <c r="E7" s="9">
        <v>40</v>
      </c>
      <c r="F7" s="9">
        <v>146</v>
      </c>
      <c r="G7" s="9">
        <v>0.89962226152420044</v>
      </c>
      <c r="H7" s="9">
        <v>0.27397260069847107</v>
      </c>
      <c r="I7">
        <v>6.3585900988982758E-7</v>
      </c>
      <c r="J7"/>
    </row>
    <row r="8" spans="1:10" ht="15" customHeight="1" x14ac:dyDescent="0.15">
      <c r="A8" s="150">
        <v>7</v>
      </c>
      <c r="B8" s="150" t="s">
        <v>198</v>
      </c>
      <c r="C8" s="8">
        <v>2.8101387023925781</v>
      </c>
      <c r="D8" s="9">
        <v>4.2327947616577148</v>
      </c>
      <c r="E8" s="9">
        <v>14.25</v>
      </c>
      <c r="F8" s="9">
        <v>139.28639221191406</v>
      </c>
      <c r="G8" s="9">
        <v>0.77589136362075806</v>
      </c>
      <c r="H8" s="9">
        <v>0.10230719298124313</v>
      </c>
      <c r="I8">
        <v>9.6171936020255089E-3</v>
      </c>
      <c r="J8"/>
    </row>
    <row r="9" spans="1:10" ht="15" customHeight="1" x14ac:dyDescent="0.15">
      <c r="A9" s="151">
        <v>8</v>
      </c>
      <c r="B9" s="151" t="s">
        <v>199</v>
      </c>
      <c r="C9" s="8">
        <v>3.3831555843353271</v>
      </c>
      <c r="D9" s="9">
        <v>0.22835779190063477</v>
      </c>
      <c r="E9" s="9">
        <v>0.95037627220153809</v>
      </c>
      <c r="F9" s="9">
        <v>1.8250000476837158</v>
      </c>
      <c r="G9" s="9">
        <v>0.82759910821914673</v>
      </c>
      <c r="H9" s="9">
        <v>0.52075409889221191</v>
      </c>
      <c r="I9">
        <v>1.3143899857404051E-10</v>
      </c>
      <c r="J9"/>
    </row>
    <row r="10" spans="1:10" ht="15" customHeight="1" x14ac:dyDescent="0.15">
      <c r="A10" s="152">
        <v>9</v>
      </c>
      <c r="B10" s="152" t="s">
        <v>200</v>
      </c>
      <c r="C10" s="8">
        <v>2.3877754211425781</v>
      </c>
      <c r="D10" s="9">
        <v>35.436237335205078</v>
      </c>
      <c r="E10" s="9">
        <v>2.5</v>
      </c>
      <c r="F10" s="9">
        <v>17.5</v>
      </c>
      <c r="G10" s="9">
        <v>0.89663434028625488</v>
      </c>
      <c r="H10" s="9">
        <v>0.1428571492433548</v>
      </c>
      <c r="I10">
        <v>3.5436201142147183E-4</v>
      </c>
      <c r="J10"/>
    </row>
    <row r="11" spans="1:10" ht="15" customHeight="1" x14ac:dyDescent="0.15">
      <c r="A11" s="153">
        <v>10</v>
      </c>
      <c r="B11" s="153" t="s">
        <v>201</v>
      </c>
      <c r="C11" s="8">
        <v>2.5946292877197266</v>
      </c>
      <c r="D11" s="9">
        <v>6.3922243118286133</v>
      </c>
      <c r="E11" s="9">
        <v>3</v>
      </c>
      <c r="F11" s="9">
        <v>21</v>
      </c>
      <c r="G11" s="9">
        <v>0.89653921127319336</v>
      </c>
      <c r="H11" s="9">
        <v>0.1428571492433548</v>
      </c>
      <c r="I11">
        <v>6.1408398323692381E-5</v>
      </c>
      <c r="J11"/>
    </row>
    <row r="12" spans="1:10" ht="15" customHeight="1" x14ac:dyDescent="0.15">
      <c r="A12" s="154">
        <v>11</v>
      </c>
      <c r="B12" s="154" t="s">
        <v>202</v>
      </c>
      <c r="C12" s="8">
        <v>2.2468910217285156</v>
      </c>
      <c r="D12" s="9">
        <v>17.805395126342773</v>
      </c>
      <c r="E12" s="9">
        <v>2</v>
      </c>
      <c r="F12" s="9">
        <v>14</v>
      </c>
      <c r="G12" s="9">
        <v>0.89880812168121338</v>
      </c>
      <c r="H12" s="9">
        <v>0.1428571492433548</v>
      </c>
      <c r="I12">
        <v>4.318899882491678E-4</v>
      </c>
      <c r="J12"/>
    </row>
    <row r="13" spans="1:10" ht="15" customHeight="1" x14ac:dyDescent="0.15">
      <c r="A13" s="155">
        <v>12</v>
      </c>
      <c r="B13" s="155" t="s">
        <v>203</v>
      </c>
      <c r="C13" s="8">
        <v>2.4445574283599854</v>
      </c>
      <c r="D13" s="9">
        <v>18.932615280151367</v>
      </c>
      <c r="E13" s="9">
        <v>2.0399999618530273</v>
      </c>
      <c r="F13" s="9">
        <v>17.639999389648438</v>
      </c>
      <c r="G13" s="9">
        <v>0.89526480436325073</v>
      </c>
      <c r="H13" s="9">
        <v>0.11564625799655914</v>
      </c>
      <c r="I13">
        <v>1.6687569618225098</v>
      </c>
      <c r="J13"/>
    </row>
    <row r="14" spans="1:10" ht="15" customHeight="1" x14ac:dyDescent="0.15">
      <c r="A14" s="156">
        <v>13</v>
      </c>
      <c r="B14" s="156" t="s">
        <v>204</v>
      </c>
      <c r="C14" s="8">
        <v>2.1999993324279785</v>
      </c>
      <c r="D14" s="9">
        <v>3.7024714946746826</v>
      </c>
      <c r="E14" s="9">
        <v>5</v>
      </c>
      <c r="F14" s="9">
        <v>19</v>
      </c>
      <c r="G14" s="9">
        <v>0.73129594326019287</v>
      </c>
      <c r="H14" s="9">
        <v>0.26315790414810181</v>
      </c>
      <c r="I14">
        <v>0.67231452465057373</v>
      </c>
      <c r="J14"/>
    </row>
    <row r="15" spans="1:10" ht="15" customHeight="1" x14ac:dyDescent="0.15">
      <c r="A15" s="157">
        <v>14</v>
      </c>
      <c r="B15" s="157" t="s">
        <v>205</v>
      </c>
      <c r="C15" s="8">
        <v>2.9957289695739746</v>
      </c>
      <c r="D15" s="9">
        <v>3.3728907108306885</v>
      </c>
      <c r="E15" s="9">
        <v>2</v>
      </c>
      <c r="F15" s="9">
        <v>16.941455841064453</v>
      </c>
      <c r="G15" s="9">
        <v>0.89917510747909546</v>
      </c>
      <c r="H15" s="9">
        <v>0.1180536076426506</v>
      </c>
      <c r="I15">
        <v>5.2421804517507553E-2</v>
      </c>
      <c r="J15"/>
    </row>
    <row r="16" spans="1:10" ht="15" customHeight="1" x14ac:dyDescent="0.15">
      <c r="A16" s="158">
        <v>15</v>
      </c>
      <c r="B16" s="158" t="s">
        <v>206</v>
      </c>
      <c r="C16" s="8">
        <v>2.6861276626586914</v>
      </c>
      <c r="D16" s="9">
        <v>0.26999998092651367</v>
      </c>
      <c r="E16" s="9">
        <v>2</v>
      </c>
      <c r="F16" s="9">
        <v>5</v>
      </c>
      <c r="G16" s="9">
        <v>0.87770146131515503</v>
      </c>
      <c r="H16" s="9">
        <v>0.40000000596046448</v>
      </c>
      <c r="I16">
        <v>4.0377005934715271E-2</v>
      </c>
      <c r="J16"/>
    </row>
    <row r="17" spans="1:10" ht="15" customHeight="1" x14ac:dyDescent="0.15">
      <c r="A17" s="159">
        <v>16</v>
      </c>
      <c r="B17" s="159" t="s">
        <v>207</v>
      </c>
      <c r="C17" s="8">
        <v>3.2837841510772705</v>
      </c>
      <c r="D17" s="9">
        <v>0.4222380518913269</v>
      </c>
      <c r="E17" s="9">
        <v>21</v>
      </c>
      <c r="F17" s="9">
        <v>45</v>
      </c>
      <c r="G17" s="9">
        <v>0.592396080493927</v>
      </c>
      <c r="H17" s="9">
        <v>0.46666666865348816</v>
      </c>
      <c r="I17">
        <v>0.44048559665679932</v>
      </c>
      <c r="J17"/>
    </row>
    <row r="18" spans="1:10" ht="15" customHeight="1" x14ac:dyDescent="0.15">
      <c r="A18" s="160">
        <v>17</v>
      </c>
      <c r="B18" s="160" t="s">
        <v>208</v>
      </c>
      <c r="C18" s="8">
        <v>3.7145223617553711</v>
      </c>
      <c r="D18" s="9">
        <v>14.851144790649414</v>
      </c>
      <c r="E18" s="9">
        <v>0.36310842633247375</v>
      </c>
      <c r="F18" s="9">
        <v>2</v>
      </c>
      <c r="G18" s="9">
        <v>0.78810131549835205</v>
      </c>
      <c r="H18" s="9">
        <v>0.18155421316623688</v>
      </c>
      <c r="I18">
        <v>0.19523991644382477</v>
      </c>
      <c r="J18"/>
    </row>
    <row r="19" spans="1:10" ht="15" customHeight="1" x14ac:dyDescent="0.15">
      <c r="A19" s="161">
        <v>18</v>
      </c>
      <c r="B19" s="161" t="s">
        <v>209</v>
      </c>
      <c r="C19" s="8">
        <v>3.5126159191131592</v>
      </c>
      <c r="D19" s="9">
        <v>1.9457679986953735</v>
      </c>
      <c r="E19" s="9">
        <v>0.95037627220153809</v>
      </c>
      <c r="F19" s="9">
        <v>2</v>
      </c>
      <c r="G19" s="9">
        <v>0.90223479270935059</v>
      </c>
      <c r="H19" s="9">
        <v>0.47518813610076904</v>
      </c>
      <c r="I19">
        <v>3.5154964774847031E-2</v>
      </c>
      <c r="J19"/>
    </row>
    <row r="20" spans="1:10" ht="15" customHeight="1" x14ac:dyDescent="0.15">
      <c r="A20" s="162">
        <v>19</v>
      </c>
      <c r="B20" s="162" t="s">
        <v>210</v>
      </c>
      <c r="C20" s="8">
        <v>3.9171168804168701</v>
      </c>
      <c r="D20" s="9">
        <v>3.0697605609893799</v>
      </c>
      <c r="E20" s="9">
        <v>0.95037627220153809</v>
      </c>
      <c r="F20" s="9">
        <v>2.75</v>
      </c>
      <c r="G20" s="9">
        <v>0.7492293119430542</v>
      </c>
      <c r="H20" s="9">
        <v>0.34559136629104614</v>
      </c>
      <c r="I20">
        <v>0.248363196849823</v>
      </c>
      <c r="J20"/>
    </row>
    <row r="21" spans="1:10" ht="15" customHeight="1" x14ac:dyDescent="0.15">
      <c r="A21" s="163">
        <v>20</v>
      </c>
      <c r="B21" s="163" t="s">
        <v>211</v>
      </c>
      <c r="C21" s="8">
        <v>3.6135571002960205</v>
      </c>
      <c r="D21" s="9">
        <v>0.65910005569458008</v>
      </c>
      <c r="E21" s="9">
        <v>0.45897939801216125</v>
      </c>
      <c r="F21" s="9">
        <v>2</v>
      </c>
      <c r="G21" s="9">
        <v>0.92535293102264404</v>
      </c>
      <c r="H21" s="9">
        <v>0.22948969900608063</v>
      </c>
      <c r="I21">
        <v>0.10423819720745087</v>
      </c>
      <c r="J21"/>
    </row>
    <row r="22" spans="1:10" ht="15" customHeight="1" x14ac:dyDescent="0.15">
      <c r="A22" s="164">
        <v>21</v>
      </c>
      <c r="B22" s="164" t="s">
        <v>212</v>
      </c>
      <c r="C22" s="8">
        <v>4.6317930221557617</v>
      </c>
      <c r="D22" s="9">
        <v>0.34955307841300964</v>
      </c>
      <c r="E22" s="9">
        <v>0.58499997854232788</v>
      </c>
      <c r="F22" s="9">
        <v>1.4279999732971191</v>
      </c>
      <c r="G22" s="9">
        <v>0.90746176242828369</v>
      </c>
      <c r="H22" s="9">
        <v>0.4096638560295105</v>
      </c>
      <c r="I22">
        <v>0.10267288982868195</v>
      </c>
      <c r="J22"/>
    </row>
    <row r="23" spans="1:10" ht="15" customHeight="1" x14ac:dyDescent="0.15">
      <c r="A23" s="165">
        <v>22</v>
      </c>
      <c r="B23" s="165" t="s">
        <v>213</v>
      </c>
      <c r="C23" s="8">
        <v>3.8288397789001465</v>
      </c>
      <c r="D23" s="9">
        <v>2.3374361991882324</v>
      </c>
      <c r="E23" s="9">
        <v>0.44999998807907104</v>
      </c>
      <c r="F23" s="9">
        <v>0.89999997615814209</v>
      </c>
      <c r="G23" s="9">
        <v>0.79019701480865479</v>
      </c>
      <c r="H23" s="9">
        <v>0.5</v>
      </c>
      <c r="I23">
        <v>3.9973538368940353E-2</v>
      </c>
      <c r="J23"/>
    </row>
    <row r="24" spans="1:10" ht="15" customHeight="1" x14ac:dyDescent="0.15">
      <c r="A24" s="166">
        <v>23</v>
      </c>
      <c r="B24" s="166" t="s">
        <v>214</v>
      </c>
      <c r="C24" s="8">
        <v>3.565758228302002</v>
      </c>
      <c r="D24" s="9">
        <v>3.6347622871398926</v>
      </c>
      <c r="E24" s="9">
        <v>0.44999998807907104</v>
      </c>
      <c r="F24" s="9">
        <v>0.80000001192092896</v>
      </c>
      <c r="G24" s="9">
        <v>0.88411450386047363</v>
      </c>
      <c r="H24" s="9">
        <v>0.5625</v>
      </c>
      <c r="I24">
        <v>0.30127421021461487</v>
      </c>
      <c r="J24"/>
    </row>
    <row r="25" spans="1:10" ht="15" customHeight="1" x14ac:dyDescent="0.15">
      <c r="A25" s="167">
        <v>24</v>
      </c>
      <c r="B25" s="167" t="s">
        <v>215</v>
      </c>
      <c r="C25" s="8">
        <v>4.3301758766174316</v>
      </c>
      <c r="D25" s="9">
        <v>2.3342175483703613</v>
      </c>
      <c r="E25" s="9">
        <v>0.46799999475479126</v>
      </c>
      <c r="F25" s="9">
        <v>1.0349999666213989</v>
      </c>
      <c r="G25" s="9">
        <v>0.91032332181930542</v>
      </c>
      <c r="H25" s="9">
        <v>0.45217391848564148</v>
      </c>
      <c r="I25">
        <v>9.950391948223114E-2</v>
      </c>
      <c r="J25"/>
    </row>
    <row r="26" spans="1:10" ht="15" customHeight="1" x14ac:dyDescent="0.15">
      <c r="A26" s="168">
        <v>25</v>
      </c>
      <c r="B26" s="168" t="s">
        <v>216</v>
      </c>
      <c r="C26" s="8">
        <v>4.5782551765441895</v>
      </c>
      <c r="D26" s="9">
        <v>2.1472606807947159E-2</v>
      </c>
      <c r="E26" s="9">
        <v>0.10199999809265137</v>
      </c>
      <c r="F26" s="9">
        <v>0.8760000467300415</v>
      </c>
      <c r="G26" s="9">
        <v>0.84158629179000854</v>
      </c>
      <c r="H26" s="9">
        <v>0.11643834412097931</v>
      </c>
      <c r="I26">
        <v>1.6000000759959221E-3</v>
      </c>
      <c r="J26"/>
    </row>
    <row r="27" spans="1:10" ht="15" customHeight="1" x14ac:dyDescent="0.15">
      <c r="A27" s="169">
        <v>26</v>
      </c>
      <c r="B27" s="169" t="s">
        <v>217</v>
      </c>
      <c r="C27" s="8">
        <v>4.7387971878051758</v>
      </c>
      <c r="D27" s="9">
        <v>3.8751669228076935E-2</v>
      </c>
      <c r="E27" s="9">
        <v>0.10523974895477295</v>
      </c>
      <c r="F27" s="9">
        <v>0.40798807144165039</v>
      </c>
      <c r="G27" s="9">
        <v>0.85514384508132935</v>
      </c>
      <c r="H27" s="9">
        <v>0.25794810056686401</v>
      </c>
      <c r="I27">
        <v>3.1000000890344381E-3</v>
      </c>
      <c r="J27"/>
    </row>
    <row r="28" spans="1:10" ht="15" customHeight="1" x14ac:dyDescent="0.15">
      <c r="A28" s="170">
        <v>27</v>
      </c>
      <c r="B28" s="170" t="s">
        <v>218</v>
      </c>
      <c r="C28" s="8">
        <v>4.5681586265563965</v>
      </c>
      <c r="D28" s="9">
        <v>5.4784165695309639E-3</v>
      </c>
      <c r="E28" s="9">
        <v>0.58379107713699341</v>
      </c>
      <c r="F28" s="9">
        <v>7.289093017578125</v>
      </c>
      <c r="G28" s="9">
        <v>0.8324008584022522</v>
      </c>
      <c r="H28" s="9">
        <v>8.0091044306755066E-2</v>
      </c>
      <c r="I28">
        <v>2.2787488996982574E-3</v>
      </c>
      <c r="J28"/>
    </row>
    <row r="29" spans="1:10" ht="15" customHeight="1" x14ac:dyDescent="0.15">
      <c r="A29" s="171">
        <v>28</v>
      </c>
      <c r="B29" s="171" t="s">
        <v>219</v>
      </c>
      <c r="C29" s="8">
        <v>4.6470508575439453</v>
      </c>
      <c r="D29" s="9">
        <v>1.7808856442570686E-2</v>
      </c>
      <c r="E29" s="9">
        <v>0.1057431772351265</v>
      </c>
      <c r="F29" s="9">
        <v>8.7777776718139648</v>
      </c>
      <c r="G29" s="9">
        <v>0.58118212223052979</v>
      </c>
      <c r="H29" s="9">
        <v>1.2046691030263901E-2</v>
      </c>
      <c r="I29">
        <v>3.1678500100884577E-11</v>
      </c>
      <c r="J29"/>
    </row>
    <row r="30" spans="1:10" ht="15" customHeight="1" x14ac:dyDescent="0.15">
      <c r="A30" s="172">
        <v>29</v>
      </c>
      <c r="B30" s="172" t="s">
        <v>220</v>
      </c>
      <c r="C30" s="8">
        <v>3.7415378093719482</v>
      </c>
      <c r="D30" s="9">
        <v>0.14004381000995636</v>
      </c>
      <c r="E30" s="9">
        <v>4.0519565343856812E-2</v>
      </c>
      <c r="F30" s="9">
        <v>4.4899997711181641</v>
      </c>
      <c r="G30" s="9">
        <v>6.7605488002300262E-2</v>
      </c>
      <c r="H30" s="9">
        <v>9.0244021266698837E-3</v>
      </c>
      <c r="I30">
        <v>1.7070799884777443E-8</v>
      </c>
      <c r="J30"/>
    </row>
    <row r="31" spans="1:10" ht="15" customHeight="1" x14ac:dyDescent="0.15">
      <c r="A31" s="173">
        <v>30</v>
      </c>
      <c r="B31" s="173" t="s">
        <v>221</v>
      </c>
      <c r="C31" s="8">
        <v>4.7055788040161133</v>
      </c>
      <c r="D31" s="9">
        <v>7.5230352580547333E-2</v>
      </c>
      <c r="E31" s="9">
        <v>4.0799997746944427E-2</v>
      </c>
      <c r="F31" s="9">
        <v>15.640800476074219</v>
      </c>
      <c r="G31" s="9">
        <v>0.79320031404495239</v>
      </c>
      <c r="H31" s="9">
        <v>2.6085618883371353E-3</v>
      </c>
      <c r="I31">
        <v>1.3060700077005549E-8</v>
      </c>
      <c r="J31"/>
    </row>
    <row r="32" spans="1:10" ht="15" customHeight="1" x14ac:dyDescent="0.15">
      <c r="A32" s="202">
        <v>31</v>
      </c>
      <c r="B32" s="202" t="s">
        <v>222</v>
      </c>
      <c r="C32" s="8">
        <v>4.1651835441589355</v>
      </c>
      <c r="D32" s="9">
        <v>1.0703640058636665E-2</v>
      </c>
      <c r="E32" s="9">
        <v>0.27500000596046448</v>
      </c>
      <c r="F32" s="9">
        <v>9.9520492553710938</v>
      </c>
      <c r="G32" s="9">
        <v>0.74582481384277344</v>
      </c>
      <c r="H32" s="9">
        <v>2.7632500976324081E-2</v>
      </c>
      <c r="I32">
        <v>6.3335202867165208E-5</v>
      </c>
      <c r="J32"/>
    </row>
    <row r="33" spans="1:10" ht="15" customHeight="1" x14ac:dyDescent="0.15">
      <c r="A33" s="203">
        <v>32</v>
      </c>
      <c r="B33" s="203" t="s">
        <v>223</v>
      </c>
      <c r="C33" s="8">
        <v>1</v>
      </c>
      <c r="D33" s="9">
        <v>0.97425395250320435</v>
      </c>
      <c r="E33" s="10"/>
      <c r="F33" s="10"/>
      <c r="G33" s="9">
        <v>0.25064638257026672</v>
      </c>
      <c r="H33" s="10"/>
      <c r="I33">
        <v>0</v>
      </c>
      <c r="J33"/>
    </row>
    <row r="34" spans="1:10" ht="15" customHeight="1" x14ac:dyDescent="0.15">
      <c r="A34" s="204">
        <v>33</v>
      </c>
      <c r="B34" s="204" t="s">
        <v>224</v>
      </c>
      <c r="C34" s="8">
        <v>1</v>
      </c>
      <c r="D34" s="9">
        <v>40</v>
      </c>
      <c r="E34" s="10"/>
      <c r="F34" s="10"/>
      <c r="G34" s="9">
        <v>0.83647125959396362</v>
      </c>
      <c r="H34" s="10"/>
      <c r="I34">
        <v>0</v>
      </c>
      <c r="J34"/>
    </row>
    <row r="35" spans="1:10" ht="15" customHeight="1" x14ac:dyDescent="0.15">
      <c r="A35" s="205">
        <v>34</v>
      </c>
      <c r="B35" s="205" t="s">
        <v>225</v>
      </c>
      <c r="C35" s="8">
        <v>1</v>
      </c>
      <c r="D35" s="9">
        <v>5</v>
      </c>
      <c r="E35" s="10"/>
      <c r="F35" s="10"/>
      <c r="G35" s="7">
        <v>0</v>
      </c>
      <c r="H35" s="10"/>
      <c r="I35">
        <v>0</v>
      </c>
      <c r="J35"/>
    </row>
    <row r="36" spans="1:10" ht="15" customHeight="1" x14ac:dyDescent="0.15">
      <c r="A36" s="206">
        <v>35</v>
      </c>
      <c r="B36" s="206" t="s">
        <v>226</v>
      </c>
      <c r="C36" s="8">
        <v>3.9027600288391113</v>
      </c>
      <c r="D36" s="10"/>
      <c r="E36" s="10"/>
      <c r="F36" s="10"/>
      <c r="G36" s="10"/>
      <c r="H36" s="10"/>
      <c r="I36">
        <v>4.0182843208312988</v>
      </c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2" bestFit="1" customWidth="1"/>
    <col min="2" max="4" width="9.5" style="82" bestFit="1" customWidth="1"/>
    <col min="5" max="7" width="9" style="82" bestFit="1" customWidth="1"/>
    <col min="8" max="16" width="12.6640625" style="82" bestFit="1" customWidth="1"/>
    <col min="17" max="17" width="12.33203125" style="82" bestFit="1" customWidth="1"/>
    <col min="18" max="18" width="8.83203125" style="82"/>
    <col min="19" max="21" width="9.33203125" style="82" bestFit="1" customWidth="1"/>
    <col min="22" max="23" width="8.83203125" style="82"/>
    <col min="24" max="24" width="9.33203125" style="82" bestFit="1" customWidth="1"/>
    <col min="25" max="27" width="8.83203125" style="82"/>
    <col min="28" max="58" width="9" style="82" bestFit="1" customWidth="1"/>
    <col min="59" max="59" width="12.33203125" style="82" bestFit="1" customWidth="1"/>
    <col min="60" max="60" width="9" style="82" bestFit="1" customWidth="1"/>
    <col min="61" max="61" width="11.33203125" style="82" bestFit="1" customWidth="1"/>
    <col min="62" max="77" width="9" style="82" bestFit="1" customWidth="1"/>
    <col min="78" max="78" width="12.33203125" style="82" bestFit="1" customWidth="1"/>
    <col min="79" max="79" width="9" style="82" bestFit="1" customWidth="1"/>
    <col min="80" max="80" width="12.33203125" style="82" bestFit="1" customWidth="1"/>
    <col min="81" max="107" width="9" style="82" bestFit="1" customWidth="1"/>
    <col min="108" max="108" width="11.33203125" style="82" bestFit="1" customWidth="1"/>
    <col min="109" max="124" width="9" style="82" bestFit="1" customWidth="1"/>
    <col min="125" max="125" width="10.33203125" style="82" bestFit="1" customWidth="1"/>
    <col min="126" max="129" width="9.33203125" style="82" bestFit="1" customWidth="1"/>
    <col min="130" max="130" width="9" style="82" bestFit="1" customWidth="1"/>
    <col min="131" max="134" width="9.33203125" style="82" bestFit="1" customWidth="1"/>
    <col min="135" max="165" width="9" style="82" bestFit="1" customWidth="1"/>
    <col min="166" max="166" width="12.33203125" style="82" bestFit="1" customWidth="1"/>
    <col min="167" max="170" width="9" style="82" bestFit="1" customWidth="1"/>
    <col min="171" max="176" width="8.83203125" style="82"/>
    <col min="177" max="177" width="13.83203125" style="82" bestFit="1" customWidth="1"/>
    <col min="178" max="16384" width="8.83203125" style="8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232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182.85931396484375</v>
      </c>
      <c r="C2">
        <v>87.483367919921875</v>
      </c>
      <c r="D2"/>
      <c r="E2"/>
      <c r="F2" s="278">
        <v>16.191781997680664</v>
      </c>
      <c r="G2" s="67">
        <v>9.1545591354370117</v>
      </c>
      <c r="H2" s="270">
        <v>39.756729125976562</v>
      </c>
      <c r="I2" s="245">
        <v>12.719396591186523</v>
      </c>
      <c r="J2" s="12">
        <v>0.56944030523300171</v>
      </c>
      <c r="K2" s="24">
        <v>5.0008397102355957</v>
      </c>
      <c r="L2" s="11">
        <v>3.1958415638655424E-4</v>
      </c>
      <c r="M2" s="16">
        <v>2.8639607429504395</v>
      </c>
      <c r="N2" s="12">
        <v>0.84529799222946167</v>
      </c>
      <c r="O2" s="64">
        <v>3.9838411808013916</v>
      </c>
      <c r="P2" s="17">
        <v>2.6163740158081055</v>
      </c>
      <c r="Q2" s="22">
        <v>1.5910781621932983</v>
      </c>
      <c r="R2"/>
      <c r="S2" s="11">
        <v>2.9244858305901289E-3</v>
      </c>
      <c r="T2" s="11">
        <v>4.2535644024610519E-2</v>
      </c>
      <c r="U2" s="11">
        <v>1.3204107992351055E-2</v>
      </c>
      <c r="V2" s="11">
        <v>2.3104118183255196E-2</v>
      </c>
      <c r="W2"/>
      <c r="X2" s="11">
        <v>5.4851151071488857E-4</v>
      </c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91.250007629394531</v>
      </c>
      <c r="C3">
        <v>9.1250085830688477</v>
      </c>
      <c r="D3"/>
      <c r="E3"/>
      <c r="F3"/>
      <c r="G3" s="277">
        <v>34.990367889404297</v>
      </c>
      <c r="H3"/>
      <c r="I3"/>
      <c r="J3" s="23">
        <v>0.46644207835197449</v>
      </c>
      <c r="K3"/>
      <c r="L3" s="11">
        <v>1.1256500147283077E-3</v>
      </c>
      <c r="M3" s="276">
        <v>24.284795761108398</v>
      </c>
      <c r="N3" s="143">
        <v>2.6299831867218018</v>
      </c>
      <c r="O3" s="69">
        <v>6.4791626930236816</v>
      </c>
      <c r="P3" s="269">
        <v>9.8958158493041992</v>
      </c>
      <c r="Q3" s="21">
        <v>1.8680428266525269</v>
      </c>
      <c r="R3" s="16">
        <v>1.4482312202453613</v>
      </c>
      <c r="S3" s="11">
        <v>6.1041306704282761E-2</v>
      </c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71.999984741210938</v>
      </c>
      <c r="C4">
        <v>7.1999959945678711</v>
      </c>
      <c r="D4"/>
      <c r="E4"/>
      <c r="F4"/>
      <c r="G4" s="275">
        <v>31.322345733642578</v>
      </c>
      <c r="H4" s="271">
        <v>24.529422760009766</v>
      </c>
      <c r="I4" s="140">
        <v>7.2153835296630859</v>
      </c>
      <c r="J4" s="226">
        <v>1.7278276681900024</v>
      </c>
      <c r="K4"/>
      <c r="L4" s="11">
        <v>5.0036534667015076E-3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45.432113647460938</v>
      </c>
      <c r="C5">
        <v>4.5432095527648926</v>
      </c>
      <c r="D5"/>
      <c r="E5"/>
      <c r="F5"/>
      <c r="G5"/>
      <c r="H5" s="272">
        <v>11.794608116149902</v>
      </c>
      <c r="I5" s="270">
        <v>9.8827476501464844</v>
      </c>
      <c r="J5" s="268">
        <v>5.4811749458312988</v>
      </c>
      <c r="K5" s="274">
        <v>12.470913887023926</v>
      </c>
      <c r="L5" s="11">
        <v>1.7923502251505852E-2</v>
      </c>
      <c r="M5"/>
      <c r="N5" s="12">
        <v>0.17382766306400299</v>
      </c>
      <c r="O5"/>
      <c r="P5"/>
      <c r="Q5"/>
      <c r="R5"/>
      <c r="S5"/>
      <c r="T5" s="16">
        <v>0.69731825590133667</v>
      </c>
      <c r="U5" s="22">
        <v>0.32045051455497742</v>
      </c>
      <c r="V5" s="11">
        <v>3.7965159863233566E-2</v>
      </c>
      <c r="W5"/>
      <c r="X5" s="11">
        <v>8.8372630998492241E-3</v>
      </c>
      <c r="Y5"/>
      <c r="Z5"/>
      <c r="AA5"/>
      <c r="AB5"/>
      <c r="AC5"/>
      <c r="AD5"/>
      <c r="AE5"/>
      <c r="AF5"/>
      <c r="AG5" s="11">
        <v>3.1352539081126451E-3</v>
      </c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61.986370086669922</v>
      </c>
      <c r="C6">
        <v>6.1986312866210938</v>
      </c>
      <c r="D6"/>
      <c r="E6"/>
      <c r="F6"/>
      <c r="G6"/>
      <c r="H6"/>
      <c r="I6" s="139">
        <v>13.365723609924316</v>
      </c>
      <c r="J6" s="240">
        <v>12.740317344665527</v>
      </c>
      <c r="K6" s="273">
        <v>25.096450805664062</v>
      </c>
      <c r="L6" s="11">
        <v>2.7746208012104034E-2</v>
      </c>
      <c r="M6"/>
      <c r="N6" s="18">
        <v>0.69421583414077759</v>
      </c>
      <c r="O6"/>
      <c r="P6"/>
      <c r="Q6"/>
      <c r="R6"/>
      <c r="S6"/>
      <c r="T6" s="17">
        <v>0.84453773498535156</v>
      </c>
      <c r="U6" s="13">
        <v>2.2983875274658203</v>
      </c>
      <c r="V6" s="23">
        <v>0.31077703833580017</v>
      </c>
      <c r="W6" s="14">
        <v>0.1546441912651062</v>
      </c>
      <c r="X6" s="12">
        <v>0.20413568615913391</v>
      </c>
      <c r="Y6"/>
      <c r="Z6"/>
      <c r="AA6"/>
      <c r="AB6"/>
      <c r="AC6"/>
      <c r="AD6" s="11">
        <v>9.0690737124532461E-5</v>
      </c>
      <c r="AE6"/>
      <c r="AF6"/>
      <c r="AG6" s="11">
        <v>5.0095364451408386E-2</v>
      </c>
      <c r="AH6"/>
      <c r="AI6" s="11">
        <v>6.0405628755688667E-4</v>
      </c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40</v>
      </c>
      <c r="C7">
        <v>4.0151095390319824</v>
      </c>
      <c r="D7" s="11">
        <v>5.3172527714195894E-7</v>
      </c>
      <c r="E7"/>
      <c r="F7"/>
      <c r="G7"/>
      <c r="H7"/>
      <c r="I7" s="267">
        <v>30.64727783203125</v>
      </c>
      <c r="J7" s="258">
        <v>2.9377272129058838</v>
      </c>
      <c r="K7"/>
      <c r="L7"/>
      <c r="M7"/>
      <c r="N7"/>
      <c r="O7"/>
      <c r="P7"/>
      <c r="Q7"/>
      <c r="R7"/>
      <c r="S7"/>
      <c r="T7"/>
      <c r="U7" s="224">
        <v>1.5444586277008057</v>
      </c>
      <c r="V7" s="19">
        <v>0.72472721338272095</v>
      </c>
      <c r="W7"/>
      <c r="X7"/>
      <c r="Y7" s="11">
        <v>4.5073535293340683E-3</v>
      </c>
      <c r="Z7"/>
      <c r="AA7" s="11">
        <v>3.0887624248862267E-2</v>
      </c>
      <c r="AB7" s="11">
        <v>3.047696128487587E-2</v>
      </c>
      <c r="AC7" s="11">
        <v>1.6171774404938333E-5</v>
      </c>
      <c r="AD7" s="11">
        <v>1.4289825230662245E-5</v>
      </c>
      <c r="AE7" s="11">
        <v>3.1255818903446198E-3</v>
      </c>
      <c r="AF7"/>
      <c r="AG7" s="11">
        <v>1.0690769180655479E-2</v>
      </c>
      <c r="AH7" s="14">
        <v>5.0986245274543762E-2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14.25</v>
      </c>
      <c r="C8">
        <v>3.1935479640960693</v>
      </c>
      <c r="D8" s="11">
        <v>2.2720671258866787E-3</v>
      </c>
      <c r="E8"/>
      <c r="F8"/>
      <c r="G8"/>
      <c r="H8"/>
      <c r="I8"/>
      <c r="J8"/>
      <c r="K8" s="266">
        <v>7.9728612899780273</v>
      </c>
      <c r="L8" s="11">
        <v>1.0014595463871956E-3</v>
      </c>
      <c r="M8"/>
      <c r="N8"/>
      <c r="O8"/>
      <c r="P8"/>
      <c r="Q8"/>
      <c r="R8"/>
      <c r="S8" s="14">
        <v>3.6657065153121948E-2</v>
      </c>
      <c r="T8" s="64">
        <v>0.30759498476982117</v>
      </c>
      <c r="U8" s="218">
        <v>1.6024119853973389</v>
      </c>
      <c r="V8" s="14">
        <v>3.8736220449209213E-2</v>
      </c>
      <c r="W8" s="69">
        <v>1.0050711631774902</v>
      </c>
      <c r="X8" s="11">
        <v>5.9377904981374741E-3</v>
      </c>
      <c r="Y8"/>
      <c r="Z8" s="11">
        <v>5.4122926667332649E-4</v>
      </c>
      <c r="AA8" s="14">
        <v>2.5451740249991417E-2</v>
      </c>
      <c r="AB8" s="11">
        <v>6.1502098105847836E-4</v>
      </c>
      <c r="AC8" s="11">
        <v>1.5533981786575168E-4</v>
      </c>
      <c r="AD8"/>
      <c r="AE8"/>
      <c r="AF8" s="11">
        <v>2.9899610672146082E-3</v>
      </c>
      <c r="AG8" s="12">
        <v>4.3643854558467865E-2</v>
      </c>
      <c r="AH8" s="11">
        <v>7.2022690437734127E-3</v>
      </c>
      <c r="AI8" s="11">
        <v>3.3074463717639446E-3</v>
      </c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0.95037627220153809</v>
      </c>
      <c r="C9">
        <v>0.1638457179069519</v>
      </c>
      <c r="D9" s="9">
        <v>5.7558358079745631E-10</v>
      </c>
      <c r="E9"/>
      <c r="F9"/>
      <c r="G9"/>
      <c r="H9"/>
      <c r="I9"/>
      <c r="J9" s="239">
        <v>0.66426056623458862</v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 s="11">
        <v>7.4831547681242228E-4</v>
      </c>
      <c r="AE9" s="11">
        <v>2.2732965589966625E-4</v>
      </c>
      <c r="AF9"/>
      <c r="AG9" s="16">
        <v>1.399608701467514E-2</v>
      </c>
      <c r="AH9" s="218">
        <v>0.10679983347654343</v>
      </c>
      <c r="AI9" s="11">
        <v>4.9842410953715444E-4</v>
      </c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2.5</v>
      </c>
      <c r="C10">
        <v>0.25841414928436279</v>
      </c>
      <c r="D10" s="11">
        <v>9.9999897429370321E-6</v>
      </c>
      <c r="E10"/>
      <c r="F10"/>
      <c r="G10"/>
      <c r="H10"/>
      <c r="I10"/>
      <c r="J10"/>
      <c r="K10"/>
      <c r="L10"/>
      <c r="M10" s="265">
        <v>0.83320724964141846</v>
      </c>
      <c r="N10" s="262">
        <v>0.52733492851257324</v>
      </c>
      <c r="O10"/>
      <c r="P10" s="242">
        <v>0.65726596117019653</v>
      </c>
      <c r="Q10"/>
      <c r="R10" s="245">
        <v>0.17185856401920319</v>
      </c>
      <c r="S10"/>
      <c r="T10" s="15">
        <v>2.4494441226124763E-2</v>
      </c>
      <c r="U10" s="14">
        <v>4.4930805452167988E-3</v>
      </c>
      <c r="V10"/>
      <c r="W10"/>
      <c r="X10" s="11">
        <v>1.1198816355317831E-4</v>
      </c>
      <c r="Y10"/>
      <c r="Z10" s="14">
        <v>5.6244512088596821E-3</v>
      </c>
      <c r="AA10" s="23">
        <v>1.711178757250309E-2</v>
      </c>
      <c r="AB10" s="11">
        <v>7.3463146691210568E-5</v>
      </c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3</v>
      </c>
      <c r="C11">
        <v>0.31038236618041992</v>
      </c>
      <c r="D11" s="11">
        <v>9.6067342383321375E-6</v>
      </c>
      <c r="E11"/>
      <c r="F11"/>
      <c r="G11"/>
      <c r="H11"/>
      <c r="I11" s="224">
        <v>0.11631570756435394</v>
      </c>
      <c r="J11"/>
      <c r="K11"/>
      <c r="L11"/>
      <c r="M11" s="76">
        <v>0.42407345771789551</v>
      </c>
      <c r="N11" s="254">
        <v>0.39151093363761902</v>
      </c>
      <c r="O11"/>
      <c r="P11" s="257">
        <v>0.49816849827766418</v>
      </c>
      <c r="Q11"/>
      <c r="R11" s="259">
        <v>0.64398670196533203</v>
      </c>
      <c r="S11" s="12">
        <v>1.2136762961745262E-2</v>
      </c>
      <c r="T11" s="26">
        <v>7.8967943787574768E-2</v>
      </c>
      <c r="U11" s="63">
        <v>0.16582582890987396</v>
      </c>
      <c r="V11" s="11">
        <v>8.5320562357082963E-4</v>
      </c>
      <c r="W11" s="245">
        <v>0.2051311731338501</v>
      </c>
      <c r="X11" s="11">
        <v>8.6626445408910513E-4</v>
      </c>
      <c r="Y11" s="11">
        <v>1.8550936365500093E-3</v>
      </c>
      <c r="Z11" s="21">
        <v>5.8417659252882004E-2</v>
      </c>
      <c r="AA11" s="24">
        <v>8.5231080651283264E-2</v>
      </c>
      <c r="AB11" s="11">
        <v>4.0725377039052546E-4</v>
      </c>
      <c r="AC11" s="11">
        <v>3.327911690576002E-5</v>
      </c>
      <c r="AD11" s="11">
        <v>2.6733052436611615E-5</v>
      </c>
      <c r="AE11"/>
      <c r="AF11"/>
      <c r="AG11" s="14">
        <v>5.8000069111585617E-3</v>
      </c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2</v>
      </c>
      <c r="C12">
        <v>0.20238375663757324</v>
      </c>
      <c r="D12" s="11">
        <v>2.4256130927824415E-5</v>
      </c>
      <c r="E12"/>
      <c r="F12"/>
      <c r="G12"/>
      <c r="H12"/>
      <c r="I12"/>
      <c r="J12"/>
      <c r="K12"/>
      <c r="L12"/>
      <c r="M12" s="65">
        <v>8.1991508603096008E-2</v>
      </c>
      <c r="N12" s="256">
        <v>0.32709610462188721</v>
      </c>
      <c r="O12" s="260">
        <v>0.23389148712158203</v>
      </c>
      <c r="P12" s="264">
        <v>0.64128220081329346</v>
      </c>
      <c r="Q12"/>
      <c r="R12" s="263">
        <v>0.46462324261665344</v>
      </c>
      <c r="S12"/>
      <c r="T12" s="22">
        <v>1.3785767368972301E-2</v>
      </c>
      <c r="U12" s="12">
        <v>8.0447504296898842E-3</v>
      </c>
      <c r="V12" s="11">
        <v>2.1457509137690067E-4</v>
      </c>
      <c r="W12"/>
      <c r="X12"/>
      <c r="Y12" s="11">
        <v>3.0272167350631207E-5</v>
      </c>
      <c r="Z12" s="14">
        <v>5.0178924575448036E-3</v>
      </c>
      <c r="AA12" s="15">
        <v>2.074466273188591E-2</v>
      </c>
      <c r="AB12" s="11">
        <v>4.3861835729330778E-4</v>
      </c>
      <c r="AC12"/>
      <c r="AD12"/>
      <c r="AE12"/>
      <c r="AF12"/>
      <c r="AG12" s="11">
        <v>4.3080633622594178E-4</v>
      </c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2.0399999618530273</v>
      </c>
      <c r="C13">
        <v>0.21365979313850403</v>
      </c>
      <c r="D13" s="20">
        <v>8.8141918182373047E-2</v>
      </c>
      <c r="E13"/>
      <c r="F13"/>
      <c r="G13"/>
      <c r="H13"/>
      <c r="I13" s="15">
        <v>2.0923878997564316E-2</v>
      </c>
      <c r="J13"/>
      <c r="K13"/>
      <c r="L13"/>
      <c r="M13" s="254">
        <v>0.26770162582397461</v>
      </c>
      <c r="N13" s="261">
        <v>0.35745114088058472</v>
      </c>
      <c r="O13" s="217">
        <v>0.10955371707677841</v>
      </c>
      <c r="P13" s="262">
        <v>0.43382248282432556</v>
      </c>
      <c r="Q13"/>
      <c r="R13" s="263">
        <v>0.47285592555999756</v>
      </c>
      <c r="S13" s="14">
        <v>2.165206940844655E-3</v>
      </c>
      <c r="T13" s="23">
        <v>1.0464281775057316E-2</v>
      </c>
      <c r="U13" s="12">
        <v>7.5417077168822289E-3</v>
      </c>
      <c r="V13" s="11">
        <v>3.0215361039154232E-4</v>
      </c>
      <c r="W13" s="12">
        <v>7.6953875832259655E-3</v>
      </c>
      <c r="X13"/>
      <c r="Y13" s="11">
        <v>6.2633579364046454E-4</v>
      </c>
      <c r="Z13" s="18">
        <v>2.2143632173538208E-2</v>
      </c>
      <c r="AA13" s="15">
        <v>1.9184397533535957E-2</v>
      </c>
      <c r="AB13" s="14">
        <v>5.3625474683940411E-3</v>
      </c>
      <c r="AC13" s="11">
        <v>1.1236037607886828E-5</v>
      </c>
      <c r="AD13" s="11">
        <v>9.0258881755289622E-6</v>
      </c>
      <c r="AE13"/>
      <c r="AF13"/>
      <c r="AG13" s="11">
        <v>3.8344200584106147E-4</v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5</v>
      </c>
      <c r="C14">
        <v>1.3435202836990356</v>
      </c>
      <c r="D14" s="13">
        <v>0.18158534169197083</v>
      </c>
      <c r="E14"/>
      <c r="F14"/>
      <c r="G14"/>
      <c r="H14"/>
      <c r="I14"/>
      <c r="J14"/>
      <c r="K14"/>
      <c r="L14"/>
      <c r="M14" s="225">
        <v>0.57000410556793213</v>
      </c>
      <c r="N14" s="218">
        <v>0.55518150329589844</v>
      </c>
      <c r="O14" s="257">
        <v>0.82845526933670044</v>
      </c>
      <c r="P14" s="140">
        <v>0.50325381755828857</v>
      </c>
      <c r="Q14"/>
      <c r="R14" s="256">
        <v>0.81015133857727051</v>
      </c>
      <c r="S14"/>
      <c r="T14"/>
      <c r="U14"/>
      <c r="V14"/>
      <c r="W14"/>
      <c r="X14"/>
      <c r="Y14" s="11">
        <v>1.4558056136593223E-4</v>
      </c>
      <c r="Z14" s="22">
        <v>3.8362633436918259E-2</v>
      </c>
      <c r="AA14" s="22">
        <v>3.5748142749071121E-2</v>
      </c>
      <c r="AB14" s="24">
        <v>0.13359154760837555</v>
      </c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</v>
      </c>
      <c r="C15">
        <v>0.20164978504180908</v>
      </c>
      <c r="D15" s="22">
        <v>1.5542100183665752E-2</v>
      </c>
      <c r="E15"/>
      <c r="F15"/>
      <c r="G15"/>
      <c r="H15"/>
      <c r="I15"/>
      <c r="J15"/>
      <c r="K15"/>
      <c r="L15"/>
      <c r="M15" s="244">
        <v>8.8764846324920654E-2</v>
      </c>
      <c r="N15" s="208">
        <v>9.8468497395515442E-2</v>
      </c>
      <c r="O15" s="75">
        <v>0.13008429110050201</v>
      </c>
      <c r="P15" s="255">
        <v>0.81860101222991943</v>
      </c>
      <c r="Q15"/>
      <c r="R15" s="250">
        <v>0.45368623733520508</v>
      </c>
      <c r="S15"/>
      <c r="T15"/>
      <c r="U15"/>
      <c r="V15"/>
      <c r="W15"/>
      <c r="X15"/>
      <c r="Y15" s="12">
        <v>6.3922363333404064E-3</v>
      </c>
      <c r="Z15" s="26">
        <v>5.0941001623868942E-2</v>
      </c>
      <c r="AA15" s="244">
        <v>9.125874936580658E-2</v>
      </c>
      <c r="AB15" s="64">
        <v>4.3221805244684219E-2</v>
      </c>
      <c r="AC15" s="11">
        <v>6.3069812313187867E-5</v>
      </c>
      <c r="AD15"/>
      <c r="AE15"/>
      <c r="AF15"/>
      <c r="AG15" s="11">
        <v>1.3266252353787422E-3</v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</v>
      </c>
      <c r="C16">
        <v>0.24459707736968994</v>
      </c>
      <c r="D16" s="207">
        <v>0.14954447746276855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 s="12">
        <v>6.0180546715855598E-3</v>
      </c>
      <c r="T16"/>
      <c r="U16"/>
      <c r="V16"/>
      <c r="W16" s="236">
        <v>0.48689520359039307</v>
      </c>
      <c r="X16"/>
      <c r="Y16" s="224">
        <v>7.8680180013179779E-2</v>
      </c>
      <c r="Z16" s="77">
        <v>0.44237047433853149</v>
      </c>
      <c r="AA16" s="230">
        <v>0.30296003818511963</v>
      </c>
      <c r="AB16" s="229">
        <v>0.28485062718391418</v>
      </c>
      <c r="AC16"/>
      <c r="AD16"/>
      <c r="AE16"/>
      <c r="AF16"/>
      <c r="AG16"/>
      <c r="AH16"/>
      <c r="AI16" s="14">
        <v>4.0838541463017464E-3</v>
      </c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21</v>
      </c>
      <c r="C17">
        <v>8.5596818923950195</v>
      </c>
      <c r="D17" s="208">
        <v>1.0432162284851074</v>
      </c>
      <c r="E17"/>
      <c r="F17"/>
      <c r="G17"/>
      <c r="H17"/>
      <c r="I17"/>
      <c r="J17" s="252">
        <v>4.1600408554077148</v>
      </c>
      <c r="K17"/>
      <c r="L17"/>
      <c r="M17"/>
      <c r="N17"/>
      <c r="O17"/>
      <c r="P17"/>
      <c r="Q17"/>
      <c r="R17"/>
      <c r="S17"/>
      <c r="T17" s="245">
        <v>1.4345864057540894</v>
      </c>
      <c r="U17" s="251">
        <v>3.7424366474151611</v>
      </c>
      <c r="V17" s="12">
        <v>6.4719595015048981E-2</v>
      </c>
      <c r="W17" s="232">
        <v>1.7996379137039185</v>
      </c>
      <c r="X17" s="14">
        <v>2.5062886998057365E-2</v>
      </c>
      <c r="Y17" s="11">
        <v>1.5318598598241806E-2</v>
      </c>
      <c r="Z17"/>
      <c r="AA17" s="12">
        <v>8.7478362023830414E-2</v>
      </c>
      <c r="AB17" s="12">
        <v>6.7819178104400635E-2</v>
      </c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0.36310842633247375</v>
      </c>
      <c r="C18">
        <v>7.6942197978496552E-2</v>
      </c>
      <c r="D18" s="27">
        <v>1.3146455399692059E-2</v>
      </c>
      <c r="E18"/>
      <c r="F18"/>
      <c r="G18"/>
      <c r="H18"/>
      <c r="I18"/>
      <c r="J18" s="253">
        <v>0.16216285526752472</v>
      </c>
      <c r="K18"/>
      <c r="L18"/>
      <c r="M18"/>
      <c r="N18"/>
      <c r="O18"/>
      <c r="P18"/>
      <c r="Q18"/>
      <c r="R18"/>
      <c r="S18"/>
      <c r="T18"/>
      <c r="U18"/>
      <c r="V18"/>
      <c r="W18" s="26">
        <v>9.1562550514936447E-3</v>
      </c>
      <c r="X18"/>
      <c r="Y18" s="26">
        <v>9.0735107660293579E-3</v>
      </c>
      <c r="Z18" s="64">
        <v>7.7129150740802288E-3</v>
      </c>
      <c r="AA18" s="21">
        <v>7.2541204281151295E-3</v>
      </c>
      <c r="AB18" s="235">
        <v>4.2244903743267059E-2</v>
      </c>
      <c r="AC18" s="11">
        <v>2.2137069026939571E-4</v>
      </c>
      <c r="AD18" s="11">
        <v>2.2897793678566813E-4</v>
      </c>
      <c r="AE18" s="14">
        <v>4.9985956866294146E-4</v>
      </c>
      <c r="AF18" s="17">
        <v>5.1246117800474167E-3</v>
      </c>
      <c r="AG18" s="23">
        <v>2.2811898961663246E-3</v>
      </c>
      <c r="AH18" s="245">
        <v>2.5043580681085587E-2</v>
      </c>
      <c r="AI18" s="23">
        <v>2.0156293176114559E-3</v>
      </c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0.95037627220153809</v>
      </c>
      <c r="C19">
        <v>9.2913731932640076E-2</v>
      </c>
      <c r="D19" s="21">
        <v>1.806739903986454E-2</v>
      </c>
      <c r="E19"/>
      <c r="F19"/>
      <c r="G19"/>
      <c r="H19"/>
      <c r="I19"/>
      <c r="J19" s="106">
        <v>0.11697723716497421</v>
      </c>
      <c r="K19"/>
      <c r="L19"/>
      <c r="M19"/>
      <c r="N19"/>
      <c r="O19"/>
      <c r="P19"/>
      <c r="Q19"/>
      <c r="R19"/>
      <c r="S19"/>
      <c r="T19"/>
      <c r="U19" s="249">
        <v>0.39376458525657654</v>
      </c>
      <c r="V19"/>
      <c r="W19" s="73">
        <v>7.4877277016639709E-2</v>
      </c>
      <c r="X19"/>
      <c r="Y19" s="217">
        <v>4.9862794578075409E-2</v>
      </c>
      <c r="Z19" s="15">
        <v>9.4190565869212151E-3</v>
      </c>
      <c r="AA19" s="23">
        <v>5.6343688629567623E-3</v>
      </c>
      <c r="AB19" s="24">
        <v>2.6758152991533279E-2</v>
      </c>
      <c r="AC19" s="14">
        <v>1.6896198503673077E-3</v>
      </c>
      <c r="AD19" s="11">
        <v>4.3911620741710067E-4</v>
      </c>
      <c r="AE19" s="17">
        <v>1.3079207390546799E-2</v>
      </c>
      <c r="AF19" s="17">
        <v>1.3008633628487587E-2</v>
      </c>
      <c r="AG19" s="14">
        <v>1.1810518335551023E-3</v>
      </c>
      <c r="AH19" s="241">
        <v>0.11907456070184708</v>
      </c>
      <c r="AI19" s="17">
        <v>1.3629495166242123E-2</v>
      </c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0.95037627220153809</v>
      </c>
      <c r="C20">
        <v>0.23832650482654572</v>
      </c>
      <c r="D20" s="209">
        <v>8.0906376242637634E-2</v>
      </c>
      <c r="E20"/>
      <c r="F20"/>
      <c r="G20"/>
      <c r="H20"/>
      <c r="I20"/>
      <c r="J20" s="247">
        <v>0.1716611236333847</v>
      </c>
      <c r="K20"/>
      <c r="L20"/>
      <c r="M20"/>
      <c r="N20"/>
      <c r="O20"/>
      <c r="P20"/>
      <c r="Q20"/>
      <c r="R20"/>
      <c r="S20"/>
      <c r="T20"/>
      <c r="U20"/>
      <c r="V20"/>
      <c r="W20" s="248">
        <v>0.18167810142040253</v>
      </c>
      <c r="X20"/>
      <c r="Y20" s="16">
        <v>1.4046903699636459E-2</v>
      </c>
      <c r="Z20" s="226">
        <v>2.2388508543372154E-2</v>
      </c>
      <c r="AA20" s="22">
        <v>8.021622896194458E-3</v>
      </c>
      <c r="AB20" s="238">
        <v>0.1331411600112915</v>
      </c>
      <c r="AC20" s="11">
        <v>7.6227553654462099E-4</v>
      </c>
      <c r="AD20" s="11">
        <v>8.3500158507376909E-4</v>
      </c>
      <c r="AE20" s="14">
        <v>1.0653883218765259E-3</v>
      </c>
      <c r="AF20"/>
      <c r="AG20" s="14">
        <v>2.2905545774847269E-3</v>
      </c>
      <c r="AH20" s="243">
        <v>9.2953957617282867E-2</v>
      </c>
      <c r="AI20" s="14">
        <v>2.2988049313426018E-3</v>
      </c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0.45897939801216125</v>
      </c>
      <c r="C21">
        <v>3.4261465072631836E-2</v>
      </c>
      <c r="D21" s="210">
        <v>0.15815231204032898</v>
      </c>
      <c r="E21"/>
      <c r="F21"/>
      <c r="G21"/>
      <c r="H21"/>
      <c r="I21"/>
      <c r="J21" s="63">
        <v>2.5429995730519295E-2</v>
      </c>
      <c r="K21"/>
      <c r="L21"/>
      <c r="M21"/>
      <c r="N21"/>
      <c r="O21"/>
      <c r="P21"/>
      <c r="Q21"/>
      <c r="R21"/>
      <c r="S21"/>
      <c r="T21"/>
      <c r="U21"/>
      <c r="V21"/>
      <c r="W21" s="25">
        <v>1.3965994119644165E-2</v>
      </c>
      <c r="X21"/>
      <c r="Y21" s="66">
        <v>2.9140478000044823E-2</v>
      </c>
      <c r="Z21"/>
      <c r="AA21"/>
      <c r="AB21" s="233">
        <v>0.1508067399263382</v>
      </c>
      <c r="AC21" s="22">
        <v>3.3155696000903845E-3</v>
      </c>
      <c r="AD21" s="14">
        <v>5.1853631157428026E-4</v>
      </c>
      <c r="AE21"/>
      <c r="AF21" s="143">
        <v>1.3049530796706676E-2</v>
      </c>
      <c r="AG21" s="14">
        <v>7.1551738074049354E-4</v>
      </c>
      <c r="AH21" s="217">
        <v>2.4663327261805534E-2</v>
      </c>
      <c r="AI21" s="18">
        <v>4.959943238645792E-3</v>
      </c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0.58499997854232788</v>
      </c>
      <c r="C22">
        <v>5.4134868085384369E-2</v>
      </c>
      <c r="D22" s="211">
        <v>0.29372617602348328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225">
        <v>6.6351048648357391E-2</v>
      </c>
      <c r="Z22"/>
      <c r="AA22"/>
      <c r="AB22" s="228">
        <v>0.16615121066570282</v>
      </c>
      <c r="AC22" s="11">
        <v>7.7028875239193439E-5</v>
      </c>
      <c r="AD22" s="23">
        <v>3.9235022850334644E-3</v>
      </c>
      <c r="AE22"/>
      <c r="AF22" s="11">
        <v>5.5900738516356796E-5</v>
      </c>
      <c r="AG22"/>
      <c r="AH22" s="11">
        <v>4.2077404214069247E-4</v>
      </c>
      <c r="AI22" s="11">
        <v>1.5946345229167491E-4</v>
      </c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0.44999998807907104</v>
      </c>
      <c r="C23">
        <v>9.4411343336105347E-2</v>
      </c>
      <c r="D23" s="13">
        <v>1.710144616663456E-2</v>
      </c>
      <c r="E23"/>
      <c r="F23"/>
      <c r="G23"/>
      <c r="H23"/>
      <c r="I23"/>
      <c r="J23"/>
      <c r="K23"/>
      <c r="L23"/>
      <c r="M23"/>
      <c r="N23" s="231">
        <v>3.6756005138158798E-2</v>
      </c>
      <c r="O23"/>
      <c r="P23" s="242">
        <v>0.11812101304531097</v>
      </c>
      <c r="Q23"/>
      <c r="R23" s="69">
        <v>3.2120417803525925E-2</v>
      </c>
      <c r="S23"/>
      <c r="T23"/>
      <c r="U23" s="226">
        <v>1.0926138609647751E-2</v>
      </c>
      <c r="V23"/>
      <c r="W23"/>
      <c r="X23"/>
      <c r="Y23" s="28">
        <v>2.0753813907504082E-2</v>
      </c>
      <c r="Z23" s="140">
        <v>4.522237554192543E-2</v>
      </c>
      <c r="AA23" s="224">
        <v>1.7847586423158646E-2</v>
      </c>
      <c r="AB23" s="235">
        <v>5.2345003932714462E-2</v>
      </c>
      <c r="AC23" s="14">
        <v>4.7159168752841651E-4</v>
      </c>
      <c r="AD23" s="11">
        <v>3.6553651443682611E-4</v>
      </c>
      <c r="AE23"/>
      <c r="AF23" s="22">
        <v>3.5576990339905024E-3</v>
      </c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0.44999998807907104</v>
      </c>
      <c r="C24">
        <v>5.2148472517728806E-2</v>
      </c>
      <c r="D24" s="212">
        <v>8.288690447807312E-2</v>
      </c>
      <c r="E24"/>
      <c r="F24"/>
      <c r="G24"/>
      <c r="H24"/>
      <c r="I24"/>
      <c r="J24"/>
      <c r="K24"/>
      <c r="L24"/>
      <c r="M24"/>
      <c r="N24" s="219">
        <v>6.8889670073986053E-2</v>
      </c>
      <c r="O24"/>
      <c r="P24" s="246">
        <v>0.12399347871541977</v>
      </c>
      <c r="Q24"/>
      <c r="R24" s="209">
        <v>3.8338162004947662E-2</v>
      </c>
      <c r="S24"/>
      <c r="T24"/>
      <c r="U24" s="21">
        <v>8.7608415633440018E-3</v>
      </c>
      <c r="V24"/>
      <c r="W24"/>
      <c r="X24"/>
      <c r="Y24" s="17">
        <v>5.9316987171769142E-3</v>
      </c>
      <c r="Z24" s="67">
        <v>2.3320302367210388E-2</v>
      </c>
      <c r="AA24" s="15">
        <v>4.2341933585703373E-3</v>
      </c>
      <c r="AB24" s="227">
        <v>1.504043210297823E-2</v>
      </c>
      <c r="AC24" s="11">
        <v>3.0327032436616719E-4</v>
      </c>
      <c r="AD24" s="11">
        <v>3.761096450034529E-4</v>
      </c>
      <c r="AE24"/>
      <c r="AF24" s="22">
        <v>3.4819035790860653E-3</v>
      </c>
      <c r="AG24"/>
      <c r="AH24" s="28">
        <v>2.1135909482836723E-2</v>
      </c>
      <c r="AI24" s="14">
        <v>1.1586188338696957E-3</v>
      </c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0.46799999475479126</v>
      </c>
      <c r="C25">
        <v>4.1968684643507004E-2</v>
      </c>
      <c r="D25" s="213">
        <v>4.262838140130043E-2</v>
      </c>
      <c r="E25"/>
      <c r="F25"/>
      <c r="G25"/>
      <c r="H25"/>
      <c r="I25"/>
      <c r="J25"/>
      <c r="K25"/>
      <c r="L25"/>
      <c r="M25"/>
      <c r="N25"/>
      <c r="O25"/>
      <c r="P25" s="240">
        <v>9.6700273454189301E-2</v>
      </c>
      <c r="Q25"/>
      <c r="R25" s="238">
        <v>6.4760982990264893E-2</v>
      </c>
      <c r="S25"/>
      <c r="T25"/>
      <c r="U25" s="143">
        <v>1.3642077334225178E-2</v>
      </c>
      <c r="V25"/>
      <c r="W25" s="234">
        <v>4.9933243542909622E-2</v>
      </c>
      <c r="X25"/>
      <c r="Y25" s="143">
        <v>1.385495625436306E-2</v>
      </c>
      <c r="Z25" s="237">
        <v>5.9868313372135162E-2</v>
      </c>
      <c r="AA25" s="22">
        <v>3.9560035802423954E-3</v>
      </c>
      <c r="AB25" s="232">
        <v>4.0149331092834473E-2</v>
      </c>
      <c r="AC25" s="14">
        <v>4.7224198351614177E-4</v>
      </c>
      <c r="AD25" s="14">
        <v>5.1245669601485133E-4</v>
      </c>
      <c r="AE25"/>
      <c r="AF25" s="18">
        <v>5.4218987934291363E-3</v>
      </c>
      <c r="AG25"/>
      <c r="AH25" s="69">
        <v>3.2912101596593857E-2</v>
      </c>
      <c r="AI25" s="14">
        <v>1.2190276756882668E-3</v>
      </c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0.10199999809265137</v>
      </c>
      <c r="C26">
        <v>1.6158197075128555E-2</v>
      </c>
      <c r="D26" s="214">
        <v>7.4513547122478485E-2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 s="218">
        <v>1.1328256689012051E-2</v>
      </c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0.10523974895477295</v>
      </c>
      <c r="C27">
        <v>1.5244625508785248E-2</v>
      </c>
      <c r="D27" s="215">
        <v>7.9996556043624878E-2</v>
      </c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 s="217">
        <v>5.4806889966130257E-3</v>
      </c>
      <c r="AD27" s="20">
        <v>4.517875611782074E-3</v>
      </c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0.58379107713699341</v>
      </c>
      <c r="C28">
        <v>9.7842887043952942E-2</v>
      </c>
      <c r="D28" s="216">
        <v>0.41595026850700378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 s="107">
        <v>3.8805756717920303E-2</v>
      </c>
      <c r="AD28" s="217">
        <v>3.119216300547123E-2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0.1057431772351265</v>
      </c>
      <c r="C29">
        <v>4.428713396191597E-2</v>
      </c>
      <c r="D29" s="11">
        <v>1.7788059913925736E-9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 s="221">
        <v>3.2669756561517715E-2</v>
      </c>
      <c r="AD29" s="220">
        <v>2.8786284849047661E-2</v>
      </c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4.0519565343856812E-2</v>
      </c>
      <c r="C30">
        <v>3.7780221551656723E-2</v>
      </c>
      <c r="D30" s="11">
        <v>1.2189613585178449E-7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13">
        <v>1.5190073754638433E-3</v>
      </c>
      <c r="AD30" s="143">
        <v>1.2202158104628325E-3</v>
      </c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4.0799997746944427E-2</v>
      </c>
      <c r="C31">
        <v>8.4374267607927322E-3</v>
      </c>
      <c r="D31" s="11">
        <v>1.736094503712593E-7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72">
        <v>3.8559306412935257E-3</v>
      </c>
      <c r="AD31" s="218">
        <v>4.5429444871842861E-3</v>
      </c>
      <c r="AE31"/>
      <c r="AF31"/>
      <c r="AG31"/>
      <c r="AH31" s="223">
        <v>2.3963522166013718E-2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0.27500000596046448</v>
      </c>
      <c r="C32">
        <v>6.9898180663585663E-2</v>
      </c>
      <c r="D32" s="64">
        <v>5.9171649627387524E-3</v>
      </c>
      <c r="E32"/>
      <c r="F32"/>
      <c r="G32"/>
      <c r="H32"/>
      <c r="I32"/>
      <c r="J32"/>
      <c r="K32"/>
      <c r="L32" s="222">
        <v>0.12459400296211243</v>
      </c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219">
        <v>4.1916519403457642E-2</v>
      </c>
      <c r="AD32" s="138">
        <v>3.2674137502908707E-2</v>
      </c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/>
      <c r="C33">
        <v>0.25064638257026672</v>
      </c>
      <c r="D33"/>
      <c r="E33"/>
      <c r="F33"/>
      <c r="G33"/>
      <c r="H33"/>
      <c r="I33"/>
      <c r="J33"/>
      <c r="K33"/>
      <c r="L33"/>
      <c r="M33" s="9">
        <v>3.5173752307891846</v>
      </c>
      <c r="N33" s="9">
        <v>0.93433821201324463</v>
      </c>
      <c r="O33" s="9">
        <v>1.3942419290542603</v>
      </c>
      <c r="P33" s="9">
        <v>3.2607438564300537</v>
      </c>
      <c r="Q33"/>
      <c r="R33" s="9">
        <v>2.9995622634887695</v>
      </c>
      <c r="S33" s="9">
        <v>7.7580913901329041E-2</v>
      </c>
      <c r="T33"/>
      <c r="U33"/>
      <c r="V33"/>
      <c r="W33"/>
      <c r="X33"/>
      <c r="Y33"/>
      <c r="Z33" s="9">
        <v>2.7490947395563126E-2</v>
      </c>
      <c r="AA33" s="9">
        <v>7.3873385787010193E-2</v>
      </c>
      <c r="AB33"/>
      <c r="AC33" s="9">
        <v>1.1023154947906733E-3</v>
      </c>
      <c r="AD33"/>
      <c r="AE33"/>
      <c r="AF33"/>
      <c r="AG33"/>
      <c r="AH33"/>
      <c r="AI33" s="9">
        <v>1.3999741524457932E-2</v>
      </c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/>
      <c r="C34">
        <v>0.83647125959396362</v>
      </c>
      <c r="D34"/>
      <c r="E34"/>
      <c r="F34" s="9">
        <v>2434.039794921875</v>
      </c>
      <c r="G34" s="9">
        <v>566.65606689453125</v>
      </c>
      <c r="H34" s="9">
        <v>191.84054565429688</v>
      </c>
      <c r="I34" s="9">
        <v>14.670475006103516</v>
      </c>
      <c r="J34" s="9">
        <v>1.7565275430679321</v>
      </c>
      <c r="K34" s="9">
        <v>133.82624816894531</v>
      </c>
      <c r="L34"/>
      <c r="M34" s="9">
        <v>316.5635986328125</v>
      </c>
      <c r="N34" s="9">
        <v>48.585586547851562</v>
      </c>
      <c r="O34" s="9">
        <v>83.654518127441406</v>
      </c>
      <c r="P34" s="9">
        <v>135.08798217773438</v>
      </c>
      <c r="Q34" s="9">
        <v>14.069402694702148</v>
      </c>
      <c r="R34" s="9">
        <v>10.907498359680176</v>
      </c>
      <c r="S34" s="9">
        <v>0.45973870158195496</v>
      </c>
      <c r="T34" s="9">
        <v>1.1283878087997437</v>
      </c>
      <c r="U34"/>
      <c r="V34"/>
      <c r="W34"/>
      <c r="X34"/>
      <c r="Y34"/>
      <c r="Z34" s="9">
        <v>2.7490947395563126E-2</v>
      </c>
      <c r="AA34" s="9">
        <v>3.6936692893505096E-2</v>
      </c>
      <c r="AB34"/>
      <c r="AC34"/>
      <c r="AD34" s="9">
        <v>8.544182637706399E-4</v>
      </c>
      <c r="AE34"/>
      <c r="AF34"/>
      <c r="AG34" s="9">
        <v>7.6706772670149803E-3</v>
      </c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/>
      <c r="C35">
        <v>0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1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36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36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3" t="s">
        <v>192</v>
      </c>
      <c r="E5">
        <v>4</v>
      </c>
      <c r="F5">
        <v>2</v>
      </c>
      <c r="G5">
        <v>4</v>
      </c>
      <c r="H5" s="194" t="s">
        <v>192</v>
      </c>
      <c r="J5" s="56"/>
      <c r="K5" s="57"/>
    </row>
    <row r="6" spans="1:12" ht="14" thickBot="1" x14ac:dyDescent="0.2">
      <c r="A6" s="40" t="s">
        <v>121</v>
      </c>
      <c r="D6" s="193" t="s">
        <v>193</v>
      </c>
      <c r="E6">
        <v>5</v>
      </c>
      <c r="F6">
        <v>9</v>
      </c>
      <c r="G6">
        <v>5</v>
      </c>
      <c r="H6" s="194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3" t="s">
        <v>194</v>
      </c>
      <c r="E7">
        <v>6</v>
      </c>
      <c r="F7">
        <v>3.14</v>
      </c>
      <c r="G7">
        <v>6</v>
      </c>
      <c r="H7" s="194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3" t="s">
        <v>195</v>
      </c>
      <c r="E8">
        <v>7</v>
      </c>
      <c r="F8">
        <v>3.11</v>
      </c>
      <c r="G8">
        <v>7</v>
      </c>
      <c r="H8" s="194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3" t="s">
        <v>196</v>
      </c>
      <c r="E9">
        <v>8</v>
      </c>
      <c r="F9">
        <v>3.11</v>
      </c>
      <c r="G9">
        <v>8</v>
      </c>
      <c r="H9" s="194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3" t="s">
        <v>197</v>
      </c>
      <c r="E10">
        <v>9</v>
      </c>
      <c r="F10">
        <v>3.11</v>
      </c>
      <c r="G10">
        <v>9</v>
      </c>
      <c r="H10" s="194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3" t="s">
        <v>198</v>
      </c>
      <c r="E11">
        <v>10</v>
      </c>
      <c r="F11">
        <v>3.12</v>
      </c>
      <c r="G11">
        <v>10</v>
      </c>
      <c r="H11" s="194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3" t="s">
        <v>199</v>
      </c>
      <c r="E12">
        <v>11</v>
      </c>
      <c r="F12">
        <v>3.12</v>
      </c>
      <c r="G12">
        <v>11</v>
      </c>
      <c r="H12" s="194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3" t="s">
        <v>200</v>
      </c>
      <c r="E13">
        <v>12</v>
      </c>
      <c r="F13">
        <v>3.21</v>
      </c>
      <c r="G13">
        <v>12</v>
      </c>
      <c r="H13" s="194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3" t="s">
        <v>201</v>
      </c>
      <c r="E14">
        <v>13</v>
      </c>
      <c r="F14">
        <v>3.21</v>
      </c>
      <c r="G14">
        <v>13</v>
      </c>
      <c r="H14" s="194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3" t="s">
        <v>202</v>
      </c>
      <c r="E15">
        <v>14</v>
      </c>
      <c r="F15">
        <v>3.21</v>
      </c>
      <c r="G15">
        <v>14</v>
      </c>
      <c r="H15" s="194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3" t="s">
        <v>203</v>
      </c>
      <c r="E16">
        <v>15</v>
      </c>
      <c r="F16">
        <v>3.21</v>
      </c>
      <c r="G16">
        <v>15</v>
      </c>
      <c r="H16" s="194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3" t="s">
        <v>204</v>
      </c>
      <c r="E17">
        <v>16</v>
      </c>
      <c r="F17">
        <v>3.21</v>
      </c>
      <c r="G17">
        <v>16</v>
      </c>
      <c r="H17" s="194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3" t="s">
        <v>205</v>
      </c>
      <c r="E18">
        <v>17</v>
      </c>
      <c r="F18">
        <v>3.21</v>
      </c>
      <c r="G18">
        <v>17</v>
      </c>
      <c r="H18" s="194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3" t="s">
        <v>206</v>
      </c>
      <c r="E19">
        <v>18</v>
      </c>
      <c r="F19">
        <v>3</v>
      </c>
      <c r="G19">
        <v>18</v>
      </c>
      <c r="H19" s="194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3" t="s">
        <v>207</v>
      </c>
      <c r="E20">
        <v>19</v>
      </c>
      <c r="F20">
        <v>3.11</v>
      </c>
      <c r="G20">
        <v>19</v>
      </c>
      <c r="H20" s="194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3" t="s">
        <v>208</v>
      </c>
      <c r="E21">
        <v>20</v>
      </c>
      <c r="F21">
        <v>3.1</v>
      </c>
      <c r="G21">
        <v>20</v>
      </c>
      <c r="H21" s="194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3" t="s">
        <v>209</v>
      </c>
      <c r="E22">
        <v>21</v>
      </c>
      <c r="F22">
        <v>3.1</v>
      </c>
      <c r="G22">
        <v>21</v>
      </c>
      <c r="H22" s="194" t="s">
        <v>209</v>
      </c>
    </row>
    <row r="23" spans="1:12" x14ac:dyDescent="0.15">
      <c r="A23" s="35" t="s">
        <v>129</v>
      </c>
      <c r="B23" s="43">
        <v>4</v>
      </c>
      <c r="C23" s="37"/>
      <c r="D23" s="193" t="s">
        <v>210</v>
      </c>
      <c r="E23">
        <v>22</v>
      </c>
      <c r="F23">
        <v>3.12</v>
      </c>
      <c r="G23">
        <v>22</v>
      </c>
      <c r="H23" s="194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3" t="s">
        <v>211</v>
      </c>
      <c r="E24">
        <v>23</v>
      </c>
      <c r="F24">
        <v>3.12</v>
      </c>
      <c r="G24">
        <v>23</v>
      </c>
      <c r="H24" s="194" t="s">
        <v>211</v>
      </c>
    </row>
    <row r="25" spans="1:12" x14ac:dyDescent="0.15">
      <c r="A25" s="35" t="s">
        <v>70</v>
      </c>
      <c r="B25" s="43">
        <v>4.2</v>
      </c>
      <c r="C25" s="37"/>
      <c r="D25" s="193" t="s">
        <v>212</v>
      </c>
      <c r="E25">
        <v>24</v>
      </c>
      <c r="F25">
        <v>3.1</v>
      </c>
      <c r="G25">
        <v>24</v>
      </c>
      <c r="H25" s="194" t="s">
        <v>212</v>
      </c>
    </row>
    <row r="26" spans="1:12" x14ac:dyDescent="0.15">
      <c r="A26" s="35" t="s">
        <v>123</v>
      </c>
      <c r="B26" s="43">
        <v>4.3</v>
      </c>
      <c r="C26" s="37"/>
      <c r="D26" s="193" t="s">
        <v>213</v>
      </c>
      <c r="E26">
        <v>25</v>
      </c>
      <c r="F26">
        <v>3.2</v>
      </c>
      <c r="G26">
        <v>25</v>
      </c>
      <c r="H26" s="194" t="s">
        <v>213</v>
      </c>
    </row>
    <row r="27" spans="1:12" x14ac:dyDescent="0.15">
      <c r="A27" s="35" t="s">
        <v>125</v>
      </c>
      <c r="B27" s="43">
        <v>6.1</v>
      </c>
      <c r="D27" s="193" t="s">
        <v>214</v>
      </c>
      <c r="E27">
        <v>26</v>
      </c>
      <c r="F27">
        <v>3.2</v>
      </c>
      <c r="G27">
        <v>26</v>
      </c>
      <c r="H27" s="194" t="s">
        <v>214</v>
      </c>
    </row>
    <row r="28" spans="1:12" x14ac:dyDescent="0.15">
      <c r="A28" s="35" t="s">
        <v>124</v>
      </c>
      <c r="B28" s="43">
        <v>6.2</v>
      </c>
      <c r="D28" s="193" t="s">
        <v>215</v>
      </c>
      <c r="E28">
        <v>27</v>
      </c>
      <c r="F28">
        <v>3.2</v>
      </c>
      <c r="G28">
        <v>27</v>
      </c>
      <c r="H28" s="194" t="s">
        <v>215</v>
      </c>
    </row>
    <row r="29" spans="1:12" x14ac:dyDescent="0.15">
      <c r="A29" s="35" t="s">
        <v>44</v>
      </c>
      <c r="B29" s="43">
        <v>5</v>
      </c>
      <c r="D29" s="193" t="s">
        <v>216</v>
      </c>
      <c r="E29">
        <v>28</v>
      </c>
      <c r="F29">
        <v>3.12</v>
      </c>
      <c r="G29">
        <v>28</v>
      </c>
      <c r="H29" s="194" t="s">
        <v>216</v>
      </c>
    </row>
    <row r="30" spans="1:12" x14ac:dyDescent="0.15">
      <c r="A30" s="35" t="s">
        <v>73</v>
      </c>
      <c r="B30" s="43">
        <v>7</v>
      </c>
      <c r="D30" s="193" t="s">
        <v>217</v>
      </c>
      <c r="E30">
        <v>29</v>
      </c>
      <c r="F30">
        <v>3.12</v>
      </c>
      <c r="G30">
        <v>29</v>
      </c>
      <c r="H30" s="194" t="s">
        <v>217</v>
      </c>
    </row>
    <row r="31" spans="1:12" x14ac:dyDescent="0.15">
      <c r="A31" s="35" t="s">
        <v>169</v>
      </c>
      <c r="B31" s="43">
        <v>3.14</v>
      </c>
      <c r="D31" s="193" t="s">
        <v>218</v>
      </c>
      <c r="E31">
        <v>30</v>
      </c>
      <c r="F31">
        <v>3.12</v>
      </c>
      <c r="G31">
        <v>30</v>
      </c>
      <c r="H31" s="194" t="s">
        <v>218</v>
      </c>
    </row>
    <row r="32" spans="1:12" ht="12" customHeight="1" thickBot="1" x14ac:dyDescent="0.2">
      <c r="A32" s="41" t="s">
        <v>170</v>
      </c>
      <c r="B32" s="44">
        <v>9</v>
      </c>
      <c r="D32" s="193" t="s">
        <v>219</v>
      </c>
      <c r="E32">
        <v>31</v>
      </c>
      <c r="F32">
        <v>3.13</v>
      </c>
      <c r="G32">
        <v>31</v>
      </c>
      <c r="H32" s="194" t="s">
        <v>219</v>
      </c>
    </row>
    <row r="33" spans="4:8" customFormat="1" ht="12" customHeight="1" x14ac:dyDescent="0.15">
      <c r="D33" s="193" t="s">
        <v>220</v>
      </c>
      <c r="E33">
        <v>32</v>
      </c>
      <c r="F33">
        <v>3.13</v>
      </c>
      <c r="G33">
        <v>32</v>
      </c>
      <c r="H33" s="194" t="s">
        <v>220</v>
      </c>
    </row>
    <row r="34" spans="4:8" customFormat="1" ht="12" customHeight="1" x14ac:dyDescent="0.15">
      <c r="D34" s="193" t="s">
        <v>221</v>
      </c>
      <c r="E34">
        <v>33</v>
      </c>
      <c r="F34">
        <v>3.13</v>
      </c>
      <c r="G34">
        <v>33</v>
      </c>
      <c r="H34" s="194" t="s">
        <v>221</v>
      </c>
    </row>
    <row r="35" spans="4:8" customFormat="1" x14ac:dyDescent="0.15">
      <c r="D35" s="193" t="s">
        <v>222</v>
      </c>
      <c r="E35">
        <v>34</v>
      </c>
      <c r="F35">
        <v>3.13</v>
      </c>
      <c r="G35">
        <v>34</v>
      </c>
      <c r="H35" s="194" t="s">
        <v>222</v>
      </c>
    </row>
    <row r="36" spans="4:8" customFormat="1" x14ac:dyDescent="0.15">
      <c r="D36" s="193" t="s">
        <v>223</v>
      </c>
      <c r="E36">
        <v>35</v>
      </c>
      <c r="F36">
        <v>4.2</v>
      </c>
      <c r="G36">
        <v>35</v>
      </c>
      <c r="H36" s="194" t="s">
        <v>223</v>
      </c>
    </row>
    <row r="37" spans="4:8" customFormat="1" ht="12" customHeight="1" x14ac:dyDescent="0.15">
      <c r="D37" s="193" t="s">
        <v>224</v>
      </c>
      <c r="E37">
        <v>36</v>
      </c>
      <c r="F37">
        <v>4.0999999999999996</v>
      </c>
      <c r="G37">
        <v>36</v>
      </c>
      <c r="H37" s="194" t="s">
        <v>224</v>
      </c>
    </row>
    <row r="38" spans="4:8" customFormat="1" x14ac:dyDescent="0.15">
      <c r="D38" s="193" t="s">
        <v>225</v>
      </c>
      <c r="E38">
        <v>37</v>
      </c>
      <c r="F38">
        <v>4.3</v>
      </c>
      <c r="G38">
        <v>37</v>
      </c>
      <c r="H38" s="194" t="s">
        <v>225</v>
      </c>
    </row>
    <row r="39" spans="4:8" customFormat="1" x14ac:dyDescent="0.15">
      <c r="D39" s="193" t="s">
        <v>226</v>
      </c>
      <c r="E39">
        <v>38</v>
      </c>
      <c r="F39">
        <v>5</v>
      </c>
      <c r="G39">
        <v>38</v>
      </c>
      <c r="H39" s="194" t="s">
        <v>226</v>
      </c>
    </row>
    <row r="40" spans="4:8" customFormat="1" x14ac:dyDescent="0.15">
      <c r="D40" s="193" t="s">
        <v>138</v>
      </c>
      <c r="E40">
        <v>39</v>
      </c>
      <c r="F40">
        <v>6.1</v>
      </c>
      <c r="G40">
        <v>39</v>
      </c>
      <c r="H40" s="194" t="s">
        <v>138</v>
      </c>
    </row>
    <row r="41" spans="4:8" customFormat="1" x14ac:dyDescent="0.15">
      <c r="D41" s="193" t="s">
        <v>45</v>
      </c>
      <c r="E41">
        <v>40</v>
      </c>
      <c r="F41">
        <v>6.2</v>
      </c>
      <c r="G41">
        <v>40</v>
      </c>
      <c r="H41" s="194" t="s">
        <v>45</v>
      </c>
    </row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3" bestFit="1" customWidth="1"/>
    <col min="2" max="2" width="10.83203125" style="82" customWidth="1"/>
    <col min="3" max="3" width="29.6640625" style="82" customWidth="1"/>
    <col min="4" max="4" width="39.6640625" style="82" customWidth="1"/>
    <col min="5" max="5" width="8.1640625" style="82" customWidth="1"/>
    <col min="6" max="6" width="36.6640625" style="82" bestFit="1" customWidth="1"/>
    <col min="7" max="9" width="2.33203125" style="82" customWidth="1"/>
    <col min="10" max="10" width="2.33203125" style="82" bestFit="1" customWidth="1"/>
    <col min="11" max="15" width="5.83203125" style="82" customWidth="1"/>
    <col min="16" max="16" width="5.83203125" style="70" customWidth="1"/>
    <col min="17" max="17" width="2.33203125" style="82" customWidth="1"/>
    <col min="18" max="18" width="2.33203125" style="71" customWidth="1"/>
    <col min="19" max="16384" width="11.5" style="82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4" t="s">
        <v>48</v>
      </c>
      <c r="L1" s="71"/>
      <c r="M1" s="84" t="s">
        <v>119</v>
      </c>
      <c r="N1" s="71"/>
      <c r="O1" s="84" t="s">
        <v>49</v>
      </c>
      <c r="P1" s="74"/>
      <c r="Q1" s="84" t="s">
        <v>50</v>
      </c>
      <c r="R1" s="68" t="s">
        <v>154</v>
      </c>
    </row>
    <row r="2" spans="1:23" ht="15" customHeight="1" x14ac:dyDescent="0.15">
      <c r="A2" s="84" t="s">
        <v>51</v>
      </c>
      <c r="B2" s="85">
        <v>0.5</v>
      </c>
      <c r="C2" s="83" t="s">
        <v>52</v>
      </c>
      <c r="D2" s="86"/>
      <c r="F2" s="1"/>
      <c r="G2" s="87"/>
      <c r="H2" s="87"/>
      <c r="I2" s="87" t="s">
        <v>133</v>
      </c>
      <c r="J2" s="87" t="s">
        <v>133</v>
      </c>
      <c r="K2" s="87" t="s">
        <v>52</v>
      </c>
      <c r="L2" s="87" t="s">
        <v>53</v>
      </c>
      <c r="M2" s="87" t="s">
        <v>52</v>
      </c>
      <c r="N2" s="87" t="s">
        <v>53</v>
      </c>
      <c r="O2" s="87" t="s">
        <v>52</v>
      </c>
      <c r="P2" s="88" t="s">
        <v>53</v>
      </c>
      <c r="Q2" s="87"/>
      <c r="R2" s="89" t="s">
        <v>155</v>
      </c>
    </row>
    <row r="3" spans="1:23" ht="15" customHeight="1" thickBot="1" x14ac:dyDescent="0.2">
      <c r="A3" s="84" t="s">
        <v>54</v>
      </c>
      <c r="B3" s="90">
        <v>0.5</v>
      </c>
      <c r="C3" s="83" t="s">
        <v>53</v>
      </c>
      <c r="D3" s="8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7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7">
        <v>0</v>
      </c>
      <c r="R4" s="109">
        <v>0</v>
      </c>
    </row>
    <row r="5" spans="1:23" ht="15" customHeight="1" x14ac:dyDescent="0.15">
      <c r="A5" s="84" t="s">
        <v>55</v>
      </c>
      <c r="B5" s="91">
        <v>0.5</v>
      </c>
      <c r="C5" s="83" t="s">
        <v>52</v>
      </c>
      <c r="D5" s="8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7">
        <v>0</v>
      </c>
      <c r="R5" s="109">
        <v>0</v>
      </c>
    </row>
    <row r="6" spans="1:23" ht="15" customHeight="1" thickBot="1" x14ac:dyDescent="0.2">
      <c r="A6" s="84"/>
      <c r="B6" s="92">
        <v>0.5</v>
      </c>
      <c r="C6" s="83" t="s">
        <v>53</v>
      </c>
      <c r="D6" s="86"/>
      <c r="F6" s="195" t="s">
        <v>192</v>
      </c>
      <c r="G6" s="82">
        <v>0</v>
      </c>
      <c r="H6" s="82">
        <v>0</v>
      </c>
      <c r="I6" s="82">
        <v>0</v>
      </c>
      <c r="J6" s="82">
        <v>0</v>
      </c>
      <c r="K6" s="82">
        <v>0</v>
      </c>
      <c r="L6" s="82">
        <v>0</v>
      </c>
      <c r="M6" s="82">
        <v>0.99</v>
      </c>
      <c r="N6" s="82">
        <v>1.0000000000000009E-2</v>
      </c>
      <c r="O6" s="82">
        <v>0</v>
      </c>
      <c r="P6" s="70">
        <v>0</v>
      </c>
      <c r="Q6" s="82">
        <v>0</v>
      </c>
      <c r="R6" s="71">
        <v>1</v>
      </c>
      <c r="S6"/>
      <c r="T6"/>
    </row>
    <row r="7" spans="1:23" ht="15" customHeight="1" thickBot="1" x14ac:dyDescent="0.2">
      <c r="F7" s="195" t="s">
        <v>193</v>
      </c>
      <c r="G7" s="82">
        <v>0</v>
      </c>
      <c r="H7" s="82">
        <v>0</v>
      </c>
      <c r="I7" s="82">
        <v>0</v>
      </c>
      <c r="J7" s="82">
        <v>0</v>
      </c>
      <c r="K7" s="82">
        <v>0.99</v>
      </c>
      <c r="L7" s="82">
        <v>1.0000000000000009E-2</v>
      </c>
      <c r="M7" s="82">
        <v>0.99</v>
      </c>
      <c r="N7" s="82">
        <v>1.0000000000000009E-2</v>
      </c>
      <c r="O7" s="82">
        <v>0.99</v>
      </c>
      <c r="P7" s="70">
        <v>1.0000000000000009E-2</v>
      </c>
      <c r="Q7" s="82">
        <v>0</v>
      </c>
      <c r="R7" s="71">
        <v>1</v>
      </c>
      <c r="S7"/>
      <c r="T7"/>
    </row>
    <row r="8" spans="1:23" ht="15" customHeight="1" x14ac:dyDescent="0.15">
      <c r="A8" s="84" t="s">
        <v>56</v>
      </c>
      <c r="B8" s="91">
        <v>1</v>
      </c>
      <c r="C8" s="196" t="s">
        <v>192</v>
      </c>
      <c r="D8" s="86" t="s">
        <v>160</v>
      </c>
      <c r="F8" s="195" t="s">
        <v>194</v>
      </c>
      <c r="G8" s="82">
        <v>0</v>
      </c>
      <c r="H8" s="82">
        <v>0</v>
      </c>
      <c r="I8" s="82">
        <v>0</v>
      </c>
      <c r="J8" s="82">
        <v>0</v>
      </c>
      <c r="K8" s="82">
        <v>0.99</v>
      </c>
      <c r="L8" s="82">
        <v>1.0000000000000009E-2</v>
      </c>
      <c r="M8" s="82">
        <v>0.99</v>
      </c>
      <c r="N8" s="82">
        <v>1.0000000000000009E-2</v>
      </c>
      <c r="O8" s="82">
        <v>0.99</v>
      </c>
      <c r="P8" s="70">
        <v>1.0000000000000009E-2</v>
      </c>
      <c r="Q8" s="82">
        <v>0</v>
      </c>
      <c r="R8" s="71">
        <v>1</v>
      </c>
      <c r="S8"/>
      <c r="T8"/>
      <c r="W8"/>
    </row>
    <row r="9" spans="1:23" ht="15" customHeight="1" x14ac:dyDescent="0.15">
      <c r="A9" s="123" t="s">
        <v>168</v>
      </c>
      <c r="B9" s="93"/>
      <c r="C9" s="81"/>
      <c r="D9" s="86" t="s">
        <v>160</v>
      </c>
      <c r="F9" s="195" t="s">
        <v>195</v>
      </c>
      <c r="G9" s="82">
        <v>0</v>
      </c>
      <c r="H9" s="82">
        <v>0</v>
      </c>
      <c r="I9" s="82">
        <v>0</v>
      </c>
      <c r="J9" s="82">
        <v>0</v>
      </c>
      <c r="K9" s="82">
        <v>0.99</v>
      </c>
      <c r="L9" s="82">
        <v>1.0000000000000009E-2</v>
      </c>
      <c r="M9" s="82">
        <v>0.99</v>
      </c>
      <c r="N9" s="82">
        <v>1.0000000000000009E-2</v>
      </c>
      <c r="O9" s="82">
        <v>0.99</v>
      </c>
      <c r="P9" s="70">
        <v>1.0000000000000009E-2</v>
      </c>
      <c r="Q9" s="82">
        <v>0</v>
      </c>
      <c r="R9" s="71">
        <v>1</v>
      </c>
      <c r="S9"/>
      <c r="T9"/>
      <c r="W9"/>
    </row>
    <row r="10" spans="1:23" ht="15" customHeight="1" x14ac:dyDescent="0.15">
      <c r="B10" s="93"/>
      <c r="C10" s="81"/>
      <c r="D10" s="86" t="s">
        <v>160</v>
      </c>
      <c r="F10" s="195" t="s">
        <v>196</v>
      </c>
      <c r="G10" s="82">
        <v>0</v>
      </c>
      <c r="H10" s="82">
        <v>0</v>
      </c>
      <c r="I10" s="82">
        <v>0</v>
      </c>
      <c r="J10" s="82">
        <v>0</v>
      </c>
      <c r="K10" s="82">
        <v>0.99</v>
      </c>
      <c r="L10" s="82">
        <v>1.0000000000000009E-2</v>
      </c>
      <c r="M10" s="82">
        <v>0.99</v>
      </c>
      <c r="N10" s="82">
        <v>1.0000000000000009E-2</v>
      </c>
      <c r="O10" s="82">
        <v>0.99</v>
      </c>
      <c r="P10" s="70">
        <v>1.0000000000000009E-2</v>
      </c>
      <c r="Q10" s="82">
        <v>0</v>
      </c>
      <c r="R10" s="71">
        <v>1</v>
      </c>
      <c r="S10"/>
      <c r="T10"/>
      <c r="W10"/>
    </row>
    <row r="11" spans="1:23" ht="15" customHeight="1" x14ac:dyDescent="0.15">
      <c r="A11" s="84"/>
      <c r="B11" s="93"/>
      <c r="C11" s="96"/>
      <c r="D11" s="86" t="s">
        <v>160</v>
      </c>
      <c r="F11" s="195" t="s">
        <v>197</v>
      </c>
      <c r="G11" s="82">
        <v>0</v>
      </c>
      <c r="H11" s="82">
        <v>0</v>
      </c>
      <c r="I11" s="82">
        <v>0</v>
      </c>
      <c r="J11" s="82">
        <v>0</v>
      </c>
      <c r="K11" s="82">
        <v>0.99</v>
      </c>
      <c r="L11" s="82">
        <v>1.0000000000000009E-2</v>
      </c>
      <c r="M11" s="82">
        <v>0.99</v>
      </c>
      <c r="N11" s="82">
        <v>1.0000000000000009E-2</v>
      </c>
      <c r="O11" s="82">
        <v>0.99</v>
      </c>
      <c r="P11" s="70">
        <v>1.0000000000000009E-2</v>
      </c>
      <c r="Q11" s="82">
        <v>0</v>
      </c>
      <c r="R11" s="71">
        <v>1</v>
      </c>
      <c r="S11"/>
      <c r="T11"/>
      <c r="W11"/>
    </row>
    <row r="12" spans="1:23" ht="15" customHeight="1" x14ac:dyDescent="0.15">
      <c r="B12" s="93"/>
      <c r="C12" s="97"/>
      <c r="D12" s="86" t="s">
        <v>160</v>
      </c>
      <c r="F12" s="195" t="s">
        <v>198</v>
      </c>
      <c r="G12" s="82">
        <v>0</v>
      </c>
      <c r="H12" s="82">
        <v>0</v>
      </c>
      <c r="I12" s="82">
        <v>0</v>
      </c>
      <c r="J12" s="82">
        <v>0</v>
      </c>
      <c r="K12" s="82">
        <v>0.99</v>
      </c>
      <c r="L12" s="82">
        <v>1.0000000000000009E-2</v>
      </c>
      <c r="M12" s="82">
        <v>0.99</v>
      </c>
      <c r="N12" s="82">
        <v>1.0000000000000009E-2</v>
      </c>
      <c r="O12" s="82">
        <v>0.99</v>
      </c>
      <c r="P12" s="70">
        <v>1.0000000000000009E-2</v>
      </c>
      <c r="Q12" s="82">
        <v>0</v>
      </c>
      <c r="R12" s="71">
        <v>1</v>
      </c>
      <c r="S12"/>
      <c r="T12"/>
      <c r="W12"/>
    </row>
    <row r="13" spans="1:23" ht="15" customHeight="1" x14ac:dyDescent="0.15">
      <c r="B13" s="93"/>
      <c r="C13" s="97"/>
      <c r="D13" s="86" t="s">
        <v>160</v>
      </c>
      <c r="F13" s="195" t="s">
        <v>199</v>
      </c>
      <c r="G13" s="82">
        <v>0</v>
      </c>
      <c r="H13" s="82">
        <v>0</v>
      </c>
      <c r="I13" s="82">
        <v>0</v>
      </c>
      <c r="J13" s="82">
        <v>0</v>
      </c>
      <c r="K13" s="82">
        <v>0</v>
      </c>
      <c r="L13" s="82">
        <v>1</v>
      </c>
      <c r="M13" s="82">
        <v>0</v>
      </c>
      <c r="N13" s="82">
        <v>1</v>
      </c>
      <c r="O13" s="82">
        <v>0</v>
      </c>
      <c r="P13" s="70">
        <v>1</v>
      </c>
      <c r="Q13" s="82">
        <v>0</v>
      </c>
      <c r="R13" s="71">
        <v>1</v>
      </c>
      <c r="S13"/>
      <c r="T13"/>
      <c r="W13"/>
    </row>
    <row r="14" spans="1:23" ht="15" customHeight="1" x14ac:dyDescent="0.15">
      <c r="B14" s="93"/>
      <c r="C14" s="81"/>
      <c r="D14" s="86" t="s">
        <v>160</v>
      </c>
      <c r="F14" s="195" t="s">
        <v>200</v>
      </c>
      <c r="G14" s="82">
        <v>0</v>
      </c>
      <c r="H14" s="82">
        <v>0</v>
      </c>
      <c r="I14" s="82">
        <v>0</v>
      </c>
      <c r="J14" s="82">
        <v>0</v>
      </c>
      <c r="K14" s="82">
        <v>0.99</v>
      </c>
      <c r="L14" s="82">
        <v>1.0000000000000009E-2</v>
      </c>
      <c r="M14" s="82">
        <v>0.99</v>
      </c>
      <c r="N14" s="82">
        <v>1.0000000000000009E-2</v>
      </c>
      <c r="O14" s="82">
        <v>0.99</v>
      </c>
      <c r="P14" s="70">
        <v>1.0000000000000009E-2</v>
      </c>
      <c r="Q14" s="82">
        <v>0</v>
      </c>
      <c r="R14" s="71">
        <v>1</v>
      </c>
      <c r="S14"/>
      <c r="T14"/>
      <c r="W14"/>
    </row>
    <row r="15" spans="1:23" ht="15" customHeight="1" x14ac:dyDescent="0.15">
      <c r="B15" s="93"/>
      <c r="C15" s="81"/>
      <c r="D15" s="86" t="s">
        <v>160</v>
      </c>
      <c r="F15" s="195" t="s">
        <v>201</v>
      </c>
      <c r="G15" s="82">
        <v>0</v>
      </c>
      <c r="H15" s="82">
        <v>0</v>
      </c>
      <c r="I15" s="82">
        <v>0</v>
      </c>
      <c r="J15" s="82">
        <v>0</v>
      </c>
      <c r="K15" s="82">
        <v>0.99</v>
      </c>
      <c r="L15" s="82">
        <v>1.0000000000000009E-2</v>
      </c>
      <c r="M15" s="82">
        <v>0.99</v>
      </c>
      <c r="N15" s="82">
        <v>1.0000000000000009E-2</v>
      </c>
      <c r="O15" s="82">
        <v>0.99</v>
      </c>
      <c r="P15" s="70">
        <v>1.0000000000000009E-2</v>
      </c>
      <c r="Q15" s="82">
        <v>0</v>
      </c>
      <c r="R15" s="71">
        <v>1</v>
      </c>
      <c r="S15"/>
      <c r="T15"/>
      <c r="W15"/>
    </row>
    <row r="16" spans="1:23" ht="15" customHeight="1" x14ac:dyDescent="0.15">
      <c r="B16" s="93"/>
      <c r="C16" s="81"/>
      <c r="D16" s="86" t="s">
        <v>160</v>
      </c>
      <c r="F16" s="195" t="s">
        <v>202</v>
      </c>
      <c r="G16" s="82">
        <v>0</v>
      </c>
      <c r="H16" s="82">
        <v>0</v>
      </c>
      <c r="I16" s="82">
        <v>0</v>
      </c>
      <c r="J16" s="82">
        <v>0</v>
      </c>
      <c r="K16" s="82">
        <v>0.99</v>
      </c>
      <c r="L16" s="82">
        <v>1.0000000000000009E-2</v>
      </c>
      <c r="M16" s="82">
        <v>0.99</v>
      </c>
      <c r="N16" s="82">
        <v>1.0000000000000009E-2</v>
      </c>
      <c r="O16" s="82">
        <v>0.99</v>
      </c>
      <c r="P16" s="70">
        <v>1.0000000000000009E-2</v>
      </c>
      <c r="Q16" s="82">
        <v>0</v>
      </c>
      <c r="R16" s="71">
        <v>1</v>
      </c>
      <c r="S16"/>
      <c r="T16"/>
    </row>
    <row r="17" spans="1:20" ht="15" customHeight="1" thickBot="1" x14ac:dyDescent="0.2">
      <c r="B17" s="92"/>
      <c r="C17" s="81"/>
      <c r="D17" s="86" t="s">
        <v>160</v>
      </c>
      <c r="F17" s="195" t="s">
        <v>203</v>
      </c>
      <c r="G17" s="82">
        <v>0</v>
      </c>
      <c r="H17" s="82">
        <v>0</v>
      </c>
      <c r="I17" s="82">
        <v>0</v>
      </c>
      <c r="J17" s="82">
        <v>0</v>
      </c>
      <c r="K17" s="82">
        <v>0.99</v>
      </c>
      <c r="L17" s="82">
        <v>1.0000000000000009E-2</v>
      </c>
      <c r="M17" s="82">
        <v>0.99</v>
      </c>
      <c r="N17" s="82">
        <v>1.0000000000000009E-2</v>
      </c>
      <c r="O17" s="82">
        <v>0.99</v>
      </c>
      <c r="P17" s="70">
        <v>1.0000000000000009E-2</v>
      </c>
      <c r="Q17" s="82">
        <v>0</v>
      </c>
      <c r="R17" s="71">
        <v>1</v>
      </c>
      <c r="S17"/>
      <c r="T17"/>
    </row>
    <row r="18" spans="1:20" ht="15" customHeight="1" thickBot="1" x14ac:dyDescent="0.2">
      <c r="B18" s="94"/>
      <c r="F18" s="195" t="s">
        <v>204</v>
      </c>
      <c r="G18" s="82">
        <v>0</v>
      </c>
      <c r="H18" s="82">
        <v>0</v>
      </c>
      <c r="I18" s="82">
        <v>0</v>
      </c>
      <c r="J18" s="82">
        <v>0</v>
      </c>
      <c r="K18" s="82">
        <v>0.99</v>
      </c>
      <c r="L18" s="82">
        <v>1.0000000000000009E-2</v>
      </c>
      <c r="M18" s="82">
        <v>0.99</v>
      </c>
      <c r="N18" s="82">
        <v>1.0000000000000009E-2</v>
      </c>
      <c r="O18" s="82">
        <v>0.99</v>
      </c>
      <c r="P18" s="70">
        <v>1.0000000000000009E-2</v>
      </c>
      <c r="Q18" s="82">
        <v>0</v>
      </c>
      <c r="R18" s="71">
        <v>1</v>
      </c>
      <c r="S18"/>
      <c r="T18"/>
    </row>
    <row r="19" spans="1:20" ht="15" customHeight="1" x14ac:dyDescent="0.15">
      <c r="A19" s="84" t="s">
        <v>57</v>
      </c>
      <c r="B19" s="91">
        <v>1</v>
      </c>
      <c r="C19" s="197" t="s">
        <v>192</v>
      </c>
      <c r="D19" s="86" t="s">
        <v>160</v>
      </c>
      <c r="F19" s="195" t="s">
        <v>205</v>
      </c>
      <c r="G19" s="82">
        <v>0</v>
      </c>
      <c r="H19" s="82">
        <v>0</v>
      </c>
      <c r="I19" s="82">
        <v>0</v>
      </c>
      <c r="J19" s="82">
        <v>0</v>
      </c>
      <c r="K19" s="82">
        <v>0.99</v>
      </c>
      <c r="L19" s="82">
        <v>1.0000000000000009E-2</v>
      </c>
      <c r="M19" s="82">
        <v>0.99</v>
      </c>
      <c r="N19" s="82">
        <v>1.0000000000000009E-2</v>
      </c>
      <c r="O19" s="82">
        <v>0.99</v>
      </c>
      <c r="P19" s="70">
        <v>1.0000000000000009E-2</v>
      </c>
      <c r="Q19" s="82">
        <v>0</v>
      </c>
      <c r="R19" s="71">
        <v>1</v>
      </c>
      <c r="S19"/>
      <c r="T19"/>
    </row>
    <row r="20" spans="1:20" ht="15" customHeight="1" x14ac:dyDescent="0.15">
      <c r="A20" s="123" t="s">
        <v>168</v>
      </c>
      <c r="B20" s="93"/>
      <c r="C20" s="81"/>
      <c r="D20" s="86" t="s">
        <v>160</v>
      </c>
      <c r="F20" s="195" t="s">
        <v>206</v>
      </c>
      <c r="G20" s="82">
        <v>0</v>
      </c>
      <c r="H20" s="82">
        <v>0</v>
      </c>
      <c r="I20" s="82">
        <v>0</v>
      </c>
      <c r="J20" s="82">
        <v>0</v>
      </c>
      <c r="K20" s="82">
        <v>0.99</v>
      </c>
      <c r="L20" s="82">
        <v>1.0000000000000009E-2</v>
      </c>
      <c r="M20" s="82">
        <v>0.99</v>
      </c>
      <c r="N20" s="82">
        <v>1.0000000000000009E-2</v>
      </c>
      <c r="O20" s="82">
        <v>0.99</v>
      </c>
      <c r="P20" s="70">
        <v>1.0000000000000009E-2</v>
      </c>
      <c r="Q20" s="82">
        <v>0</v>
      </c>
      <c r="R20" s="71">
        <v>1</v>
      </c>
      <c r="S20"/>
      <c r="T20"/>
    </row>
    <row r="21" spans="1:20" ht="15" customHeight="1" x14ac:dyDescent="0.15">
      <c r="B21" s="93"/>
      <c r="C21" s="81"/>
      <c r="D21" s="86" t="s">
        <v>160</v>
      </c>
      <c r="F21" s="195" t="s">
        <v>207</v>
      </c>
      <c r="G21" s="82">
        <v>0</v>
      </c>
      <c r="H21" s="82">
        <v>0</v>
      </c>
      <c r="I21" s="82">
        <v>0</v>
      </c>
      <c r="J21" s="82">
        <v>0</v>
      </c>
      <c r="K21" s="82">
        <v>0.99</v>
      </c>
      <c r="L21" s="82">
        <v>1.0000000000000009E-2</v>
      </c>
      <c r="M21" s="82">
        <v>0.99</v>
      </c>
      <c r="N21" s="82">
        <v>1.0000000000000009E-2</v>
      </c>
      <c r="O21" s="82">
        <v>0.99</v>
      </c>
      <c r="P21" s="70">
        <v>1.0000000000000009E-2</v>
      </c>
      <c r="Q21" s="82">
        <v>0</v>
      </c>
      <c r="R21" s="71">
        <v>1</v>
      </c>
      <c r="S21"/>
      <c r="T21"/>
    </row>
    <row r="22" spans="1:20" ht="15" customHeight="1" x14ac:dyDescent="0.15">
      <c r="A22" s="82"/>
      <c r="B22" s="93"/>
      <c r="C22" s="96"/>
      <c r="D22" s="86" t="s">
        <v>160</v>
      </c>
      <c r="F22" s="195" t="s">
        <v>208</v>
      </c>
      <c r="G22" s="82">
        <v>0</v>
      </c>
      <c r="H22" s="82">
        <v>0</v>
      </c>
      <c r="I22" s="82">
        <v>0</v>
      </c>
      <c r="J22" s="82">
        <v>0</v>
      </c>
      <c r="K22" s="82">
        <v>0.99</v>
      </c>
      <c r="L22" s="82">
        <v>1.0000000000000009E-2</v>
      </c>
      <c r="M22" s="82">
        <v>0.99</v>
      </c>
      <c r="N22" s="82">
        <v>1.0000000000000009E-2</v>
      </c>
      <c r="O22" s="82">
        <v>0.99</v>
      </c>
      <c r="P22" s="70">
        <v>1.0000000000000009E-2</v>
      </c>
      <c r="Q22" s="82">
        <v>0</v>
      </c>
      <c r="R22" s="71">
        <v>1</v>
      </c>
      <c r="S22"/>
      <c r="T22"/>
    </row>
    <row r="23" spans="1:20" ht="15" customHeight="1" x14ac:dyDescent="0.15">
      <c r="A23" s="82"/>
      <c r="B23" s="93"/>
      <c r="C23" s="97"/>
      <c r="D23" s="86" t="s">
        <v>160</v>
      </c>
      <c r="F23" s="195" t="s">
        <v>209</v>
      </c>
      <c r="G23" s="82">
        <v>0</v>
      </c>
      <c r="H23" s="82">
        <v>0</v>
      </c>
      <c r="I23" s="82">
        <v>0</v>
      </c>
      <c r="J23" s="82">
        <v>0</v>
      </c>
      <c r="K23" s="82">
        <v>0.99</v>
      </c>
      <c r="L23" s="82">
        <v>1.0000000000000009E-2</v>
      </c>
      <c r="M23" s="82">
        <v>0.99</v>
      </c>
      <c r="N23" s="82">
        <v>1.0000000000000009E-2</v>
      </c>
      <c r="O23" s="82">
        <v>0.99</v>
      </c>
      <c r="P23" s="70">
        <v>1.0000000000000009E-2</v>
      </c>
      <c r="Q23" s="82">
        <v>0</v>
      </c>
      <c r="R23" s="71">
        <v>1</v>
      </c>
      <c r="S23"/>
      <c r="T23"/>
    </row>
    <row r="24" spans="1:20" ht="15" customHeight="1" x14ac:dyDescent="0.15">
      <c r="A24" s="82"/>
      <c r="B24" s="93"/>
      <c r="C24" s="97"/>
      <c r="D24" s="86" t="s">
        <v>160</v>
      </c>
      <c r="F24" s="195" t="s">
        <v>210</v>
      </c>
      <c r="G24" s="82">
        <v>0</v>
      </c>
      <c r="H24" s="82">
        <v>0</v>
      </c>
      <c r="I24" s="82">
        <v>0</v>
      </c>
      <c r="J24" s="82">
        <v>0</v>
      </c>
      <c r="K24" s="82">
        <v>0.99</v>
      </c>
      <c r="L24" s="82">
        <v>1.0000000000000009E-2</v>
      </c>
      <c r="M24" s="82">
        <v>0.99</v>
      </c>
      <c r="N24" s="82">
        <v>1.0000000000000009E-2</v>
      </c>
      <c r="O24" s="82">
        <v>0.99</v>
      </c>
      <c r="P24" s="70">
        <v>1.0000000000000009E-2</v>
      </c>
      <c r="Q24" s="82">
        <v>0</v>
      </c>
      <c r="R24" s="71">
        <v>1</v>
      </c>
      <c r="S24"/>
      <c r="T24"/>
    </row>
    <row r="25" spans="1:20" ht="15" customHeight="1" x14ac:dyDescent="0.15">
      <c r="A25" s="82"/>
      <c r="B25" s="93"/>
      <c r="C25" s="81"/>
      <c r="D25" s="86" t="s">
        <v>160</v>
      </c>
      <c r="F25" s="195" t="s">
        <v>211</v>
      </c>
      <c r="G25" s="82">
        <v>0</v>
      </c>
      <c r="H25" s="82">
        <v>0</v>
      </c>
      <c r="I25" s="82">
        <v>0</v>
      </c>
      <c r="J25" s="82">
        <v>0</v>
      </c>
      <c r="K25" s="82">
        <v>0.99</v>
      </c>
      <c r="L25" s="82">
        <v>1.0000000000000009E-2</v>
      </c>
      <c r="M25" s="82">
        <v>0.99</v>
      </c>
      <c r="N25" s="82">
        <v>1.0000000000000009E-2</v>
      </c>
      <c r="O25" s="82">
        <v>0.99</v>
      </c>
      <c r="P25" s="70">
        <v>1.0000000000000009E-2</v>
      </c>
      <c r="Q25" s="82">
        <v>0</v>
      </c>
      <c r="R25" s="71">
        <v>1</v>
      </c>
      <c r="S25"/>
      <c r="T25"/>
    </row>
    <row r="26" spans="1:20" ht="15" customHeight="1" x14ac:dyDescent="0.15">
      <c r="B26" s="93"/>
      <c r="C26" s="81"/>
      <c r="D26" s="86" t="s">
        <v>160</v>
      </c>
      <c r="F26" s="195" t="s">
        <v>212</v>
      </c>
      <c r="G26" s="82">
        <v>0</v>
      </c>
      <c r="H26" s="82">
        <v>0</v>
      </c>
      <c r="I26" s="82">
        <v>0</v>
      </c>
      <c r="J26" s="82">
        <v>0</v>
      </c>
      <c r="K26" s="82">
        <v>0.99</v>
      </c>
      <c r="L26" s="82">
        <v>1.0000000000000009E-2</v>
      </c>
      <c r="M26" s="82">
        <v>0.99</v>
      </c>
      <c r="N26" s="82">
        <v>1.0000000000000009E-2</v>
      </c>
      <c r="O26" s="82">
        <v>0.99</v>
      </c>
      <c r="P26" s="70">
        <v>1.0000000000000009E-2</v>
      </c>
      <c r="Q26" s="82">
        <v>0</v>
      </c>
      <c r="R26" s="71">
        <v>1</v>
      </c>
      <c r="S26"/>
      <c r="T26"/>
    </row>
    <row r="27" spans="1:20" ht="15" customHeight="1" x14ac:dyDescent="0.15">
      <c r="B27" s="93"/>
      <c r="C27" s="81"/>
      <c r="D27" s="86" t="s">
        <v>160</v>
      </c>
      <c r="F27" s="195" t="s">
        <v>213</v>
      </c>
      <c r="G27" s="82">
        <v>0</v>
      </c>
      <c r="H27" s="82">
        <v>0</v>
      </c>
      <c r="I27" s="82">
        <v>0</v>
      </c>
      <c r="J27" s="82">
        <v>0</v>
      </c>
      <c r="K27" s="82">
        <v>0.99</v>
      </c>
      <c r="L27" s="82">
        <v>1.0000000000000009E-2</v>
      </c>
      <c r="M27" s="82">
        <v>0.99</v>
      </c>
      <c r="N27" s="82">
        <v>1.0000000000000009E-2</v>
      </c>
      <c r="O27" s="82">
        <v>0.99</v>
      </c>
      <c r="P27" s="70">
        <v>1.0000000000000009E-2</v>
      </c>
      <c r="Q27" s="82">
        <v>0</v>
      </c>
      <c r="R27" s="71">
        <v>1</v>
      </c>
      <c r="S27"/>
      <c r="T27"/>
    </row>
    <row r="28" spans="1:20" ht="15" customHeight="1" thickBot="1" x14ac:dyDescent="0.2">
      <c r="B28" s="92"/>
      <c r="C28" s="81"/>
      <c r="D28" s="86" t="s">
        <v>160</v>
      </c>
      <c r="F28" s="195" t="s">
        <v>214</v>
      </c>
      <c r="G28" s="82">
        <v>0</v>
      </c>
      <c r="H28" s="82">
        <v>0</v>
      </c>
      <c r="I28" s="82">
        <v>0</v>
      </c>
      <c r="J28" s="82">
        <v>0</v>
      </c>
      <c r="K28" s="82">
        <v>0.99</v>
      </c>
      <c r="L28" s="82">
        <v>1.0000000000000009E-2</v>
      </c>
      <c r="M28" s="82">
        <v>0.99</v>
      </c>
      <c r="N28" s="82">
        <v>1.0000000000000009E-2</v>
      </c>
      <c r="O28" s="82">
        <v>0.99</v>
      </c>
      <c r="P28" s="70">
        <v>1.0000000000000009E-2</v>
      </c>
      <c r="Q28" s="82">
        <v>0</v>
      </c>
      <c r="R28" s="71">
        <v>1</v>
      </c>
      <c r="S28"/>
      <c r="T28"/>
    </row>
    <row r="29" spans="1:20" ht="15" customHeight="1" x14ac:dyDescent="0.15">
      <c r="F29" s="195" t="s">
        <v>215</v>
      </c>
      <c r="G29" s="82">
        <v>0</v>
      </c>
      <c r="H29" s="82">
        <v>0</v>
      </c>
      <c r="I29" s="82">
        <v>0</v>
      </c>
      <c r="J29" s="82">
        <v>0</v>
      </c>
      <c r="K29" s="82">
        <v>0.99</v>
      </c>
      <c r="L29" s="82">
        <v>1.0000000000000009E-2</v>
      </c>
      <c r="M29" s="82">
        <v>0.99</v>
      </c>
      <c r="N29" s="82">
        <v>1.0000000000000009E-2</v>
      </c>
      <c r="O29" s="82">
        <v>0.99</v>
      </c>
      <c r="P29" s="70">
        <v>1.0000000000000009E-2</v>
      </c>
      <c r="Q29" s="82">
        <v>0</v>
      </c>
      <c r="R29" s="71">
        <v>1</v>
      </c>
      <c r="S29"/>
      <c r="T29"/>
    </row>
    <row r="30" spans="1:20" ht="15" customHeight="1" x14ac:dyDescent="0.15">
      <c r="F30" s="195" t="s">
        <v>216</v>
      </c>
      <c r="G30" s="82">
        <v>0</v>
      </c>
      <c r="H30" s="82">
        <v>0</v>
      </c>
      <c r="I30" s="82">
        <v>0</v>
      </c>
      <c r="J30" s="82">
        <v>0</v>
      </c>
      <c r="K30" s="82">
        <v>0</v>
      </c>
      <c r="L30" s="82">
        <v>1</v>
      </c>
      <c r="M30" s="82">
        <v>0</v>
      </c>
      <c r="N30" s="82">
        <v>1</v>
      </c>
      <c r="O30" s="82">
        <v>0</v>
      </c>
      <c r="P30" s="70">
        <v>1</v>
      </c>
      <c r="Q30" s="82">
        <v>0</v>
      </c>
      <c r="R30" s="71">
        <v>1</v>
      </c>
      <c r="S30"/>
      <c r="T30"/>
    </row>
    <row r="31" spans="1:20" ht="15" customHeight="1" x14ac:dyDescent="0.15">
      <c r="A31" s="124"/>
      <c r="B31" s="135" t="s">
        <v>17</v>
      </c>
      <c r="C31" s="135" t="s">
        <v>1</v>
      </c>
      <c r="D31" s="135" t="s">
        <v>161</v>
      </c>
      <c r="E31" s="136" t="s">
        <v>163</v>
      </c>
      <c r="F31" s="195" t="s">
        <v>217</v>
      </c>
      <c r="G31" s="82">
        <v>0</v>
      </c>
      <c r="H31" s="82">
        <v>0</v>
      </c>
      <c r="I31" s="82">
        <v>0</v>
      </c>
      <c r="J31" s="82">
        <v>0</v>
      </c>
      <c r="K31" s="82">
        <v>0.99</v>
      </c>
      <c r="L31" s="82">
        <v>1.0000000000000009E-2</v>
      </c>
      <c r="M31" s="82">
        <v>0.99</v>
      </c>
      <c r="N31" s="82">
        <v>1.0000000000000009E-2</v>
      </c>
      <c r="O31" s="82">
        <v>0.99</v>
      </c>
      <c r="P31" s="70">
        <v>1.0000000000000009E-2</v>
      </c>
      <c r="Q31" s="82">
        <v>0</v>
      </c>
      <c r="R31" s="71">
        <v>1</v>
      </c>
      <c r="S31"/>
      <c r="T31"/>
    </row>
    <row r="32" spans="1:20" ht="15" customHeight="1" x14ac:dyDescent="0.15">
      <c r="A32" s="198" t="s">
        <v>192</v>
      </c>
      <c r="B32" s="94">
        <v>26.5280533</v>
      </c>
      <c r="C32" s="94">
        <v>182.85931400000001</v>
      </c>
      <c r="D32" s="94">
        <v>4850.9016281934364</v>
      </c>
      <c r="E32" s="126">
        <v>1</v>
      </c>
      <c r="F32" s="195" t="s">
        <v>218</v>
      </c>
      <c r="G32" s="82">
        <v>0</v>
      </c>
      <c r="H32" s="82">
        <v>0</v>
      </c>
      <c r="I32" s="82">
        <v>0</v>
      </c>
      <c r="J32" s="82">
        <v>0</v>
      </c>
      <c r="K32" s="82">
        <v>0.99</v>
      </c>
      <c r="L32" s="82">
        <v>1.0000000000000009E-2</v>
      </c>
      <c r="M32" s="82">
        <v>0.99</v>
      </c>
      <c r="N32" s="82">
        <v>1.0000000000000009E-2</v>
      </c>
      <c r="O32" s="82">
        <v>0.99</v>
      </c>
      <c r="P32" s="70">
        <v>1.0000000000000009E-2</v>
      </c>
      <c r="Q32" s="82">
        <v>0</v>
      </c>
      <c r="R32" s="71">
        <v>1</v>
      </c>
      <c r="S32"/>
      <c r="T32"/>
    </row>
    <row r="33" spans="1:20" ht="15" customHeight="1" x14ac:dyDescent="0.15">
      <c r="A33" s="125"/>
      <c r="B33" s="94"/>
      <c r="C33" s="94"/>
      <c r="D33" s="94"/>
      <c r="E33" s="126"/>
      <c r="F33" s="195" t="s">
        <v>219</v>
      </c>
      <c r="G33" s="82">
        <v>0</v>
      </c>
      <c r="H33" s="82">
        <v>0</v>
      </c>
      <c r="I33" s="82">
        <v>0</v>
      </c>
      <c r="J33" s="82">
        <v>0</v>
      </c>
      <c r="K33" s="82">
        <v>0</v>
      </c>
      <c r="L33" s="82">
        <v>1</v>
      </c>
      <c r="M33" s="82">
        <v>0</v>
      </c>
      <c r="N33" s="82">
        <v>1</v>
      </c>
      <c r="O33" s="82">
        <v>0</v>
      </c>
      <c r="P33" s="70">
        <v>1</v>
      </c>
      <c r="Q33" s="82">
        <v>0</v>
      </c>
      <c r="R33" s="71">
        <v>1</v>
      </c>
      <c r="S33"/>
      <c r="T33"/>
    </row>
    <row r="34" spans="1:20" ht="15" customHeight="1" x14ac:dyDescent="0.15">
      <c r="A34" s="127"/>
      <c r="B34" s="94"/>
      <c r="C34" s="94"/>
      <c r="D34" s="94"/>
      <c r="E34" s="126"/>
      <c r="F34" s="195" t="s">
        <v>220</v>
      </c>
      <c r="G34" s="82">
        <v>0</v>
      </c>
      <c r="H34" s="82">
        <v>0</v>
      </c>
      <c r="I34" s="82">
        <v>0</v>
      </c>
      <c r="J34" s="82">
        <v>0</v>
      </c>
      <c r="K34" s="82">
        <v>0.99</v>
      </c>
      <c r="L34" s="82">
        <v>1.0000000000000009E-2</v>
      </c>
      <c r="M34" s="82">
        <v>0.99</v>
      </c>
      <c r="N34" s="82">
        <v>1.0000000000000009E-2</v>
      </c>
      <c r="O34" s="82">
        <v>0.99</v>
      </c>
      <c r="P34" s="70">
        <v>1.0000000000000009E-2</v>
      </c>
      <c r="Q34" s="82">
        <v>0</v>
      </c>
      <c r="R34" s="71">
        <v>1</v>
      </c>
      <c r="S34"/>
      <c r="T34"/>
    </row>
    <row r="35" spans="1:20" ht="15" customHeight="1" x14ac:dyDescent="0.15">
      <c r="A35" s="128"/>
      <c r="B35" s="94"/>
      <c r="C35" s="94"/>
      <c r="D35" s="94"/>
      <c r="E35" s="126"/>
      <c r="F35" s="195" t="s">
        <v>221</v>
      </c>
      <c r="G35" s="82">
        <v>0</v>
      </c>
      <c r="H35" s="82">
        <v>0</v>
      </c>
      <c r="I35" s="82">
        <v>0</v>
      </c>
      <c r="J35" s="82">
        <v>0</v>
      </c>
      <c r="K35" s="82">
        <v>0.99</v>
      </c>
      <c r="L35" s="82">
        <v>1.0000000000000009E-2</v>
      </c>
      <c r="M35" s="82">
        <v>0.99</v>
      </c>
      <c r="N35" s="82">
        <v>1.0000000000000009E-2</v>
      </c>
      <c r="O35" s="82">
        <v>0.99</v>
      </c>
      <c r="P35" s="70">
        <v>1.0000000000000009E-2</v>
      </c>
      <c r="Q35" s="82">
        <v>0</v>
      </c>
      <c r="R35" s="71">
        <v>1</v>
      </c>
      <c r="S35"/>
      <c r="T35"/>
    </row>
    <row r="36" spans="1:20" ht="15" customHeight="1" x14ac:dyDescent="0.15">
      <c r="A36" s="129"/>
      <c r="B36" s="94"/>
      <c r="C36" s="94"/>
      <c r="D36" s="94"/>
      <c r="E36" s="126"/>
      <c r="F36" s="195" t="s">
        <v>222</v>
      </c>
      <c r="G36" s="82">
        <v>0</v>
      </c>
      <c r="H36" s="82">
        <v>0</v>
      </c>
      <c r="I36" s="82">
        <v>0</v>
      </c>
      <c r="J36" s="82">
        <v>0</v>
      </c>
      <c r="K36" s="82">
        <v>0.99</v>
      </c>
      <c r="L36" s="82">
        <v>1.0000000000000009E-2</v>
      </c>
      <c r="M36" s="82">
        <v>0.99</v>
      </c>
      <c r="N36" s="82">
        <v>1.0000000000000009E-2</v>
      </c>
      <c r="O36" s="82">
        <v>0.99</v>
      </c>
      <c r="P36" s="70">
        <v>1.0000000000000009E-2</v>
      </c>
      <c r="Q36" s="82">
        <v>0</v>
      </c>
      <c r="R36" s="71">
        <v>1</v>
      </c>
      <c r="S36"/>
      <c r="T36"/>
    </row>
    <row r="37" spans="1:20" ht="15" customHeight="1" x14ac:dyDescent="0.15">
      <c r="A37" s="129"/>
      <c r="B37" s="94"/>
      <c r="C37" s="94"/>
      <c r="D37" s="94"/>
      <c r="E37" s="126"/>
      <c r="F37" s="195" t="s">
        <v>223</v>
      </c>
      <c r="G37" s="82">
        <v>0</v>
      </c>
      <c r="H37" s="82">
        <v>0</v>
      </c>
      <c r="I37" s="82">
        <v>0</v>
      </c>
      <c r="J37" s="82">
        <v>0</v>
      </c>
      <c r="K37" s="82">
        <v>1E-3</v>
      </c>
      <c r="L37" s="82">
        <v>0.999</v>
      </c>
      <c r="M37" s="82">
        <v>1E-3</v>
      </c>
      <c r="N37" s="82">
        <v>0.999</v>
      </c>
      <c r="O37" s="82">
        <v>1E-3</v>
      </c>
      <c r="P37" s="70">
        <v>0.999</v>
      </c>
      <c r="Q37" s="82">
        <v>0</v>
      </c>
      <c r="R37" s="71">
        <v>1</v>
      </c>
      <c r="S37"/>
      <c r="T37"/>
    </row>
    <row r="38" spans="1:20" ht="15" customHeight="1" x14ac:dyDescent="0.15">
      <c r="A38" s="130"/>
      <c r="B38" s="94"/>
      <c r="C38" s="94"/>
      <c r="D38" s="94"/>
      <c r="E38" s="126"/>
      <c r="F38" s="195" t="s">
        <v>224</v>
      </c>
      <c r="G38" s="82">
        <v>0</v>
      </c>
      <c r="H38" s="82">
        <v>0</v>
      </c>
      <c r="I38" s="82">
        <v>0</v>
      </c>
      <c r="J38" s="82">
        <v>0</v>
      </c>
      <c r="K38" s="82">
        <v>0</v>
      </c>
      <c r="L38" s="82">
        <v>1</v>
      </c>
      <c r="M38" s="82">
        <v>0</v>
      </c>
      <c r="N38" s="82">
        <v>1</v>
      </c>
      <c r="O38" s="82">
        <v>0</v>
      </c>
      <c r="P38" s="70">
        <v>1</v>
      </c>
      <c r="Q38" s="82">
        <v>0</v>
      </c>
      <c r="R38" s="71">
        <v>1</v>
      </c>
      <c r="S38"/>
      <c r="T38"/>
    </row>
    <row r="39" spans="1:20" ht="15" customHeight="1" x14ac:dyDescent="0.15">
      <c r="A39" s="130"/>
      <c r="B39" s="94"/>
      <c r="C39" s="94"/>
      <c r="D39" s="94"/>
      <c r="E39" s="126"/>
      <c r="F39" s="195" t="s">
        <v>225</v>
      </c>
      <c r="G39" s="82">
        <v>0</v>
      </c>
      <c r="H39" s="82">
        <v>0</v>
      </c>
      <c r="I39" s="82">
        <v>0</v>
      </c>
      <c r="J39" s="82">
        <v>0</v>
      </c>
      <c r="K39" s="82">
        <v>0</v>
      </c>
      <c r="L39" s="82">
        <v>1</v>
      </c>
      <c r="M39" s="82">
        <v>0</v>
      </c>
      <c r="N39" s="82">
        <v>1</v>
      </c>
      <c r="O39" s="82">
        <v>0</v>
      </c>
      <c r="P39" s="70">
        <v>1</v>
      </c>
      <c r="Q39" s="82">
        <v>0</v>
      </c>
      <c r="R39" s="71">
        <v>1</v>
      </c>
      <c r="S39"/>
      <c r="T39"/>
    </row>
    <row r="40" spans="1:20" ht="15" customHeight="1" x14ac:dyDescent="0.15">
      <c r="A40" s="130"/>
      <c r="B40" s="94"/>
      <c r="C40" s="94"/>
      <c r="D40" s="94"/>
      <c r="E40" s="126"/>
      <c r="F40" s="195" t="s">
        <v>226</v>
      </c>
      <c r="G40" s="82">
        <v>0</v>
      </c>
      <c r="H40" s="82">
        <v>0</v>
      </c>
      <c r="I40" s="82">
        <v>0</v>
      </c>
      <c r="J40" s="82">
        <v>0</v>
      </c>
      <c r="K40" s="82">
        <v>0</v>
      </c>
      <c r="L40" s="82">
        <v>1</v>
      </c>
      <c r="M40" s="82">
        <v>0</v>
      </c>
      <c r="N40" s="82">
        <v>0</v>
      </c>
      <c r="O40" s="82">
        <v>0</v>
      </c>
      <c r="P40" s="70">
        <v>0</v>
      </c>
      <c r="Q40" s="82">
        <v>0</v>
      </c>
      <c r="R40" s="71">
        <v>1</v>
      </c>
      <c r="S40"/>
      <c r="T40"/>
    </row>
    <row r="41" spans="1:20" ht="15" customHeight="1" thickBot="1" x14ac:dyDescent="0.2">
      <c r="A41" s="130"/>
      <c r="B41" s="94"/>
      <c r="C41" s="94"/>
      <c r="D41" s="95"/>
      <c r="E41" s="13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2"/>
      <c r="B42" s="133"/>
      <c r="C42" s="133" t="s">
        <v>162</v>
      </c>
      <c r="D42" s="133">
        <f>SUM(D32:D41)</f>
        <v>4850.9016281934364</v>
      </c>
      <c r="E42" s="134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2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2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2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2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2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2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2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2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2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2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2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2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2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2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2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2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2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2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2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2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2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2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Q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36.6640625" bestFit="1" customWidth="1"/>
    <col min="2" max="2" width="2.33203125" style="109" customWidth="1"/>
    <col min="3" max="5" width="7.83203125" style="109" customWidth="1"/>
    <col min="6" max="8" width="8.83203125" style="6"/>
    <col min="9" max="9" width="29.6640625" style="6" customWidth="1"/>
    <col min="10" max="10" width="8.1640625" style="6" customWidth="1"/>
    <col min="11" max="11" width="15.83203125" style="6" customWidth="1"/>
    <col min="12" max="12" width="14.5" style="6" customWidth="1"/>
    <col min="13" max="13" width="14.6640625" style="6" customWidth="1"/>
    <col min="14" max="14" width="20.6640625" style="6" customWidth="1"/>
    <col min="15" max="15" width="11.5" style="6" customWidth="1"/>
    <col min="16" max="16" width="12.6640625" style="6" customWidth="1"/>
    <col min="17" max="17" width="24.1640625" style="6" customWidth="1"/>
    <col min="18" max="18" width="24.33203125" style="6" customWidth="1"/>
    <col min="19" max="19" width="21.5" style="6" customWidth="1"/>
    <col min="20" max="20" width="18.33203125" style="6" customWidth="1"/>
    <col min="21" max="21" width="19.5" style="6" customWidth="1"/>
    <col min="22" max="22" width="17.6640625" style="6" customWidth="1"/>
    <col min="23" max="23" width="11.83203125" style="6" customWidth="1"/>
    <col min="24" max="24" width="15.1640625" style="6" customWidth="1"/>
    <col min="25" max="25" width="24.5" style="6" customWidth="1"/>
    <col min="26" max="26" width="19" style="6" customWidth="1"/>
    <col min="27" max="27" width="19.33203125" style="6" customWidth="1"/>
    <col min="28" max="28" width="25" style="6" customWidth="1"/>
    <col min="29" max="29" width="36.6640625" style="6" customWidth="1"/>
    <col min="30" max="30" width="20.5" style="6" customWidth="1"/>
    <col min="31" max="32" width="19.5" style="6" customWidth="1"/>
    <col min="33" max="33" width="14.33203125" style="6" customWidth="1"/>
    <col min="34" max="34" width="15.1640625" style="6" customWidth="1"/>
    <col min="35" max="35" width="5.5" style="6" customWidth="1"/>
    <col min="36" max="36" width="9.5" style="6" customWidth="1"/>
    <col min="37" max="37" width="13.83203125" style="6" customWidth="1"/>
    <col min="38" max="38" width="11.83203125" style="6" customWidth="1"/>
    <col min="39" max="39" width="9.5" customWidth="1"/>
    <col min="40" max="40" width="7.5" customWidth="1"/>
    <col min="41" max="41" width="12.33203125" customWidth="1"/>
    <col min="42" max="42" width="21.6640625" customWidth="1"/>
    <col min="43" max="43" width="8.6640625" customWidth="1"/>
    <col min="81" max="81" width="22.1640625" bestFit="1" customWidth="1"/>
  </cols>
  <sheetData>
    <row r="1" spans="1:43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0" t="s">
        <v>192</v>
      </c>
      <c r="J1" s="200" t="s">
        <v>193</v>
      </c>
      <c r="K1" s="200" t="s">
        <v>194</v>
      </c>
      <c r="L1" s="200" t="s">
        <v>195</v>
      </c>
      <c r="M1" s="200" t="s">
        <v>196</v>
      </c>
      <c r="N1" s="200" t="s">
        <v>197</v>
      </c>
      <c r="O1" s="200" t="s">
        <v>198</v>
      </c>
      <c r="P1" s="200" t="s">
        <v>199</v>
      </c>
      <c r="Q1" s="200" t="s">
        <v>200</v>
      </c>
      <c r="R1" s="200" t="s">
        <v>201</v>
      </c>
      <c r="S1" s="200" t="s">
        <v>202</v>
      </c>
      <c r="T1" s="200" t="s">
        <v>203</v>
      </c>
      <c r="U1" s="200" t="s">
        <v>204</v>
      </c>
      <c r="V1" s="200" t="s">
        <v>205</v>
      </c>
      <c r="W1" s="200" t="s">
        <v>206</v>
      </c>
      <c r="X1" s="200" t="s">
        <v>207</v>
      </c>
      <c r="Y1" s="200" t="s">
        <v>208</v>
      </c>
      <c r="Z1" s="200" t="s">
        <v>209</v>
      </c>
      <c r="AA1" s="200" t="s">
        <v>210</v>
      </c>
      <c r="AB1" s="200" t="s">
        <v>211</v>
      </c>
      <c r="AC1" s="200" t="s">
        <v>212</v>
      </c>
      <c r="AD1" s="200" t="s">
        <v>213</v>
      </c>
      <c r="AE1" s="200" t="s">
        <v>214</v>
      </c>
      <c r="AF1" s="200" t="s">
        <v>215</v>
      </c>
      <c r="AG1" s="200" t="s">
        <v>216</v>
      </c>
      <c r="AH1" s="200" t="s">
        <v>217</v>
      </c>
      <c r="AI1" s="200" t="s">
        <v>218</v>
      </c>
      <c r="AJ1" s="200" t="s">
        <v>219</v>
      </c>
      <c r="AK1" s="200" t="s">
        <v>220</v>
      </c>
      <c r="AL1" s="200" t="s">
        <v>221</v>
      </c>
      <c r="AM1" s="200" t="s">
        <v>222</v>
      </c>
      <c r="AN1" s="200" t="s">
        <v>223</v>
      </c>
      <c r="AO1" s="200" t="s">
        <v>224</v>
      </c>
      <c r="AP1" s="200" t="s">
        <v>225</v>
      </c>
      <c r="AQ1" s="200" t="s">
        <v>226</v>
      </c>
    </row>
    <row r="2" spans="1:43" x14ac:dyDescent="0.15">
      <c r="A2" t="s">
        <v>38</v>
      </c>
      <c r="B2" s="109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3" x14ac:dyDescent="0.15">
      <c r="A3" t="s">
        <v>40</v>
      </c>
      <c r="B3" s="109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3" x14ac:dyDescent="0.15">
      <c r="A4" t="s">
        <v>41</v>
      </c>
      <c r="B4" s="109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3" x14ac:dyDescent="0.15">
      <c r="A5" s="199" t="s">
        <v>192</v>
      </c>
      <c r="B5" s="109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3" x14ac:dyDescent="0.15">
      <c r="A6" s="199" t="s">
        <v>193</v>
      </c>
      <c r="B6" s="109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3" x14ac:dyDescent="0.15">
      <c r="A7" s="199" t="s">
        <v>194</v>
      </c>
      <c r="B7" s="109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3" x14ac:dyDescent="0.15">
      <c r="A8" s="199" t="s">
        <v>195</v>
      </c>
      <c r="B8" s="109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3" x14ac:dyDescent="0.15">
      <c r="A9" s="199" t="s">
        <v>196</v>
      </c>
      <c r="B9" s="109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3" x14ac:dyDescent="0.15">
      <c r="A10" s="199" t="s">
        <v>197</v>
      </c>
      <c r="B10" s="109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3" x14ac:dyDescent="0.15">
      <c r="A11" s="199" t="s">
        <v>198</v>
      </c>
      <c r="B11" s="109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3" x14ac:dyDescent="0.15">
      <c r="A12" s="199" t="s">
        <v>199</v>
      </c>
      <c r="B12" s="109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3" x14ac:dyDescent="0.15">
      <c r="A13" s="199" t="s">
        <v>200</v>
      </c>
      <c r="B13" s="109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3" x14ac:dyDescent="0.15">
      <c r="A14" s="199" t="s">
        <v>201</v>
      </c>
      <c r="B14" s="109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3" x14ac:dyDescent="0.15">
      <c r="A15" s="199" t="s">
        <v>202</v>
      </c>
      <c r="B15" s="109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3" x14ac:dyDescent="0.15">
      <c r="A16" s="199" t="s">
        <v>203</v>
      </c>
      <c r="B16" s="109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9" t="s">
        <v>204</v>
      </c>
      <c r="B17" s="109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9" t="s">
        <v>205</v>
      </c>
      <c r="B18" s="109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9" t="s">
        <v>206</v>
      </c>
      <c r="B19" s="109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9" t="s">
        <v>207</v>
      </c>
      <c r="B20" s="109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9" t="s">
        <v>208</v>
      </c>
      <c r="B21" s="109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9" t="s">
        <v>209</v>
      </c>
      <c r="B22" s="109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9" t="s">
        <v>210</v>
      </c>
      <c r="B23" s="109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9" t="s">
        <v>211</v>
      </c>
      <c r="B24" s="109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9" t="s">
        <v>212</v>
      </c>
      <c r="B25" s="109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9" t="s">
        <v>213</v>
      </c>
      <c r="B26" s="109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9" t="s">
        <v>214</v>
      </c>
      <c r="B27" s="109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9" t="s">
        <v>215</v>
      </c>
      <c r="B28" s="109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9" t="s">
        <v>216</v>
      </c>
      <c r="B29" s="109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9" t="s">
        <v>217</v>
      </c>
      <c r="B30" s="109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9" t="s">
        <v>218</v>
      </c>
      <c r="B31" s="109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9" t="s">
        <v>219</v>
      </c>
      <c r="B32" s="109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9" t="s">
        <v>220</v>
      </c>
      <c r="B33" s="109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9" t="s">
        <v>221</v>
      </c>
      <c r="B34" s="109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9" t="s">
        <v>222</v>
      </c>
      <c r="B35" s="109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9" t="s">
        <v>223</v>
      </c>
      <c r="B36" s="109">
        <v>0</v>
      </c>
      <c r="C36"/>
      <c r="D36"/>
    </row>
    <row r="37" spans="1:38" ht="15" customHeight="1" x14ac:dyDescent="0.15">
      <c r="A37" s="199" t="s">
        <v>224</v>
      </c>
      <c r="B37" s="109">
        <v>0</v>
      </c>
      <c r="C37"/>
      <c r="D37"/>
    </row>
    <row r="38" spans="1:38" ht="15" customHeight="1" x14ac:dyDescent="0.15">
      <c r="A38" s="199" t="s">
        <v>225</v>
      </c>
      <c r="B38" s="109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9" t="s">
        <v>226</v>
      </c>
      <c r="B39" s="109">
        <v>0</v>
      </c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2022-10-24T04:49:10Z</dcterms:modified>
</cp:coreProperties>
</file>