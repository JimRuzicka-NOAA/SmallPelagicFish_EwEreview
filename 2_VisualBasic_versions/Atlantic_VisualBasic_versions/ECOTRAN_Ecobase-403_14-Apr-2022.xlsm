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0596707C-0662-CC48-BCCF-92490D7BDE8E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Main!$C$2:$N$63</definedName>
    <definedName name="matDetritus">Detritus!$C$2:$F$63</definedName>
    <definedName name="matDiet">Diets!$B$2:$AY$55</definedName>
    <definedName name="matDiscards">Discards!$C$2:$K$54</definedName>
    <definedName name="matFishery">Fishing!$C$2:$K$54</definedName>
    <definedName name="matFishing">Fishing!#REF!</definedName>
    <definedName name="matMort">Mortalities!$A$1:$BM$54</definedName>
    <definedName name="matOut">MainOutputs!$A$2:$I$63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<sst xmlns="http://schemas.openxmlformats.org/spreadsheetml/2006/main" count="1519" uniqueCount="267">
  <si>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</si>
  <si>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</si>
  <si>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</si>
  <si>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</si>
  <si>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</si>
  <si>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</si>
  <si>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</si>
  <si>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</si>
  <si>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</si>
  <si>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</si>
  <si>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</si>
  <si>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</si>
  <si>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</si>
  <si>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</si>
  <si>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</si>
  <si>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</si>
  <si>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</si>
  <si>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</si>
  <si>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</si>
  <si>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</si>
  <si>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</si>
  <si>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</si>
  <si>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</si>
  <si>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</si>
  <si>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</si>
  <si>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</si>
  <si>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</si>
  <si>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</si>
  <si>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</si>
  <si>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</si>
  <si>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</si>
  <si>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</si>
  <si>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</si>
  <si>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</si>
  <si>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</si>
  <si>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</si>
  <si>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</si>
  <si>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</si>
  <si>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</si>
  <si>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</si>
  <si>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</si>
  <si>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</si>
  <si>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</si>
  <si>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</si>
  <si>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</si>
  <si>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</si>
  <si>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</si>
  <si>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</si>
  <si>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</si>
  <si>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</si>
  <si>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</si>
  <si>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</si>
  <si>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</si>
  <si>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</si>
  <si>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</si>
  <si>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</si>
  <si>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</si>
  <si>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</si>
  <si>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</si>
  <si>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</si>
  <si>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</si>
  <si>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</si>
  <si>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</si>
  <si>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</si>
  <si>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</si>
  <si>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</si>
  <si>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</si>
  <si>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</si>
  <si>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</si>
  <si>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</si>
  <si>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</si>
  <si>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</si>
  <si>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</si>
  <si>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</si>
  <si>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</si>
  <si>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</si>
  <si>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</si>
  <si>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</si>
  <si>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</si>
  <si>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</si>
  <si>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</si>
  <si>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</si>
  <si>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</si>
  <si>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</si>
  <si>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</si>
  <si>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</si>
  <si>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</si>
  <si>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</si>
  <si>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</si>
  <si>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</si>
  <si>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</si>
  <si>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</si>
  <si>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</si>
  <si>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</si>
  <si>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</si>
  <si>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</si>
  <si>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</si>
  <si>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</si>
  <si>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</si>
  <si>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</si>
  <si>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</si>
  <si>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</si>
  <si>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</si>
  <si>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</si>
  <si>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</si>
  <si>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</si>
  <si>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</si>
  <si>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</si>
  <si>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</si>
  <si>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</si>
  <si>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</si>
  <si>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</si>
  <si>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</si>
  <si>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</si>
  <si>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</si>
  <si>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</si>
  <si>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</si>
  <si>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</si>
  <si>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</si>
  <si>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</si>
  <si>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</si>
  <si>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</si>
  <si>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</si>
  <si>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</si>
  <si>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</si>
  <si>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</si>
  <si>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</si>
  <si>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</si>
  <si>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</si>
  <si>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</si>
  <si>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</si>
  <si>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</si>
  <si>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</si>
  <si>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</si>
  <si>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</si>
  <si>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</si>
  <si>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</si>
  <si>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</si>
  <si>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</si>
  <si>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</si>
  <si>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</si>
  <si>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</si>
  <si>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</si>
  <si>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</si>
  <si>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</si>
  <si>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</si>
  <si>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</si>
  <si>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</si>
  <si>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</si>
  <si>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</si>
  <si>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</si>
  <si>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</si>
  <si>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</si>
  <si>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</si>
  <si>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</si>
  <si>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</si>
  <si>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</si>
  <si>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</si>
  <si>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</si>
  <si>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</si>
  <si>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</si>
  <si>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</si>
  <si>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</si>
  <si>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</si>
  <si>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</si>
  <si>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</si>
  <si>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</si>
  <si>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</si>
  <si>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</si>
  <si>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</si>
  <si>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</si>
  <si>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</si>
  <si>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</si>
  <si>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</si>
  <si>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</si>
  <si>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</si>
  <si>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</si>
  <si>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</si>
  <si>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</si>
  <si>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</si>
  <si>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</si>
  <si>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</si>
  <si>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</si>
  <si>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</si>
  <si>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</si>
  <si>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Western Channel</t>
  </si>
  <si>
    <t>France,U.K. of Great Britain and Northern Ireland</t>
  </si>
  <si>
    <t>BOX(-7.00000001950977 48.0000000024435,-0.99999991561018 51.0000000252608)</t>
  </si>
  <si>
    <t>channel/strait</t>
  </si>
  <si>
    <t>WetWeight</t>
  </si>
  <si>
    <t>; 01/11/2004 15:37:56; 01/11/2004 15:43:15; 02/11/2004 14:39:52; 03/11/2004 12:33:07; 03/11/2004 13:47:42; 30/06/2005 16:12:09; 30/06/2005 18:56:36; 26/10/2005 18:33:48; 6/24/2015 5:16:53 PM; 6/24/2015 5:52:52 PM</t>
  </si>
  <si>
    <t>Araújo J.N.,Mackinson S.,Ellis J.R.,Hart P.J.B.(2005). An Ecopath model of the western English Channel ecosystem with an exploration of its dynamic properties Science Series Technical Report</t>
  </si>
  <si>
    <t>Primary produce</t>
  </si>
  <si>
    <t>Microzooplankton</t>
  </si>
  <si>
    <t>Mesozooplankton</t>
  </si>
  <si>
    <t>Marozooplankton</t>
  </si>
  <si>
    <t>deposit feeders</t>
  </si>
  <si>
    <t>suspension feed</t>
  </si>
  <si>
    <t>Shrimp and Praw</t>
  </si>
  <si>
    <t>Whelk</t>
  </si>
  <si>
    <t>Echinoderms</t>
  </si>
  <si>
    <t>Bivalves</t>
  </si>
  <si>
    <t>Scallops</t>
  </si>
  <si>
    <t>Crab</t>
  </si>
  <si>
    <t>Commercial crab</t>
  </si>
  <si>
    <t>Lobster</t>
  </si>
  <si>
    <t>Small demersals</t>
  </si>
  <si>
    <t>Small gadoids</t>
  </si>
  <si>
    <t>Mullet</t>
  </si>
  <si>
    <t>Sole Juv</t>
  </si>
  <si>
    <t>Sole Ad</t>
  </si>
  <si>
    <t>Plaice Juv</t>
  </si>
  <si>
    <t>Plaice Ad</t>
  </si>
  <si>
    <t>Dab</t>
  </si>
  <si>
    <t>Lemon Sole</t>
  </si>
  <si>
    <t>Large Flatfish</t>
  </si>
  <si>
    <t>Gurnards</t>
  </si>
  <si>
    <t>Whiting Juv</t>
  </si>
  <si>
    <t>Whiting Ad</t>
  </si>
  <si>
    <t>Cod Juv</t>
  </si>
  <si>
    <t>Cod Ad</t>
  </si>
  <si>
    <t>Hake</t>
  </si>
  <si>
    <t>Dogfish</t>
  </si>
  <si>
    <t>Rays</t>
  </si>
  <si>
    <t>Pollack</t>
  </si>
  <si>
    <t>Monkfishes</t>
  </si>
  <si>
    <t>Large bottom</t>
  </si>
  <si>
    <t>Seabreams</t>
  </si>
  <si>
    <t>John Dory</t>
  </si>
  <si>
    <t>Sandeels</t>
  </si>
  <si>
    <t>Herring</t>
  </si>
  <si>
    <t>Sprat</t>
  </si>
  <si>
    <t>Pilchard</t>
  </si>
  <si>
    <t>Mackerel</t>
  </si>
  <si>
    <t>Scad</t>
  </si>
  <si>
    <t>Bass</t>
  </si>
  <si>
    <t>Sharks</t>
  </si>
  <si>
    <t>Basking shark</t>
  </si>
  <si>
    <t>Cephalopods</t>
  </si>
  <si>
    <t>Seabirds</t>
  </si>
  <si>
    <t>Toothed cetaceans</t>
  </si>
  <si>
    <t>Seals</t>
  </si>
  <si>
    <t>Discarded catch</t>
  </si>
  <si>
    <t>Detritus</t>
  </si>
  <si>
    <t>detritus_TerminalBenthic</t>
  </si>
  <si>
    <t>Otter trawl</t>
  </si>
  <si>
    <t>Beam trawl</t>
  </si>
  <si>
    <t>Midwater trawl</t>
  </si>
  <si>
    <t>Dredge</t>
  </si>
  <si>
    <t>Net</t>
  </si>
  <si>
    <t>Pot</t>
  </si>
  <si>
    <t>Lining</t>
  </si>
  <si>
    <t>Seaweed</t>
  </si>
  <si>
    <t>Recreational</t>
  </si>
  <si>
    <t>Import</t>
  </si>
  <si>
    <t>export</t>
  </si>
  <si>
    <t>sum</t>
  </si>
  <si>
    <t>TOTAL</t>
  </si>
  <si>
    <t>F Otter trawl</t>
  </si>
  <si>
    <t>F Beam trawl</t>
  </si>
  <si>
    <t>F Midwater trawl</t>
  </si>
  <si>
    <t>F Dredge</t>
  </si>
  <si>
    <t>F Net</t>
  </si>
  <si>
    <t>F Pot</t>
  </si>
  <si>
    <t>F Lining</t>
  </si>
  <si>
    <t>F Seaweed</t>
  </si>
  <si>
    <t>F Recreational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</si>
</sst>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9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54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34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1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0" fillId="40" borderId="0" xfId="0" applyFill="1"/>
    <xf numFmtId="0" fontId="0" fillId="41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84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3" t="s">
        <v>171</v>
      </c>
      <c r="C53" s="110">
        <v>403</v>
      </c>
      <c r="D53" s="110"/>
    </row>
    <row r="54" spans="2:4" x14ac:dyDescent="0.15">
      <c r="B54" s="183" t="s">
        <v>172</v>
      </c>
      <c r="C54" s="183" t="s">
        <v>185</v>
      </c>
      <c r="D54" s="110"/>
    </row>
    <row r="55" spans="2:4" x14ac:dyDescent="0.15">
      <c r="B55" s="183" t="s">
        <v>173</v>
      </c>
      <c r="C55" s="183" t="s">
        <v>186</v>
      </c>
      <c r="D55" s="110"/>
    </row>
    <row r="56" spans="2:4" x14ac:dyDescent="0.15">
      <c r="B56" s="183" t="s">
        <v>174</v>
      </c>
      <c r="C56" s="110">
        <v>56452</v>
      </c>
      <c r="D56" s="110"/>
    </row>
    <row r="57" spans="2:4" x14ac:dyDescent="0.15">
      <c r="B57" s="183" t="s">
        <v>175</v>
      </c>
      <c r="C57" s="183" t="s">
        <v>187</v>
      </c>
      <c r="D57" s="110"/>
    </row>
    <row r="58" spans="2:4" x14ac:dyDescent="0.15">
      <c r="B58" s="183" t="s">
        <v>176</v>
      </c>
      <c r="C58" s="183" t="s">
        <v>188</v>
      </c>
      <c r="D58" s="110"/>
    </row>
    <row r="59" spans="2:4" x14ac:dyDescent="0.15">
      <c r="B59" s="183" t="s">
        <v>177</v>
      </c>
      <c r="C59" s="183" t="s">
        <v>189</v>
      </c>
      <c r="D59" s="110"/>
    </row>
    <row r="60" spans="2:4" x14ac:dyDescent="0.15">
      <c r="B60" s="183" t="s">
        <v>178</v>
      </c>
      <c r="C60" s="183" t="s">
        <v>190</v>
      </c>
      <c r="D60" s="110"/>
    </row>
    <row r="61" spans="2:4" x14ac:dyDescent="0.15">
      <c r="B61" s="183" t="s">
        <v>179</v>
      </c>
      <c r="C61" s="110">
        <v>52</v>
      </c>
      <c r="D61" s="110"/>
    </row>
    <row r="62" spans="2:4" x14ac:dyDescent="0.15">
      <c r="B62" s="183" t="s">
        <v>180</v>
      </c>
      <c r="C62" s="110">
        <v>9</v>
      </c>
      <c r="D62" s="110"/>
    </row>
    <row r="63" spans="2:4" x14ac:dyDescent="0.15">
      <c r="B63" s="183" t="s">
        <v>181</v>
      </c>
      <c r="C63" s="110">
        <v>1993</v>
      </c>
      <c r="D63" s="110"/>
    </row>
    <row r="64" spans="2:4" x14ac:dyDescent="0.15">
      <c r="B64" s="183" t="s">
        <v>182</v>
      </c>
      <c r="C64" s="110">
        <v>1</v>
      </c>
      <c r="D64" s="110"/>
    </row>
    <row r="65" spans="2:4" x14ac:dyDescent="0.15">
      <c r="B65" s="183" t="s">
        <v>183</v>
      </c>
      <c r="C65" s="183" t="s">
        <v>191</v>
      </c>
      <c r="D65" s="110"/>
    </row>
    <row r="66" spans="2:4" x14ac:dyDescent="0.15">
      <c r="B66" s="183" t="s">
        <v>184</v>
      </c>
      <c r="D66" s="110"/>
    </row>
    <row r="67" spans="2:4" x14ac:dyDescent="0.15">
      <c r="B67" s="110"/>
      <c r="C67" s="110"/>
      <c r="D67" s="110"/>
    </row>
    <row r="68" spans="2:4" x14ac:dyDescent="0.15">
      <c r="B68" s="110"/>
      <c r="C68" s="110"/>
      <c r="D68" s="11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2" customWidth="1"/>
    <col min="2" max="3" width="3.33203125" style="82" customWidth="1"/>
    <col min="4" max="4" width="14.33203125" style="82" customWidth="1"/>
    <col min="5" max="5" width="21.6640625" style="82" bestFit="1" customWidth="1"/>
    <col min="6" max="6" width="2.33203125" style="82" bestFit="1" customWidth="1"/>
    <col min="7" max="7" width="12.83203125" style="82" bestFit="1" customWidth="1"/>
    <col min="8" max="8" width="8.83203125" style="82" customWidth="1"/>
    <col min="9" max="9" width="10.83203125" style="82" customWidth="1"/>
    <col min="10" max="10" width="12.83203125" style="82" customWidth="1"/>
    <col min="11" max="11" width="13.83203125" style="82" customWidth="1"/>
    <col min="12" max="12" width="2.33203125" style="82" customWidth="1"/>
    <col min="13" max="13" width="3.83203125" style="82" customWidth="1"/>
    <col min="14" max="14" width="2.33203125" style="82" customWidth="1"/>
    <col min="16" max="25" width="8.83203125" style="8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2"/>
  </cols>
  <sheetData>
    <row r="1" spans="1:46" s="99" customFormat="1" ht="15" customHeight="1" x14ac:dyDescent="0.15">
      <c r="A1" s="78" t="s">
        <v>18</v>
      </c>
      <c r="C1" s="79" t="s">
        <v>8</v>
      </c>
      <c r="D1" s="78" t="s">
        <v>23</v>
      </c>
      <c r="E1" s="78" t="s">
        <v>0</v>
      </c>
      <c r="F1" s="78" t="s">
        <v>7</v>
      </c>
      <c r="G1" s="80" t="s">
        <v>13</v>
      </c>
      <c r="H1" s="78" t="s">
        <v>1</v>
      </c>
      <c r="I1" s="78" t="s">
        <v>2</v>
      </c>
      <c r="J1" s="78" t="s">
        <v>14</v>
      </c>
      <c r="K1" s="78" t="s">
        <v>3</v>
      </c>
      <c r="L1" s="78" t="s">
        <v>4</v>
      </c>
      <c r="M1" s="78" t="s">
        <v>5</v>
      </c>
      <c r="N1" s="7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84" t="s">
        <v>192</v>
      </c>
      <c r="F2" s="82">
        <v>1</v>
      </c>
      <c r="G2" s="82">
        <v>118.9</v>
      </c>
      <c r="H2" s="82">
        <v>24.8</v>
      </c>
      <c r="I2" s="6">
        <v>0</v>
      </c>
      <c r="J2" s="6">
        <v>0.26004579999999999</v>
      </c>
      <c r="K2" s="6">
        <v>0</v>
      </c>
      <c r="L2" s="6">
        <v>0</v>
      </c>
      <c r="M2" s="82">
        <v>0</v>
      </c>
      <c r="N2" s="82">
        <v>0</v>
      </c>
    </row>
    <row r="3" spans="1:46" ht="15" customHeight="1" x14ac:dyDescent="0.15">
      <c r="A3" s="1" t="s">
        <v>9</v>
      </c>
      <c r="B3" s="4">
        <v>50</v>
      </c>
      <c r="C3" s="82">
        <v>2</v>
      </c>
      <c r="D3"/>
      <c r="E3" s="184" t="s">
        <v>193</v>
      </c>
      <c r="F3" s="82">
        <v>0</v>
      </c>
      <c r="G3" s="82">
        <v>2.6292499999999999</v>
      </c>
      <c r="H3" s="82">
        <v>45.28</v>
      </c>
      <c r="I3" s="82">
        <v>120</v>
      </c>
      <c r="J3" s="82">
        <v>0.65843220000000002</v>
      </c>
      <c r="K3" s="82">
        <v>0.37733329999999998</v>
      </c>
      <c r="L3" s="82">
        <v>0</v>
      </c>
      <c r="M3" s="82">
        <v>0.4</v>
      </c>
      <c r="N3" s="82">
        <v>0</v>
      </c>
    </row>
    <row r="4" spans="1:46" ht="15" customHeight="1" x14ac:dyDescent="0.15">
      <c r="A4" s="1" t="s">
        <v>10</v>
      </c>
      <c r="B4" s="4">
        <v>3</v>
      </c>
      <c r="C4" s="82">
        <v>3</v>
      </c>
      <c r="D4"/>
      <c r="E4" s="184" t="s">
        <v>194</v>
      </c>
      <c r="F4" s="82">
        <v>0</v>
      </c>
      <c r="G4" s="82">
        <v>5.8707500000000001</v>
      </c>
      <c r="H4" s="82">
        <v>39.08</v>
      </c>
      <c r="I4" s="82">
        <v>80</v>
      </c>
      <c r="J4" s="82">
        <v>0.53191270000000002</v>
      </c>
      <c r="K4" s="82">
        <v>0.488500029</v>
      </c>
      <c r="L4" s="82">
        <v>0</v>
      </c>
      <c r="M4" s="82">
        <v>0.4</v>
      </c>
      <c r="N4" s="8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9</v>
      </c>
      <c r="C5" s="82">
        <v>4</v>
      </c>
      <c r="D5"/>
      <c r="E5" s="184" t="s">
        <v>195</v>
      </c>
      <c r="F5" s="82">
        <v>0</v>
      </c>
      <c r="G5" s="82">
        <v>1.1000000000000001</v>
      </c>
      <c r="H5" s="82">
        <v>18</v>
      </c>
      <c r="I5" s="82">
        <v>38</v>
      </c>
      <c r="J5" s="82">
        <v>3.3569361999999998E-2</v>
      </c>
      <c r="K5" s="82">
        <v>0.47368422199999999</v>
      </c>
      <c r="L5" s="82">
        <v>0</v>
      </c>
      <c r="M5" s="82">
        <v>0.4</v>
      </c>
      <c r="N5" s="82">
        <v>0</v>
      </c>
      <c r="P5" s="71"/>
      <c r="Q5" s="71"/>
      <c r="R5" s="71"/>
    </row>
    <row r="6" spans="1:46" ht="15" customHeight="1" thickBot="1" x14ac:dyDescent="0.2">
      <c r="B6" s="1"/>
      <c r="C6" s="82">
        <v>5</v>
      </c>
      <c r="D6"/>
      <c r="E6" s="184" t="s">
        <v>196</v>
      </c>
      <c r="F6" s="82">
        <v>0</v>
      </c>
      <c r="G6" s="82">
        <v>13.641999999999999</v>
      </c>
      <c r="H6" s="82">
        <v>3</v>
      </c>
      <c r="I6" s="82">
        <v>20</v>
      </c>
      <c r="J6" s="82">
        <v>0.79805654299999995</v>
      </c>
      <c r="K6" s="82">
        <v>0.15</v>
      </c>
      <c r="L6" s="82">
        <v>0</v>
      </c>
      <c r="M6" s="82">
        <v>0.2</v>
      </c>
      <c r="N6" s="82">
        <v>0</v>
      </c>
      <c r="P6" s="71"/>
      <c r="Q6" s="71"/>
      <c r="R6" s="71"/>
      <c r="W6" s="36" t="s">
        <v>31</v>
      </c>
      <c r="X6" s="52">
        <f>MAX(MainOutputs!G:G)</f>
        <v>0.90500003099441528</v>
      </c>
    </row>
    <row r="7" spans="1:46" ht="15" customHeight="1" x14ac:dyDescent="0.15">
      <c r="A7" s="2" t="s">
        <v>27</v>
      </c>
      <c r="B7" s="82">
        <f ca="1">COUNTIF(OFFSET(cornerDiets,1,1,NumLiving+NumDead+1,NumLiving+NumDead),"&gt;0")+NumLiving+NumDead+1</f>
        <v>480</v>
      </c>
      <c r="C7" s="82">
        <v>6</v>
      </c>
      <c r="D7"/>
      <c r="E7" s="184" t="s">
        <v>197</v>
      </c>
      <c r="F7" s="82">
        <v>0</v>
      </c>
      <c r="G7" s="82">
        <v>5.07</v>
      </c>
      <c r="H7" s="82">
        <v>0.3</v>
      </c>
      <c r="I7" s="82">
        <v>2</v>
      </c>
      <c r="J7" s="82">
        <v>0.26617685000000002</v>
      </c>
      <c r="K7" s="82">
        <v>0.15</v>
      </c>
      <c r="L7" s="82">
        <v>0</v>
      </c>
      <c r="M7" s="82">
        <v>0.2</v>
      </c>
      <c r="N7" s="82">
        <v>0</v>
      </c>
      <c r="P7" s="71"/>
      <c r="Q7" s="71"/>
      <c r="R7" s="71"/>
    </row>
    <row r="8" spans="1:46" ht="15" customHeight="1" x14ac:dyDescent="0.15">
      <c r="A8" s="2" t="s">
        <v>28</v>
      </c>
      <c r="B8" s="82">
        <f ca="1">COUNTIF(OFFSET(cornerFishing,1,2,NumLiving+NumDead,NumGears),"&gt;0")+NumDead*COUNTIF(OFFSET(cornerDiscards,1,2,NumLiving+NumDead,NumGears),"&gt;0")+NumLiving+NumDead+1</f>
        <v>324</v>
      </c>
      <c r="C8" s="82">
        <v>7</v>
      </c>
      <c r="D8"/>
      <c r="E8" s="184" t="s">
        <v>198</v>
      </c>
      <c r="F8" s="82">
        <v>0</v>
      </c>
      <c r="G8" s="82">
        <v>5.5523223899999996</v>
      </c>
      <c r="H8" s="82">
        <v>3.96</v>
      </c>
      <c r="I8" s="82">
        <v>13.2</v>
      </c>
      <c r="J8" s="82">
        <v>0.9</v>
      </c>
      <c r="K8" s="82">
        <v>0.3</v>
      </c>
      <c r="L8" s="82">
        <v>0</v>
      </c>
      <c r="M8" s="82">
        <v>0.2</v>
      </c>
      <c r="N8" s="82">
        <v>0</v>
      </c>
      <c r="P8" s="71"/>
      <c r="Q8" s="71"/>
      <c r="R8" s="71"/>
    </row>
    <row r="9" spans="1:46" ht="15" customHeight="1" x14ac:dyDescent="0.15">
      <c r="B9" s="1"/>
      <c r="C9" s="82">
        <v>8</v>
      </c>
      <c r="D9"/>
      <c r="E9" s="184" t="s">
        <v>199</v>
      </c>
      <c r="F9" s="82">
        <v>0</v>
      </c>
      <c r="G9" s="82">
        <v>0.364784</v>
      </c>
      <c r="H9" s="82">
        <v>0.64100000000000001</v>
      </c>
      <c r="I9" s="82">
        <v>8.0299999999999994</v>
      </c>
      <c r="J9" s="82">
        <v>0.89964330000000003</v>
      </c>
      <c r="K9" s="82">
        <v>7.9825654600000004E-2</v>
      </c>
      <c r="L9" s="82">
        <v>0</v>
      </c>
      <c r="M9" s="82">
        <v>0.2</v>
      </c>
      <c r="N9" s="82">
        <v>0</v>
      </c>
      <c r="P9" s="71"/>
      <c r="Q9" s="71"/>
      <c r="R9" s="71"/>
    </row>
    <row r="10" spans="1:46" ht="15" customHeight="1" x14ac:dyDescent="0.15">
      <c r="B10" s="1"/>
      <c r="C10" s="82">
        <v>9</v>
      </c>
      <c r="D10"/>
      <c r="E10" s="184" t="s">
        <v>200</v>
      </c>
      <c r="F10" s="82">
        <v>0</v>
      </c>
      <c r="G10" s="82">
        <v>8.8257739999999991</v>
      </c>
      <c r="H10" s="82">
        <v>0.66200000000000003</v>
      </c>
      <c r="I10" s="82">
        <v>6.9349999999999996</v>
      </c>
      <c r="J10" s="82">
        <v>0.90081860000000002</v>
      </c>
      <c r="K10" s="82">
        <v>9.5457819999999999E-2</v>
      </c>
      <c r="L10" s="82">
        <v>0</v>
      </c>
      <c r="M10" s="82">
        <v>0.2</v>
      </c>
      <c r="N10" s="82">
        <v>0</v>
      </c>
    </row>
    <row r="11" spans="1:46" ht="15" customHeight="1" x14ac:dyDescent="0.15">
      <c r="C11" s="82">
        <v>10</v>
      </c>
      <c r="D11"/>
      <c r="E11" s="184" t="s">
        <v>201</v>
      </c>
      <c r="F11" s="82">
        <v>0</v>
      </c>
      <c r="G11" s="82">
        <v>17.41</v>
      </c>
      <c r="H11" s="82">
        <v>0.88870400000000005</v>
      </c>
      <c r="I11" s="82">
        <v>9.8744890000000005</v>
      </c>
      <c r="J11" s="82">
        <v>0.85513919999999999</v>
      </c>
      <c r="K11" s="82">
        <v>0.09</v>
      </c>
      <c r="L11" s="82">
        <v>0</v>
      </c>
      <c r="M11" s="82">
        <v>0.2</v>
      </c>
      <c r="N11" s="82">
        <v>0</v>
      </c>
    </row>
    <row r="12" spans="1:46" ht="15" customHeight="1" x14ac:dyDescent="0.15">
      <c r="C12" s="82">
        <v>11</v>
      </c>
      <c r="D12"/>
      <c r="E12" s="184" t="s">
        <v>202</v>
      </c>
      <c r="F12" s="82">
        <v>0</v>
      </c>
      <c r="G12" s="82">
        <v>0.52194600000000002</v>
      </c>
      <c r="H12" s="82">
        <v>0.8</v>
      </c>
      <c r="I12" s="82">
        <v>8.8888879999999997</v>
      </c>
      <c r="J12" s="82">
        <v>0.75019294000000003</v>
      </c>
      <c r="K12" s="82">
        <v>0.09</v>
      </c>
      <c r="L12" s="82">
        <v>0</v>
      </c>
      <c r="M12" s="82">
        <v>0.2</v>
      </c>
      <c r="N12" s="82">
        <v>0</v>
      </c>
    </row>
    <row r="13" spans="1:46" ht="15" customHeight="1" x14ac:dyDescent="0.15">
      <c r="C13" s="82">
        <v>12</v>
      </c>
      <c r="D13"/>
      <c r="E13" s="184" t="s">
        <v>203</v>
      </c>
      <c r="F13" s="82">
        <v>0</v>
      </c>
      <c r="G13" s="82">
        <v>5.1572110000000002</v>
      </c>
      <c r="H13" s="82">
        <v>1.9470000000000001</v>
      </c>
      <c r="I13" s="82">
        <v>12.98</v>
      </c>
      <c r="J13" s="82">
        <v>0.90496129999999997</v>
      </c>
      <c r="K13" s="82">
        <v>0.15</v>
      </c>
      <c r="L13" s="82">
        <v>0</v>
      </c>
      <c r="M13" s="82">
        <v>0.2</v>
      </c>
      <c r="N13" s="82">
        <v>0</v>
      </c>
    </row>
    <row r="14" spans="1:46" ht="15" customHeight="1" x14ac:dyDescent="0.15">
      <c r="C14" s="82">
        <v>13</v>
      </c>
      <c r="D14"/>
      <c r="E14" s="184" t="s">
        <v>204</v>
      </c>
      <c r="F14" s="82">
        <v>0</v>
      </c>
      <c r="G14" s="82">
        <v>0.51081799999999999</v>
      </c>
      <c r="H14" s="82">
        <v>0.6</v>
      </c>
      <c r="I14" s="82">
        <v>4</v>
      </c>
      <c r="J14" s="82">
        <v>0.71793810000000002</v>
      </c>
      <c r="K14" s="82">
        <v>0.15</v>
      </c>
      <c r="L14" s="82">
        <v>0</v>
      </c>
      <c r="M14" s="82">
        <v>0.2</v>
      </c>
      <c r="N14" s="82">
        <v>0</v>
      </c>
    </row>
    <row r="15" spans="1:46" ht="15" customHeight="1" x14ac:dyDescent="0.15">
      <c r="C15" s="82">
        <v>14</v>
      </c>
      <c r="D15"/>
      <c r="E15" s="184" t="s">
        <v>205</v>
      </c>
      <c r="F15" s="82">
        <v>0</v>
      </c>
      <c r="G15" s="82">
        <v>1.0227999999999999E-2</v>
      </c>
      <c r="H15" s="82">
        <v>0.51500000000000001</v>
      </c>
      <c r="I15" s="82">
        <v>5.85</v>
      </c>
      <c r="J15" s="82">
        <v>0.89977249999999998</v>
      </c>
      <c r="K15" s="82">
        <v>8.8034189999999998E-2</v>
      </c>
      <c r="L15" s="82">
        <v>0</v>
      </c>
      <c r="M15" s="82">
        <v>0.2</v>
      </c>
      <c r="N15" s="82">
        <v>0</v>
      </c>
    </row>
    <row r="16" spans="1:46" ht="15" customHeight="1" x14ac:dyDescent="0.15">
      <c r="C16" s="82">
        <v>15</v>
      </c>
      <c r="D16"/>
      <c r="E16" s="184" t="s">
        <v>206</v>
      </c>
      <c r="F16" s="82">
        <v>0</v>
      </c>
      <c r="G16" s="82">
        <v>1.824589</v>
      </c>
      <c r="H16" s="82">
        <v>1.573</v>
      </c>
      <c r="I16" s="82">
        <v>9.6604299999999999</v>
      </c>
      <c r="J16" s="82">
        <v>0.90500000000000003</v>
      </c>
      <c r="K16" s="82">
        <v>0.16282919000000001</v>
      </c>
      <c r="L16" s="82">
        <v>0</v>
      </c>
      <c r="M16" s="82">
        <v>0.2</v>
      </c>
      <c r="N16" s="82">
        <v>0</v>
      </c>
    </row>
    <row r="17" spans="1:22" ht="15" customHeight="1" x14ac:dyDescent="0.15">
      <c r="C17" s="82">
        <v>16</v>
      </c>
      <c r="D17"/>
      <c r="E17" s="184" t="s">
        <v>207</v>
      </c>
      <c r="F17" s="82">
        <v>0</v>
      </c>
      <c r="G17" s="82">
        <v>1.4173260000000001</v>
      </c>
      <c r="H17" s="82">
        <v>1.272</v>
      </c>
      <c r="I17" s="82">
        <v>5.9279999999999999</v>
      </c>
      <c r="J17" s="82">
        <v>0.878803432</v>
      </c>
      <c r="K17" s="82">
        <v>0.21457488799999999</v>
      </c>
      <c r="L17" s="82">
        <v>0</v>
      </c>
      <c r="M17" s="82">
        <v>0.2</v>
      </c>
      <c r="N17" s="82">
        <v>0</v>
      </c>
      <c r="V17" s="1" t="s">
        <v>30</v>
      </c>
    </row>
    <row r="18" spans="1:22" ht="15" customHeight="1" x14ac:dyDescent="0.15">
      <c r="C18" s="82">
        <v>17</v>
      </c>
      <c r="D18"/>
      <c r="E18" s="184" t="s">
        <v>208</v>
      </c>
      <c r="F18" s="82">
        <v>0</v>
      </c>
      <c r="G18" s="82">
        <v>0.16935956499999999</v>
      </c>
      <c r="H18" s="82">
        <v>0.52</v>
      </c>
      <c r="I18" s="82">
        <v>5.7005929999999996</v>
      </c>
      <c r="J18" s="82">
        <v>0.9</v>
      </c>
      <c r="K18" s="82">
        <v>9.1218575800000007E-2</v>
      </c>
      <c r="L18" s="82">
        <v>0</v>
      </c>
      <c r="M18" s="82">
        <v>0.2</v>
      </c>
      <c r="N18" s="82">
        <v>0</v>
      </c>
      <c r="V18" s="1"/>
    </row>
    <row r="19" spans="1:22" ht="15" customHeight="1" x14ac:dyDescent="0.15">
      <c r="C19" s="82">
        <v>18</v>
      </c>
      <c r="D19"/>
      <c r="E19" s="184" t="s">
        <v>209</v>
      </c>
      <c r="F19" s="82">
        <v>0</v>
      </c>
      <c r="G19" s="82">
        <v>1.49213942E-2</v>
      </c>
      <c r="H19" s="82">
        <v>0.75</v>
      </c>
      <c r="I19" s="82">
        <v>10.075943000000001</v>
      </c>
      <c r="J19" s="82">
        <v>0.50095800000000001</v>
      </c>
      <c r="K19" s="82">
        <v>7.4434719999999996E-2</v>
      </c>
      <c r="L19" s="82">
        <v>0</v>
      </c>
      <c r="M19" s="82">
        <v>0.2</v>
      </c>
      <c r="N19" s="82">
        <v>0</v>
      </c>
    </row>
    <row r="20" spans="1:22" ht="15" customHeight="1" thickBot="1" x14ac:dyDescent="0.2">
      <c r="C20" s="82">
        <v>19</v>
      </c>
      <c r="D20"/>
      <c r="E20" s="184" t="s">
        <v>210</v>
      </c>
      <c r="F20" s="82">
        <v>0</v>
      </c>
      <c r="G20" s="82">
        <v>4.4232E-2</v>
      </c>
      <c r="H20" s="82">
        <v>0.43</v>
      </c>
      <c r="I20" s="82">
        <v>5.1751529999999999</v>
      </c>
      <c r="J20" s="82">
        <v>0.59378399999999998</v>
      </c>
      <c r="K20" s="82">
        <v>8.3089339999999998E-2</v>
      </c>
      <c r="L20" s="82">
        <v>0</v>
      </c>
      <c r="M20" s="82">
        <v>0.2</v>
      </c>
      <c r="N20" s="82">
        <v>0</v>
      </c>
    </row>
    <row r="21" spans="1:22" ht="15" customHeight="1" thickBot="1" x14ac:dyDescent="0.2">
      <c r="A21" s="47" t="s">
        <v>137</v>
      </c>
      <c r="B21" s="100"/>
      <c r="C21" s="82">
        <v>20</v>
      </c>
      <c r="D21"/>
      <c r="E21" s="184" t="s">
        <v>211</v>
      </c>
      <c r="F21" s="82">
        <v>0</v>
      </c>
      <c r="G21" s="82">
        <v>2.5407116899999999E-2</v>
      </c>
      <c r="H21" s="82">
        <v>1.51</v>
      </c>
      <c r="I21" s="82">
        <v>11.8153915</v>
      </c>
      <c r="J21" s="82">
        <v>0.44897112300000003</v>
      </c>
      <c r="K21" s="82">
        <v>0.12779940000000001</v>
      </c>
      <c r="L21" s="82">
        <v>0</v>
      </c>
      <c r="M21" s="82">
        <v>0.2</v>
      </c>
      <c r="N21" s="82">
        <v>0</v>
      </c>
    </row>
    <row r="22" spans="1:22" ht="15" customHeight="1" x14ac:dyDescent="0.15">
      <c r="A22" s="101" t="s">
        <v>58</v>
      </c>
      <c r="B22" s="102">
        <v>0</v>
      </c>
      <c r="C22" s="82">
        <v>21</v>
      </c>
      <c r="D22"/>
      <c r="E22" s="184" t="s">
        <v>212</v>
      </c>
      <c r="F22" s="82">
        <v>0</v>
      </c>
      <c r="G22" s="82">
        <v>3.3916000000000002E-2</v>
      </c>
      <c r="H22" s="82">
        <v>0.75470000000000004</v>
      </c>
      <c r="I22" s="82">
        <v>4.1841809999999997</v>
      </c>
      <c r="J22" s="82">
        <v>0.67376910000000001</v>
      </c>
      <c r="K22" s="82">
        <v>0.18036982400000001</v>
      </c>
      <c r="L22" s="82">
        <v>0</v>
      </c>
      <c r="M22" s="82">
        <v>0.2</v>
      </c>
      <c r="N22" s="82">
        <v>0</v>
      </c>
    </row>
    <row r="23" spans="1:22" ht="15" customHeight="1" x14ac:dyDescent="0.15">
      <c r="A23" s="101" t="s">
        <v>59</v>
      </c>
      <c r="B23" s="102">
        <v>1</v>
      </c>
      <c r="C23" s="82">
        <v>22</v>
      </c>
      <c r="D23"/>
      <c r="E23" s="184" t="s">
        <v>213</v>
      </c>
      <c r="F23" s="82">
        <v>0</v>
      </c>
      <c r="G23" s="82">
        <v>3.3362000000000003E-2</v>
      </c>
      <c r="H23" s="82">
        <v>0.753</v>
      </c>
      <c r="I23" s="82">
        <v>6.0006930000000001</v>
      </c>
      <c r="J23" s="82">
        <v>0.79431359999999995</v>
      </c>
      <c r="K23" s="82">
        <v>0.12548550999999999</v>
      </c>
      <c r="L23" s="82">
        <v>0</v>
      </c>
      <c r="M23" s="82">
        <v>0.2</v>
      </c>
      <c r="N23" s="82">
        <v>0</v>
      </c>
    </row>
    <row r="24" spans="1:22" ht="15" customHeight="1" x14ac:dyDescent="0.15">
      <c r="A24" s="101" t="s">
        <v>60</v>
      </c>
      <c r="B24" s="102">
        <v>2</v>
      </c>
      <c r="C24" s="82">
        <v>23</v>
      </c>
      <c r="D24"/>
      <c r="E24" s="184" t="s">
        <v>214</v>
      </c>
      <c r="F24" s="82">
        <v>0</v>
      </c>
      <c r="G24" s="82">
        <v>6.0108000000000002E-2</v>
      </c>
      <c r="H24" s="82">
        <v>0.59899999999999998</v>
      </c>
      <c r="I24" s="82">
        <v>5.3154260000000004</v>
      </c>
      <c r="J24" s="82">
        <v>0.89956659999999999</v>
      </c>
      <c r="K24" s="82">
        <v>0.112690873</v>
      </c>
      <c r="L24" s="82">
        <v>0</v>
      </c>
      <c r="M24" s="82">
        <v>0.2</v>
      </c>
      <c r="N24" s="82">
        <v>0</v>
      </c>
    </row>
    <row r="25" spans="1:22" ht="15" customHeight="1" thickBot="1" x14ac:dyDescent="0.2">
      <c r="A25" s="103" t="s">
        <v>44</v>
      </c>
      <c r="B25" s="104">
        <v>3</v>
      </c>
      <c r="C25" s="82">
        <v>24</v>
      </c>
      <c r="D25"/>
      <c r="E25" s="184" t="s">
        <v>215</v>
      </c>
      <c r="F25" s="82">
        <v>0</v>
      </c>
      <c r="G25" s="82">
        <v>6.0234000000000003E-2</v>
      </c>
      <c r="H25" s="82">
        <v>0.5454</v>
      </c>
      <c r="I25" s="82">
        <v>4.9619429999999998</v>
      </c>
      <c r="J25" s="82">
        <v>0.71562360000000003</v>
      </c>
      <c r="K25" s="82">
        <v>0.10991662000000001</v>
      </c>
      <c r="L25" s="82">
        <v>0</v>
      </c>
      <c r="M25" s="82">
        <v>0.2</v>
      </c>
      <c r="N25" s="82">
        <v>0</v>
      </c>
    </row>
    <row r="26" spans="1:22" ht="15" customHeight="1" x14ac:dyDescent="0.15">
      <c r="A26" s="105" t="s">
        <v>140</v>
      </c>
      <c r="C26" s="82">
        <v>25</v>
      </c>
      <c r="D26"/>
      <c r="E26" s="184" t="s">
        <v>216</v>
      </c>
      <c r="F26" s="82">
        <v>0</v>
      </c>
      <c r="G26" s="82">
        <v>0.28565299999999999</v>
      </c>
      <c r="H26" s="82">
        <v>0.57399999999999995</v>
      </c>
      <c r="I26" s="82">
        <v>5.7577699999999998</v>
      </c>
      <c r="J26" s="82">
        <v>0.82994264399999995</v>
      </c>
      <c r="K26" s="82">
        <v>9.9691376100000006E-2</v>
      </c>
      <c r="L26" s="82">
        <v>0</v>
      </c>
      <c r="M26" s="82">
        <v>0.2</v>
      </c>
      <c r="N26" s="82">
        <v>0</v>
      </c>
    </row>
    <row r="27" spans="1:22" ht="15" customHeight="1" x14ac:dyDescent="0.15">
      <c r="C27" s="82">
        <v>26</v>
      </c>
      <c r="D27"/>
      <c r="E27" s="184" t="s">
        <v>217</v>
      </c>
      <c r="F27" s="82">
        <v>0</v>
      </c>
      <c r="G27" s="82">
        <v>3.44817527E-2</v>
      </c>
      <c r="H27" s="82">
        <v>1.6</v>
      </c>
      <c r="I27" s="82">
        <v>14.894324299999999</v>
      </c>
      <c r="J27" s="82">
        <v>0.86625629999999998</v>
      </c>
      <c r="K27" s="82">
        <v>0.10742346899999999</v>
      </c>
      <c r="L27" s="82">
        <v>0</v>
      </c>
      <c r="M27" s="82">
        <v>0.2</v>
      </c>
      <c r="N27" s="82">
        <v>0</v>
      </c>
    </row>
    <row r="28" spans="1:22" ht="15" customHeight="1" x14ac:dyDescent="0.15">
      <c r="C28" s="82">
        <v>27</v>
      </c>
      <c r="D28"/>
      <c r="E28" s="184" t="s">
        <v>218</v>
      </c>
      <c r="F28" s="82">
        <v>0</v>
      </c>
      <c r="G28" s="82">
        <v>0.121629</v>
      </c>
      <c r="H28" s="82">
        <v>0.78796699999999997</v>
      </c>
      <c r="I28" s="82">
        <v>5.6309930000000001</v>
      </c>
      <c r="J28" s="82">
        <v>0.39298796699999999</v>
      </c>
      <c r="K28" s="82">
        <v>0.139933944</v>
      </c>
      <c r="L28" s="82">
        <v>0</v>
      </c>
      <c r="M28" s="82">
        <v>0.2</v>
      </c>
      <c r="N28" s="82">
        <v>0</v>
      </c>
    </row>
    <row r="29" spans="1:22" customFormat="1" ht="15" customHeight="1" x14ac:dyDescent="0.15">
      <c r="C29" s="82">
        <v>28</v>
      </c>
      <c r="E29" s="184" t="s">
        <v>219</v>
      </c>
      <c r="F29" s="82">
        <v>0</v>
      </c>
      <c r="G29" s="82">
        <v>1.24383364E-2</v>
      </c>
      <c r="H29" s="82">
        <v>1.88</v>
      </c>
      <c r="I29" s="82">
        <v>8.6035219999999999</v>
      </c>
      <c r="J29" s="82">
        <v>0.66295844299999995</v>
      </c>
      <c r="K29" s="82">
        <v>0.21851515799999999</v>
      </c>
      <c r="L29" s="82">
        <v>0</v>
      </c>
      <c r="M29" s="82">
        <v>0.2</v>
      </c>
      <c r="N29" s="82">
        <v>0</v>
      </c>
    </row>
    <row r="30" spans="1:22" customFormat="1" ht="15" customHeight="1" x14ac:dyDescent="0.15">
      <c r="C30" s="82">
        <v>29</v>
      </c>
      <c r="E30" s="184" t="s">
        <v>220</v>
      </c>
      <c r="F30" s="82">
        <v>0</v>
      </c>
      <c r="G30" s="82">
        <v>1.6435999999999999E-2</v>
      </c>
      <c r="H30" s="82">
        <v>0.99</v>
      </c>
      <c r="I30" s="82">
        <v>3.4601690000000001</v>
      </c>
      <c r="J30" s="82">
        <v>0.56994873300000004</v>
      </c>
      <c r="K30" s="82">
        <v>0.28611320000000001</v>
      </c>
      <c r="L30" s="82">
        <v>0</v>
      </c>
      <c r="M30" s="82">
        <v>0.2</v>
      </c>
      <c r="N30" s="82">
        <v>0</v>
      </c>
    </row>
    <row r="31" spans="1:22" customFormat="1" ht="15" customHeight="1" x14ac:dyDescent="0.15">
      <c r="C31" s="82">
        <v>30</v>
      </c>
      <c r="E31" s="184" t="s">
        <v>221</v>
      </c>
      <c r="F31" s="82">
        <v>0</v>
      </c>
      <c r="G31" s="82">
        <v>2.5583999999999999E-2</v>
      </c>
      <c r="H31" s="82">
        <v>0.52800000000000002</v>
      </c>
      <c r="I31" s="82">
        <v>3.8721350000000001</v>
      </c>
      <c r="J31" s="82">
        <v>0.90041389999999999</v>
      </c>
      <c r="K31" s="82">
        <v>0.13635888700000001</v>
      </c>
      <c r="L31" s="82">
        <v>0</v>
      </c>
      <c r="M31" s="82">
        <v>0.2</v>
      </c>
      <c r="N31" s="82">
        <v>0</v>
      </c>
    </row>
    <row r="32" spans="1:22" customFormat="1" ht="15" customHeight="1" x14ac:dyDescent="0.15">
      <c r="C32" s="82">
        <v>31</v>
      </c>
      <c r="E32" s="184" t="s">
        <v>222</v>
      </c>
      <c r="F32" s="82">
        <v>0</v>
      </c>
      <c r="G32" s="82">
        <v>0.40071000000000001</v>
      </c>
      <c r="H32" s="82">
        <v>0.37992300000000001</v>
      </c>
      <c r="I32" s="82">
        <v>4.7744879999999998</v>
      </c>
      <c r="J32" s="82">
        <v>0.25680530000000001</v>
      </c>
      <c r="K32" s="82">
        <v>7.9573560000000002E-2</v>
      </c>
      <c r="L32" s="82">
        <v>0</v>
      </c>
      <c r="M32" s="82">
        <v>0.2</v>
      </c>
      <c r="N32" s="82">
        <v>0</v>
      </c>
    </row>
    <row r="33" spans="3:14" customFormat="1" ht="15" customHeight="1" x14ac:dyDescent="0.15">
      <c r="C33" s="82">
        <v>32</v>
      </c>
      <c r="E33" s="184" t="s">
        <v>223</v>
      </c>
      <c r="F33" s="82">
        <v>0</v>
      </c>
      <c r="G33" s="82">
        <v>9.5717930000000007E-2</v>
      </c>
      <c r="H33" s="82">
        <v>0.6</v>
      </c>
      <c r="I33" s="82">
        <v>4.2275770000000001</v>
      </c>
      <c r="J33" s="82">
        <v>0.8</v>
      </c>
      <c r="K33" s="82">
        <v>0.14192526</v>
      </c>
      <c r="L33" s="82">
        <v>0</v>
      </c>
      <c r="M33" s="82">
        <v>0.2</v>
      </c>
      <c r="N33" s="82">
        <v>0</v>
      </c>
    </row>
    <row r="34" spans="3:14" customFormat="1" ht="15" customHeight="1" x14ac:dyDescent="0.15">
      <c r="C34" s="82">
        <v>33</v>
      </c>
      <c r="E34" s="184" t="s">
        <v>224</v>
      </c>
      <c r="F34" s="82">
        <v>0</v>
      </c>
      <c r="G34" s="82">
        <v>0.30087199999999997</v>
      </c>
      <c r="H34" s="82">
        <v>0.82750400000000002</v>
      </c>
      <c r="I34" s="82">
        <v>4.0525719999999996</v>
      </c>
      <c r="J34" s="82">
        <v>0.65784069999999994</v>
      </c>
      <c r="K34" s="82">
        <v>0.20419231099999999</v>
      </c>
      <c r="L34" s="82">
        <v>0</v>
      </c>
      <c r="M34" s="82">
        <v>0.2</v>
      </c>
      <c r="N34" s="82">
        <v>0</v>
      </c>
    </row>
    <row r="35" spans="3:14" customFormat="1" ht="15" customHeight="1" x14ac:dyDescent="0.15">
      <c r="C35" s="82">
        <v>34</v>
      </c>
      <c r="E35" s="184" t="s">
        <v>225</v>
      </c>
      <c r="F35" s="82">
        <v>0</v>
      </c>
      <c r="G35" s="82">
        <v>0.15149199999999999</v>
      </c>
      <c r="H35" s="82">
        <v>0.41099999999999998</v>
      </c>
      <c r="I35" s="82">
        <v>2.830911</v>
      </c>
      <c r="J35" s="82">
        <v>0.68546669999999998</v>
      </c>
      <c r="K35" s="82">
        <v>0.145182952</v>
      </c>
      <c r="L35" s="82">
        <v>0</v>
      </c>
      <c r="M35" s="82">
        <v>0.2</v>
      </c>
      <c r="N35" s="82">
        <v>0</v>
      </c>
    </row>
    <row r="36" spans="3:14" customFormat="1" ht="15" customHeight="1" x14ac:dyDescent="0.15">
      <c r="C36" s="82">
        <v>35</v>
      </c>
      <c r="E36" s="184" t="s">
        <v>226</v>
      </c>
      <c r="F36" s="82">
        <v>0</v>
      </c>
      <c r="G36" s="82">
        <v>0.110876</v>
      </c>
      <c r="H36" s="82">
        <v>0.45800000000000002</v>
      </c>
      <c r="I36" s="82">
        <v>3.0622060000000002</v>
      </c>
      <c r="J36" s="82">
        <v>0.89937925299999999</v>
      </c>
      <c r="K36" s="82">
        <v>0.149565384</v>
      </c>
      <c r="L36" s="82">
        <v>0</v>
      </c>
      <c r="M36" s="82">
        <v>0.2</v>
      </c>
      <c r="N36" s="82">
        <v>0</v>
      </c>
    </row>
    <row r="37" spans="3:14" customFormat="1" ht="15" customHeight="1" x14ac:dyDescent="0.15">
      <c r="C37" s="82">
        <v>36</v>
      </c>
      <c r="E37" s="184" t="s">
        <v>227</v>
      </c>
      <c r="F37" s="82">
        <v>0</v>
      </c>
      <c r="G37" s="82">
        <v>0.118093</v>
      </c>
      <c r="H37" s="82">
        <v>0.61299999999999999</v>
      </c>
      <c r="I37" s="82">
        <v>4.6091300000000004</v>
      </c>
      <c r="J37" s="82">
        <v>0.8994065</v>
      </c>
      <c r="K37" s="82">
        <v>0.1329969</v>
      </c>
      <c r="L37" s="82">
        <v>0</v>
      </c>
      <c r="M37" s="82">
        <v>0.2</v>
      </c>
      <c r="N37" s="82">
        <v>0</v>
      </c>
    </row>
    <row r="38" spans="3:14" customFormat="1" ht="15" customHeight="1" x14ac:dyDescent="0.15">
      <c r="C38" s="82">
        <v>37</v>
      </c>
      <c r="E38" s="184" t="s">
        <v>228</v>
      </c>
      <c r="F38" s="82">
        <v>0</v>
      </c>
      <c r="G38" s="82">
        <v>1.4999999999999999E-2</v>
      </c>
      <c r="H38" s="82">
        <v>0.65225900000000003</v>
      </c>
      <c r="I38" s="82">
        <v>4.993817</v>
      </c>
      <c r="J38" s="82">
        <v>0.63880556799999999</v>
      </c>
      <c r="K38" s="82">
        <v>0.13061331200000001</v>
      </c>
      <c r="L38" s="82">
        <v>0</v>
      </c>
      <c r="M38" s="82">
        <v>0.2</v>
      </c>
      <c r="N38" s="82">
        <v>0</v>
      </c>
    </row>
    <row r="39" spans="3:14" customFormat="1" ht="15" customHeight="1" x14ac:dyDescent="0.15">
      <c r="C39" s="82">
        <v>38</v>
      </c>
      <c r="E39" s="184" t="s">
        <v>229</v>
      </c>
      <c r="F39" s="82">
        <v>0</v>
      </c>
      <c r="G39" s="82">
        <v>2.9368231300000001</v>
      </c>
      <c r="H39" s="82">
        <v>1.29</v>
      </c>
      <c r="I39" s="82">
        <v>10.1422892</v>
      </c>
      <c r="J39" s="82">
        <v>0.9</v>
      </c>
      <c r="K39" s="82">
        <v>0.12719021699999999</v>
      </c>
      <c r="L39" s="82">
        <v>0</v>
      </c>
      <c r="M39" s="82">
        <v>0.2</v>
      </c>
      <c r="N39" s="82">
        <v>0</v>
      </c>
    </row>
    <row r="40" spans="3:14" customFormat="1" ht="15" customHeight="1" x14ac:dyDescent="0.15">
      <c r="C40" s="82">
        <v>39</v>
      </c>
      <c r="E40" s="184" t="s">
        <v>230</v>
      </c>
      <c r="F40" s="82">
        <v>0</v>
      </c>
      <c r="G40" s="82">
        <v>6.83E-2</v>
      </c>
      <c r="H40" s="82">
        <v>0.99747600000000003</v>
      </c>
      <c r="I40" s="82">
        <v>6.3538110000000003</v>
      </c>
      <c r="J40" s="82">
        <v>0.88762220000000003</v>
      </c>
      <c r="K40" s="82">
        <v>0.15698862099999999</v>
      </c>
      <c r="L40" s="82">
        <v>0</v>
      </c>
      <c r="M40" s="82">
        <v>0.2</v>
      </c>
      <c r="N40" s="82">
        <v>0</v>
      </c>
    </row>
    <row r="41" spans="3:14" customFormat="1" ht="15" customHeight="1" x14ac:dyDescent="0.15">
      <c r="C41" s="82">
        <v>40</v>
      </c>
      <c r="E41" s="184" t="s">
        <v>231</v>
      </c>
      <c r="F41" s="82">
        <v>0</v>
      </c>
      <c r="G41" s="82">
        <v>0.52487546200000001</v>
      </c>
      <c r="H41" s="82">
        <v>1.21</v>
      </c>
      <c r="I41" s="82">
        <v>9.6809060000000002</v>
      </c>
      <c r="J41" s="82">
        <v>0.9</v>
      </c>
      <c r="K41" s="82">
        <v>0.1249883</v>
      </c>
      <c r="L41" s="82">
        <v>0</v>
      </c>
      <c r="M41" s="82">
        <v>0.2</v>
      </c>
      <c r="N41" s="82">
        <v>0</v>
      </c>
    </row>
    <row r="42" spans="3:14" customFormat="1" ht="15" customHeight="1" x14ac:dyDescent="0.15">
      <c r="C42" s="82">
        <v>41</v>
      </c>
      <c r="E42" s="184" t="s">
        <v>232</v>
      </c>
      <c r="F42" s="82">
        <v>0</v>
      </c>
      <c r="G42" s="82">
        <v>0.68799999999999994</v>
      </c>
      <c r="H42" s="82">
        <v>0.63932</v>
      </c>
      <c r="I42" s="82">
        <v>7.9217240000000002</v>
      </c>
      <c r="J42" s="82">
        <v>0.80217015700000005</v>
      </c>
      <c r="K42" s="82">
        <v>8.0704659999999998E-2</v>
      </c>
      <c r="L42" s="82">
        <v>0</v>
      </c>
      <c r="M42" s="82">
        <v>0.2</v>
      </c>
      <c r="N42" s="82">
        <v>0</v>
      </c>
    </row>
    <row r="43" spans="3:14" customFormat="1" ht="15" customHeight="1" x14ac:dyDescent="0.15">
      <c r="C43" s="82">
        <v>42</v>
      </c>
      <c r="E43" s="184" t="s">
        <v>233</v>
      </c>
      <c r="F43" s="82">
        <v>0</v>
      </c>
      <c r="G43" s="82">
        <v>1.3632040000000001</v>
      </c>
      <c r="H43" s="82">
        <v>0.36199999999999999</v>
      </c>
      <c r="I43" s="82">
        <v>6</v>
      </c>
      <c r="J43" s="82">
        <v>0.89979920000000002</v>
      </c>
      <c r="K43" s="82">
        <v>6.0333329999999998E-2</v>
      </c>
      <c r="L43" s="82">
        <v>0</v>
      </c>
      <c r="M43" s="82">
        <v>0.2</v>
      </c>
      <c r="N43" s="82">
        <v>0</v>
      </c>
    </row>
    <row r="44" spans="3:14" customFormat="1" ht="15" customHeight="1" x14ac:dyDescent="0.15">
      <c r="C44" s="82">
        <v>43</v>
      </c>
      <c r="E44" s="184" t="s">
        <v>234</v>
      </c>
      <c r="F44" s="82">
        <v>0</v>
      </c>
      <c r="G44" s="82">
        <v>0.70358600000000004</v>
      </c>
      <c r="H44" s="82">
        <v>0.39400000000000002</v>
      </c>
      <c r="I44" s="82">
        <v>5.5634129999999997</v>
      </c>
      <c r="J44" s="82">
        <v>0.90026689999999998</v>
      </c>
      <c r="K44" s="82">
        <v>7.081983E-2</v>
      </c>
      <c r="L44" s="82">
        <v>0</v>
      </c>
      <c r="M44" s="82">
        <v>0.2</v>
      </c>
      <c r="N44" s="82">
        <v>0</v>
      </c>
    </row>
    <row r="45" spans="3:14" customFormat="1" ht="15" customHeight="1" x14ac:dyDescent="0.15">
      <c r="C45" s="82">
        <v>44</v>
      </c>
      <c r="E45" s="184" t="s">
        <v>235</v>
      </c>
      <c r="F45" s="82">
        <v>0</v>
      </c>
      <c r="G45" s="82">
        <v>6.4597000000000002E-2</v>
      </c>
      <c r="H45" s="82">
        <v>0.421792</v>
      </c>
      <c r="I45" s="82">
        <v>3.9141149999999998</v>
      </c>
      <c r="J45" s="82">
        <v>0.4420017</v>
      </c>
      <c r="K45" s="82">
        <v>0.107761778</v>
      </c>
      <c r="L45" s="82">
        <v>0</v>
      </c>
      <c r="M45" s="82">
        <v>0.2</v>
      </c>
      <c r="N45" s="82">
        <v>0</v>
      </c>
    </row>
    <row r="46" spans="3:14" customFormat="1" ht="15" customHeight="1" x14ac:dyDescent="0.15">
      <c r="C46" s="82">
        <v>45</v>
      </c>
      <c r="E46" s="184" t="s">
        <v>236</v>
      </c>
      <c r="F46" s="82">
        <v>0</v>
      </c>
      <c r="G46" s="82">
        <v>2E-3</v>
      </c>
      <c r="H46" s="82">
        <v>0.23638500000000001</v>
      </c>
      <c r="I46" s="82">
        <v>2.5256240000000001</v>
      </c>
      <c r="J46" s="82">
        <v>0.37358185599999999</v>
      </c>
      <c r="K46" s="82">
        <v>9.3594689999999994E-2</v>
      </c>
      <c r="L46" s="82">
        <v>0</v>
      </c>
      <c r="M46" s="82">
        <v>0.2</v>
      </c>
      <c r="N46" s="82">
        <v>0</v>
      </c>
    </row>
    <row r="47" spans="3:14" customFormat="1" ht="15" customHeight="1" x14ac:dyDescent="0.15">
      <c r="C47" s="82">
        <v>46</v>
      </c>
      <c r="E47" s="184" t="s">
        <v>237</v>
      </c>
      <c r="F47" s="82">
        <v>0</v>
      </c>
      <c r="G47" s="82">
        <v>3.4000000000000002E-2</v>
      </c>
      <c r="H47" s="82">
        <v>7.0000000000000007E-2</v>
      </c>
      <c r="I47" s="82">
        <v>3.7</v>
      </c>
      <c r="J47" s="82">
        <v>0</v>
      </c>
      <c r="K47" s="82">
        <v>1.8918918400000002E-2</v>
      </c>
      <c r="L47" s="82">
        <v>0</v>
      </c>
      <c r="M47" s="82">
        <v>0.2</v>
      </c>
      <c r="N47" s="82">
        <v>0</v>
      </c>
    </row>
    <row r="48" spans="3:14" customFormat="1" ht="15" customHeight="1" x14ac:dyDescent="0.15">
      <c r="C48" s="82">
        <v>47</v>
      </c>
      <c r="E48" s="184" t="s">
        <v>238</v>
      </c>
      <c r="F48" s="82">
        <v>0</v>
      </c>
      <c r="G48" s="82">
        <v>0.466395</v>
      </c>
      <c r="H48" s="82">
        <v>2.1930000000000001</v>
      </c>
      <c r="I48" s="82">
        <v>15</v>
      </c>
      <c r="J48" s="82">
        <v>0.89984107000000002</v>
      </c>
      <c r="K48" s="82">
        <v>0.1462</v>
      </c>
      <c r="L48" s="82">
        <v>0</v>
      </c>
      <c r="M48" s="82">
        <v>0.2</v>
      </c>
      <c r="N48" s="82">
        <v>0</v>
      </c>
    </row>
    <row r="49" spans="3:14" customFormat="1" ht="15" customHeight="1" x14ac:dyDescent="0.15">
      <c r="C49" s="82">
        <v>48</v>
      </c>
      <c r="E49" s="184" t="s">
        <v>239</v>
      </c>
      <c r="F49" s="82">
        <v>0</v>
      </c>
      <c r="G49" s="82">
        <v>1.1999999999999999E-3</v>
      </c>
      <c r="H49" s="82">
        <v>0.4</v>
      </c>
      <c r="I49" s="82">
        <v>72.12</v>
      </c>
      <c r="J49" s="82">
        <v>1.1616443299999999E-2</v>
      </c>
      <c r="K49" s="82">
        <v>5.5463113800000002E-3</v>
      </c>
      <c r="L49" s="82">
        <v>0</v>
      </c>
      <c r="M49" s="82">
        <v>0.2</v>
      </c>
      <c r="N49" s="82">
        <v>0</v>
      </c>
    </row>
    <row r="50" spans="3:14" customFormat="1" ht="15" customHeight="1" x14ac:dyDescent="0.15">
      <c r="C50" s="82">
        <v>49</v>
      </c>
      <c r="E50" s="184" t="s">
        <v>240</v>
      </c>
      <c r="F50" s="82">
        <v>0</v>
      </c>
      <c r="G50" s="82">
        <v>3.8400000000000001E-3</v>
      </c>
      <c r="H50" s="82">
        <v>0.4</v>
      </c>
      <c r="I50" s="82">
        <v>13.727</v>
      </c>
      <c r="J50" s="82">
        <v>0.177403435</v>
      </c>
      <c r="K50" s="82">
        <v>2.9139650999999999E-2</v>
      </c>
      <c r="L50" s="82">
        <v>0</v>
      </c>
      <c r="M50" s="82">
        <v>0.2</v>
      </c>
      <c r="N50" s="82">
        <v>0</v>
      </c>
    </row>
    <row r="51" spans="3:14" customFormat="1" ht="15" customHeight="1" x14ac:dyDescent="0.15">
      <c r="C51" s="82">
        <v>50</v>
      </c>
      <c r="E51" s="184" t="s">
        <v>241</v>
      </c>
      <c r="F51" s="82">
        <v>0</v>
      </c>
      <c r="G51" s="82">
        <v>2E-3</v>
      </c>
      <c r="H51" s="82">
        <v>0.04</v>
      </c>
      <c r="I51" s="82">
        <v>13.319892899999999</v>
      </c>
      <c r="J51" s="82">
        <v>0.176932216</v>
      </c>
      <c r="K51" s="82">
        <v>3.0030270000000001E-3</v>
      </c>
      <c r="L51" s="82">
        <v>0</v>
      </c>
      <c r="M51" s="82">
        <v>0.2</v>
      </c>
      <c r="N51" s="82">
        <v>0</v>
      </c>
    </row>
    <row r="52" spans="3:14" customFormat="1" ht="15" customHeight="1" x14ac:dyDescent="0.15">
      <c r="C52" s="82">
        <v>51</v>
      </c>
      <c r="E52" s="184" t="s">
        <v>242</v>
      </c>
      <c r="F52" s="82">
        <v>2</v>
      </c>
      <c r="G52" s="82">
        <v>0.30167500000000003</v>
      </c>
      <c r="H52" s="82">
        <v>0</v>
      </c>
      <c r="I52" s="82">
        <v>0</v>
      </c>
      <c r="J52" s="82">
        <v>6.6466360000000002E-2</v>
      </c>
      <c r="K52" s="82">
        <v>0</v>
      </c>
      <c r="L52" s="82">
        <v>0</v>
      </c>
      <c r="M52" s="82">
        <v>0</v>
      </c>
      <c r="N52" s="82">
        <v>0</v>
      </c>
    </row>
    <row r="53" spans="3:14" customFormat="1" ht="15" customHeight="1" x14ac:dyDescent="0.15">
      <c r="C53" s="82">
        <v>52</v>
      </c>
      <c r="E53" s="184" t="s">
        <v>243</v>
      </c>
      <c r="F53" s="82">
        <v>2</v>
      </c>
      <c r="G53" s="82">
        <v>1</v>
      </c>
      <c r="H53" s="82">
        <v>0</v>
      </c>
      <c r="I53" s="82">
        <v>0</v>
      </c>
      <c r="J53" s="82">
        <v>0.18706692799999999</v>
      </c>
      <c r="K53" s="82">
        <v>0</v>
      </c>
      <c r="L53" s="82">
        <v>0</v>
      </c>
      <c r="M53" s="82">
        <v>0</v>
      </c>
      <c r="N53" s="82">
        <v>0</v>
      </c>
    </row>
    <row r="54" spans="3:14" customFormat="1" ht="15" customHeight="1" x14ac:dyDescent="0.15">
      <c r="C54" s="82">
        <v>53</v>
      </c>
      <c r="E54" s="184" t="s">
        <v>244</v>
      </c>
      <c r="F54" s="82">
        <v>2</v>
      </c>
      <c r="G54" s="82">
        <v>5</v>
      </c>
      <c r="H54" s="82">
        <v>0</v>
      </c>
      <c r="I54" s="82">
        <v>0</v>
      </c>
      <c r="J54" s="82">
        <v>0</v>
      </c>
      <c r="K54" s="82">
        <v>0</v>
      </c>
      <c r="L54" s="82">
        <v>0</v>
      </c>
      <c r="M54" s="82">
        <v>0</v>
      </c>
      <c r="N54" s="82">
        <v>0</v>
      </c>
    </row>
    <row r="55" spans="3:14" customFormat="1" ht="15" customHeight="1" x14ac:dyDescent="0.15">
      <c r="C55" s="82">
        <v>54</v>
      </c>
      <c r="E55" s="184" t="s">
        <v>245</v>
      </c>
      <c r="F55" s="82">
        <v>3</v>
      </c>
      <c r="G55" s="82">
        <v>0</v>
      </c>
      <c r="H55" s="82">
        <v>0</v>
      </c>
      <c r="I55" s="82">
        <v>0</v>
      </c>
      <c r="J55" s="82">
        <v>0</v>
      </c>
      <c r="K55" s="82">
        <v>0</v>
      </c>
      <c r="L55" s="82">
        <v>0</v>
      </c>
      <c r="M55" s="82">
        <v>0</v>
      </c>
      <c r="N55" s="82">
        <v>0</v>
      </c>
    </row>
    <row r="56" spans="3:14" customFormat="1" ht="15" customHeight="1" x14ac:dyDescent="0.15">
      <c r="C56" s="82">
        <v>55</v>
      </c>
      <c r="E56" s="184" t="s">
        <v>246</v>
      </c>
      <c r="F56" s="82">
        <v>3</v>
      </c>
      <c r="G56" s="82">
        <v>0</v>
      </c>
      <c r="H56" s="82">
        <v>0</v>
      </c>
      <c r="I56" s="82">
        <v>0</v>
      </c>
      <c r="J56" s="82">
        <v>0</v>
      </c>
      <c r="K56" s="82">
        <v>0</v>
      </c>
      <c r="L56" s="82">
        <v>0</v>
      </c>
      <c r="M56" s="82">
        <v>0</v>
      </c>
      <c r="N56" s="82">
        <v>0</v>
      </c>
    </row>
    <row r="57" spans="3:14" customFormat="1" ht="15" customHeight="1" x14ac:dyDescent="0.15">
      <c r="C57" s="82">
        <v>56</v>
      </c>
      <c r="E57" s="184" t="s">
        <v>247</v>
      </c>
      <c r="F57" s="82">
        <v>3</v>
      </c>
      <c r="G57" s="82">
        <v>0</v>
      </c>
      <c r="H57" s="82">
        <v>0</v>
      </c>
      <c r="I57" s="82">
        <v>0</v>
      </c>
      <c r="J57" s="82">
        <v>0</v>
      </c>
      <c r="K57" s="82">
        <v>0</v>
      </c>
      <c r="L57" s="82">
        <v>0</v>
      </c>
      <c r="M57" s="82">
        <v>0</v>
      </c>
      <c r="N57" s="82">
        <v>0</v>
      </c>
    </row>
    <row r="58" spans="3:14" customFormat="1" ht="15" customHeight="1" x14ac:dyDescent="0.15">
      <c r="C58" s="82">
        <v>57</v>
      </c>
      <c r="E58" s="184" t="s">
        <v>248</v>
      </c>
      <c r="F58" s="82">
        <v>3</v>
      </c>
      <c r="G58" s="82">
        <v>0</v>
      </c>
      <c r="H58" s="82">
        <v>0</v>
      </c>
      <c r="I58" s="82">
        <v>0</v>
      </c>
      <c r="J58" s="82">
        <v>0</v>
      </c>
      <c r="K58" s="82">
        <v>0</v>
      </c>
      <c r="L58" s="82">
        <v>0</v>
      </c>
      <c r="M58" s="82">
        <v>0</v>
      </c>
      <c r="N58" s="82">
        <v>0</v>
      </c>
    </row>
    <row r="59" spans="3:14" customFormat="1" ht="15" customHeight="1" x14ac:dyDescent="0.15">
      <c r="C59" s="82">
        <v>58</v>
      </c>
      <c r="E59" s="184" t="s">
        <v>249</v>
      </c>
      <c r="F59" s="82">
        <v>3</v>
      </c>
      <c r="G59" s="82">
        <v>0</v>
      </c>
      <c r="H59" s="82">
        <v>0</v>
      </c>
      <c r="I59" s="82">
        <v>0</v>
      </c>
      <c r="J59" s="82">
        <v>0</v>
      </c>
      <c r="K59" s="82">
        <v>0</v>
      </c>
      <c r="L59" s="82">
        <v>0</v>
      </c>
      <c r="M59" s="82">
        <v>0</v>
      </c>
      <c r="N59" s="82">
        <v>0</v>
      </c>
    </row>
    <row r="60" spans="3:14" customFormat="1" ht="15" customHeight="1" x14ac:dyDescent="0.15">
      <c r="C60" s="82">
        <v>59</v>
      </c>
      <c r="E60" s="184" t="s">
        <v>250</v>
      </c>
      <c r="F60" s="82">
        <v>3</v>
      </c>
      <c r="G60" s="82">
        <v>0</v>
      </c>
      <c r="H60" s="82">
        <v>0</v>
      </c>
      <c r="I60" s="82">
        <v>0</v>
      </c>
      <c r="J60" s="82">
        <v>0</v>
      </c>
      <c r="K60" s="82">
        <v>0</v>
      </c>
      <c r="L60" s="82">
        <v>0</v>
      </c>
      <c r="M60" s="82">
        <v>0</v>
      </c>
      <c r="N60" s="82">
        <v>0</v>
      </c>
    </row>
    <row r="61" spans="3:14" customFormat="1" ht="15" customHeight="1" x14ac:dyDescent="0.15">
      <c r="C61" s="82">
        <v>60</v>
      </c>
      <c r="E61" s="184" t="s">
        <v>251</v>
      </c>
      <c r="F61" s="82">
        <v>3</v>
      </c>
      <c r="G61" s="82">
        <v>0</v>
      </c>
      <c r="H61" s="82">
        <v>0</v>
      </c>
      <c r="I61" s="82">
        <v>0</v>
      </c>
      <c r="J61" s="82">
        <v>0</v>
      </c>
      <c r="K61" s="82">
        <v>0</v>
      </c>
      <c r="L61" s="82">
        <v>0</v>
      </c>
      <c r="M61" s="82">
        <v>0</v>
      </c>
      <c r="N61" s="82">
        <v>0</v>
      </c>
    </row>
    <row r="62" spans="3:14" customFormat="1" ht="15" customHeight="1" x14ac:dyDescent="0.15">
      <c r="C62" s="82">
        <v>61</v>
      </c>
      <c r="E62" s="184" t="s">
        <v>252</v>
      </c>
      <c r="F62" s="82">
        <v>3</v>
      </c>
      <c r="G62" s="82">
        <v>0</v>
      </c>
      <c r="H62" s="82">
        <v>0</v>
      </c>
      <c r="I62" s="82">
        <v>0</v>
      </c>
      <c r="J62" s="82">
        <v>0</v>
      </c>
      <c r="K62" s="82">
        <v>0</v>
      </c>
      <c r="L62" s="82">
        <v>0</v>
      </c>
      <c r="M62" s="82">
        <v>0</v>
      </c>
      <c r="N62" s="82">
        <v>0</v>
      </c>
    </row>
    <row r="63" spans="3:14" customFormat="1" ht="15" customHeight="1" x14ac:dyDescent="0.15">
      <c r="C63" s="82">
        <v>62</v>
      </c>
      <c r="E63" s="184" t="s">
        <v>253</v>
      </c>
      <c r="F63" s="82">
        <v>3</v>
      </c>
      <c r="G63" s="82">
        <v>0</v>
      </c>
      <c r="H63" s="82">
        <v>0</v>
      </c>
      <c r="I63" s="82">
        <v>0</v>
      </c>
      <c r="J63" s="82">
        <v>0</v>
      </c>
      <c r="K63" s="82">
        <v>0</v>
      </c>
      <c r="L63" s="82">
        <v>0</v>
      </c>
      <c r="M63" s="82">
        <v>0</v>
      </c>
      <c r="N63" s="82">
        <v>0</v>
      </c>
    </row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B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6" bestFit="1" customWidth="1"/>
    <col min="2" max="2" width="2.33203125" style="146" bestFit="1" customWidth="1"/>
    <col min="3" max="3" width="8.83203125" style="146" bestFit="1" customWidth="1"/>
    <col min="4" max="4" width="13.83203125" style="146" bestFit="1" customWidth="1"/>
    <col min="5" max="6" width="2.33203125" style="146" bestFit="1" customWidth="1"/>
    <col min="7" max="7" width="4.83203125" style="146" bestFit="1" customWidth="1"/>
    <col min="8" max="9" width="8.83203125" style="146" bestFit="1" customWidth="1"/>
    <col min="10" max="10" width="14.83203125" style="146" bestFit="1" customWidth="1"/>
    <col min="11" max="12" width="3.83203125" style="146" bestFit="1" customWidth="1"/>
    <col min="13" max="14" width="8.83203125" style="146" bestFit="1" customWidth="1"/>
    <col min="15" max="15" width="14.83203125" style="146" bestFit="1" customWidth="1"/>
    <col min="16" max="17" width="15.83203125" style="146" bestFit="1" customWidth="1"/>
    <col min="18" max="18" width="13.83203125" style="146" bestFit="1" customWidth="1"/>
    <col min="19" max="22" width="14.83203125" style="146" bestFit="1" customWidth="1"/>
    <col min="23" max="23" width="8.83203125" style="146" bestFit="1" customWidth="1"/>
    <col min="24" max="24" width="14.83203125" style="146" bestFit="1" customWidth="1"/>
    <col min="25" max="25" width="15.83203125" style="146" bestFit="1" customWidth="1"/>
    <col min="26" max="26" width="14.83203125" style="146" bestFit="1" customWidth="1"/>
    <col min="27" max="27" width="13.83203125" style="146" bestFit="1" customWidth="1"/>
    <col min="28" max="29" width="15.83203125" style="146" bestFit="1" customWidth="1"/>
    <col min="30" max="30" width="15.83203125" style="146" customWidth="1"/>
    <col min="31" max="32" width="14.83203125" style="146" customWidth="1"/>
    <col min="33" max="34" width="15.83203125" style="146" customWidth="1"/>
    <col min="35" max="36" width="14.83203125" style="146" customWidth="1"/>
    <col min="37" max="38" width="8.83203125" style="146" customWidth="1"/>
    <col min="39" max="39" width="12.83203125" style="146" customWidth="1"/>
    <col min="40" max="40" width="3.83203125" style="146" customWidth="1"/>
    <col min="41" max="41" width="8.83203125" style="146" customWidth="1"/>
    <col min="42" max="42" width="3.83203125" style="146" customWidth="1"/>
    <col min="43" max="43" width="15.5" style="146" customWidth="1"/>
    <col min="44" max="45" width="15.83203125" style="146" customWidth="1"/>
    <col min="46" max="46" width="14.83203125" style="146" customWidth="1"/>
    <col min="47" max="47" width="3.83203125" style="146" customWidth="1"/>
    <col min="48" max="49" width="15.83203125" style="146" customWidth="1"/>
    <col min="50" max="50" width="14.83203125" style="146" customWidth="1"/>
    <col min="51" max="51" width="15.83203125" style="146" customWidth="1"/>
    <col min="52" max="54" width="2.33203125" style="146" customWidth="1"/>
    <col min="55" max="16384" width="8.83203125" style="146"/>
  </cols>
  <sheetData>
    <row r="1" spans="1:54" x14ac:dyDescent="0.15">
      <c r="A1" s="145" t="s">
        <v>19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  <c r="AI1" s="186" t="s">
        <v>225</v>
      </c>
      <c r="AJ1" s="186" t="s">
        <v>226</v>
      </c>
      <c r="AK1" s="186" t="s">
        <v>227</v>
      </c>
      <c r="AL1" s="186" t="s">
        <v>228</v>
      </c>
      <c r="AM1" s="186" t="s">
        <v>229</v>
      </c>
      <c r="AN1" s="186" t="s">
        <v>230</v>
      </c>
      <c r="AO1" s="186" t="s">
        <v>231</v>
      </c>
      <c r="AP1" s="186" t="s">
        <v>232</v>
      </c>
      <c r="AQ1" s="186" t="s">
        <v>233</v>
      </c>
      <c r="AR1" s="186" t="s">
        <v>234</v>
      </c>
      <c r="AS1" s="186" t="s">
        <v>235</v>
      </c>
      <c r="AT1" s="186" t="s">
        <v>236</v>
      </c>
      <c r="AU1" s="186" t="s">
        <v>237</v>
      </c>
      <c r="AV1" s="186" t="s">
        <v>238</v>
      </c>
      <c r="AW1" s="186" t="s">
        <v>239</v>
      </c>
      <c r="AX1" s="186" t="s">
        <v>240</v>
      </c>
      <c r="AY1" s="186" t="s">
        <v>241</v>
      </c>
      <c r="AZ1" s="186" t="s">
        <v>242</v>
      </c>
      <c r="BA1" s="186" t="s">
        <v>243</v>
      </c>
      <c r="BB1" s="186" t="s">
        <v>244</v>
      </c>
    </row>
    <row r="2" spans="1:54" customFormat="1" x14ac:dyDescent="0.15">
      <c r="A2" s="185" t="s">
        <v>192</v>
      </c>
      <c r="B2" s="146">
        <v>0</v>
      </c>
      <c r="C2" s="146">
        <v>0.94736799999999999</v>
      </c>
      <c r="D2" s="146">
        <v>0.78323821657020709</v>
      </c>
      <c r="E2" s="146">
        <v>0</v>
      </c>
      <c r="F2" s="146">
        <v>0</v>
      </c>
      <c r="G2" s="146">
        <v>0.1</v>
      </c>
      <c r="H2" s="146">
        <v>8.5000000000000006E-2</v>
      </c>
      <c r="I2" s="146">
        <v>0</v>
      </c>
      <c r="J2" s="146">
        <v>5.0862048383387697E-2</v>
      </c>
      <c r="K2" s="146">
        <v>0.5</v>
      </c>
      <c r="L2" s="146">
        <v>0.5</v>
      </c>
      <c r="M2" s="146">
        <v>0</v>
      </c>
      <c r="N2" s="146">
        <v>0</v>
      </c>
      <c r="O2" s="146">
        <v>8.561908485600539E-2</v>
      </c>
      <c r="P2" s="146">
        <v>1.8999981506470536E-5</v>
      </c>
      <c r="Q2" s="146">
        <v>0</v>
      </c>
      <c r="R2" s="146">
        <v>0</v>
      </c>
      <c r="S2" s="146">
        <v>0</v>
      </c>
      <c r="T2" s="146">
        <v>0</v>
      </c>
      <c r="U2" s="146">
        <v>0</v>
      </c>
      <c r="V2" s="146">
        <v>0</v>
      </c>
      <c r="W2" s="146">
        <v>0</v>
      </c>
      <c r="X2" s="146">
        <v>0</v>
      </c>
      <c r="Y2" s="146">
        <v>0</v>
      </c>
      <c r="Z2" s="146">
        <v>0</v>
      </c>
      <c r="AA2" s="146">
        <v>0</v>
      </c>
      <c r="AB2" s="146">
        <v>0</v>
      </c>
      <c r="AC2" s="146">
        <v>0</v>
      </c>
      <c r="AD2" s="146">
        <v>0</v>
      </c>
      <c r="AE2" s="146">
        <v>0</v>
      </c>
      <c r="AF2" s="146">
        <v>0</v>
      </c>
      <c r="AG2" s="146">
        <v>0</v>
      </c>
      <c r="AH2" s="146">
        <v>1.0040241063619176E-3</v>
      </c>
      <c r="AI2" s="146">
        <v>0</v>
      </c>
      <c r="AJ2" s="146">
        <v>0</v>
      </c>
      <c r="AK2" s="146">
        <v>0</v>
      </c>
      <c r="AL2" s="146">
        <v>0</v>
      </c>
      <c r="AM2" s="146">
        <v>0</v>
      </c>
      <c r="AN2" s="146">
        <v>0</v>
      </c>
      <c r="AO2" s="146">
        <v>0</v>
      </c>
      <c r="AP2" s="146">
        <v>0</v>
      </c>
      <c r="AQ2" s="146">
        <v>0</v>
      </c>
      <c r="AR2" s="146">
        <v>0</v>
      </c>
      <c r="AS2" s="146">
        <v>0</v>
      </c>
      <c r="AT2" s="146">
        <v>0</v>
      </c>
      <c r="AU2" s="146">
        <v>0</v>
      </c>
      <c r="AV2" s="146">
        <v>5.2952717506038208E-2</v>
      </c>
      <c r="AW2" s="146">
        <v>0</v>
      </c>
      <c r="AX2" s="146">
        <v>0</v>
      </c>
      <c r="AY2" s="146">
        <v>0</v>
      </c>
      <c r="AZ2" s="146">
        <v>0</v>
      </c>
      <c r="BA2" s="146">
        <v>0</v>
      </c>
      <c r="BB2" s="146">
        <v>0</v>
      </c>
    </row>
    <row r="3" spans="1:54" customFormat="1" x14ac:dyDescent="0.15">
      <c r="A3" s="185" t="s">
        <v>193</v>
      </c>
      <c r="B3" s="146">
        <v>0</v>
      </c>
      <c r="C3" s="146">
        <v>5.2631999999999998E-2</v>
      </c>
      <c r="D3" s="146">
        <v>9.7904903771273394E-2</v>
      </c>
      <c r="E3" s="146">
        <v>0</v>
      </c>
      <c r="F3" s="146">
        <v>0</v>
      </c>
      <c r="G3" s="146">
        <v>0.15</v>
      </c>
      <c r="H3" s="146">
        <v>0.125218</v>
      </c>
      <c r="I3" s="146">
        <v>0</v>
      </c>
      <c r="J3" s="146">
        <v>0</v>
      </c>
      <c r="K3" s="146">
        <v>0</v>
      </c>
      <c r="L3" s="146">
        <v>0</v>
      </c>
      <c r="M3" s="146">
        <v>0</v>
      </c>
      <c r="N3" s="146">
        <v>0</v>
      </c>
      <c r="O3" s="146">
        <v>0</v>
      </c>
      <c r="P3" s="146">
        <v>9.8999897849503911E-5</v>
      </c>
      <c r="Q3" s="146">
        <v>2.8280081463177162E-2</v>
      </c>
      <c r="R3" s="146">
        <v>0</v>
      </c>
      <c r="S3" s="146">
        <v>0</v>
      </c>
      <c r="T3" s="146">
        <v>0</v>
      </c>
      <c r="U3" s="146">
        <v>0</v>
      </c>
      <c r="V3" s="146">
        <v>0</v>
      </c>
      <c r="W3" s="146">
        <v>0</v>
      </c>
      <c r="X3" s="146">
        <v>8.954766955796006E-3</v>
      </c>
      <c r="Y3" s="146">
        <v>1.619999977764262E-4</v>
      </c>
      <c r="Z3" s="146">
        <v>0</v>
      </c>
      <c r="AA3" s="146">
        <v>0</v>
      </c>
      <c r="AB3" s="146">
        <v>4.7605156273173389E-2</v>
      </c>
      <c r="AC3" s="146">
        <v>9.6999894799748346E-5</v>
      </c>
      <c r="AD3" s="146">
        <v>0</v>
      </c>
      <c r="AE3" s="146">
        <v>0</v>
      </c>
      <c r="AF3" s="146">
        <v>0</v>
      </c>
      <c r="AG3" s="146">
        <v>0</v>
      </c>
      <c r="AH3" s="146">
        <v>0</v>
      </c>
      <c r="AI3" s="146">
        <v>0</v>
      </c>
      <c r="AJ3" s="146">
        <v>0</v>
      </c>
      <c r="AK3" s="146">
        <v>0</v>
      </c>
      <c r="AL3" s="146">
        <v>0</v>
      </c>
      <c r="AM3" s="146">
        <v>0</v>
      </c>
      <c r="AN3" s="146">
        <v>0.6</v>
      </c>
      <c r="AO3" s="146">
        <v>0.39486699999999991</v>
      </c>
      <c r="AP3" s="146">
        <v>0.4</v>
      </c>
      <c r="AQ3" s="146">
        <v>3.7691004325134968E-2</v>
      </c>
      <c r="AR3" s="146">
        <v>1.8314328637466834E-2</v>
      </c>
      <c r="AS3" s="146">
        <v>0</v>
      </c>
      <c r="AT3" s="146">
        <v>0</v>
      </c>
      <c r="AU3" s="146">
        <v>0</v>
      </c>
      <c r="AV3" s="146">
        <v>0</v>
      </c>
      <c r="AW3" s="146">
        <v>0</v>
      </c>
      <c r="AX3" s="146">
        <v>0</v>
      </c>
      <c r="AY3" s="146">
        <v>0</v>
      </c>
      <c r="AZ3" s="146">
        <v>0</v>
      </c>
      <c r="BA3" s="146">
        <v>0</v>
      </c>
      <c r="BB3" s="146">
        <v>0</v>
      </c>
    </row>
    <row r="4" spans="1:54" customFormat="1" x14ac:dyDescent="0.15">
      <c r="A4" s="185" t="s">
        <v>194</v>
      </c>
      <c r="B4" s="146">
        <v>0</v>
      </c>
      <c r="C4" s="146">
        <v>0</v>
      </c>
      <c r="D4" s="146">
        <v>4.8952951035626864E-2</v>
      </c>
      <c r="E4" s="146">
        <v>1</v>
      </c>
      <c r="F4" s="146">
        <v>0</v>
      </c>
      <c r="G4" s="146">
        <v>0.3</v>
      </c>
      <c r="H4" s="146">
        <v>0.23478199999999999</v>
      </c>
      <c r="I4" s="146">
        <v>0</v>
      </c>
      <c r="J4" s="146">
        <v>0</v>
      </c>
      <c r="K4" s="146">
        <v>0</v>
      </c>
      <c r="L4" s="146">
        <v>0</v>
      </c>
      <c r="M4" s="146">
        <v>0</v>
      </c>
      <c r="N4" s="146">
        <v>0</v>
      </c>
      <c r="O4" s="146">
        <v>0</v>
      </c>
      <c r="P4" s="146">
        <v>9.8999897849503911E-5</v>
      </c>
      <c r="Q4" s="146">
        <v>3.0618222527847898E-2</v>
      </c>
      <c r="R4" s="146">
        <v>0</v>
      </c>
      <c r="S4" s="146">
        <v>0</v>
      </c>
      <c r="T4" s="146">
        <v>0</v>
      </c>
      <c r="U4" s="146">
        <v>0</v>
      </c>
      <c r="V4" s="146">
        <v>0</v>
      </c>
      <c r="W4" s="146">
        <v>0</v>
      </c>
      <c r="X4" s="146">
        <v>1.5482597752550556E-2</v>
      </c>
      <c r="Y4" s="146">
        <v>1.619999977764262E-4</v>
      </c>
      <c r="Z4" s="146">
        <v>0</v>
      </c>
      <c r="AA4" s="146">
        <v>0</v>
      </c>
      <c r="AB4" s="146">
        <v>5.5077324874785845E-2</v>
      </c>
      <c r="AC4" s="146">
        <v>2.1399978852727877E-4</v>
      </c>
      <c r="AD4" s="146">
        <v>2.7899518547561918E-2</v>
      </c>
      <c r="AE4" s="146">
        <v>0</v>
      </c>
      <c r="AF4" s="146">
        <v>0</v>
      </c>
      <c r="AG4" s="146">
        <v>3.4081580317190455E-2</v>
      </c>
      <c r="AH4" s="146">
        <v>0.15521972616744162</v>
      </c>
      <c r="AI4" s="146">
        <v>0</v>
      </c>
      <c r="AJ4" s="146">
        <v>0</v>
      </c>
      <c r="AK4" s="146">
        <v>0</v>
      </c>
      <c r="AL4" s="146">
        <v>0</v>
      </c>
      <c r="AM4" s="146">
        <v>0.80511835394292963</v>
      </c>
      <c r="AN4" s="146">
        <v>0.4</v>
      </c>
      <c r="AO4" s="146">
        <v>0.59229999999999994</v>
      </c>
      <c r="AP4" s="146">
        <v>0.6</v>
      </c>
      <c r="AQ4" s="146">
        <v>0.65202539524504621</v>
      </c>
      <c r="AR4" s="146">
        <v>0.17415738706189615</v>
      </c>
      <c r="AS4" s="146">
        <v>0</v>
      </c>
      <c r="AT4" s="146">
        <v>0</v>
      </c>
      <c r="AU4" s="146">
        <v>0.3</v>
      </c>
      <c r="AV4" s="146">
        <v>0</v>
      </c>
      <c r="AW4" s="146">
        <v>2.3565491714536955E-2</v>
      </c>
      <c r="AX4" s="146">
        <v>0</v>
      </c>
      <c r="AY4" s="146">
        <v>0</v>
      </c>
      <c r="AZ4" s="146">
        <v>0</v>
      </c>
      <c r="BA4" s="146">
        <v>0</v>
      </c>
      <c r="BB4" s="146">
        <v>0</v>
      </c>
    </row>
    <row r="5" spans="1:54" customFormat="1" x14ac:dyDescent="0.15">
      <c r="A5" s="185" t="s">
        <v>195</v>
      </c>
      <c r="B5" s="146">
        <v>0</v>
      </c>
      <c r="C5" s="146">
        <v>0</v>
      </c>
      <c r="D5" s="146">
        <v>0</v>
      </c>
      <c r="E5" s="146">
        <v>0</v>
      </c>
      <c r="F5" s="146">
        <v>0</v>
      </c>
      <c r="G5" s="146">
        <v>0</v>
      </c>
      <c r="H5" s="146">
        <v>0</v>
      </c>
      <c r="I5" s="146">
        <v>0</v>
      </c>
      <c r="J5" s="146">
        <v>0</v>
      </c>
      <c r="K5" s="146">
        <v>0</v>
      </c>
      <c r="L5" s="146">
        <v>0</v>
      </c>
      <c r="M5" s="146">
        <v>0</v>
      </c>
      <c r="N5" s="146">
        <v>0</v>
      </c>
      <c r="O5" s="146">
        <v>0</v>
      </c>
      <c r="P5" s="146">
        <v>2.9399970131064831E-4</v>
      </c>
      <c r="Q5" s="146">
        <v>0</v>
      </c>
      <c r="R5" s="146">
        <v>0</v>
      </c>
      <c r="S5" s="146">
        <v>0</v>
      </c>
      <c r="T5" s="146">
        <v>0</v>
      </c>
      <c r="U5" s="146">
        <v>0</v>
      </c>
      <c r="V5" s="146">
        <v>0</v>
      </c>
      <c r="W5" s="146">
        <v>0</v>
      </c>
      <c r="X5" s="146">
        <v>0</v>
      </c>
      <c r="Y5" s="146">
        <v>0</v>
      </c>
      <c r="Z5" s="146">
        <v>0</v>
      </c>
      <c r="AA5" s="146">
        <v>0</v>
      </c>
      <c r="AB5" s="146">
        <v>1.7717416366711237E-3</v>
      </c>
      <c r="AC5" s="146">
        <v>0</v>
      </c>
      <c r="AD5" s="146">
        <v>0</v>
      </c>
      <c r="AE5" s="146">
        <v>0</v>
      </c>
      <c r="AF5" s="146">
        <v>0</v>
      </c>
      <c r="AG5" s="146">
        <v>0</v>
      </c>
      <c r="AH5" s="146">
        <v>0</v>
      </c>
      <c r="AI5" s="146">
        <v>0</v>
      </c>
      <c r="AJ5" s="146">
        <v>0</v>
      </c>
      <c r="AK5" s="146">
        <v>0</v>
      </c>
      <c r="AL5" s="146">
        <v>0</v>
      </c>
      <c r="AM5" s="146">
        <v>0</v>
      </c>
      <c r="AN5" s="146">
        <v>0</v>
      </c>
      <c r="AO5" s="146">
        <v>1.2832999999999997E-2</v>
      </c>
      <c r="AP5" s="146">
        <v>0</v>
      </c>
      <c r="AQ5" s="146">
        <v>4.9618485938152733E-2</v>
      </c>
      <c r="AR5" s="146">
        <v>4.7831615264875026E-2</v>
      </c>
      <c r="AS5" s="146">
        <v>0</v>
      </c>
      <c r="AT5" s="146">
        <v>0</v>
      </c>
      <c r="AU5" s="146">
        <v>0</v>
      </c>
      <c r="AV5" s="146">
        <v>0</v>
      </c>
      <c r="AW5" s="146">
        <v>0</v>
      </c>
      <c r="AX5" s="146">
        <v>0</v>
      </c>
      <c r="AY5" s="146">
        <v>0</v>
      </c>
      <c r="AZ5" s="146">
        <v>0</v>
      </c>
      <c r="BA5" s="146">
        <v>0</v>
      </c>
      <c r="BB5" s="146">
        <v>0</v>
      </c>
    </row>
    <row r="6" spans="1:54" customFormat="1" x14ac:dyDescent="0.15">
      <c r="A6" s="185" t="s">
        <v>196</v>
      </c>
      <c r="B6" s="146">
        <v>0</v>
      </c>
      <c r="C6" s="146">
        <v>0</v>
      </c>
      <c r="D6" s="146">
        <v>0</v>
      </c>
      <c r="E6" s="146">
        <v>0</v>
      </c>
      <c r="F6" s="146">
        <v>0</v>
      </c>
      <c r="G6" s="146">
        <v>0.1</v>
      </c>
      <c r="H6" s="146">
        <v>0.03</v>
      </c>
      <c r="I6" s="146">
        <v>0.73542400000000008</v>
      </c>
      <c r="J6" s="146">
        <v>0.11189710128345975</v>
      </c>
      <c r="K6" s="146">
        <v>0</v>
      </c>
      <c r="L6" s="146">
        <v>0</v>
      </c>
      <c r="M6" s="146">
        <v>0</v>
      </c>
      <c r="N6" s="146">
        <v>0</v>
      </c>
      <c r="O6" s="146">
        <v>0.11921612183749541</v>
      </c>
      <c r="P6" s="146">
        <v>0.59094439685479938</v>
      </c>
      <c r="Q6" s="146">
        <v>6.8194780252954307E-2</v>
      </c>
      <c r="R6" s="146">
        <v>0.48379496135415462</v>
      </c>
      <c r="S6" s="146">
        <v>0.84554314980494416</v>
      </c>
      <c r="T6" s="146">
        <v>0.8453898393648237</v>
      </c>
      <c r="U6" s="146">
        <v>0.48448451673273224</v>
      </c>
      <c r="V6" s="146">
        <v>0.48448451673273224</v>
      </c>
      <c r="W6" s="146">
        <v>0.65779100000000001</v>
      </c>
      <c r="X6" s="146">
        <v>0.68038631762171398</v>
      </c>
      <c r="Y6" s="146">
        <v>5.7295999423099465E-2</v>
      </c>
      <c r="Z6" s="146">
        <v>0.24362340670314128</v>
      </c>
      <c r="AA6" s="146">
        <v>0.30897531150119728</v>
      </c>
      <c r="AB6" s="146">
        <v>3.2091429577445728E-2</v>
      </c>
      <c r="AC6" s="146">
        <v>8.4067915493043405E-2</v>
      </c>
      <c r="AD6" s="146">
        <v>5.3109168816995372E-2</v>
      </c>
      <c r="AE6" s="146">
        <v>9.1906987998968998E-5</v>
      </c>
      <c r="AF6" s="146">
        <v>0.24353075720458048</v>
      </c>
      <c r="AG6" s="146">
        <v>0.12787117219007144</v>
      </c>
      <c r="AH6" s="146">
        <v>7.7626863584505823E-2</v>
      </c>
      <c r="AI6" s="146">
        <v>0</v>
      </c>
      <c r="AJ6" s="146">
        <v>0</v>
      </c>
      <c r="AK6" s="146">
        <v>0.98397500000000004</v>
      </c>
      <c r="AL6" s="146">
        <v>0</v>
      </c>
      <c r="AM6" s="146">
        <v>0.19488164605707028</v>
      </c>
      <c r="AN6" s="146">
        <v>0</v>
      </c>
      <c r="AO6" s="146">
        <v>0</v>
      </c>
      <c r="AP6" s="146">
        <v>0</v>
      </c>
      <c r="AQ6" s="146">
        <v>8.9756199345444859E-3</v>
      </c>
      <c r="AR6" s="146">
        <v>9.7895743407457117E-2</v>
      </c>
      <c r="AS6" s="146">
        <v>0.20685120952787686</v>
      </c>
      <c r="AT6" s="146">
        <v>9.9357796061456949E-3</v>
      </c>
      <c r="AU6" s="146">
        <v>0</v>
      </c>
      <c r="AV6" s="146">
        <v>3.3097964041155399E-3</v>
      </c>
      <c r="AW6" s="146">
        <v>3.3904341231203686E-2</v>
      </c>
      <c r="AX6" s="146">
        <v>0</v>
      </c>
      <c r="AY6" s="146">
        <v>0</v>
      </c>
      <c r="AZ6" s="146">
        <v>0</v>
      </c>
      <c r="BA6" s="146">
        <v>0</v>
      </c>
      <c r="BB6" s="146">
        <v>0</v>
      </c>
    </row>
    <row r="7" spans="1:54" customFormat="1" x14ac:dyDescent="0.15">
      <c r="A7" s="185" t="s">
        <v>197</v>
      </c>
      <c r="B7" s="146">
        <v>0</v>
      </c>
      <c r="C7" s="146">
        <v>0</v>
      </c>
      <c r="D7" s="146">
        <v>0</v>
      </c>
      <c r="E7" s="146">
        <v>0</v>
      </c>
      <c r="F7" s="146">
        <v>0</v>
      </c>
      <c r="G7" s="146">
        <v>0</v>
      </c>
      <c r="H7" s="146">
        <v>0</v>
      </c>
      <c r="I7" s="146">
        <v>0</v>
      </c>
      <c r="J7" s="146">
        <v>5.0860047883364758E-3</v>
      </c>
      <c r="K7" s="146">
        <v>0</v>
      </c>
      <c r="L7" s="146">
        <v>0</v>
      </c>
      <c r="M7" s="146">
        <v>0</v>
      </c>
      <c r="N7" s="146">
        <v>0</v>
      </c>
      <c r="O7" s="146">
        <v>3.2513031646617063E-2</v>
      </c>
      <c r="P7" s="146">
        <v>4.1799960714235284E-4</v>
      </c>
      <c r="Q7" s="146">
        <v>0</v>
      </c>
      <c r="R7" s="146">
        <v>0</v>
      </c>
      <c r="S7" s="146">
        <v>9.7749900439874551E-3</v>
      </c>
      <c r="T7" s="146">
        <v>9.7840099579287569E-3</v>
      </c>
      <c r="U7" s="146">
        <v>0</v>
      </c>
      <c r="V7" s="146">
        <v>0</v>
      </c>
      <c r="W7" s="146">
        <v>0.19736400000000001</v>
      </c>
      <c r="X7" s="146">
        <v>3.7635021217011629E-2</v>
      </c>
      <c r="Y7" s="146">
        <v>1.9499999908273509E-4</v>
      </c>
      <c r="Z7" s="146">
        <v>0</v>
      </c>
      <c r="AA7" s="146">
        <v>0</v>
      </c>
      <c r="AB7" s="146">
        <v>2.6739742247912463E-3</v>
      </c>
      <c r="AC7" s="146">
        <v>7.6799922882687022E-4</v>
      </c>
      <c r="AD7" s="146">
        <v>5.0318838132214097E-4</v>
      </c>
      <c r="AE7" s="146">
        <v>0</v>
      </c>
      <c r="AF7" s="146">
        <v>1.3587986665048547E-2</v>
      </c>
      <c r="AG7" s="146">
        <v>0</v>
      </c>
      <c r="AH7" s="146">
        <v>8.0301930608029986E-4</v>
      </c>
      <c r="AI7" s="146">
        <v>0</v>
      </c>
      <c r="AJ7" s="146">
        <v>0</v>
      </c>
      <c r="AK7" s="146">
        <v>0</v>
      </c>
      <c r="AL7" s="146">
        <v>3.0899999999999998E-4</v>
      </c>
      <c r="AM7" s="146">
        <v>0</v>
      </c>
      <c r="AN7" s="146">
        <v>0</v>
      </c>
      <c r="AO7" s="146">
        <v>0</v>
      </c>
      <c r="AP7" s="146">
        <v>0</v>
      </c>
      <c r="AQ7" s="146">
        <v>0</v>
      </c>
      <c r="AR7" s="146">
        <v>0</v>
      </c>
      <c r="AS7" s="146">
        <v>0</v>
      </c>
      <c r="AT7" s="146">
        <v>0</v>
      </c>
      <c r="AU7" s="146">
        <v>0</v>
      </c>
      <c r="AV7" s="146">
        <v>0</v>
      </c>
      <c r="AW7" s="146">
        <v>0</v>
      </c>
      <c r="AX7" s="146">
        <v>0</v>
      </c>
      <c r="AY7" s="146">
        <v>0</v>
      </c>
      <c r="AZ7" s="146">
        <v>0</v>
      </c>
      <c r="BA7" s="146">
        <v>0</v>
      </c>
      <c r="BB7" s="146">
        <v>0</v>
      </c>
    </row>
    <row r="8" spans="1:54" customFormat="1" x14ac:dyDescent="0.15">
      <c r="A8" s="185" t="s">
        <v>198</v>
      </c>
      <c r="B8" s="146">
        <v>0</v>
      </c>
      <c r="C8" s="146">
        <v>0</v>
      </c>
      <c r="D8" s="146">
        <v>0</v>
      </c>
      <c r="E8" s="146">
        <v>0</v>
      </c>
      <c r="F8" s="146">
        <v>0</v>
      </c>
      <c r="G8" s="146">
        <v>0</v>
      </c>
      <c r="H8" s="146">
        <v>0</v>
      </c>
      <c r="I8" s="146">
        <v>5.5904000000000009E-2</v>
      </c>
      <c r="J8" s="146">
        <v>0</v>
      </c>
      <c r="K8" s="146">
        <v>0</v>
      </c>
      <c r="L8" s="146">
        <v>0</v>
      </c>
      <c r="M8" s="146">
        <v>0.146254</v>
      </c>
      <c r="N8" s="146">
        <v>0.15242</v>
      </c>
      <c r="O8" s="146">
        <v>3.2510033746797175E-3</v>
      </c>
      <c r="P8" s="146">
        <v>0.11508088012453283</v>
      </c>
      <c r="Q8" s="146">
        <v>0.4887285247128817</v>
      </c>
      <c r="R8" s="146">
        <v>0.15698331741284985</v>
      </c>
      <c r="S8" s="146">
        <v>0</v>
      </c>
      <c r="T8" s="146">
        <v>0</v>
      </c>
      <c r="U8" s="146">
        <v>5.0049954249250673E-3</v>
      </c>
      <c r="V8" s="146">
        <v>5.0049954249250673E-3</v>
      </c>
      <c r="W8" s="146">
        <v>3.3922000000000001E-2</v>
      </c>
      <c r="X8" s="146">
        <v>0</v>
      </c>
      <c r="Y8" s="146">
        <v>0.18161700717514859</v>
      </c>
      <c r="Z8" s="146">
        <v>0.44100312277748727</v>
      </c>
      <c r="AA8" s="146">
        <v>0.64436164265181384</v>
      </c>
      <c r="AB8" s="146">
        <v>2.0056677735909714E-2</v>
      </c>
      <c r="AC8" s="146">
        <v>0.46911952385008016</v>
      </c>
      <c r="AD8" s="146">
        <v>4.1929267376639946E-3</v>
      </c>
      <c r="AE8" s="146">
        <v>2.6426788517272671E-3</v>
      </c>
      <c r="AF8" s="146">
        <v>5.8530943426424502E-2</v>
      </c>
      <c r="AG8" s="146">
        <v>0.26320046444955408</v>
      </c>
      <c r="AH8" s="146">
        <v>3.2121771483258135E-2</v>
      </c>
      <c r="AI8" s="146">
        <v>0</v>
      </c>
      <c r="AJ8" s="146">
        <v>7.4265081341227376E-2</v>
      </c>
      <c r="AK8" s="146">
        <v>9.2689999999999995E-3</v>
      </c>
      <c r="AL8" s="146">
        <v>9.7640000000000001E-3</v>
      </c>
      <c r="AM8" s="146">
        <v>0</v>
      </c>
      <c r="AN8" s="146">
        <v>0</v>
      </c>
      <c r="AO8" s="146">
        <v>0</v>
      </c>
      <c r="AP8" s="146">
        <v>0</v>
      </c>
      <c r="AQ8" s="146">
        <v>1.1219276018182421E-2</v>
      </c>
      <c r="AR8" s="146">
        <v>0.38878564353246181</v>
      </c>
      <c r="AS8" s="146">
        <v>0.58865258727333103</v>
      </c>
      <c r="AT8" s="146">
        <v>0</v>
      </c>
      <c r="AU8" s="146">
        <v>0</v>
      </c>
      <c r="AV8" s="146">
        <v>0</v>
      </c>
      <c r="AW8" s="146">
        <v>0</v>
      </c>
      <c r="AX8" s="146">
        <v>0</v>
      </c>
      <c r="AY8" s="146">
        <v>0</v>
      </c>
      <c r="AZ8" s="146">
        <v>0</v>
      </c>
      <c r="BA8" s="146">
        <v>0</v>
      </c>
      <c r="BB8" s="146">
        <v>0</v>
      </c>
    </row>
    <row r="9" spans="1:54" customFormat="1" x14ac:dyDescent="0.15">
      <c r="A9" s="185" t="s">
        <v>199</v>
      </c>
      <c r="B9" s="146">
        <v>0</v>
      </c>
      <c r="C9" s="146">
        <v>0</v>
      </c>
      <c r="D9" s="146">
        <v>0</v>
      </c>
      <c r="E9" s="146">
        <v>0</v>
      </c>
      <c r="F9" s="146">
        <v>0</v>
      </c>
      <c r="G9" s="146">
        <v>0</v>
      </c>
      <c r="H9" s="146">
        <v>0</v>
      </c>
      <c r="I9" s="146">
        <v>0</v>
      </c>
      <c r="J9" s="146">
        <v>0</v>
      </c>
      <c r="K9" s="146">
        <v>0</v>
      </c>
      <c r="L9" s="146">
        <v>0</v>
      </c>
      <c r="M9" s="146">
        <v>0</v>
      </c>
      <c r="N9" s="146">
        <v>0</v>
      </c>
      <c r="O9" s="146">
        <v>4.0040041694394306E-3</v>
      </c>
      <c r="P9" s="146">
        <v>0</v>
      </c>
      <c r="Q9" s="146">
        <v>0</v>
      </c>
      <c r="R9" s="146">
        <v>0</v>
      </c>
      <c r="S9" s="146">
        <v>0</v>
      </c>
      <c r="T9" s="146">
        <v>0</v>
      </c>
      <c r="U9" s="146">
        <v>0</v>
      </c>
      <c r="V9" s="146">
        <v>0</v>
      </c>
      <c r="W9" s="146">
        <v>0</v>
      </c>
      <c r="X9" s="146">
        <v>0</v>
      </c>
      <c r="Y9" s="146">
        <v>0</v>
      </c>
      <c r="Z9" s="146">
        <v>0</v>
      </c>
      <c r="AA9" s="146">
        <v>0</v>
      </c>
      <c r="AB9" s="146">
        <v>0</v>
      </c>
      <c r="AC9" s="146">
        <v>5.009994731409674E-4</v>
      </c>
      <c r="AD9" s="146">
        <v>0</v>
      </c>
      <c r="AE9" s="146">
        <v>0</v>
      </c>
      <c r="AF9" s="146">
        <v>1.3622986663928196E-2</v>
      </c>
      <c r="AG9" s="146">
        <v>0</v>
      </c>
      <c r="AH9" s="146">
        <v>0</v>
      </c>
      <c r="AI9" s="146">
        <v>0</v>
      </c>
      <c r="AJ9" s="146">
        <v>0</v>
      </c>
      <c r="AK9" s="146">
        <v>0</v>
      </c>
      <c r="AL9" s="146">
        <v>0</v>
      </c>
      <c r="AM9" s="146">
        <v>0</v>
      </c>
      <c r="AN9" s="146">
        <v>0</v>
      </c>
      <c r="AO9" s="146">
        <v>0</v>
      </c>
      <c r="AP9" s="146">
        <v>0</v>
      </c>
      <c r="AQ9" s="146">
        <v>0</v>
      </c>
      <c r="AR9" s="146">
        <v>0</v>
      </c>
      <c r="AS9" s="146">
        <v>0</v>
      </c>
      <c r="AT9" s="146">
        <v>0</v>
      </c>
      <c r="AU9" s="146">
        <v>0</v>
      </c>
      <c r="AV9" s="146">
        <v>0</v>
      </c>
      <c r="AW9" s="146">
        <v>0</v>
      </c>
      <c r="AX9" s="146">
        <v>0</v>
      </c>
      <c r="AY9" s="146">
        <v>0</v>
      </c>
      <c r="AZ9" s="146">
        <v>0</v>
      </c>
      <c r="BA9" s="146">
        <v>0</v>
      </c>
      <c r="BB9" s="146">
        <v>0</v>
      </c>
    </row>
    <row r="10" spans="1:54" customFormat="1" x14ac:dyDescent="0.15">
      <c r="A10" s="185" t="s">
        <v>200</v>
      </c>
      <c r="B10" s="146">
        <v>0</v>
      </c>
      <c r="C10" s="146">
        <v>0</v>
      </c>
      <c r="D10" s="146">
        <v>0</v>
      </c>
      <c r="E10" s="146">
        <v>0</v>
      </c>
      <c r="F10" s="146">
        <v>0</v>
      </c>
      <c r="G10" s="146">
        <v>0</v>
      </c>
      <c r="H10" s="146">
        <v>0</v>
      </c>
      <c r="I10" s="146">
        <v>5.5904000000000009E-2</v>
      </c>
      <c r="J10" s="146">
        <v>4.8221044753095389E-2</v>
      </c>
      <c r="K10" s="146">
        <v>0</v>
      </c>
      <c r="L10" s="146">
        <v>0</v>
      </c>
      <c r="M10" s="146">
        <v>0</v>
      </c>
      <c r="N10" s="146">
        <v>0</v>
      </c>
      <c r="O10" s="146">
        <v>3.3597035181490133E-2</v>
      </c>
      <c r="P10" s="146">
        <v>0.11403489304159861</v>
      </c>
      <c r="Q10" s="146">
        <v>3.0954800308367111E-4</v>
      </c>
      <c r="R10" s="146">
        <v>1.7125032954125294E-2</v>
      </c>
      <c r="S10" s="146">
        <v>0</v>
      </c>
      <c r="T10" s="146">
        <v>0</v>
      </c>
      <c r="U10" s="146">
        <v>5.0049954249250673E-3</v>
      </c>
      <c r="V10" s="146">
        <v>5.0049954249250673E-3</v>
      </c>
      <c r="W10" s="146">
        <v>1.64E-4</v>
      </c>
      <c r="X10" s="146">
        <v>2.542933911422594E-2</v>
      </c>
      <c r="Y10" s="146">
        <v>0</v>
      </c>
      <c r="Z10" s="146">
        <v>0</v>
      </c>
      <c r="AA10" s="146">
        <v>0</v>
      </c>
      <c r="AB10" s="146">
        <v>6.8158294602546101E-4</v>
      </c>
      <c r="AC10" s="146">
        <v>2.9099968439924502E-4</v>
      </c>
      <c r="AD10" s="146">
        <v>2.794974435088797E-3</v>
      </c>
      <c r="AE10" s="146">
        <v>0</v>
      </c>
      <c r="AF10" s="146">
        <v>1.9858979364314071E-2</v>
      </c>
      <c r="AG10" s="146">
        <v>2.1310360198331262E-3</v>
      </c>
      <c r="AH10" s="146">
        <v>5.4874318433882019E-2</v>
      </c>
      <c r="AI10" s="146">
        <v>0</v>
      </c>
      <c r="AJ10" s="146">
        <v>0</v>
      </c>
      <c r="AK10" s="146">
        <v>0</v>
      </c>
      <c r="AL10" s="146">
        <v>1.2400000000000001E-4</v>
      </c>
      <c r="AM10" s="146">
        <v>0</v>
      </c>
      <c r="AN10" s="146">
        <v>0</v>
      </c>
      <c r="AO10" s="146">
        <v>0</v>
      </c>
      <c r="AP10" s="146">
        <v>0</v>
      </c>
      <c r="AQ10" s="146">
        <v>0</v>
      </c>
      <c r="AR10" s="146">
        <v>0</v>
      </c>
      <c r="AS10" s="146">
        <v>0</v>
      </c>
      <c r="AT10" s="146">
        <v>2.2077287124856334E-3</v>
      </c>
      <c r="AU10" s="146">
        <v>0</v>
      </c>
      <c r="AV10" s="146">
        <v>0</v>
      </c>
      <c r="AW10" s="146">
        <v>0</v>
      </c>
      <c r="AX10" s="146">
        <v>0</v>
      </c>
      <c r="AY10" s="146">
        <v>0</v>
      </c>
      <c r="AZ10" s="146">
        <v>0</v>
      </c>
      <c r="BA10" s="146">
        <v>0</v>
      </c>
      <c r="BB10" s="146">
        <v>0</v>
      </c>
    </row>
    <row r="11" spans="1:54" customFormat="1" x14ac:dyDescent="0.15">
      <c r="A11" s="185" t="s">
        <v>201</v>
      </c>
      <c r="B11" s="146">
        <v>0</v>
      </c>
      <c r="C11" s="146">
        <v>0</v>
      </c>
      <c r="D11" s="146">
        <v>0</v>
      </c>
      <c r="E11" s="146">
        <v>0</v>
      </c>
      <c r="F11" s="146">
        <v>0</v>
      </c>
      <c r="G11" s="146">
        <v>0</v>
      </c>
      <c r="H11" s="146">
        <v>0</v>
      </c>
      <c r="I11" s="146">
        <v>0.11180800000000002</v>
      </c>
      <c r="J11" s="146">
        <v>5.0862048383387697E-2</v>
      </c>
      <c r="K11" s="146">
        <v>0</v>
      </c>
      <c r="L11" s="146">
        <v>0</v>
      </c>
      <c r="M11" s="146">
        <v>8.4417000000000006E-2</v>
      </c>
      <c r="N11" s="146">
        <v>0.20322699999999999</v>
      </c>
      <c r="O11" s="146">
        <v>0.24710226015409625</v>
      </c>
      <c r="P11" s="146">
        <v>0.1412358691983096</v>
      </c>
      <c r="Q11" s="146">
        <v>8.5759880636303867E-2</v>
      </c>
      <c r="R11" s="146">
        <v>1.2844025315596225E-2</v>
      </c>
      <c r="S11" s="146">
        <v>0.12706887757180993</v>
      </c>
      <c r="T11" s="146">
        <v>0.12719613245305664</v>
      </c>
      <c r="U11" s="146">
        <v>0.5055054924174176</v>
      </c>
      <c r="V11" s="146">
        <v>0.5055054924174176</v>
      </c>
      <c r="W11" s="146">
        <v>6.3731999999999997E-2</v>
      </c>
      <c r="X11" s="146">
        <v>0.13223256111397466</v>
      </c>
      <c r="Y11" s="146">
        <v>8.430000311884366E-4</v>
      </c>
      <c r="Z11" s="146">
        <v>3.3840731069399088E-3</v>
      </c>
      <c r="AA11" s="146">
        <v>0</v>
      </c>
      <c r="AB11" s="146">
        <v>1.4678810606721165E-4</v>
      </c>
      <c r="AC11" s="146">
        <v>1.3491986576682456E-2</v>
      </c>
      <c r="AD11" s="146">
        <v>1.0761349212638066E-3</v>
      </c>
      <c r="AE11" s="146">
        <v>0</v>
      </c>
      <c r="AF11" s="146">
        <v>1.4632985431598135E-2</v>
      </c>
      <c r="AG11" s="146">
        <v>2.1310360198331262E-3</v>
      </c>
      <c r="AH11" s="146">
        <v>1.3384321418035765E-2</v>
      </c>
      <c r="AI11" s="146">
        <v>0</v>
      </c>
      <c r="AJ11" s="146">
        <v>0</v>
      </c>
      <c r="AK11" s="146">
        <v>3.4759999999999999E-3</v>
      </c>
      <c r="AL11" s="146">
        <v>0</v>
      </c>
      <c r="AM11" s="146">
        <v>0</v>
      </c>
      <c r="AN11" s="146">
        <v>0</v>
      </c>
      <c r="AO11" s="146">
        <v>0</v>
      </c>
      <c r="AP11" s="146">
        <v>0</v>
      </c>
      <c r="AQ11" s="146">
        <v>0</v>
      </c>
      <c r="AR11" s="146">
        <v>0</v>
      </c>
      <c r="AS11" s="146">
        <v>3.0120029348804965E-3</v>
      </c>
      <c r="AT11" s="146">
        <v>0</v>
      </c>
      <c r="AU11" s="146">
        <v>0</v>
      </c>
      <c r="AV11" s="146">
        <v>0</v>
      </c>
      <c r="AW11" s="146">
        <v>0</v>
      </c>
      <c r="AX11" s="146">
        <v>1.2819986567710051E-3</v>
      </c>
      <c r="AY11" s="146">
        <v>0</v>
      </c>
      <c r="AZ11" s="146">
        <v>0</v>
      </c>
      <c r="BA11" s="146">
        <v>0</v>
      </c>
      <c r="BB11" s="146">
        <v>0</v>
      </c>
    </row>
    <row r="12" spans="1:54" customFormat="1" x14ac:dyDescent="0.15">
      <c r="A12" s="185" t="s">
        <v>202</v>
      </c>
      <c r="B12" s="146">
        <v>0</v>
      </c>
      <c r="C12" s="146">
        <v>0</v>
      </c>
      <c r="D12" s="146">
        <v>0</v>
      </c>
      <c r="E12" s="146">
        <v>0</v>
      </c>
      <c r="F12" s="146">
        <v>0</v>
      </c>
      <c r="G12" s="146">
        <v>0</v>
      </c>
      <c r="H12" s="146">
        <v>0</v>
      </c>
      <c r="I12" s="146">
        <v>0</v>
      </c>
      <c r="J12" s="146">
        <v>0</v>
      </c>
      <c r="K12" s="146">
        <v>0</v>
      </c>
      <c r="L12" s="146">
        <v>0</v>
      </c>
      <c r="M12" s="146">
        <v>0</v>
      </c>
      <c r="N12" s="146">
        <v>0</v>
      </c>
      <c r="O12" s="146">
        <v>0</v>
      </c>
      <c r="P12" s="146">
        <v>0</v>
      </c>
      <c r="Q12" s="146">
        <v>0</v>
      </c>
      <c r="R12" s="146">
        <v>0</v>
      </c>
      <c r="S12" s="146">
        <v>0</v>
      </c>
      <c r="T12" s="146">
        <v>0</v>
      </c>
      <c r="U12" s="146">
        <v>0</v>
      </c>
      <c r="V12" s="146">
        <v>0</v>
      </c>
      <c r="W12" s="146">
        <v>0</v>
      </c>
      <c r="X12" s="146">
        <v>0</v>
      </c>
      <c r="Y12" s="146">
        <v>0</v>
      </c>
      <c r="Z12" s="146">
        <v>0</v>
      </c>
      <c r="AA12" s="146">
        <v>0</v>
      </c>
      <c r="AB12" s="146">
        <v>0</v>
      </c>
      <c r="AC12" s="146">
        <v>0</v>
      </c>
      <c r="AD12" s="146">
        <v>0</v>
      </c>
      <c r="AE12" s="146">
        <v>0</v>
      </c>
      <c r="AF12" s="146">
        <v>0</v>
      </c>
      <c r="AG12" s="146">
        <v>0</v>
      </c>
      <c r="AH12" s="146">
        <v>0</v>
      </c>
      <c r="AI12" s="146">
        <v>0</v>
      </c>
      <c r="AJ12" s="146">
        <v>0</v>
      </c>
      <c r="AK12" s="146">
        <v>0</v>
      </c>
      <c r="AL12" s="146">
        <v>0</v>
      </c>
      <c r="AM12" s="146">
        <v>0</v>
      </c>
      <c r="AN12" s="146">
        <v>0</v>
      </c>
      <c r="AO12" s="146">
        <v>0</v>
      </c>
      <c r="AP12" s="146">
        <v>0</v>
      </c>
      <c r="AQ12" s="146">
        <v>0</v>
      </c>
      <c r="AR12" s="146">
        <v>0</v>
      </c>
      <c r="AS12" s="146">
        <v>3.2100031305997323E-4</v>
      </c>
      <c r="AT12" s="146">
        <v>0</v>
      </c>
      <c r="AU12" s="146">
        <v>0</v>
      </c>
      <c r="AV12" s="146">
        <v>0</v>
      </c>
      <c r="AW12" s="146">
        <v>0</v>
      </c>
      <c r="AX12" s="146">
        <v>0</v>
      </c>
      <c r="AY12" s="146">
        <v>0</v>
      </c>
      <c r="AZ12" s="146">
        <v>0</v>
      </c>
      <c r="BA12" s="146">
        <v>0</v>
      </c>
      <c r="BB12" s="146">
        <v>0</v>
      </c>
    </row>
    <row r="13" spans="1:54" customFormat="1" x14ac:dyDescent="0.15">
      <c r="A13" s="185" t="s">
        <v>203</v>
      </c>
      <c r="B13" s="146">
        <v>0</v>
      </c>
      <c r="C13" s="146">
        <v>0</v>
      </c>
      <c r="D13" s="146">
        <v>0</v>
      </c>
      <c r="E13" s="146">
        <v>0</v>
      </c>
      <c r="F13" s="146">
        <v>0</v>
      </c>
      <c r="G13" s="146">
        <v>0</v>
      </c>
      <c r="H13" s="146">
        <v>0</v>
      </c>
      <c r="I13" s="146">
        <v>4.096000000000001E-2</v>
      </c>
      <c r="J13" s="146">
        <v>0</v>
      </c>
      <c r="K13" s="146">
        <v>0</v>
      </c>
      <c r="L13" s="146">
        <v>0</v>
      </c>
      <c r="M13" s="146">
        <v>7.3429999999999997E-3</v>
      </c>
      <c r="N13" s="146">
        <v>1.2189999999999999E-2</v>
      </c>
      <c r="O13" s="146">
        <v>0.45518943865221856</v>
      </c>
      <c r="P13" s="146">
        <v>2.4174975316785446E-2</v>
      </c>
      <c r="Q13" s="146">
        <v>0.21491661956084096</v>
      </c>
      <c r="R13" s="146">
        <v>0.17226934555042409</v>
      </c>
      <c r="S13" s="146">
        <v>1.7612982579258418E-2</v>
      </c>
      <c r="T13" s="146">
        <v>1.7630018224190924E-2</v>
      </c>
      <c r="U13" s="146">
        <v>0</v>
      </c>
      <c r="V13" s="146">
        <v>0</v>
      </c>
      <c r="W13" s="146">
        <v>1.3105E-2</v>
      </c>
      <c r="X13" s="146">
        <v>0</v>
      </c>
      <c r="Y13" s="146">
        <v>8.3241003205286657E-2</v>
      </c>
      <c r="Z13" s="146">
        <v>0.21452691108269928</v>
      </c>
      <c r="AA13" s="146">
        <v>4.6663045846988917E-2</v>
      </c>
      <c r="AB13" s="146">
        <v>2.9417456712654461E-2</v>
      </c>
      <c r="AC13" s="146">
        <v>0.20965078876043253</v>
      </c>
      <c r="AD13" s="146">
        <v>0.22920742617857418</v>
      </c>
      <c r="AE13" s="146">
        <v>0</v>
      </c>
      <c r="AF13" s="146">
        <v>0.46093253824554947</v>
      </c>
      <c r="AG13" s="146">
        <v>0.36762926342145202</v>
      </c>
      <c r="AH13" s="146">
        <v>2.944470705964174E-2</v>
      </c>
      <c r="AI13" s="146">
        <v>0.15980932300560699</v>
      </c>
      <c r="AJ13" s="146">
        <v>0.14853015768245464</v>
      </c>
      <c r="AK13" s="146">
        <v>3.2799999999999999E-3</v>
      </c>
      <c r="AL13" s="146">
        <v>0</v>
      </c>
      <c r="AM13" s="146">
        <v>0</v>
      </c>
      <c r="AN13" s="146">
        <v>0</v>
      </c>
      <c r="AO13" s="146">
        <v>0</v>
      </c>
      <c r="AP13" s="146">
        <v>0</v>
      </c>
      <c r="AQ13" s="146">
        <v>1.4585259293635685E-2</v>
      </c>
      <c r="AR13" s="146">
        <v>0</v>
      </c>
      <c r="AS13" s="146">
        <v>1.4395014988779774E-2</v>
      </c>
      <c r="AT13" s="146">
        <v>0</v>
      </c>
      <c r="AU13" s="146">
        <v>0</v>
      </c>
      <c r="AV13" s="146">
        <v>0.60407187154948339</v>
      </c>
      <c r="AW13" s="146">
        <v>3.3904341231203686E-2</v>
      </c>
      <c r="AX13" s="146">
        <v>0</v>
      </c>
      <c r="AY13" s="146">
        <v>0</v>
      </c>
      <c r="AZ13" s="146">
        <v>0</v>
      </c>
      <c r="BA13" s="146">
        <v>0</v>
      </c>
      <c r="BB13" s="146">
        <v>0</v>
      </c>
    </row>
    <row r="14" spans="1:54" customFormat="1" x14ac:dyDescent="0.15">
      <c r="A14" s="185" t="s">
        <v>204</v>
      </c>
      <c r="B14" s="146">
        <v>0</v>
      </c>
      <c r="C14" s="146">
        <v>0</v>
      </c>
      <c r="D14" s="146">
        <v>0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146">
        <v>0</v>
      </c>
      <c r="W14" s="146">
        <v>0</v>
      </c>
      <c r="X14" s="146">
        <v>0</v>
      </c>
      <c r="Y14" s="146">
        <v>0</v>
      </c>
      <c r="Z14" s="146">
        <v>0</v>
      </c>
      <c r="AA14" s="146">
        <v>0</v>
      </c>
      <c r="AB14" s="146">
        <v>0</v>
      </c>
      <c r="AC14" s="146">
        <v>0</v>
      </c>
      <c r="AD14" s="146">
        <v>0</v>
      </c>
      <c r="AE14" s="146">
        <v>0</v>
      </c>
      <c r="AF14" s="146">
        <v>1.0449989665495831E-3</v>
      </c>
      <c r="AG14" s="146">
        <v>3.4098577117348643E-2</v>
      </c>
      <c r="AH14" s="146">
        <v>0</v>
      </c>
      <c r="AI14" s="146">
        <v>0</v>
      </c>
      <c r="AJ14" s="146">
        <v>0</v>
      </c>
      <c r="AK14" s="146">
        <v>0</v>
      </c>
      <c r="AL14" s="146">
        <v>0</v>
      </c>
      <c r="AM14" s="146">
        <v>0</v>
      </c>
      <c r="AN14" s="146">
        <v>0</v>
      </c>
      <c r="AO14" s="146">
        <v>0</v>
      </c>
      <c r="AP14" s="146">
        <v>0</v>
      </c>
      <c r="AQ14" s="146">
        <v>0</v>
      </c>
      <c r="AR14" s="146">
        <v>0</v>
      </c>
      <c r="AS14" s="146">
        <v>0</v>
      </c>
      <c r="AT14" s="146">
        <v>0</v>
      </c>
      <c r="AU14" s="146">
        <v>0</v>
      </c>
      <c r="AV14" s="146">
        <v>0</v>
      </c>
      <c r="AW14" s="146">
        <v>0</v>
      </c>
      <c r="AX14" s="146">
        <v>0</v>
      </c>
      <c r="AY14" s="146">
        <v>0</v>
      </c>
      <c r="AZ14" s="146">
        <v>0</v>
      </c>
      <c r="BA14" s="146">
        <v>0</v>
      </c>
      <c r="BB14" s="146">
        <v>0</v>
      </c>
    </row>
    <row r="15" spans="1:54" customFormat="1" x14ac:dyDescent="0.15">
      <c r="A15" s="185" t="s">
        <v>205</v>
      </c>
      <c r="B15" s="146">
        <v>0</v>
      </c>
      <c r="C15" s="146">
        <v>0</v>
      </c>
      <c r="D15" s="146">
        <v>0</v>
      </c>
      <c r="E15" s="146">
        <v>0</v>
      </c>
      <c r="F15" s="146">
        <v>0</v>
      </c>
      <c r="G15" s="146">
        <v>0</v>
      </c>
      <c r="H15" s="146">
        <v>0</v>
      </c>
      <c r="I15" s="146">
        <v>0</v>
      </c>
      <c r="J15" s="146">
        <v>0</v>
      </c>
      <c r="K15" s="146">
        <v>0</v>
      </c>
      <c r="L15" s="146">
        <v>0</v>
      </c>
      <c r="M15" s="146">
        <v>0</v>
      </c>
      <c r="N15" s="146">
        <v>0</v>
      </c>
      <c r="O15" s="146">
        <v>1.0838010648852323E-2</v>
      </c>
      <c r="P15" s="146">
        <v>0</v>
      </c>
      <c r="Q15" s="146">
        <v>0</v>
      </c>
      <c r="R15" s="146">
        <v>0</v>
      </c>
      <c r="S15" s="146">
        <v>0</v>
      </c>
      <c r="T15" s="146">
        <v>0</v>
      </c>
      <c r="U15" s="146">
        <v>0</v>
      </c>
      <c r="V15" s="146">
        <v>0</v>
      </c>
      <c r="W15" s="146">
        <v>0</v>
      </c>
      <c r="X15" s="146">
        <v>0</v>
      </c>
      <c r="Y15" s="146">
        <v>0</v>
      </c>
      <c r="Z15" s="146">
        <v>0</v>
      </c>
      <c r="AA15" s="146">
        <v>0</v>
      </c>
      <c r="AB15" s="146">
        <v>0</v>
      </c>
      <c r="AC15" s="146">
        <v>0</v>
      </c>
      <c r="AD15" s="146">
        <v>0</v>
      </c>
      <c r="AE15" s="146">
        <v>0</v>
      </c>
      <c r="AF15" s="146">
        <v>0</v>
      </c>
      <c r="AG15" s="146">
        <v>0</v>
      </c>
      <c r="AH15" s="146">
        <v>0</v>
      </c>
      <c r="AI15" s="146">
        <v>0</v>
      </c>
      <c r="AJ15" s="146">
        <v>0</v>
      </c>
      <c r="AK15" s="146">
        <v>0</v>
      </c>
      <c r="AL15" s="146">
        <v>0</v>
      </c>
      <c r="AM15" s="146">
        <v>0</v>
      </c>
      <c r="AN15" s="146">
        <v>0</v>
      </c>
      <c r="AO15" s="146">
        <v>0</v>
      </c>
      <c r="AP15" s="146">
        <v>0</v>
      </c>
      <c r="AQ15" s="146">
        <v>0</v>
      </c>
      <c r="AR15" s="146">
        <v>0</v>
      </c>
      <c r="AS15" s="146">
        <v>0</v>
      </c>
      <c r="AT15" s="146">
        <v>0</v>
      </c>
      <c r="AU15" s="146">
        <v>0</v>
      </c>
      <c r="AV15" s="146">
        <v>0</v>
      </c>
      <c r="AW15" s="146">
        <v>0</v>
      </c>
      <c r="AX15" s="146">
        <v>0</v>
      </c>
      <c r="AY15" s="146">
        <v>0</v>
      </c>
      <c r="AZ15" s="146">
        <v>0</v>
      </c>
      <c r="BA15" s="146">
        <v>0</v>
      </c>
      <c r="BB15" s="146">
        <v>0</v>
      </c>
    </row>
    <row r="16" spans="1:54" customFormat="1" x14ac:dyDescent="0.15">
      <c r="A16" s="185" t="s">
        <v>206</v>
      </c>
      <c r="B16" s="146">
        <v>0</v>
      </c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8.6700094791058325E-3</v>
      </c>
      <c r="P16" s="146">
        <v>1.3599986378315722E-2</v>
      </c>
      <c r="Q16" s="146">
        <v>5.550931448717638E-2</v>
      </c>
      <c r="R16" s="146">
        <v>0.15698331741284985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0.5951489914197734</v>
      </c>
      <c r="Z16" s="146">
        <v>2.2558159379869786E-2</v>
      </c>
      <c r="AA16" s="146">
        <v>0</v>
      </c>
      <c r="AB16" s="146">
        <v>0</v>
      </c>
      <c r="AC16" s="146">
        <v>0.17955282837401126</v>
      </c>
      <c r="AD16" s="146">
        <v>0.20405081351265297</v>
      </c>
      <c r="AE16" s="146">
        <v>2.6426788517272671E-3</v>
      </c>
      <c r="AF16" s="146">
        <v>3.9717958728628142E-2</v>
      </c>
      <c r="AG16" s="146">
        <v>0.1097558670214759</v>
      </c>
      <c r="AH16" s="146">
        <v>0</v>
      </c>
      <c r="AI16" s="146">
        <v>9.9881201253509064E-2</v>
      </c>
      <c r="AJ16" s="146">
        <v>0.11882411114596345</v>
      </c>
      <c r="AK16" s="146">
        <v>0</v>
      </c>
      <c r="AL16" s="146">
        <v>0.361286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5.5937177547005328E-3</v>
      </c>
      <c r="AS16" s="146">
        <v>0.18676818496207184</v>
      </c>
      <c r="AT16" s="146">
        <v>4.8574032174525363E-2</v>
      </c>
      <c r="AU16" s="146">
        <v>0</v>
      </c>
      <c r="AV16" s="146">
        <v>0.16437488025828831</v>
      </c>
      <c r="AW16" s="146">
        <v>0</v>
      </c>
      <c r="AX16" s="146">
        <v>0</v>
      </c>
      <c r="AY16" s="146">
        <v>3.6422928186166437E-2</v>
      </c>
      <c r="AZ16" s="146">
        <v>0</v>
      </c>
      <c r="BA16" s="146">
        <v>0</v>
      </c>
      <c r="BB16" s="146">
        <v>0</v>
      </c>
    </row>
    <row r="17" spans="1:54" customFormat="1" x14ac:dyDescent="0.15">
      <c r="A17" s="185" t="s">
        <v>207</v>
      </c>
      <c r="B17" s="146">
        <v>0</v>
      </c>
      <c r="C17" s="146">
        <v>0</v>
      </c>
      <c r="D17" s="146">
        <v>0</v>
      </c>
      <c r="E17" s="146">
        <v>0</v>
      </c>
      <c r="F17" s="146">
        <v>0</v>
      </c>
      <c r="G17" s="146">
        <v>0</v>
      </c>
      <c r="H17" s="146">
        <v>0</v>
      </c>
      <c r="I17" s="146">
        <v>0</v>
      </c>
      <c r="J17" s="146">
        <v>0</v>
      </c>
      <c r="K17" s="146">
        <v>0</v>
      </c>
      <c r="L17" s="146">
        <v>0</v>
      </c>
      <c r="M17" s="146">
        <v>0</v>
      </c>
      <c r="N17" s="146">
        <v>0</v>
      </c>
      <c r="O17" s="146">
        <v>0</v>
      </c>
      <c r="P17" s="146">
        <v>0</v>
      </c>
      <c r="Q17" s="146">
        <v>3.155588227357709E-3</v>
      </c>
      <c r="R17" s="146">
        <v>0</v>
      </c>
      <c r="S17" s="146">
        <v>0</v>
      </c>
      <c r="T17" s="146">
        <v>0</v>
      </c>
      <c r="U17" s="146">
        <v>0</v>
      </c>
      <c r="V17" s="146">
        <v>0</v>
      </c>
      <c r="W17" s="146">
        <v>0</v>
      </c>
      <c r="X17" s="146">
        <v>0</v>
      </c>
      <c r="Y17" s="146">
        <v>0</v>
      </c>
      <c r="Z17" s="146">
        <v>0</v>
      </c>
      <c r="AA17" s="146">
        <v>0</v>
      </c>
      <c r="AB17" s="146">
        <v>0.27277621240830108</v>
      </c>
      <c r="AC17" s="146">
        <v>4.1319957784799874E-3</v>
      </c>
      <c r="AD17" s="146">
        <v>8.8049595830820337E-2</v>
      </c>
      <c r="AE17" s="146">
        <v>0.28008428748231384</v>
      </c>
      <c r="AF17" s="146">
        <v>4.0762958695177695E-2</v>
      </c>
      <c r="AG17" s="146">
        <v>2.0010340186232232E-3</v>
      </c>
      <c r="AH17" s="146">
        <v>0.13632326429487671</v>
      </c>
      <c r="AI17" s="146">
        <v>0.65778530825520554</v>
      </c>
      <c r="AJ17" s="146">
        <v>5.1985048738849987E-2</v>
      </c>
      <c r="AK17" s="146">
        <v>0</v>
      </c>
      <c r="AL17" s="146">
        <v>0</v>
      </c>
      <c r="AM17" s="146">
        <v>0</v>
      </c>
      <c r="AN17" s="146">
        <v>0</v>
      </c>
      <c r="AO17" s="146">
        <v>0</v>
      </c>
      <c r="AP17" s="146">
        <v>0</v>
      </c>
      <c r="AQ17" s="146">
        <v>2.3928986725495715E-2</v>
      </c>
      <c r="AR17" s="146">
        <v>5.379569187246664E-2</v>
      </c>
      <c r="AS17" s="146">
        <v>0</v>
      </c>
      <c r="AT17" s="146">
        <v>3.391455865562689E-2</v>
      </c>
      <c r="AU17" s="146">
        <v>0</v>
      </c>
      <c r="AV17" s="146">
        <v>4.3527135449963325E-2</v>
      </c>
      <c r="AW17" s="146">
        <v>5.2946132588483328E-4</v>
      </c>
      <c r="AX17" s="146">
        <v>0</v>
      </c>
      <c r="AY17" s="146">
        <v>1.0198980360146393E-2</v>
      </c>
      <c r="AZ17" s="146">
        <v>0</v>
      </c>
      <c r="BA17" s="146">
        <v>0</v>
      </c>
      <c r="BB17" s="146">
        <v>0</v>
      </c>
    </row>
    <row r="18" spans="1:54" customFormat="1" x14ac:dyDescent="0.15">
      <c r="A18" s="185" t="s">
        <v>208</v>
      </c>
      <c r="B18" s="146">
        <v>0</v>
      </c>
      <c r="C18" s="146">
        <v>0</v>
      </c>
      <c r="D18" s="146">
        <v>0</v>
      </c>
      <c r="E18" s="146">
        <v>0</v>
      </c>
      <c r="F18" s="146">
        <v>0</v>
      </c>
      <c r="G18" s="146">
        <v>0</v>
      </c>
      <c r="H18" s="146">
        <v>0</v>
      </c>
      <c r="I18" s="146">
        <v>0</v>
      </c>
      <c r="J18" s="146">
        <v>0</v>
      </c>
      <c r="K18" s="146">
        <v>0</v>
      </c>
      <c r="L18" s="146">
        <v>0</v>
      </c>
      <c r="M18" s="146">
        <v>0</v>
      </c>
      <c r="N18" s="146">
        <v>0</v>
      </c>
      <c r="O18" s="146">
        <v>0</v>
      </c>
      <c r="P18" s="146">
        <v>0</v>
      </c>
      <c r="Q18" s="146">
        <v>0</v>
      </c>
      <c r="R18" s="146">
        <v>0</v>
      </c>
      <c r="S18" s="146">
        <v>0</v>
      </c>
      <c r="T18" s="146">
        <v>0</v>
      </c>
      <c r="U18" s="146">
        <v>0</v>
      </c>
      <c r="V18" s="146">
        <v>0</v>
      </c>
      <c r="W18" s="146">
        <v>0</v>
      </c>
      <c r="X18" s="146">
        <v>0</v>
      </c>
      <c r="Y18" s="146">
        <v>0</v>
      </c>
      <c r="Z18" s="146">
        <v>0</v>
      </c>
      <c r="AA18" s="146">
        <v>0</v>
      </c>
      <c r="AB18" s="146">
        <v>0</v>
      </c>
      <c r="AC18" s="146">
        <v>0</v>
      </c>
      <c r="AD18" s="146">
        <v>0</v>
      </c>
      <c r="AE18" s="146">
        <v>0</v>
      </c>
      <c r="AF18" s="146">
        <v>0</v>
      </c>
      <c r="AG18" s="146">
        <v>0</v>
      </c>
      <c r="AH18" s="146">
        <v>0</v>
      </c>
      <c r="AI18" s="146">
        <v>0</v>
      </c>
      <c r="AJ18" s="146">
        <v>0</v>
      </c>
      <c r="AK18" s="146">
        <v>0</v>
      </c>
      <c r="AL18" s="146">
        <v>0</v>
      </c>
      <c r="AM18" s="146">
        <v>0</v>
      </c>
      <c r="AN18" s="146">
        <v>0</v>
      </c>
      <c r="AO18" s="146">
        <v>0</v>
      </c>
      <c r="AP18" s="146">
        <v>0</v>
      </c>
      <c r="AQ18" s="146">
        <v>0</v>
      </c>
      <c r="AR18" s="146">
        <v>0</v>
      </c>
      <c r="AS18" s="146">
        <v>0</v>
      </c>
      <c r="AT18" s="146">
        <v>0</v>
      </c>
      <c r="AU18" s="146">
        <v>0</v>
      </c>
      <c r="AV18" s="146">
        <v>1.0503438705310095E-2</v>
      </c>
      <c r="AW18" s="146">
        <v>0</v>
      </c>
      <c r="AX18" s="146">
        <v>0</v>
      </c>
      <c r="AY18" s="146">
        <v>0</v>
      </c>
      <c r="AZ18" s="146">
        <v>0</v>
      </c>
      <c r="BA18" s="146">
        <v>0</v>
      </c>
      <c r="BB18" s="146">
        <v>0</v>
      </c>
    </row>
    <row r="19" spans="1:54" customFormat="1" x14ac:dyDescent="0.15">
      <c r="A19" s="185" t="s">
        <v>209</v>
      </c>
      <c r="B19" s="146">
        <v>0</v>
      </c>
      <c r="C19" s="146">
        <v>0</v>
      </c>
      <c r="D19" s="146">
        <v>0</v>
      </c>
      <c r="E19" s="146">
        <v>0</v>
      </c>
      <c r="F19" s="146">
        <v>0</v>
      </c>
      <c r="G19" s="146">
        <v>0</v>
      </c>
      <c r="H19" s="146">
        <v>0</v>
      </c>
      <c r="I19" s="146">
        <v>0</v>
      </c>
      <c r="J19" s="146">
        <v>0</v>
      </c>
      <c r="K19" s="146">
        <v>0</v>
      </c>
      <c r="L19" s="146">
        <v>0</v>
      </c>
      <c r="M19" s="146">
        <v>0</v>
      </c>
      <c r="N19" s="146">
        <v>0</v>
      </c>
      <c r="O19" s="146">
        <v>0</v>
      </c>
      <c r="P19" s="146">
        <v>0</v>
      </c>
      <c r="Q19" s="146">
        <v>0</v>
      </c>
      <c r="R19" s="146">
        <v>0</v>
      </c>
      <c r="S19" s="146">
        <v>0</v>
      </c>
      <c r="T19" s="146">
        <v>0</v>
      </c>
      <c r="U19" s="146">
        <v>0</v>
      </c>
      <c r="V19" s="146">
        <v>0</v>
      </c>
      <c r="W19" s="146">
        <v>0</v>
      </c>
      <c r="X19" s="146">
        <v>0</v>
      </c>
      <c r="Y19" s="146">
        <v>0</v>
      </c>
      <c r="Z19" s="146">
        <v>0</v>
      </c>
      <c r="AA19" s="146">
        <v>0</v>
      </c>
      <c r="AB19" s="146">
        <v>9.3495602968924694E-5</v>
      </c>
      <c r="AC19" s="146">
        <v>0</v>
      </c>
      <c r="AD19" s="146">
        <v>2.794974435088797E-3</v>
      </c>
      <c r="AE19" s="146">
        <v>0</v>
      </c>
      <c r="AF19" s="146">
        <v>1.4289986142577544E-3</v>
      </c>
      <c r="AG19" s="146">
        <v>0</v>
      </c>
      <c r="AH19" s="146">
        <v>0</v>
      </c>
      <c r="AI19" s="146">
        <v>0</v>
      </c>
      <c r="AJ19" s="146">
        <v>0</v>
      </c>
      <c r="AK19" s="146">
        <v>0</v>
      </c>
      <c r="AL19" s="146">
        <v>0</v>
      </c>
      <c r="AM19" s="146">
        <v>0</v>
      </c>
      <c r="AN19" s="146">
        <v>0</v>
      </c>
      <c r="AO19" s="146">
        <v>0</v>
      </c>
      <c r="AP19" s="146">
        <v>0</v>
      </c>
      <c r="AQ19" s="146">
        <v>0</v>
      </c>
      <c r="AR19" s="146">
        <v>0</v>
      </c>
      <c r="AS19" s="146">
        <v>0</v>
      </c>
      <c r="AT19" s="146">
        <v>0</v>
      </c>
      <c r="AU19" s="146">
        <v>0</v>
      </c>
      <c r="AV19" s="146">
        <v>6.3224990922235695E-5</v>
      </c>
      <c r="AW19" s="146">
        <v>0</v>
      </c>
      <c r="AX19" s="146">
        <v>0</v>
      </c>
      <c r="AY19" s="146">
        <v>0</v>
      </c>
      <c r="AZ19" s="146">
        <v>0</v>
      </c>
      <c r="BA19" s="146">
        <v>0</v>
      </c>
      <c r="BB19" s="146">
        <v>0</v>
      </c>
    </row>
    <row r="20" spans="1:54" customFormat="1" x14ac:dyDescent="0.15">
      <c r="A20" s="185" t="s">
        <v>210</v>
      </c>
      <c r="B20" s="146">
        <v>0</v>
      </c>
      <c r="C20" s="146">
        <v>0</v>
      </c>
      <c r="D20" s="146">
        <v>0</v>
      </c>
      <c r="E20" s="146">
        <v>0</v>
      </c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46">
        <v>0</v>
      </c>
      <c r="O20" s="146">
        <v>0</v>
      </c>
      <c r="P20" s="146">
        <v>0</v>
      </c>
      <c r="Q20" s="146">
        <v>0</v>
      </c>
      <c r="R20" s="146">
        <v>0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0</v>
      </c>
      <c r="Y20" s="146">
        <v>0</v>
      </c>
      <c r="Z20" s="146">
        <v>0</v>
      </c>
      <c r="AA20" s="146">
        <v>0</v>
      </c>
      <c r="AB20" s="146">
        <v>0</v>
      </c>
      <c r="AC20" s="146">
        <v>0</v>
      </c>
      <c r="AD20" s="146">
        <v>0</v>
      </c>
      <c r="AE20" s="146">
        <v>0</v>
      </c>
      <c r="AF20" s="146">
        <v>0</v>
      </c>
      <c r="AG20" s="146">
        <v>0</v>
      </c>
      <c r="AH20" s="146">
        <v>0</v>
      </c>
      <c r="AI20" s="146">
        <v>0</v>
      </c>
      <c r="AJ20" s="146">
        <v>0</v>
      </c>
      <c r="AK20" s="146">
        <v>0</v>
      </c>
      <c r="AL20" s="146">
        <v>0</v>
      </c>
      <c r="AM20" s="146">
        <v>0</v>
      </c>
      <c r="AN20" s="146">
        <v>0</v>
      </c>
      <c r="AO20" s="146">
        <v>0</v>
      </c>
      <c r="AP20" s="146">
        <v>0</v>
      </c>
      <c r="AQ20" s="146">
        <v>0</v>
      </c>
      <c r="AR20" s="146">
        <v>0</v>
      </c>
      <c r="AS20" s="146">
        <v>0</v>
      </c>
      <c r="AT20" s="146">
        <v>0</v>
      </c>
      <c r="AU20" s="146">
        <v>0</v>
      </c>
      <c r="AV20" s="146">
        <v>0</v>
      </c>
      <c r="AW20" s="146">
        <v>0</v>
      </c>
      <c r="AX20" s="146">
        <v>0</v>
      </c>
      <c r="AY20" s="146">
        <v>2.9139943528989683E-3</v>
      </c>
      <c r="AZ20" s="146">
        <v>0</v>
      </c>
      <c r="BA20" s="146">
        <v>0</v>
      </c>
      <c r="BB20" s="146">
        <v>0</v>
      </c>
    </row>
    <row r="21" spans="1:54" customFormat="1" x14ac:dyDescent="0.15">
      <c r="A21" s="185" t="s">
        <v>211</v>
      </c>
      <c r="B21" s="146">
        <v>0</v>
      </c>
      <c r="C21" s="146">
        <v>0</v>
      </c>
      <c r="D21" s="146">
        <v>0</v>
      </c>
      <c r="E21" s="146">
        <v>0</v>
      </c>
      <c r="F21" s="146">
        <v>0</v>
      </c>
      <c r="G21" s="146">
        <v>0</v>
      </c>
      <c r="H21" s="146">
        <v>0</v>
      </c>
      <c r="I21" s="146">
        <v>0</v>
      </c>
      <c r="J21" s="146">
        <v>0</v>
      </c>
      <c r="K21" s="146">
        <v>0</v>
      </c>
      <c r="L21" s="146">
        <v>0</v>
      </c>
      <c r="M21" s="146">
        <v>0</v>
      </c>
      <c r="N21" s="146">
        <v>0</v>
      </c>
      <c r="O21" s="146">
        <v>0</v>
      </c>
      <c r="P21" s="146">
        <v>0</v>
      </c>
      <c r="Q21" s="146">
        <v>0</v>
      </c>
      <c r="R21" s="146">
        <v>0</v>
      </c>
      <c r="S21" s="146">
        <v>0</v>
      </c>
      <c r="T21" s="146">
        <v>0</v>
      </c>
      <c r="U21" s="146">
        <v>0</v>
      </c>
      <c r="V21" s="146">
        <v>0</v>
      </c>
      <c r="W21" s="146">
        <v>0</v>
      </c>
      <c r="X21" s="146">
        <v>0</v>
      </c>
      <c r="Y21" s="146">
        <v>0</v>
      </c>
      <c r="Z21" s="146">
        <v>0</v>
      </c>
      <c r="AA21" s="146">
        <v>0</v>
      </c>
      <c r="AB21" s="146">
        <v>0</v>
      </c>
      <c r="AC21" s="146">
        <v>0</v>
      </c>
      <c r="AD21" s="146">
        <v>4.3325359969091988E-2</v>
      </c>
      <c r="AE21" s="146">
        <v>0</v>
      </c>
      <c r="AF21" s="146">
        <v>2.0899979330991662E-3</v>
      </c>
      <c r="AG21" s="146">
        <v>0</v>
      </c>
      <c r="AH21" s="146">
        <v>0</v>
      </c>
      <c r="AI21" s="146">
        <v>0</v>
      </c>
      <c r="AJ21" s="146">
        <v>0</v>
      </c>
      <c r="AK21" s="146">
        <v>0</v>
      </c>
      <c r="AL21" s="146">
        <v>0</v>
      </c>
      <c r="AM21" s="146">
        <v>0</v>
      </c>
      <c r="AN21" s="146">
        <v>0</v>
      </c>
      <c r="AO21" s="146">
        <v>0</v>
      </c>
      <c r="AP21" s="146">
        <v>0</v>
      </c>
      <c r="AQ21" s="146">
        <v>0</v>
      </c>
      <c r="AR21" s="146">
        <v>0</v>
      </c>
      <c r="AS21" s="146">
        <v>0</v>
      </c>
      <c r="AT21" s="146">
        <v>2.0975423168534221E-2</v>
      </c>
      <c r="AU21" s="146">
        <v>0</v>
      </c>
      <c r="AV21" s="146">
        <v>2.0071496454674665E-4</v>
      </c>
      <c r="AW21" s="146">
        <v>0</v>
      </c>
      <c r="AX21" s="146">
        <v>0</v>
      </c>
      <c r="AY21" s="146">
        <v>0</v>
      </c>
      <c r="AZ21" s="146">
        <v>0</v>
      </c>
      <c r="BA21" s="146">
        <v>0</v>
      </c>
      <c r="BB21" s="146">
        <v>0</v>
      </c>
    </row>
    <row r="22" spans="1:54" customFormat="1" x14ac:dyDescent="0.15">
      <c r="A22" s="185" t="s">
        <v>212</v>
      </c>
      <c r="B22" s="146">
        <v>0</v>
      </c>
      <c r="C22" s="146">
        <v>0</v>
      </c>
      <c r="D22" s="146">
        <v>0</v>
      </c>
      <c r="E22" s="146">
        <v>0</v>
      </c>
      <c r="F22" s="146">
        <v>0</v>
      </c>
      <c r="G22" s="146">
        <v>0</v>
      </c>
      <c r="H22" s="146">
        <v>0</v>
      </c>
      <c r="I22" s="146">
        <v>0</v>
      </c>
      <c r="J22" s="146">
        <v>0</v>
      </c>
      <c r="K22" s="146">
        <v>0</v>
      </c>
      <c r="L22" s="146">
        <v>0</v>
      </c>
      <c r="M22" s="146">
        <v>0</v>
      </c>
      <c r="N22" s="146">
        <v>0</v>
      </c>
      <c r="O22" s="146">
        <v>0</v>
      </c>
      <c r="P22" s="146">
        <v>0</v>
      </c>
      <c r="Q22" s="146">
        <v>0</v>
      </c>
      <c r="R22" s="146">
        <v>0</v>
      </c>
      <c r="S22" s="146">
        <v>0</v>
      </c>
      <c r="T22" s="146">
        <v>0</v>
      </c>
      <c r="U22" s="146">
        <v>0</v>
      </c>
      <c r="V22" s="146">
        <v>0</v>
      </c>
      <c r="W22" s="146">
        <v>0</v>
      </c>
      <c r="X22" s="146">
        <v>0</v>
      </c>
      <c r="Y22" s="146">
        <v>0</v>
      </c>
      <c r="Z22" s="146">
        <v>0</v>
      </c>
      <c r="AA22" s="146">
        <v>0</v>
      </c>
      <c r="AB22" s="146">
        <v>0</v>
      </c>
      <c r="AC22" s="146">
        <v>0</v>
      </c>
      <c r="AD22" s="146">
        <v>0</v>
      </c>
      <c r="AE22" s="146">
        <v>0</v>
      </c>
      <c r="AF22" s="146">
        <v>0</v>
      </c>
      <c r="AG22" s="146">
        <v>0</v>
      </c>
      <c r="AH22" s="146">
        <v>0</v>
      </c>
      <c r="AI22" s="146">
        <v>0</v>
      </c>
      <c r="AJ22" s="146">
        <v>0</v>
      </c>
      <c r="AK22" s="146">
        <v>0</v>
      </c>
      <c r="AL22" s="146">
        <v>0</v>
      </c>
      <c r="AM22" s="146">
        <v>0</v>
      </c>
      <c r="AN22" s="146">
        <v>0</v>
      </c>
      <c r="AO22" s="146">
        <v>0</v>
      </c>
      <c r="AP22" s="146">
        <v>0</v>
      </c>
      <c r="AQ22" s="146">
        <v>0</v>
      </c>
      <c r="AR22" s="146">
        <v>0</v>
      </c>
      <c r="AS22" s="146">
        <v>0</v>
      </c>
      <c r="AT22" s="146">
        <v>0</v>
      </c>
      <c r="AU22" s="146">
        <v>0</v>
      </c>
      <c r="AV22" s="146">
        <v>0</v>
      </c>
      <c r="AW22" s="146">
        <v>0</v>
      </c>
      <c r="AX22" s="146">
        <v>0</v>
      </c>
      <c r="AY22" s="146">
        <v>5.3906891903560163E-2</v>
      </c>
      <c r="AZ22" s="146">
        <v>0</v>
      </c>
      <c r="BA22" s="146">
        <v>0</v>
      </c>
      <c r="BB22" s="146">
        <v>0</v>
      </c>
    </row>
    <row r="23" spans="1:54" customFormat="1" x14ac:dyDescent="0.15">
      <c r="A23" s="185" t="s">
        <v>213</v>
      </c>
      <c r="B23" s="146">
        <v>0</v>
      </c>
      <c r="C23" s="146">
        <v>0</v>
      </c>
      <c r="D23" s="146">
        <v>0</v>
      </c>
      <c r="E23" s="146">
        <v>0</v>
      </c>
      <c r="F23" s="146">
        <v>0</v>
      </c>
      <c r="G23" s="146">
        <v>0</v>
      </c>
      <c r="H23" s="146">
        <v>0</v>
      </c>
      <c r="I23" s="146">
        <v>0</v>
      </c>
      <c r="J23" s="146">
        <v>0</v>
      </c>
      <c r="K23" s="146">
        <v>0</v>
      </c>
      <c r="L23" s="146">
        <v>0</v>
      </c>
      <c r="M23" s="146">
        <v>0</v>
      </c>
      <c r="N23" s="146">
        <v>0</v>
      </c>
      <c r="O23" s="146">
        <v>0</v>
      </c>
      <c r="P23" s="146">
        <v>0</v>
      </c>
      <c r="Q23" s="146">
        <v>0</v>
      </c>
      <c r="R23" s="146">
        <v>0</v>
      </c>
      <c r="S23" s="146">
        <v>0</v>
      </c>
      <c r="T23" s="146">
        <v>0</v>
      </c>
      <c r="U23" s="146">
        <v>0</v>
      </c>
      <c r="V23" s="146">
        <v>0</v>
      </c>
      <c r="W23" s="146">
        <v>0</v>
      </c>
      <c r="X23" s="146">
        <v>0</v>
      </c>
      <c r="Y23" s="146">
        <v>0</v>
      </c>
      <c r="Z23" s="146">
        <v>0</v>
      </c>
      <c r="AA23" s="146">
        <v>0</v>
      </c>
      <c r="AB23" s="146">
        <v>1.5052792001796875E-4</v>
      </c>
      <c r="AC23" s="146">
        <v>4.1329960884263607E-3</v>
      </c>
      <c r="AD23" s="146">
        <v>3.4624198892883699E-2</v>
      </c>
      <c r="AE23" s="146">
        <v>0</v>
      </c>
      <c r="AF23" s="146">
        <v>4.0789962394313303E-3</v>
      </c>
      <c r="AG23" s="146">
        <v>9.3201580867408474E-4</v>
      </c>
      <c r="AH23" s="146">
        <v>4.5201085487209849E-4</v>
      </c>
      <c r="AI23" s="146">
        <v>6.5470130821650126E-3</v>
      </c>
      <c r="AJ23" s="146">
        <v>0</v>
      </c>
      <c r="AK23" s="146">
        <v>0</v>
      </c>
      <c r="AL23" s="146">
        <v>0</v>
      </c>
      <c r="AM23" s="146">
        <v>0</v>
      </c>
      <c r="AN23" s="146">
        <v>0</v>
      </c>
      <c r="AO23" s="146">
        <v>0</v>
      </c>
      <c r="AP23" s="146">
        <v>0</v>
      </c>
      <c r="AQ23" s="146">
        <v>1.8005257368695042E-5</v>
      </c>
      <c r="AR23" s="146">
        <v>0</v>
      </c>
      <c r="AS23" s="146">
        <v>0</v>
      </c>
      <c r="AT23" s="146">
        <v>6.9054067262696757E-3</v>
      </c>
      <c r="AU23" s="146">
        <v>0</v>
      </c>
      <c r="AV23" s="146">
        <v>0</v>
      </c>
      <c r="AW23" s="146">
        <v>0</v>
      </c>
      <c r="AX23" s="146">
        <v>0</v>
      </c>
      <c r="AY23" s="146">
        <v>5.9499878901059721E-4</v>
      </c>
      <c r="AZ23" s="146">
        <v>0</v>
      </c>
      <c r="BA23" s="146">
        <v>0</v>
      </c>
      <c r="BB23" s="146">
        <v>0</v>
      </c>
    </row>
    <row r="24" spans="1:54" customFormat="1" x14ac:dyDescent="0.15">
      <c r="A24" s="185" t="s">
        <v>214</v>
      </c>
      <c r="B24" s="146">
        <v>0</v>
      </c>
      <c r="C24" s="146">
        <v>0</v>
      </c>
      <c r="D24" s="146">
        <v>0</v>
      </c>
      <c r="E24" s="146">
        <v>0</v>
      </c>
      <c r="F24" s="146">
        <v>0</v>
      </c>
      <c r="G24" s="146">
        <v>0</v>
      </c>
      <c r="H24" s="146">
        <v>0</v>
      </c>
      <c r="I24" s="146">
        <v>0</v>
      </c>
      <c r="J24" s="146">
        <v>0</v>
      </c>
      <c r="K24" s="146">
        <v>0</v>
      </c>
      <c r="L24" s="146">
        <v>0</v>
      </c>
      <c r="M24" s="146">
        <v>0</v>
      </c>
      <c r="N24" s="146">
        <v>0</v>
      </c>
      <c r="O24" s="146">
        <v>0</v>
      </c>
      <c r="P24" s="146">
        <v>0</v>
      </c>
      <c r="Q24" s="146">
        <v>0</v>
      </c>
      <c r="R24" s="146">
        <v>0</v>
      </c>
      <c r="S24" s="146">
        <v>0</v>
      </c>
      <c r="T24" s="146">
        <v>0</v>
      </c>
      <c r="U24" s="146">
        <v>0</v>
      </c>
      <c r="V24" s="146">
        <v>0</v>
      </c>
      <c r="W24" s="146">
        <v>0</v>
      </c>
      <c r="X24" s="146">
        <v>0</v>
      </c>
      <c r="Y24" s="146">
        <v>0</v>
      </c>
      <c r="Z24" s="146">
        <v>0</v>
      </c>
      <c r="AA24" s="146">
        <v>0</v>
      </c>
      <c r="AB24" s="146">
        <v>0</v>
      </c>
      <c r="AC24" s="146">
        <v>0</v>
      </c>
      <c r="AD24" s="146">
        <v>1.684425631546034E-3</v>
      </c>
      <c r="AE24" s="146">
        <v>0</v>
      </c>
      <c r="AF24" s="146">
        <v>0</v>
      </c>
      <c r="AG24" s="146">
        <v>0</v>
      </c>
      <c r="AH24" s="146">
        <v>0</v>
      </c>
      <c r="AI24" s="146">
        <v>1.4117028777168708E-2</v>
      </c>
      <c r="AJ24" s="146">
        <v>6.5500061182931103E-3</v>
      </c>
      <c r="AK24" s="146">
        <v>0</v>
      </c>
      <c r="AL24" s="146">
        <v>0</v>
      </c>
      <c r="AM24" s="146">
        <v>0</v>
      </c>
      <c r="AN24" s="146">
        <v>0</v>
      </c>
      <c r="AO24" s="146">
        <v>0</v>
      </c>
      <c r="AP24" s="146">
        <v>0</v>
      </c>
      <c r="AQ24" s="146">
        <v>0</v>
      </c>
      <c r="AR24" s="146">
        <v>0</v>
      </c>
      <c r="AS24" s="146">
        <v>0</v>
      </c>
      <c r="AT24" s="146">
        <v>0</v>
      </c>
      <c r="AU24" s="146">
        <v>0</v>
      </c>
      <c r="AV24" s="146">
        <v>0</v>
      </c>
      <c r="AW24" s="146">
        <v>0</v>
      </c>
      <c r="AX24" s="146">
        <v>0</v>
      </c>
      <c r="AY24" s="146">
        <v>2.8629942910980543E-2</v>
      </c>
      <c r="AZ24" s="146">
        <v>0</v>
      </c>
      <c r="BA24" s="146">
        <v>0</v>
      </c>
      <c r="BB24" s="146">
        <v>0</v>
      </c>
    </row>
    <row r="25" spans="1:54" customFormat="1" x14ac:dyDescent="0.15">
      <c r="A25" s="185" t="s">
        <v>215</v>
      </c>
      <c r="B25" s="146">
        <v>0</v>
      </c>
      <c r="C25" s="146">
        <v>0</v>
      </c>
      <c r="D25" s="146">
        <v>0</v>
      </c>
      <c r="E25" s="146">
        <v>0</v>
      </c>
      <c r="F25" s="146">
        <v>0</v>
      </c>
      <c r="G25" s="146">
        <v>0</v>
      </c>
      <c r="H25" s="146">
        <v>0</v>
      </c>
      <c r="I25" s="146">
        <v>0</v>
      </c>
      <c r="J25" s="146">
        <v>0</v>
      </c>
      <c r="K25" s="146">
        <v>0</v>
      </c>
      <c r="L25" s="146">
        <v>0</v>
      </c>
      <c r="M25" s="146">
        <v>0</v>
      </c>
      <c r="N25" s="146">
        <v>0</v>
      </c>
      <c r="O25" s="146">
        <v>0</v>
      </c>
      <c r="P25" s="146">
        <v>0</v>
      </c>
      <c r="Q25" s="146">
        <v>0</v>
      </c>
      <c r="R25" s="146">
        <v>0</v>
      </c>
      <c r="S25" s="146">
        <v>0</v>
      </c>
      <c r="T25" s="146">
        <v>0</v>
      </c>
      <c r="U25" s="146">
        <v>0</v>
      </c>
      <c r="V25" s="146">
        <v>0</v>
      </c>
      <c r="W25" s="146">
        <v>0</v>
      </c>
      <c r="X25" s="146">
        <v>0</v>
      </c>
      <c r="Y25" s="146">
        <v>0</v>
      </c>
      <c r="Z25" s="146">
        <v>0</v>
      </c>
      <c r="AA25" s="146">
        <v>0</v>
      </c>
      <c r="AB25" s="146">
        <v>0</v>
      </c>
      <c r="AC25" s="146">
        <v>0</v>
      </c>
      <c r="AD25" s="146">
        <v>0</v>
      </c>
      <c r="AE25" s="146">
        <v>5.2839425534268337E-3</v>
      </c>
      <c r="AF25" s="146">
        <v>0</v>
      </c>
      <c r="AG25" s="146">
        <v>0</v>
      </c>
      <c r="AH25" s="146">
        <v>0</v>
      </c>
      <c r="AI25" s="146">
        <v>0</v>
      </c>
      <c r="AJ25" s="146">
        <v>0</v>
      </c>
      <c r="AK25" s="146">
        <v>0</v>
      </c>
      <c r="AL25" s="146">
        <v>4.8820000000000001E-3</v>
      </c>
      <c r="AM25" s="146">
        <v>0</v>
      </c>
      <c r="AN25" s="146">
        <v>0</v>
      </c>
      <c r="AO25" s="146">
        <v>0</v>
      </c>
      <c r="AP25" s="146">
        <v>0</v>
      </c>
      <c r="AQ25" s="146">
        <v>0</v>
      </c>
      <c r="AR25" s="146">
        <v>0</v>
      </c>
      <c r="AS25" s="146">
        <v>0</v>
      </c>
      <c r="AT25" s="146">
        <v>0</v>
      </c>
      <c r="AU25" s="146">
        <v>0</v>
      </c>
      <c r="AV25" s="146">
        <v>0</v>
      </c>
      <c r="AW25" s="146">
        <v>0</v>
      </c>
      <c r="AX25" s="146">
        <v>0</v>
      </c>
      <c r="AY25" s="146">
        <v>7.5760842675266865E-2</v>
      </c>
      <c r="AZ25" s="146">
        <v>0</v>
      </c>
      <c r="BA25" s="146">
        <v>0</v>
      </c>
      <c r="BB25" s="146">
        <v>0</v>
      </c>
    </row>
    <row r="26" spans="1:54" customFormat="1" x14ac:dyDescent="0.15">
      <c r="A26" s="185" t="s">
        <v>216</v>
      </c>
      <c r="B26" s="146">
        <v>0</v>
      </c>
      <c r="C26" s="146">
        <v>0</v>
      </c>
      <c r="D26" s="146">
        <v>0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146">
        <v>0</v>
      </c>
      <c r="W26" s="146">
        <v>0</v>
      </c>
      <c r="X26" s="146">
        <v>0</v>
      </c>
      <c r="Y26" s="146">
        <v>0</v>
      </c>
      <c r="Z26" s="146">
        <v>0</v>
      </c>
      <c r="AA26" s="146">
        <v>0</v>
      </c>
      <c r="AB26" s="146">
        <v>0</v>
      </c>
      <c r="AC26" s="146">
        <v>0</v>
      </c>
      <c r="AD26" s="146">
        <v>0</v>
      </c>
      <c r="AE26" s="146">
        <v>7.9266201551540776E-3</v>
      </c>
      <c r="AF26" s="146">
        <v>0</v>
      </c>
      <c r="AG26" s="146">
        <v>0</v>
      </c>
      <c r="AH26" s="146">
        <v>0</v>
      </c>
      <c r="AI26" s="146">
        <v>0</v>
      </c>
      <c r="AJ26" s="146">
        <v>0</v>
      </c>
      <c r="AK26" s="146">
        <v>0</v>
      </c>
      <c r="AL26" s="146">
        <v>0</v>
      </c>
      <c r="AM26" s="146">
        <v>0</v>
      </c>
      <c r="AN26" s="146">
        <v>0</v>
      </c>
      <c r="AO26" s="146">
        <v>0</v>
      </c>
      <c r="AP26" s="146">
        <v>0</v>
      </c>
      <c r="AQ26" s="146">
        <v>0</v>
      </c>
      <c r="AR26" s="146">
        <v>5.5937177547005328E-3</v>
      </c>
      <c r="AS26" s="146">
        <v>0</v>
      </c>
      <c r="AT26" s="146">
        <v>3.5326658599651249E-2</v>
      </c>
      <c r="AU26" s="146">
        <v>0</v>
      </c>
      <c r="AV26" s="146">
        <v>0</v>
      </c>
      <c r="AW26" s="146">
        <v>0</v>
      </c>
      <c r="AX26" s="146">
        <v>0</v>
      </c>
      <c r="AY26" s="146">
        <v>0</v>
      </c>
      <c r="AZ26" s="146">
        <v>0</v>
      </c>
      <c r="BA26" s="146">
        <v>0</v>
      </c>
      <c r="BB26" s="146">
        <v>0</v>
      </c>
    </row>
    <row r="27" spans="1:54" customFormat="1" x14ac:dyDescent="0.15">
      <c r="A27" s="185" t="s">
        <v>217</v>
      </c>
      <c r="B27" s="146">
        <v>0</v>
      </c>
      <c r="C27" s="146">
        <v>0</v>
      </c>
      <c r="D27" s="146">
        <v>0</v>
      </c>
      <c r="E27" s="146">
        <v>0</v>
      </c>
      <c r="F27" s="146">
        <v>0</v>
      </c>
      <c r="G27" s="146">
        <v>0</v>
      </c>
      <c r="H27" s="146">
        <v>0</v>
      </c>
      <c r="I27" s="146">
        <v>0</v>
      </c>
      <c r="J27" s="146">
        <v>0</v>
      </c>
      <c r="K27" s="146">
        <v>0</v>
      </c>
      <c r="L27" s="146">
        <v>0</v>
      </c>
      <c r="M27" s="146">
        <v>0</v>
      </c>
      <c r="N27" s="146">
        <v>0</v>
      </c>
      <c r="O27" s="146">
        <v>0</v>
      </c>
      <c r="P27" s="146">
        <v>0</v>
      </c>
      <c r="Q27" s="146">
        <v>1.0017740420183202E-3</v>
      </c>
      <c r="R27" s="146">
        <v>0</v>
      </c>
      <c r="S27" s="146">
        <v>0</v>
      </c>
      <c r="T27" s="146">
        <v>0</v>
      </c>
      <c r="U27" s="146">
        <v>0</v>
      </c>
      <c r="V27" s="146">
        <v>0</v>
      </c>
      <c r="W27" s="146">
        <v>0</v>
      </c>
      <c r="X27" s="146">
        <v>0</v>
      </c>
      <c r="Y27" s="146">
        <v>0</v>
      </c>
      <c r="Z27" s="146">
        <v>2.9850691832842141E-3</v>
      </c>
      <c r="AA27" s="146">
        <v>0</v>
      </c>
      <c r="AB27" s="146">
        <v>1.4024340315338706E-2</v>
      </c>
      <c r="AC27" s="146">
        <v>1.1069989406527906E-3</v>
      </c>
      <c r="AD27" s="146">
        <v>7.4408640427488987E-2</v>
      </c>
      <c r="AE27" s="146">
        <v>4.2701387635828416E-3</v>
      </c>
      <c r="AF27" s="146">
        <v>4.2859958628052724E-3</v>
      </c>
      <c r="AG27" s="146">
        <v>3.3000560307129614E-5</v>
      </c>
      <c r="AH27" s="146">
        <v>1.3000311500303685E-5</v>
      </c>
      <c r="AI27" s="146">
        <v>1.5982032000574499E-2</v>
      </c>
      <c r="AJ27" s="146">
        <v>2.4370023040122617E-3</v>
      </c>
      <c r="AK27" s="146">
        <v>0</v>
      </c>
      <c r="AL27" s="146">
        <v>0</v>
      </c>
      <c r="AM27" s="146">
        <v>0</v>
      </c>
      <c r="AN27" s="146">
        <v>0</v>
      </c>
      <c r="AO27" s="146">
        <v>0</v>
      </c>
      <c r="AP27" s="146">
        <v>0</v>
      </c>
      <c r="AQ27" s="146">
        <v>8.0023364116422421E-6</v>
      </c>
      <c r="AR27" s="146">
        <v>5.1726594700447575E-4</v>
      </c>
      <c r="AS27" s="146">
        <v>0</v>
      </c>
      <c r="AT27" s="146">
        <v>0</v>
      </c>
      <c r="AU27" s="146">
        <v>0</v>
      </c>
      <c r="AV27" s="146">
        <v>0</v>
      </c>
      <c r="AW27" s="146">
        <v>0</v>
      </c>
      <c r="AX27" s="146">
        <v>5.7619943157055506E-3</v>
      </c>
      <c r="AY27" s="146">
        <v>1.3165973564916859E-2</v>
      </c>
      <c r="AZ27" s="146">
        <v>0</v>
      </c>
      <c r="BA27" s="146">
        <v>0</v>
      </c>
      <c r="BB27" s="146">
        <v>0</v>
      </c>
    </row>
    <row r="28" spans="1:54" customFormat="1" x14ac:dyDescent="0.15">
      <c r="A28" s="185" t="s">
        <v>218</v>
      </c>
      <c r="B28" s="146">
        <v>0</v>
      </c>
      <c r="C28" s="146">
        <v>0</v>
      </c>
      <c r="D28" s="146">
        <v>0</v>
      </c>
      <c r="E28" s="146">
        <v>0</v>
      </c>
      <c r="F28" s="146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0</v>
      </c>
      <c r="L28" s="146">
        <v>0</v>
      </c>
      <c r="M28" s="146">
        <v>0</v>
      </c>
      <c r="N28" s="146">
        <v>0</v>
      </c>
      <c r="O28" s="146">
        <v>0</v>
      </c>
      <c r="P28" s="146">
        <v>0</v>
      </c>
      <c r="Q28" s="146">
        <v>0</v>
      </c>
      <c r="R28" s="146">
        <v>0</v>
      </c>
      <c r="S28" s="146">
        <v>0</v>
      </c>
      <c r="T28" s="146">
        <v>0</v>
      </c>
      <c r="U28" s="146">
        <v>0</v>
      </c>
      <c r="V28" s="146">
        <v>0</v>
      </c>
      <c r="W28" s="146">
        <v>0</v>
      </c>
      <c r="X28" s="146">
        <v>0</v>
      </c>
      <c r="Y28" s="146">
        <v>0</v>
      </c>
      <c r="Z28" s="146">
        <v>0</v>
      </c>
      <c r="AA28" s="146">
        <v>0</v>
      </c>
      <c r="AB28" s="146">
        <v>0</v>
      </c>
      <c r="AC28" s="146">
        <v>0</v>
      </c>
      <c r="AD28" s="146">
        <v>1.6771706910655975E-2</v>
      </c>
      <c r="AE28" s="146">
        <v>0</v>
      </c>
      <c r="AF28" s="146">
        <v>0</v>
      </c>
      <c r="AG28" s="146">
        <v>0</v>
      </c>
      <c r="AH28" s="146">
        <v>0</v>
      </c>
      <c r="AI28" s="146">
        <v>0</v>
      </c>
      <c r="AJ28" s="146">
        <v>0</v>
      </c>
      <c r="AK28" s="146">
        <v>0</v>
      </c>
      <c r="AL28" s="146">
        <v>0</v>
      </c>
      <c r="AM28" s="146">
        <v>0</v>
      </c>
      <c r="AN28" s="146">
        <v>0</v>
      </c>
      <c r="AO28" s="146">
        <v>0</v>
      </c>
      <c r="AP28" s="146">
        <v>0</v>
      </c>
      <c r="AQ28" s="146">
        <v>0</v>
      </c>
      <c r="AR28" s="146">
        <v>0</v>
      </c>
      <c r="AS28" s="146">
        <v>0</v>
      </c>
      <c r="AT28" s="146">
        <v>0</v>
      </c>
      <c r="AU28" s="146">
        <v>0</v>
      </c>
      <c r="AV28" s="146">
        <v>0</v>
      </c>
      <c r="AW28" s="146">
        <v>0</v>
      </c>
      <c r="AX28" s="146">
        <v>0</v>
      </c>
      <c r="AY28" s="146">
        <v>0</v>
      </c>
      <c r="AZ28" s="146">
        <v>0</v>
      </c>
      <c r="BA28" s="146">
        <v>0</v>
      </c>
      <c r="BB28" s="146">
        <v>0</v>
      </c>
    </row>
    <row r="29" spans="1:54" customFormat="1" x14ac:dyDescent="0.15">
      <c r="A29" s="185" t="s">
        <v>219</v>
      </c>
      <c r="B29" s="146">
        <v>0</v>
      </c>
      <c r="C29" s="146">
        <v>0</v>
      </c>
      <c r="D29" s="146">
        <v>0</v>
      </c>
      <c r="E29" s="146">
        <v>0</v>
      </c>
      <c r="F29" s="146">
        <v>0</v>
      </c>
      <c r="G29" s="146">
        <v>0</v>
      </c>
      <c r="H29" s="146">
        <v>0</v>
      </c>
      <c r="I29" s="146">
        <v>0</v>
      </c>
      <c r="J29" s="146">
        <v>0</v>
      </c>
      <c r="K29" s="146">
        <v>0</v>
      </c>
      <c r="L29" s="146">
        <v>0</v>
      </c>
      <c r="M29" s="146">
        <v>0</v>
      </c>
      <c r="N29" s="146">
        <v>0</v>
      </c>
      <c r="O29" s="146">
        <v>0</v>
      </c>
      <c r="P29" s="146">
        <v>0</v>
      </c>
      <c r="Q29" s="146">
        <v>0</v>
      </c>
      <c r="R29" s="146">
        <v>0</v>
      </c>
      <c r="S29" s="146">
        <v>0</v>
      </c>
      <c r="T29" s="146">
        <v>0</v>
      </c>
      <c r="U29" s="146">
        <v>0</v>
      </c>
      <c r="V29" s="146">
        <v>0</v>
      </c>
      <c r="W29" s="146">
        <v>0</v>
      </c>
      <c r="X29" s="146">
        <v>0</v>
      </c>
      <c r="Y29" s="146">
        <v>0</v>
      </c>
      <c r="Z29" s="146">
        <v>1.9900458888561698E-3</v>
      </c>
      <c r="AA29" s="146">
        <v>0</v>
      </c>
      <c r="AB29" s="146">
        <v>7.4796482415139757E-4</v>
      </c>
      <c r="AC29" s="146">
        <v>7.5999919825575911E-5</v>
      </c>
      <c r="AD29" s="146">
        <v>4.3715072894899558E-2</v>
      </c>
      <c r="AE29" s="146">
        <v>0</v>
      </c>
      <c r="AF29" s="146">
        <v>0</v>
      </c>
      <c r="AG29" s="146">
        <v>0</v>
      </c>
      <c r="AH29" s="146">
        <v>5.1001222355037542E-5</v>
      </c>
      <c r="AI29" s="146">
        <v>1.8090036727029957E-3</v>
      </c>
      <c r="AJ29" s="146">
        <v>1.2710012029542818E-3</v>
      </c>
      <c r="AK29" s="146">
        <v>0</v>
      </c>
      <c r="AL29" s="146">
        <v>0</v>
      </c>
      <c r="AM29" s="146">
        <v>0</v>
      </c>
      <c r="AN29" s="146">
        <v>0</v>
      </c>
      <c r="AO29" s="146">
        <v>0</v>
      </c>
      <c r="AP29" s="146">
        <v>0</v>
      </c>
      <c r="AQ29" s="146">
        <v>3.1009054273863684E-5</v>
      </c>
      <c r="AR29" s="146">
        <v>2.0690698120181126E-4</v>
      </c>
      <c r="AS29" s="146">
        <v>0</v>
      </c>
      <c r="AT29" s="146">
        <v>0</v>
      </c>
      <c r="AU29" s="146">
        <v>0</v>
      </c>
      <c r="AV29" s="146">
        <v>0</v>
      </c>
      <c r="AW29" s="146">
        <v>9.8964772501835049E-3</v>
      </c>
      <c r="AX29" s="146">
        <v>5.7619943157055506E-3</v>
      </c>
      <c r="AY29" s="146">
        <v>7.8369847467396059E-3</v>
      </c>
      <c r="AZ29" s="146">
        <v>0</v>
      </c>
      <c r="BA29" s="146">
        <v>0</v>
      </c>
      <c r="BB29" s="146">
        <v>0</v>
      </c>
    </row>
    <row r="30" spans="1:54" customFormat="1" x14ac:dyDescent="0.15">
      <c r="A30" s="185" t="s">
        <v>220</v>
      </c>
      <c r="B30" s="146">
        <v>0</v>
      </c>
      <c r="C30" s="146">
        <v>0</v>
      </c>
      <c r="D30" s="146">
        <v>0</v>
      </c>
      <c r="E30" s="146">
        <v>0</v>
      </c>
      <c r="F30" s="146">
        <v>0</v>
      </c>
      <c r="G30" s="146">
        <v>0</v>
      </c>
      <c r="H30" s="146">
        <v>0</v>
      </c>
      <c r="I30" s="146">
        <v>0</v>
      </c>
      <c r="J30" s="146">
        <v>0</v>
      </c>
      <c r="K30" s="146">
        <v>0</v>
      </c>
      <c r="L30" s="146">
        <v>0</v>
      </c>
      <c r="M30" s="146">
        <v>0</v>
      </c>
      <c r="N30" s="146">
        <v>0</v>
      </c>
      <c r="O30" s="146">
        <v>0</v>
      </c>
      <c r="P30" s="146">
        <v>0</v>
      </c>
      <c r="Q30" s="146">
        <v>0</v>
      </c>
      <c r="R30" s="146">
        <v>0</v>
      </c>
      <c r="S30" s="146">
        <v>0</v>
      </c>
      <c r="T30" s="146">
        <v>0</v>
      </c>
      <c r="U30" s="146">
        <v>0</v>
      </c>
      <c r="V30" s="146">
        <v>0</v>
      </c>
      <c r="W30" s="146">
        <v>0</v>
      </c>
      <c r="X30" s="146">
        <v>0</v>
      </c>
      <c r="Y30" s="146">
        <v>0</v>
      </c>
      <c r="Z30" s="146">
        <v>0</v>
      </c>
      <c r="AA30" s="146">
        <v>0</v>
      </c>
      <c r="AB30" s="146">
        <v>0</v>
      </c>
      <c r="AC30" s="146">
        <v>0</v>
      </c>
      <c r="AD30" s="146">
        <v>0</v>
      </c>
      <c r="AE30" s="146">
        <v>0</v>
      </c>
      <c r="AF30" s="146">
        <v>0</v>
      </c>
      <c r="AG30" s="146">
        <v>0</v>
      </c>
      <c r="AH30" s="146">
        <v>0</v>
      </c>
      <c r="AI30" s="146">
        <v>0</v>
      </c>
      <c r="AJ30" s="146">
        <v>0</v>
      </c>
      <c r="AK30" s="146">
        <v>0</v>
      </c>
      <c r="AL30" s="146">
        <v>0</v>
      </c>
      <c r="AM30" s="146">
        <v>0</v>
      </c>
      <c r="AN30" s="146">
        <v>0</v>
      </c>
      <c r="AO30" s="146">
        <v>0</v>
      </c>
      <c r="AP30" s="146">
        <v>0</v>
      </c>
      <c r="AQ30" s="146">
        <v>0</v>
      </c>
      <c r="AR30" s="146">
        <v>0</v>
      </c>
      <c r="AS30" s="146">
        <v>0</v>
      </c>
      <c r="AT30" s="146">
        <v>0</v>
      </c>
      <c r="AU30" s="146">
        <v>0</v>
      </c>
      <c r="AV30" s="146">
        <v>0</v>
      </c>
      <c r="AW30" s="146">
        <v>0</v>
      </c>
      <c r="AX30" s="146">
        <v>0</v>
      </c>
      <c r="AY30" s="146">
        <v>0</v>
      </c>
      <c r="AZ30" s="146">
        <v>0</v>
      </c>
      <c r="BA30" s="146">
        <v>0</v>
      </c>
      <c r="BB30" s="146">
        <v>0</v>
      </c>
    </row>
    <row r="31" spans="1:54" customFormat="1" x14ac:dyDescent="0.15">
      <c r="A31" s="185" t="s">
        <v>221</v>
      </c>
      <c r="B31" s="146">
        <v>0</v>
      </c>
      <c r="C31" s="146">
        <v>0</v>
      </c>
      <c r="D31" s="146">
        <v>0</v>
      </c>
      <c r="E31" s="146">
        <v>0</v>
      </c>
      <c r="F31" s="146">
        <v>0</v>
      </c>
      <c r="G31" s="146">
        <v>0</v>
      </c>
      <c r="H31" s="146">
        <v>0</v>
      </c>
      <c r="I31" s="146">
        <v>0</v>
      </c>
      <c r="J31" s="146">
        <v>0</v>
      </c>
      <c r="K31" s="146">
        <v>0</v>
      </c>
      <c r="L31" s="146">
        <v>0</v>
      </c>
      <c r="M31" s="146">
        <v>0</v>
      </c>
      <c r="N31" s="146">
        <v>0</v>
      </c>
      <c r="O31" s="146">
        <v>0</v>
      </c>
      <c r="P31" s="146">
        <v>0</v>
      </c>
      <c r="Q31" s="146">
        <v>0</v>
      </c>
      <c r="R31" s="146">
        <v>0</v>
      </c>
      <c r="S31" s="146">
        <v>0</v>
      </c>
      <c r="T31" s="146">
        <v>0</v>
      </c>
      <c r="U31" s="146">
        <v>0</v>
      </c>
      <c r="V31" s="146">
        <v>0</v>
      </c>
      <c r="W31" s="146">
        <v>0</v>
      </c>
      <c r="X31" s="146">
        <v>0</v>
      </c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46">
        <v>0</v>
      </c>
      <c r="AE31" s="146">
        <v>1.2103439336910301E-3</v>
      </c>
      <c r="AF31" s="146">
        <v>0</v>
      </c>
      <c r="AG31" s="146">
        <v>0</v>
      </c>
      <c r="AH31" s="146">
        <v>0</v>
      </c>
      <c r="AI31" s="146">
        <v>0</v>
      </c>
      <c r="AJ31" s="146">
        <v>0</v>
      </c>
      <c r="AK31" s="146">
        <v>0</v>
      </c>
      <c r="AL31" s="146">
        <v>0</v>
      </c>
      <c r="AM31" s="146">
        <v>0</v>
      </c>
      <c r="AN31" s="146">
        <v>0</v>
      </c>
      <c r="AO31" s="146">
        <v>0</v>
      </c>
      <c r="AP31" s="146">
        <v>0</v>
      </c>
      <c r="AQ31" s="146">
        <v>0</v>
      </c>
      <c r="AR31" s="146">
        <v>1.0490159365130975E-3</v>
      </c>
      <c r="AS31" s="146">
        <v>0</v>
      </c>
      <c r="AT31" s="146">
        <v>0</v>
      </c>
      <c r="AU31" s="146">
        <v>0</v>
      </c>
      <c r="AV31" s="146">
        <v>0</v>
      </c>
      <c r="AW31" s="146">
        <v>0</v>
      </c>
      <c r="AX31" s="146">
        <v>0</v>
      </c>
      <c r="AY31" s="146">
        <v>0</v>
      </c>
      <c r="AZ31" s="146">
        <v>0</v>
      </c>
      <c r="BA31" s="146">
        <v>0</v>
      </c>
      <c r="BB31" s="146">
        <v>0</v>
      </c>
    </row>
    <row r="32" spans="1:54" customFormat="1" x14ac:dyDescent="0.15">
      <c r="A32" s="185" t="s">
        <v>222</v>
      </c>
      <c r="B32" s="146">
        <v>0</v>
      </c>
      <c r="C32" s="146">
        <v>0</v>
      </c>
      <c r="D32" s="146">
        <v>0</v>
      </c>
      <c r="E32" s="146">
        <v>0</v>
      </c>
      <c r="F32" s="146">
        <v>0</v>
      </c>
      <c r="G32" s="146">
        <v>0</v>
      </c>
      <c r="H32" s="146">
        <v>0</v>
      </c>
      <c r="I32" s="146">
        <v>0</v>
      </c>
      <c r="J32" s="146">
        <v>0</v>
      </c>
      <c r="K32" s="146">
        <v>0</v>
      </c>
      <c r="L32" s="146">
        <v>0</v>
      </c>
      <c r="M32" s="146">
        <v>0</v>
      </c>
      <c r="N32" s="146">
        <v>0</v>
      </c>
      <c r="O32" s="146">
        <v>0</v>
      </c>
      <c r="P32" s="146">
        <v>0</v>
      </c>
      <c r="Q32" s="146">
        <v>0</v>
      </c>
      <c r="R32" s="146">
        <v>0</v>
      </c>
      <c r="S32" s="146">
        <v>0</v>
      </c>
      <c r="T32" s="146">
        <v>0</v>
      </c>
      <c r="U32" s="146">
        <v>0</v>
      </c>
      <c r="V32" s="146">
        <v>0</v>
      </c>
      <c r="W32" s="146">
        <v>0</v>
      </c>
      <c r="X32" s="146">
        <v>0</v>
      </c>
      <c r="Y32" s="146">
        <v>0</v>
      </c>
      <c r="Z32" s="146">
        <v>0</v>
      </c>
      <c r="AA32" s="146">
        <v>0</v>
      </c>
      <c r="AB32" s="146">
        <v>0</v>
      </c>
      <c r="AC32" s="146">
        <v>0</v>
      </c>
      <c r="AD32" s="146">
        <v>0</v>
      </c>
      <c r="AE32" s="146">
        <v>0</v>
      </c>
      <c r="AF32" s="146">
        <v>0</v>
      </c>
      <c r="AG32" s="146">
        <v>0</v>
      </c>
      <c r="AH32" s="146">
        <v>0</v>
      </c>
      <c r="AI32" s="146">
        <v>0</v>
      </c>
      <c r="AJ32" s="146">
        <v>0</v>
      </c>
      <c r="AK32" s="146">
        <v>0</v>
      </c>
      <c r="AL32" s="146">
        <v>0</v>
      </c>
      <c r="AM32" s="146">
        <v>0</v>
      </c>
      <c r="AN32" s="146">
        <v>0</v>
      </c>
      <c r="AO32" s="146">
        <v>0</v>
      </c>
      <c r="AP32" s="146">
        <v>0</v>
      </c>
      <c r="AQ32" s="146">
        <v>0</v>
      </c>
      <c r="AR32" s="146">
        <v>0</v>
      </c>
      <c r="AS32" s="146">
        <v>0</v>
      </c>
      <c r="AT32" s="146">
        <v>1.1039644062388507E-2</v>
      </c>
      <c r="AU32" s="146">
        <v>0</v>
      </c>
      <c r="AV32" s="146">
        <v>0</v>
      </c>
      <c r="AW32" s="146">
        <v>0</v>
      </c>
      <c r="AX32" s="146">
        <v>0</v>
      </c>
      <c r="AY32" s="146">
        <v>0</v>
      </c>
      <c r="AZ32" s="146">
        <v>0</v>
      </c>
      <c r="BA32" s="146">
        <v>0</v>
      </c>
      <c r="BB32" s="146">
        <v>0</v>
      </c>
    </row>
    <row r="33" spans="1:54" customFormat="1" x14ac:dyDescent="0.15">
      <c r="A33" s="185" t="s">
        <v>223</v>
      </c>
      <c r="B33" s="146">
        <v>0</v>
      </c>
      <c r="C33" s="146">
        <v>0</v>
      </c>
      <c r="D33" s="146">
        <v>0</v>
      </c>
      <c r="E33" s="146">
        <v>0</v>
      </c>
      <c r="F33" s="146">
        <v>0</v>
      </c>
      <c r="G33" s="146">
        <v>0</v>
      </c>
      <c r="H33" s="146">
        <v>0</v>
      </c>
      <c r="I33" s="146">
        <v>0</v>
      </c>
      <c r="J33" s="146">
        <v>0</v>
      </c>
      <c r="K33" s="146">
        <v>0</v>
      </c>
      <c r="L33" s="146">
        <v>0</v>
      </c>
      <c r="M33" s="146">
        <v>0</v>
      </c>
      <c r="N33" s="146">
        <v>0</v>
      </c>
      <c r="O33" s="146">
        <v>0</v>
      </c>
      <c r="P33" s="146">
        <v>0</v>
      </c>
      <c r="Q33" s="146">
        <v>0</v>
      </c>
      <c r="R33" s="146">
        <v>0</v>
      </c>
      <c r="S33" s="146">
        <v>0</v>
      </c>
      <c r="T33" s="146">
        <v>0</v>
      </c>
      <c r="U33" s="146">
        <v>0</v>
      </c>
      <c r="V33" s="146">
        <v>0</v>
      </c>
      <c r="W33" s="146">
        <v>0</v>
      </c>
      <c r="X33" s="146">
        <v>0</v>
      </c>
      <c r="Y33" s="146">
        <v>0</v>
      </c>
      <c r="Z33" s="146">
        <v>0</v>
      </c>
      <c r="AA33" s="146">
        <v>0</v>
      </c>
      <c r="AB33" s="146">
        <v>0</v>
      </c>
      <c r="AC33" s="146">
        <v>0</v>
      </c>
      <c r="AD33" s="146">
        <v>0</v>
      </c>
      <c r="AE33" s="146">
        <v>0</v>
      </c>
      <c r="AF33" s="146">
        <v>0</v>
      </c>
      <c r="AG33" s="146">
        <v>8.8001490819012264E-5</v>
      </c>
      <c r="AH33" s="146">
        <v>0</v>
      </c>
      <c r="AI33" s="146">
        <v>0</v>
      </c>
      <c r="AJ33" s="146">
        <v>0</v>
      </c>
      <c r="AK33" s="146">
        <v>0</v>
      </c>
      <c r="AL33" s="146">
        <v>0</v>
      </c>
      <c r="AM33" s="146">
        <v>0</v>
      </c>
      <c r="AN33" s="146">
        <v>0</v>
      </c>
      <c r="AO33" s="146">
        <v>0</v>
      </c>
      <c r="AP33" s="146">
        <v>0</v>
      </c>
      <c r="AQ33" s="146">
        <v>0</v>
      </c>
      <c r="AR33" s="146">
        <v>0</v>
      </c>
      <c r="AS33" s="146">
        <v>0</v>
      </c>
      <c r="AT33" s="146">
        <v>0</v>
      </c>
      <c r="AU33" s="146">
        <v>0</v>
      </c>
      <c r="AV33" s="146">
        <v>0</v>
      </c>
      <c r="AW33" s="146">
        <v>0</v>
      </c>
      <c r="AX33" s="146">
        <v>0</v>
      </c>
      <c r="AY33" s="146">
        <v>0</v>
      </c>
      <c r="AZ33" s="146">
        <v>0</v>
      </c>
      <c r="BA33" s="146">
        <v>0</v>
      </c>
      <c r="BB33" s="146">
        <v>0</v>
      </c>
    </row>
    <row r="34" spans="1:54" customFormat="1" x14ac:dyDescent="0.15">
      <c r="A34" s="185" t="s">
        <v>224</v>
      </c>
      <c r="B34" s="146">
        <v>0</v>
      </c>
      <c r="C34" s="146">
        <v>0</v>
      </c>
      <c r="D34" s="146">
        <v>0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146">
        <v>0</v>
      </c>
      <c r="W34" s="146">
        <v>0</v>
      </c>
      <c r="X34" s="146">
        <v>0</v>
      </c>
      <c r="Y34" s="146">
        <v>0</v>
      </c>
      <c r="Z34" s="146">
        <v>0</v>
      </c>
      <c r="AA34" s="146">
        <v>0</v>
      </c>
      <c r="AB34" s="146">
        <v>6.5446919138247336E-2</v>
      </c>
      <c r="AC34" s="146">
        <v>0</v>
      </c>
      <c r="AD34" s="146">
        <v>6.5107558511552741E-2</v>
      </c>
      <c r="AE34" s="146">
        <v>4.5826216196993189E-2</v>
      </c>
      <c r="AF34" s="146">
        <v>3.8419960670177059E-3</v>
      </c>
      <c r="AG34" s="146">
        <v>1.0510177897816123E-3</v>
      </c>
      <c r="AH34" s="146">
        <v>2.8510684116512205E-3</v>
      </c>
      <c r="AI34" s="146">
        <v>0</v>
      </c>
      <c r="AJ34" s="146">
        <v>4.6062045631880544E-2</v>
      </c>
      <c r="AK34" s="146">
        <v>0</v>
      </c>
      <c r="AL34" s="146">
        <v>1.9865000000000001E-2</v>
      </c>
      <c r="AM34" s="146">
        <v>0</v>
      </c>
      <c r="AN34" s="146">
        <v>0</v>
      </c>
      <c r="AO34" s="146">
        <v>0</v>
      </c>
      <c r="AP34" s="146">
        <v>0</v>
      </c>
      <c r="AQ34" s="146">
        <v>2.0005841054105605E-6</v>
      </c>
      <c r="AR34" s="146">
        <v>5.1726626200448668E-3</v>
      </c>
      <c r="AS34" s="146">
        <v>0</v>
      </c>
      <c r="AT34" s="146">
        <v>0</v>
      </c>
      <c r="AU34" s="146">
        <v>0</v>
      </c>
      <c r="AV34" s="146">
        <v>0</v>
      </c>
      <c r="AW34" s="146">
        <v>0</v>
      </c>
      <c r="AX34" s="146">
        <v>9.0489916948679992E-3</v>
      </c>
      <c r="AY34" s="146">
        <v>4.1652915570847757E-2</v>
      </c>
      <c r="AZ34" s="146">
        <v>0</v>
      </c>
      <c r="BA34" s="146">
        <v>0</v>
      </c>
      <c r="BB34" s="146">
        <v>0</v>
      </c>
    </row>
    <row r="35" spans="1:54" customFormat="1" x14ac:dyDescent="0.15">
      <c r="A35" s="185" t="s">
        <v>225</v>
      </c>
      <c r="B35" s="146">
        <v>0</v>
      </c>
      <c r="C35" s="146">
        <v>0</v>
      </c>
      <c r="D35" s="146">
        <v>0</v>
      </c>
      <c r="E35" s="146">
        <v>0</v>
      </c>
      <c r="F35" s="146">
        <v>0</v>
      </c>
      <c r="G35" s="146">
        <v>0</v>
      </c>
      <c r="H35" s="146">
        <v>0</v>
      </c>
      <c r="I35" s="146">
        <v>0</v>
      </c>
      <c r="J35" s="146">
        <v>0</v>
      </c>
      <c r="K35" s="146">
        <v>0</v>
      </c>
      <c r="L35" s="146">
        <v>0</v>
      </c>
      <c r="M35" s="146">
        <v>0</v>
      </c>
      <c r="N35" s="146">
        <v>0</v>
      </c>
      <c r="O35" s="146">
        <v>0</v>
      </c>
      <c r="P35" s="146">
        <v>0</v>
      </c>
      <c r="Q35" s="146">
        <v>0</v>
      </c>
      <c r="R35" s="146">
        <v>0</v>
      </c>
      <c r="S35" s="146">
        <v>0</v>
      </c>
      <c r="T35" s="146">
        <v>0</v>
      </c>
      <c r="U35" s="146">
        <v>0</v>
      </c>
      <c r="V35" s="146">
        <v>0</v>
      </c>
      <c r="W35" s="146">
        <v>0</v>
      </c>
      <c r="X35" s="146">
        <v>0</v>
      </c>
      <c r="Y35" s="146">
        <v>0</v>
      </c>
      <c r="Z35" s="146">
        <v>0</v>
      </c>
      <c r="AA35" s="146">
        <v>0</v>
      </c>
      <c r="AB35" s="146">
        <v>0</v>
      </c>
      <c r="AC35" s="146">
        <v>0</v>
      </c>
      <c r="AD35" s="146">
        <v>0</v>
      </c>
      <c r="AE35" s="146">
        <v>0</v>
      </c>
      <c r="AF35" s="146">
        <v>0</v>
      </c>
      <c r="AG35" s="146">
        <v>0</v>
      </c>
      <c r="AH35" s="146">
        <v>0</v>
      </c>
      <c r="AI35" s="146">
        <v>0</v>
      </c>
      <c r="AJ35" s="146">
        <v>0</v>
      </c>
      <c r="AK35" s="146">
        <v>0</v>
      </c>
      <c r="AL35" s="146">
        <v>0</v>
      </c>
      <c r="AM35" s="146">
        <v>0</v>
      </c>
      <c r="AN35" s="146">
        <v>0</v>
      </c>
      <c r="AO35" s="146">
        <v>0</v>
      </c>
      <c r="AP35" s="146">
        <v>0</v>
      </c>
      <c r="AQ35" s="146">
        <v>0</v>
      </c>
      <c r="AR35" s="146">
        <v>0</v>
      </c>
      <c r="AS35" s="146">
        <v>0</v>
      </c>
      <c r="AT35" s="146">
        <v>0</v>
      </c>
      <c r="AU35" s="146">
        <v>0</v>
      </c>
      <c r="AV35" s="146">
        <v>0</v>
      </c>
      <c r="AW35" s="146">
        <v>0</v>
      </c>
      <c r="AX35" s="146">
        <v>0</v>
      </c>
      <c r="AY35" s="146">
        <v>0.20688458530550849</v>
      </c>
      <c r="AZ35" s="146">
        <v>0</v>
      </c>
      <c r="BA35" s="146">
        <v>0</v>
      </c>
      <c r="BB35" s="146">
        <v>0</v>
      </c>
    </row>
    <row r="36" spans="1:54" customFormat="1" x14ac:dyDescent="0.15">
      <c r="A36" s="185" t="s">
        <v>226</v>
      </c>
      <c r="B36" s="146">
        <v>0</v>
      </c>
      <c r="C36" s="146">
        <v>0</v>
      </c>
      <c r="D36" s="146">
        <v>0</v>
      </c>
      <c r="E36" s="146">
        <v>0</v>
      </c>
      <c r="F36" s="146">
        <v>0</v>
      </c>
      <c r="G36" s="146">
        <v>0</v>
      </c>
      <c r="H36" s="146">
        <v>0</v>
      </c>
      <c r="I36" s="146">
        <v>0</v>
      </c>
      <c r="J36" s="146">
        <v>0</v>
      </c>
      <c r="K36" s="146">
        <v>0</v>
      </c>
      <c r="L36" s="146">
        <v>0</v>
      </c>
      <c r="M36" s="146">
        <v>0</v>
      </c>
      <c r="N36" s="146">
        <v>0</v>
      </c>
      <c r="O36" s="146">
        <v>0</v>
      </c>
      <c r="P36" s="146">
        <v>0</v>
      </c>
      <c r="Q36" s="146">
        <v>0</v>
      </c>
      <c r="R36" s="146">
        <v>0</v>
      </c>
      <c r="S36" s="146">
        <v>0</v>
      </c>
      <c r="T36" s="146">
        <v>0</v>
      </c>
      <c r="U36" s="146">
        <v>0</v>
      </c>
      <c r="V36" s="146">
        <v>0</v>
      </c>
      <c r="W36" s="146">
        <v>0</v>
      </c>
      <c r="X36" s="146">
        <v>0</v>
      </c>
      <c r="Y36" s="146">
        <v>0</v>
      </c>
      <c r="Z36" s="146">
        <v>0</v>
      </c>
      <c r="AA36" s="146">
        <v>0</v>
      </c>
      <c r="AB36" s="146">
        <v>0</v>
      </c>
      <c r="AC36" s="146">
        <v>0</v>
      </c>
      <c r="AD36" s="146">
        <v>0</v>
      </c>
      <c r="AE36" s="146">
        <v>0</v>
      </c>
      <c r="AF36" s="146">
        <v>0</v>
      </c>
      <c r="AG36" s="146">
        <v>0</v>
      </c>
      <c r="AH36" s="146">
        <v>0</v>
      </c>
      <c r="AI36" s="146">
        <v>0</v>
      </c>
      <c r="AJ36" s="146">
        <v>0</v>
      </c>
      <c r="AK36" s="146">
        <v>0</v>
      </c>
      <c r="AL36" s="146">
        <v>3.0921000000000001E-2</v>
      </c>
      <c r="AM36" s="146">
        <v>0</v>
      </c>
      <c r="AN36" s="146">
        <v>0</v>
      </c>
      <c r="AO36" s="146">
        <v>0</v>
      </c>
      <c r="AP36" s="146">
        <v>0</v>
      </c>
      <c r="AQ36" s="146">
        <v>0</v>
      </c>
      <c r="AR36" s="146">
        <v>0</v>
      </c>
      <c r="AS36" s="146">
        <v>0</v>
      </c>
      <c r="AT36" s="146">
        <v>0</v>
      </c>
      <c r="AU36" s="146">
        <v>0</v>
      </c>
      <c r="AV36" s="146">
        <v>0</v>
      </c>
      <c r="AW36" s="146">
        <v>0</v>
      </c>
      <c r="AX36" s="146">
        <v>0</v>
      </c>
      <c r="AY36" s="146">
        <v>0.20688458530550849</v>
      </c>
      <c r="AZ36" s="146">
        <v>0</v>
      </c>
      <c r="BA36" s="146">
        <v>0</v>
      </c>
      <c r="BB36" s="146">
        <v>0</v>
      </c>
    </row>
    <row r="37" spans="1:54" customFormat="1" x14ac:dyDescent="0.15">
      <c r="A37" s="185" t="s">
        <v>227</v>
      </c>
      <c r="B37" s="146">
        <v>0</v>
      </c>
      <c r="C37" s="146">
        <v>0</v>
      </c>
      <c r="D37" s="146">
        <v>0</v>
      </c>
      <c r="E37" s="146">
        <v>0</v>
      </c>
      <c r="F37" s="146">
        <v>0</v>
      </c>
      <c r="G37" s="146">
        <v>0</v>
      </c>
      <c r="H37" s="146">
        <v>0</v>
      </c>
      <c r="I37" s="146">
        <v>0</v>
      </c>
      <c r="J37" s="146">
        <v>0</v>
      </c>
      <c r="K37" s="146">
        <v>0</v>
      </c>
      <c r="L37" s="146">
        <v>0</v>
      </c>
      <c r="M37" s="146">
        <v>0</v>
      </c>
      <c r="N37" s="146">
        <v>0</v>
      </c>
      <c r="O37" s="146">
        <v>0</v>
      </c>
      <c r="P37" s="146">
        <v>0</v>
      </c>
      <c r="Q37" s="146">
        <v>0</v>
      </c>
      <c r="R37" s="146">
        <v>0</v>
      </c>
      <c r="S37" s="146">
        <v>0</v>
      </c>
      <c r="T37" s="146">
        <v>0</v>
      </c>
      <c r="U37" s="146">
        <v>0</v>
      </c>
      <c r="V37" s="146">
        <v>0</v>
      </c>
      <c r="W37" s="146">
        <v>0</v>
      </c>
      <c r="X37" s="146">
        <v>0</v>
      </c>
      <c r="Y37" s="146">
        <v>0</v>
      </c>
      <c r="Z37" s="146">
        <v>0</v>
      </c>
      <c r="AA37" s="146">
        <v>0</v>
      </c>
      <c r="AB37" s="146">
        <v>0</v>
      </c>
      <c r="AC37" s="146">
        <v>0</v>
      </c>
      <c r="AD37" s="146">
        <v>0</v>
      </c>
      <c r="AE37" s="146">
        <v>0</v>
      </c>
      <c r="AF37" s="146">
        <v>0</v>
      </c>
      <c r="AG37" s="146">
        <v>0</v>
      </c>
      <c r="AH37" s="146">
        <v>0</v>
      </c>
      <c r="AI37" s="146">
        <v>0</v>
      </c>
      <c r="AJ37" s="146">
        <v>0</v>
      </c>
      <c r="AK37" s="146">
        <v>0</v>
      </c>
      <c r="AL37" s="146">
        <v>0</v>
      </c>
      <c r="AM37" s="146">
        <v>0</v>
      </c>
      <c r="AN37" s="146">
        <v>0</v>
      </c>
      <c r="AO37" s="146">
        <v>0</v>
      </c>
      <c r="AP37" s="146">
        <v>0</v>
      </c>
      <c r="AQ37" s="146">
        <v>0</v>
      </c>
      <c r="AR37" s="146">
        <v>0</v>
      </c>
      <c r="AS37" s="146">
        <v>0</v>
      </c>
      <c r="AT37" s="146">
        <v>0</v>
      </c>
      <c r="AU37" s="146">
        <v>0</v>
      </c>
      <c r="AV37" s="146">
        <v>2.9595474206115312E-3</v>
      </c>
      <c r="AW37" s="146">
        <v>0</v>
      </c>
      <c r="AX37" s="146">
        <v>7.3098932735103983E-2</v>
      </c>
      <c r="AY37" s="146">
        <v>0</v>
      </c>
      <c r="AZ37" s="146">
        <v>0</v>
      </c>
      <c r="BA37" s="146">
        <v>0</v>
      </c>
      <c r="BB37" s="146">
        <v>0</v>
      </c>
    </row>
    <row r="38" spans="1:54" customFormat="1" x14ac:dyDescent="0.15">
      <c r="A38" s="185" t="s">
        <v>228</v>
      </c>
      <c r="B38" s="146">
        <v>0</v>
      </c>
      <c r="C38" s="146">
        <v>0</v>
      </c>
      <c r="D38" s="146">
        <v>0</v>
      </c>
      <c r="E38" s="146">
        <v>0</v>
      </c>
      <c r="F38" s="146">
        <v>0</v>
      </c>
      <c r="G38" s="146">
        <v>0</v>
      </c>
      <c r="H38" s="146">
        <v>0</v>
      </c>
      <c r="I38" s="146">
        <v>0</v>
      </c>
      <c r="J38" s="146">
        <v>0</v>
      </c>
      <c r="K38" s="146">
        <v>0</v>
      </c>
      <c r="L38" s="146">
        <v>0</v>
      </c>
      <c r="M38" s="146">
        <v>0</v>
      </c>
      <c r="N38" s="146">
        <v>0</v>
      </c>
      <c r="O38" s="146">
        <v>0</v>
      </c>
      <c r="P38" s="146">
        <v>0</v>
      </c>
      <c r="Q38" s="146">
        <v>0</v>
      </c>
      <c r="R38" s="146">
        <v>0</v>
      </c>
      <c r="S38" s="146">
        <v>0</v>
      </c>
      <c r="T38" s="146">
        <v>0</v>
      </c>
      <c r="U38" s="146">
        <v>0</v>
      </c>
      <c r="V38" s="146">
        <v>0</v>
      </c>
      <c r="W38" s="146">
        <v>0</v>
      </c>
      <c r="X38" s="146">
        <v>0</v>
      </c>
      <c r="Y38" s="146">
        <v>0</v>
      </c>
      <c r="Z38" s="146">
        <v>0</v>
      </c>
      <c r="AA38" s="146">
        <v>0</v>
      </c>
      <c r="AB38" s="146">
        <v>0</v>
      </c>
      <c r="AC38" s="146">
        <v>0</v>
      </c>
      <c r="AD38" s="146">
        <v>0</v>
      </c>
      <c r="AE38" s="146">
        <v>0</v>
      </c>
      <c r="AF38" s="146">
        <v>0</v>
      </c>
      <c r="AG38" s="146">
        <v>0</v>
      </c>
      <c r="AH38" s="146">
        <v>0</v>
      </c>
      <c r="AI38" s="146">
        <v>0</v>
      </c>
      <c r="AJ38" s="146">
        <v>0</v>
      </c>
      <c r="AK38" s="146">
        <v>0</v>
      </c>
      <c r="AL38" s="146">
        <v>0</v>
      </c>
      <c r="AM38" s="146">
        <v>0</v>
      </c>
      <c r="AN38" s="146">
        <v>0</v>
      </c>
      <c r="AO38" s="146">
        <v>0</v>
      </c>
      <c r="AP38" s="146">
        <v>0</v>
      </c>
      <c r="AQ38" s="146">
        <v>0</v>
      </c>
      <c r="AR38" s="146">
        <v>0</v>
      </c>
      <c r="AS38" s="146">
        <v>0</v>
      </c>
      <c r="AT38" s="146">
        <v>0</v>
      </c>
      <c r="AU38" s="146">
        <v>0</v>
      </c>
      <c r="AV38" s="146">
        <v>0</v>
      </c>
      <c r="AW38" s="146">
        <v>0</v>
      </c>
      <c r="AX38" s="146">
        <v>0</v>
      </c>
      <c r="AY38" s="146">
        <v>0</v>
      </c>
      <c r="AZ38" s="146">
        <v>0</v>
      </c>
      <c r="BA38" s="146">
        <v>0</v>
      </c>
      <c r="BB38" s="146">
        <v>0</v>
      </c>
    </row>
    <row r="39" spans="1:54" x14ac:dyDescent="0.15">
      <c r="A39" s="185" t="s">
        <v>229</v>
      </c>
      <c r="B39" s="146">
        <v>0</v>
      </c>
      <c r="C39" s="146">
        <v>0</v>
      </c>
      <c r="D39" s="146">
        <v>0</v>
      </c>
      <c r="E39" s="146">
        <v>0</v>
      </c>
      <c r="F39" s="146">
        <v>0</v>
      </c>
      <c r="G39" s="146">
        <v>0</v>
      </c>
      <c r="H39" s="146">
        <v>0</v>
      </c>
      <c r="I39" s="146">
        <v>0</v>
      </c>
      <c r="J39" s="146">
        <v>0</v>
      </c>
      <c r="K39" s="146">
        <v>0</v>
      </c>
      <c r="L39" s="146">
        <v>0</v>
      </c>
      <c r="M39" s="146">
        <v>0</v>
      </c>
      <c r="N39" s="146">
        <v>0</v>
      </c>
      <c r="O39" s="146">
        <v>0</v>
      </c>
      <c r="P39" s="146">
        <v>0</v>
      </c>
      <c r="Q39" s="146">
        <v>5.2693302750164326E-4</v>
      </c>
      <c r="R39" s="146">
        <v>0</v>
      </c>
      <c r="S39" s="146">
        <v>0</v>
      </c>
      <c r="T39" s="146">
        <v>0</v>
      </c>
      <c r="U39" s="146">
        <v>0</v>
      </c>
      <c r="V39" s="146">
        <v>0</v>
      </c>
      <c r="W39" s="146">
        <v>0</v>
      </c>
      <c r="X39" s="146">
        <v>8.442579901127209E-2</v>
      </c>
      <c r="Y39" s="146">
        <v>0</v>
      </c>
      <c r="Z39" s="146">
        <v>0</v>
      </c>
      <c r="AA39" s="146">
        <v>0</v>
      </c>
      <c r="AB39" s="146">
        <v>0.23533686690127242</v>
      </c>
      <c r="AC39" s="146">
        <v>2.8022973197663191E-2</v>
      </c>
      <c r="AD39" s="146">
        <v>4.6121265054242418E-2</v>
      </c>
      <c r="AE39" s="146">
        <v>0</v>
      </c>
      <c r="AF39" s="146">
        <v>1.045198966543181E-2</v>
      </c>
      <c r="AG39" s="146">
        <v>1.4918253938841206E-2</v>
      </c>
      <c r="AH39" s="146">
        <v>0.45907002119806323</v>
      </c>
      <c r="AI39" s="146">
        <v>0</v>
      </c>
      <c r="AJ39" s="146">
        <v>3.4162033916966331E-2</v>
      </c>
      <c r="AK39" s="146">
        <v>0</v>
      </c>
      <c r="AL39" s="146">
        <v>4.8820000000000001E-3</v>
      </c>
      <c r="AM39" s="146">
        <v>0</v>
      </c>
      <c r="AN39" s="146">
        <v>0</v>
      </c>
      <c r="AO39" s="146">
        <v>0</v>
      </c>
      <c r="AP39" s="146">
        <v>0</v>
      </c>
      <c r="AQ39" s="146">
        <v>0.17719574170778413</v>
      </c>
      <c r="AR39" s="146">
        <v>0.14380008500524954</v>
      </c>
      <c r="AS39" s="146">
        <v>0</v>
      </c>
      <c r="AT39" s="146">
        <v>0</v>
      </c>
      <c r="AU39" s="146">
        <v>0</v>
      </c>
      <c r="AV39" s="146">
        <v>8.0533016207064045E-2</v>
      </c>
      <c r="AW39" s="146">
        <v>0.3814280711007208</v>
      </c>
      <c r="AX39" s="146">
        <v>0</v>
      </c>
      <c r="AY39" s="146">
        <v>0.1908576257395645</v>
      </c>
      <c r="AZ39" s="146">
        <v>0</v>
      </c>
      <c r="BA39" s="146">
        <v>0</v>
      </c>
      <c r="BB39" s="146">
        <v>0</v>
      </c>
    </row>
    <row r="40" spans="1:54" x14ac:dyDescent="0.15">
      <c r="A40" s="185" t="s">
        <v>230</v>
      </c>
      <c r="B40" s="146">
        <v>0</v>
      </c>
      <c r="C40" s="146">
        <v>0</v>
      </c>
      <c r="D40" s="146">
        <v>0</v>
      </c>
      <c r="E40" s="146">
        <v>0</v>
      </c>
      <c r="F40" s="146">
        <v>0</v>
      </c>
      <c r="G40" s="146">
        <v>0</v>
      </c>
      <c r="H40" s="146">
        <v>0</v>
      </c>
      <c r="I40" s="146">
        <v>0</v>
      </c>
      <c r="J40" s="146">
        <v>0</v>
      </c>
      <c r="K40" s="146">
        <v>0</v>
      </c>
      <c r="L40" s="146">
        <v>0</v>
      </c>
      <c r="M40" s="146">
        <v>0</v>
      </c>
      <c r="N40" s="146">
        <v>0</v>
      </c>
      <c r="O40" s="146">
        <v>0</v>
      </c>
      <c r="P40" s="146">
        <v>0</v>
      </c>
      <c r="Q40" s="146">
        <v>0</v>
      </c>
      <c r="R40" s="146">
        <v>0</v>
      </c>
      <c r="S40" s="146">
        <v>0</v>
      </c>
      <c r="T40" s="146">
        <v>0</v>
      </c>
      <c r="U40" s="146">
        <v>0</v>
      </c>
      <c r="V40" s="146">
        <v>0</v>
      </c>
      <c r="W40" s="146">
        <v>0</v>
      </c>
      <c r="X40" s="146">
        <v>4.4998828202994927E-4</v>
      </c>
      <c r="Y40" s="146">
        <v>3.4990000443871241E-3</v>
      </c>
      <c r="Z40" s="146">
        <v>0</v>
      </c>
      <c r="AA40" s="146">
        <v>0</v>
      </c>
      <c r="AB40" s="146">
        <v>5.9276213119498246E-3</v>
      </c>
      <c r="AC40" s="146">
        <v>0</v>
      </c>
      <c r="AD40" s="146">
        <v>1.8639363234335912E-3</v>
      </c>
      <c r="AE40" s="146">
        <v>1.7688548346232106E-3</v>
      </c>
      <c r="AF40" s="146">
        <v>3.8419960670177059E-3</v>
      </c>
      <c r="AG40" s="146">
        <v>1.8000306367525252E-5</v>
      </c>
      <c r="AH40" s="146">
        <v>3.301079302430968E-3</v>
      </c>
      <c r="AI40" s="146">
        <v>5.5440110695773375E-3</v>
      </c>
      <c r="AJ40" s="146">
        <v>7.9420081434326672E-3</v>
      </c>
      <c r="AK40" s="146">
        <v>0</v>
      </c>
      <c r="AL40" s="146">
        <v>0</v>
      </c>
      <c r="AM40" s="146">
        <v>0</v>
      </c>
      <c r="AN40" s="146">
        <v>0</v>
      </c>
      <c r="AO40" s="146">
        <v>0</v>
      </c>
      <c r="AP40" s="146">
        <v>0</v>
      </c>
      <c r="AQ40" s="146">
        <v>1.2513654008743055E-3</v>
      </c>
      <c r="AR40" s="146">
        <v>2.744614945531812E-3</v>
      </c>
      <c r="AS40" s="146">
        <v>0</v>
      </c>
      <c r="AT40" s="146">
        <v>3.0684025183685239E-3</v>
      </c>
      <c r="AU40" s="146">
        <v>0</v>
      </c>
      <c r="AV40" s="146">
        <v>1.0035768627336373E-3</v>
      </c>
      <c r="AW40" s="146">
        <v>8.3229333694046317E-4</v>
      </c>
      <c r="AX40" s="146">
        <v>3.4929966822161511E-3</v>
      </c>
      <c r="AY40" s="146">
        <v>4.4999911589036878E-4</v>
      </c>
      <c r="AZ40" s="146">
        <v>0</v>
      </c>
      <c r="BA40" s="146">
        <v>0</v>
      </c>
      <c r="BB40" s="146">
        <v>0</v>
      </c>
    </row>
    <row r="41" spans="1:54" x14ac:dyDescent="0.15">
      <c r="A41" s="185" t="s">
        <v>231</v>
      </c>
      <c r="B41" s="146">
        <v>0</v>
      </c>
      <c r="C41" s="146">
        <v>0</v>
      </c>
      <c r="D41" s="146">
        <v>0</v>
      </c>
      <c r="E41" s="146">
        <v>0</v>
      </c>
      <c r="F41" s="146">
        <v>0</v>
      </c>
      <c r="G41" s="146">
        <v>0</v>
      </c>
      <c r="H41" s="146">
        <v>0</v>
      </c>
      <c r="I41" s="146">
        <v>0</v>
      </c>
      <c r="J41" s="146">
        <v>0</v>
      </c>
      <c r="K41" s="146">
        <v>0</v>
      </c>
      <c r="L41" s="146">
        <v>0</v>
      </c>
      <c r="M41" s="146">
        <v>0</v>
      </c>
      <c r="N41" s="146">
        <v>0</v>
      </c>
      <c r="O41" s="146">
        <v>0</v>
      </c>
      <c r="P41" s="146">
        <v>0</v>
      </c>
      <c r="Q41" s="146">
        <v>4.399792035344437E-3</v>
      </c>
      <c r="R41" s="146">
        <v>0</v>
      </c>
      <c r="S41" s="146">
        <v>0</v>
      </c>
      <c r="T41" s="146">
        <v>0</v>
      </c>
      <c r="U41" s="146">
        <v>0</v>
      </c>
      <c r="V41" s="146">
        <v>0</v>
      </c>
      <c r="W41" s="146">
        <v>0</v>
      </c>
      <c r="X41" s="146">
        <v>5.8488479542826355E-3</v>
      </c>
      <c r="Y41" s="146">
        <v>7.5673998722958519E-2</v>
      </c>
      <c r="Z41" s="146">
        <v>0</v>
      </c>
      <c r="AA41" s="146">
        <v>0</v>
      </c>
      <c r="AB41" s="146">
        <v>0.1965586224118733</v>
      </c>
      <c r="AC41" s="146">
        <v>6.2299941360044074E-4</v>
      </c>
      <c r="AD41" s="146">
        <v>1.3975802825505614E-2</v>
      </c>
      <c r="AE41" s="146">
        <v>6.0773113089560758E-2</v>
      </c>
      <c r="AF41" s="146">
        <v>1.1496988731981392E-2</v>
      </c>
      <c r="AG41" s="146">
        <v>2.4900422631743256E-4</v>
      </c>
      <c r="AH41" s="146">
        <v>2.5429609474240191E-2</v>
      </c>
      <c r="AI41" s="146">
        <v>0</v>
      </c>
      <c r="AJ41" s="146">
        <v>0.23616223426508998</v>
      </c>
      <c r="AK41" s="146">
        <v>0</v>
      </c>
      <c r="AL41" s="146">
        <v>0</v>
      </c>
      <c r="AM41" s="146">
        <v>0</v>
      </c>
      <c r="AN41" s="146">
        <v>0</v>
      </c>
      <c r="AO41" s="146">
        <v>0</v>
      </c>
      <c r="AP41" s="146">
        <v>0</v>
      </c>
      <c r="AQ41" s="146">
        <v>9.9859159271768107E-3</v>
      </c>
      <c r="AR41" s="146">
        <v>2.5173286876206593E-2</v>
      </c>
      <c r="AS41" s="146">
        <v>0</v>
      </c>
      <c r="AT41" s="146">
        <v>2.980633711847679E-2</v>
      </c>
      <c r="AU41" s="146">
        <v>0</v>
      </c>
      <c r="AV41" s="146">
        <v>0</v>
      </c>
      <c r="AW41" s="146">
        <v>9.0634903132955941E-2</v>
      </c>
      <c r="AX41" s="146">
        <v>8.9770916972924678E-2</v>
      </c>
      <c r="AY41" s="146">
        <v>0</v>
      </c>
      <c r="AZ41" s="146">
        <v>0</v>
      </c>
      <c r="BA41" s="146">
        <v>0</v>
      </c>
      <c r="BB41" s="146">
        <v>0</v>
      </c>
    </row>
    <row r="42" spans="1:54" x14ac:dyDescent="0.15">
      <c r="A42" s="185" t="s">
        <v>232</v>
      </c>
      <c r="B42" s="146">
        <v>0</v>
      </c>
      <c r="C42" s="146">
        <v>0</v>
      </c>
      <c r="D42" s="146">
        <v>0</v>
      </c>
      <c r="E42" s="146">
        <v>0</v>
      </c>
      <c r="F42" s="146">
        <v>0</v>
      </c>
      <c r="G42" s="146">
        <v>0</v>
      </c>
      <c r="H42" s="146">
        <v>0</v>
      </c>
      <c r="I42" s="146">
        <v>0</v>
      </c>
      <c r="J42" s="146">
        <v>0</v>
      </c>
      <c r="K42" s="146">
        <v>0</v>
      </c>
      <c r="L42" s="146">
        <v>0</v>
      </c>
      <c r="M42" s="146">
        <v>0</v>
      </c>
      <c r="N42" s="146">
        <v>0</v>
      </c>
      <c r="O42" s="146">
        <v>0</v>
      </c>
      <c r="P42" s="146">
        <v>0</v>
      </c>
      <c r="Q42" s="146">
        <v>0</v>
      </c>
      <c r="R42" s="146">
        <v>0</v>
      </c>
      <c r="S42" s="146">
        <v>0</v>
      </c>
      <c r="T42" s="146">
        <v>0</v>
      </c>
      <c r="U42" s="146">
        <v>0</v>
      </c>
      <c r="V42" s="146">
        <v>0</v>
      </c>
      <c r="W42" s="146">
        <v>0</v>
      </c>
      <c r="X42" s="146">
        <v>9.1547609771425679E-3</v>
      </c>
      <c r="Y42" s="146">
        <v>2.1619999835224279E-3</v>
      </c>
      <c r="Z42" s="146">
        <v>0</v>
      </c>
      <c r="AA42" s="146">
        <v>0</v>
      </c>
      <c r="AB42" s="146">
        <v>0</v>
      </c>
      <c r="AC42" s="146">
        <v>0</v>
      </c>
      <c r="AD42" s="146">
        <v>0</v>
      </c>
      <c r="AE42" s="146">
        <v>0.10833429012051372</v>
      </c>
      <c r="AF42" s="146">
        <v>1.1496988731981392E-2</v>
      </c>
      <c r="AG42" s="146">
        <v>3.8400653657387203E-4</v>
      </c>
      <c r="AH42" s="146">
        <v>0</v>
      </c>
      <c r="AI42" s="146">
        <v>0</v>
      </c>
      <c r="AJ42" s="146">
        <v>0.23616223426508998</v>
      </c>
      <c r="AK42" s="146">
        <v>0</v>
      </c>
      <c r="AL42" s="146">
        <v>0.40685300000000002</v>
      </c>
      <c r="AM42" s="146">
        <v>0</v>
      </c>
      <c r="AN42" s="146">
        <v>0</v>
      </c>
      <c r="AO42" s="146">
        <v>0</v>
      </c>
      <c r="AP42" s="146">
        <v>0</v>
      </c>
      <c r="AQ42" s="146">
        <v>0</v>
      </c>
      <c r="AR42" s="146">
        <v>2.5173286876206593E-2</v>
      </c>
      <c r="AS42" s="146">
        <v>0</v>
      </c>
      <c r="AT42" s="146">
        <v>0</v>
      </c>
      <c r="AU42" s="146">
        <v>0</v>
      </c>
      <c r="AV42" s="146">
        <v>0</v>
      </c>
      <c r="AW42" s="146">
        <v>1.8011587235334081E-2</v>
      </c>
      <c r="AX42" s="146">
        <v>8.9770916972924678E-2</v>
      </c>
      <c r="AY42" s="146">
        <v>0</v>
      </c>
      <c r="AZ42" s="146">
        <v>0</v>
      </c>
      <c r="BA42" s="146">
        <v>0</v>
      </c>
      <c r="BB42" s="146">
        <v>0</v>
      </c>
    </row>
    <row r="43" spans="1:54" x14ac:dyDescent="0.15">
      <c r="A43" s="185" t="s">
        <v>233</v>
      </c>
      <c r="B43" s="146">
        <v>0</v>
      </c>
      <c r="C43" s="146">
        <v>0</v>
      </c>
      <c r="D43" s="146">
        <v>0</v>
      </c>
      <c r="E43" s="146">
        <v>0</v>
      </c>
      <c r="F43" s="146">
        <v>0</v>
      </c>
      <c r="G43" s="146">
        <v>0</v>
      </c>
      <c r="H43" s="146">
        <v>0</v>
      </c>
      <c r="I43" s="146">
        <v>0</v>
      </c>
      <c r="J43" s="146">
        <v>0</v>
      </c>
      <c r="K43" s="146">
        <v>0</v>
      </c>
      <c r="L43" s="146">
        <v>0</v>
      </c>
      <c r="M43" s="146">
        <v>0</v>
      </c>
      <c r="N43" s="146">
        <v>0</v>
      </c>
      <c r="O43" s="146">
        <v>0</v>
      </c>
      <c r="P43" s="146">
        <v>0</v>
      </c>
      <c r="Q43" s="146">
        <v>0</v>
      </c>
      <c r="R43" s="146">
        <v>0</v>
      </c>
      <c r="S43" s="146">
        <v>0</v>
      </c>
      <c r="T43" s="146">
        <v>0</v>
      </c>
      <c r="U43" s="146">
        <v>0</v>
      </c>
      <c r="V43" s="146">
        <v>0</v>
      </c>
      <c r="W43" s="146">
        <v>0</v>
      </c>
      <c r="X43" s="146">
        <v>0</v>
      </c>
      <c r="Y43" s="146">
        <v>0</v>
      </c>
      <c r="Z43" s="146">
        <v>0</v>
      </c>
      <c r="AA43" s="146">
        <v>0</v>
      </c>
      <c r="AB43" s="146">
        <v>6.9560732484079922E-4</v>
      </c>
      <c r="AC43" s="146">
        <v>0</v>
      </c>
      <c r="AD43" s="146">
        <v>2.0963703788258393E-2</v>
      </c>
      <c r="AE43" s="146">
        <v>0.22764647445590652</v>
      </c>
      <c r="AF43" s="146">
        <v>0</v>
      </c>
      <c r="AG43" s="146">
        <v>1.7049288558674321E-2</v>
      </c>
      <c r="AH43" s="146">
        <v>0</v>
      </c>
      <c r="AI43" s="146">
        <v>2.1403042868608186E-2</v>
      </c>
      <c r="AJ43" s="146">
        <v>0</v>
      </c>
      <c r="AK43" s="146">
        <v>0</v>
      </c>
      <c r="AL43" s="146">
        <v>0</v>
      </c>
      <c r="AM43" s="146">
        <v>0</v>
      </c>
      <c r="AN43" s="146">
        <v>0</v>
      </c>
      <c r="AO43" s="146">
        <v>0</v>
      </c>
      <c r="AP43" s="146">
        <v>0</v>
      </c>
      <c r="AQ43" s="146">
        <v>1.1223277418153242E-3</v>
      </c>
      <c r="AR43" s="146">
        <v>0</v>
      </c>
      <c r="AS43" s="146">
        <v>0</v>
      </c>
      <c r="AT43" s="146">
        <v>0.12474566905508166</v>
      </c>
      <c r="AU43" s="146">
        <v>0</v>
      </c>
      <c r="AV43" s="146">
        <v>4.4127272221698146E-3</v>
      </c>
      <c r="AW43" s="146">
        <v>0.11442797533025002</v>
      </c>
      <c r="AX43" s="146">
        <v>8.9770916972924678E-2</v>
      </c>
      <c r="AY43" s="146">
        <v>4.3707911543413774E-2</v>
      </c>
      <c r="AZ43" s="146">
        <v>0</v>
      </c>
      <c r="BA43" s="146">
        <v>0</v>
      </c>
      <c r="BB43" s="146">
        <v>0</v>
      </c>
    </row>
    <row r="44" spans="1:54" x14ac:dyDescent="0.15">
      <c r="A44" s="185" t="s">
        <v>234</v>
      </c>
      <c r="B44" s="146">
        <v>0</v>
      </c>
      <c r="C44" s="146">
        <v>0</v>
      </c>
      <c r="D44" s="146">
        <v>0</v>
      </c>
      <c r="E44" s="146">
        <v>0</v>
      </c>
      <c r="F44" s="146">
        <v>0</v>
      </c>
      <c r="G44" s="146">
        <v>0</v>
      </c>
      <c r="H44" s="146">
        <v>0</v>
      </c>
      <c r="I44" s="146">
        <v>0</v>
      </c>
      <c r="J44" s="146">
        <v>0</v>
      </c>
      <c r="K44" s="146">
        <v>0</v>
      </c>
      <c r="L44" s="146">
        <v>0</v>
      </c>
      <c r="M44" s="146">
        <v>0</v>
      </c>
      <c r="N44" s="146">
        <v>0</v>
      </c>
      <c r="O44" s="146">
        <v>0</v>
      </c>
      <c r="P44" s="146">
        <v>0</v>
      </c>
      <c r="Q44" s="146">
        <v>0</v>
      </c>
      <c r="R44" s="146">
        <v>0</v>
      </c>
      <c r="S44" s="146">
        <v>0</v>
      </c>
      <c r="T44" s="146">
        <v>0</v>
      </c>
      <c r="U44" s="146">
        <v>0</v>
      </c>
      <c r="V44" s="146">
        <v>0</v>
      </c>
      <c r="W44" s="146">
        <v>0</v>
      </c>
      <c r="X44" s="146">
        <v>0</v>
      </c>
      <c r="Y44" s="146">
        <v>0</v>
      </c>
      <c r="Z44" s="146">
        <v>0</v>
      </c>
      <c r="AA44" s="146">
        <v>0</v>
      </c>
      <c r="AB44" s="146">
        <v>0</v>
      </c>
      <c r="AC44" s="146">
        <v>0</v>
      </c>
      <c r="AD44" s="146">
        <v>0</v>
      </c>
      <c r="AE44" s="146">
        <v>0.24885577487105315</v>
      </c>
      <c r="AF44" s="146">
        <v>0</v>
      </c>
      <c r="AG44" s="146">
        <v>0</v>
      </c>
      <c r="AH44" s="146">
        <v>0</v>
      </c>
      <c r="AI44" s="146">
        <v>0</v>
      </c>
      <c r="AJ44" s="146">
        <v>0</v>
      </c>
      <c r="AK44" s="146">
        <v>0</v>
      </c>
      <c r="AL44" s="146">
        <v>0.157859</v>
      </c>
      <c r="AM44" s="146">
        <v>0</v>
      </c>
      <c r="AN44" s="146">
        <v>0</v>
      </c>
      <c r="AO44" s="146">
        <v>0</v>
      </c>
      <c r="AP44" s="146">
        <v>0</v>
      </c>
      <c r="AQ44" s="146">
        <v>0</v>
      </c>
      <c r="AR44" s="146">
        <v>0</v>
      </c>
      <c r="AS44" s="146">
        <v>0</v>
      </c>
      <c r="AT44" s="146">
        <v>6.9548457243099146E-2</v>
      </c>
      <c r="AU44" s="146">
        <v>0</v>
      </c>
      <c r="AV44" s="146">
        <v>5.5156571102241321E-3</v>
      </c>
      <c r="AW44" s="146">
        <v>0</v>
      </c>
      <c r="AX44" s="146">
        <v>8.9770916972924678E-2</v>
      </c>
      <c r="AY44" s="146">
        <v>1.893996066880789E-2</v>
      </c>
      <c r="AZ44" s="146">
        <v>0</v>
      </c>
      <c r="BA44" s="146">
        <v>0</v>
      </c>
      <c r="BB44" s="146">
        <v>0</v>
      </c>
    </row>
    <row r="45" spans="1:54" x14ac:dyDescent="0.15">
      <c r="A45" s="185" t="s">
        <v>235</v>
      </c>
      <c r="B45" s="146">
        <v>0</v>
      </c>
      <c r="C45" s="146">
        <v>0</v>
      </c>
      <c r="D45" s="146">
        <v>0</v>
      </c>
      <c r="E45" s="146">
        <v>0</v>
      </c>
      <c r="F45" s="146">
        <v>0</v>
      </c>
      <c r="G45" s="146">
        <v>0</v>
      </c>
      <c r="H45" s="146">
        <v>0</v>
      </c>
      <c r="I45" s="146">
        <v>0</v>
      </c>
      <c r="J45" s="146">
        <v>0</v>
      </c>
      <c r="K45" s="146">
        <v>0</v>
      </c>
      <c r="L45" s="146">
        <v>0</v>
      </c>
      <c r="M45" s="146">
        <v>0</v>
      </c>
      <c r="N45" s="146">
        <v>0</v>
      </c>
      <c r="O45" s="146">
        <v>0</v>
      </c>
      <c r="P45" s="146">
        <v>0</v>
      </c>
      <c r="Q45" s="146">
        <v>0</v>
      </c>
      <c r="R45" s="146">
        <v>0</v>
      </c>
      <c r="S45" s="146">
        <v>0</v>
      </c>
      <c r="T45" s="146">
        <v>0</v>
      </c>
      <c r="U45" s="146">
        <v>0</v>
      </c>
      <c r="V45" s="146">
        <v>0</v>
      </c>
      <c r="W45" s="146">
        <v>0</v>
      </c>
      <c r="X45" s="146">
        <v>0</v>
      </c>
      <c r="Y45" s="146">
        <v>0</v>
      </c>
      <c r="Z45" s="146">
        <v>0</v>
      </c>
      <c r="AA45" s="146">
        <v>0</v>
      </c>
      <c r="AB45" s="146">
        <v>0</v>
      </c>
      <c r="AC45" s="146">
        <v>0</v>
      </c>
      <c r="AD45" s="146">
        <v>0</v>
      </c>
      <c r="AE45" s="146">
        <v>0</v>
      </c>
      <c r="AF45" s="146">
        <v>0</v>
      </c>
      <c r="AG45" s="146">
        <v>0</v>
      </c>
      <c r="AH45" s="146">
        <v>0</v>
      </c>
      <c r="AI45" s="146">
        <v>0</v>
      </c>
      <c r="AJ45" s="146">
        <v>0</v>
      </c>
      <c r="AK45" s="146">
        <v>0</v>
      </c>
      <c r="AL45" s="146">
        <v>0</v>
      </c>
      <c r="AM45" s="146">
        <v>0</v>
      </c>
      <c r="AN45" s="146">
        <v>0</v>
      </c>
      <c r="AO45" s="146">
        <v>0</v>
      </c>
      <c r="AP45" s="146">
        <v>0</v>
      </c>
      <c r="AQ45" s="146">
        <v>0</v>
      </c>
      <c r="AR45" s="146">
        <v>0</v>
      </c>
      <c r="AS45" s="146">
        <v>0</v>
      </c>
      <c r="AT45" s="146">
        <v>0</v>
      </c>
      <c r="AU45" s="146">
        <v>0</v>
      </c>
      <c r="AV45" s="146">
        <v>0</v>
      </c>
      <c r="AW45" s="146">
        <v>0</v>
      </c>
      <c r="AX45" s="146">
        <v>0</v>
      </c>
      <c r="AY45" s="146">
        <v>0</v>
      </c>
      <c r="AZ45" s="146">
        <v>0</v>
      </c>
      <c r="BA45" s="146">
        <v>0</v>
      </c>
      <c r="BB45" s="146">
        <v>0</v>
      </c>
    </row>
    <row r="46" spans="1:54" x14ac:dyDescent="0.15">
      <c r="A46" s="185" t="s">
        <v>236</v>
      </c>
      <c r="B46" s="146">
        <v>0</v>
      </c>
      <c r="C46" s="146">
        <v>0</v>
      </c>
      <c r="D46" s="146">
        <v>0</v>
      </c>
      <c r="E46" s="146">
        <v>0</v>
      </c>
      <c r="F46" s="146">
        <v>0</v>
      </c>
      <c r="G46" s="146">
        <v>0</v>
      </c>
      <c r="H46" s="146">
        <v>0</v>
      </c>
      <c r="I46" s="146">
        <v>0</v>
      </c>
      <c r="J46" s="146">
        <v>0</v>
      </c>
      <c r="K46" s="146">
        <v>0</v>
      </c>
      <c r="L46" s="146">
        <v>0</v>
      </c>
      <c r="M46" s="146">
        <v>0</v>
      </c>
      <c r="N46" s="146">
        <v>0</v>
      </c>
      <c r="O46" s="146">
        <v>0</v>
      </c>
      <c r="P46" s="146">
        <v>0</v>
      </c>
      <c r="Q46" s="146">
        <v>0</v>
      </c>
      <c r="R46" s="146">
        <v>0</v>
      </c>
      <c r="S46" s="146">
        <v>0</v>
      </c>
      <c r="T46" s="146">
        <v>0</v>
      </c>
      <c r="U46" s="146">
        <v>0</v>
      </c>
      <c r="V46" s="146">
        <v>0</v>
      </c>
      <c r="W46" s="146">
        <v>0</v>
      </c>
      <c r="X46" s="146">
        <v>0</v>
      </c>
      <c r="Y46" s="146">
        <v>0</v>
      </c>
      <c r="Z46" s="146">
        <v>0</v>
      </c>
      <c r="AA46" s="146">
        <v>0</v>
      </c>
      <c r="AB46" s="146">
        <v>0</v>
      </c>
      <c r="AC46" s="146">
        <v>0</v>
      </c>
      <c r="AD46" s="146">
        <v>0</v>
      </c>
      <c r="AE46" s="146">
        <v>0</v>
      </c>
      <c r="AF46" s="146">
        <v>0</v>
      </c>
      <c r="AG46" s="146">
        <v>0</v>
      </c>
      <c r="AH46" s="146">
        <v>0</v>
      </c>
      <c r="AI46" s="146">
        <v>0</v>
      </c>
      <c r="AJ46" s="146">
        <v>0</v>
      </c>
      <c r="AK46" s="146">
        <v>0</v>
      </c>
      <c r="AL46" s="146">
        <v>0</v>
      </c>
      <c r="AM46" s="146">
        <v>0</v>
      </c>
      <c r="AN46" s="146">
        <v>0</v>
      </c>
      <c r="AO46" s="146">
        <v>0</v>
      </c>
      <c r="AP46" s="146">
        <v>0</v>
      </c>
      <c r="AQ46" s="146">
        <v>0</v>
      </c>
      <c r="AR46" s="146">
        <v>0</v>
      </c>
      <c r="AS46" s="146">
        <v>0</v>
      </c>
      <c r="AT46" s="146">
        <v>1.1208775955684119E-2</v>
      </c>
      <c r="AU46" s="146">
        <v>0</v>
      </c>
      <c r="AV46" s="146">
        <v>0</v>
      </c>
      <c r="AW46" s="146">
        <v>0</v>
      </c>
      <c r="AX46" s="146">
        <v>0</v>
      </c>
      <c r="AY46" s="146">
        <v>0</v>
      </c>
      <c r="AZ46" s="146">
        <v>0</v>
      </c>
      <c r="BA46" s="146">
        <v>0</v>
      </c>
      <c r="BB46" s="146">
        <v>0</v>
      </c>
    </row>
    <row r="47" spans="1:54" x14ac:dyDescent="0.15">
      <c r="A47" s="185" t="s">
        <v>237</v>
      </c>
      <c r="B47" s="146">
        <v>0</v>
      </c>
      <c r="C47" s="146">
        <v>0</v>
      </c>
      <c r="D47" s="146">
        <v>0</v>
      </c>
      <c r="E47" s="146">
        <v>0</v>
      </c>
      <c r="F47" s="146">
        <v>0</v>
      </c>
      <c r="G47" s="146">
        <v>0</v>
      </c>
      <c r="H47" s="146">
        <v>0</v>
      </c>
      <c r="I47" s="146">
        <v>0</v>
      </c>
      <c r="J47" s="146">
        <v>0</v>
      </c>
      <c r="K47" s="146">
        <v>0</v>
      </c>
      <c r="L47" s="146">
        <v>0</v>
      </c>
      <c r="M47" s="146">
        <v>0</v>
      </c>
      <c r="N47" s="146">
        <v>0</v>
      </c>
      <c r="O47" s="146">
        <v>0</v>
      </c>
      <c r="P47" s="146">
        <v>0</v>
      </c>
      <c r="Q47" s="146">
        <v>0</v>
      </c>
      <c r="R47" s="146">
        <v>0</v>
      </c>
      <c r="S47" s="146">
        <v>0</v>
      </c>
      <c r="T47" s="146">
        <v>0</v>
      </c>
      <c r="U47" s="146">
        <v>0</v>
      </c>
      <c r="V47" s="146">
        <v>0</v>
      </c>
      <c r="W47" s="146">
        <v>0</v>
      </c>
      <c r="X47" s="146">
        <v>0</v>
      </c>
      <c r="Y47" s="146">
        <v>0</v>
      </c>
      <c r="Z47" s="146">
        <v>0</v>
      </c>
      <c r="AA47" s="146">
        <v>0</v>
      </c>
      <c r="AB47" s="146">
        <v>0</v>
      </c>
      <c r="AC47" s="146">
        <v>0</v>
      </c>
      <c r="AD47" s="146">
        <v>0</v>
      </c>
      <c r="AE47" s="146">
        <v>0</v>
      </c>
      <c r="AF47" s="146">
        <v>0</v>
      </c>
      <c r="AG47" s="146">
        <v>0</v>
      </c>
      <c r="AH47" s="146">
        <v>0</v>
      </c>
      <c r="AI47" s="146">
        <v>0</v>
      </c>
      <c r="AJ47" s="146">
        <v>0</v>
      </c>
      <c r="AK47" s="146">
        <v>0</v>
      </c>
      <c r="AL47" s="146">
        <v>0</v>
      </c>
      <c r="AM47" s="146">
        <v>0</v>
      </c>
      <c r="AN47" s="146">
        <v>0</v>
      </c>
      <c r="AO47" s="146">
        <v>0</v>
      </c>
      <c r="AP47" s="146">
        <v>0</v>
      </c>
      <c r="AQ47" s="146">
        <v>0</v>
      </c>
      <c r="AR47" s="146">
        <v>0</v>
      </c>
      <c r="AS47" s="146">
        <v>0</v>
      </c>
      <c r="AT47" s="146">
        <v>0</v>
      </c>
      <c r="AU47" s="146">
        <v>0</v>
      </c>
      <c r="AV47" s="146">
        <v>0</v>
      </c>
      <c r="AW47" s="146">
        <v>0</v>
      </c>
      <c r="AX47" s="146">
        <v>0</v>
      </c>
      <c r="AY47" s="146">
        <v>0</v>
      </c>
      <c r="AZ47" s="146">
        <v>0</v>
      </c>
      <c r="BA47" s="146">
        <v>0</v>
      </c>
      <c r="BB47" s="146">
        <v>0</v>
      </c>
    </row>
    <row r="48" spans="1:54" x14ac:dyDescent="0.15">
      <c r="A48" s="185" t="s">
        <v>238</v>
      </c>
      <c r="B48" s="146">
        <v>0</v>
      </c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1.8598941023511895E-2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3.3922000000000001E-2</v>
      </c>
      <c r="X48" s="146">
        <v>0</v>
      </c>
      <c r="Y48" s="146">
        <v>0</v>
      </c>
      <c r="Z48" s="146">
        <v>6.9929211877722039E-2</v>
      </c>
      <c r="AA48" s="146">
        <v>0</v>
      </c>
      <c r="AB48" s="146">
        <v>1.8719689753514103E-2</v>
      </c>
      <c r="AC48" s="146">
        <v>4.1519955374077827E-3</v>
      </c>
      <c r="AD48" s="146">
        <v>2.3759606973408693E-2</v>
      </c>
      <c r="AE48" s="146">
        <v>2.6426788517272671E-3</v>
      </c>
      <c r="AF48" s="146">
        <v>4.0762958695177695E-2</v>
      </c>
      <c r="AG48" s="146">
        <v>2.2377380208261802E-2</v>
      </c>
      <c r="AH48" s="146">
        <v>8.030193370803013E-3</v>
      </c>
      <c r="AI48" s="146">
        <v>1.7122036014881551E-2</v>
      </c>
      <c r="AJ48" s="146">
        <v>3.5647035243785458E-2</v>
      </c>
      <c r="AK48" s="146">
        <v>0</v>
      </c>
      <c r="AL48" s="146">
        <v>3.2550000000000001E-3</v>
      </c>
      <c r="AM48" s="146">
        <v>0</v>
      </c>
      <c r="AN48" s="146">
        <v>0</v>
      </c>
      <c r="AO48" s="146">
        <v>0</v>
      </c>
      <c r="AP48" s="146">
        <v>0</v>
      </c>
      <c r="AQ48" s="146">
        <v>1.2341604509997741E-2</v>
      </c>
      <c r="AR48" s="146">
        <v>4.1950295260163913E-3</v>
      </c>
      <c r="AS48" s="146">
        <v>0</v>
      </c>
      <c r="AT48" s="146">
        <v>0.5594740778224474</v>
      </c>
      <c r="AU48" s="146">
        <v>0</v>
      </c>
      <c r="AV48" s="146">
        <v>2.6571695348528948E-2</v>
      </c>
      <c r="AW48" s="146">
        <v>0</v>
      </c>
      <c r="AX48" s="146">
        <v>0.54246942370793094</v>
      </c>
      <c r="AY48" s="146">
        <v>6.1190879260772324E-2</v>
      </c>
      <c r="AZ48" s="146">
        <v>0</v>
      </c>
      <c r="BA48" s="146">
        <v>0</v>
      </c>
      <c r="BB48" s="146">
        <v>0</v>
      </c>
    </row>
    <row r="49" spans="1:54" x14ac:dyDescent="0.15">
      <c r="A49" s="185" t="s">
        <v>239</v>
      </c>
      <c r="B49" s="146">
        <v>0</v>
      </c>
      <c r="C49" s="146">
        <v>0</v>
      </c>
      <c r="D49" s="146">
        <v>0</v>
      </c>
      <c r="E49" s="146">
        <v>0</v>
      </c>
      <c r="F49" s="146">
        <v>0</v>
      </c>
      <c r="G49" s="146">
        <v>0</v>
      </c>
      <c r="H49" s="146">
        <v>0</v>
      </c>
      <c r="I49" s="146">
        <v>0</v>
      </c>
      <c r="J49" s="146">
        <v>0</v>
      </c>
      <c r="K49" s="146">
        <v>0</v>
      </c>
      <c r="L49" s="146">
        <v>0</v>
      </c>
      <c r="M49" s="146">
        <v>0</v>
      </c>
      <c r="N49" s="146">
        <v>0</v>
      </c>
      <c r="O49" s="146">
        <v>0</v>
      </c>
      <c r="P49" s="146">
        <v>0</v>
      </c>
      <c r="Q49" s="146">
        <v>0</v>
      </c>
      <c r="R49" s="146">
        <v>0</v>
      </c>
      <c r="S49" s="146">
        <v>0</v>
      </c>
      <c r="T49" s="146">
        <v>0</v>
      </c>
      <c r="U49" s="146">
        <v>0</v>
      </c>
      <c r="V49" s="146">
        <v>0</v>
      </c>
      <c r="W49" s="146">
        <v>0</v>
      </c>
      <c r="X49" s="146">
        <v>0</v>
      </c>
      <c r="Y49" s="146">
        <v>0</v>
      </c>
      <c r="Z49" s="146">
        <v>0</v>
      </c>
      <c r="AA49" s="146">
        <v>0</v>
      </c>
      <c r="AB49" s="146">
        <v>0</v>
      </c>
      <c r="AC49" s="146">
        <v>0</v>
      </c>
      <c r="AD49" s="146">
        <v>0</v>
      </c>
      <c r="AE49" s="146">
        <v>0</v>
      </c>
      <c r="AF49" s="146">
        <v>0</v>
      </c>
      <c r="AG49" s="146">
        <v>0</v>
      </c>
      <c r="AH49" s="146">
        <v>0</v>
      </c>
      <c r="AI49" s="146">
        <v>0</v>
      </c>
      <c r="AJ49" s="146">
        <v>0</v>
      </c>
      <c r="AK49" s="146">
        <v>0</v>
      </c>
      <c r="AL49" s="146">
        <v>0</v>
      </c>
      <c r="AM49" s="146">
        <v>0</v>
      </c>
      <c r="AN49" s="146">
        <v>0</v>
      </c>
      <c r="AO49" s="146">
        <v>0</v>
      </c>
      <c r="AP49" s="146">
        <v>0</v>
      </c>
      <c r="AQ49" s="146">
        <v>0</v>
      </c>
      <c r="AR49" s="146">
        <v>0</v>
      </c>
      <c r="AS49" s="146">
        <v>0</v>
      </c>
      <c r="AT49" s="146">
        <v>1.1038643562428167E-3</v>
      </c>
      <c r="AU49" s="146">
        <v>0</v>
      </c>
      <c r="AV49" s="146">
        <v>0</v>
      </c>
      <c r="AW49" s="146">
        <v>0</v>
      </c>
      <c r="AX49" s="146">
        <v>0</v>
      </c>
      <c r="AY49" s="146">
        <v>0</v>
      </c>
      <c r="AZ49" s="146">
        <v>0</v>
      </c>
      <c r="BA49" s="146">
        <v>0</v>
      </c>
      <c r="BB49" s="146">
        <v>0</v>
      </c>
    </row>
    <row r="50" spans="1:54" x14ac:dyDescent="0.15">
      <c r="A50" s="185" t="s">
        <v>240</v>
      </c>
      <c r="B50" s="146">
        <v>0</v>
      </c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1.4351237031116963E-2</v>
      </c>
      <c r="AU50" s="146">
        <v>0</v>
      </c>
      <c r="AV50" s="146">
        <v>0</v>
      </c>
      <c r="AW50" s="146">
        <v>0</v>
      </c>
      <c r="AX50" s="146">
        <v>0</v>
      </c>
      <c r="AY50" s="146">
        <v>0</v>
      </c>
      <c r="AZ50" s="146">
        <v>0</v>
      </c>
      <c r="BA50" s="146">
        <v>0</v>
      </c>
      <c r="BB50" s="146">
        <v>0</v>
      </c>
    </row>
    <row r="51" spans="1:54" x14ac:dyDescent="0.15">
      <c r="A51" s="185" t="s">
        <v>241</v>
      </c>
      <c r="B51" s="146">
        <v>0</v>
      </c>
      <c r="C51" s="146">
        <v>0</v>
      </c>
      <c r="D51" s="146">
        <v>0</v>
      </c>
      <c r="E51" s="146">
        <v>0</v>
      </c>
      <c r="F51" s="146">
        <v>0</v>
      </c>
      <c r="G51" s="146">
        <v>0</v>
      </c>
      <c r="H51" s="146">
        <v>0</v>
      </c>
      <c r="I51" s="146">
        <v>0</v>
      </c>
      <c r="J51" s="146">
        <v>0</v>
      </c>
      <c r="K51" s="146">
        <v>0</v>
      </c>
      <c r="L51" s="146">
        <v>0</v>
      </c>
      <c r="M51" s="146">
        <v>0</v>
      </c>
      <c r="N51" s="146">
        <v>0</v>
      </c>
      <c r="O51" s="146">
        <v>0</v>
      </c>
      <c r="P51" s="146">
        <v>0</v>
      </c>
      <c r="Q51" s="146">
        <v>0</v>
      </c>
      <c r="R51" s="146">
        <v>0</v>
      </c>
      <c r="S51" s="146">
        <v>0</v>
      </c>
      <c r="T51" s="146">
        <v>0</v>
      </c>
      <c r="U51" s="146">
        <v>0</v>
      </c>
      <c r="V51" s="146">
        <v>0</v>
      </c>
      <c r="W51" s="146">
        <v>0</v>
      </c>
      <c r="X51" s="146">
        <v>0</v>
      </c>
      <c r="Y51" s="146">
        <v>0</v>
      </c>
      <c r="Z51" s="146">
        <v>0</v>
      </c>
      <c r="AA51" s="146">
        <v>0</v>
      </c>
      <c r="AB51" s="146">
        <v>0</v>
      </c>
      <c r="AC51" s="146">
        <v>0</v>
      </c>
      <c r="AD51" s="146">
        <v>0</v>
      </c>
      <c r="AE51" s="146">
        <v>0</v>
      </c>
      <c r="AF51" s="146">
        <v>0</v>
      </c>
      <c r="AG51" s="146">
        <v>0</v>
      </c>
      <c r="AH51" s="146">
        <v>0</v>
      </c>
      <c r="AI51" s="146">
        <v>0</v>
      </c>
      <c r="AJ51" s="146">
        <v>0</v>
      </c>
      <c r="AK51" s="146">
        <v>0</v>
      </c>
      <c r="AL51" s="146">
        <v>0</v>
      </c>
      <c r="AM51" s="146">
        <v>0</v>
      </c>
      <c r="AN51" s="146">
        <v>0</v>
      </c>
      <c r="AO51" s="146">
        <v>0</v>
      </c>
      <c r="AP51" s="146">
        <v>0</v>
      </c>
      <c r="AQ51" s="146">
        <v>0</v>
      </c>
      <c r="AR51" s="146">
        <v>0</v>
      </c>
      <c r="AS51" s="146">
        <v>0</v>
      </c>
      <c r="AT51" s="146">
        <v>2.8021938889210337E-3</v>
      </c>
      <c r="AU51" s="146">
        <v>0</v>
      </c>
      <c r="AV51" s="146">
        <v>0</v>
      </c>
      <c r="AW51" s="146">
        <v>0</v>
      </c>
      <c r="AX51" s="146">
        <v>0</v>
      </c>
      <c r="AY51" s="146">
        <v>0</v>
      </c>
      <c r="AZ51" s="146">
        <v>0</v>
      </c>
      <c r="BA51" s="146">
        <v>0</v>
      </c>
      <c r="BB51" s="146">
        <v>0</v>
      </c>
    </row>
    <row r="52" spans="1:54" x14ac:dyDescent="0.15">
      <c r="A52" s="185" t="s">
        <v>242</v>
      </c>
      <c r="B52" s="146">
        <v>0</v>
      </c>
      <c r="C52" s="146">
        <v>0</v>
      </c>
      <c r="D52" s="146">
        <v>0</v>
      </c>
      <c r="E52" s="146">
        <v>0</v>
      </c>
      <c r="F52" s="146">
        <v>0</v>
      </c>
      <c r="G52" s="146">
        <v>0</v>
      </c>
      <c r="H52" s="146">
        <v>0</v>
      </c>
      <c r="I52" s="146">
        <v>0</v>
      </c>
      <c r="J52" s="146">
        <v>0</v>
      </c>
      <c r="K52" s="146">
        <v>0</v>
      </c>
      <c r="L52" s="146">
        <v>0</v>
      </c>
      <c r="M52" s="146">
        <v>0</v>
      </c>
      <c r="N52" s="146">
        <v>0</v>
      </c>
      <c r="O52" s="146">
        <v>0</v>
      </c>
      <c r="P52" s="146">
        <v>0</v>
      </c>
      <c r="Q52" s="146">
        <v>0</v>
      </c>
      <c r="R52" s="146">
        <v>0</v>
      </c>
      <c r="S52" s="146">
        <v>0</v>
      </c>
      <c r="T52" s="146">
        <v>0</v>
      </c>
      <c r="U52" s="146">
        <v>0</v>
      </c>
      <c r="V52" s="146">
        <v>0</v>
      </c>
      <c r="W52" s="146">
        <v>0</v>
      </c>
      <c r="X52" s="146">
        <v>0</v>
      </c>
      <c r="Y52" s="146">
        <v>0</v>
      </c>
      <c r="Z52" s="146">
        <v>0</v>
      </c>
      <c r="AA52" s="146">
        <v>0</v>
      </c>
      <c r="AB52" s="146">
        <v>0</v>
      </c>
      <c r="AC52" s="146">
        <v>0</v>
      </c>
      <c r="AD52" s="146">
        <v>0</v>
      </c>
      <c r="AE52" s="146">
        <v>0</v>
      </c>
      <c r="AF52" s="146">
        <v>0</v>
      </c>
      <c r="AG52" s="146">
        <v>0</v>
      </c>
      <c r="AH52" s="146">
        <v>0</v>
      </c>
      <c r="AI52" s="146">
        <v>0</v>
      </c>
      <c r="AJ52" s="146">
        <v>0</v>
      </c>
      <c r="AK52" s="146">
        <v>0</v>
      </c>
      <c r="AL52" s="146">
        <v>0</v>
      </c>
      <c r="AM52" s="146">
        <v>0</v>
      </c>
      <c r="AN52" s="146">
        <v>0</v>
      </c>
      <c r="AO52" s="146">
        <v>0</v>
      </c>
      <c r="AP52" s="146">
        <v>0</v>
      </c>
      <c r="AQ52" s="146">
        <v>0</v>
      </c>
      <c r="AR52" s="146">
        <v>0</v>
      </c>
      <c r="AS52" s="146">
        <v>0</v>
      </c>
      <c r="AT52" s="146">
        <v>1.5011753304934098E-2</v>
      </c>
      <c r="AU52" s="146">
        <v>0</v>
      </c>
      <c r="AV52" s="146">
        <v>0</v>
      </c>
      <c r="AW52" s="146">
        <v>0.23058789752927739</v>
      </c>
      <c r="AX52" s="146">
        <v>0</v>
      </c>
      <c r="AY52" s="146">
        <v>0</v>
      </c>
      <c r="AZ52" s="146">
        <v>0</v>
      </c>
      <c r="BA52" s="146">
        <v>0</v>
      </c>
      <c r="BB52" s="146">
        <v>0</v>
      </c>
    </row>
    <row r="53" spans="1:54" x14ac:dyDescent="0.15">
      <c r="A53" s="185" t="s">
        <v>243</v>
      </c>
      <c r="B53" s="146">
        <v>0</v>
      </c>
      <c r="C53" s="146">
        <v>0</v>
      </c>
      <c r="D53" s="146">
        <v>6.9903928622892603E-2</v>
      </c>
      <c r="E53" s="146">
        <v>0</v>
      </c>
      <c r="F53" s="146">
        <v>1</v>
      </c>
      <c r="G53" s="146">
        <v>0.35</v>
      </c>
      <c r="H53" s="146">
        <v>0.52500000000000002</v>
      </c>
      <c r="I53" s="146">
        <v>0</v>
      </c>
      <c r="J53" s="146">
        <v>0.733071752408333</v>
      </c>
      <c r="K53" s="146">
        <v>0.5</v>
      </c>
      <c r="L53" s="146">
        <v>0.5</v>
      </c>
      <c r="M53" s="146">
        <v>0.76198600000000005</v>
      </c>
      <c r="N53" s="146">
        <v>0.63216300000000003</v>
      </c>
      <c r="O53" s="146">
        <v>0</v>
      </c>
      <c r="P53" s="146">
        <v>0</v>
      </c>
      <c r="Q53" s="146">
        <v>0</v>
      </c>
      <c r="R53" s="146">
        <v>0</v>
      </c>
      <c r="S53" s="146">
        <v>0</v>
      </c>
      <c r="T53" s="146">
        <v>0</v>
      </c>
      <c r="U53" s="146">
        <v>0</v>
      </c>
      <c r="V53" s="146">
        <v>0</v>
      </c>
      <c r="W53" s="146">
        <v>0</v>
      </c>
      <c r="X53" s="146">
        <v>0</v>
      </c>
      <c r="Y53" s="146">
        <v>0</v>
      </c>
      <c r="Z53" s="146">
        <v>0</v>
      </c>
      <c r="AA53" s="146">
        <v>0</v>
      </c>
      <c r="AB53" s="146">
        <v>0</v>
      </c>
      <c r="AC53" s="146">
        <v>0</v>
      </c>
      <c r="AD53" s="146">
        <v>0</v>
      </c>
      <c r="AE53" s="146">
        <v>0</v>
      </c>
      <c r="AF53" s="146">
        <v>0</v>
      </c>
      <c r="AG53" s="146">
        <v>0</v>
      </c>
      <c r="AH53" s="146">
        <v>0</v>
      </c>
      <c r="AI53" s="146">
        <v>0</v>
      </c>
      <c r="AJ53" s="146">
        <v>0</v>
      </c>
      <c r="AK53" s="146">
        <v>0</v>
      </c>
      <c r="AL53" s="146">
        <v>0</v>
      </c>
      <c r="AM53" s="146">
        <v>0</v>
      </c>
      <c r="AN53" s="146">
        <v>0</v>
      </c>
      <c r="AO53" s="146">
        <v>0</v>
      </c>
      <c r="AP53" s="146">
        <v>0</v>
      </c>
      <c r="AQ53" s="146">
        <v>0</v>
      </c>
      <c r="AR53" s="146">
        <v>0</v>
      </c>
      <c r="AS53" s="146">
        <v>0</v>
      </c>
      <c r="AT53" s="146">
        <v>0</v>
      </c>
      <c r="AU53" s="146">
        <v>0</v>
      </c>
      <c r="AV53" s="146">
        <v>0</v>
      </c>
      <c r="AW53" s="146">
        <v>0</v>
      </c>
      <c r="AX53" s="146">
        <v>0</v>
      </c>
      <c r="AY53" s="146">
        <v>0</v>
      </c>
      <c r="AZ53" s="146">
        <v>0</v>
      </c>
      <c r="BA53" s="146">
        <v>0</v>
      </c>
      <c r="BB53" s="146">
        <v>0</v>
      </c>
    </row>
    <row r="54" spans="1:54" x14ac:dyDescent="0.15">
      <c r="A54" s="185" t="s">
        <v>244</v>
      </c>
      <c r="B54" s="146">
        <v>0</v>
      </c>
      <c r="C54" s="146">
        <v>0</v>
      </c>
      <c r="D54" s="146">
        <v>0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146">
        <v>0</v>
      </c>
      <c r="W54" s="146">
        <v>0</v>
      </c>
      <c r="X54" s="146">
        <v>0</v>
      </c>
      <c r="Y54" s="146">
        <v>0</v>
      </c>
      <c r="Z54" s="146">
        <v>0</v>
      </c>
      <c r="AA54" s="146">
        <v>0</v>
      </c>
      <c r="AB54" s="146">
        <v>0</v>
      </c>
      <c r="AC54" s="146">
        <v>0</v>
      </c>
      <c r="AD54" s="146">
        <v>0</v>
      </c>
      <c r="AE54" s="146">
        <v>0</v>
      </c>
      <c r="AF54" s="146">
        <v>0</v>
      </c>
      <c r="AG54" s="146">
        <v>0</v>
      </c>
      <c r="AH54" s="146">
        <v>0</v>
      </c>
      <c r="AI54" s="146">
        <v>0</v>
      </c>
      <c r="AJ54" s="146">
        <v>0</v>
      </c>
      <c r="AK54" s="146">
        <v>0</v>
      </c>
      <c r="AL54" s="146">
        <v>0</v>
      </c>
      <c r="AM54" s="146">
        <v>0</v>
      </c>
      <c r="AN54" s="146">
        <v>0</v>
      </c>
      <c r="AO54" s="146">
        <v>0</v>
      </c>
      <c r="AP54" s="146">
        <v>0</v>
      </c>
      <c r="AQ54" s="146">
        <v>0</v>
      </c>
      <c r="AR54" s="146">
        <v>0</v>
      </c>
      <c r="AS54" s="146">
        <v>0</v>
      </c>
      <c r="AT54" s="146">
        <v>0</v>
      </c>
      <c r="AU54" s="146">
        <v>0</v>
      </c>
      <c r="AV54" s="146">
        <v>0</v>
      </c>
      <c r="AW54" s="146">
        <v>0</v>
      </c>
      <c r="AX54" s="146">
        <v>0</v>
      </c>
      <c r="AY54" s="146">
        <v>0</v>
      </c>
      <c r="AZ54" s="146">
        <v>0</v>
      </c>
      <c r="BA54" s="146">
        <v>0</v>
      </c>
      <c r="BB54" s="146">
        <v>0</v>
      </c>
    </row>
    <row r="55" spans="1:54" x14ac:dyDescent="0.15">
      <c r="A55" s="185" t="s">
        <v>254</v>
      </c>
      <c r="B55" s="146">
        <v>0</v>
      </c>
      <c r="C55" s="146">
        <v>0</v>
      </c>
      <c r="D55" s="146">
        <v>0</v>
      </c>
      <c r="E55" s="146">
        <v>0</v>
      </c>
      <c r="F55" s="146">
        <v>0</v>
      </c>
      <c r="G55" s="146">
        <v>0</v>
      </c>
      <c r="H55" s="146">
        <v>0</v>
      </c>
      <c r="I55" s="146">
        <v>0</v>
      </c>
      <c r="J55" s="146">
        <v>0</v>
      </c>
      <c r="K55" s="146">
        <v>0</v>
      </c>
      <c r="L55" s="146">
        <v>0</v>
      </c>
      <c r="M55" s="146">
        <v>0</v>
      </c>
      <c r="N55" s="146">
        <v>0</v>
      </c>
      <c r="O55" s="146">
        <v>0</v>
      </c>
      <c r="P55" s="146">
        <v>0</v>
      </c>
      <c r="Q55" s="146">
        <v>0</v>
      </c>
      <c r="R55" s="146">
        <v>0</v>
      </c>
      <c r="S55" s="146">
        <v>0</v>
      </c>
      <c r="T55" s="146">
        <v>0</v>
      </c>
      <c r="U55" s="146">
        <v>0</v>
      </c>
      <c r="V55" s="146">
        <v>0</v>
      </c>
      <c r="W55" s="146">
        <v>0</v>
      </c>
      <c r="X55" s="146">
        <v>0</v>
      </c>
      <c r="Y55" s="146">
        <v>0</v>
      </c>
      <c r="Z55" s="146">
        <v>0</v>
      </c>
      <c r="AA55" s="146">
        <v>0</v>
      </c>
      <c r="AB55" s="146">
        <v>0</v>
      </c>
      <c r="AC55" s="146">
        <v>0</v>
      </c>
      <c r="AD55" s="146">
        <v>0</v>
      </c>
      <c r="AE55" s="146">
        <v>0</v>
      </c>
      <c r="AF55" s="146">
        <v>0</v>
      </c>
      <c r="AG55" s="146">
        <v>0</v>
      </c>
      <c r="AH55" s="146">
        <v>0</v>
      </c>
      <c r="AI55" s="146">
        <v>0</v>
      </c>
      <c r="AJ55" s="146">
        <v>0</v>
      </c>
      <c r="AK55" s="146">
        <v>0</v>
      </c>
      <c r="AL55" s="146">
        <v>0</v>
      </c>
      <c r="AM55" s="146">
        <v>0</v>
      </c>
      <c r="AN55" s="146">
        <v>0</v>
      </c>
      <c r="AO55" s="146">
        <v>0</v>
      </c>
      <c r="AP55" s="146">
        <v>0</v>
      </c>
      <c r="AQ55" s="146">
        <v>0</v>
      </c>
      <c r="AR55" s="146">
        <v>0</v>
      </c>
      <c r="AS55" s="146">
        <v>0</v>
      </c>
      <c r="AT55" s="146">
        <v>0</v>
      </c>
      <c r="AU55" s="146">
        <v>0.7</v>
      </c>
      <c r="AV55" s="146">
        <v>0</v>
      </c>
      <c r="AW55" s="146">
        <v>6.2277159581508736E-2</v>
      </c>
      <c r="AX55" s="146">
        <v>0</v>
      </c>
      <c r="AY55" s="146">
        <v>0</v>
      </c>
      <c r="AZ55" s="146">
        <v>0</v>
      </c>
      <c r="BA55" s="146">
        <v>0</v>
      </c>
      <c r="BB55" s="14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42" activePane="bottomRight" state="frozen"/>
      <selection pane="topRight" activeCell="C1" sqref="C1"/>
      <selection pane="bottomLeft" activeCell="A2" sqref="A2"/>
      <selection pane="bottomRight" activeCell="K57" sqref="K57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3.6640625" style="112" customWidth="1"/>
    <col min="5" max="6" width="13.6640625" style="111" customWidth="1"/>
    <col min="7" max="7" width="13.6640625" style="112" customWidth="1"/>
    <col min="8" max="8" width="8.83203125" style="112"/>
  </cols>
  <sheetData>
    <row r="1" spans="1:8" ht="70" x14ac:dyDescent="0.15">
      <c r="A1" s="5" t="s">
        <v>20</v>
      </c>
      <c r="B1" s="1" t="s">
        <v>0</v>
      </c>
      <c r="C1" s="188" t="s">
        <v>242</v>
      </c>
      <c r="D1" s="188" t="s">
        <v>243</v>
      </c>
      <c r="E1" s="188" t="s">
        <v>244</v>
      </c>
      <c r="F1" s="188" t="s">
        <v>255</v>
      </c>
      <c r="G1" s="188" t="s">
        <v>256</v>
      </c>
      <c r="H1"/>
    </row>
    <row r="2" spans="1:8" x14ac:dyDescent="0.15">
      <c r="A2">
        <v>1</v>
      </c>
      <c r="B2" s="187" t="s">
        <v>192</v>
      </c>
      <c r="C2" s="112">
        <v>0</v>
      </c>
      <c r="D2" s="112">
        <v>1</v>
      </c>
      <c r="E2" s="111">
        <v>0</v>
      </c>
      <c r="F2" s="111">
        <v>0</v>
      </c>
      <c r="G2" s="112">
        <v>1</v>
      </c>
      <c r="H2"/>
    </row>
    <row r="3" spans="1:8" x14ac:dyDescent="0.15">
      <c r="A3">
        <v>2</v>
      </c>
      <c r="B3" s="187" t="s">
        <v>193</v>
      </c>
      <c r="C3" s="112">
        <v>0</v>
      </c>
      <c r="D3" s="112">
        <v>1</v>
      </c>
      <c r="E3" s="111">
        <v>0</v>
      </c>
      <c r="F3" s="111">
        <v>0</v>
      </c>
      <c r="G3" s="112">
        <v>1</v>
      </c>
      <c r="H3"/>
    </row>
    <row r="4" spans="1:8" x14ac:dyDescent="0.15">
      <c r="A4">
        <v>3</v>
      </c>
      <c r="B4" s="187" t="s">
        <v>194</v>
      </c>
      <c r="C4" s="112">
        <v>0</v>
      </c>
      <c r="D4" s="112">
        <v>1</v>
      </c>
      <c r="E4" s="111">
        <v>0</v>
      </c>
      <c r="F4" s="111">
        <v>0</v>
      </c>
      <c r="G4" s="112">
        <v>1</v>
      </c>
      <c r="H4"/>
    </row>
    <row r="5" spans="1:8" x14ac:dyDescent="0.15">
      <c r="A5">
        <v>4</v>
      </c>
      <c r="B5" s="187" t="s">
        <v>195</v>
      </c>
      <c r="C5" s="112">
        <v>0</v>
      </c>
      <c r="D5" s="112">
        <v>1</v>
      </c>
      <c r="E5" s="111">
        <v>0</v>
      </c>
      <c r="F5" s="111">
        <v>0</v>
      </c>
      <c r="G5" s="112">
        <v>1</v>
      </c>
      <c r="H5"/>
    </row>
    <row r="6" spans="1:8" x14ac:dyDescent="0.15">
      <c r="A6">
        <v>5</v>
      </c>
      <c r="B6" s="187" t="s">
        <v>196</v>
      </c>
      <c r="C6" s="112">
        <v>0</v>
      </c>
      <c r="D6" s="112">
        <v>1</v>
      </c>
      <c r="E6" s="111">
        <v>0</v>
      </c>
      <c r="F6" s="111">
        <v>0</v>
      </c>
      <c r="G6" s="112">
        <v>1</v>
      </c>
      <c r="H6"/>
    </row>
    <row r="7" spans="1:8" x14ac:dyDescent="0.15">
      <c r="A7">
        <v>6</v>
      </c>
      <c r="B7" s="187" t="s">
        <v>197</v>
      </c>
      <c r="C7" s="112">
        <v>0</v>
      </c>
      <c r="D7" s="112">
        <v>1</v>
      </c>
      <c r="E7" s="111">
        <v>0</v>
      </c>
      <c r="F7" s="111">
        <v>0</v>
      </c>
      <c r="G7" s="112">
        <v>1</v>
      </c>
      <c r="H7"/>
    </row>
    <row r="8" spans="1:8" x14ac:dyDescent="0.15">
      <c r="A8">
        <v>7</v>
      </c>
      <c r="B8" s="187" t="s">
        <v>198</v>
      </c>
      <c r="C8" s="112">
        <v>0</v>
      </c>
      <c r="D8" s="112">
        <v>1</v>
      </c>
      <c r="E8" s="111">
        <v>0</v>
      </c>
      <c r="F8" s="111">
        <v>0</v>
      </c>
      <c r="G8" s="112">
        <v>1</v>
      </c>
      <c r="H8"/>
    </row>
    <row r="9" spans="1:8" x14ac:dyDescent="0.15">
      <c r="A9">
        <v>8</v>
      </c>
      <c r="B9" s="187" t="s">
        <v>199</v>
      </c>
      <c r="C9" s="112">
        <v>0</v>
      </c>
      <c r="D9" s="112">
        <v>1</v>
      </c>
      <c r="E9" s="111">
        <v>0</v>
      </c>
      <c r="F9" s="111">
        <v>0</v>
      </c>
      <c r="G9" s="112">
        <v>1</v>
      </c>
      <c r="H9"/>
    </row>
    <row r="10" spans="1:8" x14ac:dyDescent="0.15">
      <c r="A10">
        <v>9</v>
      </c>
      <c r="B10" s="187" t="s">
        <v>200</v>
      </c>
      <c r="C10" s="112">
        <v>0</v>
      </c>
      <c r="D10" s="112">
        <v>1</v>
      </c>
      <c r="E10" s="111">
        <v>0</v>
      </c>
      <c r="F10" s="111">
        <v>0</v>
      </c>
      <c r="G10" s="112">
        <v>1</v>
      </c>
      <c r="H10"/>
    </row>
    <row r="11" spans="1:8" x14ac:dyDescent="0.15">
      <c r="A11">
        <v>10</v>
      </c>
      <c r="B11" s="187" t="s">
        <v>201</v>
      </c>
      <c r="C11" s="112">
        <v>0</v>
      </c>
      <c r="D11" s="112">
        <v>1</v>
      </c>
      <c r="E11" s="111">
        <v>0</v>
      </c>
      <c r="F11" s="111">
        <v>0</v>
      </c>
      <c r="G11" s="112">
        <v>1</v>
      </c>
      <c r="H11"/>
    </row>
    <row r="12" spans="1:8" x14ac:dyDescent="0.15">
      <c r="A12">
        <v>11</v>
      </c>
      <c r="B12" s="187" t="s">
        <v>202</v>
      </c>
      <c r="C12" s="112">
        <v>0</v>
      </c>
      <c r="D12" s="112">
        <v>1</v>
      </c>
      <c r="E12" s="111">
        <v>0</v>
      </c>
      <c r="F12" s="111">
        <v>0</v>
      </c>
      <c r="G12" s="112">
        <v>1</v>
      </c>
      <c r="H12"/>
    </row>
    <row r="13" spans="1:8" x14ac:dyDescent="0.15">
      <c r="A13">
        <v>12</v>
      </c>
      <c r="B13" s="187" t="s">
        <v>203</v>
      </c>
      <c r="C13" s="112">
        <v>0</v>
      </c>
      <c r="D13" s="112">
        <v>1</v>
      </c>
      <c r="E13" s="111">
        <v>0</v>
      </c>
      <c r="F13" s="111">
        <v>0</v>
      </c>
      <c r="G13" s="112">
        <v>1</v>
      </c>
      <c r="H13"/>
    </row>
    <row r="14" spans="1:8" x14ac:dyDescent="0.15">
      <c r="A14">
        <v>13</v>
      </c>
      <c r="B14" s="187" t="s">
        <v>204</v>
      </c>
      <c r="C14" s="112">
        <v>0</v>
      </c>
      <c r="D14" s="112">
        <v>1</v>
      </c>
      <c r="E14" s="111">
        <v>0</v>
      </c>
      <c r="F14" s="111">
        <v>0</v>
      </c>
      <c r="G14" s="112">
        <v>1</v>
      </c>
      <c r="H14"/>
    </row>
    <row r="15" spans="1:8" x14ac:dyDescent="0.15">
      <c r="A15">
        <v>14</v>
      </c>
      <c r="B15" s="187" t="s">
        <v>205</v>
      </c>
      <c r="C15" s="112">
        <v>0</v>
      </c>
      <c r="D15" s="112">
        <v>1</v>
      </c>
      <c r="E15" s="111">
        <v>0</v>
      </c>
      <c r="F15" s="111">
        <v>0</v>
      </c>
      <c r="G15" s="112">
        <v>1</v>
      </c>
      <c r="H15"/>
    </row>
    <row r="16" spans="1:8" x14ac:dyDescent="0.15">
      <c r="A16">
        <v>15</v>
      </c>
      <c r="B16" s="187" t="s">
        <v>206</v>
      </c>
      <c r="C16" s="112">
        <v>0</v>
      </c>
      <c r="D16" s="112">
        <v>1</v>
      </c>
      <c r="E16" s="111">
        <v>0</v>
      </c>
      <c r="F16" s="111">
        <v>0</v>
      </c>
      <c r="G16" s="112">
        <v>1</v>
      </c>
      <c r="H16"/>
    </row>
    <row r="17" spans="1:8" ht="15" customHeight="1" x14ac:dyDescent="0.15">
      <c r="A17">
        <v>16</v>
      </c>
      <c r="B17" s="187" t="s">
        <v>207</v>
      </c>
      <c r="C17" s="112">
        <v>0</v>
      </c>
      <c r="D17" s="112">
        <v>1</v>
      </c>
      <c r="E17" s="111">
        <v>0</v>
      </c>
      <c r="F17" s="111">
        <v>0</v>
      </c>
      <c r="G17" s="112">
        <v>1</v>
      </c>
      <c r="H17"/>
    </row>
    <row r="18" spans="1:8" ht="15" customHeight="1" x14ac:dyDescent="0.15">
      <c r="A18">
        <v>17</v>
      </c>
      <c r="B18" s="187" t="s">
        <v>208</v>
      </c>
      <c r="C18" s="112">
        <v>0</v>
      </c>
      <c r="D18" s="112">
        <v>1</v>
      </c>
      <c r="E18" s="111">
        <v>0</v>
      </c>
      <c r="F18" s="111">
        <v>0</v>
      </c>
      <c r="G18" s="112">
        <v>1</v>
      </c>
      <c r="H18"/>
    </row>
    <row r="19" spans="1:8" ht="15" customHeight="1" x14ac:dyDescent="0.15">
      <c r="A19">
        <v>18</v>
      </c>
      <c r="B19" s="187" t="s">
        <v>209</v>
      </c>
      <c r="C19" s="112">
        <v>0</v>
      </c>
      <c r="D19" s="112">
        <v>1</v>
      </c>
      <c r="E19" s="111">
        <v>0</v>
      </c>
      <c r="F19" s="111">
        <v>0</v>
      </c>
      <c r="G19" s="112">
        <v>1</v>
      </c>
      <c r="H19"/>
    </row>
    <row r="20" spans="1:8" ht="15" customHeight="1" x14ac:dyDescent="0.15">
      <c r="A20">
        <v>19</v>
      </c>
      <c r="B20" s="187" t="s">
        <v>210</v>
      </c>
      <c r="C20" s="112">
        <v>0</v>
      </c>
      <c r="D20" s="112">
        <v>1</v>
      </c>
      <c r="E20" s="111">
        <v>0</v>
      </c>
      <c r="F20" s="111">
        <v>0</v>
      </c>
      <c r="G20" s="112">
        <v>1</v>
      </c>
      <c r="H20"/>
    </row>
    <row r="21" spans="1:8" ht="15" customHeight="1" x14ac:dyDescent="0.15">
      <c r="A21">
        <v>20</v>
      </c>
      <c r="B21" s="187" t="s">
        <v>211</v>
      </c>
      <c r="C21" s="112">
        <v>0</v>
      </c>
      <c r="D21" s="112">
        <v>1</v>
      </c>
      <c r="E21" s="111">
        <v>0</v>
      </c>
      <c r="F21" s="111">
        <v>0</v>
      </c>
      <c r="G21" s="112">
        <v>1</v>
      </c>
      <c r="H21"/>
    </row>
    <row r="22" spans="1:8" ht="15" customHeight="1" x14ac:dyDescent="0.15">
      <c r="A22">
        <v>21</v>
      </c>
      <c r="B22" s="187" t="s">
        <v>212</v>
      </c>
      <c r="C22" s="112">
        <v>0</v>
      </c>
      <c r="D22" s="112">
        <v>1</v>
      </c>
      <c r="E22" s="111">
        <v>0</v>
      </c>
      <c r="F22" s="111">
        <v>0</v>
      </c>
      <c r="G22" s="112">
        <v>1</v>
      </c>
      <c r="H22"/>
    </row>
    <row r="23" spans="1:8" ht="15" customHeight="1" x14ac:dyDescent="0.15">
      <c r="A23">
        <v>22</v>
      </c>
      <c r="B23" s="187" t="s">
        <v>213</v>
      </c>
      <c r="C23" s="112">
        <v>0</v>
      </c>
      <c r="D23" s="112">
        <v>1</v>
      </c>
      <c r="E23" s="111">
        <v>0</v>
      </c>
      <c r="F23" s="111">
        <v>0</v>
      </c>
      <c r="G23" s="112">
        <v>1</v>
      </c>
      <c r="H23"/>
    </row>
    <row r="24" spans="1:8" ht="15" customHeight="1" x14ac:dyDescent="0.15">
      <c r="A24">
        <v>23</v>
      </c>
      <c r="B24" s="187" t="s">
        <v>214</v>
      </c>
      <c r="C24" s="112">
        <v>0</v>
      </c>
      <c r="D24" s="112">
        <v>1</v>
      </c>
      <c r="E24" s="111">
        <v>0</v>
      </c>
      <c r="F24" s="111">
        <v>0</v>
      </c>
      <c r="G24" s="112">
        <v>1</v>
      </c>
      <c r="H24"/>
    </row>
    <row r="25" spans="1:8" ht="15" customHeight="1" x14ac:dyDescent="0.15">
      <c r="A25">
        <v>24</v>
      </c>
      <c r="B25" s="187" t="s">
        <v>215</v>
      </c>
      <c r="C25" s="112">
        <v>0</v>
      </c>
      <c r="D25" s="112">
        <v>1</v>
      </c>
      <c r="E25" s="111">
        <v>0</v>
      </c>
      <c r="F25" s="111">
        <v>0</v>
      </c>
      <c r="G25" s="112">
        <v>1</v>
      </c>
      <c r="H25"/>
    </row>
    <row r="26" spans="1:8" ht="15" customHeight="1" x14ac:dyDescent="0.15">
      <c r="A26">
        <v>25</v>
      </c>
      <c r="B26" s="187" t="s">
        <v>216</v>
      </c>
      <c r="C26" s="112">
        <v>0</v>
      </c>
      <c r="D26" s="112">
        <v>1</v>
      </c>
      <c r="E26" s="111">
        <v>0</v>
      </c>
      <c r="F26" s="111">
        <v>0</v>
      </c>
      <c r="G26" s="112">
        <v>1</v>
      </c>
      <c r="H26"/>
    </row>
    <row r="27" spans="1:8" ht="15" customHeight="1" x14ac:dyDescent="0.15">
      <c r="A27">
        <v>26</v>
      </c>
      <c r="B27" s="187" t="s">
        <v>217</v>
      </c>
      <c r="C27" s="112">
        <v>0</v>
      </c>
      <c r="D27" s="112">
        <v>1</v>
      </c>
      <c r="E27" s="111">
        <v>0</v>
      </c>
      <c r="F27" s="111">
        <v>0</v>
      </c>
      <c r="G27" s="112">
        <v>1</v>
      </c>
      <c r="H27"/>
    </row>
    <row r="28" spans="1:8" ht="15" customHeight="1" x14ac:dyDescent="0.15">
      <c r="A28">
        <v>27</v>
      </c>
      <c r="B28" s="187" t="s">
        <v>218</v>
      </c>
      <c r="C28" s="112">
        <v>0</v>
      </c>
      <c r="D28" s="112">
        <v>1</v>
      </c>
      <c r="E28" s="111">
        <v>0</v>
      </c>
      <c r="F28" s="111">
        <v>0</v>
      </c>
      <c r="G28" s="112">
        <v>1</v>
      </c>
      <c r="H28"/>
    </row>
    <row r="29" spans="1:8" ht="15" customHeight="1" x14ac:dyDescent="0.15">
      <c r="A29">
        <v>28</v>
      </c>
      <c r="B29" s="187" t="s">
        <v>219</v>
      </c>
      <c r="C29" s="112">
        <v>0</v>
      </c>
      <c r="D29" s="112">
        <v>1</v>
      </c>
      <c r="E29" s="111">
        <v>0</v>
      </c>
      <c r="F29" s="111">
        <v>0</v>
      </c>
      <c r="G29" s="112">
        <v>1</v>
      </c>
      <c r="H29"/>
    </row>
    <row r="30" spans="1:8" ht="15" customHeight="1" x14ac:dyDescent="0.15">
      <c r="A30">
        <v>29</v>
      </c>
      <c r="B30" s="187" t="s">
        <v>220</v>
      </c>
      <c r="C30" s="112">
        <v>0</v>
      </c>
      <c r="D30" s="112">
        <v>1</v>
      </c>
      <c r="E30" s="111">
        <v>0</v>
      </c>
      <c r="F30" s="111">
        <v>0</v>
      </c>
      <c r="G30" s="112">
        <v>1</v>
      </c>
      <c r="H30"/>
    </row>
    <row r="31" spans="1:8" ht="15" customHeight="1" x14ac:dyDescent="0.15">
      <c r="A31">
        <v>30</v>
      </c>
      <c r="B31" s="187" t="s">
        <v>221</v>
      </c>
      <c r="C31" s="112">
        <v>0</v>
      </c>
      <c r="D31" s="112">
        <v>1</v>
      </c>
      <c r="E31" s="111">
        <v>0</v>
      </c>
      <c r="F31" s="111">
        <v>0</v>
      </c>
      <c r="G31" s="112">
        <v>1</v>
      </c>
      <c r="H31"/>
    </row>
    <row r="32" spans="1:8" ht="15" customHeight="1" x14ac:dyDescent="0.15">
      <c r="A32">
        <v>31</v>
      </c>
      <c r="B32" s="187" t="s">
        <v>222</v>
      </c>
      <c r="C32" s="112">
        <v>0</v>
      </c>
      <c r="D32" s="112">
        <v>1</v>
      </c>
      <c r="E32" s="111">
        <v>0</v>
      </c>
      <c r="F32" s="111">
        <v>0</v>
      </c>
      <c r="G32" s="112">
        <v>1</v>
      </c>
    </row>
    <row r="33" spans="1:8" ht="15" customHeight="1" x14ac:dyDescent="0.15">
      <c r="A33">
        <v>32</v>
      </c>
      <c r="B33" s="187" t="s">
        <v>223</v>
      </c>
      <c r="C33" s="112">
        <v>0</v>
      </c>
      <c r="D33" s="112">
        <v>1</v>
      </c>
      <c r="E33" s="111">
        <v>0</v>
      </c>
      <c r="F33" s="111">
        <v>0</v>
      </c>
      <c r="G33" s="112">
        <v>1</v>
      </c>
    </row>
    <row r="34" spans="1:8" ht="15" customHeight="1" x14ac:dyDescent="0.15">
      <c r="A34">
        <v>33</v>
      </c>
      <c r="B34" s="187" t="s">
        <v>224</v>
      </c>
      <c r="C34" s="112">
        <v>0</v>
      </c>
      <c r="D34" s="112">
        <v>1</v>
      </c>
      <c r="E34" s="111">
        <v>0</v>
      </c>
      <c r="F34" s="111">
        <v>0</v>
      </c>
      <c r="G34" s="112">
        <v>1</v>
      </c>
    </row>
    <row r="35" spans="1:8" ht="15" customHeight="1" x14ac:dyDescent="0.15">
      <c r="A35">
        <v>34</v>
      </c>
      <c r="B35" s="187" t="s">
        <v>225</v>
      </c>
      <c r="C35" s="112">
        <v>0</v>
      </c>
      <c r="D35" s="112">
        <v>1</v>
      </c>
      <c r="E35" s="111">
        <v>0</v>
      </c>
      <c r="F35" s="111">
        <v>0</v>
      </c>
      <c r="G35" s="112">
        <v>1</v>
      </c>
    </row>
    <row r="36" spans="1:8" ht="15" customHeight="1" x14ac:dyDescent="0.15">
      <c r="A36">
        <v>35</v>
      </c>
      <c r="B36" s="187" t="s">
        <v>226</v>
      </c>
      <c r="C36" s="112">
        <v>0</v>
      </c>
      <c r="D36" s="112">
        <v>1</v>
      </c>
      <c r="E36" s="112">
        <v>0</v>
      </c>
      <c r="F36" s="112">
        <v>0</v>
      </c>
      <c r="G36" s="112">
        <v>1</v>
      </c>
      <c r="H36"/>
    </row>
    <row r="37" spans="1:8" ht="15" customHeight="1" x14ac:dyDescent="0.15">
      <c r="A37">
        <v>36</v>
      </c>
      <c r="B37" s="187" t="s">
        <v>227</v>
      </c>
      <c r="C37" s="112">
        <v>0</v>
      </c>
      <c r="D37" s="112">
        <v>1</v>
      </c>
      <c r="E37" s="112">
        <v>0</v>
      </c>
      <c r="F37" s="112">
        <v>0</v>
      </c>
      <c r="G37" s="112">
        <v>1</v>
      </c>
      <c r="H37"/>
    </row>
    <row r="38" spans="1:8" ht="15" customHeight="1" x14ac:dyDescent="0.15">
      <c r="A38">
        <v>37</v>
      </c>
      <c r="B38" s="187" t="s">
        <v>228</v>
      </c>
      <c r="C38" s="112">
        <v>0</v>
      </c>
      <c r="D38" s="112">
        <v>1</v>
      </c>
      <c r="E38" s="112">
        <v>0</v>
      </c>
      <c r="F38" s="112">
        <v>0</v>
      </c>
      <c r="G38" s="112">
        <v>1</v>
      </c>
      <c r="H38"/>
    </row>
    <row r="39" spans="1:8" ht="15" customHeight="1" x14ac:dyDescent="0.15">
      <c r="A39">
        <v>38</v>
      </c>
      <c r="B39" s="187" t="s">
        <v>229</v>
      </c>
      <c r="C39" s="112">
        <v>0</v>
      </c>
      <c r="D39" s="112">
        <v>1</v>
      </c>
      <c r="E39" s="112">
        <v>0</v>
      </c>
      <c r="F39" s="112">
        <v>0</v>
      </c>
      <c r="G39" s="112">
        <v>1</v>
      </c>
      <c r="H39"/>
    </row>
    <row r="40" spans="1:8" ht="15" customHeight="1" x14ac:dyDescent="0.15">
      <c r="A40">
        <v>39</v>
      </c>
      <c r="B40" s="187" t="s">
        <v>230</v>
      </c>
      <c r="C40" s="112">
        <v>0</v>
      </c>
      <c r="D40" s="112">
        <v>1</v>
      </c>
      <c r="E40" s="112">
        <v>0</v>
      </c>
      <c r="F40" s="112">
        <v>0</v>
      </c>
      <c r="G40" s="112">
        <v>1</v>
      </c>
      <c r="H40"/>
    </row>
    <row r="41" spans="1:8" ht="15" customHeight="1" x14ac:dyDescent="0.15">
      <c r="A41">
        <v>40</v>
      </c>
      <c r="B41" s="187" t="s">
        <v>231</v>
      </c>
      <c r="C41" s="112">
        <v>0</v>
      </c>
      <c r="D41" s="112">
        <v>1</v>
      </c>
      <c r="E41" s="112">
        <v>0</v>
      </c>
      <c r="F41" s="112">
        <v>0</v>
      </c>
      <c r="G41" s="112">
        <v>1</v>
      </c>
      <c r="H41"/>
    </row>
    <row r="42" spans="1:8" ht="15" customHeight="1" x14ac:dyDescent="0.15">
      <c r="A42">
        <v>41</v>
      </c>
      <c r="B42" s="187" t="s">
        <v>232</v>
      </c>
      <c r="C42" s="112">
        <v>0</v>
      </c>
      <c r="D42" s="112">
        <v>1</v>
      </c>
      <c r="E42" s="112">
        <v>0</v>
      </c>
      <c r="F42" s="112">
        <v>0</v>
      </c>
      <c r="G42" s="112">
        <v>1</v>
      </c>
      <c r="H42"/>
    </row>
    <row r="43" spans="1:8" ht="15" customHeight="1" x14ac:dyDescent="0.15">
      <c r="A43">
        <v>42</v>
      </c>
      <c r="B43" s="187" t="s">
        <v>233</v>
      </c>
      <c r="C43" s="112">
        <v>0</v>
      </c>
      <c r="D43" s="112">
        <v>1</v>
      </c>
      <c r="E43" s="112">
        <v>0</v>
      </c>
      <c r="F43" s="112">
        <v>0</v>
      </c>
      <c r="G43" s="112">
        <v>1</v>
      </c>
      <c r="H43"/>
    </row>
    <row r="44" spans="1:8" ht="15" customHeight="1" x14ac:dyDescent="0.15">
      <c r="A44">
        <v>43</v>
      </c>
      <c r="B44" s="187" t="s">
        <v>234</v>
      </c>
      <c r="C44" s="112">
        <v>0</v>
      </c>
      <c r="D44" s="112">
        <v>1</v>
      </c>
      <c r="E44" s="111">
        <v>0</v>
      </c>
      <c r="F44" s="111">
        <v>0</v>
      </c>
      <c r="G44" s="112">
        <v>1</v>
      </c>
      <c r="H44"/>
    </row>
    <row r="45" spans="1:8" ht="15" customHeight="1" x14ac:dyDescent="0.15">
      <c r="A45">
        <v>44</v>
      </c>
      <c r="B45" s="187" t="s">
        <v>235</v>
      </c>
      <c r="C45" s="112">
        <v>0</v>
      </c>
      <c r="D45" s="112">
        <v>1</v>
      </c>
      <c r="E45" s="111">
        <v>0</v>
      </c>
      <c r="F45" s="111">
        <v>0</v>
      </c>
      <c r="G45" s="112">
        <v>1</v>
      </c>
      <c r="H45"/>
    </row>
    <row r="46" spans="1:8" ht="15" customHeight="1" x14ac:dyDescent="0.15">
      <c r="A46">
        <v>45</v>
      </c>
      <c r="B46" s="187" t="s">
        <v>236</v>
      </c>
      <c r="C46" s="112">
        <v>0</v>
      </c>
      <c r="D46" s="112">
        <v>1</v>
      </c>
      <c r="E46" s="112">
        <v>0</v>
      </c>
      <c r="F46" s="112">
        <v>0</v>
      </c>
      <c r="G46" s="112">
        <v>1</v>
      </c>
      <c r="H46"/>
    </row>
    <row r="47" spans="1:8" ht="15" customHeight="1" x14ac:dyDescent="0.15">
      <c r="A47">
        <v>46</v>
      </c>
      <c r="B47" s="187" t="s">
        <v>237</v>
      </c>
      <c r="C47" s="112">
        <v>0</v>
      </c>
      <c r="D47" s="112">
        <v>1</v>
      </c>
      <c r="E47" s="111">
        <v>0</v>
      </c>
      <c r="F47" s="111">
        <v>0</v>
      </c>
      <c r="G47" s="112">
        <v>1</v>
      </c>
      <c r="H47"/>
    </row>
    <row r="48" spans="1:8" ht="15" customHeight="1" x14ac:dyDescent="0.15">
      <c r="A48">
        <v>47</v>
      </c>
      <c r="B48" s="187" t="s">
        <v>238</v>
      </c>
      <c r="C48" s="112">
        <v>0</v>
      </c>
      <c r="D48" s="112">
        <v>1</v>
      </c>
      <c r="E48" s="111">
        <v>0</v>
      </c>
      <c r="F48" s="111">
        <v>0</v>
      </c>
      <c r="G48" s="112">
        <v>1</v>
      </c>
      <c r="H48"/>
    </row>
    <row r="49" spans="1:8" ht="15" customHeight="1" x14ac:dyDescent="0.15">
      <c r="A49">
        <v>48</v>
      </c>
      <c r="B49" s="187" t="s">
        <v>239</v>
      </c>
      <c r="C49" s="112">
        <v>0</v>
      </c>
      <c r="D49" s="112">
        <v>1</v>
      </c>
      <c r="E49" s="111">
        <v>0</v>
      </c>
      <c r="F49" s="111">
        <v>0</v>
      </c>
      <c r="G49" s="112">
        <v>1</v>
      </c>
      <c r="H49"/>
    </row>
    <row r="50" spans="1:8" ht="15" customHeight="1" x14ac:dyDescent="0.15">
      <c r="A50">
        <v>49</v>
      </c>
      <c r="B50" s="187" t="s">
        <v>240</v>
      </c>
      <c r="C50" s="112">
        <v>0</v>
      </c>
      <c r="D50" s="112">
        <v>1</v>
      </c>
      <c r="E50" s="111">
        <v>0</v>
      </c>
      <c r="F50" s="111">
        <v>0</v>
      </c>
      <c r="G50" s="112">
        <v>1</v>
      </c>
      <c r="H50"/>
    </row>
    <row r="51" spans="1:8" ht="15" customHeight="1" x14ac:dyDescent="0.15">
      <c r="A51">
        <v>50</v>
      </c>
      <c r="B51" s="187" t="s">
        <v>241</v>
      </c>
      <c r="C51" s="112">
        <v>0</v>
      </c>
      <c r="D51" s="112">
        <v>1</v>
      </c>
      <c r="E51" s="111">
        <v>0</v>
      </c>
      <c r="F51" s="111">
        <v>0</v>
      </c>
      <c r="G51" s="112">
        <v>1</v>
      </c>
      <c r="H51"/>
    </row>
    <row r="52" spans="1:8" ht="15" customHeight="1" x14ac:dyDescent="0.15">
      <c r="A52">
        <v>51</v>
      </c>
      <c r="B52" s="187" t="s">
        <v>242</v>
      </c>
      <c r="C52" s="112">
        <v>0</v>
      </c>
      <c r="D52" s="112">
        <v>1</v>
      </c>
      <c r="E52" s="111">
        <v>0</v>
      </c>
      <c r="F52" s="111">
        <v>0</v>
      </c>
      <c r="G52" s="112">
        <v>1</v>
      </c>
      <c r="H52"/>
    </row>
    <row r="53" spans="1:8" ht="15" customHeight="1" x14ac:dyDescent="0.15">
      <c r="A53">
        <v>52</v>
      </c>
      <c r="B53" s="187" t="s">
        <v>243</v>
      </c>
      <c r="C53" s="112">
        <v>0</v>
      </c>
      <c r="D53" s="112">
        <v>0</v>
      </c>
      <c r="E53" s="111">
        <v>1</v>
      </c>
      <c r="F53" s="111">
        <v>0</v>
      </c>
      <c r="G53" s="112">
        <v>1</v>
      </c>
      <c r="H53"/>
    </row>
    <row r="54" spans="1:8" ht="15" customHeight="1" x14ac:dyDescent="0.15">
      <c r="A54">
        <v>53</v>
      </c>
      <c r="B54" s="187" t="s">
        <v>244</v>
      </c>
      <c r="C54" s="112">
        <v>0</v>
      </c>
      <c r="D54" s="112">
        <v>0</v>
      </c>
      <c r="E54" s="111">
        <v>0</v>
      </c>
      <c r="F54" s="111">
        <v>1</v>
      </c>
      <c r="G54" s="112">
        <v>1</v>
      </c>
      <c r="H54"/>
    </row>
    <row r="55" spans="1:8" ht="15" customHeight="1" x14ac:dyDescent="0.15">
      <c r="A55">
        <v>54</v>
      </c>
      <c r="B55" s="187" t="s">
        <v>245</v>
      </c>
      <c r="C55" s="112">
        <v>1</v>
      </c>
      <c r="D55" s="112">
        <v>0</v>
      </c>
      <c r="E55" s="111">
        <v>0</v>
      </c>
      <c r="F55" s="111">
        <v>0</v>
      </c>
      <c r="G55" s="112">
        <v>1</v>
      </c>
      <c r="H55"/>
    </row>
    <row r="56" spans="1:8" ht="15" customHeight="1" x14ac:dyDescent="0.15">
      <c r="A56">
        <v>55</v>
      </c>
      <c r="B56" s="187" t="s">
        <v>246</v>
      </c>
      <c r="C56" s="112">
        <v>1</v>
      </c>
      <c r="D56" s="112">
        <v>0</v>
      </c>
      <c r="E56" s="111">
        <v>0</v>
      </c>
      <c r="F56" s="111">
        <v>0</v>
      </c>
      <c r="G56" s="112">
        <v>1</v>
      </c>
      <c r="H56"/>
    </row>
    <row r="57" spans="1:8" ht="15" customHeight="1" x14ac:dyDescent="0.15">
      <c r="A57">
        <v>56</v>
      </c>
      <c r="B57" s="187" t="s">
        <v>247</v>
      </c>
      <c r="C57" s="112">
        <v>1</v>
      </c>
      <c r="D57" s="112">
        <v>0</v>
      </c>
      <c r="E57" s="111">
        <v>0</v>
      </c>
      <c r="F57" s="111">
        <v>0</v>
      </c>
      <c r="G57" s="112">
        <v>1</v>
      </c>
      <c r="H57"/>
    </row>
    <row r="58" spans="1:8" ht="15" customHeight="1" x14ac:dyDescent="0.15">
      <c r="A58">
        <v>57</v>
      </c>
      <c r="B58" s="187" t="s">
        <v>248</v>
      </c>
      <c r="C58" s="112">
        <v>1</v>
      </c>
      <c r="D58" s="112">
        <v>0</v>
      </c>
      <c r="E58" s="111">
        <v>0</v>
      </c>
      <c r="F58" s="111">
        <v>0</v>
      </c>
      <c r="G58" s="112">
        <v>1</v>
      </c>
      <c r="H58"/>
    </row>
    <row r="59" spans="1:8" ht="15" customHeight="1" x14ac:dyDescent="0.15">
      <c r="A59">
        <v>58</v>
      </c>
      <c r="B59" s="187" t="s">
        <v>249</v>
      </c>
      <c r="C59" s="112">
        <v>1</v>
      </c>
      <c r="D59" s="112">
        <v>0</v>
      </c>
      <c r="E59" s="111">
        <v>0</v>
      </c>
      <c r="F59" s="111">
        <v>0</v>
      </c>
      <c r="G59" s="112">
        <v>1</v>
      </c>
      <c r="H59"/>
    </row>
    <row r="60" spans="1:8" ht="15" customHeight="1" x14ac:dyDescent="0.15">
      <c r="A60">
        <v>59</v>
      </c>
      <c r="B60" s="187" t="s">
        <v>250</v>
      </c>
      <c r="C60" s="112">
        <v>1</v>
      </c>
      <c r="D60" s="112">
        <v>0</v>
      </c>
      <c r="E60" s="111">
        <v>0</v>
      </c>
      <c r="F60" s="111">
        <v>0</v>
      </c>
      <c r="G60" s="112">
        <v>1</v>
      </c>
      <c r="H60"/>
    </row>
    <row r="61" spans="1:8" ht="15" customHeight="1" x14ac:dyDescent="0.15">
      <c r="A61">
        <v>60</v>
      </c>
      <c r="B61" s="187" t="s">
        <v>251</v>
      </c>
      <c r="C61" s="112">
        <v>1</v>
      </c>
      <c r="D61" s="112">
        <v>0</v>
      </c>
      <c r="E61" s="111">
        <v>0</v>
      </c>
      <c r="F61" s="111">
        <v>0</v>
      </c>
      <c r="G61" s="112">
        <v>1</v>
      </c>
      <c r="H61"/>
    </row>
    <row r="62" spans="1:8" ht="15" customHeight="1" x14ac:dyDescent="0.15">
      <c r="A62">
        <v>61</v>
      </c>
      <c r="B62" s="187" t="s">
        <v>252</v>
      </c>
      <c r="C62" s="112">
        <v>1</v>
      </c>
      <c r="D62" s="112">
        <v>0</v>
      </c>
      <c r="E62" s="111">
        <v>0</v>
      </c>
      <c r="F62" s="111">
        <v>0</v>
      </c>
      <c r="G62" s="112">
        <v>1</v>
      </c>
      <c r="H62"/>
    </row>
    <row r="63" spans="1:8" ht="15" customHeight="1" x14ac:dyDescent="0.15">
      <c r="A63">
        <v>62</v>
      </c>
      <c r="B63" s="187" t="s">
        <v>253</v>
      </c>
      <c r="C63" s="112">
        <v>1</v>
      </c>
      <c r="D63" s="112">
        <v>0</v>
      </c>
      <c r="E63" s="111">
        <v>0</v>
      </c>
      <c r="F63" s="111">
        <v>0</v>
      </c>
      <c r="G63" s="112">
        <v>1</v>
      </c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L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" bestFit="1" customWidth="1"/>
    <col min="3" max="5" width="8.83203125" bestFit="1" customWidth="1"/>
    <col min="6" max="10" width="8.83203125" customWidth="1"/>
    <col min="11" max="11" width="7.83203125" customWidth="1"/>
    <col min="12" max="12" width="8.83203125" customWidth="1"/>
  </cols>
  <sheetData>
    <row r="1" spans="1:12" s="113" customFormat="1" ht="112" x14ac:dyDescent="0.15">
      <c r="A1" s="5" t="s">
        <v>21</v>
      </c>
      <c r="B1" s="3" t="s">
        <v>0</v>
      </c>
      <c r="C1" s="190" t="s">
        <v>245</v>
      </c>
      <c r="D1" s="190" t="s">
        <v>246</v>
      </c>
      <c r="E1" s="190" t="s">
        <v>247</v>
      </c>
      <c r="F1" s="190" t="s">
        <v>248</v>
      </c>
      <c r="G1" s="190" t="s">
        <v>249</v>
      </c>
      <c r="H1" s="190" t="s">
        <v>250</v>
      </c>
      <c r="I1" s="190" t="s">
        <v>251</v>
      </c>
      <c r="J1" s="190" t="s">
        <v>252</v>
      </c>
      <c r="K1" s="190" t="s">
        <v>253</v>
      </c>
      <c r="L1" s="190" t="s">
        <v>257</v>
      </c>
    </row>
    <row r="2" spans="1:12" ht="15" customHeight="1" x14ac:dyDescent="0.15">
      <c r="A2">
        <v>1</v>
      </c>
      <c r="B2" s="189" t="s">
        <v>192</v>
      </c>
      <c r="C2">
        <v>4.7609999999999996E-3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1.0266919999999999</v>
      </c>
      <c r="K2">
        <v>0</v>
      </c>
      <c r="L2">
        <v>1.031453</v>
      </c>
    </row>
    <row r="3" spans="1:12" ht="15" customHeight="1" x14ac:dyDescent="0.15">
      <c r="A3">
        <v>2</v>
      </c>
      <c r="B3" s="189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ht="15" customHeight="1" x14ac:dyDescent="0.15">
      <c r="A4">
        <v>3</v>
      </c>
      <c r="B4" s="189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ht="15" customHeight="1" x14ac:dyDescent="0.15">
      <c r="A5">
        <v>4</v>
      </c>
      <c r="B5" s="189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ht="15" customHeight="1" x14ac:dyDescent="0.15">
      <c r="A6">
        <v>5</v>
      </c>
      <c r="B6" s="189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 ht="15" customHeight="1" x14ac:dyDescent="0.15">
      <c r="A7">
        <v>6</v>
      </c>
      <c r="B7" s="189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 ht="15" customHeight="1" x14ac:dyDescent="0.15">
      <c r="A8">
        <v>7</v>
      </c>
      <c r="B8" s="189" t="s">
        <v>198</v>
      </c>
      <c r="C8">
        <v>3.3599999999999998E-4</v>
      </c>
      <c r="D8">
        <v>0</v>
      </c>
      <c r="E8">
        <v>0</v>
      </c>
      <c r="F8">
        <v>0</v>
      </c>
      <c r="G8">
        <v>0</v>
      </c>
      <c r="H8">
        <v>1.0950000000000001E-3</v>
      </c>
      <c r="I8">
        <v>0</v>
      </c>
      <c r="J8">
        <v>0</v>
      </c>
      <c r="K8">
        <v>0</v>
      </c>
      <c r="L8">
        <v>1.431E-3</v>
      </c>
    </row>
    <row r="9" spans="1:12" ht="15" customHeight="1" x14ac:dyDescent="0.15">
      <c r="A9">
        <v>8</v>
      </c>
      <c r="B9" s="189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0.16916500000000001</v>
      </c>
      <c r="I9">
        <v>0</v>
      </c>
      <c r="J9">
        <v>0</v>
      </c>
      <c r="K9">
        <v>0</v>
      </c>
      <c r="L9">
        <v>0.16916500000000001</v>
      </c>
    </row>
    <row r="10" spans="1:12" ht="15" customHeight="1" x14ac:dyDescent="0.15">
      <c r="A10">
        <v>9</v>
      </c>
      <c r="B10" s="189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ht="15" customHeight="1" x14ac:dyDescent="0.15">
      <c r="A11">
        <v>10</v>
      </c>
      <c r="B11" s="189" t="s">
        <v>201</v>
      </c>
      <c r="C11">
        <v>0</v>
      </c>
      <c r="D11">
        <v>0</v>
      </c>
      <c r="E11">
        <v>0</v>
      </c>
      <c r="F11">
        <v>0.10498499999999999</v>
      </c>
      <c r="G11">
        <v>0</v>
      </c>
      <c r="H11">
        <v>0</v>
      </c>
      <c r="I11">
        <v>0</v>
      </c>
      <c r="J11">
        <v>0</v>
      </c>
      <c r="K11">
        <v>0</v>
      </c>
      <c r="L11">
        <v>0.10498499999999999</v>
      </c>
    </row>
    <row r="12" spans="1:12" ht="15" customHeight="1" x14ac:dyDescent="0.15">
      <c r="A12">
        <v>11</v>
      </c>
      <c r="B12" s="189" t="s">
        <v>202</v>
      </c>
      <c r="C12">
        <v>1.1112E-2</v>
      </c>
      <c r="D12">
        <v>2.0200000000000001E-3</v>
      </c>
      <c r="E12">
        <v>0</v>
      </c>
      <c r="F12">
        <v>0.300035</v>
      </c>
      <c r="G12">
        <v>0</v>
      </c>
      <c r="H12">
        <v>0</v>
      </c>
      <c r="I12">
        <v>0</v>
      </c>
      <c r="J12">
        <v>0</v>
      </c>
      <c r="K12">
        <v>0</v>
      </c>
      <c r="L12">
        <v>0.31316699999999997</v>
      </c>
    </row>
    <row r="13" spans="1:12" ht="15" customHeight="1" x14ac:dyDescent="0.15">
      <c r="A13">
        <v>12</v>
      </c>
      <c r="B13" s="189" t="s">
        <v>203</v>
      </c>
      <c r="C13">
        <v>1.2E-5</v>
      </c>
      <c r="D13">
        <v>2.0000000000000002E-5</v>
      </c>
      <c r="E13">
        <v>0</v>
      </c>
      <c r="F13">
        <v>9.0899999999999998E-4</v>
      </c>
      <c r="G13">
        <v>6.7999999999999999E-5</v>
      </c>
      <c r="H13">
        <v>7.2059999999999997E-3</v>
      </c>
      <c r="I13">
        <v>0</v>
      </c>
      <c r="J13">
        <v>0</v>
      </c>
      <c r="K13">
        <v>0</v>
      </c>
      <c r="L13">
        <v>8.2150000000000001E-3</v>
      </c>
    </row>
    <row r="14" spans="1:12" ht="15" customHeight="1" x14ac:dyDescent="0.15">
      <c r="A14">
        <v>13</v>
      </c>
      <c r="B14" s="189" t="s">
        <v>204</v>
      </c>
      <c r="C14">
        <v>4.1739999999999998E-3</v>
      </c>
      <c r="D14">
        <v>2.0100000000000001E-4</v>
      </c>
      <c r="E14">
        <v>0</v>
      </c>
      <c r="F14">
        <v>8.9400000000000005E-4</v>
      </c>
      <c r="G14">
        <v>9.9509999999999998E-3</v>
      </c>
      <c r="H14">
        <v>0.18580199999999999</v>
      </c>
      <c r="I14">
        <v>0</v>
      </c>
      <c r="J14">
        <v>0</v>
      </c>
      <c r="K14">
        <v>0</v>
      </c>
      <c r="L14">
        <v>0.20102200000000001</v>
      </c>
    </row>
    <row r="15" spans="1:12" ht="15" customHeight="1" x14ac:dyDescent="0.15">
      <c r="A15">
        <v>14</v>
      </c>
      <c r="B15" s="189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4.091E-3</v>
      </c>
      <c r="I15">
        <v>0</v>
      </c>
      <c r="J15">
        <v>0</v>
      </c>
      <c r="K15">
        <v>0</v>
      </c>
      <c r="L15">
        <v>4.091E-3</v>
      </c>
    </row>
    <row r="16" spans="1:12" ht="15" customHeight="1" x14ac:dyDescent="0.15">
      <c r="A16">
        <v>15</v>
      </c>
      <c r="B16" s="189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ht="15" customHeight="1" x14ac:dyDescent="0.15">
      <c r="A17">
        <v>16</v>
      </c>
      <c r="B17" s="189" t="s">
        <v>207</v>
      </c>
      <c r="C17">
        <v>3.5263999999999997E-2</v>
      </c>
      <c r="D17">
        <v>3.2060000000000001E-3</v>
      </c>
      <c r="E17">
        <v>8.0099999999999995E-4</v>
      </c>
      <c r="F17">
        <v>0</v>
      </c>
      <c r="G17">
        <v>8.0099999999999995E-4</v>
      </c>
      <c r="H17">
        <v>0</v>
      </c>
      <c r="I17">
        <v>0</v>
      </c>
      <c r="J17">
        <v>0</v>
      </c>
      <c r="K17">
        <v>0</v>
      </c>
      <c r="L17">
        <v>4.0072000000000003E-2</v>
      </c>
    </row>
    <row r="18" spans="1:12" ht="15" customHeight="1" x14ac:dyDescent="0.15">
      <c r="A18">
        <v>17</v>
      </c>
      <c r="B18" s="189" t="s">
        <v>208</v>
      </c>
      <c r="C18">
        <v>4.6759999999999996E-3</v>
      </c>
      <c r="D18">
        <v>4.84E-4</v>
      </c>
      <c r="E18">
        <v>3.4999999999999997E-5</v>
      </c>
      <c r="F18">
        <v>0</v>
      </c>
      <c r="G18">
        <v>1.3899999999999999E-4</v>
      </c>
      <c r="H18">
        <v>0</v>
      </c>
      <c r="I18">
        <v>0</v>
      </c>
      <c r="J18">
        <v>0</v>
      </c>
      <c r="K18">
        <v>0</v>
      </c>
      <c r="L18">
        <v>5.3340000000000002E-3</v>
      </c>
    </row>
    <row r="19" spans="1:12" ht="15" customHeight="1" x14ac:dyDescent="0.15">
      <c r="A19">
        <v>18</v>
      </c>
      <c r="B19" s="189" t="s">
        <v>209</v>
      </c>
      <c r="C19">
        <v>5.3200000000000003E-4</v>
      </c>
      <c r="D19">
        <v>1.0139999999999999E-3</v>
      </c>
      <c r="E19">
        <v>0</v>
      </c>
      <c r="F19">
        <v>1.34E-4</v>
      </c>
      <c r="G19">
        <v>9.2999999999999997E-5</v>
      </c>
      <c r="H19">
        <v>0</v>
      </c>
      <c r="I19">
        <v>0</v>
      </c>
      <c r="J19">
        <v>0</v>
      </c>
      <c r="K19">
        <v>0</v>
      </c>
      <c r="L19">
        <v>1.7730000000000001E-3</v>
      </c>
    </row>
    <row r="20" spans="1:12" ht="15" customHeight="1" x14ac:dyDescent="0.15">
      <c r="A20">
        <v>19</v>
      </c>
      <c r="B20" s="189" t="s">
        <v>210</v>
      </c>
      <c r="C20">
        <v>3.3660000000000001E-3</v>
      </c>
      <c r="D20">
        <v>6.4149999999999997E-3</v>
      </c>
      <c r="E20">
        <v>0</v>
      </c>
      <c r="F20">
        <v>8.4900000000000004E-4</v>
      </c>
      <c r="G20">
        <v>5.8600000000000004E-4</v>
      </c>
      <c r="H20">
        <v>0</v>
      </c>
      <c r="I20">
        <v>0</v>
      </c>
      <c r="J20">
        <v>0</v>
      </c>
      <c r="K20">
        <v>0</v>
      </c>
      <c r="L20">
        <v>1.1216E-2</v>
      </c>
    </row>
    <row r="21" spans="1:12" ht="15" customHeight="1" x14ac:dyDescent="0.15">
      <c r="A21">
        <v>20</v>
      </c>
      <c r="B21" s="189" t="s">
        <v>211</v>
      </c>
      <c r="C21">
        <v>2.2000000000000001E-3</v>
      </c>
      <c r="D21">
        <v>3.1180000000000001E-3</v>
      </c>
      <c r="E21">
        <v>0</v>
      </c>
      <c r="F21">
        <v>1.27E-4</v>
      </c>
      <c r="G21">
        <v>6.2000000000000003E-5</v>
      </c>
      <c r="H21">
        <v>0</v>
      </c>
      <c r="I21">
        <v>0</v>
      </c>
      <c r="J21">
        <v>0</v>
      </c>
      <c r="K21">
        <v>0</v>
      </c>
      <c r="L21">
        <v>5.5070000000000006E-3</v>
      </c>
    </row>
    <row r="22" spans="1:12" ht="15" customHeight="1" x14ac:dyDescent="0.15">
      <c r="A22">
        <v>21</v>
      </c>
      <c r="B22" s="189" t="s">
        <v>212</v>
      </c>
      <c r="C22">
        <v>6.3169999999999997E-3</v>
      </c>
      <c r="D22">
        <v>8.9499999999999996E-3</v>
      </c>
      <c r="E22">
        <v>0</v>
      </c>
      <c r="F22">
        <v>3.6499999999999998E-4</v>
      </c>
      <c r="G22">
        <v>1.7799999999999999E-4</v>
      </c>
      <c r="H22">
        <v>0</v>
      </c>
      <c r="I22">
        <v>0</v>
      </c>
      <c r="J22">
        <v>0</v>
      </c>
      <c r="K22">
        <v>0</v>
      </c>
      <c r="L22">
        <v>1.5810000000000001E-2</v>
      </c>
    </row>
    <row r="23" spans="1:12" ht="15" customHeight="1" x14ac:dyDescent="0.15">
      <c r="A23">
        <v>22</v>
      </c>
      <c r="B23" s="189" t="s">
        <v>213</v>
      </c>
      <c r="C23">
        <v>1.225E-3</v>
      </c>
      <c r="D23">
        <v>5.1699999999999999E-4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1.7420000000000001E-3</v>
      </c>
    </row>
    <row r="24" spans="1:12" ht="15" customHeight="1" x14ac:dyDescent="0.15">
      <c r="A24">
        <v>23</v>
      </c>
      <c r="B24" s="189" t="s">
        <v>214</v>
      </c>
      <c r="C24">
        <v>1.4149E-2</v>
      </c>
      <c r="D24">
        <v>2.689E-3</v>
      </c>
      <c r="E24">
        <v>1.2999999999999999E-5</v>
      </c>
      <c r="F24">
        <v>1.3799999999999999E-4</v>
      </c>
      <c r="G24">
        <v>2.3E-5</v>
      </c>
      <c r="H24">
        <v>9.9999999999999995E-7</v>
      </c>
      <c r="I24">
        <v>9.9999999999999995E-7</v>
      </c>
      <c r="J24">
        <v>0</v>
      </c>
      <c r="K24">
        <v>0</v>
      </c>
      <c r="L24">
        <v>1.7013999999999998E-2</v>
      </c>
    </row>
    <row r="25" spans="1:12" ht="15" customHeight="1" x14ac:dyDescent="0.15">
      <c r="A25">
        <v>24</v>
      </c>
      <c r="B25" s="189" t="s">
        <v>215</v>
      </c>
      <c r="C25">
        <v>7.2389999999999998E-3</v>
      </c>
      <c r="D25">
        <v>6.9719999999999999E-3</v>
      </c>
      <c r="E25">
        <v>1.2999999999999999E-5</v>
      </c>
      <c r="F25">
        <v>2.3699999999999999E-4</v>
      </c>
      <c r="G25">
        <v>5.6999999999999998E-4</v>
      </c>
      <c r="H25">
        <v>3.0000000000000001E-5</v>
      </c>
      <c r="I25">
        <v>1.2999999999999999E-5</v>
      </c>
      <c r="J25">
        <v>0</v>
      </c>
      <c r="K25">
        <v>0</v>
      </c>
      <c r="L25">
        <v>1.5074000000000001E-2</v>
      </c>
    </row>
    <row r="26" spans="1:12" ht="15" customHeight="1" x14ac:dyDescent="0.15">
      <c r="A26">
        <v>25</v>
      </c>
      <c r="B26" s="189" t="s">
        <v>216</v>
      </c>
      <c r="C26">
        <v>5.7131000000000001E-2</v>
      </c>
      <c r="D26">
        <v>2.0769999999999999E-3</v>
      </c>
      <c r="E26">
        <v>2.0769999999999999E-3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6.1285000000000006E-2</v>
      </c>
    </row>
    <row r="27" spans="1:12" ht="15" customHeight="1" x14ac:dyDescent="0.15">
      <c r="A27">
        <v>26</v>
      </c>
      <c r="B27" s="189" t="s">
        <v>217</v>
      </c>
      <c r="C27">
        <v>5.6300000000000002E-4</v>
      </c>
      <c r="D27">
        <v>0</v>
      </c>
      <c r="E27">
        <v>5.1E-5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6.1400000000000007E-4</v>
      </c>
    </row>
    <row r="28" spans="1:12" ht="15" customHeight="1" x14ac:dyDescent="0.15">
      <c r="A28">
        <v>27</v>
      </c>
      <c r="B28" s="189" t="s">
        <v>218</v>
      </c>
      <c r="C28">
        <v>3.4285999999999997E-2</v>
      </c>
      <c r="D28">
        <v>1.3749999999999999E-3</v>
      </c>
      <c r="E28">
        <v>2.0699999999999999E-4</v>
      </c>
      <c r="F28">
        <v>1.2E-5</v>
      </c>
      <c r="G28">
        <v>6.3400000000000001E-4</v>
      </c>
      <c r="H28">
        <v>3.0000000000000001E-6</v>
      </c>
      <c r="I28">
        <v>1.93E-4</v>
      </c>
      <c r="J28">
        <v>0</v>
      </c>
      <c r="K28">
        <v>0</v>
      </c>
      <c r="L28">
        <v>3.671E-2</v>
      </c>
    </row>
    <row r="29" spans="1:12" ht="15" customHeight="1" x14ac:dyDescent="0.15">
      <c r="A29">
        <v>28</v>
      </c>
      <c r="B29" s="189" t="s">
        <v>219</v>
      </c>
      <c r="C29">
        <v>5.11E-3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5.11E-3</v>
      </c>
    </row>
    <row r="30" spans="1:12" ht="15" customHeight="1" x14ac:dyDescent="0.15">
      <c r="A30">
        <v>29</v>
      </c>
      <c r="B30" s="189" t="s">
        <v>220</v>
      </c>
      <c r="C30">
        <v>5.182E-3</v>
      </c>
      <c r="D30">
        <v>2.7300000000000002E-4</v>
      </c>
      <c r="E30">
        <v>2.7300000000000002E-4</v>
      </c>
      <c r="F30">
        <v>0</v>
      </c>
      <c r="G30">
        <v>3.5460000000000001E-3</v>
      </c>
      <c r="H30">
        <v>0</v>
      </c>
      <c r="I30">
        <v>0</v>
      </c>
      <c r="J30">
        <v>0</v>
      </c>
      <c r="K30">
        <v>0</v>
      </c>
      <c r="L30">
        <v>9.2739999999999993E-3</v>
      </c>
    </row>
    <row r="31" spans="1:12" ht="15" customHeight="1" x14ac:dyDescent="0.15">
      <c r="A31">
        <v>30</v>
      </c>
      <c r="B31" s="189" t="s">
        <v>221</v>
      </c>
      <c r="C31">
        <v>3.8579999999999999E-3</v>
      </c>
      <c r="D31">
        <v>0</v>
      </c>
      <c r="E31">
        <v>0</v>
      </c>
      <c r="F31">
        <v>0</v>
      </c>
      <c r="G31">
        <v>3.8579999999999999E-3</v>
      </c>
      <c r="H31">
        <v>0</v>
      </c>
      <c r="I31">
        <v>0</v>
      </c>
      <c r="J31">
        <v>0</v>
      </c>
      <c r="K31">
        <v>0</v>
      </c>
      <c r="L31">
        <v>7.7159999999999998E-3</v>
      </c>
    </row>
    <row r="32" spans="1:12" ht="15" customHeight="1" x14ac:dyDescent="0.15">
      <c r="A32">
        <v>31</v>
      </c>
      <c r="B32" s="189" t="s">
        <v>222</v>
      </c>
      <c r="C32">
        <v>3.0657E-2</v>
      </c>
      <c r="D32">
        <v>9.0000000000000006E-5</v>
      </c>
      <c r="E32">
        <v>4.8999999999999998E-4</v>
      </c>
      <c r="F32">
        <v>1.1E-4</v>
      </c>
      <c r="G32">
        <v>2.565E-3</v>
      </c>
      <c r="H32">
        <v>8.2000000000000001E-5</v>
      </c>
      <c r="I32">
        <v>5.0460000000000001E-3</v>
      </c>
      <c r="J32">
        <v>0</v>
      </c>
      <c r="K32">
        <v>0</v>
      </c>
      <c r="L32">
        <v>3.9039999999999998E-2</v>
      </c>
    </row>
    <row r="33" spans="1:12" ht="15" customHeight="1" x14ac:dyDescent="0.15">
      <c r="A33">
        <v>32</v>
      </c>
      <c r="B33" s="189" t="s">
        <v>223</v>
      </c>
      <c r="C33">
        <v>3.0268E-2</v>
      </c>
      <c r="D33">
        <v>2.6489999999999999E-3</v>
      </c>
      <c r="E33">
        <v>2.34E-4</v>
      </c>
      <c r="F33">
        <v>2.03E-4</v>
      </c>
      <c r="G33">
        <v>3.9950000000000003E-3</v>
      </c>
      <c r="H33">
        <v>1.25E-4</v>
      </c>
      <c r="I33">
        <v>1.2130000000000001E-3</v>
      </c>
      <c r="J33">
        <v>0</v>
      </c>
      <c r="K33">
        <v>0</v>
      </c>
      <c r="L33">
        <v>3.8686999999999999E-2</v>
      </c>
    </row>
    <row r="34" spans="1:12" ht="15" customHeight="1" x14ac:dyDescent="0.15">
      <c r="A34">
        <v>33</v>
      </c>
      <c r="B34" s="189" t="s">
        <v>224</v>
      </c>
      <c r="C34">
        <v>1.7061E-2</v>
      </c>
      <c r="D34">
        <v>0</v>
      </c>
      <c r="E34">
        <v>0</v>
      </c>
      <c r="F34">
        <v>0</v>
      </c>
      <c r="G34">
        <v>1.3958999999999999E-2</v>
      </c>
      <c r="H34">
        <v>0</v>
      </c>
      <c r="I34">
        <v>1.5510000000000001E-3</v>
      </c>
      <c r="J34">
        <v>0</v>
      </c>
      <c r="K34">
        <v>0</v>
      </c>
      <c r="L34">
        <v>3.2570999999999996E-2</v>
      </c>
    </row>
    <row r="35" spans="1:12" ht="15" customHeight="1" x14ac:dyDescent="0.15">
      <c r="A35">
        <v>34</v>
      </c>
      <c r="B35" s="189" t="s">
        <v>225</v>
      </c>
      <c r="C35">
        <v>1.9976000000000001E-2</v>
      </c>
      <c r="D35">
        <v>6.0650000000000001E-3</v>
      </c>
      <c r="E35">
        <v>0</v>
      </c>
      <c r="F35">
        <v>8.25E-4</v>
      </c>
      <c r="G35">
        <v>7.4530000000000004E-3</v>
      </c>
      <c r="H35">
        <v>0</v>
      </c>
      <c r="I35">
        <v>0</v>
      </c>
      <c r="J35">
        <v>0</v>
      </c>
      <c r="K35">
        <v>0</v>
      </c>
      <c r="L35">
        <v>3.4319000000000002E-2</v>
      </c>
    </row>
    <row r="36" spans="1:12" ht="15" customHeight="1" x14ac:dyDescent="0.15">
      <c r="A36">
        <v>35</v>
      </c>
      <c r="B36" s="189" t="s">
        <v>226</v>
      </c>
      <c r="C36">
        <v>1.3132E-2</v>
      </c>
      <c r="D36">
        <v>1.4159999999999999E-3</v>
      </c>
      <c r="E36">
        <v>0</v>
      </c>
      <c r="F36">
        <v>0</v>
      </c>
      <c r="G36">
        <v>8.7469999999999996E-3</v>
      </c>
      <c r="H36">
        <v>0</v>
      </c>
      <c r="I36">
        <v>1.1638000000000001E-2</v>
      </c>
      <c r="J36">
        <v>0</v>
      </c>
      <c r="K36">
        <v>0</v>
      </c>
      <c r="L36">
        <v>3.4932999999999999E-2</v>
      </c>
    </row>
    <row r="37" spans="1:12" ht="15" customHeight="1" x14ac:dyDescent="0.15">
      <c r="A37">
        <v>36</v>
      </c>
      <c r="B37" s="189" t="s">
        <v>227</v>
      </c>
      <c r="C37">
        <v>1.6032000000000001E-2</v>
      </c>
      <c r="D37">
        <v>0</v>
      </c>
      <c r="E37">
        <v>6.6010000000000001E-3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2.2633E-2</v>
      </c>
    </row>
    <row r="38" spans="1:12" ht="15" customHeight="1" x14ac:dyDescent="0.15">
      <c r="A38">
        <v>37</v>
      </c>
      <c r="B38" s="189" t="s">
        <v>228</v>
      </c>
      <c r="C38">
        <v>5.8079999999999998E-3</v>
      </c>
      <c r="D38">
        <v>3.8999999999999999E-4</v>
      </c>
      <c r="E38">
        <v>0</v>
      </c>
      <c r="F38">
        <v>0</v>
      </c>
      <c r="G38">
        <v>5.1999999999999997E-5</v>
      </c>
      <c r="H38">
        <v>0</v>
      </c>
      <c r="I38">
        <v>0</v>
      </c>
      <c r="J38">
        <v>0</v>
      </c>
      <c r="K38">
        <v>0</v>
      </c>
      <c r="L38">
        <v>6.2499999999999995E-3</v>
      </c>
    </row>
    <row r="39" spans="1:12" ht="15" customHeight="1" x14ac:dyDescent="0.15">
      <c r="A39">
        <v>38</v>
      </c>
      <c r="B39" s="18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ht="15" customHeight="1" x14ac:dyDescent="0.15">
      <c r="A40">
        <v>39</v>
      </c>
      <c r="B40" s="189" t="s">
        <v>230</v>
      </c>
      <c r="C40">
        <v>4.8000000000000001E-4</v>
      </c>
      <c r="D40">
        <v>0</v>
      </c>
      <c r="E40">
        <v>9.1210000000000006E-3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9.6010000000000002E-3</v>
      </c>
    </row>
    <row r="41" spans="1:12" ht="15" customHeight="1" x14ac:dyDescent="0.15">
      <c r="A41">
        <v>40</v>
      </c>
      <c r="B41" s="189" t="s">
        <v>231</v>
      </c>
      <c r="C41">
        <v>0</v>
      </c>
      <c r="D41">
        <v>0</v>
      </c>
      <c r="E41">
        <v>3.7694999999999999E-2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3.7694999999999999E-2</v>
      </c>
    </row>
    <row r="42" spans="1:12" ht="15" customHeight="1" x14ac:dyDescent="0.15">
      <c r="A42">
        <v>41</v>
      </c>
      <c r="B42" s="189" t="s">
        <v>232</v>
      </c>
      <c r="C42">
        <v>9.4899999999999997E-4</v>
      </c>
      <c r="D42">
        <v>0</v>
      </c>
      <c r="E42">
        <v>9.5318E-2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9.6267000000000005E-2</v>
      </c>
    </row>
    <row r="43" spans="1:12" ht="15" customHeight="1" x14ac:dyDescent="0.15">
      <c r="A43">
        <v>42</v>
      </c>
      <c r="B43" s="189" t="s">
        <v>233</v>
      </c>
      <c r="C43">
        <v>3.676E-3</v>
      </c>
      <c r="D43">
        <v>0</v>
      </c>
      <c r="E43">
        <v>0.29441899999999999</v>
      </c>
      <c r="F43">
        <v>0</v>
      </c>
      <c r="G43">
        <v>0</v>
      </c>
      <c r="H43">
        <v>0</v>
      </c>
      <c r="I43">
        <v>1.6906000000000001E-2</v>
      </c>
      <c r="J43">
        <v>0</v>
      </c>
      <c r="K43">
        <v>0</v>
      </c>
      <c r="L43">
        <v>0.31500099999999998</v>
      </c>
    </row>
    <row r="44" spans="1:12" ht="15" customHeight="1" x14ac:dyDescent="0.15">
      <c r="A44">
        <v>43</v>
      </c>
      <c r="B44" s="189" t="s">
        <v>234</v>
      </c>
      <c r="C44">
        <v>1.3561999999999999E-2</v>
      </c>
      <c r="D44">
        <v>0</v>
      </c>
      <c r="E44">
        <v>0.14302100000000001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0.156583</v>
      </c>
    </row>
    <row r="45" spans="1:12" ht="15" customHeight="1" x14ac:dyDescent="0.15">
      <c r="A45">
        <v>44</v>
      </c>
      <c r="B45" s="189" t="s">
        <v>235</v>
      </c>
      <c r="C45">
        <v>2.9919999999999999E-3</v>
      </c>
      <c r="D45">
        <v>0</v>
      </c>
      <c r="E45">
        <v>7.4799999999999997E-4</v>
      </c>
      <c r="F45">
        <v>0</v>
      </c>
      <c r="G45">
        <v>1.4959999999999999E-3</v>
      </c>
      <c r="H45">
        <v>0</v>
      </c>
      <c r="I45">
        <v>2.9919999999999999E-3</v>
      </c>
      <c r="J45">
        <v>0</v>
      </c>
      <c r="K45">
        <v>3.7399999999999998E-3</v>
      </c>
      <c r="L45">
        <v>1.1967999999999999E-2</v>
      </c>
    </row>
    <row r="46" spans="1:12" ht="15" customHeight="1" x14ac:dyDescent="0.15">
      <c r="A46">
        <v>45</v>
      </c>
      <c r="B46" s="189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1.2E-4</v>
      </c>
      <c r="L46">
        <v>1.2E-4</v>
      </c>
    </row>
    <row r="47" spans="1:12" ht="15" customHeight="1" x14ac:dyDescent="0.15">
      <c r="A47">
        <v>46</v>
      </c>
      <c r="B47" s="189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 ht="15" customHeight="1" x14ac:dyDescent="0.15">
      <c r="A48">
        <v>47</v>
      </c>
      <c r="B48" s="189" t="s">
        <v>238</v>
      </c>
      <c r="C48">
        <v>0.14283100000000001</v>
      </c>
      <c r="D48">
        <v>2.3653E-2</v>
      </c>
      <c r="E48">
        <v>6.3500000000000004E-4</v>
      </c>
      <c r="F48">
        <v>1.1850000000000001E-3</v>
      </c>
      <c r="G48">
        <v>3.3700000000000001E-4</v>
      </c>
      <c r="H48">
        <v>4.5659999999999997E-3</v>
      </c>
      <c r="I48">
        <v>3.1300000000000002E-4</v>
      </c>
      <c r="J48">
        <v>0</v>
      </c>
      <c r="K48">
        <v>0</v>
      </c>
      <c r="L48">
        <v>0.17352000000000001</v>
      </c>
    </row>
    <row r="49" spans="1:12" ht="15" customHeight="1" x14ac:dyDescent="0.15">
      <c r="A49">
        <v>48</v>
      </c>
      <c r="B49" s="189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</row>
    <row r="50" spans="1:12" x14ac:dyDescent="0.15">
      <c r="A50">
        <v>49</v>
      </c>
      <c r="B50" s="189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15">
      <c r="A51">
        <v>50</v>
      </c>
      <c r="B51" s="189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15">
      <c r="A52">
        <v>51</v>
      </c>
      <c r="B52" s="189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15">
      <c r="A53">
        <v>52</v>
      </c>
      <c r="B53" s="189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15">
      <c r="A54">
        <v>53</v>
      </c>
      <c r="B54" s="189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L5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" bestFit="1" customWidth="1"/>
    <col min="3" max="5" width="8.83203125" bestFit="1" customWidth="1"/>
    <col min="6" max="7" width="8.83203125" customWidth="1"/>
    <col min="8" max="11" width="2.33203125" customWidth="1"/>
    <col min="12" max="12" width="8.83203125" customWidth="1"/>
  </cols>
  <sheetData>
    <row r="1" spans="1:12" s="113" customFormat="1" ht="112" x14ac:dyDescent="0.15">
      <c r="A1" s="5" t="s">
        <v>22</v>
      </c>
      <c r="B1" s="3" t="s">
        <v>0</v>
      </c>
      <c r="C1" s="192" t="s">
        <v>245</v>
      </c>
      <c r="D1" s="192" t="s">
        <v>246</v>
      </c>
      <c r="E1" s="192" t="s">
        <v>247</v>
      </c>
      <c r="F1" s="192" t="s">
        <v>248</v>
      </c>
      <c r="G1" s="192" t="s">
        <v>249</v>
      </c>
      <c r="H1" s="192" t="s">
        <v>250</v>
      </c>
      <c r="I1" s="192" t="s">
        <v>251</v>
      </c>
      <c r="J1" s="192" t="s">
        <v>252</v>
      </c>
      <c r="K1" s="192" t="s">
        <v>253</v>
      </c>
      <c r="L1" s="192" t="s">
        <v>257</v>
      </c>
    </row>
    <row r="2" spans="1:12" x14ac:dyDescent="0.15">
      <c r="A2">
        <v>1</v>
      </c>
      <c r="B2" s="19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15">
      <c r="A3">
        <v>2</v>
      </c>
      <c r="B3" s="191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15">
      <c r="A4">
        <v>3</v>
      </c>
      <c r="B4" s="19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15">
      <c r="A5">
        <v>4</v>
      </c>
      <c r="B5" s="191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x14ac:dyDescent="0.15">
      <c r="A6">
        <v>5</v>
      </c>
      <c r="B6" s="191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 x14ac:dyDescent="0.15">
      <c r="A7">
        <v>6</v>
      </c>
      <c r="B7" s="191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 x14ac:dyDescent="0.15">
      <c r="A8">
        <v>7</v>
      </c>
      <c r="B8" s="191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 x14ac:dyDescent="0.15">
      <c r="A9">
        <v>8</v>
      </c>
      <c r="B9" s="191" t="s">
        <v>199</v>
      </c>
      <c r="C9">
        <v>0</v>
      </c>
      <c r="D9">
        <v>1.4839E-2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1.4839E-2</v>
      </c>
    </row>
    <row r="10" spans="1:12" x14ac:dyDescent="0.15">
      <c r="A10">
        <v>9</v>
      </c>
      <c r="B10" s="191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15">
      <c r="A11">
        <v>10</v>
      </c>
      <c r="B11" s="191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15">
      <c r="A12">
        <v>11</v>
      </c>
      <c r="B12" s="191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15">
      <c r="A13">
        <v>12</v>
      </c>
      <c r="B13" s="191" t="s">
        <v>203</v>
      </c>
      <c r="C13">
        <v>0</v>
      </c>
      <c r="D13">
        <v>1.0985999999999999E-2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1.0985999999999999E-2</v>
      </c>
    </row>
    <row r="14" spans="1:12" x14ac:dyDescent="0.15">
      <c r="A14">
        <v>13</v>
      </c>
      <c r="B14" s="191" t="s">
        <v>204</v>
      </c>
      <c r="C14">
        <v>5.2400000000000005E-4</v>
      </c>
      <c r="D14">
        <v>1.756E-3</v>
      </c>
      <c r="E14">
        <v>0</v>
      </c>
      <c r="F14">
        <v>9.4200000000000002E-4</v>
      </c>
      <c r="G14">
        <v>0</v>
      </c>
      <c r="H14">
        <v>0</v>
      </c>
      <c r="I14">
        <v>0</v>
      </c>
      <c r="J14">
        <v>0</v>
      </c>
      <c r="K14">
        <v>0</v>
      </c>
      <c r="L14">
        <v>3.222E-3</v>
      </c>
    </row>
    <row r="15" spans="1:12" x14ac:dyDescent="0.15">
      <c r="A15">
        <v>14</v>
      </c>
      <c r="B15" s="191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1:12" x14ac:dyDescent="0.15">
      <c r="A16">
        <v>15</v>
      </c>
      <c r="B16" s="191" t="s">
        <v>206</v>
      </c>
      <c r="C16">
        <v>0</v>
      </c>
      <c r="D16">
        <v>4.2250000000000003E-2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4.2250000000000003E-2</v>
      </c>
    </row>
    <row r="17" spans="1:12" x14ac:dyDescent="0.15">
      <c r="A17">
        <v>16</v>
      </c>
      <c r="B17" s="191" t="s">
        <v>207</v>
      </c>
      <c r="C17">
        <v>3.6866999999999997E-2</v>
      </c>
      <c r="D17">
        <v>4.8089999999999999E-3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4.1675999999999998E-2</v>
      </c>
    </row>
    <row r="18" spans="1:12" x14ac:dyDescent="0.15">
      <c r="A18">
        <v>17</v>
      </c>
      <c r="B18" s="191" t="s">
        <v>208</v>
      </c>
      <c r="C18">
        <v>4.4499999999999997E-4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4.4499999999999997E-4</v>
      </c>
    </row>
    <row r="19" spans="1:12" x14ac:dyDescent="0.15">
      <c r="A19">
        <v>18</v>
      </c>
      <c r="B19" s="191" t="s">
        <v>209</v>
      </c>
      <c r="C19">
        <v>0</v>
      </c>
      <c r="D19">
        <v>0</v>
      </c>
      <c r="E19">
        <v>0</v>
      </c>
      <c r="F19">
        <v>2.1699999999999999E-4</v>
      </c>
      <c r="G19">
        <v>2.1699999999999999E-4</v>
      </c>
      <c r="H19">
        <v>0</v>
      </c>
      <c r="I19">
        <v>0</v>
      </c>
      <c r="J19">
        <v>0</v>
      </c>
      <c r="K19">
        <v>0</v>
      </c>
      <c r="L19">
        <v>4.3399999999999998E-4</v>
      </c>
    </row>
    <row r="20" spans="1:12" x14ac:dyDescent="0.15">
      <c r="A20">
        <v>19</v>
      </c>
      <c r="B20" s="191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15">
      <c r="A21">
        <v>20</v>
      </c>
      <c r="B21" s="191" t="s">
        <v>211</v>
      </c>
      <c r="C21">
        <v>2.8809999999999999E-3</v>
      </c>
      <c r="D21">
        <v>2.8800000000000001E-4</v>
      </c>
      <c r="E21">
        <v>0</v>
      </c>
      <c r="F21">
        <v>5.7600000000000001E-4</v>
      </c>
      <c r="G21">
        <v>0</v>
      </c>
      <c r="H21">
        <v>0</v>
      </c>
      <c r="I21">
        <v>0</v>
      </c>
      <c r="J21">
        <v>0</v>
      </c>
      <c r="K21">
        <v>0</v>
      </c>
      <c r="L21">
        <v>3.7450000000000001E-3</v>
      </c>
    </row>
    <row r="22" spans="1:12" x14ac:dyDescent="0.15">
      <c r="A22">
        <v>21</v>
      </c>
      <c r="B22" s="191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x14ac:dyDescent="0.15">
      <c r="A23">
        <v>22</v>
      </c>
      <c r="B23" s="191" t="s">
        <v>213</v>
      </c>
      <c r="C23">
        <v>2.6930000000000001E-3</v>
      </c>
      <c r="D23">
        <v>4.75E-4</v>
      </c>
      <c r="E23">
        <v>0</v>
      </c>
      <c r="F23">
        <v>0</v>
      </c>
      <c r="G23">
        <v>7.9199999999999995E-4</v>
      </c>
      <c r="H23">
        <v>0</v>
      </c>
      <c r="I23">
        <v>0</v>
      </c>
      <c r="J23">
        <v>0</v>
      </c>
      <c r="K23">
        <v>0</v>
      </c>
      <c r="L23">
        <v>3.96E-3</v>
      </c>
    </row>
    <row r="24" spans="1:12" x14ac:dyDescent="0.15">
      <c r="A24">
        <v>23</v>
      </c>
      <c r="B24" s="191" t="s">
        <v>214</v>
      </c>
      <c r="C24">
        <v>1.134E-3</v>
      </c>
      <c r="D24">
        <v>5.104E-3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6.2380000000000005E-3</v>
      </c>
    </row>
    <row r="25" spans="1:12" x14ac:dyDescent="0.15">
      <c r="A25">
        <v>24</v>
      </c>
      <c r="B25" s="191" t="s">
        <v>215</v>
      </c>
      <c r="C25">
        <v>1.005E-3</v>
      </c>
      <c r="D25">
        <v>4.5230000000000001E-3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5.5279999999999999E-3</v>
      </c>
    </row>
    <row r="26" spans="1:12" x14ac:dyDescent="0.15">
      <c r="A26">
        <v>25</v>
      </c>
      <c r="B26" s="191" t="s">
        <v>216</v>
      </c>
      <c r="C26">
        <v>5.0897999999999999E-2</v>
      </c>
      <c r="D26">
        <v>1.039E-3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5.1936999999999997E-2</v>
      </c>
    </row>
    <row r="27" spans="1:12" x14ac:dyDescent="0.15">
      <c r="A27">
        <v>26</v>
      </c>
      <c r="B27" s="191" t="s">
        <v>217</v>
      </c>
      <c r="C27">
        <v>7.1599999999999995E-4</v>
      </c>
      <c r="D27">
        <v>1.02E-4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8.1799999999999993E-4</v>
      </c>
    </row>
    <row r="28" spans="1:12" x14ac:dyDescent="0.15">
      <c r="A28">
        <v>27</v>
      </c>
      <c r="B28" s="191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x14ac:dyDescent="0.15">
      <c r="A29">
        <v>28</v>
      </c>
      <c r="B29" s="191" t="s">
        <v>219</v>
      </c>
      <c r="C29">
        <v>4.1100000000000002E-4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4.1100000000000002E-4</v>
      </c>
    </row>
    <row r="30" spans="1:12" x14ac:dyDescent="0.15">
      <c r="A30">
        <v>29</v>
      </c>
      <c r="B30" s="191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15">
      <c r="A31">
        <v>30</v>
      </c>
      <c r="B31" s="191" t="s">
        <v>221</v>
      </c>
      <c r="C31">
        <v>2.2100000000000001E-4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2.2100000000000001E-4</v>
      </c>
    </row>
    <row r="32" spans="1:12" x14ac:dyDescent="0.15">
      <c r="A32">
        <v>31</v>
      </c>
      <c r="B32" s="191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15">
      <c r="A33">
        <v>32</v>
      </c>
      <c r="B33" s="191" t="s">
        <v>223</v>
      </c>
      <c r="C33">
        <v>6.1900000000000002E-3</v>
      </c>
      <c r="D33">
        <v>5.1599999999999997E-4</v>
      </c>
      <c r="E33">
        <v>0</v>
      </c>
      <c r="F33">
        <v>5.1599999999999997E-4</v>
      </c>
      <c r="G33">
        <v>0</v>
      </c>
      <c r="H33">
        <v>0</v>
      </c>
      <c r="I33">
        <v>0</v>
      </c>
      <c r="J33">
        <v>0</v>
      </c>
      <c r="K33">
        <v>0</v>
      </c>
      <c r="L33">
        <v>7.2220000000000001E-3</v>
      </c>
    </row>
    <row r="34" spans="1:12" x14ac:dyDescent="0.15">
      <c r="A34">
        <v>33</v>
      </c>
      <c r="B34" s="191" t="s">
        <v>224</v>
      </c>
      <c r="C34">
        <v>2.7917000000000001E-2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2.7917000000000001E-2</v>
      </c>
    </row>
    <row r="35" spans="1:12" x14ac:dyDescent="0.15">
      <c r="A35">
        <v>34</v>
      </c>
      <c r="B35" s="191" t="s">
        <v>225</v>
      </c>
      <c r="C35">
        <v>0</v>
      </c>
      <c r="D35">
        <v>0</v>
      </c>
      <c r="E35">
        <v>0</v>
      </c>
      <c r="F35">
        <v>2.137E-3</v>
      </c>
      <c r="G35">
        <v>7.1199999999999996E-4</v>
      </c>
      <c r="H35">
        <v>0</v>
      </c>
      <c r="I35">
        <v>0</v>
      </c>
      <c r="J35">
        <v>0</v>
      </c>
      <c r="K35">
        <v>0</v>
      </c>
      <c r="L35">
        <v>2.849E-3</v>
      </c>
    </row>
    <row r="36" spans="1:12" x14ac:dyDescent="0.15">
      <c r="A36">
        <v>35</v>
      </c>
      <c r="B36" s="191" t="s">
        <v>226</v>
      </c>
      <c r="C36">
        <v>0</v>
      </c>
      <c r="D36">
        <v>0</v>
      </c>
      <c r="E36">
        <v>0</v>
      </c>
      <c r="F36">
        <v>0</v>
      </c>
      <c r="G36">
        <v>2.911E-3</v>
      </c>
      <c r="H36">
        <v>0</v>
      </c>
      <c r="I36">
        <v>0</v>
      </c>
      <c r="J36">
        <v>0</v>
      </c>
      <c r="K36">
        <v>0</v>
      </c>
      <c r="L36">
        <v>2.911E-3</v>
      </c>
    </row>
    <row r="37" spans="1:12" x14ac:dyDescent="0.15">
      <c r="A37">
        <v>36</v>
      </c>
      <c r="B37" s="191" t="s">
        <v>227</v>
      </c>
      <c r="C37">
        <v>1.6975000000000001E-2</v>
      </c>
      <c r="D37">
        <v>0</v>
      </c>
      <c r="E37">
        <v>9.4300000000000004E-4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1.7918E-2</v>
      </c>
    </row>
    <row r="38" spans="1:12" x14ac:dyDescent="0.15">
      <c r="A38">
        <v>37</v>
      </c>
      <c r="B38" s="19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15">
      <c r="A39">
        <v>38</v>
      </c>
      <c r="B39" s="191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15">
      <c r="A40">
        <v>39</v>
      </c>
      <c r="B40" s="191" t="s">
        <v>230</v>
      </c>
      <c r="C40">
        <v>0</v>
      </c>
      <c r="D40">
        <v>0</v>
      </c>
      <c r="E40">
        <v>5.9999999999999995E-4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5.9999999999999995E-4</v>
      </c>
    </row>
    <row r="41" spans="1:12" x14ac:dyDescent="0.15">
      <c r="A41">
        <v>40</v>
      </c>
      <c r="B41" s="191" t="s">
        <v>231</v>
      </c>
      <c r="C41">
        <v>0</v>
      </c>
      <c r="D41">
        <v>0</v>
      </c>
      <c r="E41">
        <v>4.712E-3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4.712E-3</v>
      </c>
    </row>
    <row r="42" spans="1:12" x14ac:dyDescent="0.15">
      <c r="A42">
        <v>41</v>
      </c>
      <c r="B42" s="191" t="s">
        <v>232</v>
      </c>
      <c r="C42">
        <v>0</v>
      </c>
      <c r="D42">
        <v>0</v>
      </c>
      <c r="E42">
        <v>4.6280000000000002E-3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4.6280000000000002E-3</v>
      </c>
    </row>
    <row r="43" spans="1:12" x14ac:dyDescent="0.15">
      <c r="A43">
        <v>42</v>
      </c>
      <c r="B43" s="191" t="s">
        <v>233</v>
      </c>
      <c r="C43">
        <v>1.1826E-2</v>
      </c>
      <c r="D43">
        <v>0</v>
      </c>
      <c r="E43">
        <v>2.0427000000000001E-2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3.2253000000000004E-2</v>
      </c>
    </row>
    <row r="44" spans="1:12" x14ac:dyDescent="0.15">
      <c r="A44">
        <v>43</v>
      </c>
      <c r="B44" s="191" t="s">
        <v>234</v>
      </c>
      <c r="C44">
        <v>8.6309999999999998E-3</v>
      </c>
      <c r="D44">
        <v>0</v>
      </c>
      <c r="E44">
        <v>3.699E-3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1.2330000000000001E-2</v>
      </c>
    </row>
    <row r="45" spans="1:12" x14ac:dyDescent="0.15">
      <c r="A45">
        <v>44</v>
      </c>
      <c r="B45" s="191" t="s">
        <v>235</v>
      </c>
      <c r="C45">
        <v>7.4999999999999993E-5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7.4999999999999993E-5</v>
      </c>
    </row>
    <row r="46" spans="1:12" x14ac:dyDescent="0.15">
      <c r="A46">
        <v>45</v>
      </c>
      <c r="B46" s="191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x14ac:dyDescent="0.15">
      <c r="A47">
        <v>46</v>
      </c>
      <c r="B47" s="191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 x14ac:dyDescent="0.15">
      <c r="A48">
        <v>47</v>
      </c>
      <c r="B48" s="191" t="s">
        <v>238</v>
      </c>
      <c r="C48">
        <v>1.0579999999999999E-3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1.0579999999999999E-3</v>
      </c>
    </row>
    <row r="49" spans="1:12" x14ac:dyDescent="0.15">
      <c r="A49">
        <v>48</v>
      </c>
      <c r="B49" s="191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</row>
    <row r="50" spans="1:12" x14ac:dyDescent="0.15">
      <c r="A50">
        <v>49</v>
      </c>
      <c r="B50" s="191" t="s">
        <v>240</v>
      </c>
      <c r="C50">
        <v>0</v>
      </c>
      <c r="D50">
        <v>0</v>
      </c>
      <c r="E50">
        <v>2.0000000000000001E-4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2.0000000000000001E-4</v>
      </c>
    </row>
    <row r="51" spans="1:12" x14ac:dyDescent="0.15">
      <c r="A51">
        <v>50</v>
      </c>
      <c r="B51" s="191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15">
      <c r="A52">
        <v>51</v>
      </c>
      <c r="B52" s="191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15">
      <c r="A53">
        <v>52</v>
      </c>
      <c r="B53" s="191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15">
      <c r="A54">
        <v>53</v>
      </c>
      <c r="B54" s="191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7" bestFit="1" customWidth="1"/>
    <col min="6" max="6" width="4.83203125" bestFit="1" customWidth="1"/>
    <col min="7" max="9" width="3.83203125" bestFit="1" customWidth="1"/>
    <col min="10" max="11" width="4.83203125" style="11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4" customFormat="1" ht="14" thickBot="1" x14ac:dyDescent="0.2">
      <c r="D1" s="115" t="s">
        <v>8</v>
      </c>
      <c r="E1" s="115" t="s">
        <v>0</v>
      </c>
      <c r="F1" s="116" t="s">
        <v>99</v>
      </c>
      <c r="G1" s="117" t="s">
        <v>84</v>
      </c>
      <c r="H1" s="117" t="s">
        <v>85</v>
      </c>
      <c r="I1" s="117" t="s">
        <v>86</v>
      </c>
      <c r="J1" s="117" t="s">
        <v>87</v>
      </c>
      <c r="K1" s="117" t="s">
        <v>88</v>
      </c>
      <c r="L1" s="118" t="s">
        <v>89</v>
      </c>
      <c r="M1" s="118" t="s">
        <v>93</v>
      </c>
      <c r="N1" s="118" t="s">
        <v>92</v>
      </c>
      <c r="O1" s="118" t="s">
        <v>90</v>
      </c>
      <c r="P1" s="118" t="s">
        <v>91</v>
      </c>
      <c r="Q1" s="119" t="s">
        <v>94</v>
      </c>
      <c r="R1" s="119" t="s">
        <v>95</v>
      </c>
      <c r="S1" s="119" t="s">
        <v>96</v>
      </c>
      <c r="T1" s="119" t="s">
        <v>97</v>
      </c>
      <c r="U1" s="119" t="s">
        <v>98</v>
      </c>
      <c r="V1" s="117" t="s">
        <v>100</v>
      </c>
      <c r="W1" s="117" t="s">
        <v>101</v>
      </c>
      <c r="X1" s="117" t="s">
        <v>102</v>
      </c>
      <c r="Y1" s="117" t="s">
        <v>134</v>
      </c>
      <c r="Z1" s="118" t="s">
        <v>103</v>
      </c>
      <c r="AA1" s="118" t="s">
        <v>104</v>
      </c>
      <c r="AB1" s="118" t="s">
        <v>105</v>
      </c>
      <c r="AC1" s="120" t="s">
        <v>135</v>
      </c>
      <c r="AD1" s="119" t="s">
        <v>106</v>
      </c>
      <c r="AE1" s="119" t="s">
        <v>107</v>
      </c>
      <c r="AF1" s="119" t="s">
        <v>108</v>
      </c>
      <c r="AG1" s="119" t="s">
        <v>136</v>
      </c>
      <c r="AH1" s="117" t="s">
        <v>109</v>
      </c>
      <c r="AI1" s="117" t="s">
        <v>111</v>
      </c>
      <c r="AJ1" s="117" t="s">
        <v>110</v>
      </c>
      <c r="AK1" s="118" t="s">
        <v>115</v>
      </c>
      <c r="AL1" s="118" t="s">
        <v>116</v>
      </c>
      <c r="AM1" s="118" t="s">
        <v>117</v>
      </c>
      <c r="AN1" s="119" t="s">
        <v>112</v>
      </c>
      <c r="AO1" s="119" t="s">
        <v>113</v>
      </c>
      <c r="AP1" s="119" t="s">
        <v>114</v>
      </c>
    </row>
    <row r="2" spans="1:42" x14ac:dyDescent="0.15">
      <c r="A2" s="121" t="s">
        <v>74</v>
      </c>
      <c r="B2" s="122">
        <v>1</v>
      </c>
      <c r="D2">
        <v>1</v>
      </c>
      <c r="E2" s="193" t="s">
        <v>192</v>
      </c>
      <c r="F2">
        <v>0.98</v>
      </c>
      <c r="G2">
        <v>0.8</v>
      </c>
      <c r="H2">
        <v>0.8</v>
      </c>
      <c r="I2">
        <v>0</v>
      </c>
      <c r="J2" s="112">
        <v>0</v>
      </c>
      <c r="K2" s="112">
        <v>0</v>
      </c>
    </row>
    <row r="3" spans="1:42" x14ac:dyDescent="0.15">
      <c r="A3" s="121" t="s">
        <v>75</v>
      </c>
      <c r="B3" s="123">
        <v>1</v>
      </c>
      <c r="D3">
        <v>2</v>
      </c>
      <c r="E3" s="193" t="s">
        <v>193</v>
      </c>
      <c r="F3">
        <v>0.98</v>
      </c>
      <c r="G3">
        <v>0.8</v>
      </c>
      <c r="H3">
        <v>0.8</v>
      </c>
      <c r="I3">
        <v>0.8</v>
      </c>
      <c r="J3" s="112">
        <v>0.25</v>
      </c>
      <c r="K3" s="112">
        <v>0.05</v>
      </c>
    </row>
    <row r="4" spans="1:42" x14ac:dyDescent="0.15">
      <c r="A4" s="121" t="s">
        <v>76</v>
      </c>
      <c r="B4" s="123">
        <v>1</v>
      </c>
      <c r="D4">
        <v>3</v>
      </c>
      <c r="E4" s="193" t="s">
        <v>194</v>
      </c>
      <c r="F4">
        <v>0.98</v>
      </c>
      <c r="G4">
        <v>0.8</v>
      </c>
      <c r="H4">
        <v>0.8</v>
      </c>
      <c r="I4">
        <v>0.8</v>
      </c>
      <c r="J4" s="112">
        <v>0.25</v>
      </c>
      <c r="K4" s="112">
        <v>0.05</v>
      </c>
    </row>
    <row r="5" spans="1:42" x14ac:dyDescent="0.15">
      <c r="A5" s="121" t="s">
        <v>77</v>
      </c>
      <c r="B5" s="123">
        <v>1</v>
      </c>
      <c r="D5">
        <v>4</v>
      </c>
      <c r="E5" s="193" t="s">
        <v>195</v>
      </c>
      <c r="F5">
        <v>0.98</v>
      </c>
      <c r="G5">
        <v>0.8</v>
      </c>
      <c r="H5">
        <v>0.8</v>
      </c>
      <c r="I5">
        <v>0.8</v>
      </c>
      <c r="J5" s="112">
        <v>0.25</v>
      </c>
      <c r="K5" s="112">
        <v>0.05</v>
      </c>
    </row>
    <row r="6" spans="1:42" x14ac:dyDescent="0.15">
      <c r="A6" s="121" t="s">
        <v>78</v>
      </c>
      <c r="B6" s="123">
        <v>1</v>
      </c>
      <c r="D6">
        <v>5</v>
      </c>
      <c r="E6" s="193" t="s">
        <v>196</v>
      </c>
      <c r="F6">
        <v>0.98</v>
      </c>
      <c r="G6">
        <v>0.8</v>
      </c>
      <c r="H6">
        <v>0.8</v>
      </c>
      <c r="I6">
        <v>0.8</v>
      </c>
      <c r="J6" s="112">
        <v>0.25</v>
      </c>
      <c r="K6" s="112">
        <v>0.05</v>
      </c>
    </row>
    <row r="7" spans="1:42" x14ac:dyDescent="0.15">
      <c r="A7" s="121" t="s">
        <v>79</v>
      </c>
      <c r="B7" s="123">
        <v>1</v>
      </c>
      <c r="D7">
        <v>6</v>
      </c>
      <c r="E7" s="193" t="s">
        <v>197</v>
      </c>
      <c r="F7">
        <v>0.98</v>
      </c>
      <c r="G7">
        <v>0.8</v>
      </c>
      <c r="H7">
        <v>0.8</v>
      </c>
      <c r="I7">
        <v>0.8</v>
      </c>
      <c r="J7" s="112">
        <v>0.25</v>
      </c>
      <c r="K7" s="112">
        <v>0.05</v>
      </c>
    </row>
    <row r="8" spans="1:42" x14ac:dyDescent="0.15">
      <c r="A8" s="121" t="s">
        <v>80</v>
      </c>
      <c r="B8" s="123">
        <v>1</v>
      </c>
      <c r="D8">
        <v>7</v>
      </c>
      <c r="E8" s="193" t="s">
        <v>198</v>
      </c>
      <c r="F8">
        <v>0.98</v>
      </c>
      <c r="G8">
        <v>0.8</v>
      </c>
      <c r="H8">
        <v>0.8</v>
      </c>
      <c r="I8">
        <v>0.8</v>
      </c>
      <c r="J8" s="112">
        <v>0.25</v>
      </c>
      <c r="K8" s="112">
        <v>0.05</v>
      </c>
    </row>
    <row r="9" spans="1:42" x14ac:dyDescent="0.15">
      <c r="A9" s="121" t="s">
        <v>81</v>
      </c>
      <c r="B9" s="123">
        <v>0.1</v>
      </c>
      <c r="C9" s="61" t="s">
        <v>150</v>
      </c>
      <c r="D9">
        <v>8</v>
      </c>
      <c r="E9" s="193" t="s">
        <v>199</v>
      </c>
      <c r="F9">
        <v>0.98</v>
      </c>
      <c r="G9">
        <v>0.8</v>
      </c>
      <c r="H9">
        <v>0.8</v>
      </c>
      <c r="I9">
        <v>0.8</v>
      </c>
      <c r="J9" s="112">
        <v>0.25</v>
      </c>
      <c r="K9" s="112">
        <v>0.05</v>
      </c>
    </row>
    <row r="10" spans="1:42" ht="14" thickBot="1" x14ac:dyDescent="0.2">
      <c r="A10" s="121" t="s">
        <v>149</v>
      </c>
      <c r="B10" s="124">
        <f>1/3</f>
        <v>0.33333333333333331</v>
      </c>
      <c r="C10" s="61" t="s">
        <v>150</v>
      </c>
      <c r="D10">
        <v>9</v>
      </c>
      <c r="E10" s="193" t="s">
        <v>200</v>
      </c>
      <c r="F10">
        <v>0.98</v>
      </c>
      <c r="G10">
        <v>0.8</v>
      </c>
      <c r="H10">
        <v>0.8</v>
      </c>
      <c r="I10">
        <v>0.8</v>
      </c>
      <c r="J10" s="112">
        <v>0.25</v>
      </c>
      <c r="K10" s="112">
        <v>0.05</v>
      </c>
    </row>
    <row r="11" spans="1:42" x14ac:dyDescent="0.15">
      <c r="D11">
        <v>10</v>
      </c>
      <c r="E11" s="193" t="s">
        <v>201</v>
      </c>
      <c r="F11">
        <v>0.98</v>
      </c>
      <c r="G11">
        <v>0.8</v>
      </c>
      <c r="H11">
        <v>0.8</v>
      </c>
      <c r="I11">
        <v>0.8</v>
      </c>
      <c r="J11" s="112">
        <v>0.25</v>
      </c>
      <c r="K11" s="112">
        <v>0.05</v>
      </c>
    </row>
    <row r="12" spans="1:42" x14ac:dyDescent="0.15">
      <c r="D12">
        <v>11</v>
      </c>
      <c r="E12" s="193" t="s">
        <v>202</v>
      </c>
      <c r="F12">
        <v>0.98</v>
      </c>
      <c r="G12">
        <v>0.8</v>
      </c>
      <c r="H12">
        <v>0.8</v>
      </c>
      <c r="I12">
        <v>0.8</v>
      </c>
      <c r="J12" s="112">
        <v>0.25</v>
      </c>
      <c r="K12" s="112">
        <v>0.05</v>
      </c>
    </row>
    <row r="13" spans="1:42" x14ac:dyDescent="0.15">
      <c r="D13">
        <v>12</v>
      </c>
      <c r="E13" s="193" t="s">
        <v>203</v>
      </c>
      <c r="F13">
        <v>0.98</v>
      </c>
      <c r="G13">
        <v>0.8</v>
      </c>
      <c r="H13">
        <v>0.8</v>
      </c>
      <c r="I13">
        <v>0.8</v>
      </c>
      <c r="J13" s="112">
        <v>0.25</v>
      </c>
      <c r="K13" s="112">
        <v>0.05</v>
      </c>
    </row>
    <row r="14" spans="1:42" x14ac:dyDescent="0.15">
      <c r="D14">
        <v>13</v>
      </c>
      <c r="E14" s="193" t="s">
        <v>204</v>
      </c>
      <c r="F14">
        <v>0.98</v>
      </c>
      <c r="G14">
        <v>0.8</v>
      </c>
      <c r="H14">
        <v>0.8</v>
      </c>
      <c r="I14">
        <v>0.8</v>
      </c>
      <c r="J14" s="112">
        <v>0.25</v>
      </c>
      <c r="K14" s="112">
        <v>0.05</v>
      </c>
    </row>
    <row r="15" spans="1:42" x14ac:dyDescent="0.15">
      <c r="D15">
        <v>14</v>
      </c>
      <c r="E15" s="193" t="s">
        <v>205</v>
      </c>
      <c r="F15">
        <v>0.98</v>
      </c>
      <c r="G15">
        <v>0.8</v>
      </c>
      <c r="H15">
        <v>0.8</v>
      </c>
      <c r="I15">
        <v>0.8</v>
      </c>
      <c r="J15" s="112">
        <v>0.25</v>
      </c>
      <c r="K15" s="112">
        <v>0.05</v>
      </c>
    </row>
    <row r="16" spans="1:42" x14ac:dyDescent="0.15">
      <c r="D16">
        <v>15</v>
      </c>
      <c r="E16" s="193" t="s">
        <v>206</v>
      </c>
      <c r="F16">
        <v>0.98</v>
      </c>
      <c r="G16">
        <v>0.8</v>
      </c>
      <c r="H16">
        <v>0.8</v>
      </c>
      <c r="I16">
        <v>0.8</v>
      </c>
      <c r="J16" s="112">
        <v>0.25</v>
      </c>
      <c r="K16" s="112">
        <v>0.05</v>
      </c>
    </row>
    <row r="17" spans="4:33" ht="15" customHeight="1" x14ac:dyDescent="0.15">
      <c r="D17">
        <v>16</v>
      </c>
      <c r="E17" s="193" t="s">
        <v>207</v>
      </c>
      <c r="F17">
        <v>0.98</v>
      </c>
      <c r="G17">
        <v>0.8</v>
      </c>
      <c r="H17">
        <v>0.8</v>
      </c>
      <c r="I17">
        <v>0.8</v>
      </c>
      <c r="J17" s="112">
        <v>0.25</v>
      </c>
      <c r="K17" s="112">
        <v>0.05</v>
      </c>
    </row>
    <row r="18" spans="4:33" ht="15" customHeight="1" x14ac:dyDescent="0.15">
      <c r="D18">
        <v>17</v>
      </c>
      <c r="E18" s="193" t="s">
        <v>208</v>
      </c>
      <c r="F18">
        <v>0.98</v>
      </c>
      <c r="G18">
        <v>0.8</v>
      </c>
      <c r="H18">
        <v>0.8</v>
      </c>
      <c r="I18">
        <v>0.8</v>
      </c>
      <c r="J18" s="112">
        <v>0.25</v>
      </c>
      <c r="K18" s="112">
        <v>0.05</v>
      </c>
    </row>
    <row r="19" spans="4:33" ht="15" customHeight="1" x14ac:dyDescent="0.15">
      <c r="D19">
        <v>18</v>
      </c>
      <c r="E19" s="193" t="s">
        <v>209</v>
      </c>
      <c r="F19">
        <v>0.98</v>
      </c>
      <c r="G19">
        <v>0.8</v>
      </c>
      <c r="H19">
        <v>0.8</v>
      </c>
      <c r="I19">
        <v>0.8</v>
      </c>
      <c r="J19" s="112">
        <v>0.25</v>
      </c>
      <c r="K19" s="112">
        <v>0.05</v>
      </c>
    </row>
    <row r="20" spans="4:33" ht="15" customHeight="1" x14ac:dyDescent="0.15">
      <c r="D20">
        <v>19</v>
      </c>
      <c r="E20" s="193" t="s">
        <v>210</v>
      </c>
      <c r="F20">
        <v>0.98</v>
      </c>
      <c r="G20">
        <v>0.8</v>
      </c>
      <c r="H20">
        <v>0.8</v>
      </c>
      <c r="I20">
        <v>0.8</v>
      </c>
      <c r="J20" s="112">
        <v>0.25</v>
      </c>
      <c r="K20" s="112">
        <v>0.05</v>
      </c>
    </row>
    <row r="21" spans="4:33" ht="15" customHeight="1" x14ac:dyDescent="0.15">
      <c r="D21">
        <v>20</v>
      </c>
      <c r="E21" s="193" t="s">
        <v>211</v>
      </c>
      <c r="F21">
        <v>0.98</v>
      </c>
      <c r="G21">
        <v>0.8</v>
      </c>
      <c r="H21">
        <v>0.8</v>
      </c>
      <c r="I21">
        <v>0.8</v>
      </c>
      <c r="J21" s="112">
        <v>0.25</v>
      </c>
      <c r="K21" s="112">
        <v>0.05</v>
      </c>
    </row>
    <row r="22" spans="4:33" ht="15" customHeight="1" x14ac:dyDescent="0.15">
      <c r="D22">
        <v>21</v>
      </c>
      <c r="E22" s="193" t="s">
        <v>212</v>
      </c>
      <c r="F22">
        <v>0.98</v>
      </c>
      <c r="G22">
        <v>0.8</v>
      </c>
      <c r="H22">
        <v>0.8</v>
      </c>
      <c r="I22">
        <v>0.8</v>
      </c>
      <c r="J22" s="112">
        <v>0.25</v>
      </c>
      <c r="K22" s="112">
        <v>0.05</v>
      </c>
    </row>
    <row r="23" spans="4:33" ht="15" customHeight="1" x14ac:dyDescent="0.15">
      <c r="D23">
        <v>22</v>
      </c>
      <c r="E23" s="193" t="s">
        <v>213</v>
      </c>
      <c r="F23">
        <v>0.98</v>
      </c>
      <c r="G23">
        <v>0.8</v>
      </c>
      <c r="H23">
        <v>0.8</v>
      </c>
      <c r="I23">
        <v>0.8</v>
      </c>
      <c r="J23" s="112">
        <v>0.25</v>
      </c>
      <c r="K23" s="112">
        <v>0.05</v>
      </c>
    </row>
    <row r="24" spans="4:33" ht="15" customHeight="1" x14ac:dyDescent="0.15">
      <c r="D24">
        <v>23</v>
      </c>
      <c r="E24" s="193" t="s">
        <v>214</v>
      </c>
      <c r="F24">
        <v>0.98</v>
      </c>
      <c r="G24">
        <v>0.8</v>
      </c>
      <c r="H24">
        <v>0.8</v>
      </c>
      <c r="I24">
        <v>0.8</v>
      </c>
      <c r="J24" s="112">
        <v>0.25</v>
      </c>
      <c r="K24" s="112">
        <v>0.05</v>
      </c>
    </row>
    <row r="25" spans="4:33" ht="15" customHeight="1" x14ac:dyDescent="0.15">
      <c r="D25">
        <v>24</v>
      </c>
      <c r="E25" s="193" t="s">
        <v>215</v>
      </c>
      <c r="F25">
        <v>0.98</v>
      </c>
      <c r="G25">
        <v>0.8</v>
      </c>
      <c r="H25">
        <v>0.8</v>
      </c>
      <c r="I25">
        <v>0.8</v>
      </c>
      <c r="J25" s="112">
        <v>0.25</v>
      </c>
      <c r="K25" s="112">
        <v>0.05</v>
      </c>
    </row>
    <row r="26" spans="4:33" ht="15" customHeight="1" x14ac:dyDescent="0.15">
      <c r="D26">
        <v>25</v>
      </c>
      <c r="E26" s="193" t="s">
        <v>216</v>
      </c>
      <c r="F26">
        <v>0.98</v>
      </c>
      <c r="G26">
        <v>0.8</v>
      </c>
      <c r="H26">
        <v>0.8</v>
      </c>
      <c r="I26">
        <v>0.8</v>
      </c>
      <c r="J26" s="112">
        <v>0.25</v>
      </c>
      <c r="K26" s="112">
        <v>0.05</v>
      </c>
    </row>
    <row r="27" spans="4:33" ht="15" customHeight="1" x14ac:dyDescent="0.15">
      <c r="D27">
        <v>26</v>
      </c>
      <c r="E27" s="193" t="s">
        <v>217</v>
      </c>
      <c r="F27">
        <v>0.98</v>
      </c>
      <c r="G27">
        <v>0.8</v>
      </c>
      <c r="H27">
        <v>0.8</v>
      </c>
      <c r="I27">
        <v>0.8</v>
      </c>
      <c r="J27" s="112">
        <v>0.25</v>
      </c>
      <c r="K27" s="112">
        <v>0.05</v>
      </c>
    </row>
    <row r="28" spans="4:33" ht="15" customHeight="1" x14ac:dyDescent="0.15">
      <c r="D28">
        <v>27</v>
      </c>
      <c r="E28" s="193" t="s">
        <v>218</v>
      </c>
      <c r="F28">
        <v>0.98</v>
      </c>
      <c r="G28">
        <v>0.8</v>
      </c>
      <c r="H28">
        <v>0.8</v>
      </c>
      <c r="I28">
        <v>0.8</v>
      </c>
      <c r="J28" s="112">
        <v>0.25</v>
      </c>
      <c r="K28" s="112">
        <v>0.05</v>
      </c>
    </row>
    <row r="29" spans="4:33" ht="15" customHeight="1" x14ac:dyDescent="0.15">
      <c r="D29">
        <v>28</v>
      </c>
      <c r="E29" s="193" t="s">
        <v>219</v>
      </c>
      <c r="F29">
        <v>0.98</v>
      </c>
      <c r="G29">
        <v>0.8</v>
      </c>
      <c r="H29">
        <v>0.8</v>
      </c>
      <c r="I29">
        <v>0.8</v>
      </c>
      <c r="J29" s="112">
        <v>0.25</v>
      </c>
      <c r="K29" s="112">
        <v>0.05</v>
      </c>
      <c r="Y29"/>
      <c r="AC29"/>
      <c r="AG29"/>
    </row>
    <row r="30" spans="4:33" ht="15" customHeight="1" x14ac:dyDescent="0.15">
      <c r="D30">
        <v>29</v>
      </c>
      <c r="E30" s="193" t="s">
        <v>220</v>
      </c>
      <c r="F30">
        <v>0.98</v>
      </c>
      <c r="G30">
        <v>0.8</v>
      </c>
      <c r="H30">
        <v>0.8</v>
      </c>
      <c r="I30">
        <v>0.8</v>
      </c>
      <c r="J30" s="112">
        <v>0.25</v>
      </c>
      <c r="K30" s="112">
        <v>0.05</v>
      </c>
      <c r="Y30"/>
      <c r="AC30"/>
      <c r="AG30"/>
    </row>
    <row r="31" spans="4:33" ht="15" customHeight="1" x14ac:dyDescent="0.15">
      <c r="D31">
        <v>30</v>
      </c>
      <c r="E31" s="193" t="s">
        <v>221</v>
      </c>
      <c r="F31">
        <v>0.98</v>
      </c>
      <c r="G31">
        <v>0.8</v>
      </c>
      <c r="H31">
        <v>0.8</v>
      </c>
      <c r="I31">
        <v>0.8</v>
      </c>
      <c r="J31" s="112">
        <v>0.25</v>
      </c>
      <c r="K31" s="112">
        <v>0.05</v>
      </c>
      <c r="Y31"/>
      <c r="AC31"/>
      <c r="AG31"/>
    </row>
    <row r="32" spans="4:33" ht="15" customHeight="1" x14ac:dyDescent="0.15">
      <c r="D32">
        <v>31</v>
      </c>
      <c r="E32" s="193" t="s">
        <v>222</v>
      </c>
      <c r="F32">
        <v>0.98</v>
      </c>
      <c r="G32">
        <v>0.8</v>
      </c>
      <c r="H32">
        <v>0.8</v>
      </c>
      <c r="I32">
        <v>0.8</v>
      </c>
      <c r="J32" s="112">
        <v>0.25</v>
      </c>
      <c r="K32" s="112">
        <v>0.05</v>
      </c>
      <c r="Y32"/>
      <c r="AC32"/>
      <c r="AG32"/>
    </row>
    <row r="33" spans="4:33" ht="15" customHeight="1" x14ac:dyDescent="0.15">
      <c r="D33">
        <v>32</v>
      </c>
      <c r="E33" s="193" t="s">
        <v>223</v>
      </c>
      <c r="F33">
        <v>0.98</v>
      </c>
      <c r="G33">
        <v>0.8</v>
      </c>
      <c r="H33">
        <v>0.8</v>
      </c>
      <c r="I33">
        <v>0.8</v>
      </c>
      <c r="J33" s="112">
        <v>0.25</v>
      </c>
      <c r="K33" s="112">
        <v>0.05</v>
      </c>
      <c r="Y33"/>
      <c r="AC33"/>
      <c r="AG33"/>
    </row>
    <row r="34" spans="4:33" ht="15" customHeight="1" x14ac:dyDescent="0.15">
      <c r="D34">
        <v>33</v>
      </c>
      <c r="E34" s="193" t="s">
        <v>224</v>
      </c>
      <c r="F34">
        <v>0.98</v>
      </c>
      <c r="G34">
        <v>0.8</v>
      </c>
      <c r="H34">
        <v>0.8</v>
      </c>
      <c r="I34">
        <v>0.8</v>
      </c>
      <c r="J34" s="112">
        <v>0.25</v>
      </c>
      <c r="K34" s="112">
        <v>0.05</v>
      </c>
      <c r="Y34"/>
      <c r="AC34"/>
      <c r="AG34"/>
    </row>
    <row r="35" spans="4:33" ht="15" customHeight="1" x14ac:dyDescent="0.15">
      <c r="D35">
        <v>34</v>
      </c>
      <c r="E35" s="193" t="s">
        <v>225</v>
      </c>
      <c r="F35">
        <v>0.98</v>
      </c>
      <c r="G35">
        <v>0.8</v>
      </c>
      <c r="H35">
        <v>0.8</v>
      </c>
      <c r="I35">
        <v>0.8</v>
      </c>
      <c r="J35" s="112">
        <v>0.25</v>
      </c>
      <c r="K35" s="112">
        <v>0.05</v>
      </c>
      <c r="Y35"/>
      <c r="AC35"/>
      <c r="AG35"/>
    </row>
    <row r="36" spans="4:33" ht="15" customHeight="1" x14ac:dyDescent="0.15">
      <c r="D36">
        <v>35</v>
      </c>
      <c r="E36" s="193" t="s">
        <v>226</v>
      </c>
      <c r="F36">
        <v>0.98</v>
      </c>
      <c r="G36">
        <v>0.8</v>
      </c>
      <c r="H36">
        <v>0.8</v>
      </c>
      <c r="I36">
        <v>0.8</v>
      </c>
      <c r="J36" s="112">
        <v>0.25</v>
      </c>
      <c r="K36" s="112">
        <v>0.05</v>
      </c>
      <c r="Y36"/>
      <c r="AC36"/>
      <c r="AG36"/>
    </row>
    <row r="37" spans="4:33" ht="15" customHeight="1" x14ac:dyDescent="0.15">
      <c r="D37">
        <v>36</v>
      </c>
      <c r="E37" s="193" t="s">
        <v>227</v>
      </c>
      <c r="F37">
        <v>0.98</v>
      </c>
      <c r="G37">
        <v>0.8</v>
      </c>
      <c r="H37">
        <v>0.8</v>
      </c>
      <c r="I37">
        <v>0.8</v>
      </c>
      <c r="J37" s="112">
        <v>0.25</v>
      </c>
      <c r="K37" s="112">
        <v>0.05</v>
      </c>
      <c r="Y37"/>
      <c r="AC37"/>
      <c r="AG37"/>
    </row>
    <row r="38" spans="4:33" ht="15" customHeight="1" x14ac:dyDescent="0.15">
      <c r="D38">
        <v>37</v>
      </c>
      <c r="E38" s="193" t="s">
        <v>228</v>
      </c>
      <c r="F38">
        <v>0.98</v>
      </c>
      <c r="G38">
        <v>0.8</v>
      </c>
      <c r="H38">
        <v>0.8</v>
      </c>
      <c r="I38">
        <v>0.8</v>
      </c>
      <c r="J38" s="112">
        <v>0.25</v>
      </c>
      <c r="K38" s="112">
        <v>0.05</v>
      </c>
      <c r="Y38"/>
      <c r="AC38"/>
      <c r="AG38"/>
    </row>
    <row r="39" spans="4:33" ht="15" customHeight="1" x14ac:dyDescent="0.15">
      <c r="D39">
        <v>38</v>
      </c>
      <c r="E39" s="193" t="s">
        <v>229</v>
      </c>
      <c r="F39">
        <v>0.98</v>
      </c>
      <c r="G39">
        <v>0.8</v>
      </c>
      <c r="H39">
        <v>0.8</v>
      </c>
      <c r="I39">
        <v>0.8</v>
      </c>
      <c r="J39" s="112">
        <v>0.25</v>
      </c>
      <c r="K39" s="112">
        <v>0.05</v>
      </c>
    </row>
    <row r="40" spans="4:33" ht="15" customHeight="1" x14ac:dyDescent="0.15">
      <c r="D40">
        <v>39</v>
      </c>
      <c r="E40" s="193" t="s">
        <v>230</v>
      </c>
      <c r="F40">
        <v>0.98</v>
      </c>
      <c r="G40">
        <v>0.8</v>
      </c>
      <c r="H40">
        <v>0.8</v>
      </c>
      <c r="I40">
        <v>0.8</v>
      </c>
      <c r="J40" s="112">
        <v>0.25</v>
      </c>
      <c r="K40" s="112">
        <v>0.05</v>
      </c>
      <c r="Y40"/>
      <c r="AC40"/>
      <c r="AG40"/>
    </row>
    <row r="41" spans="4:33" ht="15" customHeight="1" x14ac:dyDescent="0.15">
      <c r="D41">
        <v>40</v>
      </c>
      <c r="E41" s="193" t="s">
        <v>231</v>
      </c>
      <c r="F41">
        <v>0.98</v>
      </c>
      <c r="G41">
        <v>0.8</v>
      </c>
      <c r="H41">
        <v>0.8</v>
      </c>
      <c r="I41">
        <v>0.8</v>
      </c>
      <c r="J41" s="112">
        <v>0.25</v>
      </c>
      <c r="K41" s="112">
        <v>0.05</v>
      </c>
      <c r="Y41"/>
      <c r="AC41"/>
      <c r="AG41"/>
    </row>
    <row r="42" spans="4:33" ht="15" customHeight="1" x14ac:dyDescent="0.15">
      <c r="D42">
        <v>41</v>
      </c>
      <c r="E42" s="193" t="s">
        <v>232</v>
      </c>
      <c r="F42">
        <v>0.98</v>
      </c>
      <c r="G42">
        <v>0.8</v>
      </c>
      <c r="H42">
        <v>0.8</v>
      </c>
      <c r="I42">
        <v>0.8</v>
      </c>
      <c r="J42" s="112">
        <v>0.25</v>
      </c>
      <c r="K42" s="112">
        <v>0.05</v>
      </c>
      <c r="Y42"/>
      <c r="AC42"/>
      <c r="AG42"/>
    </row>
    <row r="43" spans="4:33" ht="15" customHeight="1" x14ac:dyDescent="0.15">
      <c r="D43">
        <v>42</v>
      </c>
      <c r="E43" s="193" t="s">
        <v>233</v>
      </c>
      <c r="F43">
        <v>0.98</v>
      </c>
      <c r="G43">
        <v>0.8</v>
      </c>
      <c r="H43">
        <v>0.8</v>
      </c>
      <c r="I43">
        <v>0.8</v>
      </c>
      <c r="J43" s="112">
        <v>0.25</v>
      </c>
      <c r="K43" s="112">
        <v>0.05</v>
      </c>
      <c r="Y43"/>
      <c r="AC43"/>
      <c r="AG43"/>
    </row>
    <row r="44" spans="4:33" ht="15" customHeight="1" x14ac:dyDescent="0.15">
      <c r="D44">
        <v>43</v>
      </c>
      <c r="E44" s="193" t="s">
        <v>234</v>
      </c>
      <c r="F44">
        <v>0.98</v>
      </c>
      <c r="G44">
        <v>0.8</v>
      </c>
      <c r="H44">
        <v>0.8</v>
      </c>
      <c r="I44">
        <v>0.8</v>
      </c>
      <c r="J44" s="112">
        <v>0.25</v>
      </c>
      <c r="K44" s="112">
        <v>0.05</v>
      </c>
      <c r="Y44"/>
      <c r="AC44"/>
      <c r="AG44"/>
    </row>
    <row r="45" spans="4:33" ht="15" customHeight="1" x14ac:dyDescent="0.15">
      <c r="D45">
        <v>44</v>
      </c>
      <c r="E45" s="193" t="s">
        <v>235</v>
      </c>
      <c r="F45">
        <v>0.98</v>
      </c>
      <c r="G45">
        <v>0.8</v>
      </c>
      <c r="H45">
        <v>0.8</v>
      </c>
      <c r="I45">
        <v>0.8</v>
      </c>
      <c r="J45" s="112">
        <v>0.25</v>
      </c>
      <c r="K45" s="112">
        <v>0.05</v>
      </c>
      <c r="Y45"/>
      <c r="AC45"/>
      <c r="AG45"/>
    </row>
    <row r="46" spans="4:33" ht="15" customHeight="1" x14ac:dyDescent="0.15">
      <c r="D46">
        <v>45</v>
      </c>
      <c r="E46" s="193" t="s">
        <v>236</v>
      </c>
      <c r="F46">
        <v>0.98</v>
      </c>
      <c r="G46">
        <v>0.8</v>
      </c>
      <c r="H46">
        <v>0.8</v>
      </c>
      <c r="I46">
        <v>0.8</v>
      </c>
      <c r="J46" s="112">
        <v>0.25</v>
      </c>
      <c r="K46" s="112">
        <v>0.05</v>
      </c>
      <c r="Y46"/>
      <c r="AC46"/>
      <c r="AG46"/>
    </row>
    <row r="47" spans="4:33" ht="15" customHeight="1" x14ac:dyDescent="0.15">
      <c r="D47">
        <v>46</v>
      </c>
      <c r="E47" s="193" t="s">
        <v>237</v>
      </c>
      <c r="F47">
        <v>0.98</v>
      </c>
      <c r="G47">
        <v>0.8</v>
      </c>
      <c r="H47">
        <v>0.8</v>
      </c>
      <c r="I47">
        <v>0.8</v>
      </c>
      <c r="J47" s="112">
        <v>0.25</v>
      </c>
      <c r="K47" s="112">
        <v>0.05</v>
      </c>
      <c r="Y47"/>
      <c r="AC47"/>
      <c r="AG47"/>
    </row>
    <row r="48" spans="4:33" ht="15" customHeight="1" x14ac:dyDescent="0.15">
      <c r="D48">
        <v>47</v>
      </c>
      <c r="E48" s="193" t="s">
        <v>238</v>
      </c>
      <c r="F48">
        <v>0.98</v>
      </c>
      <c r="G48">
        <v>0.8</v>
      </c>
      <c r="H48">
        <v>0.8</v>
      </c>
      <c r="I48">
        <v>0.8</v>
      </c>
      <c r="J48" s="112">
        <v>0.25</v>
      </c>
      <c r="K48" s="112">
        <v>0.05</v>
      </c>
      <c r="Y48"/>
      <c r="AC48"/>
      <c r="AG48"/>
    </row>
    <row r="49" spans="4:33" ht="15" customHeight="1" x14ac:dyDescent="0.15">
      <c r="D49">
        <v>48</v>
      </c>
      <c r="E49" s="193" t="s">
        <v>239</v>
      </c>
      <c r="F49">
        <v>0.98</v>
      </c>
      <c r="G49">
        <v>0.8</v>
      </c>
      <c r="H49">
        <v>0.8</v>
      </c>
      <c r="I49">
        <v>0.8</v>
      </c>
      <c r="J49" s="112">
        <v>0.25</v>
      </c>
      <c r="K49" s="112">
        <v>0.05</v>
      </c>
      <c r="Y49"/>
      <c r="AC49"/>
      <c r="AG49"/>
    </row>
    <row r="50" spans="4:33" ht="15" customHeight="1" x14ac:dyDescent="0.15">
      <c r="D50">
        <v>49</v>
      </c>
      <c r="E50" s="193" t="s">
        <v>240</v>
      </c>
      <c r="F50">
        <v>0.98</v>
      </c>
      <c r="G50">
        <v>0.8</v>
      </c>
      <c r="H50">
        <v>0.8</v>
      </c>
      <c r="I50">
        <v>0.8</v>
      </c>
      <c r="J50" s="112">
        <v>0.25</v>
      </c>
      <c r="K50" s="112">
        <v>0.05</v>
      </c>
      <c r="Y50"/>
      <c r="AC50"/>
      <c r="AG50"/>
    </row>
    <row r="51" spans="4:33" ht="15" customHeight="1" x14ac:dyDescent="0.15">
      <c r="D51">
        <v>50</v>
      </c>
      <c r="E51" s="193" t="s">
        <v>241</v>
      </c>
      <c r="F51">
        <v>0.98</v>
      </c>
      <c r="G51">
        <v>0.8</v>
      </c>
      <c r="H51">
        <v>0.8</v>
      </c>
      <c r="I51">
        <v>0.8</v>
      </c>
      <c r="J51" s="112">
        <v>0.25</v>
      </c>
      <c r="K51" s="112">
        <v>0.05</v>
      </c>
      <c r="Y51"/>
      <c r="AC51"/>
      <c r="AG51"/>
    </row>
    <row r="52" spans="4:33" ht="15" customHeight="1" x14ac:dyDescent="0.15">
      <c r="D52">
        <v>51</v>
      </c>
      <c r="E52" s="193" t="s">
        <v>242</v>
      </c>
      <c r="F52">
        <v>0.98</v>
      </c>
      <c r="G52">
        <v>0.8</v>
      </c>
      <c r="H52">
        <v>0</v>
      </c>
      <c r="I52">
        <v>0</v>
      </c>
      <c r="J52" s="112">
        <v>0</v>
      </c>
      <c r="K52" s="112">
        <v>0</v>
      </c>
      <c r="Y52"/>
      <c r="AC52"/>
      <c r="AG52"/>
    </row>
    <row r="53" spans="4:33" ht="15" customHeight="1" x14ac:dyDescent="0.15">
      <c r="D53">
        <v>52</v>
      </c>
      <c r="E53" s="193" t="s">
        <v>243</v>
      </c>
      <c r="F53">
        <v>0.98</v>
      </c>
      <c r="G53">
        <v>0.8</v>
      </c>
      <c r="H53">
        <v>0</v>
      </c>
      <c r="I53">
        <v>0</v>
      </c>
      <c r="J53" s="112">
        <v>0</v>
      </c>
      <c r="K53" s="112">
        <v>0</v>
      </c>
      <c r="Y53"/>
      <c r="AC53"/>
      <c r="AG53"/>
    </row>
    <row r="54" spans="4:33" ht="15" customHeight="1" x14ac:dyDescent="0.15">
      <c r="D54">
        <v>53</v>
      </c>
      <c r="E54" s="193" t="s">
        <v>244</v>
      </c>
      <c r="F54">
        <v>0.98</v>
      </c>
      <c r="G54">
        <v>0.8</v>
      </c>
      <c r="H54">
        <v>0</v>
      </c>
      <c r="I54">
        <v>0</v>
      </c>
      <c r="J54" s="112">
        <v>0</v>
      </c>
      <c r="K54" s="112">
        <v>0</v>
      </c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B55"/>
  <sheetViews>
    <sheetView workbookViewId="0">
      <selection activeCell="A3" sqref="A3"/>
    </sheetView>
  </sheetViews>
  <sheetFormatPr baseColWidth="10" defaultRowHeight="13" x14ac:dyDescent="0.15"/>
  <cols>
    <col min="1" max="1" width="21.6640625" style="110" bestFit="1" customWidth="1"/>
    <col min="2" max="2" width="2.33203125" style="110" customWidth="1"/>
    <col min="3" max="51" width="3.83203125" style="110" customWidth="1"/>
    <col min="52" max="54" width="2.33203125" style="110" customWidth="1"/>
    <col min="55" max="16384" width="10.83203125" style="110"/>
  </cols>
  <sheetData>
    <row r="1" spans="1:54" x14ac:dyDescent="0.15">
      <c r="A1" s="63" t="s">
        <v>118</v>
      </c>
      <c r="B1" s="195" t="s">
        <v>192</v>
      </c>
      <c r="C1" s="195" t="s">
        <v>193</v>
      </c>
      <c r="D1" s="195" t="s">
        <v>194</v>
      </c>
      <c r="E1" s="195" t="s">
        <v>195</v>
      </c>
      <c r="F1" s="195" t="s">
        <v>196</v>
      </c>
      <c r="G1" s="195" t="s">
        <v>197</v>
      </c>
      <c r="H1" s="195" t="s">
        <v>198</v>
      </c>
      <c r="I1" s="195" t="s">
        <v>199</v>
      </c>
      <c r="J1" s="195" t="s">
        <v>200</v>
      </c>
      <c r="K1" s="195" t="s">
        <v>201</v>
      </c>
      <c r="L1" s="195" t="s">
        <v>202</v>
      </c>
      <c r="M1" s="195" t="s">
        <v>203</v>
      </c>
      <c r="N1" s="195" t="s">
        <v>204</v>
      </c>
      <c r="O1" s="195" t="s">
        <v>205</v>
      </c>
      <c r="P1" s="195" t="s">
        <v>206</v>
      </c>
      <c r="Q1" s="195" t="s">
        <v>207</v>
      </c>
      <c r="R1" s="195" t="s">
        <v>208</v>
      </c>
      <c r="S1" s="195" t="s">
        <v>209</v>
      </c>
      <c r="T1" s="195" t="s">
        <v>210</v>
      </c>
      <c r="U1" s="195" t="s">
        <v>211</v>
      </c>
      <c r="V1" s="195" t="s">
        <v>212</v>
      </c>
      <c r="W1" s="195" t="s">
        <v>213</v>
      </c>
      <c r="X1" s="195" t="s">
        <v>214</v>
      </c>
      <c r="Y1" s="195" t="s">
        <v>215</v>
      </c>
      <c r="Z1" s="195" t="s">
        <v>216</v>
      </c>
      <c r="AA1" s="195" t="s">
        <v>217</v>
      </c>
      <c r="AB1" s="195" t="s">
        <v>218</v>
      </c>
      <c r="AC1" s="195" t="s">
        <v>219</v>
      </c>
      <c r="AD1" s="195" t="s">
        <v>220</v>
      </c>
      <c r="AE1" s="195" t="s">
        <v>221</v>
      </c>
      <c r="AF1" s="195" t="s">
        <v>222</v>
      </c>
      <c r="AG1" s="195" t="s">
        <v>223</v>
      </c>
      <c r="AH1" s="195" t="s">
        <v>224</v>
      </c>
      <c r="AI1" s="195" t="s">
        <v>225</v>
      </c>
      <c r="AJ1" s="195" t="s">
        <v>226</v>
      </c>
      <c r="AK1" s="195" t="s">
        <v>227</v>
      </c>
      <c r="AL1" s="195" t="s">
        <v>228</v>
      </c>
      <c r="AM1" s="195" t="s">
        <v>229</v>
      </c>
      <c r="AN1" s="195" t="s">
        <v>230</v>
      </c>
      <c r="AO1" s="195" t="s">
        <v>231</v>
      </c>
      <c r="AP1" s="195" t="s">
        <v>232</v>
      </c>
      <c r="AQ1" s="195" t="s">
        <v>233</v>
      </c>
      <c r="AR1" s="195" t="s">
        <v>234</v>
      </c>
      <c r="AS1" s="195" t="s">
        <v>235</v>
      </c>
      <c r="AT1" s="195" t="s">
        <v>236</v>
      </c>
      <c r="AU1" s="195" t="s">
        <v>237</v>
      </c>
      <c r="AV1" s="195" t="s">
        <v>238</v>
      </c>
      <c r="AW1" s="195" t="s">
        <v>239</v>
      </c>
      <c r="AX1" s="195" t="s">
        <v>240</v>
      </c>
      <c r="AY1" s="195" t="s">
        <v>241</v>
      </c>
      <c r="AZ1" s="195" t="s">
        <v>242</v>
      </c>
      <c r="BA1" s="195" t="s">
        <v>243</v>
      </c>
      <c r="BB1" s="195" t="s">
        <v>244</v>
      </c>
    </row>
    <row r="2" spans="1:54" customFormat="1" x14ac:dyDescent="0.15">
      <c r="A2" s="194" t="s">
        <v>192</v>
      </c>
      <c r="B2" s="110">
        <v>0</v>
      </c>
      <c r="C2" s="110">
        <v>0.8</v>
      </c>
      <c r="D2" s="110">
        <v>0.8</v>
      </c>
      <c r="E2" s="110">
        <v>0</v>
      </c>
      <c r="F2" s="110">
        <v>0</v>
      </c>
      <c r="G2" s="110">
        <v>0.8</v>
      </c>
      <c r="H2" s="110">
        <v>0.8</v>
      </c>
      <c r="I2" s="110">
        <v>0</v>
      </c>
      <c r="J2" s="110">
        <v>0.8</v>
      </c>
      <c r="K2" s="110">
        <v>0.8</v>
      </c>
      <c r="L2" s="110">
        <v>0.8</v>
      </c>
      <c r="M2" s="110">
        <v>0</v>
      </c>
      <c r="N2" s="110">
        <v>0</v>
      </c>
      <c r="O2" s="110">
        <v>0.8</v>
      </c>
      <c r="P2" s="110">
        <v>0.8</v>
      </c>
      <c r="Q2" s="110">
        <v>0</v>
      </c>
      <c r="R2" s="110">
        <v>0</v>
      </c>
      <c r="S2" s="110">
        <v>0</v>
      </c>
      <c r="T2" s="110">
        <v>0</v>
      </c>
      <c r="U2" s="110">
        <v>0</v>
      </c>
      <c r="V2" s="110">
        <v>0</v>
      </c>
      <c r="W2" s="110">
        <v>0</v>
      </c>
      <c r="X2" s="110">
        <v>0</v>
      </c>
      <c r="Y2" s="110">
        <v>0</v>
      </c>
      <c r="Z2" s="110">
        <v>0</v>
      </c>
      <c r="AA2" s="110">
        <v>0</v>
      </c>
      <c r="AB2" s="110">
        <v>0</v>
      </c>
      <c r="AC2" s="110">
        <v>0</v>
      </c>
      <c r="AD2" s="110">
        <v>0</v>
      </c>
      <c r="AE2" s="110">
        <v>0</v>
      </c>
      <c r="AF2" s="110">
        <v>0</v>
      </c>
      <c r="AG2" s="110">
        <v>0</v>
      </c>
      <c r="AH2" s="110">
        <v>0.8</v>
      </c>
      <c r="AI2" s="110">
        <v>0</v>
      </c>
      <c r="AJ2" s="110">
        <v>0</v>
      </c>
      <c r="AK2" s="110">
        <v>0</v>
      </c>
      <c r="AL2" s="110">
        <v>0</v>
      </c>
      <c r="AM2" s="110">
        <v>0</v>
      </c>
      <c r="AN2" s="110">
        <v>0</v>
      </c>
      <c r="AO2" s="110">
        <v>0</v>
      </c>
      <c r="AP2" s="110">
        <v>0</v>
      </c>
      <c r="AQ2" s="110">
        <v>0</v>
      </c>
      <c r="AR2" s="110">
        <v>0</v>
      </c>
      <c r="AS2" s="110">
        <v>0</v>
      </c>
      <c r="AT2" s="110">
        <v>0</v>
      </c>
      <c r="AU2" s="110">
        <v>0</v>
      </c>
      <c r="AV2" s="110">
        <v>0.8</v>
      </c>
      <c r="AW2" s="110">
        <v>0</v>
      </c>
      <c r="AX2" s="110">
        <v>0</v>
      </c>
      <c r="AY2" s="110">
        <v>0</v>
      </c>
      <c r="AZ2" s="110">
        <v>0</v>
      </c>
      <c r="BA2" s="110">
        <v>0</v>
      </c>
      <c r="BB2" s="110">
        <v>0</v>
      </c>
    </row>
    <row r="3" spans="1:54" customFormat="1" x14ac:dyDescent="0.15">
      <c r="A3" s="194" t="s">
        <v>193</v>
      </c>
      <c r="B3" s="110">
        <v>0</v>
      </c>
      <c r="C3" s="110">
        <v>0.8</v>
      </c>
      <c r="D3" s="110">
        <v>0.8</v>
      </c>
      <c r="E3" s="110">
        <v>0</v>
      </c>
      <c r="F3" s="110">
        <v>0</v>
      </c>
      <c r="G3" s="110">
        <v>0.8</v>
      </c>
      <c r="H3" s="110">
        <v>0.8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10">
        <v>0</v>
      </c>
      <c r="P3" s="110">
        <v>0.8</v>
      </c>
      <c r="Q3" s="110">
        <v>0.8</v>
      </c>
      <c r="R3" s="110">
        <v>0</v>
      </c>
      <c r="S3" s="110">
        <v>0</v>
      </c>
      <c r="T3" s="110">
        <v>0</v>
      </c>
      <c r="U3" s="110">
        <v>0</v>
      </c>
      <c r="V3" s="110">
        <v>0</v>
      </c>
      <c r="W3" s="110">
        <v>0</v>
      </c>
      <c r="X3" s="110">
        <v>0.8</v>
      </c>
      <c r="Y3" s="110">
        <v>0.8</v>
      </c>
      <c r="Z3" s="110">
        <v>0</v>
      </c>
      <c r="AA3" s="110">
        <v>0</v>
      </c>
      <c r="AB3" s="110">
        <v>0.8</v>
      </c>
      <c r="AC3" s="110">
        <v>0.8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</v>
      </c>
      <c r="AJ3" s="110">
        <v>0</v>
      </c>
      <c r="AK3" s="110">
        <v>0</v>
      </c>
      <c r="AL3" s="110">
        <v>0</v>
      </c>
      <c r="AM3" s="110">
        <v>0</v>
      </c>
      <c r="AN3" s="110">
        <v>0.8</v>
      </c>
      <c r="AO3" s="110">
        <v>0.8</v>
      </c>
      <c r="AP3" s="110">
        <v>0.8</v>
      </c>
      <c r="AQ3" s="110">
        <v>0.8</v>
      </c>
      <c r="AR3" s="110">
        <v>0.8</v>
      </c>
      <c r="AS3" s="110">
        <v>0</v>
      </c>
      <c r="AT3" s="110">
        <v>0</v>
      </c>
      <c r="AU3" s="110">
        <v>0</v>
      </c>
      <c r="AV3" s="110">
        <v>0</v>
      </c>
      <c r="AW3" s="110">
        <v>0</v>
      </c>
      <c r="AX3" s="110">
        <v>0</v>
      </c>
      <c r="AY3" s="110">
        <v>0</v>
      </c>
      <c r="AZ3" s="110">
        <v>0</v>
      </c>
      <c r="BA3" s="110">
        <v>0</v>
      </c>
      <c r="BB3" s="110">
        <v>0</v>
      </c>
    </row>
    <row r="4" spans="1:54" customFormat="1" x14ac:dyDescent="0.15">
      <c r="A4" s="194" t="s">
        <v>194</v>
      </c>
      <c r="B4" s="110">
        <v>0</v>
      </c>
      <c r="C4" s="110">
        <v>0</v>
      </c>
      <c r="D4" s="110">
        <v>0.8</v>
      </c>
      <c r="E4" s="110">
        <v>0.8</v>
      </c>
      <c r="F4" s="110">
        <v>0</v>
      </c>
      <c r="G4" s="110">
        <v>0.8</v>
      </c>
      <c r="H4" s="110">
        <v>0.8</v>
      </c>
      <c r="I4" s="110">
        <v>0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0.8</v>
      </c>
      <c r="Q4" s="110">
        <v>0.8</v>
      </c>
      <c r="R4" s="110">
        <v>0</v>
      </c>
      <c r="S4" s="110">
        <v>0</v>
      </c>
      <c r="T4" s="110">
        <v>0</v>
      </c>
      <c r="U4" s="110">
        <v>0</v>
      </c>
      <c r="V4" s="110">
        <v>0</v>
      </c>
      <c r="W4" s="110">
        <v>0</v>
      </c>
      <c r="X4" s="110">
        <v>0.8</v>
      </c>
      <c r="Y4" s="110">
        <v>0.8</v>
      </c>
      <c r="Z4" s="110">
        <v>0</v>
      </c>
      <c r="AA4" s="110">
        <v>0</v>
      </c>
      <c r="AB4" s="110">
        <v>0.8</v>
      </c>
      <c r="AC4" s="110">
        <v>0.8</v>
      </c>
      <c r="AD4" s="110">
        <v>0.8</v>
      </c>
      <c r="AE4" s="110">
        <v>0</v>
      </c>
      <c r="AF4" s="110">
        <v>0</v>
      </c>
      <c r="AG4" s="110">
        <v>0.8</v>
      </c>
      <c r="AH4" s="110">
        <v>0.8</v>
      </c>
      <c r="AI4" s="110">
        <v>0</v>
      </c>
      <c r="AJ4" s="110">
        <v>0</v>
      </c>
      <c r="AK4" s="110">
        <v>0</v>
      </c>
      <c r="AL4" s="110">
        <v>0</v>
      </c>
      <c r="AM4" s="110">
        <v>0.8</v>
      </c>
      <c r="AN4" s="110">
        <v>0.8</v>
      </c>
      <c r="AO4" s="110">
        <v>0.8</v>
      </c>
      <c r="AP4" s="110">
        <v>0.8</v>
      </c>
      <c r="AQ4" s="110">
        <v>0.8</v>
      </c>
      <c r="AR4" s="110">
        <v>0.8</v>
      </c>
      <c r="AS4" s="110">
        <v>0</v>
      </c>
      <c r="AT4" s="110">
        <v>0</v>
      </c>
      <c r="AU4" s="110">
        <v>0.8</v>
      </c>
      <c r="AV4" s="110">
        <v>0</v>
      </c>
      <c r="AW4" s="110">
        <v>0.8</v>
      </c>
      <c r="AX4" s="110">
        <v>0</v>
      </c>
      <c r="AY4" s="110">
        <v>0</v>
      </c>
      <c r="AZ4" s="110">
        <v>0</v>
      </c>
      <c r="BA4" s="110">
        <v>0</v>
      </c>
      <c r="BB4" s="110">
        <v>0</v>
      </c>
    </row>
    <row r="5" spans="1:54" customFormat="1" x14ac:dyDescent="0.15">
      <c r="A5" s="194" t="s">
        <v>195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0.8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0.8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0.8</v>
      </c>
      <c r="AP5" s="110">
        <v>0</v>
      </c>
      <c r="AQ5" s="110">
        <v>0.8</v>
      </c>
      <c r="AR5" s="110">
        <v>0.8</v>
      </c>
      <c r="AS5" s="110">
        <v>0</v>
      </c>
      <c r="AT5" s="110">
        <v>0</v>
      </c>
      <c r="AU5" s="110">
        <v>0</v>
      </c>
      <c r="AV5" s="110">
        <v>0</v>
      </c>
      <c r="AW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</row>
    <row r="6" spans="1:54" customFormat="1" x14ac:dyDescent="0.15">
      <c r="A6" s="194" t="s">
        <v>196</v>
      </c>
      <c r="B6" s="110">
        <v>0</v>
      </c>
      <c r="C6" s="110">
        <v>0</v>
      </c>
      <c r="D6" s="110">
        <v>0</v>
      </c>
      <c r="E6" s="110">
        <v>0</v>
      </c>
      <c r="F6" s="110">
        <v>0</v>
      </c>
      <c r="G6" s="110">
        <v>0.8</v>
      </c>
      <c r="H6" s="110">
        <v>0.8</v>
      </c>
      <c r="I6" s="110">
        <v>0.8</v>
      </c>
      <c r="J6" s="110">
        <v>0.8</v>
      </c>
      <c r="K6" s="110">
        <v>0</v>
      </c>
      <c r="L6" s="110">
        <v>0</v>
      </c>
      <c r="M6" s="110">
        <v>0</v>
      </c>
      <c r="N6" s="110">
        <v>0</v>
      </c>
      <c r="O6" s="110">
        <v>0.8</v>
      </c>
      <c r="P6" s="110">
        <v>0.8</v>
      </c>
      <c r="Q6" s="110">
        <v>0.8</v>
      </c>
      <c r="R6" s="110">
        <v>0.8</v>
      </c>
      <c r="S6" s="110">
        <v>0.8</v>
      </c>
      <c r="T6" s="110">
        <v>0.8</v>
      </c>
      <c r="U6" s="110">
        <v>0.8</v>
      </c>
      <c r="V6" s="110">
        <v>0.8</v>
      </c>
      <c r="W6" s="110">
        <v>0.8</v>
      </c>
      <c r="X6" s="110">
        <v>0.8</v>
      </c>
      <c r="Y6" s="110">
        <v>0.8</v>
      </c>
      <c r="Z6" s="110">
        <v>0.8</v>
      </c>
      <c r="AA6" s="110">
        <v>0.8</v>
      </c>
      <c r="AB6" s="110">
        <v>0.8</v>
      </c>
      <c r="AC6" s="110">
        <v>0.8</v>
      </c>
      <c r="AD6" s="110">
        <v>0.8</v>
      </c>
      <c r="AE6" s="110">
        <v>0.8</v>
      </c>
      <c r="AF6" s="110">
        <v>0.8</v>
      </c>
      <c r="AG6" s="110">
        <v>0.8</v>
      </c>
      <c r="AH6" s="110">
        <v>0.8</v>
      </c>
      <c r="AI6" s="110">
        <v>0</v>
      </c>
      <c r="AJ6" s="110">
        <v>0</v>
      </c>
      <c r="AK6" s="110">
        <v>0.8</v>
      </c>
      <c r="AL6" s="110">
        <v>0</v>
      </c>
      <c r="AM6" s="110">
        <v>0.8</v>
      </c>
      <c r="AN6" s="110">
        <v>0</v>
      </c>
      <c r="AO6" s="110">
        <v>0</v>
      </c>
      <c r="AP6" s="110">
        <v>0</v>
      </c>
      <c r="AQ6" s="110">
        <v>0.8</v>
      </c>
      <c r="AR6" s="110">
        <v>0.8</v>
      </c>
      <c r="AS6" s="110">
        <v>0.8</v>
      </c>
      <c r="AT6" s="110">
        <v>0.8</v>
      </c>
      <c r="AU6" s="110">
        <v>0</v>
      </c>
      <c r="AV6" s="110">
        <v>0.8</v>
      </c>
      <c r="AW6" s="110">
        <v>0.8</v>
      </c>
      <c r="AX6" s="110">
        <v>0</v>
      </c>
      <c r="AY6" s="110">
        <v>0</v>
      </c>
      <c r="AZ6" s="110">
        <v>0</v>
      </c>
      <c r="BA6" s="110">
        <v>0</v>
      </c>
      <c r="BB6" s="110">
        <v>0</v>
      </c>
    </row>
    <row r="7" spans="1:54" customFormat="1" x14ac:dyDescent="0.15">
      <c r="A7" s="194" t="s">
        <v>197</v>
      </c>
      <c r="B7" s="110">
        <v>0</v>
      </c>
      <c r="C7" s="110">
        <v>0</v>
      </c>
      <c r="D7" s="110">
        <v>0</v>
      </c>
      <c r="E7" s="110">
        <v>0</v>
      </c>
      <c r="F7" s="110">
        <v>0</v>
      </c>
      <c r="G7" s="110">
        <v>0</v>
      </c>
      <c r="H7" s="110">
        <v>0</v>
      </c>
      <c r="I7" s="110">
        <v>0</v>
      </c>
      <c r="J7" s="110">
        <v>0.8</v>
      </c>
      <c r="K7" s="110">
        <v>0</v>
      </c>
      <c r="L7" s="110">
        <v>0</v>
      </c>
      <c r="M7" s="110">
        <v>0</v>
      </c>
      <c r="N7" s="110">
        <v>0</v>
      </c>
      <c r="O7" s="110">
        <v>0.8</v>
      </c>
      <c r="P7" s="110">
        <v>0.8</v>
      </c>
      <c r="Q7" s="110">
        <v>0</v>
      </c>
      <c r="R7" s="110">
        <v>0</v>
      </c>
      <c r="S7" s="110">
        <v>0.8</v>
      </c>
      <c r="T7" s="110">
        <v>0.8</v>
      </c>
      <c r="U7" s="110">
        <v>0</v>
      </c>
      <c r="V7" s="110">
        <v>0</v>
      </c>
      <c r="W7" s="110">
        <v>0.8</v>
      </c>
      <c r="X7" s="110">
        <v>0.8</v>
      </c>
      <c r="Y7" s="110">
        <v>0.8</v>
      </c>
      <c r="Z7" s="110">
        <v>0</v>
      </c>
      <c r="AA7" s="110">
        <v>0</v>
      </c>
      <c r="AB7" s="110">
        <v>0.8</v>
      </c>
      <c r="AC7" s="110">
        <v>0.8</v>
      </c>
      <c r="AD7" s="110">
        <v>0.8</v>
      </c>
      <c r="AE7" s="110">
        <v>0</v>
      </c>
      <c r="AF7" s="110">
        <v>0.8</v>
      </c>
      <c r="AG7" s="110">
        <v>0</v>
      </c>
      <c r="AH7" s="110">
        <v>0.8</v>
      </c>
      <c r="AI7" s="110">
        <v>0</v>
      </c>
      <c r="AJ7" s="110">
        <v>0</v>
      </c>
      <c r="AK7" s="110">
        <v>0</v>
      </c>
      <c r="AL7" s="110">
        <v>0.8</v>
      </c>
      <c r="AM7" s="110">
        <v>0</v>
      </c>
      <c r="AN7" s="110">
        <v>0</v>
      </c>
      <c r="AO7" s="110">
        <v>0</v>
      </c>
      <c r="AP7" s="110">
        <v>0</v>
      </c>
      <c r="AQ7" s="110">
        <v>0</v>
      </c>
      <c r="AR7" s="110">
        <v>0</v>
      </c>
      <c r="AS7" s="110">
        <v>0</v>
      </c>
      <c r="AT7" s="110">
        <v>0</v>
      </c>
      <c r="AU7" s="110">
        <v>0</v>
      </c>
      <c r="AV7" s="110">
        <v>0</v>
      </c>
      <c r="AW7" s="110">
        <v>0</v>
      </c>
      <c r="AX7" s="110">
        <v>0</v>
      </c>
      <c r="AY7" s="110">
        <v>0</v>
      </c>
      <c r="AZ7" s="110">
        <v>0</v>
      </c>
      <c r="BA7" s="110">
        <v>0</v>
      </c>
      <c r="BB7" s="110">
        <v>0</v>
      </c>
    </row>
    <row r="8" spans="1:54" customFormat="1" x14ac:dyDescent="0.15">
      <c r="A8" s="194" t="s">
        <v>198</v>
      </c>
      <c r="B8" s="110">
        <v>0</v>
      </c>
      <c r="C8" s="110">
        <v>0</v>
      </c>
      <c r="D8" s="110">
        <v>0</v>
      </c>
      <c r="E8" s="110">
        <v>0</v>
      </c>
      <c r="F8" s="110">
        <v>0</v>
      </c>
      <c r="G8" s="110">
        <v>0</v>
      </c>
      <c r="H8" s="110">
        <v>0</v>
      </c>
      <c r="I8" s="110">
        <v>0.8</v>
      </c>
      <c r="J8" s="110">
        <v>0</v>
      </c>
      <c r="K8" s="110">
        <v>0</v>
      </c>
      <c r="L8" s="110">
        <v>0</v>
      </c>
      <c r="M8" s="110">
        <v>0.8</v>
      </c>
      <c r="N8" s="110">
        <v>0.8</v>
      </c>
      <c r="O8" s="110">
        <v>0.8</v>
      </c>
      <c r="P8" s="110">
        <v>0.8</v>
      </c>
      <c r="Q8" s="110">
        <v>0.8</v>
      </c>
      <c r="R8" s="110">
        <v>0.8</v>
      </c>
      <c r="S8" s="110">
        <v>0</v>
      </c>
      <c r="T8" s="110">
        <v>0</v>
      </c>
      <c r="U8" s="110">
        <v>0.8</v>
      </c>
      <c r="V8" s="110">
        <v>0.8</v>
      </c>
      <c r="W8" s="110">
        <v>0.8</v>
      </c>
      <c r="X8" s="110">
        <v>0</v>
      </c>
      <c r="Y8" s="110">
        <v>0.8</v>
      </c>
      <c r="Z8" s="110">
        <v>0.8</v>
      </c>
      <c r="AA8" s="110">
        <v>0.8</v>
      </c>
      <c r="AB8" s="110">
        <v>0.8</v>
      </c>
      <c r="AC8" s="110">
        <v>0.8</v>
      </c>
      <c r="AD8" s="110">
        <v>0.8</v>
      </c>
      <c r="AE8" s="110">
        <v>0.8</v>
      </c>
      <c r="AF8" s="110">
        <v>0.8</v>
      </c>
      <c r="AG8" s="110">
        <v>0.8</v>
      </c>
      <c r="AH8" s="110">
        <v>0.8</v>
      </c>
      <c r="AI8" s="110">
        <v>0</v>
      </c>
      <c r="AJ8" s="110">
        <v>0.8</v>
      </c>
      <c r="AK8" s="110">
        <v>0.8</v>
      </c>
      <c r="AL8" s="110">
        <v>0.8</v>
      </c>
      <c r="AM8" s="110">
        <v>0</v>
      </c>
      <c r="AN8" s="110">
        <v>0</v>
      </c>
      <c r="AO8" s="110">
        <v>0</v>
      </c>
      <c r="AP8" s="110">
        <v>0</v>
      </c>
      <c r="AQ8" s="110">
        <v>0.8</v>
      </c>
      <c r="AR8" s="110">
        <v>0.8</v>
      </c>
      <c r="AS8" s="110">
        <v>0.8</v>
      </c>
      <c r="AT8" s="110">
        <v>0</v>
      </c>
      <c r="AU8" s="110">
        <v>0</v>
      </c>
      <c r="AV8" s="110">
        <v>0</v>
      </c>
      <c r="AW8" s="110">
        <v>0</v>
      </c>
      <c r="AX8" s="110">
        <v>0</v>
      </c>
      <c r="AY8" s="110">
        <v>0</v>
      </c>
      <c r="AZ8" s="110">
        <v>0</v>
      </c>
      <c r="BA8" s="110">
        <v>0</v>
      </c>
      <c r="BB8" s="110">
        <v>0</v>
      </c>
    </row>
    <row r="9" spans="1:54" customFormat="1" x14ac:dyDescent="0.15">
      <c r="A9" s="194" t="s">
        <v>199</v>
      </c>
      <c r="B9" s="110">
        <v>0</v>
      </c>
      <c r="C9" s="110">
        <v>0</v>
      </c>
      <c r="D9" s="110">
        <v>0</v>
      </c>
      <c r="E9" s="110">
        <v>0</v>
      </c>
      <c r="F9" s="110">
        <v>0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10">
        <v>0.8</v>
      </c>
      <c r="P9" s="110">
        <v>0</v>
      </c>
      <c r="Q9" s="110">
        <v>0</v>
      </c>
      <c r="R9" s="110">
        <v>0</v>
      </c>
      <c r="S9" s="110">
        <v>0</v>
      </c>
      <c r="T9" s="110">
        <v>0</v>
      </c>
      <c r="U9" s="110">
        <v>0</v>
      </c>
      <c r="V9" s="110">
        <v>0</v>
      </c>
      <c r="W9" s="110">
        <v>0</v>
      </c>
      <c r="X9" s="110">
        <v>0</v>
      </c>
      <c r="Y9" s="110">
        <v>0</v>
      </c>
      <c r="Z9" s="110">
        <v>0</v>
      </c>
      <c r="AA9" s="110">
        <v>0</v>
      </c>
      <c r="AB9" s="110">
        <v>0</v>
      </c>
      <c r="AC9" s="110">
        <v>0.8</v>
      </c>
      <c r="AD9" s="110">
        <v>0</v>
      </c>
      <c r="AE9" s="110">
        <v>0</v>
      </c>
      <c r="AF9" s="110">
        <v>0.8</v>
      </c>
      <c r="AG9" s="110">
        <v>0</v>
      </c>
      <c r="AH9" s="110">
        <v>0</v>
      </c>
      <c r="AI9" s="110">
        <v>0</v>
      </c>
      <c r="AJ9" s="110">
        <v>0</v>
      </c>
      <c r="AK9" s="110">
        <v>0</v>
      </c>
      <c r="AL9" s="110">
        <v>0</v>
      </c>
      <c r="AM9" s="110">
        <v>0</v>
      </c>
      <c r="AN9" s="110">
        <v>0</v>
      </c>
      <c r="AO9" s="110">
        <v>0</v>
      </c>
      <c r="AP9" s="110">
        <v>0</v>
      </c>
      <c r="AQ9" s="110">
        <v>0</v>
      </c>
      <c r="AR9" s="110">
        <v>0</v>
      </c>
      <c r="AS9" s="110">
        <v>0</v>
      </c>
      <c r="AT9" s="110">
        <v>0</v>
      </c>
      <c r="AU9" s="110">
        <v>0</v>
      </c>
      <c r="AV9" s="110">
        <v>0</v>
      </c>
      <c r="AW9" s="110">
        <v>0</v>
      </c>
      <c r="AX9" s="110">
        <v>0</v>
      </c>
      <c r="AY9" s="110">
        <v>0</v>
      </c>
      <c r="AZ9" s="110">
        <v>0</v>
      </c>
      <c r="BA9" s="110">
        <v>0</v>
      </c>
      <c r="BB9" s="110">
        <v>0</v>
      </c>
    </row>
    <row r="10" spans="1:54" customFormat="1" x14ac:dyDescent="0.15">
      <c r="A10" s="194" t="s">
        <v>200</v>
      </c>
      <c r="B10" s="110">
        <v>0</v>
      </c>
      <c r="C10" s="110">
        <v>0</v>
      </c>
      <c r="D10" s="110">
        <v>0</v>
      </c>
      <c r="E10" s="110">
        <v>0</v>
      </c>
      <c r="F10" s="110">
        <v>0</v>
      </c>
      <c r="G10" s="110">
        <v>0</v>
      </c>
      <c r="H10" s="110">
        <v>0</v>
      </c>
      <c r="I10" s="110">
        <v>0.8</v>
      </c>
      <c r="J10" s="110">
        <v>0.8</v>
      </c>
      <c r="K10" s="110">
        <v>0</v>
      </c>
      <c r="L10" s="110">
        <v>0</v>
      </c>
      <c r="M10" s="110">
        <v>0</v>
      </c>
      <c r="N10" s="110">
        <v>0</v>
      </c>
      <c r="O10" s="110">
        <v>0.8</v>
      </c>
      <c r="P10" s="110">
        <v>0.8</v>
      </c>
      <c r="Q10" s="110">
        <v>0.8</v>
      </c>
      <c r="R10" s="110">
        <v>0.8</v>
      </c>
      <c r="S10" s="110">
        <v>0</v>
      </c>
      <c r="T10" s="110">
        <v>0</v>
      </c>
      <c r="U10" s="110">
        <v>0.8</v>
      </c>
      <c r="V10" s="110">
        <v>0.8</v>
      </c>
      <c r="W10" s="110">
        <v>0.8</v>
      </c>
      <c r="X10" s="110">
        <v>0.8</v>
      </c>
      <c r="Y10" s="110">
        <v>0</v>
      </c>
      <c r="Z10" s="110">
        <v>0</v>
      </c>
      <c r="AA10" s="110">
        <v>0</v>
      </c>
      <c r="AB10" s="110">
        <v>0.8</v>
      </c>
      <c r="AC10" s="110">
        <v>0.8</v>
      </c>
      <c r="AD10" s="110">
        <v>0.8</v>
      </c>
      <c r="AE10" s="110">
        <v>0</v>
      </c>
      <c r="AF10" s="110">
        <v>0.8</v>
      </c>
      <c r="AG10" s="110">
        <v>0.8</v>
      </c>
      <c r="AH10" s="110">
        <v>0.8</v>
      </c>
      <c r="AI10" s="110">
        <v>0</v>
      </c>
      <c r="AJ10" s="110">
        <v>0</v>
      </c>
      <c r="AK10" s="110">
        <v>0</v>
      </c>
      <c r="AL10" s="110">
        <v>0.8</v>
      </c>
      <c r="AM10" s="110">
        <v>0</v>
      </c>
      <c r="AN10" s="110">
        <v>0</v>
      </c>
      <c r="AO10" s="110">
        <v>0</v>
      </c>
      <c r="AP10" s="110">
        <v>0</v>
      </c>
      <c r="AQ10" s="110">
        <v>0</v>
      </c>
      <c r="AR10" s="110">
        <v>0</v>
      </c>
      <c r="AS10" s="110">
        <v>0</v>
      </c>
      <c r="AT10" s="110">
        <v>0.8</v>
      </c>
      <c r="AU10" s="110">
        <v>0</v>
      </c>
      <c r="AV10" s="110">
        <v>0</v>
      </c>
      <c r="AW10" s="110">
        <v>0</v>
      </c>
      <c r="AX10" s="110">
        <v>0</v>
      </c>
      <c r="AY10" s="110">
        <v>0</v>
      </c>
      <c r="AZ10" s="110">
        <v>0</v>
      </c>
      <c r="BA10" s="110">
        <v>0</v>
      </c>
      <c r="BB10" s="110">
        <v>0</v>
      </c>
    </row>
    <row r="11" spans="1:54" customFormat="1" x14ac:dyDescent="0.15">
      <c r="A11" s="194" t="s">
        <v>201</v>
      </c>
      <c r="B11" s="110">
        <v>0</v>
      </c>
      <c r="C11" s="110">
        <v>0</v>
      </c>
      <c r="D11" s="110">
        <v>0</v>
      </c>
      <c r="E11" s="110">
        <v>0</v>
      </c>
      <c r="F11" s="110">
        <v>0</v>
      </c>
      <c r="G11" s="110">
        <v>0</v>
      </c>
      <c r="H11" s="110">
        <v>0</v>
      </c>
      <c r="I11" s="110">
        <v>0.8</v>
      </c>
      <c r="J11" s="110">
        <v>0.8</v>
      </c>
      <c r="K11" s="110">
        <v>0</v>
      </c>
      <c r="L11" s="110">
        <v>0</v>
      </c>
      <c r="M11" s="110">
        <v>0.8</v>
      </c>
      <c r="N11" s="110">
        <v>0.8</v>
      </c>
      <c r="O11" s="110">
        <v>0.8</v>
      </c>
      <c r="P11" s="110">
        <v>0.8</v>
      </c>
      <c r="Q11" s="110">
        <v>0.8</v>
      </c>
      <c r="R11" s="110">
        <v>0.8</v>
      </c>
      <c r="S11" s="110">
        <v>0.8</v>
      </c>
      <c r="T11" s="110">
        <v>0.8</v>
      </c>
      <c r="U11" s="110">
        <v>0.8</v>
      </c>
      <c r="V11" s="110">
        <v>0.8</v>
      </c>
      <c r="W11" s="110">
        <v>0.8</v>
      </c>
      <c r="X11" s="110">
        <v>0.8</v>
      </c>
      <c r="Y11" s="110">
        <v>0.8</v>
      </c>
      <c r="Z11" s="110">
        <v>0.8</v>
      </c>
      <c r="AA11" s="110">
        <v>0</v>
      </c>
      <c r="AB11" s="110">
        <v>0.8</v>
      </c>
      <c r="AC11" s="110">
        <v>0.8</v>
      </c>
      <c r="AD11" s="110">
        <v>0.8</v>
      </c>
      <c r="AE11" s="110">
        <v>0</v>
      </c>
      <c r="AF11" s="110">
        <v>0.8</v>
      </c>
      <c r="AG11" s="110">
        <v>0.8</v>
      </c>
      <c r="AH11" s="110">
        <v>0.8</v>
      </c>
      <c r="AI11" s="110">
        <v>0</v>
      </c>
      <c r="AJ11" s="110">
        <v>0</v>
      </c>
      <c r="AK11" s="110">
        <v>0.8</v>
      </c>
      <c r="AL11" s="110">
        <v>0</v>
      </c>
      <c r="AM11" s="110">
        <v>0</v>
      </c>
      <c r="AN11" s="110">
        <v>0</v>
      </c>
      <c r="AO11" s="110">
        <v>0</v>
      </c>
      <c r="AP11" s="110">
        <v>0</v>
      </c>
      <c r="AQ11" s="110">
        <v>0</v>
      </c>
      <c r="AR11" s="110">
        <v>0</v>
      </c>
      <c r="AS11" s="110">
        <v>0.8</v>
      </c>
      <c r="AT11" s="110">
        <v>0</v>
      </c>
      <c r="AU11" s="110">
        <v>0</v>
      </c>
      <c r="AV11" s="110">
        <v>0</v>
      </c>
      <c r="AW11" s="110">
        <v>0</v>
      </c>
      <c r="AX11" s="110">
        <v>0.8</v>
      </c>
      <c r="AY11" s="110">
        <v>0</v>
      </c>
      <c r="AZ11" s="110">
        <v>0</v>
      </c>
      <c r="BA11" s="110">
        <v>0</v>
      </c>
      <c r="BB11" s="110">
        <v>0</v>
      </c>
    </row>
    <row r="12" spans="1:54" customFormat="1" x14ac:dyDescent="0.15">
      <c r="A12" s="194" t="s">
        <v>202</v>
      </c>
      <c r="B12" s="110">
        <v>0</v>
      </c>
      <c r="C12" s="110">
        <v>0</v>
      </c>
      <c r="D12" s="110">
        <v>0</v>
      </c>
      <c r="E12" s="110">
        <v>0</v>
      </c>
      <c r="F12" s="110">
        <v>0</v>
      </c>
      <c r="G12" s="110">
        <v>0</v>
      </c>
      <c r="H12" s="110">
        <v>0</v>
      </c>
      <c r="I12" s="110">
        <v>0</v>
      </c>
      <c r="J12" s="110">
        <v>0</v>
      </c>
      <c r="K12" s="110">
        <v>0</v>
      </c>
      <c r="L12" s="110">
        <v>0</v>
      </c>
      <c r="M12" s="110">
        <v>0</v>
      </c>
      <c r="N12" s="110">
        <v>0</v>
      </c>
      <c r="O12" s="110">
        <v>0</v>
      </c>
      <c r="P12" s="110">
        <v>0</v>
      </c>
      <c r="Q12" s="110">
        <v>0</v>
      </c>
      <c r="R12" s="110">
        <v>0</v>
      </c>
      <c r="S12" s="110">
        <v>0</v>
      </c>
      <c r="T12" s="110">
        <v>0</v>
      </c>
      <c r="U12" s="110">
        <v>0</v>
      </c>
      <c r="V12" s="110">
        <v>0</v>
      </c>
      <c r="W12" s="110">
        <v>0</v>
      </c>
      <c r="X12" s="110">
        <v>0</v>
      </c>
      <c r="Y12" s="110">
        <v>0</v>
      </c>
      <c r="Z12" s="110">
        <v>0</v>
      </c>
      <c r="AA12" s="110">
        <v>0</v>
      </c>
      <c r="AB12" s="110">
        <v>0</v>
      </c>
      <c r="AC12" s="110">
        <v>0</v>
      </c>
      <c r="AD12" s="110">
        <v>0</v>
      </c>
      <c r="AE12" s="110">
        <v>0</v>
      </c>
      <c r="AF12" s="110">
        <v>0</v>
      </c>
      <c r="AG12" s="110">
        <v>0</v>
      </c>
      <c r="AH12" s="110">
        <v>0</v>
      </c>
      <c r="AI12" s="110">
        <v>0</v>
      </c>
      <c r="AJ12" s="110">
        <v>0</v>
      </c>
      <c r="AK12" s="110">
        <v>0</v>
      </c>
      <c r="AL12" s="110">
        <v>0</v>
      </c>
      <c r="AM12" s="110">
        <v>0</v>
      </c>
      <c r="AN12" s="110">
        <v>0</v>
      </c>
      <c r="AO12" s="110">
        <v>0</v>
      </c>
      <c r="AP12" s="110">
        <v>0</v>
      </c>
      <c r="AQ12" s="110">
        <v>0</v>
      </c>
      <c r="AR12" s="110">
        <v>0</v>
      </c>
      <c r="AS12" s="110">
        <v>0.8</v>
      </c>
      <c r="AT12" s="110">
        <v>0</v>
      </c>
      <c r="AU12" s="110">
        <v>0</v>
      </c>
      <c r="AV12" s="110">
        <v>0</v>
      </c>
      <c r="AW12" s="110">
        <v>0</v>
      </c>
      <c r="AX12" s="110">
        <v>0</v>
      </c>
      <c r="AY12" s="110">
        <v>0</v>
      </c>
      <c r="AZ12" s="110">
        <v>0</v>
      </c>
      <c r="BA12" s="110">
        <v>0</v>
      </c>
      <c r="BB12" s="110">
        <v>0</v>
      </c>
    </row>
    <row r="13" spans="1:54" customFormat="1" x14ac:dyDescent="0.15">
      <c r="A13" s="194" t="s">
        <v>203</v>
      </c>
      <c r="B13" s="110">
        <v>0</v>
      </c>
      <c r="C13" s="110">
        <v>0</v>
      </c>
      <c r="D13" s="110">
        <v>0</v>
      </c>
      <c r="E13" s="110">
        <v>0</v>
      </c>
      <c r="F13" s="110">
        <v>0</v>
      </c>
      <c r="G13" s="110">
        <v>0</v>
      </c>
      <c r="H13" s="110">
        <v>0</v>
      </c>
      <c r="I13" s="110">
        <v>0.8</v>
      </c>
      <c r="J13" s="110">
        <v>0</v>
      </c>
      <c r="K13" s="110">
        <v>0</v>
      </c>
      <c r="L13" s="110">
        <v>0</v>
      </c>
      <c r="M13" s="110">
        <v>0.8</v>
      </c>
      <c r="N13" s="110">
        <v>0.8</v>
      </c>
      <c r="O13" s="110">
        <v>0.8</v>
      </c>
      <c r="P13" s="110">
        <v>0.8</v>
      </c>
      <c r="Q13" s="110">
        <v>0.8</v>
      </c>
      <c r="R13" s="110">
        <v>0.8</v>
      </c>
      <c r="S13" s="110">
        <v>0.8</v>
      </c>
      <c r="T13" s="110">
        <v>0.8</v>
      </c>
      <c r="U13" s="110">
        <v>0</v>
      </c>
      <c r="V13" s="110">
        <v>0</v>
      </c>
      <c r="W13" s="110">
        <v>0.8</v>
      </c>
      <c r="X13" s="110">
        <v>0</v>
      </c>
      <c r="Y13" s="110">
        <v>0.8</v>
      </c>
      <c r="Z13" s="110">
        <v>0.8</v>
      </c>
      <c r="AA13" s="110">
        <v>0.8</v>
      </c>
      <c r="AB13" s="110">
        <v>0.8</v>
      </c>
      <c r="AC13" s="110">
        <v>0.8</v>
      </c>
      <c r="AD13" s="110">
        <v>0.8</v>
      </c>
      <c r="AE13" s="110">
        <v>0</v>
      </c>
      <c r="AF13" s="110">
        <v>0.8</v>
      </c>
      <c r="AG13" s="110">
        <v>0.8</v>
      </c>
      <c r="AH13" s="110">
        <v>0.8</v>
      </c>
      <c r="AI13" s="110">
        <v>0.8</v>
      </c>
      <c r="AJ13" s="110">
        <v>0.8</v>
      </c>
      <c r="AK13" s="110">
        <v>0.8</v>
      </c>
      <c r="AL13" s="110">
        <v>0</v>
      </c>
      <c r="AM13" s="110">
        <v>0</v>
      </c>
      <c r="AN13" s="110">
        <v>0</v>
      </c>
      <c r="AO13" s="110">
        <v>0</v>
      </c>
      <c r="AP13" s="110">
        <v>0</v>
      </c>
      <c r="AQ13" s="110">
        <v>0.8</v>
      </c>
      <c r="AR13" s="110">
        <v>0</v>
      </c>
      <c r="AS13" s="110">
        <v>0.8</v>
      </c>
      <c r="AT13" s="110">
        <v>0</v>
      </c>
      <c r="AU13" s="110">
        <v>0</v>
      </c>
      <c r="AV13" s="110">
        <v>0.8</v>
      </c>
      <c r="AW13" s="110">
        <v>0.8</v>
      </c>
      <c r="AX13" s="110">
        <v>0</v>
      </c>
      <c r="AY13" s="110">
        <v>0</v>
      </c>
      <c r="AZ13" s="110">
        <v>0</v>
      </c>
      <c r="BA13" s="110">
        <v>0</v>
      </c>
      <c r="BB13" s="110">
        <v>0</v>
      </c>
    </row>
    <row r="14" spans="1:54" customFormat="1" x14ac:dyDescent="0.15">
      <c r="A14" s="194" t="s">
        <v>204</v>
      </c>
      <c r="B14" s="110">
        <v>0</v>
      </c>
      <c r="C14" s="110">
        <v>0</v>
      </c>
      <c r="D14" s="110">
        <v>0</v>
      </c>
      <c r="E14" s="110">
        <v>0</v>
      </c>
      <c r="F14" s="110">
        <v>0</v>
      </c>
      <c r="G14" s="110">
        <v>0</v>
      </c>
      <c r="H14" s="110">
        <v>0</v>
      </c>
      <c r="I14" s="110">
        <v>0</v>
      </c>
      <c r="J14" s="110">
        <v>0</v>
      </c>
      <c r="K14" s="110">
        <v>0</v>
      </c>
      <c r="L14" s="110">
        <v>0</v>
      </c>
      <c r="M14" s="110">
        <v>0</v>
      </c>
      <c r="N14" s="110">
        <v>0</v>
      </c>
      <c r="O14" s="110">
        <v>0</v>
      </c>
      <c r="P14" s="110">
        <v>0</v>
      </c>
      <c r="Q14" s="110">
        <v>0</v>
      </c>
      <c r="R14" s="110">
        <v>0</v>
      </c>
      <c r="S14" s="110">
        <v>0</v>
      </c>
      <c r="T14" s="110">
        <v>0</v>
      </c>
      <c r="U14" s="110">
        <v>0</v>
      </c>
      <c r="V14" s="110">
        <v>0</v>
      </c>
      <c r="W14" s="110">
        <v>0</v>
      </c>
      <c r="X14" s="110">
        <v>0</v>
      </c>
      <c r="Y14" s="110">
        <v>0</v>
      </c>
      <c r="Z14" s="110">
        <v>0</v>
      </c>
      <c r="AA14" s="110">
        <v>0</v>
      </c>
      <c r="AB14" s="110">
        <v>0</v>
      </c>
      <c r="AC14" s="110">
        <v>0</v>
      </c>
      <c r="AD14" s="110">
        <v>0</v>
      </c>
      <c r="AE14" s="110">
        <v>0</v>
      </c>
      <c r="AF14" s="110">
        <v>0.8</v>
      </c>
      <c r="AG14" s="110">
        <v>0.8</v>
      </c>
      <c r="AH14" s="110">
        <v>0</v>
      </c>
      <c r="AI14" s="110">
        <v>0</v>
      </c>
      <c r="AJ14" s="110">
        <v>0</v>
      </c>
      <c r="AK14" s="110">
        <v>0</v>
      </c>
      <c r="AL14" s="110">
        <v>0</v>
      </c>
      <c r="AM14" s="110">
        <v>0</v>
      </c>
      <c r="AN14" s="110">
        <v>0</v>
      </c>
      <c r="AO14" s="110">
        <v>0</v>
      </c>
      <c r="AP14" s="110">
        <v>0</v>
      </c>
      <c r="AQ14" s="110">
        <v>0</v>
      </c>
      <c r="AR14" s="110">
        <v>0</v>
      </c>
      <c r="AS14" s="110">
        <v>0</v>
      </c>
      <c r="AT14" s="110">
        <v>0</v>
      </c>
      <c r="AU14" s="110">
        <v>0</v>
      </c>
      <c r="AV14" s="110">
        <v>0</v>
      </c>
      <c r="AW14" s="110">
        <v>0</v>
      </c>
      <c r="AX14" s="110">
        <v>0</v>
      </c>
      <c r="AY14" s="110">
        <v>0</v>
      </c>
      <c r="AZ14" s="110">
        <v>0</v>
      </c>
      <c r="BA14" s="110">
        <v>0</v>
      </c>
      <c r="BB14" s="110">
        <v>0</v>
      </c>
    </row>
    <row r="15" spans="1:54" customFormat="1" x14ac:dyDescent="0.15">
      <c r="A15" s="194" t="s">
        <v>205</v>
      </c>
      <c r="B15" s="110">
        <v>0</v>
      </c>
      <c r="C15" s="110">
        <v>0</v>
      </c>
      <c r="D15" s="110">
        <v>0</v>
      </c>
      <c r="E15" s="110">
        <v>0</v>
      </c>
      <c r="F15" s="110">
        <v>0</v>
      </c>
      <c r="G15" s="110">
        <v>0</v>
      </c>
      <c r="H15" s="110">
        <v>0</v>
      </c>
      <c r="I15" s="110">
        <v>0</v>
      </c>
      <c r="J15" s="110">
        <v>0</v>
      </c>
      <c r="K15" s="110">
        <v>0</v>
      </c>
      <c r="L15" s="110">
        <v>0</v>
      </c>
      <c r="M15" s="110">
        <v>0</v>
      </c>
      <c r="N15" s="110">
        <v>0</v>
      </c>
      <c r="O15" s="110">
        <v>0.8</v>
      </c>
      <c r="P15" s="110">
        <v>0</v>
      </c>
      <c r="Q15" s="110">
        <v>0</v>
      </c>
      <c r="R15" s="110">
        <v>0</v>
      </c>
      <c r="S15" s="110">
        <v>0</v>
      </c>
      <c r="T15" s="110">
        <v>0</v>
      </c>
      <c r="U15" s="110">
        <v>0</v>
      </c>
      <c r="V15" s="110">
        <v>0</v>
      </c>
      <c r="W15" s="110">
        <v>0</v>
      </c>
      <c r="X15" s="110">
        <v>0</v>
      </c>
      <c r="Y15" s="110">
        <v>0</v>
      </c>
      <c r="Z15" s="110">
        <v>0</v>
      </c>
      <c r="AA15" s="110">
        <v>0</v>
      </c>
      <c r="AB15" s="110">
        <v>0</v>
      </c>
      <c r="AC15" s="110">
        <v>0</v>
      </c>
      <c r="AD15" s="110">
        <v>0</v>
      </c>
      <c r="AE15" s="110">
        <v>0</v>
      </c>
      <c r="AF15" s="110">
        <v>0</v>
      </c>
      <c r="AG15" s="110">
        <v>0</v>
      </c>
      <c r="AH15" s="110">
        <v>0</v>
      </c>
      <c r="AI15" s="110">
        <v>0</v>
      </c>
      <c r="AJ15" s="110">
        <v>0</v>
      </c>
      <c r="AK15" s="110">
        <v>0</v>
      </c>
      <c r="AL15" s="110">
        <v>0</v>
      </c>
      <c r="AM15" s="110">
        <v>0</v>
      </c>
      <c r="AN15" s="110">
        <v>0</v>
      </c>
      <c r="AO15" s="110">
        <v>0</v>
      </c>
      <c r="AP15" s="110">
        <v>0</v>
      </c>
      <c r="AQ15" s="110">
        <v>0</v>
      </c>
      <c r="AR15" s="110">
        <v>0</v>
      </c>
      <c r="AS15" s="110">
        <v>0</v>
      </c>
      <c r="AT15" s="110">
        <v>0</v>
      </c>
      <c r="AU15" s="110">
        <v>0</v>
      </c>
      <c r="AV15" s="110">
        <v>0</v>
      </c>
      <c r="AW15" s="110">
        <v>0</v>
      </c>
      <c r="AX15" s="110">
        <v>0</v>
      </c>
      <c r="AY15" s="110">
        <v>0</v>
      </c>
      <c r="AZ15" s="110">
        <v>0</v>
      </c>
      <c r="BA15" s="110">
        <v>0</v>
      </c>
      <c r="BB15" s="110">
        <v>0</v>
      </c>
    </row>
    <row r="16" spans="1:54" customFormat="1" x14ac:dyDescent="0.15">
      <c r="A16" s="194" t="s">
        <v>206</v>
      </c>
      <c r="B16" s="110">
        <v>0</v>
      </c>
      <c r="C16" s="110">
        <v>0</v>
      </c>
      <c r="D16" s="110">
        <v>0</v>
      </c>
      <c r="E16" s="110">
        <v>0</v>
      </c>
      <c r="F16" s="110">
        <v>0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0</v>
      </c>
      <c r="O16" s="110">
        <v>0.8</v>
      </c>
      <c r="P16" s="110">
        <v>0.8</v>
      </c>
      <c r="Q16" s="110">
        <v>0.8</v>
      </c>
      <c r="R16" s="110">
        <v>0.8</v>
      </c>
      <c r="S16" s="110">
        <v>0</v>
      </c>
      <c r="T16" s="110">
        <v>0</v>
      </c>
      <c r="U16" s="110">
        <v>0</v>
      </c>
      <c r="V16" s="110">
        <v>0</v>
      </c>
      <c r="W16" s="110">
        <v>0</v>
      </c>
      <c r="X16" s="110">
        <v>0</v>
      </c>
      <c r="Y16" s="110">
        <v>0.8</v>
      </c>
      <c r="Z16" s="110">
        <v>0.8</v>
      </c>
      <c r="AA16" s="110">
        <v>0</v>
      </c>
      <c r="AB16" s="110">
        <v>0</v>
      </c>
      <c r="AC16" s="110">
        <v>0.8</v>
      </c>
      <c r="AD16" s="110">
        <v>0.8</v>
      </c>
      <c r="AE16" s="110">
        <v>0.8</v>
      </c>
      <c r="AF16" s="110">
        <v>0.8</v>
      </c>
      <c r="AG16" s="110">
        <v>0.8</v>
      </c>
      <c r="AH16" s="110">
        <v>0</v>
      </c>
      <c r="AI16" s="110">
        <v>0.8</v>
      </c>
      <c r="AJ16" s="110">
        <v>0.8</v>
      </c>
      <c r="AK16" s="110">
        <v>0</v>
      </c>
      <c r="AL16" s="110">
        <v>0.8</v>
      </c>
      <c r="AM16" s="110">
        <v>0</v>
      </c>
      <c r="AN16" s="110">
        <v>0</v>
      </c>
      <c r="AO16" s="110">
        <v>0</v>
      </c>
      <c r="AP16" s="110">
        <v>0</v>
      </c>
      <c r="AQ16" s="110">
        <v>0</v>
      </c>
      <c r="AR16" s="110">
        <v>0.8</v>
      </c>
      <c r="AS16" s="110">
        <v>0.8</v>
      </c>
      <c r="AT16" s="110">
        <v>0.8</v>
      </c>
      <c r="AU16" s="110">
        <v>0</v>
      </c>
      <c r="AV16" s="110">
        <v>0.8</v>
      </c>
      <c r="AW16" s="110">
        <v>0</v>
      </c>
      <c r="AX16" s="110">
        <v>0</v>
      </c>
      <c r="AY16" s="110">
        <v>0.8</v>
      </c>
      <c r="AZ16" s="110">
        <v>0</v>
      </c>
      <c r="BA16" s="110">
        <v>0</v>
      </c>
      <c r="BB16" s="110">
        <v>0</v>
      </c>
    </row>
    <row r="17" spans="1:54" customFormat="1" x14ac:dyDescent="0.15">
      <c r="A17" s="194" t="s">
        <v>207</v>
      </c>
      <c r="B17" s="110">
        <v>0</v>
      </c>
      <c r="C17" s="110">
        <v>0</v>
      </c>
      <c r="D17" s="110">
        <v>0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10">
        <v>0</v>
      </c>
      <c r="P17" s="110">
        <v>0</v>
      </c>
      <c r="Q17" s="110">
        <v>0.8</v>
      </c>
      <c r="R17" s="110">
        <v>0</v>
      </c>
      <c r="S17" s="110">
        <v>0</v>
      </c>
      <c r="T17" s="110">
        <v>0</v>
      </c>
      <c r="U17" s="110">
        <v>0</v>
      </c>
      <c r="V17" s="110">
        <v>0</v>
      </c>
      <c r="W17" s="110">
        <v>0</v>
      </c>
      <c r="X17" s="110">
        <v>0</v>
      </c>
      <c r="Y17" s="110">
        <v>0</v>
      </c>
      <c r="Z17" s="110">
        <v>0</v>
      </c>
      <c r="AA17" s="110">
        <v>0</v>
      </c>
      <c r="AB17" s="110">
        <v>0.8</v>
      </c>
      <c r="AC17" s="110">
        <v>0.8</v>
      </c>
      <c r="AD17" s="110">
        <v>0.8</v>
      </c>
      <c r="AE17" s="110">
        <v>0.8</v>
      </c>
      <c r="AF17" s="110">
        <v>0.8</v>
      </c>
      <c r="AG17" s="110">
        <v>0.8</v>
      </c>
      <c r="AH17" s="110">
        <v>0.8</v>
      </c>
      <c r="AI17" s="110">
        <v>0.8</v>
      </c>
      <c r="AJ17" s="110">
        <v>0.8</v>
      </c>
      <c r="AK17" s="110">
        <v>0</v>
      </c>
      <c r="AL17" s="110">
        <v>0</v>
      </c>
      <c r="AM17" s="110">
        <v>0</v>
      </c>
      <c r="AN17" s="110">
        <v>0</v>
      </c>
      <c r="AO17" s="110">
        <v>0</v>
      </c>
      <c r="AP17" s="110">
        <v>0</v>
      </c>
      <c r="AQ17" s="110">
        <v>0.8</v>
      </c>
      <c r="AR17" s="110">
        <v>0.8</v>
      </c>
      <c r="AS17" s="110">
        <v>0</v>
      </c>
      <c r="AT17" s="110">
        <v>0.8</v>
      </c>
      <c r="AU17" s="110">
        <v>0</v>
      </c>
      <c r="AV17" s="110">
        <v>0.8</v>
      </c>
      <c r="AW17" s="110">
        <v>0.8</v>
      </c>
      <c r="AX17" s="110">
        <v>0</v>
      </c>
      <c r="AY17" s="110">
        <v>0.8</v>
      </c>
      <c r="AZ17" s="110">
        <v>0</v>
      </c>
      <c r="BA17" s="110">
        <v>0</v>
      </c>
      <c r="BB17" s="110">
        <v>0</v>
      </c>
    </row>
    <row r="18" spans="1:54" customFormat="1" x14ac:dyDescent="0.15">
      <c r="A18" s="194" t="s">
        <v>208</v>
      </c>
      <c r="B18" s="110">
        <v>0</v>
      </c>
      <c r="C18" s="110">
        <v>0</v>
      </c>
      <c r="D18" s="110">
        <v>0</v>
      </c>
      <c r="E18" s="110">
        <v>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10">
        <v>0</v>
      </c>
      <c r="P18" s="110">
        <v>0</v>
      </c>
      <c r="Q18" s="110">
        <v>0</v>
      </c>
      <c r="R18" s="110">
        <v>0</v>
      </c>
      <c r="S18" s="110">
        <v>0</v>
      </c>
      <c r="T18" s="110">
        <v>0</v>
      </c>
      <c r="U18" s="110">
        <v>0</v>
      </c>
      <c r="V18" s="110">
        <v>0</v>
      </c>
      <c r="W18" s="110">
        <v>0</v>
      </c>
      <c r="X18" s="110">
        <v>0</v>
      </c>
      <c r="Y18" s="110">
        <v>0</v>
      </c>
      <c r="Z18" s="110">
        <v>0</v>
      </c>
      <c r="AA18" s="110">
        <v>0</v>
      </c>
      <c r="AB18" s="110">
        <v>0</v>
      </c>
      <c r="AC18" s="110">
        <v>0</v>
      </c>
      <c r="AD18" s="110">
        <v>0</v>
      </c>
      <c r="AE18" s="110">
        <v>0</v>
      </c>
      <c r="AF18" s="110">
        <v>0</v>
      </c>
      <c r="AG18" s="110">
        <v>0</v>
      </c>
      <c r="AH18" s="110">
        <v>0</v>
      </c>
      <c r="AI18" s="110">
        <v>0</v>
      </c>
      <c r="AJ18" s="110">
        <v>0</v>
      </c>
      <c r="AK18" s="110">
        <v>0</v>
      </c>
      <c r="AL18" s="110">
        <v>0</v>
      </c>
      <c r="AM18" s="110">
        <v>0</v>
      </c>
      <c r="AN18" s="110">
        <v>0</v>
      </c>
      <c r="AO18" s="110">
        <v>0</v>
      </c>
      <c r="AP18" s="110">
        <v>0</v>
      </c>
      <c r="AQ18" s="110">
        <v>0</v>
      </c>
      <c r="AR18" s="110">
        <v>0</v>
      </c>
      <c r="AS18" s="110">
        <v>0</v>
      </c>
      <c r="AT18" s="110">
        <v>0</v>
      </c>
      <c r="AU18" s="110">
        <v>0</v>
      </c>
      <c r="AV18" s="110">
        <v>0.8</v>
      </c>
      <c r="AW18" s="110">
        <v>0</v>
      </c>
      <c r="AX18" s="110">
        <v>0</v>
      </c>
      <c r="AY18" s="110">
        <v>0</v>
      </c>
      <c r="AZ18" s="110">
        <v>0</v>
      </c>
      <c r="BA18" s="110">
        <v>0</v>
      </c>
      <c r="BB18" s="110">
        <v>0</v>
      </c>
    </row>
    <row r="19" spans="1:54" customFormat="1" x14ac:dyDescent="0.15">
      <c r="A19" s="194" t="s">
        <v>209</v>
      </c>
      <c r="B19" s="110">
        <v>0</v>
      </c>
      <c r="C19" s="110">
        <v>0</v>
      </c>
      <c r="D19" s="110">
        <v>0</v>
      </c>
      <c r="E19" s="110">
        <v>0</v>
      </c>
      <c r="F19" s="110">
        <v>0</v>
      </c>
      <c r="G19" s="110">
        <v>0</v>
      </c>
      <c r="H19" s="110">
        <v>0</v>
      </c>
      <c r="I19" s="110">
        <v>0</v>
      </c>
      <c r="J19" s="110">
        <v>0</v>
      </c>
      <c r="K19" s="110">
        <v>0</v>
      </c>
      <c r="L19" s="110">
        <v>0</v>
      </c>
      <c r="M19" s="110">
        <v>0</v>
      </c>
      <c r="N19" s="110">
        <v>0</v>
      </c>
      <c r="O19" s="110">
        <v>0</v>
      </c>
      <c r="P19" s="110">
        <v>0</v>
      </c>
      <c r="Q19" s="110">
        <v>0</v>
      </c>
      <c r="R19" s="110">
        <v>0</v>
      </c>
      <c r="S19" s="110">
        <v>0</v>
      </c>
      <c r="T19" s="110">
        <v>0</v>
      </c>
      <c r="U19" s="110">
        <v>0</v>
      </c>
      <c r="V19" s="110">
        <v>0</v>
      </c>
      <c r="W19" s="110">
        <v>0</v>
      </c>
      <c r="X19" s="110">
        <v>0</v>
      </c>
      <c r="Y19" s="110">
        <v>0</v>
      </c>
      <c r="Z19" s="110">
        <v>0</v>
      </c>
      <c r="AA19" s="110">
        <v>0</v>
      </c>
      <c r="AB19" s="110">
        <v>0.8</v>
      </c>
      <c r="AC19" s="110">
        <v>0</v>
      </c>
      <c r="AD19" s="110">
        <v>0.8</v>
      </c>
      <c r="AE19" s="110">
        <v>0</v>
      </c>
      <c r="AF19" s="110">
        <v>0.8</v>
      </c>
      <c r="AG19" s="110">
        <v>0</v>
      </c>
      <c r="AH19" s="110">
        <v>0</v>
      </c>
      <c r="AI19" s="110">
        <v>0</v>
      </c>
      <c r="AJ19" s="110">
        <v>0</v>
      </c>
      <c r="AK19" s="110">
        <v>0</v>
      </c>
      <c r="AL19" s="110">
        <v>0</v>
      </c>
      <c r="AM19" s="110">
        <v>0</v>
      </c>
      <c r="AN19" s="110">
        <v>0</v>
      </c>
      <c r="AO19" s="110">
        <v>0</v>
      </c>
      <c r="AP19" s="110">
        <v>0</v>
      </c>
      <c r="AQ19" s="110">
        <v>0</v>
      </c>
      <c r="AR19" s="110">
        <v>0</v>
      </c>
      <c r="AS19" s="110">
        <v>0</v>
      </c>
      <c r="AT19" s="110">
        <v>0</v>
      </c>
      <c r="AU19" s="110">
        <v>0</v>
      </c>
      <c r="AV19" s="110">
        <v>0.8</v>
      </c>
      <c r="AW19" s="110">
        <v>0</v>
      </c>
      <c r="AX19" s="110">
        <v>0</v>
      </c>
      <c r="AY19" s="110">
        <v>0</v>
      </c>
      <c r="AZ19" s="110">
        <v>0</v>
      </c>
      <c r="BA19" s="110">
        <v>0</v>
      </c>
      <c r="BB19" s="110">
        <v>0</v>
      </c>
    </row>
    <row r="20" spans="1:54" customFormat="1" x14ac:dyDescent="0.15">
      <c r="A20" s="194" t="s">
        <v>210</v>
      </c>
      <c r="B20" s="110">
        <v>0</v>
      </c>
      <c r="C20" s="110">
        <v>0</v>
      </c>
      <c r="D20" s="110">
        <v>0</v>
      </c>
      <c r="E20" s="110">
        <v>0</v>
      </c>
      <c r="F20" s="110">
        <v>0</v>
      </c>
      <c r="G20" s="110">
        <v>0</v>
      </c>
      <c r="H20" s="110">
        <v>0</v>
      </c>
      <c r="I20" s="110">
        <v>0</v>
      </c>
      <c r="J20" s="110">
        <v>0</v>
      </c>
      <c r="K20" s="110">
        <v>0</v>
      </c>
      <c r="L20" s="110">
        <v>0</v>
      </c>
      <c r="M20" s="110">
        <v>0</v>
      </c>
      <c r="N20" s="110">
        <v>0</v>
      </c>
      <c r="O20" s="110">
        <v>0</v>
      </c>
      <c r="P20" s="110">
        <v>0</v>
      </c>
      <c r="Q20" s="110">
        <v>0</v>
      </c>
      <c r="R20" s="110">
        <v>0</v>
      </c>
      <c r="S20" s="110">
        <v>0</v>
      </c>
      <c r="T20" s="110">
        <v>0</v>
      </c>
      <c r="U20" s="110">
        <v>0</v>
      </c>
      <c r="V20" s="110">
        <v>0</v>
      </c>
      <c r="W20" s="110">
        <v>0</v>
      </c>
      <c r="X20" s="110">
        <v>0</v>
      </c>
      <c r="Y20" s="110">
        <v>0</v>
      </c>
      <c r="Z20" s="110">
        <v>0</v>
      </c>
      <c r="AA20" s="110">
        <v>0</v>
      </c>
      <c r="AB20" s="110">
        <v>0</v>
      </c>
      <c r="AC20" s="110">
        <v>0</v>
      </c>
      <c r="AD20" s="110">
        <v>0</v>
      </c>
      <c r="AE20" s="110">
        <v>0</v>
      </c>
      <c r="AF20" s="110">
        <v>0</v>
      </c>
      <c r="AG20" s="110">
        <v>0</v>
      </c>
      <c r="AH20" s="110">
        <v>0</v>
      </c>
      <c r="AI20" s="110">
        <v>0</v>
      </c>
      <c r="AJ20" s="110">
        <v>0</v>
      </c>
      <c r="AK20" s="110">
        <v>0</v>
      </c>
      <c r="AL20" s="110">
        <v>0</v>
      </c>
      <c r="AM20" s="110">
        <v>0</v>
      </c>
      <c r="AN20" s="110">
        <v>0</v>
      </c>
      <c r="AO20" s="110">
        <v>0</v>
      </c>
      <c r="AP20" s="110">
        <v>0</v>
      </c>
      <c r="AQ20" s="110">
        <v>0</v>
      </c>
      <c r="AR20" s="110">
        <v>0</v>
      </c>
      <c r="AS20" s="110">
        <v>0</v>
      </c>
      <c r="AT20" s="110">
        <v>0</v>
      </c>
      <c r="AU20" s="110">
        <v>0</v>
      </c>
      <c r="AV20" s="110">
        <v>0</v>
      </c>
      <c r="AW20" s="110">
        <v>0</v>
      </c>
      <c r="AX20" s="110">
        <v>0</v>
      </c>
      <c r="AY20" s="110">
        <v>0.8</v>
      </c>
      <c r="AZ20" s="110">
        <v>0</v>
      </c>
      <c r="BA20" s="110">
        <v>0</v>
      </c>
      <c r="BB20" s="110">
        <v>0</v>
      </c>
    </row>
    <row r="21" spans="1:54" customFormat="1" x14ac:dyDescent="0.15">
      <c r="A21" s="194" t="s">
        <v>211</v>
      </c>
      <c r="B21" s="110">
        <v>0</v>
      </c>
      <c r="C21" s="110">
        <v>0</v>
      </c>
      <c r="D21" s="110">
        <v>0</v>
      </c>
      <c r="E21" s="110">
        <v>0</v>
      </c>
      <c r="F21" s="110">
        <v>0</v>
      </c>
      <c r="G21" s="110">
        <v>0</v>
      </c>
      <c r="H21" s="110">
        <v>0</v>
      </c>
      <c r="I21" s="110">
        <v>0</v>
      </c>
      <c r="J21" s="110">
        <v>0</v>
      </c>
      <c r="K21" s="110">
        <v>0</v>
      </c>
      <c r="L21" s="110">
        <v>0</v>
      </c>
      <c r="M21" s="110">
        <v>0</v>
      </c>
      <c r="N21" s="110">
        <v>0</v>
      </c>
      <c r="O21" s="110">
        <v>0</v>
      </c>
      <c r="P21" s="110">
        <v>0</v>
      </c>
      <c r="Q21" s="110">
        <v>0</v>
      </c>
      <c r="R21" s="110">
        <v>0</v>
      </c>
      <c r="S21" s="110">
        <v>0</v>
      </c>
      <c r="T21" s="110">
        <v>0</v>
      </c>
      <c r="U21" s="110">
        <v>0</v>
      </c>
      <c r="V21" s="110">
        <v>0</v>
      </c>
      <c r="W21" s="110">
        <v>0</v>
      </c>
      <c r="X21" s="110">
        <v>0</v>
      </c>
      <c r="Y21" s="110">
        <v>0</v>
      </c>
      <c r="Z21" s="110">
        <v>0</v>
      </c>
      <c r="AA21" s="110">
        <v>0</v>
      </c>
      <c r="AB21" s="110">
        <v>0</v>
      </c>
      <c r="AC21" s="110">
        <v>0</v>
      </c>
      <c r="AD21" s="110">
        <v>0.8</v>
      </c>
      <c r="AE21" s="110">
        <v>0</v>
      </c>
      <c r="AF21" s="110">
        <v>0.8</v>
      </c>
      <c r="AG21" s="110">
        <v>0</v>
      </c>
      <c r="AH21" s="110">
        <v>0</v>
      </c>
      <c r="AI21" s="110">
        <v>0</v>
      </c>
      <c r="AJ21" s="110">
        <v>0</v>
      </c>
      <c r="AK21" s="110">
        <v>0</v>
      </c>
      <c r="AL21" s="110">
        <v>0</v>
      </c>
      <c r="AM21" s="110">
        <v>0</v>
      </c>
      <c r="AN21" s="110">
        <v>0</v>
      </c>
      <c r="AO21" s="110">
        <v>0</v>
      </c>
      <c r="AP21" s="110">
        <v>0</v>
      </c>
      <c r="AQ21" s="110">
        <v>0</v>
      </c>
      <c r="AR21" s="110">
        <v>0</v>
      </c>
      <c r="AS21" s="110">
        <v>0</v>
      </c>
      <c r="AT21" s="110">
        <v>0.8</v>
      </c>
      <c r="AU21" s="110">
        <v>0</v>
      </c>
      <c r="AV21" s="110">
        <v>0.8</v>
      </c>
      <c r="AW21" s="110">
        <v>0</v>
      </c>
      <c r="AX21" s="110">
        <v>0</v>
      </c>
      <c r="AY21" s="110">
        <v>0</v>
      </c>
      <c r="AZ21" s="110">
        <v>0</v>
      </c>
      <c r="BA21" s="110">
        <v>0</v>
      </c>
      <c r="BB21" s="110">
        <v>0</v>
      </c>
    </row>
    <row r="22" spans="1:54" customFormat="1" x14ac:dyDescent="0.15">
      <c r="A22" s="194" t="s">
        <v>212</v>
      </c>
      <c r="B22" s="110">
        <v>0</v>
      </c>
      <c r="C22" s="110">
        <v>0</v>
      </c>
      <c r="D22" s="110">
        <v>0</v>
      </c>
      <c r="E22" s="110">
        <v>0</v>
      </c>
      <c r="F22" s="110">
        <v>0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10">
        <v>0</v>
      </c>
      <c r="P22" s="110">
        <v>0</v>
      </c>
      <c r="Q22" s="110">
        <v>0</v>
      </c>
      <c r="R22" s="110">
        <v>0</v>
      </c>
      <c r="S22" s="110">
        <v>0</v>
      </c>
      <c r="T22" s="110">
        <v>0</v>
      </c>
      <c r="U22" s="110">
        <v>0</v>
      </c>
      <c r="V22" s="110">
        <v>0</v>
      </c>
      <c r="W22" s="110">
        <v>0</v>
      </c>
      <c r="X22" s="110">
        <v>0</v>
      </c>
      <c r="Y22" s="110">
        <v>0</v>
      </c>
      <c r="Z22" s="110"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0</v>
      </c>
      <c r="AH22" s="110">
        <v>0</v>
      </c>
      <c r="AI22" s="110">
        <v>0</v>
      </c>
      <c r="AJ22" s="110">
        <v>0</v>
      </c>
      <c r="AK22" s="110">
        <v>0</v>
      </c>
      <c r="AL22" s="110">
        <v>0</v>
      </c>
      <c r="AM22" s="110">
        <v>0</v>
      </c>
      <c r="AN22" s="110">
        <v>0</v>
      </c>
      <c r="AO22" s="110">
        <v>0</v>
      </c>
      <c r="AP22" s="110">
        <v>0</v>
      </c>
      <c r="AQ22" s="110">
        <v>0</v>
      </c>
      <c r="AR22" s="110">
        <v>0</v>
      </c>
      <c r="AS22" s="110">
        <v>0</v>
      </c>
      <c r="AT22" s="110">
        <v>0</v>
      </c>
      <c r="AU22" s="110">
        <v>0</v>
      </c>
      <c r="AV22" s="110">
        <v>0</v>
      </c>
      <c r="AW22" s="110">
        <v>0</v>
      </c>
      <c r="AX22" s="110">
        <v>0</v>
      </c>
      <c r="AY22" s="110">
        <v>0.8</v>
      </c>
      <c r="AZ22" s="110">
        <v>0</v>
      </c>
      <c r="BA22" s="110">
        <v>0</v>
      </c>
      <c r="BB22" s="110">
        <v>0</v>
      </c>
    </row>
    <row r="23" spans="1:54" customFormat="1" x14ac:dyDescent="0.15">
      <c r="A23" s="194" t="s">
        <v>213</v>
      </c>
      <c r="B23" s="110">
        <v>0</v>
      </c>
      <c r="C23" s="110">
        <v>0</v>
      </c>
      <c r="D23" s="110">
        <v>0</v>
      </c>
      <c r="E23" s="110">
        <v>0</v>
      </c>
      <c r="F23" s="110">
        <v>0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10">
        <v>0</v>
      </c>
      <c r="P23" s="110">
        <v>0</v>
      </c>
      <c r="Q23" s="110">
        <v>0</v>
      </c>
      <c r="R23" s="110">
        <v>0</v>
      </c>
      <c r="S23" s="110">
        <v>0</v>
      </c>
      <c r="T23" s="110">
        <v>0</v>
      </c>
      <c r="U23" s="110">
        <v>0</v>
      </c>
      <c r="V23" s="110">
        <v>0</v>
      </c>
      <c r="W23" s="110">
        <v>0</v>
      </c>
      <c r="X23" s="110">
        <v>0</v>
      </c>
      <c r="Y23" s="110">
        <v>0</v>
      </c>
      <c r="Z23" s="110">
        <v>0</v>
      </c>
      <c r="AA23" s="110">
        <v>0</v>
      </c>
      <c r="AB23" s="110">
        <v>0.8</v>
      </c>
      <c r="AC23" s="110">
        <v>0.8</v>
      </c>
      <c r="AD23" s="110">
        <v>0.8</v>
      </c>
      <c r="AE23" s="110">
        <v>0</v>
      </c>
      <c r="AF23" s="110">
        <v>0.8</v>
      </c>
      <c r="AG23" s="110">
        <v>0.8</v>
      </c>
      <c r="AH23" s="110">
        <v>0.8</v>
      </c>
      <c r="AI23" s="110">
        <v>0.8</v>
      </c>
      <c r="AJ23" s="110">
        <v>0</v>
      </c>
      <c r="AK23" s="110">
        <v>0</v>
      </c>
      <c r="AL23" s="110">
        <v>0</v>
      </c>
      <c r="AM23" s="110">
        <v>0</v>
      </c>
      <c r="AN23" s="110">
        <v>0</v>
      </c>
      <c r="AO23" s="110">
        <v>0</v>
      </c>
      <c r="AP23" s="110">
        <v>0</v>
      </c>
      <c r="AQ23" s="110">
        <v>0.8</v>
      </c>
      <c r="AR23" s="110">
        <v>0</v>
      </c>
      <c r="AS23" s="110">
        <v>0</v>
      </c>
      <c r="AT23" s="110">
        <v>0.8</v>
      </c>
      <c r="AU23" s="110">
        <v>0</v>
      </c>
      <c r="AV23" s="110">
        <v>0</v>
      </c>
      <c r="AW23" s="110">
        <v>0</v>
      </c>
      <c r="AX23" s="110">
        <v>0</v>
      </c>
      <c r="AY23" s="110">
        <v>0.8</v>
      </c>
      <c r="AZ23" s="110">
        <v>0</v>
      </c>
      <c r="BA23" s="110">
        <v>0</v>
      </c>
      <c r="BB23" s="110">
        <v>0</v>
      </c>
    </row>
    <row r="24" spans="1:54" customFormat="1" x14ac:dyDescent="0.15">
      <c r="A24" s="194" t="s">
        <v>214</v>
      </c>
      <c r="B24" s="110">
        <v>0</v>
      </c>
      <c r="C24" s="110">
        <v>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10">
        <v>0</v>
      </c>
      <c r="P24" s="110">
        <v>0</v>
      </c>
      <c r="Q24" s="110">
        <v>0</v>
      </c>
      <c r="R24" s="110">
        <v>0</v>
      </c>
      <c r="S24" s="110">
        <v>0</v>
      </c>
      <c r="T24" s="110">
        <v>0</v>
      </c>
      <c r="U24" s="110">
        <v>0</v>
      </c>
      <c r="V24" s="110">
        <v>0</v>
      </c>
      <c r="W24" s="110">
        <v>0</v>
      </c>
      <c r="X24" s="110">
        <v>0</v>
      </c>
      <c r="Y24" s="110">
        <v>0</v>
      </c>
      <c r="Z24" s="110">
        <v>0</v>
      </c>
      <c r="AA24" s="110">
        <v>0</v>
      </c>
      <c r="AB24" s="110">
        <v>0</v>
      </c>
      <c r="AC24" s="110">
        <v>0</v>
      </c>
      <c r="AD24" s="110">
        <v>0.8</v>
      </c>
      <c r="AE24" s="110">
        <v>0</v>
      </c>
      <c r="AF24" s="110">
        <v>0</v>
      </c>
      <c r="AG24" s="110">
        <v>0</v>
      </c>
      <c r="AH24" s="110">
        <v>0</v>
      </c>
      <c r="AI24" s="110">
        <v>0.8</v>
      </c>
      <c r="AJ24" s="110">
        <v>0.8</v>
      </c>
      <c r="AK24" s="110">
        <v>0</v>
      </c>
      <c r="AL24" s="110">
        <v>0</v>
      </c>
      <c r="AM24" s="110">
        <v>0</v>
      </c>
      <c r="AN24" s="110">
        <v>0</v>
      </c>
      <c r="AO24" s="110">
        <v>0</v>
      </c>
      <c r="AP24" s="110">
        <v>0</v>
      </c>
      <c r="AQ24" s="110">
        <v>0</v>
      </c>
      <c r="AR24" s="110">
        <v>0</v>
      </c>
      <c r="AS24" s="110">
        <v>0</v>
      </c>
      <c r="AT24" s="110">
        <v>0</v>
      </c>
      <c r="AU24" s="110">
        <v>0</v>
      </c>
      <c r="AV24" s="110">
        <v>0</v>
      </c>
      <c r="AW24" s="110">
        <v>0</v>
      </c>
      <c r="AX24" s="110">
        <v>0</v>
      </c>
      <c r="AY24" s="110">
        <v>0.8</v>
      </c>
      <c r="AZ24" s="110">
        <v>0</v>
      </c>
      <c r="BA24" s="110">
        <v>0</v>
      </c>
      <c r="BB24" s="110">
        <v>0</v>
      </c>
    </row>
    <row r="25" spans="1:54" customFormat="1" x14ac:dyDescent="0.15">
      <c r="A25" s="194" t="s">
        <v>215</v>
      </c>
      <c r="B25" s="110">
        <v>0</v>
      </c>
      <c r="C25" s="110">
        <v>0</v>
      </c>
      <c r="D25" s="110">
        <v>0</v>
      </c>
      <c r="E25" s="110">
        <v>0</v>
      </c>
      <c r="F25" s="110">
        <v>0</v>
      </c>
      <c r="G25" s="110">
        <v>0</v>
      </c>
      <c r="H25" s="110">
        <v>0</v>
      </c>
      <c r="I25" s="110">
        <v>0</v>
      </c>
      <c r="J25" s="110">
        <v>0</v>
      </c>
      <c r="K25" s="110">
        <v>0</v>
      </c>
      <c r="L25" s="110">
        <v>0</v>
      </c>
      <c r="M25" s="110">
        <v>0</v>
      </c>
      <c r="N25" s="110">
        <v>0</v>
      </c>
      <c r="O25" s="110">
        <v>0</v>
      </c>
      <c r="P25" s="110">
        <v>0</v>
      </c>
      <c r="Q25" s="110">
        <v>0</v>
      </c>
      <c r="R25" s="110">
        <v>0</v>
      </c>
      <c r="S25" s="110">
        <v>0</v>
      </c>
      <c r="T25" s="110">
        <v>0</v>
      </c>
      <c r="U25" s="110">
        <v>0</v>
      </c>
      <c r="V25" s="110">
        <v>0</v>
      </c>
      <c r="W25" s="110">
        <v>0</v>
      </c>
      <c r="X25" s="110">
        <v>0</v>
      </c>
      <c r="Y25" s="110">
        <v>0</v>
      </c>
      <c r="Z25" s="110">
        <v>0</v>
      </c>
      <c r="AA25" s="110">
        <v>0</v>
      </c>
      <c r="AB25" s="110">
        <v>0</v>
      </c>
      <c r="AC25" s="110">
        <v>0</v>
      </c>
      <c r="AD25" s="110">
        <v>0</v>
      </c>
      <c r="AE25" s="110">
        <v>0.8</v>
      </c>
      <c r="AF25" s="110">
        <v>0</v>
      </c>
      <c r="AG25" s="110">
        <v>0</v>
      </c>
      <c r="AH25" s="110">
        <v>0</v>
      </c>
      <c r="AI25" s="110">
        <v>0</v>
      </c>
      <c r="AJ25" s="110">
        <v>0</v>
      </c>
      <c r="AK25" s="110">
        <v>0</v>
      </c>
      <c r="AL25" s="110">
        <v>0.8</v>
      </c>
      <c r="AM25" s="110">
        <v>0</v>
      </c>
      <c r="AN25" s="110">
        <v>0</v>
      </c>
      <c r="AO25" s="110">
        <v>0</v>
      </c>
      <c r="AP25" s="110">
        <v>0</v>
      </c>
      <c r="AQ25" s="110">
        <v>0</v>
      </c>
      <c r="AR25" s="110">
        <v>0</v>
      </c>
      <c r="AS25" s="110">
        <v>0</v>
      </c>
      <c r="AT25" s="110">
        <v>0</v>
      </c>
      <c r="AU25" s="110">
        <v>0</v>
      </c>
      <c r="AV25" s="110">
        <v>0</v>
      </c>
      <c r="AW25" s="110">
        <v>0</v>
      </c>
      <c r="AX25" s="110">
        <v>0</v>
      </c>
      <c r="AY25" s="110">
        <v>0.8</v>
      </c>
      <c r="AZ25" s="110">
        <v>0</v>
      </c>
      <c r="BA25" s="110">
        <v>0</v>
      </c>
      <c r="BB25" s="110">
        <v>0</v>
      </c>
    </row>
    <row r="26" spans="1:54" customFormat="1" x14ac:dyDescent="0.15">
      <c r="A26" s="194" t="s">
        <v>216</v>
      </c>
      <c r="B26" s="110">
        <v>0</v>
      </c>
      <c r="C26" s="110">
        <v>0</v>
      </c>
      <c r="D26" s="110">
        <v>0</v>
      </c>
      <c r="E26" s="110">
        <v>0</v>
      </c>
      <c r="F26" s="110">
        <v>0</v>
      </c>
      <c r="G26" s="110">
        <v>0</v>
      </c>
      <c r="H26" s="110">
        <v>0</v>
      </c>
      <c r="I26" s="110">
        <v>0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10">
        <v>0</v>
      </c>
      <c r="P26" s="110">
        <v>0</v>
      </c>
      <c r="Q26" s="110">
        <v>0</v>
      </c>
      <c r="R26" s="110">
        <v>0</v>
      </c>
      <c r="S26" s="110">
        <v>0</v>
      </c>
      <c r="T26" s="110">
        <v>0</v>
      </c>
      <c r="U26" s="110">
        <v>0</v>
      </c>
      <c r="V26" s="110">
        <v>0</v>
      </c>
      <c r="W26" s="110">
        <v>0</v>
      </c>
      <c r="X26" s="110">
        <v>0</v>
      </c>
      <c r="Y26" s="110">
        <v>0</v>
      </c>
      <c r="Z26" s="110">
        <v>0</v>
      </c>
      <c r="AA26" s="110">
        <v>0</v>
      </c>
      <c r="AB26" s="110">
        <v>0</v>
      </c>
      <c r="AC26" s="110">
        <v>0</v>
      </c>
      <c r="AD26" s="110">
        <v>0</v>
      </c>
      <c r="AE26" s="110">
        <v>0.8</v>
      </c>
      <c r="AF26" s="110">
        <v>0</v>
      </c>
      <c r="AG26" s="110">
        <v>0</v>
      </c>
      <c r="AH26" s="110">
        <v>0</v>
      </c>
      <c r="AI26" s="110">
        <v>0</v>
      </c>
      <c r="AJ26" s="110">
        <v>0</v>
      </c>
      <c r="AK26" s="110">
        <v>0</v>
      </c>
      <c r="AL26" s="110">
        <v>0</v>
      </c>
      <c r="AM26" s="110">
        <v>0</v>
      </c>
      <c r="AN26" s="110">
        <v>0</v>
      </c>
      <c r="AO26" s="110">
        <v>0</v>
      </c>
      <c r="AP26" s="110">
        <v>0</v>
      </c>
      <c r="AQ26" s="110">
        <v>0</v>
      </c>
      <c r="AR26" s="110">
        <v>0.8</v>
      </c>
      <c r="AS26" s="110">
        <v>0</v>
      </c>
      <c r="AT26" s="110">
        <v>0.8</v>
      </c>
      <c r="AU26" s="110">
        <v>0</v>
      </c>
      <c r="AV26" s="110">
        <v>0</v>
      </c>
      <c r="AW26" s="110">
        <v>0</v>
      </c>
      <c r="AX26" s="110">
        <v>0</v>
      </c>
      <c r="AY26" s="110">
        <v>0</v>
      </c>
      <c r="AZ26" s="110">
        <v>0</v>
      </c>
      <c r="BA26" s="110">
        <v>0</v>
      </c>
      <c r="BB26" s="110">
        <v>0</v>
      </c>
    </row>
    <row r="27" spans="1:54" customFormat="1" x14ac:dyDescent="0.15">
      <c r="A27" s="194" t="s">
        <v>217</v>
      </c>
      <c r="B27" s="110">
        <v>0</v>
      </c>
      <c r="C27" s="110">
        <v>0</v>
      </c>
      <c r="D27" s="110">
        <v>0</v>
      </c>
      <c r="E27" s="110">
        <v>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0</v>
      </c>
      <c r="L27" s="110">
        <v>0</v>
      </c>
      <c r="M27" s="110">
        <v>0</v>
      </c>
      <c r="N27" s="110">
        <v>0</v>
      </c>
      <c r="O27" s="110">
        <v>0</v>
      </c>
      <c r="P27" s="110">
        <v>0</v>
      </c>
      <c r="Q27" s="110">
        <v>0.8</v>
      </c>
      <c r="R27" s="110">
        <v>0</v>
      </c>
      <c r="S27" s="110">
        <v>0</v>
      </c>
      <c r="T27" s="110">
        <v>0</v>
      </c>
      <c r="U27" s="110">
        <v>0</v>
      </c>
      <c r="V27" s="110">
        <v>0</v>
      </c>
      <c r="W27" s="110">
        <v>0</v>
      </c>
      <c r="X27" s="110">
        <v>0</v>
      </c>
      <c r="Y27" s="110">
        <v>0</v>
      </c>
      <c r="Z27" s="110">
        <v>0.8</v>
      </c>
      <c r="AA27" s="110">
        <v>0</v>
      </c>
      <c r="AB27" s="110">
        <v>0.8</v>
      </c>
      <c r="AC27" s="110">
        <v>0.8</v>
      </c>
      <c r="AD27" s="110">
        <v>0.8</v>
      </c>
      <c r="AE27" s="110">
        <v>0.8</v>
      </c>
      <c r="AF27" s="110">
        <v>0.8</v>
      </c>
      <c r="AG27" s="110">
        <v>0.8</v>
      </c>
      <c r="AH27" s="110">
        <v>0.8</v>
      </c>
      <c r="AI27" s="110">
        <v>0.8</v>
      </c>
      <c r="AJ27" s="110">
        <v>0.8</v>
      </c>
      <c r="AK27" s="110">
        <v>0</v>
      </c>
      <c r="AL27" s="110">
        <v>0</v>
      </c>
      <c r="AM27" s="110">
        <v>0</v>
      </c>
      <c r="AN27" s="110">
        <v>0</v>
      </c>
      <c r="AO27" s="110">
        <v>0</v>
      </c>
      <c r="AP27" s="110">
        <v>0</v>
      </c>
      <c r="AQ27" s="110">
        <v>0.8</v>
      </c>
      <c r="AR27" s="110">
        <v>0.8</v>
      </c>
      <c r="AS27" s="110">
        <v>0</v>
      </c>
      <c r="AT27" s="110">
        <v>0</v>
      </c>
      <c r="AU27" s="110">
        <v>0</v>
      </c>
      <c r="AV27" s="110">
        <v>0</v>
      </c>
      <c r="AW27" s="110">
        <v>0</v>
      </c>
      <c r="AX27" s="110">
        <v>0.8</v>
      </c>
      <c r="AY27" s="110">
        <v>0.8</v>
      </c>
      <c r="AZ27" s="110">
        <v>0</v>
      </c>
      <c r="BA27" s="110">
        <v>0</v>
      </c>
      <c r="BB27" s="110">
        <v>0</v>
      </c>
    </row>
    <row r="28" spans="1:54" customFormat="1" x14ac:dyDescent="0.15">
      <c r="A28" s="194" t="s">
        <v>218</v>
      </c>
      <c r="B28" s="110">
        <v>0</v>
      </c>
      <c r="C28" s="110">
        <v>0</v>
      </c>
      <c r="D28" s="110">
        <v>0</v>
      </c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110">
        <v>0</v>
      </c>
      <c r="O28" s="110">
        <v>0</v>
      </c>
      <c r="P28" s="110">
        <v>0</v>
      </c>
      <c r="Q28" s="110">
        <v>0</v>
      </c>
      <c r="R28" s="110">
        <v>0</v>
      </c>
      <c r="S28" s="110">
        <v>0</v>
      </c>
      <c r="T28" s="110">
        <v>0</v>
      </c>
      <c r="U28" s="110">
        <v>0</v>
      </c>
      <c r="V28" s="110">
        <v>0</v>
      </c>
      <c r="W28" s="110">
        <v>0</v>
      </c>
      <c r="X28" s="110">
        <v>0</v>
      </c>
      <c r="Y28" s="110">
        <v>0</v>
      </c>
      <c r="Z28" s="110">
        <v>0</v>
      </c>
      <c r="AA28" s="110">
        <v>0</v>
      </c>
      <c r="AB28" s="110">
        <v>0</v>
      </c>
      <c r="AC28" s="110">
        <v>0</v>
      </c>
      <c r="AD28" s="110">
        <v>0.8</v>
      </c>
      <c r="AE28" s="110">
        <v>0</v>
      </c>
      <c r="AF28" s="110">
        <v>0</v>
      </c>
      <c r="AG28" s="110">
        <v>0</v>
      </c>
      <c r="AH28" s="110">
        <v>0</v>
      </c>
      <c r="AI28" s="110">
        <v>0</v>
      </c>
      <c r="AJ28" s="110">
        <v>0</v>
      </c>
      <c r="AK28" s="110">
        <v>0</v>
      </c>
      <c r="AL28" s="110">
        <v>0</v>
      </c>
      <c r="AM28" s="110">
        <v>0</v>
      </c>
      <c r="AN28" s="110">
        <v>0</v>
      </c>
      <c r="AO28" s="110">
        <v>0</v>
      </c>
      <c r="AP28" s="110">
        <v>0</v>
      </c>
      <c r="AQ28" s="110">
        <v>0</v>
      </c>
      <c r="AR28" s="110">
        <v>0</v>
      </c>
      <c r="AS28" s="110">
        <v>0</v>
      </c>
      <c r="AT28" s="110">
        <v>0</v>
      </c>
      <c r="AU28" s="110">
        <v>0</v>
      </c>
      <c r="AV28" s="110">
        <v>0</v>
      </c>
      <c r="AW28" s="110">
        <v>0</v>
      </c>
      <c r="AX28" s="110">
        <v>0</v>
      </c>
      <c r="AY28" s="110">
        <v>0</v>
      </c>
      <c r="AZ28" s="110">
        <v>0</v>
      </c>
      <c r="BA28" s="110">
        <v>0</v>
      </c>
      <c r="BB28" s="110">
        <v>0</v>
      </c>
    </row>
    <row r="29" spans="1:54" customFormat="1" x14ac:dyDescent="0.15">
      <c r="A29" s="194" t="s">
        <v>219</v>
      </c>
      <c r="B29" s="110">
        <v>0</v>
      </c>
      <c r="C29" s="110">
        <v>0</v>
      </c>
      <c r="D29" s="110">
        <v>0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110">
        <v>0</v>
      </c>
      <c r="O29" s="110">
        <v>0</v>
      </c>
      <c r="P29" s="110">
        <v>0</v>
      </c>
      <c r="Q29" s="110">
        <v>0</v>
      </c>
      <c r="R29" s="110">
        <v>0</v>
      </c>
      <c r="S29" s="110">
        <v>0</v>
      </c>
      <c r="T29" s="110">
        <v>0</v>
      </c>
      <c r="U29" s="110">
        <v>0</v>
      </c>
      <c r="V29" s="110">
        <v>0</v>
      </c>
      <c r="W29" s="110">
        <v>0</v>
      </c>
      <c r="X29" s="110">
        <v>0</v>
      </c>
      <c r="Y29" s="110">
        <v>0</v>
      </c>
      <c r="Z29" s="110">
        <v>0.8</v>
      </c>
      <c r="AA29" s="110">
        <v>0</v>
      </c>
      <c r="AB29" s="110">
        <v>0.8</v>
      </c>
      <c r="AC29" s="110">
        <v>0.8</v>
      </c>
      <c r="AD29" s="110">
        <v>0.8</v>
      </c>
      <c r="AE29" s="110">
        <v>0</v>
      </c>
      <c r="AF29" s="110">
        <v>0</v>
      </c>
      <c r="AG29" s="110">
        <v>0</v>
      </c>
      <c r="AH29" s="110">
        <v>0.8</v>
      </c>
      <c r="AI29" s="110">
        <v>0.8</v>
      </c>
      <c r="AJ29" s="110">
        <v>0.8</v>
      </c>
      <c r="AK29" s="110">
        <v>0</v>
      </c>
      <c r="AL29" s="110">
        <v>0</v>
      </c>
      <c r="AM29" s="110">
        <v>0</v>
      </c>
      <c r="AN29" s="110">
        <v>0</v>
      </c>
      <c r="AO29" s="110">
        <v>0</v>
      </c>
      <c r="AP29" s="110">
        <v>0</v>
      </c>
      <c r="AQ29" s="110">
        <v>0.8</v>
      </c>
      <c r="AR29" s="110">
        <v>0.8</v>
      </c>
      <c r="AS29" s="110">
        <v>0</v>
      </c>
      <c r="AT29" s="110">
        <v>0</v>
      </c>
      <c r="AU29" s="110">
        <v>0</v>
      </c>
      <c r="AV29" s="110">
        <v>0</v>
      </c>
      <c r="AW29" s="110">
        <v>0.8</v>
      </c>
      <c r="AX29" s="110">
        <v>0.8</v>
      </c>
      <c r="AY29" s="110">
        <v>0.8</v>
      </c>
      <c r="AZ29" s="110">
        <v>0</v>
      </c>
      <c r="BA29" s="110">
        <v>0</v>
      </c>
      <c r="BB29" s="110">
        <v>0</v>
      </c>
    </row>
    <row r="30" spans="1:54" customFormat="1" x14ac:dyDescent="0.15">
      <c r="A30" s="194" t="s">
        <v>220</v>
      </c>
      <c r="B30" s="110">
        <v>0</v>
      </c>
      <c r="C30" s="110">
        <v>0</v>
      </c>
      <c r="D30" s="110">
        <v>0</v>
      </c>
      <c r="E30" s="110">
        <v>0</v>
      </c>
      <c r="F30" s="110">
        <v>0</v>
      </c>
      <c r="G30" s="110">
        <v>0</v>
      </c>
      <c r="H30" s="110">
        <v>0</v>
      </c>
      <c r="I30" s="110">
        <v>0</v>
      </c>
      <c r="J30" s="110">
        <v>0</v>
      </c>
      <c r="K30" s="110">
        <v>0</v>
      </c>
      <c r="L30" s="110">
        <v>0</v>
      </c>
      <c r="M30" s="110">
        <v>0</v>
      </c>
      <c r="N30" s="110">
        <v>0</v>
      </c>
      <c r="O30" s="110">
        <v>0</v>
      </c>
      <c r="P30" s="110">
        <v>0</v>
      </c>
      <c r="Q30" s="110">
        <v>0</v>
      </c>
      <c r="R30" s="110">
        <v>0</v>
      </c>
      <c r="S30" s="110">
        <v>0</v>
      </c>
      <c r="T30" s="110">
        <v>0</v>
      </c>
      <c r="U30" s="110">
        <v>0</v>
      </c>
      <c r="V30" s="110">
        <v>0</v>
      </c>
      <c r="W30" s="110">
        <v>0</v>
      </c>
      <c r="X30" s="110">
        <v>0</v>
      </c>
      <c r="Y30" s="110">
        <v>0</v>
      </c>
      <c r="Z30" s="110">
        <v>0</v>
      </c>
      <c r="AA30" s="110">
        <v>0</v>
      </c>
      <c r="AB30" s="110">
        <v>0</v>
      </c>
      <c r="AC30" s="110">
        <v>0</v>
      </c>
      <c r="AD30" s="110">
        <v>0</v>
      </c>
      <c r="AE30" s="110">
        <v>0</v>
      </c>
      <c r="AF30" s="110">
        <v>0</v>
      </c>
      <c r="AG30" s="110">
        <v>0</v>
      </c>
      <c r="AH30" s="110">
        <v>0</v>
      </c>
      <c r="AI30" s="110">
        <v>0</v>
      </c>
      <c r="AJ30" s="110">
        <v>0</v>
      </c>
      <c r="AK30" s="110">
        <v>0</v>
      </c>
      <c r="AL30" s="110">
        <v>0</v>
      </c>
      <c r="AM30" s="110">
        <v>0</v>
      </c>
      <c r="AN30" s="110">
        <v>0</v>
      </c>
      <c r="AO30" s="110">
        <v>0</v>
      </c>
      <c r="AP30" s="110">
        <v>0</v>
      </c>
      <c r="AQ30" s="110">
        <v>0</v>
      </c>
      <c r="AR30" s="110">
        <v>0</v>
      </c>
      <c r="AS30" s="110">
        <v>0</v>
      </c>
      <c r="AT30" s="110">
        <v>0</v>
      </c>
      <c r="AU30" s="110">
        <v>0</v>
      </c>
      <c r="AV30" s="110">
        <v>0</v>
      </c>
      <c r="AW30" s="110">
        <v>0</v>
      </c>
      <c r="AX30" s="110">
        <v>0</v>
      </c>
      <c r="AY30" s="110">
        <v>0</v>
      </c>
      <c r="AZ30" s="110">
        <v>0</v>
      </c>
      <c r="BA30" s="110">
        <v>0</v>
      </c>
      <c r="BB30" s="110">
        <v>0</v>
      </c>
    </row>
    <row r="31" spans="1:54" customFormat="1" x14ac:dyDescent="0.15">
      <c r="A31" s="194" t="s">
        <v>221</v>
      </c>
      <c r="B31" s="110">
        <v>0</v>
      </c>
      <c r="C31" s="110">
        <v>0</v>
      </c>
      <c r="D31" s="110">
        <v>0</v>
      </c>
      <c r="E31" s="110">
        <v>0</v>
      </c>
      <c r="F31" s="110">
        <v>0</v>
      </c>
      <c r="G31" s="110">
        <v>0</v>
      </c>
      <c r="H31" s="110">
        <v>0</v>
      </c>
      <c r="I31" s="110">
        <v>0</v>
      </c>
      <c r="J31" s="110">
        <v>0</v>
      </c>
      <c r="K31" s="110">
        <v>0</v>
      </c>
      <c r="L31" s="110">
        <v>0</v>
      </c>
      <c r="M31" s="110">
        <v>0</v>
      </c>
      <c r="N31" s="110">
        <v>0</v>
      </c>
      <c r="O31" s="110">
        <v>0</v>
      </c>
      <c r="P31" s="110">
        <v>0</v>
      </c>
      <c r="Q31" s="110">
        <v>0</v>
      </c>
      <c r="R31" s="110">
        <v>0</v>
      </c>
      <c r="S31" s="110">
        <v>0</v>
      </c>
      <c r="T31" s="110">
        <v>0</v>
      </c>
      <c r="U31" s="110">
        <v>0</v>
      </c>
      <c r="V31" s="110">
        <v>0</v>
      </c>
      <c r="W31" s="110">
        <v>0</v>
      </c>
      <c r="X31" s="110">
        <v>0</v>
      </c>
      <c r="Y31" s="110">
        <v>0</v>
      </c>
      <c r="Z31" s="110">
        <v>0</v>
      </c>
      <c r="AA31" s="110">
        <v>0</v>
      </c>
      <c r="AB31" s="110">
        <v>0</v>
      </c>
      <c r="AC31" s="110">
        <v>0</v>
      </c>
      <c r="AD31" s="110">
        <v>0</v>
      </c>
      <c r="AE31" s="110">
        <v>0.8</v>
      </c>
      <c r="AF31" s="110">
        <v>0</v>
      </c>
      <c r="AG31" s="110">
        <v>0</v>
      </c>
      <c r="AH31" s="110">
        <v>0</v>
      </c>
      <c r="AI31" s="110">
        <v>0</v>
      </c>
      <c r="AJ31" s="110">
        <v>0</v>
      </c>
      <c r="AK31" s="110">
        <v>0</v>
      </c>
      <c r="AL31" s="110">
        <v>0</v>
      </c>
      <c r="AM31" s="110">
        <v>0</v>
      </c>
      <c r="AN31" s="110">
        <v>0</v>
      </c>
      <c r="AO31" s="110">
        <v>0</v>
      </c>
      <c r="AP31" s="110">
        <v>0</v>
      </c>
      <c r="AQ31" s="110">
        <v>0</v>
      </c>
      <c r="AR31" s="110">
        <v>0.8</v>
      </c>
      <c r="AS31" s="110">
        <v>0</v>
      </c>
      <c r="AT31" s="110">
        <v>0</v>
      </c>
      <c r="AU31" s="110">
        <v>0</v>
      </c>
      <c r="AV31" s="110">
        <v>0</v>
      </c>
      <c r="AW31" s="110">
        <v>0</v>
      </c>
      <c r="AX31" s="110">
        <v>0</v>
      </c>
      <c r="AY31" s="110">
        <v>0</v>
      </c>
      <c r="AZ31" s="110">
        <v>0</v>
      </c>
      <c r="BA31" s="110">
        <v>0</v>
      </c>
      <c r="BB31" s="110">
        <v>0</v>
      </c>
    </row>
    <row r="32" spans="1:54" customFormat="1" x14ac:dyDescent="0.15">
      <c r="A32" s="194" t="s">
        <v>222</v>
      </c>
      <c r="B32" s="110">
        <v>0</v>
      </c>
      <c r="C32" s="110">
        <v>0</v>
      </c>
      <c r="D32" s="110">
        <v>0</v>
      </c>
      <c r="E32" s="110">
        <v>0</v>
      </c>
      <c r="F32" s="110">
        <v>0</v>
      </c>
      <c r="G32" s="110">
        <v>0</v>
      </c>
      <c r="H32" s="110">
        <v>0</v>
      </c>
      <c r="I32" s="110">
        <v>0</v>
      </c>
      <c r="J32" s="110">
        <v>0</v>
      </c>
      <c r="K32" s="110">
        <v>0</v>
      </c>
      <c r="L32" s="110">
        <v>0</v>
      </c>
      <c r="M32" s="110">
        <v>0</v>
      </c>
      <c r="N32" s="110">
        <v>0</v>
      </c>
      <c r="O32" s="110">
        <v>0</v>
      </c>
      <c r="P32" s="110">
        <v>0</v>
      </c>
      <c r="Q32" s="110">
        <v>0</v>
      </c>
      <c r="R32" s="110">
        <v>0</v>
      </c>
      <c r="S32" s="110">
        <v>0</v>
      </c>
      <c r="T32" s="110">
        <v>0</v>
      </c>
      <c r="U32" s="110">
        <v>0</v>
      </c>
      <c r="V32" s="110">
        <v>0</v>
      </c>
      <c r="W32" s="110">
        <v>0</v>
      </c>
      <c r="X32" s="110">
        <v>0</v>
      </c>
      <c r="Y32" s="110">
        <v>0</v>
      </c>
      <c r="Z32" s="110">
        <v>0</v>
      </c>
      <c r="AA32" s="110">
        <v>0</v>
      </c>
      <c r="AB32" s="110">
        <v>0</v>
      </c>
      <c r="AC32" s="110">
        <v>0</v>
      </c>
      <c r="AD32" s="110">
        <v>0</v>
      </c>
      <c r="AE32" s="110">
        <v>0</v>
      </c>
      <c r="AF32" s="110">
        <v>0</v>
      </c>
      <c r="AG32" s="110">
        <v>0</v>
      </c>
      <c r="AH32" s="110">
        <v>0</v>
      </c>
      <c r="AI32" s="110">
        <v>0</v>
      </c>
      <c r="AJ32" s="110">
        <v>0</v>
      </c>
      <c r="AK32" s="110">
        <v>0</v>
      </c>
      <c r="AL32" s="110">
        <v>0</v>
      </c>
      <c r="AM32" s="110">
        <v>0</v>
      </c>
      <c r="AN32" s="110">
        <v>0</v>
      </c>
      <c r="AO32" s="110">
        <v>0</v>
      </c>
      <c r="AP32" s="110">
        <v>0</v>
      </c>
      <c r="AQ32" s="110">
        <v>0</v>
      </c>
      <c r="AR32" s="110">
        <v>0</v>
      </c>
      <c r="AS32" s="110">
        <v>0</v>
      </c>
      <c r="AT32" s="110">
        <v>0.8</v>
      </c>
      <c r="AU32" s="110">
        <v>0</v>
      </c>
      <c r="AV32" s="110">
        <v>0</v>
      </c>
      <c r="AW32" s="110">
        <v>0</v>
      </c>
      <c r="AX32" s="110">
        <v>0</v>
      </c>
      <c r="AY32" s="110">
        <v>0</v>
      </c>
      <c r="AZ32" s="110">
        <v>0</v>
      </c>
      <c r="BA32" s="110">
        <v>0</v>
      </c>
      <c r="BB32" s="110">
        <v>0</v>
      </c>
    </row>
    <row r="33" spans="1:54" x14ac:dyDescent="0.15">
      <c r="A33" s="194" t="s">
        <v>223</v>
      </c>
      <c r="B33" s="110">
        <v>0</v>
      </c>
      <c r="C33" s="110">
        <v>0</v>
      </c>
      <c r="D33" s="110">
        <v>0</v>
      </c>
      <c r="E33" s="110">
        <v>0</v>
      </c>
      <c r="F33" s="110">
        <v>0</v>
      </c>
      <c r="G33" s="110">
        <v>0</v>
      </c>
      <c r="H33" s="110">
        <v>0</v>
      </c>
      <c r="I33" s="110">
        <v>0</v>
      </c>
      <c r="J33" s="110">
        <v>0</v>
      </c>
      <c r="K33" s="110">
        <v>0</v>
      </c>
      <c r="L33" s="110">
        <v>0</v>
      </c>
      <c r="M33" s="110">
        <v>0</v>
      </c>
      <c r="N33" s="110">
        <v>0</v>
      </c>
      <c r="O33" s="110">
        <v>0</v>
      </c>
      <c r="P33" s="110">
        <v>0</v>
      </c>
      <c r="Q33" s="110">
        <v>0</v>
      </c>
      <c r="R33" s="110">
        <v>0</v>
      </c>
      <c r="S33" s="110">
        <v>0</v>
      </c>
      <c r="T33" s="110">
        <v>0</v>
      </c>
      <c r="U33" s="110">
        <v>0</v>
      </c>
      <c r="V33" s="110">
        <v>0</v>
      </c>
      <c r="W33" s="110">
        <v>0</v>
      </c>
      <c r="X33" s="110">
        <v>0</v>
      </c>
      <c r="Y33" s="110">
        <v>0</v>
      </c>
      <c r="Z33" s="110">
        <v>0</v>
      </c>
      <c r="AA33" s="110">
        <v>0</v>
      </c>
      <c r="AB33" s="110">
        <v>0</v>
      </c>
      <c r="AC33" s="110">
        <v>0</v>
      </c>
      <c r="AD33" s="110">
        <v>0</v>
      </c>
      <c r="AE33" s="110">
        <v>0</v>
      </c>
      <c r="AF33" s="110">
        <v>0</v>
      </c>
      <c r="AG33" s="110">
        <v>0.8</v>
      </c>
      <c r="AH33" s="110">
        <v>0</v>
      </c>
      <c r="AI33" s="110">
        <v>0</v>
      </c>
      <c r="AJ33" s="110">
        <v>0</v>
      </c>
      <c r="AK33" s="110">
        <v>0</v>
      </c>
      <c r="AL33" s="110">
        <v>0</v>
      </c>
      <c r="AM33" s="110">
        <v>0</v>
      </c>
      <c r="AN33" s="110">
        <v>0</v>
      </c>
      <c r="AO33" s="110">
        <v>0</v>
      </c>
      <c r="AP33" s="110">
        <v>0</v>
      </c>
      <c r="AQ33" s="110">
        <v>0</v>
      </c>
      <c r="AR33" s="110">
        <v>0</v>
      </c>
      <c r="AS33" s="110">
        <v>0</v>
      </c>
      <c r="AT33" s="110">
        <v>0</v>
      </c>
      <c r="AU33" s="110">
        <v>0</v>
      </c>
      <c r="AV33" s="110">
        <v>0</v>
      </c>
      <c r="AW33" s="110">
        <v>0</v>
      </c>
      <c r="AX33" s="110">
        <v>0</v>
      </c>
      <c r="AY33" s="110">
        <v>0</v>
      </c>
      <c r="AZ33" s="110">
        <v>0</v>
      </c>
      <c r="BA33" s="110">
        <v>0</v>
      </c>
      <c r="BB33" s="110">
        <v>0</v>
      </c>
    </row>
    <row r="34" spans="1:54" x14ac:dyDescent="0.15">
      <c r="A34" s="194" t="s">
        <v>224</v>
      </c>
      <c r="B34" s="110">
        <v>0</v>
      </c>
      <c r="C34" s="110">
        <v>0</v>
      </c>
      <c r="D34" s="110">
        <v>0</v>
      </c>
      <c r="E34" s="110">
        <v>0</v>
      </c>
      <c r="F34" s="110">
        <v>0</v>
      </c>
      <c r="G34" s="110">
        <v>0</v>
      </c>
      <c r="H34" s="110">
        <v>0</v>
      </c>
      <c r="I34" s="110">
        <v>0</v>
      </c>
      <c r="J34" s="110">
        <v>0</v>
      </c>
      <c r="K34" s="110">
        <v>0</v>
      </c>
      <c r="L34" s="110">
        <v>0</v>
      </c>
      <c r="M34" s="110">
        <v>0</v>
      </c>
      <c r="N34" s="110">
        <v>0</v>
      </c>
      <c r="O34" s="110">
        <v>0</v>
      </c>
      <c r="P34" s="110">
        <v>0</v>
      </c>
      <c r="Q34" s="110">
        <v>0</v>
      </c>
      <c r="R34" s="110">
        <v>0</v>
      </c>
      <c r="S34" s="110">
        <v>0</v>
      </c>
      <c r="T34" s="110">
        <v>0</v>
      </c>
      <c r="U34" s="110">
        <v>0</v>
      </c>
      <c r="V34" s="110">
        <v>0</v>
      </c>
      <c r="W34" s="110">
        <v>0</v>
      </c>
      <c r="X34" s="110">
        <v>0</v>
      </c>
      <c r="Y34" s="110">
        <v>0</v>
      </c>
      <c r="Z34" s="110">
        <v>0</v>
      </c>
      <c r="AA34" s="110">
        <v>0</v>
      </c>
      <c r="AB34" s="110">
        <v>0.8</v>
      </c>
      <c r="AC34" s="110">
        <v>0</v>
      </c>
      <c r="AD34" s="110">
        <v>0.8</v>
      </c>
      <c r="AE34" s="110">
        <v>0.8</v>
      </c>
      <c r="AF34" s="110">
        <v>0.8</v>
      </c>
      <c r="AG34" s="110">
        <v>0.8</v>
      </c>
      <c r="AH34" s="110">
        <v>0.8</v>
      </c>
      <c r="AI34" s="110">
        <v>0</v>
      </c>
      <c r="AJ34" s="110">
        <v>0.8</v>
      </c>
      <c r="AK34" s="110">
        <v>0</v>
      </c>
      <c r="AL34" s="110">
        <v>0.8</v>
      </c>
      <c r="AM34" s="110">
        <v>0</v>
      </c>
      <c r="AN34" s="110">
        <v>0</v>
      </c>
      <c r="AO34" s="110">
        <v>0</v>
      </c>
      <c r="AP34" s="110">
        <v>0</v>
      </c>
      <c r="AQ34" s="110">
        <v>0.8</v>
      </c>
      <c r="AR34" s="110">
        <v>0.8</v>
      </c>
      <c r="AS34" s="110">
        <v>0</v>
      </c>
      <c r="AT34" s="110">
        <v>0</v>
      </c>
      <c r="AU34" s="110">
        <v>0</v>
      </c>
      <c r="AV34" s="110">
        <v>0</v>
      </c>
      <c r="AW34" s="110">
        <v>0</v>
      </c>
      <c r="AX34" s="110">
        <v>0.8</v>
      </c>
      <c r="AY34" s="110">
        <v>0.8</v>
      </c>
      <c r="AZ34" s="110">
        <v>0</v>
      </c>
      <c r="BA34" s="110">
        <v>0</v>
      </c>
      <c r="BB34" s="110">
        <v>0</v>
      </c>
    </row>
    <row r="35" spans="1:54" x14ac:dyDescent="0.15">
      <c r="A35" s="194" t="s">
        <v>225</v>
      </c>
      <c r="B35" s="110">
        <v>0</v>
      </c>
      <c r="C35" s="110">
        <v>0</v>
      </c>
      <c r="D35" s="110">
        <v>0</v>
      </c>
      <c r="E35" s="110">
        <v>0</v>
      </c>
      <c r="F35" s="110">
        <v>0</v>
      </c>
      <c r="G35" s="110">
        <v>0</v>
      </c>
      <c r="H35" s="110">
        <v>0</v>
      </c>
      <c r="I35" s="110">
        <v>0</v>
      </c>
      <c r="J35" s="110">
        <v>0</v>
      </c>
      <c r="K35" s="110">
        <v>0</v>
      </c>
      <c r="L35" s="110">
        <v>0</v>
      </c>
      <c r="M35" s="110">
        <v>0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</v>
      </c>
      <c r="U35" s="110">
        <v>0</v>
      </c>
      <c r="V35" s="110">
        <v>0</v>
      </c>
      <c r="W35" s="110">
        <v>0</v>
      </c>
      <c r="X35" s="110">
        <v>0</v>
      </c>
      <c r="Y35" s="110">
        <v>0</v>
      </c>
      <c r="Z35" s="110">
        <v>0</v>
      </c>
      <c r="AA35" s="110">
        <v>0</v>
      </c>
      <c r="AB35" s="110">
        <v>0</v>
      </c>
      <c r="AC35" s="110">
        <v>0</v>
      </c>
      <c r="AD35" s="110">
        <v>0</v>
      </c>
      <c r="AE35" s="110">
        <v>0</v>
      </c>
      <c r="AF35" s="110">
        <v>0</v>
      </c>
      <c r="AG35" s="110">
        <v>0</v>
      </c>
      <c r="AH35" s="110">
        <v>0</v>
      </c>
      <c r="AI35" s="110">
        <v>0</v>
      </c>
      <c r="AJ35" s="110">
        <v>0</v>
      </c>
      <c r="AK35" s="110">
        <v>0</v>
      </c>
      <c r="AL35" s="110">
        <v>0</v>
      </c>
      <c r="AM35" s="110">
        <v>0</v>
      </c>
      <c r="AN35" s="110">
        <v>0</v>
      </c>
      <c r="AO35" s="110">
        <v>0</v>
      </c>
      <c r="AP35" s="110">
        <v>0</v>
      </c>
      <c r="AQ35" s="110">
        <v>0</v>
      </c>
      <c r="AR35" s="110">
        <v>0</v>
      </c>
      <c r="AS35" s="110">
        <v>0</v>
      </c>
      <c r="AT35" s="110">
        <v>0</v>
      </c>
      <c r="AU35" s="110">
        <v>0</v>
      </c>
      <c r="AV35" s="110">
        <v>0</v>
      </c>
      <c r="AW35" s="110">
        <v>0</v>
      </c>
      <c r="AX35" s="110">
        <v>0</v>
      </c>
      <c r="AY35" s="110">
        <v>0.8</v>
      </c>
      <c r="AZ35" s="110">
        <v>0</v>
      </c>
      <c r="BA35" s="110">
        <v>0</v>
      </c>
      <c r="BB35" s="110">
        <v>0</v>
      </c>
    </row>
    <row r="36" spans="1:54" x14ac:dyDescent="0.15">
      <c r="A36" s="194" t="s">
        <v>226</v>
      </c>
      <c r="B36" s="110">
        <v>0</v>
      </c>
      <c r="C36" s="110">
        <v>0</v>
      </c>
      <c r="D36" s="110">
        <v>0</v>
      </c>
      <c r="E36" s="110">
        <v>0</v>
      </c>
      <c r="F36" s="110">
        <v>0</v>
      </c>
      <c r="G36" s="110">
        <v>0</v>
      </c>
      <c r="H36" s="110">
        <v>0</v>
      </c>
      <c r="I36" s="110">
        <v>0</v>
      </c>
      <c r="J36" s="110">
        <v>0</v>
      </c>
      <c r="K36" s="110">
        <v>0</v>
      </c>
      <c r="L36" s="110">
        <v>0</v>
      </c>
      <c r="M36" s="110">
        <v>0</v>
      </c>
      <c r="N36" s="110">
        <v>0</v>
      </c>
      <c r="O36" s="110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110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0</v>
      </c>
      <c r="AJ36" s="110">
        <v>0</v>
      </c>
      <c r="AK36" s="110">
        <v>0</v>
      </c>
      <c r="AL36" s="110">
        <v>0.8</v>
      </c>
      <c r="AM36" s="110">
        <v>0</v>
      </c>
      <c r="AN36" s="110">
        <v>0</v>
      </c>
      <c r="AO36" s="110">
        <v>0</v>
      </c>
      <c r="AP36" s="110">
        <v>0</v>
      </c>
      <c r="AQ36" s="110">
        <v>0</v>
      </c>
      <c r="AR36" s="110">
        <v>0</v>
      </c>
      <c r="AS36" s="110">
        <v>0</v>
      </c>
      <c r="AT36" s="110">
        <v>0</v>
      </c>
      <c r="AU36" s="110">
        <v>0</v>
      </c>
      <c r="AV36" s="110">
        <v>0</v>
      </c>
      <c r="AW36" s="110">
        <v>0</v>
      </c>
      <c r="AX36" s="110">
        <v>0</v>
      </c>
      <c r="AY36" s="110">
        <v>0.8</v>
      </c>
      <c r="AZ36" s="110">
        <v>0</v>
      </c>
      <c r="BA36" s="110">
        <v>0</v>
      </c>
      <c r="BB36" s="110">
        <v>0</v>
      </c>
    </row>
    <row r="37" spans="1:54" x14ac:dyDescent="0.15">
      <c r="A37" s="194" t="s">
        <v>227</v>
      </c>
      <c r="B37" s="110">
        <v>0</v>
      </c>
      <c r="C37" s="110">
        <v>0</v>
      </c>
      <c r="D37" s="110">
        <v>0</v>
      </c>
      <c r="E37" s="110">
        <v>0</v>
      </c>
      <c r="F37" s="110">
        <v>0</v>
      </c>
      <c r="G37" s="110">
        <v>0</v>
      </c>
      <c r="H37" s="110">
        <v>0</v>
      </c>
      <c r="I37" s="110">
        <v>0</v>
      </c>
      <c r="J37" s="110">
        <v>0</v>
      </c>
      <c r="K37" s="110">
        <v>0</v>
      </c>
      <c r="L37" s="110">
        <v>0</v>
      </c>
      <c r="M37" s="110">
        <v>0</v>
      </c>
      <c r="N37" s="110">
        <v>0</v>
      </c>
      <c r="O37" s="110">
        <v>0</v>
      </c>
      <c r="P37" s="110">
        <v>0</v>
      </c>
      <c r="Q37" s="110">
        <v>0</v>
      </c>
      <c r="R37" s="110">
        <v>0</v>
      </c>
      <c r="S37" s="110">
        <v>0</v>
      </c>
      <c r="T37" s="110">
        <v>0</v>
      </c>
      <c r="U37" s="110">
        <v>0</v>
      </c>
      <c r="V37" s="110">
        <v>0</v>
      </c>
      <c r="W37" s="110">
        <v>0</v>
      </c>
      <c r="X37" s="110">
        <v>0</v>
      </c>
      <c r="Y37" s="110">
        <v>0</v>
      </c>
      <c r="Z37" s="110">
        <v>0</v>
      </c>
      <c r="AA37" s="110">
        <v>0</v>
      </c>
      <c r="AB37" s="110">
        <v>0</v>
      </c>
      <c r="AC37" s="110">
        <v>0</v>
      </c>
      <c r="AD37" s="110">
        <v>0</v>
      </c>
      <c r="AE37" s="110">
        <v>0</v>
      </c>
      <c r="AF37" s="110">
        <v>0</v>
      </c>
      <c r="AG37" s="110">
        <v>0</v>
      </c>
      <c r="AH37" s="110">
        <v>0</v>
      </c>
      <c r="AI37" s="110">
        <v>0</v>
      </c>
      <c r="AJ37" s="110">
        <v>0</v>
      </c>
      <c r="AK37" s="110">
        <v>0</v>
      </c>
      <c r="AL37" s="110">
        <v>0</v>
      </c>
      <c r="AM37" s="110">
        <v>0</v>
      </c>
      <c r="AN37" s="110">
        <v>0</v>
      </c>
      <c r="AO37" s="110">
        <v>0</v>
      </c>
      <c r="AP37" s="110">
        <v>0</v>
      </c>
      <c r="AQ37" s="110">
        <v>0</v>
      </c>
      <c r="AR37" s="110">
        <v>0</v>
      </c>
      <c r="AS37" s="110">
        <v>0</v>
      </c>
      <c r="AT37" s="110">
        <v>0</v>
      </c>
      <c r="AU37" s="110">
        <v>0</v>
      </c>
      <c r="AV37" s="110">
        <v>0.8</v>
      </c>
      <c r="AW37" s="110">
        <v>0</v>
      </c>
      <c r="AX37" s="110">
        <v>0.8</v>
      </c>
      <c r="AY37" s="110">
        <v>0</v>
      </c>
      <c r="AZ37" s="110">
        <v>0</v>
      </c>
      <c r="BA37" s="110">
        <v>0</v>
      </c>
      <c r="BB37" s="110">
        <v>0</v>
      </c>
    </row>
    <row r="38" spans="1:54" x14ac:dyDescent="0.15">
      <c r="A38" s="194" t="s">
        <v>228</v>
      </c>
      <c r="B38" s="110">
        <v>0</v>
      </c>
      <c r="C38" s="110">
        <v>0</v>
      </c>
      <c r="D38" s="110">
        <v>0</v>
      </c>
      <c r="E38" s="110">
        <v>0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0</v>
      </c>
      <c r="L38" s="110">
        <v>0</v>
      </c>
      <c r="M38" s="110">
        <v>0</v>
      </c>
      <c r="N38" s="110">
        <v>0</v>
      </c>
      <c r="O38" s="110">
        <v>0</v>
      </c>
      <c r="P38" s="110">
        <v>0</v>
      </c>
      <c r="Q38" s="110">
        <v>0</v>
      </c>
      <c r="R38" s="110">
        <v>0</v>
      </c>
      <c r="S38" s="110">
        <v>0</v>
      </c>
      <c r="T38" s="110">
        <v>0</v>
      </c>
      <c r="U38" s="110">
        <v>0</v>
      </c>
      <c r="V38" s="110">
        <v>0</v>
      </c>
      <c r="W38" s="110">
        <v>0</v>
      </c>
      <c r="X38" s="110">
        <v>0</v>
      </c>
      <c r="Y38" s="110">
        <v>0</v>
      </c>
      <c r="Z38" s="110">
        <v>0</v>
      </c>
      <c r="AA38" s="110">
        <v>0</v>
      </c>
      <c r="AB38" s="110">
        <v>0</v>
      </c>
      <c r="AC38" s="110">
        <v>0</v>
      </c>
      <c r="AD38" s="110">
        <v>0</v>
      </c>
      <c r="AE38" s="110">
        <v>0</v>
      </c>
      <c r="AF38" s="110">
        <v>0</v>
      </c>
      <c r="AG38" s="110">
        <v>0</v>
      </c>
      <c r="AH38" s="110">
        <v>0</v>
      </c>
      <c r="AI38" s="110">
        <v>0</v>
      </c>
      <c r="AJ38" s="110">
        <v>0</v>
      </c>
      <c r="AK38" s="110">
        <v>0</v>
      </c>
      <c r="AL38" s="110">
        <v>0</v>
      </c>
      <c r="AM38" s="110">
        <v>0</v>
      </c>
      <c r="AN38" s="110">
        <v>0</v>
      </c>
      <c r="AO38" s="110">
        <v>0</v>
      </c>
      <c r="AP38" s="110">
        <v>0</v>
      </c>
      <c r="AQ38" s="110">
        <v>0</v>
      </c>
      <c r="AR38" s="110">
        <v>0</v>
      </c>
      <c r="AS38" s="110">
        <v>0</v>
      </c>
      <c r="AT38" s="110">
        <v>0</v>
      </c>
      <c r="AU38" s="110">
        <v>0</v>
      </c>
      <c r="AV38" s="110">
        <v>0</v>
      </c>
      <c r="AW38" s="110">
        <v>0</v>
      </c>
      <c r="AX38" s="110">
        <v>0</v>
      </c>
      <c r="AY38" s="110">
        <v>0</v>
      </c>
      <c r="AZ38" s="110">
        <v>0</v>
      </c>
      <c r="BA38" s="110">
        <v>0</v>
      </c>
      <c r="BB38" s="110">
        <v>0</v>
      </c>
    </row>
    <row r="39" spans="1:54" x14ac:dyDescent="0.15">
      <c r="A39" s="194" t="s">
        <v>229</v>
      </c>
      <c r="B39" s="110">
        <v>0</v>
      </c>
      <c r="C39" s="110">
        <v>0</v>
      </c>
      <c r="D39" s="110">
        <v>0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110">
        <v>0</v>
      </c>
      <c r="O39" s="110">
        <v>0</v>
      </c>
      <c r="P39" s="110">
        <v>0</v>
      </c>
      <c r="Q39" s="110">
        <v>0.8</v>
      </c>
      <c r="R39" s="110">
        <v>0</v>
      </c>
      <c r="S39" s="110">
        <v>0</v>
      </c>
      <c r="T39" s="110">
        <v>0</v>
      </c>
      <c r="U39" s="110">
        <v>0</v>
      </c>
      <c r="V39" s="110">
        <v>0</v>
      </c>
      <c r="W39" s="110">
        <v>0</v>
      </c>
      <c r="X39" s="110">
        <v>0.8</v>
      </c>
      <c r="Y39" s="110">
        <v>0</v>
      </c>
      <c r="Z39" s="110">
        <v>0</v>
      </c>
      <c r="AA39" s="110">
        <v>0</v>
      </c>
      <c r="AB39" s="110">
        <v>0.8</v>
      </c>
      <c r="AC39" s="110">
        <v>0.8</v>
      </c>
      <c r="AD39" s="110">
        <v>0.8</v>
      </c>
      <c r="AE39" s="110">
        <v>0</v>
      </c>
      <c r="AF39" s="110">
        <v>0.8</v>
      </c>
      <c r="AG39" s="110">
        <v>0.8</v>
      </c>
      <c r="AH39" s="110">
        <v>0.8</v>
      </c>
      <c r="AI39" s="110">
        <v>0</v>
      </c>
      <c r="AJ39" s="110">
        <v>0.8</v>
      </c>
      <c r="AK39" s="110">
        <v>0</v>
      </c>
      <c r="AL39" s="110">
        <v>0.8</v>
      </c>
      <c r="AM39" s="110">
        <v>0</v>
      </c>
      <c r="AN39" s="110">
        <v>0</v>
      </c>
      <c r="AO39" s="110">
        <v>0</v>
      </c>
      <c r="AP39" s="110">
        <v>0</v>
      </c>
      <c r="AQ39" s="110">
        <v>0.8</v>
      </c>
      <c r="AR39" s="110">
        <v>0.8</v>
      </c>
      <c r="AS39" s="110">
        <v>0</v>
      </c>
      <c r="AT39" s="110">
        <v>0</v>
      </c>
      <c r="AU39" s="110">
        <v>0</v>
      </c>
      <c r="AV39" s="110">
        <v>0.8</v>
      </c>
      <c r="AW39" s="110">
        <v>0.8</v>
      </c>
      <c r="AX39" s="110">
        <v>0</v>
      </c>
      <c r="AY39" s="110">
        <v>0.8</v>
      </c>
      <c r="AZ39" s="110">
        <v>0</v>
      </c>
      <c r="BA39" s="110">
        <v>0</v>
      </c>
      <c r="BB39" s="110">
        <v>0</v>
      </c>
    </row>
    <row r="40" spans="1:54" x14ac:dyDescent="0.15">
      <c r="A40" s="194" t="s">
        <v>230</v>
      </c>
      <c r="B40" s="110">
        <v>0</v>
      </c>
      <c r="C40" s="110">
        <v>0</v>
      </c>
      <c r="D40" s="110">
        <v>0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10">
        <v>0</v>
      </c>
      <c r="P40" s="110">
        <v>0</v>
      </c>
      <c r="Q40" s="110">
        <v>0</v>
      </c>
      <c r="R40" s="110">
        <v>0</v>
      </c>
      <c r="S40" s="110">
        <v>0</v>
      </c>
      <c r="T40" s="110">
        <v>0</v>
      </c>
      <c r="U40" s="110">
        <v>0</v>
      </c>
      <c r="V40" s="110">
        <v>0</v>
      </c>
      <c r="W40" s="110">
        <v>0</v>
      </c>
      <c r="X40" s="110">
        <v>0.8</v>
      </c>
      <c r="Y40" s="110">
        <v>0.8</v>
      </c>
      <c r="Z40" s="110">
        <v>0</v>
      </c>
      <c r="AA40" s="110">
        <v>0</v>
      </c>
      <c r="AB40" s="110">
        <v>0.8</v>
      </c>
      <c r="AC40" s="110">
        <v>0</v>
      </c>
      <c r="AD40" s="110">
        <v>0.8</v>
      </c>
      <c r="AE40" s="110">
        <v>0.8</v>
      </c>
      <c r="AF40" s="110">
        <v>0.8</v>
      </c>
      <c r="AG40" s="110">
        <v>0.8</v>
      </c>
      <c r="AH40" s="110">
        <v>0.8</v>
      </c>
      <c r="AI40" s="110">
        <v>0.8</v>
      </c>
      <c r="AJ40" s="110">
        <v>0.8</v>
      </c>
      <c r="AK40" s="110">
        <v>0</v>
      </c>
      <c r="AL40" s="110">
        <v>0</v>
      </c>
      <c r="AM40" s="110">
        <v>0</v>
      </c>
      <c r="AN40" s="110">
        <v>0</v>
      </c>
      <c r="AO40" s="110">
        <v>0</v>
      </c>
      <c r="AP40" s="110">
        <v>0</v>
      </c>
      <c r="AQ40" s="110">
        <v>0.8</v>
      </c>
      <c r="AR40" s="110">
        <v>0.8</v>
      </c>
      <c r="AS40" s="110">
        <v>0</v>
      </c>
      <c r="AT40" s="110">
        <v>0.8</v>
      </c>
      <c r="AU40" s="110">
        <v>0</v>
      </c>
      <c r="AV40" s="110">
        <v>0.8</v>
      </c>
      <c r="AW40" s="110">
        <v>0.8</v>
      </c>
      <c r="AX40" s="110">
        <v>0.8</v>
      </c>
      <c r="AY40" s="110">
        <v>0.8</v>
      </c>
      <c r="AZ40" s="110">
        <v>0</v>
      </c>
      <c r="BA40" s="110">
        <v>0</v>
      </c>
      <c r="BB40" s="110">
        <v>0</v>
      </c>
    </row>
    <row r="41" spans="1:54" x14ac:dyDescent="0.15">
      <c r="A41" s="194" t="s">
        <v>231</v>
      </c>
      <c r="B41" s="110">
        <v>0</v>
      </c>
      <c r="C41" s="110">
        <v>0</v>
      </c>
      <c r="D41" s="110">
        <v>0</v>
      </c>
      <c r="E41" s="110">
        <v>0</v>
      </c>
      <c r="F41" s="110">
        <v>0</v>
      </c>
      <c r="G41" s="110">
        <v>0</v>
      </c>
      <c r="H41" s="110">
        <v>0</v>
      </c>
      <c r="I41" s="110">
        <v>0</v>
      </c>
      <c r="J41" s="110">
        <v>0</v>
      </c>
      <c r="K41" s="110">
        <v>0</v>
      </c>
      <c r="L41" s="110">
        <v>0</v>
      </c>
      <c r="M41" s="110">
        <v>0</v>
      </c>
      <c r="N41" s="110">
        <v>0</v>
      </c>
      <c r="O41" s="110">
        <v>0</v>
      </c>
      <c r="P41" s="110">
        <v>0</v>
      </c>
      <c r="Q41" s="110">
        <v>0.8</v>
      </c>
      <c r="R41" s="110">
        <v>0</v>
      </c>
      <c r="S41" s="110">
        <v>0</v>
      </c>
      <c r="T41" s="110">
        <v>0</v>
      </c>
      <c r="U41" s="110">
        <v>0</v>
      </c>
      <c r="V41" s="110">
        <v>0</v>
      </c>
      <c r="W41" s="110">
        <v>0</v>
      </c>
      <c r="X41" s="110">
        <v>0.8</v>
      </c>
      <c r="Y41" s="110">
        <v>0.8</v>
      </c>
      <c r="Z41" s="110">
        <v>0</v>
      </c>
      <c r="AA41" s="110">
        <v>0</v>
      </c>
      <c r="AB41" s="110">
        <v>0.8</v>
      </c>
      <c r="AC41" s="110">
        <v>0.8</v>
      </c>
      <c r="AD41" s="110">
        <v>0.8</v>
      </c>
      <c r="AE41" s="110">
        <v>0.8</v>
      </c>
      <c r="AF41" s="110">
        <v>0.8</v>
      </c>
      <c r="AG41" s="110">
        <v>0.8</v>
      </c>
      <c r="AH41" s="110">
        <v>0.8</v>
      </c>
      <c r="AI41" s="110">
        <v>0</v>
      </c>
      <c r="AJ41" s="110">
        <v>0.8</v>
      </c>
      <c r="AK41" s="110">
        <v>0</v>
      </c>
      <c r="AL41" s="110">
        <v>0</v>
      </c>
      <c r="AM41" s="110">
        <v>0</v>
      </c>
      <c r="AN41" s="110">
        <v>0</v>
      </c>
      <c r="AO41" s="110">
        <v>0</v>
      </c>
      <c r="AP41" s="110">
        <v>0</v>
      </c>
      <c r="AQ41" s="110">
        <v>0.8</v>
      </c>
      <c r="AR41" s="110">
        <v>0.8</v>
      </c>
      <c r="AS41" s="110">
        <v>0</v>
      </c>
      <c r="AT41" s="110">
        <v>0.8</v>
      </c>
      <c r="AU41" s="110">
        <v>0</v>
      </c>
      <c r="AV41" s="110">
        <v>0</v>
      </c>
      <c r="AW41" s="110">
        <v>0.8</v>
      </c>
      <c r="AX41" s="110">
        <v>0.8</v>
      </c>
      <c r="AY41" s="110">
        <v>0</v>
      </c>
      <c r="AZ41" s="110">
        <v>0</v>
      </c>
      <c r="BA41" s="110">
        <v>0</v>
      </c>
      <c r="BB41" s="110">
        <v>0</v>
      </c>
    </row>
    <row r="42" spans="1:54" x14ac:dyDescent="0.15">
      <c r="A42" s="194" t="s">
        <v>232</v>
      </c>
      <c r="B42" s="110">
        <v>0</v>
      </c>
      <c r="C42" s="110">
        <v>0</v>
      </c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0.8</v>
      </c>
      <c r="Y42" s="110">
        <v>0.8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0.8</v>
      </c>
      <c r="AF42" s="110">
        <v>0.8</v>
      </c>
      <c r="AG42" s="110">
        <v>0.8</v>
      </c>
      <c r="AH42" s="110">
        <v>0</v>
      </c>
      <c r="AI42" s="110">
        <v>0</v>
      </c>
      <c r="AJ42" s="110">
        <v>0.8</v>
      </c>
      <c r="AK42" s="110">
        <v>0</v>
      </c>
      <c r="AL42" s="110">
        <v>0.8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0.8</v>
      </c>
      <c r="AS42" s="110">
        <v>0</v>
      </c>
      <c r="AT42" s="110">
        <v>0</v>
      </c>
      <c r="AU42" s="110">
        <v>0</v>
      </c>
      <c r="AV42" s="110">
        <v>0</v>
      </c>
      <c r="AW42" s="110">
        <v>0.8</v>
      </c>
      <c r="AX42" s="110">
        <v>0.8</v>
      </c>
      <c r="AY42" s="110">
        <v>0</v>
      </c>
      <c r="AZ42" s="110">
        <v>0</v>
      </c>
      <c r="BA42" s="110">
        <v>0</v>
      </c>
      <c r="BB42" s="110">
        <v>0</v>
      </c>
    </row>
    <row r="43" spans="1:54" x14ac:dyDescent="0.15">
      <c r="A43" s="194" t="s">
        <v>233</v>
      </c>
      <c r="B43" s="110">
        <v>0</v>
      </c>
      <c r="C43" s="110">
        <v>0</v>
      </c>
      <c r="D43" s="110">
        <v>0</v>
      </c>
      <c r="E43" s="110">
        <v>0</v>
      </c>
      <c r="F43" s="110">
        <v>0</v>
      </c>
      <c r="G43" s="110">
        <v>0</v>
      </c>
      <c r="H43" s="110">
        <v>0</v>
      </c>
      <c r="I43" s="110">
        <v>0</v>
      </c>
      <c r="J43" s="110">
        <v>0</v>
      </c>
      <c r="K43" s="110">
        <v>0</v>
      </c>
      <c r="L43" s="110">
        <v>0</v>
      </c>
      <c r="M43" s="110">
        <v>0</v>
      </c>
      <c r="N43" s="110">
        <v>0</v>
      </c>
      <c r="O43" s="110">
        <v>0</v>
      </c>
      <c r="P43" s="110">
        <v>0</v>
      </c>
      <c r="Q43" s="110">
        <v>0</v>
      </c>
      <c r="R43" s="110">
        <v>0</v>
      </c>
      <c r="S43" s="110">
        <v>0</v>
      </c>
      <c r="T43" s="110">
        <v>0</v>
      </c>
      <c r="U43" s="110">
        <v>0</v>
      </c>
      <c r="V43" s="110">
        <v>0</v>
      </c>
      <c r="W43" s="110">
        <v>0</v>
      </c>
      <c r="X43" s="110">
        <v>0</v>
      </c>
      <c r="Y43" s="110">
        <v>0</v>
      </c>
      <c r="Z43" s="110">
        <v>0</v>
      </c>
      <c r="AA43" s="110">
        <v>0</v>
      </c>
      <c r="AB43" s="110">
        <v>0.8</v>
      </c>
      <c r="AC43" s="110">
        <v>0</v>
      </c>
      <c r="AD43" s="110">
        <v>0.8</v>
      </c>
      <c r="AE43" s="110">
        <v>0.8</v>
      </c>
      <c r="AF43" s="110">
        <v>0</v>
      </c>
      <c r="AG43" s="110">
        <v>0.8</v>
      </c>
      <c r="AH43" s="110">
        <v>0</v>
      </c>
      <c r="AI43" s="110">
        <v>0.8</v>
      </c>
      <c r="AJ43" s="110">
        <v>0</v>
      </c>
      <c r="AK43" s="110">
        <v>0</v>
      </c>
      <c r="AL43" s="110">
        <v>0</v>
      </c>
      <c r="AM43" s="110">
        <v>0</v>
      </c>
      <c r="AN43" s="110">
        <v>0</v>
      </c>
      <c r="AO43" s="110">
        <v>0</v>
      </c>
      <c r="AP43" s="110">
        <v>0</v>
      </c>
      <c r="AQ43" s="110">
        <v>0.8</v>
      </c>
      <c r="AR43" s="110">
        <v>0</v>
      </c>
      <c r="AS43" s="110">
        <v>0</v>
      </c>
      <c r="AT43" s="110">
        <v>0.8</v>
      </c>
      <c r="AU43" s="110">
        <v>0</v>
      </c>
      <c r="AV43" s="110">
        <v>0.8</v>
      </c>
      <c r="AW43" s="110">
        <v>0.8</v>
      </c>
      <c r="AX43" s="110">
        <v>0.8</v>
      </c>
      <c r="AY43" s="110">
        <v>0.8</v>
      </c>
      <c r="AZ43" s="110">
        <v>0</v>
      </c>
      <c r="BA43" s="110">
        <v>0</v>
      </c>
      <c r="BB43" s="110">
        <v>0</v>
      </c>
    </row>
    <row r="44" spans="1:54" x14ac:dyDescent="0.15">
      <c r="A44" s="194" t="s">
        <v>234</v>
      </c>
      <c r="B44" s="110">
        <v>0</v>
      </c>
      <c r="C44" s="110">
        <v>0</v>
      </c>
      <c r="D44" s="110">
        <v>0</v>
      </c>
      <c r="E44" s="110">
        <v>0</v>
      </c>
      <c r="F44" s="110">
        <v>0</v>
      </c>
      <c r="G44" s="110">
        <v>0</v>
      </c>
      <c r="H44" s="110">
        <v>0</v>
      </c>
      <c r="I44" s="110">
        <v>0</v>
      </c>
      <c r="J44" s="110">
        <v>0</v>
      </c>
      <c r="K44" s="110">
        <v>0</v>
      </c>
      <c r="L44" s="110">
        <v>0</v>
      </c>
      <c r="M44" s="110">
        <v>0</v>
      </c>
      <c r="N44" s="110">
        <v>0</v>
      </c>
      <c r="O44" s="110">
        <v>0</v>
      </c>
      <c r="P44" s="110">
        <v>0</v>
      </c>
      <c r="Q44" s="110">
        <v>0</v>
      </c>
      <c r="R44" s="110">
        <v>0</v>
      </c>
      <c r="S44" s="110">
        <v>0</v>
      </c>
      <c r="T44" s="110">
        <v>0</v>
      </c>
      <c r="U44" s="110">
        <v>0</v>
      </c>
      <c r="V44" s="110">
        <v>0</v>
      </c>
      <c r="W44" s="110">
        <v>0</v>
      </c>
      <c r="X44" s="110">
        <v>0</v>
      </c>
      <c r="Y44" s="110">
        <v>0</v>
      </c>
      <c r="Z44" s="110">
        <v>0</v>
      </c>
      <c r="AA44" s="110">
        <v>0</v>
      </c>
      <c r="AB44" s="110">
        <v>0</v>
      </c>
      <c r="AC44" s="110">
        <v>0</v>
      </c>
      <c r="AD44" s="110">
        <v>0</v>
      </c>
      <c r="AE44" s="110">
        <v>0.8</v>
      </c>
      <c r="AF44" s="110">
        <v>0</v>
      </c>
      <c r="AG44" s="110">
        <v>0</v>
      </c>
      <c r="AH44" s="110">
        <v>0</v>
      </c>
      <c r="AI44" s="110">
        <v>0</v>
      </c>
      <c r="AJ44" s="110">
        <v>0</v>
      </c>
      <c r="AK44" s="110">
        <v>0</v>
      </c>
      <c r="AL44" s="110">
        <v>0.8</v>
      </c>
      <c r="AM44" s="110">
        <v>0</v>
      </c>
      <c r="AN44" s="110">
        <v>0</v>
      </c>
      <c r="AO44" s="110">
        <v>0</v>
      </c>
      <c r="AP44" s="110">
        <v>0</v>
      </c>
      <c r="AQ44" s="110">
        <v>0</v>
      </c>
      <c r="AR44" s="110">
        <v>0</v>
      </c>
      <c r="AS44" s="110">
        <v>0</v>
      </c>
      <c r="AT44" s="110">
        <v>0.8</v>
      </c>
      <c r="AU44" s="110">
        <v>0</v>
      </c>
      <c r="AV44" s="110">
        <v>0.8</v>
      </c>
      <c r="AW44" s="110">
        <v>0</v>
      </c>
      <c r="AX44" s="110">
        <v>0.8</v>
      </c>
      <c r="AY44" s="110">
        <v>0.8</v>
      </c>
      <c r="AZ44" s="110">
        <v>0</v>
      </c>
      <c r="BA44" s="110">
        <v>0</v>
      </c>
      <c r="BB44" s="110">
        <v>0</v>
      </c>
    </row>
    <row r="45" spans="1:54" x14ac:dyDescent="0.15">
      <c r="A45" s="194" t="s">
        <v>235</v>
      </c>
      <c r="B45" s="110">
        <v>0</v>
      </c>
      <c r="C45" s="110">
        <v>0</v>
      </c>
      <c r="D45" s="110">
        <v>0</v>
      </c>
      <c r="E45" s="110">
        <v>0</v>
      </c>
      <c r="F45" s="110">
        <v>0</v>
      </c>
      <c r="G45" s="110">
        <v>0</v>
      </c>
      <c r="H45" s="110">
        <v>0</v>
      </c>
      <c r="I45" s="110">
        <v>0</v>
      </c>
      <c r="J45" s="110">
        <v>0</v>
      </c>
      <c r="K45" s="110">
        <v>0</v>
      </c>
      <c r="L45" s="110">
        <v>0</v>
      </c>
      <c r="M45" s="110">
        <v>0</v>
      </c>
      <c r="N45" s="110">
        <v>0</v>
      </c>
      <c r="O45" s="110">
        <v>0</v>
      </c>
      <c r="P45" s="110">
        <v>0</v>
      </c>
      <c r="Q45" s="110">
        <v>0</v>
      </c>
      <c r="R45" s="110">
        <v>0</v>
      </c>
      <c r="S45" s="110">
        <v>0</v>
      </c>
      <c r="T45" s="110">
        <v>0</v>
      </c>
      <c r="U45" s="110">
        <v>0</v>
      </c>
      <c r="V45" s="110">
        <v>0</v>
      </c>
      <c r="W45" s="110">
        <v>0</v>
      </c>
      <c r="X45" s="110">
        <v>0</v>
      </c>
      <c r="Y45" s="110">
        <v>0</v>
      </c>
      <c r="Z45" s="110">
        <v>0</v>
      </c>
      <c r="AA45" s="110">
        <v>0</v>
      </c>
      <c r="AB45" s="110">
        <v>0</v>
      </c>
      <c r="AC45" s="110">
        <v>0</v>
      </c>
      <c r="AD45" s="110">
        <v>0</v>
      </c>
      <c r="AE45" s="110">
        <v>0</v>
      </c>
      <c r="AF45" s="110">
        <v>0</v>
      </c>
      <c r="AG45" s="110">
        <v>0</v>
      </c>
      <c r="AH45" s="110">
        <v>0</v>
      </c>
      <c r="AI45" s="110">
        <v>0</v>
      </c>
      <c r="AJ45" s="110">
        <v>0</v>
      </c>
      <c r="AK45" s="110">
        <v>0</v>
      </c>
      <c r="AL45" s="110">
        <v>0</v>
      </c>
      <c r="AM45" s="110">
        <v>0</v>
      </c>
      <c r="AN45" s="110">
        <v>0</v>
      </c>
      <c r="AO45" s="110">
        <v>0</v>
      </c>
      <c r="AP45" s="110">
        <v>0</v>
      </c>
      <c r="AQ45" s="110">
        <v>0</v>
      </c>
      <c r="AR45" s="110">
        <v>0</v>
      </c>
      <c r="AS45" s="110">
        <v>0</v>
      </c>
      <c r="AT45" s="110">
        <v>0</v>
      </c>
      <c r="AU45" s="110">
        <v>0</v>
      </c>
      <c r="AV45" s="110">
        <v>0</v>
      </c>
      <c r="AW45" s="110">
        <v>0</v>
      </c>
      <c r="AX45" s="110">
        <v>0</v>
      </c>
      <c r="AY45" s="110">
        <v>0</v>
      </c>
      <c r="AZ45" s="110">
        <v>0</v>
      </c>
      <c r="BA45" s="110">
        <v>0</v>
      </c>
      <c r="BB45" s="110">
        <v>0</v>
      </c>
    </row>
    <row r="46" spans="1:54" x14ac:dyDescent="0.15">
      <c r="A46" s="194" t="s">
        <v>236</v>
      </c>
      <c r="B46" s="110">
        <v>0</v>
      </c>
      <c r="C46" s="110">
        <v>0</v>
      </c>
      <c r="D46" s="110">
        <v>0</v>
      </c>
      <c r="E46" s="110">
        <v>0</v>
      </c>
      <c r="F46" s="110">
        <v>0</v>
      </c>
      <c r="G46" s="110">
        <v>0</v>
      </c>
      <c r="H46" s="110">
        <v>0</v>
      </c>
      <c r="I46" s="110">
        <v>0</v>
      </c>
      <c r="J46" s="110">
        <v>0</v>
      </c>
      <c r="K46" s="110">
        <v>0</v>
      </c>
      <c r="L46" s="110">
        <v>0</v>
      </c>
      <c r="M46" s="110">
        <v>0</v>
      </c>
      <c r="N46" s="110">
        <v>0</v>
      </c>
      <c r="O46" s="110">
        <v>0</v>
      </c>
      <c r="P46" s="110">
        <v>0</v>
      </c>
      <c r="Q46" s="110">
        <v>0</v>
      </c>
      <c r="R46" s="110">
        <v>0</v>
      </c>
      <c r="S46" s="110">
        <v>0</v>
      </c>
      <c r="T46" s="110">
        <v>0</v>
      </c>
      <c r="U46" s="110">
        <v>0</v>
      </c>
      <c r="V46" s="110">
        <v>0</v>
      </c>
      <c r="W46" s="110">
        <v>0</v>
      </c>
      <c r="X46" s="110">
        <v>0</v>
      </c>
      <c r="Y46" s="110">
        <v>0</v>
      </c>
      <c r="Z46" s="110">
        <v>0</v>
      </c>
      <c r="AA46" s="110">
        <v>0</v>
      </c>
      <c r="AB46" s="110">
        <v>0</v>
      </c>
      <c r="AC46" s="110">
        <v>0</v>
      </c>
      <c r="AD46" s="110">
        <v>0</v>
      </c>
      <c r="AE46" s="110">
        <v>0</v>
      </c>
      <c r="AF46" s="110">
        <v>0</v>
      </c>
      <c r="AG46" s="110">
        <v>0</v>
      </c>
      <c r="AH46" s="110">
        <v>0</v>
      </c>
      <c r="AI46" s="110">
        <v>0</v>
      </c>
      <c r="AJ46" s="110">
        <v>0</v>
      </c>
      <c r="AK46" s="110">
        <v>0</v>
      </c>
      <c r="AL46" s="110">
        <v>0</v>
      </c>
      <c r="AM46" s="110">
        <v>0</v>
      </c>
      <c r="AN46" s="110">
        <v>0</v>
      </c>
      <c r="AO46" s="110">
        <v>0</v>
      </c>
      <c r="AP46" s="110">
        <v>0</v>
      </c>
      <c r="AQ46" s="110">
        <v>0</v>
      </c>
      <c r="AR46" s="110">
        <v>0</v>
      </c>
      <c r="AS46" s="110">
        <v>0</v>
      </c>
      <c r="AT46" s="110">
        <v>0.8</v>
      </c>
      <c r="AU46" s="110">
        <v>0</v>
      </c>
      <c r="AV46" s="110">
        <v>0</v>
      </c>
      <c r="AW46" s="110">
        <v>0</v>
      </c>
      <c r="AX46" s="110">
        <v>0</v>
      </c>
      <c r="AY46" s="110">
        <v>0</v>
      </c>
      <c r="AZ46" s="110">
        <v>0</v>
      </c>
      <c r="BA46" s="110">
        <v>0</v>
      </c>
      <c r="BB46" s="110">
        <v>0</v>
      </c>
    </row>
    <row r="47" spans="1:54" x14ac:dyDescent="0.15">
      <c r="A47" s="194" t="s">
        <v>237</v>
      </c>
      <c r="B47" s="110">
        <v>0</v>
      </c>
      <c r="C47" s="110">
        <v>0</v>
      </c>
      <c r="D47" s="110">
        <v>0</v>
      </c>
      <c r="E47" s="110">
        <v>0</v>
      </c>
      <c r="F47" s="110">
        <v>0</v>
      </c>
      <c r="G47" s="110">
        <v>0</v>
      </c>
      <c r="H47" s="110">
        <v>0</v>
      </c>
      <c r="I47" s="110">
        <v>0</v>
      </c>
      <c r="J47" s="110">
        <v>0</v>
      </c>
      <c r="K47" s="110">
        <v>0</v>
      </c>
      <c r="L47" s="110">
        <v>0</v>
      </c>
      <c r="M47" s="110">
        <v>0</v>
      </c>
      <c r="N47" s="110">
        <v>0</v>
      </c>
      <c r="O47" s="110">
        <v>0</v>
      </c>
      <c r="P47" s="110">
        <v>0</v>
      </c>
      <c r="Q47" s="110">
        <v>0</v>
      </c>
      <c r="R47" s="110">
        <v>0</v>
      </c>
      <c r="S47" s="110">
        <v>0</v>
      </c>
      <c r="T47" s="110">
        <v>0</v>
      </c>
      <c r="U47" s="110">
        <v>0</v>
      </c>
      <c r="V47" s="110">
        <v>0</v>
      </c>
      <c r="W47" s="110">
        <v>0</v>
      </c>
      <c r="X47" s="110">
        <v>0</v>
      </c>
      <c r="Y47" s="110">
        <v>0</v>
      </c>
      <c r="Z47" s="110">
        <v>0</v>
      </c>
      <c r="AA47" s="110">
        <v>0</v>
      </c>
      <c r="AB47" s="110">
        <v>0</v>
      </c>
      <c r="AC47" s="110">
        <v>0</v>
      </c>
      <c r="AD47" s="110">
        <v>0</v>
      </c>
      <c r="AE47" s="110">
        <v>0</v>
      </c>
      <c r="AF47" s="110">
        <v>0</v>
      </c>
      <c r="AG47" s="110">
        <v>0</v>
      </c>
      <c r="AH47" s="110">
        <v>0</v>
      </c>
      <c r="AI47" s="110">
        <v>0</v>
      </c>
      <c r="AJ47" s="110">
        <v>0</v>
      </c>
      <c r="AK47" s="110">
        <v>0</v>
      </c>
      <c r="AL47" s="110">
        <v>0</v>
      </c>
      <c r="AM47" s="110">
        <v>0</v>
      </c>
      <c r="AN47" s="110">
        <v>0</v>
      </c>
      <c r="AO47" s="110">
        <v>0</v>
      </c>
      <c r="AP47" s="110">
        <v>0</v>
      </c>
      <c r="AQ47" s="110">
        <v>0</v>
      </c>
      <c r="AR47" s="110">
        <v>0</v>
      </c>
      <c r="AS47" s="110">
        <v>0</v>
      </c>
      <c r="AT47" s="110">
        <v>0</v>
      </c>
      <c r="AU47" s="110">
        <v>0</v>
      </c>
      <c r="AV47" s="110">
        <v>0</v>
      </c>
      <c r="AW47" s="110">
        <v>0</v>
      </c>
      <c r="AX47" s="110">
        <v>0</v>
      </c>
      <c r="AY47" s="110">
        <v>0</v>
      </c>
      <c r="AZ47" s="110">
        <v>0</v>
      </c>
      <c r="BA47" s="110">
        <v>0</v>
      </c>
      <c r="BB47" s="110">
        <v>0</v>
      </c>
    </row>
    <row r="48" spans="1:54" x14ac:dyDescent="0.15">
      <c r="A48" s="194" t="s">
        <v>238</v>
      </c>
      <c r="B48" s="110">
        <v>0</v>
      </c>
      <c r="C48" s="110">
        <v>0</v>
      </c>
      <c r="D48" s="110">
        <v>0</v>
      </c>
      <c r="E48" s="110">
        <v>0</v>
      </c>
      <c r="F48" s="110">
        <v>0</v>
      </c>
      <c r="G48" s="110">
        <v>0</v>
      </c>
      <c r="H48" s="110">
        <v>0</v>
      </c>
      <c r="I48" s="110">
        <v>0</v>
      </c>
      <c r="J48" s="110">
        <v>0</v>
      </c>
      <c r="K48" s="110">
        <v>0</v>
      </c>
      <c r="L48" s="110">
        <v>0</v>
      </c>
      <c r="M48" s="110">
        <v>0</v>
      </c>
      <c r="N48" s="110">
        <v>0</v>
      </c>
      <c r="O48" s="110">
        <v>0</v>
      </c>
      <c r="P48" s="110">
        <v>0</v>
      </c>
      <c r="Q48" s="110">
        <v>0.8</v>
      </c>
      <c r="R48" s="110">
        <v>0</v>
      </c>
      <c r="S48" s="110">
        <v>0</v>
      </c>
      <c r="T48" s="110">
        <v>0</v>
      </c>
      <c r="U48" s="110">
        <v>0</v>
      </c>
      <c r="V48" s="110">
        <v>0</v>
      </c>
      <c r="W48" s="110">
        <v>0.8</v>
      </c>
      <c r="X48" s="110">
        <v>0</v>
      </c>
      <c r="Y48" s="110">
        <v>0</v>
      </c>
      <c r="Z48" s="110">
        <v>0.8</v>
      </c>
      <c r="AA48" s="110">
        <v>0</v>
      </c>
      <c r="AB48" s="110">
        <v>0.8</v>
      </c>
      <c r="AC48" s="110">
        <v>0.8</v>
      </c>
      <c r="AD48" s="110">
        <v>0.8</v>
      </c>
      <c r="AE48" s="110">
        <v>0.8</v>
      </c>
      <c r="AF48" s="110">
        <v>0.8</v>
      </c>
      <c r="AG48" s="110">
        <v>0.8</v>
      </c>
      <c r="AH48" s="110">
        <v>0.8</v>
      </c>
      <c r="AI48" s="110">
        <v>0.8</v>
      </c>
      <c r="AJ48" s="110">
        <v>0.8</v>
      </c>
      <c r="AK48" s="110">
        <v>0</v>
      </c>
      <c r="AL48" s="110">
        <v>0.8</v>
      </c>
      <c r="AM48" s="110">
        <v>0</v>
      </c>
      <c r="AN48" s="110">
        <v>0</v>
      </c>
      <c r="AO48" s="110">
        <v>0</v>
      </c>
      <c r="AP48" s="110">
        <v>0</v>
      </c>
      <c r="AQ48" s="110">
        <v>0.8</v>
      </c>
      <c r="AR48" s="110">
        <v>0.8</v>
      </c>
      <c r="AS48" s="110">
        <v>0</v>
      </c>
      <c r="AT48" s="110">
        <v>0.8</v>
      </c>
      <c r="AU48" s="110">
        <v>0</v>
      </c>
      <c r="AV48" s="110">
        <v>0.8</v>
      </c>
      <c r="AW48" s="110">
        <v>0</v>
      </c>
      <c r="AX48" s="110">
        <v>0.8</v>
      </c>
      <c r="AY48" s="110">
        <v>0.8</v>
      </c>
      <c r="AZ48" s="110">
        <v>0</v>
      </c>
      <c r="BA48" s="110">
        <v>0</v>
      </c>
      <c r="BB48" s="110">
        <v>0</v>
      </c>
    </row>
    <row r="49" spans="1:54" x14ac:dyDescent="0.15">
      <c r="A49" s="194" t="s">
        <v>239</v>
      </c>
      <c r="B49" s="110">
        <v>0</v>
      </c>
      <c r="C49" s="110">
        <v>0</v>
      </c>
      <c r="D49" s="110">
        <v>0</v>
      </c>
      <c r="E49" s="110">
        <v>0</v>
      </c>
      <c r="F49" s="110">
        <v>0</v>
      </c>
      <c r="G49" s="110">
        <v>0</v>
      </c>
      <c r="H49" s="110">
        <v>0</v>
      </c>
      <c r="I49" s="110">
        <v>0</v>
      </c>
      <c r="J49" s="110">
        <v>0</v>
      </c>
      <c r="K49" s="110">
        <v>0</v>
      </c>
      <c r="L49" s="110">
        <v>0</v>
      </c>
      <c r="M49" s="110">
        <v>0</v>
      </c>
      <c r="N49" s="110">
        <v>0</v>
      </c>
      <c r="O49" s="110">
        <v>0</v>
      </c>
      <c r="P49" s="110">
        <v>0</v>
      </c>
      <c r="Q49" s="110">
        <v>0</v>
      </c>
      <c r="R49" s="110">
        <v>0</v>
      </c>
      <c r="S49" s="110">
        <v>0</v>
      </c>
      <c r="T49" s="110">
        <v>0</v>
      </c>
      <c r="U49" s="110">
        <v>0</v>
      </c>
      <c r="V49" s="110">
        <v>0</v>
      </c>
      <c r="W49" s="110">
        <v>0</v>
      </c>
      <c r="X49" s="110">
        <v>0</v>
      </c>
      <c r="Y49" s="110">
        <v>0</v>
      </c>
      <c r="Z49" s="110">
        <v>0</v>
      </c>
      <c r="AA49" s="110">
        <v>0</v>
      </c>
      <c r="AB49" s="110">
        <v>0</v>
      </c>
      <c r="AC49" s="110">
        <v>0</v>
      </c>
      <c r="AD49" s="110">
        <v>0</v>
      </c>
      <c r="AE49" s="110">
        <v>0</v>
      </c>
      <c r="AF49" s="110">
        <v>0</v>
      </c>
      <c r="AG49" s="110">
        <v>0</v>
      </c>
      <c r="AH49" s="110">
        <v>0</v>
      </c>
      <c r="AI49" s="110">
        <v>0</v>
      </c>
      <c r="AJ49" s="110">
        <v>0</v>
      </c>
      <c r="AK49" s="110">
        <v>0</v>
      </c>
      <c r="AL49" s="110">
        <v>0</v>
      </c>
      <c r="AM49" s="110">
        <v>0</v>
      </c>
      <c r="AN49" s="110">
        <v>0</v>
      </c>
      <c r="AO49" s="110">
        <v>0</v>
      </c>
      <c r="AP49" s="110">
        <v>0</v>
      </c>
      <c r="AQ49" s="110">
        <v>0</v>
      </c>
      <c r="AR49" s="110">
        <v>0</v>
      </c>
      <c r="AS49" s="110">
        <v>0</v>
      </c>
      <c r="AT49" s="110">
        <v>0.8</v>
      </c>
      <c r="AU49" s="110">
        <v>0</v>
      </c>
      <c r="AV49" s="110">
        <v>0</v>
      </c>
      <c r="AW49" s="110">
        <v>0</v>
      </c>
      <c r="AX49" s="110">
        <v>0</v>
      </c>
      <c r="AY49" s="110">
        <v>0</v>
      </c>
      <c r="AZ49" s="110">
        <v>0</v>
      </c>
      <c r="BA49" s="110">
        <v>0</v>
      </c>
      <c r="BB49" s="110">
        <v>0</v>
      </c>
    </row>
    <row r="50" spans="1:54" x14ac:dyDescent="0.15">
      <c r="A50" s="194" t="s">
        <v>240</v>
      </c>
      <c r="B50" s="110">
        <v>0</v>
      </c>
      <c r="C50" s="110">
        <v>0</v>
      </c>
      <c r="D50" s="110">
        <v>0</v>
      </c>
      <c r="E50" s="110">
        <v>0</v>
      </c>
      <c r="F50" s="110">
        <v>0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110">
        <v>0</v>
      </c>
      <c r="O50" s="110">
        <v>0</v>
      </c>
      <c r="P50" s="110">
        <v>0</v>
      </c>
      <c r="Q50" s="110">
        <v>0</v>
      </c>
      <c r="R50" s="110">
        <v>0</v>
      </c>
      <c r="S50" s="110">
        <v>0</v>
      </c>
      <c r="T50" s="110">
        <v>0</v>
      </c>
      <c r="U50" s="110">
        <v>0</v>
      </c>
      <c r="V50" s="110">
        <v>0</v>
      </c>
      <c r="W50" s="110">
        <v>0</v>
      </c>
      <c r="X50" s="110">
        <v>0</v>
      </c>
      <c r="Y50" s="110">
        <v>0</v>
      </c>
      <c r="Z50" s="110">
        <v>0</v>
      </c>
      <c r="AA50" s="110">
        <v>0</v>
      </c>
      <c r="AB50" s="110">
        <v>0</v>
      </c>
      <c r="AC50" s="110">
        <v>0</v>
      </c>
      <c r="AD50" s="110">
        <v>0</v>
      </c>
      <c r="AE50" s="110">
        <v>0</v>
      </c>
      <c r="AF50" s="110">
        <v>0</v>
      </c>
      <c r="AG50" s="110">
        <v>0</v>
      </c>
      <c r="AH50" s="110">
        <v>0</v>
      </c>
      <c r="AI50" s="110">
        <v>0</v>
      </c>
      <c r="AJ50" s="110">
        <v>0</v>
      </c>
      <c r="AK50" s="110">
        <v>0</v>
      </c>
      <c r="AL50" s="110">
        <v>0</v>
      </c>
      <c r="AM50" s="110">
        <v>0</v>
      </c>
      <c r="AN50" s="110">
        <v>0</v>
      </c>
      <c r="AO50" s="110">
        <v>0</v>
      </c>
      <c r="AP50" s="110">
        <v>0</v>
      </c>
      <c r="AQ50" s="110">
        <v>0</v>
      </c>
      <c r="AR50" s="110">
        <v>0</v>
      </c>
      <c r="AS50" s="110">
        <v>0</v>
      </c>
      <c r="AT50" s="110">
        <v>0.8</v>
      </c>
      <c r="AU50" s="110">
        <v>0</v>
      </c>
      <c r="AV50" s="110">
        <v>0</v>
      </c>
      <c r="AW50" s="110">
        <v>0</v>
      </c>
      <c r="AX50" s="110">
        <v>0</v>
      </c>
      <c r="AY50" s="110">
        <v>0</v>
      </c>
      <c r="AZ50" s="110">
        <v>0</v>
      </c>
      <c r="BA50" s="110">
        <v>0</v>
      </c>
      <c r="BB50" s="110">
        <v>0</v>
      </c>
    </row>
    <row r="51" spans="1:54" x14ac:dyDescent="0.15">
      <c r="A51" s="194" t="s">
        <v>241</v>
      </c>
      <c r="B51" s="110">
        <v>0</v>
      </c>
      <c r="C51" s="110">
        <v>0</v>
      </c>
      <c r="D51" s="110">
        <v>0</v>
      </c>
      <c r="E51" s="110">
        <v>0</v>
      </c>
      <c r="F51" s="110">
        <v>0</v>
      </c>
      <c r="G51" s="110">
        <v>0</v>
      </c>
      <c r="H51" s="110">
        <v>0</v>
      </c>
      <c r="I51" s="110">
        <v>0</v>
      </c>
      <c r="J51" s="110">
        <v>0</v>
      </c>
      <c r="K51" s="110">
        <v>0</v>
      </c>
      <c r="L51" s="110">
        <v>0</v>
      </c>
      <c r="M51" s="110">
        <v>0</v>
      </c>
      <c r="N51" s="110">
        <v>0</v>
      </c>
      <c r="O51" s="110">
        <v>0</v>
      </c>
      <c r="P51" s="110">
        <v>0</v>
      </c>
      <c r="Q51" s="110">
        <v>0</v>
      </c>
      <c r="R51" s="110">
        <v>0</v>
      </c>
      <c r="S51" s="110">
        <v>0</v>
      </c>
      <c r="T51" s="110">
        <v>0</v>
      </c>
      <c r="U51" s="110">
        <v>0</v>
      </c>
      <c r="V51" s="110">
        <v>0</v>
      </c>
      <c r="W51" s="110">
        <v>0</v>
      </c>
      <c r="X51" s="110">
        <v>0</v>
      </c>
      <c r="Y51" s="110">
        <v>0</v>
      </c>
      <c r="Z51" s="110">
        <v>0</v>
      </c>
      <c r="AA51" s="110">
        <v>0</v>
      </c>
      <c r="AB51" s="110">
        <v>0</v>
      </c>
      <c r="AC51" s="110">
        <v>0</v>
      </c>
      <c r="AD51" s="110">
        <v>0</v>
      </c>
      <c r="AE51" s="110">
        <v>0</v>
      </c>
      <c r="AF51" s="110">
        <v>0</v>
      </c>
      <c r="AG51" s="110">
        <v>0</v>
      </c>
      <c r="AH51" s="110">
        <v>0</v>
      </c>
      <c r="AI51" s="110">
        <v>0</v>
      </c>
      <c r="AJ51" s="110">
        <v>0</v>
      </c>
      <c r="AK51" s="110">
        <v>0</v>
      </c>
      <c r="AL51" s="110">
        <v>0</v>
      </c>
      <c r="AM51" s="110">
        <v>0</v>
      </c>
      <c r="AN51" s="110">
        <v>0</v>
      </c>
      <c r="AO51" s="110">
        <v>0</v>
      </c>
      <c r="AP51" s="110">
        <v>0</v>
      </c>
      <c r="AQ51" s="110">
        <v>0</v>
      </c>
      <c r="AR51" s="110">
        <v>0</v>
      </c>
      <c r="AS51" s="110">
        <v>0</v>
      </c>
      <c r="AT51" s="110">
        <v>0.8</v>
      </c>
      <c r="AU51" s="110">
        <v>0</v>
      </c>
      <c r="AV51" s="110">
        <v>0</v>
      </c>
      <c r="AW51" s="110">
        <v>0</v>
      </c>
      <c r="AX51" s="110">
        <v>0</v>
      </c>
      <c r="AY51" s="110">
        <v>0</v>
      </c>
      <c r="AZ51" s="110">
        <v>0</v>
      </c>
      <c r="BA51" s="110">
        <v>0</v>
      </c>
      <c r="BB51" s="110">
        <v>0</v>
      </c>
    </row>
    <row r="52" spans="1:54" x14ac:dyDescent="0.15">
      <c r="A52" s="194" t="s">
        <v>242</v>
      </c>
      <c r="B52" s="110">
        <v>0</v>
      </c>
      <c r="C52" s="110">
        <v>0</v>
      </c>
      <c r="D52" s="110">
        <v>0</v>
      </c>
      <c r="E52" s="110">
        <v>0</v>
      </c>
      <c r="F52" s="110">
        <v>0</v>
      </c>
      <c r="G52" s="110">
        <v>0</v>
      </c>
      <c r="H52" s="110">
        <v>0</v>
      </c>
      <c r="I52" s="110">
        <v>0</v>
      </c>
      <c r="J52" s="110">
        <v>0</v>
      </c>
      <c r="K52" s="110">
        <v>0</v>
      </c>
      <c r="L52" s="110">
        <v>0</v>
      </c>
      <c r="M52" s="110">
        <v>0</v>
      </c>
      <c r="N52" s="110">
        <v>0</v>
      </c>
      <c r="O52" s="110">
        <v>0</v>
      </c>
      <c r="P52" s="110">
        <v>0</v>
      </c>
      <c r="Q52" s="110">
        <v>0</v>
      </c>
      <c r="R52" s="110">
        <v>0</v>
      </c>
      <c r="S52" s="110">
        <v>0</v>
      </c>
      <c r="T52" s="110">
        <v>0</v>
      </c>
      <c r="U52" s="110">
        <v>0</v>
      </c>
      <c r="V52" s="110">
        <v>0</v>
      </c>
      <c r="W52" s="110">
        <v>0</v>
      </c>
      <c r="X52" s="110">
        <v>0</v>
      </c>
      <c r="Y52" s="110">
        <v>0</v>
      </c>
      <c r="Z52" s="110">
        <v>0</v>
      </c>
      <c r="AA52" s="110">
        <v>0</v>
      </c>
      <c r="AB52" s="110">
        <v>0</v>
      </c>
      <c r="AC52" s="110">
        <v>0</v>
      </c>
      <c r="AD52" s="110">
        <v>0</v>
      </c>
      <c r="AE52" s="110">
        <v>0</v>
      </c>
      <c r="AF52" s="110">
        <v>0</v>
      </c>
      <c r="AG52" s="110">
        <v>0</v>
      </c>
      <c r="AH52" s="110">
        <v>0</v>
      </c>
      <c r="AI52" s="110">
        <v>0</v>
      </c>
      <c r="AJ52" s="110">
        <v>0</v>
      </c>
      <c r="AK52" s="110">
        <v>0</v>
      </c>
      <c r="AL52" s="110">
        <v>0</v>
      </c>
      <c r="AM52" s="110">
        <v>0</v>
      </c>
      <c r="AN52" s="110">
        <v>0</v>
      </c>
      <c r="AO52" s="110">
        <v>0</v>
      </c>
      <c r="AP52" s="110">
        <v>0</v>
      </c>
      <c r="AQ52" s="110">
        <v>0</v>
      </c>
      <c r="AR52" s="110">
        <v>0</v>
      </c>
      <c r="AS52" s="110">
        <v>0</v>
      </c>
      <c r="AT52" s="110">
        <v>0.8</v>
      </c>
      <c r="AU52" s="110">
        <v>0</v>
      </c>
      <c r="AV52" s="110">
        <v>0</v>
      </c>
      <c r="AW52" s="110">
        <v>0.8</v>
      </c>
      <c r="AX52" s="110">
        <v>0</v>
      </c>
      <c r="AY52" s="110">
        <v>0</v>
      </c>
      <c r="AZ52" s="110">
        <v>0</v>
      </c>
      <c r="BA52" s="110">
        <v>0</v>
      </c>
      <c r="BB52" s="110">
        <v>0</v>
      </c>
    </row>
    <row r="53" spans="1:54" x14ac:dyDescent="0.15">
      <c r="A53" s="194" t="s">
        <v>243</v>
      </c>
      <c r="B53" s="110">
        <v>0</v>
      </c>
      <c r="C53" s="110">
        <v>0</v>
      </c>
      <c r="D53" s="110">
        <v>0.8</v>
      </c>
      <c r="E53" s="110">
        <v>0</v>
      </c>
      <c r="F53" s="110">
        <v>0.8</v>
      </c>
      <c r="G53" s="110">
        <v>0.8</v>
      </c>
      <c r="H53" s="110">
        <v>0.8</v>
      </c>
      <c r="I53" s="110">
        <v>0</v>
      </c>
      <c r="J53" s="110">
        <v>0.8</v>
      </c>
      <c r="K53" s="110">
        <v>0.8</v>
      </c>
      <c r="L53" s="110">
        <v>0.8</v>
      </c>
      <c r="M53" s="110">
        <v>0.8</v>
      </c>
      <c r="N53" s="110">
        <v>0.8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10">
        <v>0</v>
      </c>
      <c r="BA53" s="110">
        <v>0</v>
      </c>
      <c r="BB53" s="110">
        <v>0</v>
      </c>
    </row>
    <row r="54" spans="1:54" x14ac:dyDescent="0.15">
      <c r="A54" s="194" t="s">
        <v>244</v>
      </c>
      <c r="B54" s="110">
        <v>0</v>
      </c>
      <c r="C54" s="110">
        <v>0</v>
      </c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10">
        <v>0</v>
      </c>
      <c r="BA54" s="110">
        <v>0</v>
      </c>
      <c r="BB54" s="110">
        <v>0</v>
      </c>
    </row>
    <row r="55" spans="1:54" x14ac:dyDescent="0.15">
      <c r="A55" s="194" t="s">
        <v>254</v>
      </c>
      <c r="B55" s="110">
        <v>0</v>
      </c>
      <c r="C55" s="110">
        <v>0</v>
      </c>
      <c r="D55" s="110">
        <v>0</v>
      </c>
      <c r="E55" s="110">
        <v>0</v>
      </c>
      <c r="F55" s="110">
        <v>0</v>
      </c>
      <c r="G55" s="110">
        <v>0</v>
      </c>
      <c r="H55" s="110">
        <v>0</v>
      </c>
      <c r="I55" s="110">
        <v>0</v>
      </c>
      <c r="J55" s="110">
        <v>0</v>
      </c>
      <c r="K55" s="110">
        <v>0</v>
      </c>
      <c r="L55" s="110">
        <v>0</v>
      </c>
      <c r="M55" s="110">
        <v>0</v>
      </c>
      <c r="N55" s="110">
        <v>0</v>
      </c>
      <c r="O55" s="110">
        <v>0</v>
      </c>
      <c r="P55" s="110">
        <v>0</v>
      </c>
      <c r="Q55" s="110">
        <v>0</v>
      </c>
      <c r="R55" s="110">
        <v>0</v>
      </c>
      <c r="S55" s="110">
        <v>0</v>
      </c>
      <c r="T55" s="110">
        <v>0</v>
      </c>
      <c r="U55" s="110">
        <v>0</v>
      </c>
      <c r="V55" s="110">
        <v>0</v>
      </c>
      <c r="W55" s="110">
        <v>0</v>
      </c>
      <c r="X55" s="110">
        <v>0</v>
      </c>
      <c r="Y55" s="110">
        <v>0</v>
      </c>
      <c r="Z55" s="110">
        <v>0</v>
      </c>
      <c r="AA55" s="110">
        <v>0</v>
      </c>
      <c r="AB55" s="110">
        <v>0</v>
      </c>
      <c r="AC55" s="110">
        <v>0</v>
      </c>
      <c r="AD55" s="110">
        <v>0</v>
      </c>
      <c r="AE55" s="110">
        <v>0</v>
      </c>
      <c r="AF55" s="110">
        <v>0</v>
      </c>
      <c r="AG55" s="110">
        <v>0</v>
      </c>
      <c r="AH55" s="110">
        <v>0</v>
      </c>
      <c r="AI55" s="110">
        <v>0</v>
      </c>
      <c r="AJ55" s="110">
        <v>0</v>
      </c>
      <c r="AK55" s="110">
        <v>0</v>
      </c>
      <c r="AL55" s="110">
        <v>0</v>
      </c>
      <c r="AM55" s="110">
        <v>0</v>
      </c>
      <c r="AN55" s="110">
        <v>0</v>
      </c>
      <c r="AO55" s="110">
        <v>0</v>
      </c>
      <c r="AP55" s="110">
        <v>0</v>
      </c>
      <c r="AQ55" s="110">
        <v>0</v>
      </c>
      <c r="AR55" s="110">
        <v>0</v>
      </c>
      <c r="AS55" s="110">
        <v>0</v>
      </c>
      <c r="AT55" s="110">
        <v>0</v>
      </c>
      <c r="AU55" s="110">
        <v>0.8</v>
      </c>
      <c r="AV55" s="110">
        <v>0</v>
      </c>
      <c r="AW55" s="110">
        <v>0.8</v>
      </c>
      <c r="AX55" s="110">
        <v>0</v>
      </c>
      <c r="AY55" s="110">
        <v>0</v>
      </c>
      <c r="AZ55" s="110">
        <v>0</v>
      </c>
      <c r="BA55" s="110">
        <v>0</v>
      </c>
      <c r="BB55" s="11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B55"/>
  <sheetViews>
    <sheetView workbookViewId="0">
      <selection activeCell="A3" sqref="A3"/>
    </sheetView>
  </sheetViews>
  <sheetFormatPr baseColWidth="10" defaultRowHeight="13" x14ac:dyDescent="0.15"/>
  <cols>
    <col min="1" max="1" width="21.6640625" style="110" bestFit="1" customWidth="1"/>
    <col min="2" max="54" width="2.33203125" style="110" customWidth="1"/>
    <col min="55" max="16384" width="10.83203125" style="110"/>
  </cols>
  <sheetData>
    <row r="1" spans="1:54" x14ac:dyDescent="0.15">
      <c r="A1" s="63" t="s">
        <v>139</v>
      </c>
      <c r="B1" s="197" t="s">
        <v>192</v>
      </c>
      <c r="C1" s="197" t="s">
        <v>193</v>
      </c>
      <c r="D1" s="197" t="s">
        <v>194</v>
      </c>
      <c r="E1" s="197" t="s">
        <v>195</v>
      </c>
      <c r="F1" s="197" t="s">
        <v>196</v>
      </c>
      <c r="G1" s="197" t="s">
        <v>197</v>
      </c>
      <c r="H1" s="197" t="s">
        <v>198</v>
      </c>
      <c r="I1" s="197" t="s">
        <v>199</v>
      </c>
      <c r="J1" s="197" t="s">
        <v>200</v>
      </c>
      <c r="K1" s="197" t="s">
        <v>201</v>
      </c>
      <c r="L1" s="197" t="s">
        <v>202</v>
      </c>
      <c r="M1" s="197" t="s">
        <v>203</v>
      </c>
      <c r="N1" s="197" t="s">
        <v>204</v>
      </c>
      <c r="O1" s="197" t="s">
        <v>205</v>
      </c>
      <c r="P1" s="197" t="s">
        <v>206</v>
      </c>
      <c r="Q1" s="197" t="s">
        <v>207</v>
      </c>
      <c r="R1" s="197" t="s">
        <v>208</v>
      </c>
      <c r="S1" s="197" t="s">
        <v>209</v>
      </c>
      <c r="T1" s="197" t="s">
        <v>210</v>
      </c>
      <c r="U1" s="197" t="s">
        <v>211</v>
      </c>
      <c r="V1" s="197" t="s">
        <v>212</v>
      </c>
      <c r="W1" s="197" t="s">
        <v>213</v>
      </c>
      <c r="X1" s="197" t="s">
        <v>214</v>
      </c>
      <c r="Y1" s="197" t="s">
        <v>215</v>
      </c>
      <c r="Z1" s="197" t="s">
        <v>216</v>
      </c>
      <c r="AA1" s="197" t="s">
        <v>217</v>
      </c>
      <c r="AB1" s="197" t="s">
        <v>218</v>
      </c>
      <c r="AC1" s="197" t="s">
        <v>219</v>
      </c>
      <c r="AD1" s="197" t="s">
        <v>220</v>
      </c>
      <c r="AE1" s="197" t="s">
        <v>221</v>
      </c>
      <c r="AF1" s="197" t="s">
        <v>222</v>
      </c>
      <c r="AG1" s="197" t="s">
        <v>223</v>
      </c>
      <c r="AH1" s="197" t="s">
        <v>224</v>
      </c>
      <c r="AI1" s="197" t="s">
        <v>225</v>
      </c>
      <c r="AJ1" s="197" t="s">
        <v>226</v>
      </c>
      <c r="AK1" s="197" t="s">
        <v>227</v>
      </c>
      <c r="AL1" s="197" t="s">
        <v>228</v>
      </c>
      <c r="AM1" s="197" t="s">
        <v>229</v>
      </c>
      <c r="AN1" s="197" t="s">
        <v>230</v>
      </c>
      <c r="AO1" s="197" t="s">
        <v>231</v>
      </c>
      <c r="AP1" s="197" t="s">
        <v>232</v>
      </c>
      <c r="AQ1" s="197" t="s">
        <v>233</v>
      </c>
      <c r="AR1" s="197" t="s">
        <v>234</v>
      </c>
      <c r="AS1" s="197" t="s">
        <v>235</v>
      </c>
      <c r="AT1" s="197" t="s">
        <v>236</v>
      </c>
      <c r="AU1" s="197" t="s">
        <v>237</v>
      </c>
      <c r="AV1" s="197" t="s">
        <v>238</v>
      </c>
      <c r="AW1" s="197" t="s">
        <v>239</v>
      </c>
      <c r="AX1" s="197" t="s">
        <v>240</v>
      </c>
      <c r="AY1" s="197" t="s">
        <v>241</v>
      </c>
      <c r="AZ1" s="197" t="s">
        <v>242</v>
      </c>
      <c r="BA1" s="197" t="s">
        <v>243</v>
      </c>
      <c r="BB1" s="197" t="s">
        <v>244</v>
      </c>
    </row>
    <row r="2" spans="1:54" customFormat="1" x14ac:dyDescent="0.15">
      <c r="A2" s="196" t="s">
        <v>192</v>
      </c>
      <c r="B2" s="110">
        <v>0</v>
      </c>
      <c r="C2" s="110">
        <v>1</v>
      </c>
      <c r="D2" s="110">
        <v>1</v>
      </c>
      <c r="E2" s="110">
        <v>0</v>
      </c>
      <c r="F2" s="110">
        <v>0</v>
      </c>
      <c r="G2" s="110">
        <v>1</v>
      </c>
      <c r="H2" s="110">
        <v>1</v>
      </c>
      <c r="I2" s="110">
        <v>0</v>
      </c>
      <c r="J2" s="110">
        <v>1</v>
      </c>
      <c r="K2" s="110">
        <v>1</v>
      </c>
      <c r="L2" s="110">
        <v>1</v>
      </c>
      <c r="M2" s="110">
        <v>0</v>
      </c>
      <c r="N2" s="110">
        <v>0</v>
      </c>
      <c r="O2" s="110">
        <v>1</v>
      </c>
      <c r="P2" s="110">
        <v>1</v>
      </c>
      <c r="Q2" s="110">
        <v>0</v>
      </c>
      <c r="R2" s="110">
        <v>0</v>
      </c>
      <c r="S2" s="110">
        <v>0</v>
      </c>
      <c r="T2" s="110">
        <v>0</v>
      </c>
      <c r="U2" s="110">
        <v>0</v>
      </c>
      <c r="V2" s="110">
        <v>0</v>
      </c>
      <c r="W2" s="110">
        <v>0</v>
      </c>
      <c r="X2" s="110">
        <v>0</v>
      </c>
      <c r="Y2" s="110">
        <v>0</v>
      </c>
      <c r="Z2" s="110">
        <v>0</v>
      </c>
      <c r="AA2" s="110">
        <v>0</v>
      </c>
      <c r="AB2" s="110">
        <v>0</v>
      </c>
      <c r="AC2" s="110">
        <v>0</v>
      </c>
      <c r="AD2" s="110">
        <v>0</v>
      </c>
      <c r="AE2" s="110">
        <v>0</v>
      </c>
      <c r="AF2" s="110">
        <v>0</v>
      </c>
      <c r="AG2" s="110">
        <v>0</v>
      </c>
      <c r="AH2" s="110">
        <v>1</v>
      </c>
      <c r="AI2" s="110">
        <v>0</v>
      </c>
      <c r="AJ2" s="110">
        <v>0</v>
      </c>
      <c r="AK2" s="110">
        <v>0</v>
      </c>
      <c r="AL2" s="110">
        <v>0</v>
      </c>
      <c r="AM2" s="110">
        <v>0</v>
      </c>
      <c r="AN2" s="110">
        <v>0</v>
      </c>
      <c r="AO2" s="110">
        <v>0</v>
      </c>
      <c r="AP2" s="110">
        <v>0</v>
      </c>
      <c r="AQ2" s="110">
        <v>0</v>
      </c>
      <c r="AR2" s="110">
        <v>0</v>
      </c>
      <c r="AS2" s="110">
        <v>0</v>
      </c>
      <c r="AT2" s="110">
        <v>0</v>
      </c>
      <c r="AU2" s="110">
        <v>0</v>
      </c>
      <c r="AV2" s="110">
        <v>1</v>
      </c>
      <c r="AW2" s="110">
        <v>0</v>
      </c>
      <c r="AX2" s="110">
        <v>0</v>
      </c>
      <c r="AY2" s="110">
        <v>0</v>
      </c>
      <c r="AZ2" s="110">
        <v>0</v>
      </c>
      <c r="BA2" s="110">
        <v>0</v>
      </c>
      <c r="BB2" s="110">
        <v>0</v>
      </c>
    </row>
    <row r="3" spans="1:54" customFormat="1" x14ac:dyDescent="0.15">
      <c r="A3" s="196" t="s">
        <v>193</v>
      </c>
      <c r="B3" s="110">
        <v>0</v>
      </c>
      <c r="C3" s="110">
        <v>1</v>
      </c>
      <c r="D3" s="110">
        <v>1</v>
      </c>
      <c r="E3" s="110">
        <v>0</v>
      </c>
      <c r="F3" s="110">
        <v>0</v>
      </c>
      <c r="G3" s="110">
        <v>1</v>
      </c>
      <c r="H3" s="110">
        <v>1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10">
        <v>0</v>
      </c>
      <c r="P3" s="110">
        <v>1</v>
      </c>
      <c r="Q3" s="110">
        <v>1</v>
      </c>
      <c r="R3" s="110">
        <v>0</v>
      </c>
      <c r="S3" s="110">
        <v>0</v>
      </c>
      <c r="T3" s="110">
        <v>0</v>
      </c>
      <c r="U3" s="110">
        <v>0</v>
      </c>
      <c r="V3" s="110">
        <v>0</v>
      </c>
      <c r="W3" s="110">
        <v>0</v>
      </c>
      <c r="X3" s="110">
        <v>1</v>
      </c>
      <c r="Y3" s="110">
        <v>1</v>
      </c>
      <c r="Z3" s="110">
        <v>0</v>
      </c>
      <c r="AA3" s="110">
        <v>0</v>
      </c>
      <c r="AB3" s="110">
        <v>1</v>
      </c>
      <c r="AC3" s="110">
        <v>1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</v>
      </c>
      <c r="AJ3" s="110">
        <v>0</v>
      </c>
      <c r="AK3" s="110">
        <v>0</v>
      </c>
      <c r="AL3" s="110">
        <v>0</v>
      </c>
      <c r="AM3" s="110">
        <v>0</v>
      </c>
      <c r="AN3" s="110">
        <v>1</v>
      </c>
      <c r="AO3" s="110">
        <v>1</v>
      </c>
      <c r="AP3" s="110">
        <v>1</v>
      </c>
      <c r="AQ3" s="110">
        <v>1</v>
      </c>
      <c r="AR3" s="110">
        <v>1</v>
      </c>
      <c r="AS3" s="110">
        <v>0</v>
      </c>
      <c r="AT3" s="110">
        <v>0</v>
      </c>
      <c r="AU3" s="110">
        <v>0</v>
      </c>
      <c r="AV3" s="110">
        <v>0</v>
      </c>
      <c r="AW3" s="110">
        <v>0</v>
      </c>
      <c r="AX3" s="110">
        <v>0</v>
      </c>
      <c r="AY3" s="110">
        <v>0</v>
      </c>
      <c r="AZ3" s="110">
        <v>0</v>
      </c>
      <c r="BA3" s="110">
        <v>0</v>
      </c>
      <c r="BB3" s="110">
        <v>0</v>
      </c>
    </row>
    <row r="4" spans="1:54" customFormat="1" x14ac:dyDescent="0.15">
      <c r="A4" s="196" t="s">
        <v>194</v>
      </c>
      <c r="B4" s="110">
        <v>0</v>
      </c>
      <c r="C4" s="110">
        <v>0</v>
      </c>
      <c r="D4" s="110">
        <v>1</v>
      </c>
      <c r="E4" s="110">
        <v>1</v>
      </c>
      <c r="F4" s="110">
        <v>0</v>
      </c>
      <c r="G4" s="110">
        <v>1</v>
      </c>
      <c r="H4" s="110">
        <v>1</v>
      </c>
      <c r="I4" s="110">
        <v>0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1</v>
      </c>
      <c r="Q4" s="110">
        <v>1</v>
      </c>
      <c r="R4" s="110">
        <v>0</v>
      </c>
      <c r="S4" s="110">
        <v>0</v>
      </c>
      <c r="T4" s="110">
        <v>0</v>
      </c>
      <c r="U4" s="110">
        <v>0</v>
      </c>
      <c r="V4" s="110">
        <v>0</v>
      </c>
      <c r="W4" s="110">
        <v>0</v>
      </c>
      <c r="X4" s="110">
        <v>1</v>
      </c>
      <c r="Y4" s="110">
        <v>1</v>
      </c>
      <c r="Z4" s="110">
        <v>0</v>
      </c>
      <c r="AA4" s="110">
        <v>0</v>
      </c>
      <c r="AB4" s="110">
        <v>1</v>
      </c>
      <c r="AC4" s="110">
        <v>1</v>
      </c>
      <c r="AD4" s="110">
        <v>1</v>
      </c>
      <c r="AE4" s="110">
        <v>0</v>
      </c>
      <c r="AF4" s="110">
        <v>0</v>
      </c>
      <c r="AG4" s="110">
        <v>1</v>
      </c>
      <c r="AH4" s="110">
        <v>1</v>
      </c>
      <c r="AI4" s="110">
        <v>0</v>
      </c>
      <c r="AJ4" s="110">
        <v>0</v>
      </c>
      <c r="AK4" s="110">
        <v>0</v>
      </c>
      <c r="AL4" s="110">
        <v>0</v>
      </c>
      <c r="AM4" s="110">
        <v>1</v>
      </c>
      <c r="AN4" s="110">
        <v>1</v>
      </c>
      <c r="AO4" s="110">
        <v>1</v>
      </c>
      <c r="AP4" s="110">
        <v>1</v>
      </c>
      <c r="AQ4" s="110">
        <v>1</v>
      </c>
      <c r="AR4" s="110">
        <v>1</v>
      </c>
      <c r="AS4" s="110">
        <v>0</v>
      </c>
      <c r="AT4" s="110">
        <v>0</v>
      </c>
      <c r="AU4" s="110">
        <v>1</v>
      </c>
      <c r="AV4" s="110">
        <v>0</v>
      </c>
      <c r="AW4" s="110">
        <v>1</v>
      </c>
      <c r="AX4" s="110">
        <v>0</v>
      </c>
      <c r="AY4" s="110">
        <v>0</v>
      </c>
      <c r="AZ4" s="110">
        <v>0</v>
      </c>
      <c r="BA4" s="110">
        <v>0</v>
      </c>
      <c r="BB4" s="110">
        <v>0</v>
      </c>
    </row>
    <row r="5" spans="1:54" customFormat="1" x14ac:dyDescent="0.15">
      <c r="A5" s="196" t="s">
        <v>195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1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1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1</v>
      </c>
      <c r="AP5" s="110">
        <v>0</v>
      </c>
      <c r="AQ5" s="110">
        <v>1</v>
      </c>
      <c r="AR5" s="110">
        <v>1</v>
      </c>
      <c r="AS5" s="110">
        <v>0</v>
      </c>
      <c r="AT5" s="110">
        <v>0</v>
      </c>
      <c r="AU5" s="110">
        <v>0</v>
      </c>
      <c r="AV5" s="110">
        <v>0</v>
      </c>
      <c r="AW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</row>
    <row r="6" spans="1:54" customFormat="1" x14ac:dyDescent="0.15">
      <c r="A6" s="196" t="s">
        <v>196</v>
      </c>
      <c r="B6" s="110">
        <v>0</v>
      </c>
      <c r="C6" s="110">
        <v>0</v>
      </c>
      <c r="D6" s="110">
        <v>0</v>
      </c>
      <c r="E6" s="110">
        <v>0</v>
      </c>
      <c r="F6" s="110">
        <v>0</v>
      </c>
      <c r="G6" s="110">
        <v>1</v>
      </c>
      <c r="H6" s="110">
        <v>1</v>
      </c>
      <c r="I6" s="110">
        <v>1</v>
      </c>
      <c r="J6" s="110">
        <v>1</v>
      </c>
      <c r="K6" s="110">
        <v>0</v>
      </c>
      <c r="L6" s="110">
        <v>0</v>
      </c>
      <c r="M6" s="110">
        <v>0</v>
      </c>
      <c r="N6" s="110">
        <v>0</v>
      </c>
      <c r="O6" s="110">
        <v>1</v>
      </c>
      <c r="P6" s="110">
        <v>1</v>
      </c>
      <c r="Q6" s="110">
        <v>1</v>
      </c>
      <c r="R6" s="110">
        <v>1</v>
      </c>
      <c r="S6" s="110">
        <v>1</v>
      </c>
      <c r="T6" s="110">
        <v>1</v>
      </c>
      <c r="U6" s="110">
        <v>1</v>
      </c>
      <c r="V6" s="110">
        <v>1</v>
      </c>
      <c r="W6" s="110">
        <v>1</v>
      </c>
      <c r="X6" s="110">
        <v>1</v>
      </c>
      <c r="Y6" s="110">
        <v>1</v>
      </c>
      <c r="Z6" s="110">
        <v>1</v>
      </c>
      <c r="AA6" s="110">
        <v>1</v>
      </c>
      <c r="AB6" s="110">
        <v>1</v>
      </c>
      <c r="AC6" s="110">
        <v>1</v>
      </c>
      <c r="AD6" s="110">
        <v>1</v>
      </c>
      <c r="AE6" s="110">
        <v>1</v>
      </c>
      <c r="AF6" s="110">
        <v>1</v>
      </c>
      <c r="AG6" s="110">
        <v>1</v>
      </c>
      <c r="AH6" s="110">
        <v>1</v>
      </c>
      <c r="AI6" s="110">
        <v>0</v>
      </c>
      <c r="AJ6" s="110">
        <v>0</v>
      </c>
      <c r="AK6" s="110">
        <v>1</v>
      </c>
      <c r="AL6" s="110">
        <v>0</v>
      </c>
      <c r="AM6" s="110">
        <v>1</v>
      </c>
      <c r="AN6" s="110">
        <v>0</v>
      </c>
      <c r="AO6" s="110">
        <v>0</v>
      </c>
      <c r="AP6" s="110">
        <v>0</v>
      </c>
      <c r="AQ6" s="110">
        <v>1</v>
      </c>
      <c r="AR6" s="110">
        <v>1</v>
      </c>
      <c r="AS6" s="110">
        <v>1</v>
      </c>
      <c r="AT6" s="110">
        <v>1</v>
      </c>
      <c r="AU6" s="110">
        <v>0</v>
      </c>
      <c r="AV6" s="110">
        <v>1</v>
      </c>
      <c r="AW6" s="110">
        <v>1</v>
      </c>
      <c r="AX6" s="110">
        <v>0</v>
      </c>
      <c r="AY6" s="110">
        <v>0</v>
      </c>
      <c r="AZ6" s="110">
        <v>0</v>
      </c>
      <c r="BA6" s="110">
        <v>0</v>
      </c>
      <c r="BB6" s="110">
        <v>0</v>
      </c>
    </row>
    <row r="7" spans="1:54" customFormat="1" x14ac:dyDescent="0.15">
      <c r="A7" s="196" t="s">
        <v>197</v>
      </c>
      <c r="B7" s="110">
        <v>0</v>
      </c>
      <c r="C7" s="110">
        <v>0</v>
      </c>
      <c r="D7" s="110">
        <v>0</v>
      </c>
      <c r="E7" s="110">
        <v>0</v>
      </c>
      <c r="F7" s="110">
        <v>0</v>
      </c>
      <c r="G7" s="110">
        <v>0</v>
      </c>
      <c r="H7" s="110">
        <v>0</v>
      </c>
      <c r="I7" s="110">
        <v>0</v>
      </c>
      <c r="J7" s="110">
        <v>1</v>
      </c>
      <c r="K7" s="110">
        <v>0</v>
      </c>
      <c r="L7" s="110">
        <v>0</v>
      </c>
      <c r="M7" s="110">
        <v>0</v>
      </c>
      <c r="N7" s="110">
        <v>0</v>
      </c>
      <c r="O7" s="110">
        <v>1</v>
      </c>
      <c r="P7" s="110">
        <v>1</v>
      </c>
      <c r="Q7" s="110">
        <v>0</v>
      </c>
      <c r="R7" s="110">
        <v>0</v>
      </c>
      <c r="S7" s="110">
        <v>1</v>
      </c>
      <c r="T7" s="110">
        <v>1</v>
      </c>
      <c r="U7" s="110">
        <v>0</v>
      </c>
      <c r="V7" s="110">
        <v>0</v>
      </c>
      <c r="W7" s="110">
        <v>1</v>
      </c>
      <c r="X7" s="110">
        <v>1</v>
      </c>
      <c r="Y7" s="110">
        <v>1</v>
      </c>
      <c r="Z7" s="110">
        <v>0</v>
      </c>
      <c r="AA7" s="110">
        <v>0</v>
      </c>
      <c r="AB7" s="110">
        <v>1</v>
      </c>
      <c r="AC7" s="110">
        <v>1</v>
      </c>
      <c r="AD7" s="110">
        <v>1</v>
      </c>
      <c r="AE7" s="110">
        <v>0</v>
      </c>
      <c r="AF7" s="110">
        <v>1</v>
      </c>
      <c r="AG7" s="110">
        <v>0</v>
      </c>
      <c r="AH7" s="110">
        <v>1</v>
      </c>
      <c r="AI7" s="110">
        <v>0</v>
      </c>
      <c r="AJ7" s="110">
        <v>0</v>
      </c>
      <c r="AK7" s="110">
        <v>0</v>
      </c>
      <c r="AL7" s="110">
        <v>1</v>
      </c>
      <c r="AM7" s="110">
        <v>0</v>
      </c>
      <c r="AN7" s="110">
        <v>0</v>
      </c>
      <c r="AO7" s="110">
        <v>0</v>
      </c>
      <c r="AP7" s="110">
        <v>0</v>
      </c>
      <c r="AQ7" s="110">
        <v>0</v>
      </c>
      <c r="AR7" s="110">
        <v>0</v>
      </c>
      <c r="AS7" s="110">
        <v>0</v>
      </c>
      <c r="AT7" s="110">
        <v>0</v>
      </c>
      <c r="AU7" s="110">
        <v>0</v>
      </c>
      <c r="AV7" s="110">
        <v>0</v>
      </c>
      <c r="AW7" s="110">
        <v>0</v>
      </c>
      <c r="AX7" s="110">
        <v>0</v>
      </c>
      <c r="AY7" s="110">
        <v>0</v>
      </c>
      <c r="AZ7" s="110">
        <v>0</v>
      </c>
      <c r="BA7" s="110">
        <v>0</v>
      </c>
      <c r="BB7" s="110">
        <v>0</v>
      </c>
    </row>
    <row r="8" spans="1:54" customFormat="1" x14ac:dyDescent="0.15">
      <c r="A8" s="196" t="s">
        <v>198</v>
      </c>
      <c r="B8" s="110">
        <v>0</v>
      </c>
      <c r="C8" s="110">
        <v>0</v>
      </c>
      <c r="D8" s="110">
        <v>0</v>
      </c>
      <c r="E8" s="110">
        <v>0</v>
      </c>
      <c r="F8" s="110">
        <v>0</v>
      </c>
      <c r="G8" s="110">
        <v>0</v>
      </c>
      <c r="H8" s="110">
        <v>0</v>
      </c>
      <c r="I8" s="110">
        <v>1</v>
      </c>
      <c r="J8" s="110">
        <v>0</v>
      </c>
      <c r="K8" s="110">
        <v>0</v>
      </c>
      <c r="L8" s="110">
        <v>0</v>
      </c>
      <c r="M8" s="110">
        <v>1</v>
      </c>
      <c r="N8" s="110">
        <v>1</v>
      </c>
      <c r="O8" s="110">
        <v>1</v>
      </c>
      <c r="P8" s="110">
        <v>1</v>
      </c>
      <c r="Q8" s="110">
        <v>1</v>
      </c>
      <c r="R8" s="110">
        <v>1</v>
      </c>
      <c r="S8" s="110">
        <v>0</v>
      </c>
      <c r="T8" s="110">
        <v>0</v>
      </c>
      <c r="U8" s="110">
        <v>1</v>
      </c>
      <c r="V8" s="110">
        <v>1</v>
      </c>
      <c r="W8" s="110">
        <v>1</v>
      </c>
      <c r="X8" s="110">
        <v>0</v>
      </c>
      <c r="Y8" s="110">
        <v>1</v>
      </c>
      <c r="Z8" s="110">
        <v>1</v>
      </c>
      <c r="AA8" s="110">
        <v>1</v>
      </c>
      <c r="AB8" s="110">
        <v>1</v>
      </c>
      <c r="AC8" s="110">
        <v>1</v>
      </c>
      <c r="AD8" s="110">
        <v>1</v>
      </c>
      <c r="AE8" s="110">
        <v>1</v>
      </c>
      <c r="AF8" s="110">
        <v>1</v>
      </c>
      <c r="AG8" s="110">
        <v>1</v>
      </c>
      <c r="AH8" s="110">
        <v>1</v>
      </c>
      <c r="AI8" s="110">
        <v>0</v>
      </c>
      <c r="AJ8" s="110">
        <v>1</v>
      </c>
      <c r="AK8" s="110">
        <v>1</v>
      </c>
      <c r="AL8" s="110">
        <v>1</v>
      </c>
      <c r="AM8" s="110">
        <v>0</v>
      </c>
      <c r="AN8" s="110">
        <v>0</v>
      </c>
      <c r="AO8" s="110">
        <v>0</v>
      </c>
      <c r="AP8" s="110">
        <v>0</v>
      </c>
      <c r="AQ8" s="110">
        <v>1</v>
      </c>
      <c r="AR8" s="110">
        <v>1</v>
      </c>
      <c r="AS8" s="110">
        <v>1</v>
      </c>
      <c r="AT8" s="110">
        <v>0</v>
      </c>
      <c r="AU8" s="110">
        <v>0</v>
      </c>
      <c r="AV8" s="110">
        <v>0</v>
      </c>
      <c r="AW8" s="110">
        <v>0</v>
      </c>
      <c r="AX8" s="110">
        <v>0</v>
      </c>
      <c r="AY8" s="110">
        <v>0</v>
      </c>
      <c r="AZ8" s="110">
        <v>0</v>
      </c>
      <c r="BA8" s="110">
        <v>0</v>
      </c>
      <c r="BB8" s="110">
        <v>0</v>
      </c>
    </row>
    <row r="9" spans="1:54" customFormat="1" x14ac:dyDescent="0.15">
      <c r="A9" s="196" t="s">
        <v>199</v>
      </c>
      <c r="B9" s="110">
        <v>0</v>
      </c>
      <c r="C9" s="110">
        <v>0</v>
      </c>
      <c r="D9" s="110">
        <v>0</v>
      </c>
      <c r="E9" s="110">
        <v>0</v>
      </c>
      <c r="F9" s="110">
        <v>0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10">
        <v>1</v>
      </c>
      <c r="P9" s="110">
        <v>0</v>
      </c>
      <c r="Q9" s="110">
        <v>0</v>
      </c>
      <c r="R9" s="110">
        <v>0</v>
      </c>
      <c r="S9" s="110">
        <v>0</v>
      </c>
      <c r="T9" s="110">
        <v>0</v>
      </c>
      <c r="U9" s="110">
        <v>0</v>
      </c>
      <c r="V9" s="110">
        <v>0</v>
      </c>
      <c r="W9" s="110">
        <v>0</v>
      </c>
      <c r="X9" s="110">
        <v>0</v>
      </c>
      <c r="Y9" s="110">
        <v>0</v>
      </c>
      <c r="Z9" s="110">
        <v>0</v>
      </c>
      <c r="AA9" s="110">
        <v>0</v>
      </c>
      <c r="AB9" s="110">
        <v>0</v>
      </c>
      <c r="AC9" s="110">
        <v>1</v>
      </c>
      <c r="AD9" s="110">
        <v>0</v>
      </c>
      <c r="AE9" s="110">
        <v>0</v>
      </c>
      <c r="AF9" s="110">
        <v>1</v>
      </c>
      <c r="AG9" s="110">
        <v>0</v>
      </c>
      <c r="AH9" s="110">
        <v>0</v>
      </c>
      <c r="AI9" s="110">
        <v>0</v>
      </c>
      <c r="AJ9" s="110">
        <v>0</v>
      </c>
      <c r="AK9" s="110">
        <v>0</v>
      </c>
      <c r="AL9" s="110">
        <v>0</v>
      </c>
      <c r="AM9" s="110">
        <v>0</v>
      </c>
      <c r="AN9" s="110">
        <v>0</v>
      </c>
      <c r="AO9" s="110">
        <v>0</v>
      </c>
      <c r="AP9" s="110">
        <v>0</v>
      </c>
      <c r="AQ9" s="110">
        <v>0</v>
      </c>
      <c r="AR9" s="110">
        <v>0</v>
      </c>
      <c r="AS9" s="110">
        <v>0</v>
      </c>
      <c r="AT9" s="110">
        <v>0</v>
      </c>
      <c r="AU9" s="110">
        <v>0</v>
      </c>
      <c r="AV9" s="110">
        <v>0</v>
      </c>
      <c r="AW9" s="110">
        <v>0</v>
      </c>
      <c r="AX9" s="110">
        <v>0</v>
      </c>
      <c r="AY9" s="110">
        <v>0</v>
      </c>
      <c r="AZ9" s="110">
        <v>0</v>
      </c>
      <c r="BA9" s="110">
        <v>0</v>
      </c>
      <c r="BB9" s="110">
        <v>0</v>
      </c>
    </row>
    <row r="10" spans="1:54" customFormat="1" x14ac:dyDescent="0.15">
      <c r="A10" s="196" t="s">
        <v>200</v>
      </c>
      <c r="B10" s="110">
        <v>0</v>
      </c>
      <c r="C10" s="110">
        <v>0</v>
      </c>
      <c r="D10" s="110">
        <v>0</v>
      </c>
      <c r="E10" s="110">
        <v>0</v>
      </c>
      <c r="F10" s="110">
        <v>0</v>
      </c>
      <c r="G10" s="110">
        <v>0</v>
      </c>
      <c r="H10" s="110">
        <v>0</v>
      </c>
      <c r="I10" s="110">
        <v>1</v>
      </c>
      <c r="J10" s="110">
        <v>1</v>
      </c>
      <c r="K10" s="110">
        <v>0</v>
      </c>
      <c r="L10" s="110">
        <v>0</v>
      </c>
      <c r="M10" s="110">
        <v>0</v>
      </c>
      <c r="N10" s="110">
        <v>0</v>
      </c>
      <c r="O10" s="110">
        <v>1</v>
      </c>
      <c r="P10" s="110">
        <v>1</v>
      </c>
      <c r="Q10" s="110">
        <v>1</v>
      </c>
      <c r="R10" s="110">
        <v>1</v>
      </c>
      <c r="S10" s="110">
        <v>0</v>
      </c>
      <c r="T10" s="110">
        <v>0</v>
      </c>
      <c r="U10" s="110">
        <v>1</v>
      </c>
      <c r="V10" s="110">
        <v>1</v>
      </c>
      <c r="W10" s="110">
        <v>1</v>
      </c>
      <c r="X10" s="110">
        <v>1</v>
      </c>
      <c r="Y10" s="110">
        <v>0</v>
      </c>
      <c r="Z10" s="110">
        <v>0</v>
      </c>
      <c r="AA10" s="110">
        <v>0</v>
      </c>
      <c r="AB10" s="110">
        <v>1</v>
      </c>
      <c r="AC10" s="110">
        <v>1</v>
      </c>
      <c r="AD10" s="110">
        <v>1</v>
      </c>
      <c r="AE10" s="110">
        <v>0</v>
      </c>
      <c r="AF10" s="110">
        <v>1</v>
      </c>
      <c r="AG10" s="110">
        <v>1</v>
      </c>
      <c r="AH10" s="110">
        <v>1</v>
      </c>
      <c r="AI10" s="110">
        <v>0</v>
      </c>
      <c r="AJ10" s="110">
        <v>0</v>
      </c>
      <c r="AK10" s="110">
        <v>0</v>
      </c>
      <c r="AL10" s="110">
        <v>1</v>
      </c>
      <c r="AM10" s="110">
        <v>0</v>
      </c>
      <c r="AN10" s="110">
        <v>0</v>
      </c>
      <c r="AO10" s="110">
        <v>0</v>
      </c>
      <c r="AP10" s="110">
        <v>0</v>
      </c>
      <c r="AQ10" s="110">
        <v>0</v>
      </c>
      <c r="AR10" s="110">
        <v>0</v>
      </c>
      <c r="AS10" s="110">
        <v>0</v>
      </c>
      <c r="AT10" s="110">
        <v>1</v>
      </c>
      <c r="AU10" s="110">
        <v>0</v>
      </c>
      <c r="AV10" s="110">
        <v>0</v>
      </c>
      <c r="AW10" s="110">
        <v>0</v>
      </c>
      <c r="AX10" s="110">
        <v>0</v>
      </c>
      <c r="AY10" s="110">
        <v>0</v>
      </c>
      <c r="AZ10" s="110">
        <v>0</v>
      </c>
      <c r="BA10" s="110">
        <v>0</v>
      </c>
      <c r="BB10" s="110">
        <v>0</v>
      </c>
    </row>
    <row r="11" spans="1:54" customFormat="1" x14ac:dyDescent="0.15">
      <c r="A11" s="196" t="s">
        <v>201</v>
      </c>
      <c r="B11" s="110">
        <v>0</v>
      </c>
      <c r="C11" s="110">
        <v>0</v>
      </c>
      <c r="D11" s="110">
        <v>0</v>
      </c>
      <c r="E11" s="110">
        <v>0</v>
      </c>
      <c r="F11" s="110">
        <v>0</v>
      </c>
      <c r="G11" s="110">
        <v>0</v>
      </c>
      <c r="H11" s="110">
        <v>0</v>
      </c>
      <c r="I11" s="110">
        <v>1</v>
      </c>
      <c r="J11" s="110">
        <v>1</v>
      </c>
      <c r="K11" s="110">
        <v>0</v>
      </c>
      <c r="L11" s="110">
        <v>0</v>
      </c>
      <c r="M11" s="110">
        <v>1</v>
      </c>
      <c r="N11" s="110">
        <v>1</v>
      </c>
      <c r="O11" s="110">
        <v>1</v>
      </c>
      <c r="P11" s="110">
        <v>1</v>
      </c>
      <c r="Q11" s="110">
        <v>1</v>
      </c>
      <c r="R11" s="110">
        <v>1</v>
      </c>
      <c r="S11" s="110">
        <v>1</v>
      </c>
      <c r="T11" s="110">
        <v>1</v>
      </c>
      <c r="U11" s="110">
        <v>1</v>
      </c>
      <c r="V11" s="110">
        <v>1</v>
      </c>
      <c r="W11" s="110">
        <v>1</v>
      </c>
      <c r="X11" s="110">
        <v>1</v>
      </c>
      <c r="Y11" s="110">
        <v>1</v>
      </c>
      <c r="Z11" s="110">
        <v>1</v>
      </c>
      <c r="AA11" s="110">
        <v>0</v>
      </c>
      <c r="AB11" s="110">
        <v>1</v>
      </c>
      <c r="AC11" s="110">
        <v>1</v>
      </c>
      <c r="AD11" s="110">
        <v>1</v>
      </c>
      <c r="AE11" s="110">
        <v>0</v>
      </c>
      <c r="AF11" s="110">
        <v>1</v>
      </c>
      <c r="AG11" s="110">
        <v>1</v>
      </c>
      <c r="AH11" s="110">
        <v>1</v>
      </c>
      <c r="AI11" s="110">
        <v>0</v>
      </c>
      <c r="AJ11" s="110">
        <v>0</v>
      </c>
      <c r="AK11" s="110">
        <v>1</v>
      </c>
      <c r="AL11" s="110">
        <v>0</v>
      </c>
      <c r="AM11" s="110">
        <v>0</v>
      </c>
      <c r="AN11" s="110">
        <v>0</v>
      </c>
      <c r="AO11" s="110">
        <v>0</v>
      </c>
      <c r="AP11" s="110">
        <v>0</v>
      </c>
      <c r="AQ11" s="110">
        <v>0</v>
      </c>
      <c r="AR11" s="110">
        <v>0</v>
      </c>
      <c r="AS11" s="110">
        <v>1</v>
      </c>
      <c r="AT11" s="110">
        <v>0</v>
      </c>
      <c r="AU11" s="110">
        <v>0</v>
      </c>
      <c r="AV11" s="110">
        <v>0</v>
      </c>
      <c r="AW11" s="110">
        <v>0</v>
      </c>
      <c r="AX11" s="110">
        <v>1</v>
      </c>
      <c r="AY11" s="110">
        <v>0</v>
      </c>
      <c r="AZ11" s="110">
        <v>0</v>
      </c>
      <c r="BA11" s="110">
        <v>0</v>
      </c>
      <c r="BB11" s="110">
        <v>0</v>
      </c>
    </row>
    <row r="12" spans="1:54" customFormat="1" x14ac:dyDescent="0.15">
      <c r="A12" s="196" t="s">
        <v>202</v>
      </c>
      <c r="B12" s="110">
        <v>0</v>
      </c>
      <c r="C12" s="110">
        <v>0</v>
      </c>
      <c r="D12" s="110">
        <v>0</v>
      </c>
      <c r="E12" s="110">
        <v>0</v>
      </c>
      <c r="F12" s="110">
        <v>0</v>
      </c>
      <c r="G12" s="110">
        <v>0</v>
      </c>
      <c r="H12" s="110">
        <v>0</v>
      </c>
      <c r="I12" s="110">
        <v>0</v>
      </c>
      <c r="J12" s="110">
        <v>0</v>
      </c>
      <c r="K12" s="110">
        <v>0</v>
      </c>
      <c r="L12" s="110">
        <v>0</v>
      </c>
      <c r="M12" s="110">
        <v>0</v>
      </c>
      <c r="N12" s="110">
        <v>0</v>
      </c>
      <c r="O12" s="110">
        <v>0</v>
      </c>
      <c r="P12" s="110">
        <v>0</v>
      </c>
      <c r="Q12" s="110">
        <v>0</v>
      </c>
      <c r="R12" s="110">
        <v>0</v>
      </c>
      <c r="S12" s="110">
        <v>0</v>
      </c>
      <c r="T12" s="110">
        <v>0</v>
      </c>
      <c r="U12" s="110">
        <v>0</v>
      </c>
      <c r="V12" s="110">
        <v>0</v>
      </c>
      <c r="W12" s="110">
        <v>0</v>
      </c>
      <c r="X12" s="110">
        <v>0</v>
      </c>
      <c r="Y12" s="110">
        <v>0</v>
      </c>
      <c r="Z12" s="110">
        <v>0</v>
      </c>
      <c r="AA12" s="110">
        <v>0</v>
      </c>
      <c r="AB12" s="110">
        <v>0</v>
      </c>
      <c r="AC12" s="110">
        <v>0</v>
      </c>
      <c r="AD12" s="110">
        <v>0</v>
      </c>
      <c r="AE12" s="110">
        <v>0</v>
      </c>
      <c r="AF12" s="110">
        <v>0</v>
      </c>
      <c r="AG12" s="110">
        <v>0</v>
      </c>
      <c r="AH12" s="110">
        <v>0</v>
      </c>
      <c r="AI12" s="110">
        <v>0</v>
      </c>
      <c r="AJ12" s="110">
        <v>0</v>
      </c>
      <c r="AK12" s="110">
        <v>0</v>
      </c>
      <c r="AL12" s="110">
        <v>0</v>
      </c>
      <c r="AM12" s="110">
        <v>0</v>
      </c>
      <c r="AN12" s="110">
        <v>0</v>
      </c>
      <c r="AO12" s="110">
        <v>0</v>
      </c>
      <c r="AP12" s="110">
        <v>0</v>
      </c>
      <c r="AQ12" s="110">
        <v>0</v>
      </c>
      <c r="AR12" s="110">
        <v>0</v>
      </c>
      <c r="AS12" s="110">
        <v>1</v>
      </c>
      <c r="AT12" s="110">
        <v>0</v>
      </c>
      <c r="AU12" s="110">
        <v>0</v>
      </c>
      <c r="AV12" s="110">
        <v>0</v>
      </c>
      <c r="AW12" s="110">
        <v>0</v>
      </c>
      <c r="AX12" s="110">
        <v>0</v>
      </c>
      <c r="AY12" s="110">
        <v>0</v>
      </c>
      <c r="AZ12" s="110">
        <v>0</v>
      </c>
      <c r="BA12" s="110">
        <v>0</v>
      </c>
      <c r="BB12" s="110">
        <v>0</v>
      </c>
    </row>
    <row r="13" spans="1:54" customFormat="1" x14ac:dyDescent="0.15">
      <c r="A13" s="196" t="s">
        <v>203</v>
      </c>
      <c r="B13" s="110">
        <v>0</v>
      </c>
      <c r="C13" s="110">
        <v>0</v>
      </c>
      <c r="D13" s="110">
        <v>0</v>
      </c>
      <c r="E13" s="110">
        <v>0</v>
      </c>
      <c r="F13" s="110">
        <v>0</v>
      </c>
      <c r="G13" s="110">
        <v>0</v>
      </c>
      <c r="H13" s="110">
        <v>0</v>
      </c>
      <c r="I13" s="110">
        <v>1</v>
      </c>
      <c r="J13" s="110">
        <v>0</v>
      </c>
      <c r="K13" s="110">
        <v>0</v>
      </c>
      <c r="L13" s="110">
        <v>0</v>
      </c>
      <c r="M13" s="110">
        <v>1</v>
      </c>
      <c r="N13" s="110">
        <v>1</v>
      </c>
      <c r="O13" s="110">
        <v>1</v>
      </c>
      <c r="P13" s="110">
        <v>1</v>
      </c>
      <c r="Q13" s="110">
        <v>1</v>
      </c>
      <c r="R13" s="110">
        <v>1</v>
      </c>
      <c r="S13" s="110">
        <v>1</v>
      </c>
      <c r="T13" s="110">
        <v>1</v>
      </c>
      <c r="U13" s="110">
        <v>0</v>
      </c>
      <c r="V13" s="110">
        <v>0</v>
      </c>
      <c r="W13" s="110">
        <v>1</v>
      </c>
      <c r="X13" s="110">
        <v>0</v>
      </c>
      <c r="Y13" s="110">
        <v>1</v>
      </c>
      <c r="Z13" s="110">
        <v>1</v>
      </c>
      <c r="AA13" s="110">
        <v>1</v>
      </c>
      <c r="AB13" s="110">
        <v>1</v>
      </c>
      <c r="AC13" s="110">
        <v>1</v>
      </c>
      <c r="AD13" s="110">
        <v>1</v>
      </c>
      <c r="AE13" s="110">
        <v>0</v>
      </c>
      <c r="AF13" s="110">
        <v>1</v>
      </c>
      <c r="AG13" s="110">
        <v>1</v>
      </c>
      <c r="AH13" s="110">
        <v>1</v>
      </c>
      <c r="AI13" s="110">
        <v>1</v>
      </c>
      <c r="AJ13" s="110">
        <v>1</v>
      </c>
      <c r="AK13" s="110">
        <v>1</v>
      </c>
      <c r="AL13" s="110">
        <v>0</v>
      </c>
      <c r="AM13" s="110">
        <v>0</v>
      </c>
      <c r="AN13" s="110">
        <v>0</v>
      </c>
      <c r="AO13" s="110">
        <v>0</v>
      </c>
      <c r="AP13" s="110">
        <v>0</v>
      </c>
      <c r="AQ13" s="110">
        <v>1</v>
      </c>
      <c r="AR13" s="110">
        <v>0</v>
      </c>
      <c r="AS13" s="110">
        <v>1</v>
      </c>
      <c r="AT13" s="110">
        <v>0</v>
      </c>
      <c r="AU13" s="110">
        <v>0</v>
      </c>
      <c r="AV13" s="110">
        <v>1</v>
      </c>
      <c r="AW13" s="110">
        <v>1</v>
      </c>
      <c r="AX13" s="110">
        <v>0</v>
      </c>
      <c r="AY13" s="110">
        <v>0</v>
      </c>
      <c r="AZ13" s="110">
        <v>0</v>
      </c>
      <c r="BA13" s="110">
        <v>0</v>
      </c>
      <c r="BB13" s="110">
        <v>0</v>
      </c>
    </row>
    <row r="14" spans="1:54" customFormat="1" x14ac:dyDescent="0.15">
      <c r="A14" s="196" t="s">
        <v>204</v>
      </c>
      <c r="B14" s="110">
        <v>0</v>
      </c>
      <c r="C14" s="110">
        <v>0</v>
      </c>
      <c r="D14" s="110">
        <v>0</v>
      </c>
      <c r="E14" s="110">
        <v>0</v>
      </c>
      <c r="F14" s="110">
        <v>0</v>
      </c>
      <c r="G14" s="110">
        <v>0</v>
      </c>
      <c r="H14" s="110">
        <v>0</v>
      </c>
      <c r="I14" s="110">
        <v>0</v>
      </c>
      <c r="J14" s="110">
        <v>0</v>
      </c>
      <c r="K14" s="110">
        <v>0</v>
      </c>
      <c r="L14" s="110">
        <v>0</v>
      </c>
      <c r="M14" s="110">
        <v>0</v>
      </c>
      <c r="N14" s="110">
        <v>0</v>
      </c>
      <c r="O14" s="110">
        <v>0</v>
      </c>
      <c r="P14" s="110">
        <v>0</v>
      </c>
      <c r="Q14" s="110">
        <v>0</v>
      </c>
      <c r="R14" s="110">
        <v>0</v>
      </c>
      <c r="S14" s="110">
        <v>0</v>
      </c>
      <c r="T14" s="110">
        <v>0</v>
      </c>
      <c r="U14" s="110">
        <v>0</v>
      </c>
      <c r="V14" s="110">
        <v>0</v>
      </c>
      <c r="W14" s="110">
        <v>0</v>
      </c>
      <c r="X14" s="110">
        <v>0</v>
      </c>
      <c r="Y14" s="110">
        <v>0</v>
      </c>
      <c r="Z14" s="110">
        <v>0</v>
      </c>
      <c r="AA14" s="110">
        <v>0</v>
      </c>
      <c r="AB14" s="110">
        <v>0</v>
      </c>
      <c r="AC14" s="110">
        <v>0</v>
      </c>
      <c r="AD14" s="110">
        <v>0</v>
      </c>
      <c r="AE14" s="110">
        <v>0</v>
      </c>
      <c r="AF14" s="110">
        <v>1</v>
      </c>
      <c r="AG14" s="110">
        <v>1</v>
      </c>
      <c r="AH14" s="110">
        <v>0</v>
      </c>
      <c r="AI14" s="110">
        <v>0</v>
      </c>
      <c r="AJ14" s="110">
        <v>0</v>
      </c>
      <c r="AK14" s="110">
        <v>0</v>
      </c>
      <c r="AL14" s="110">
        <v>0</v>
      </c>
      <c r="AM14" s="110">
        <v>0</v>
      </c>
      <c r="AN14" s="110">
        <v>0</v>
      </c>
      <c r="AO14" s="110">
        <v>0</v>
      </c>
      <c r="AP14" s="110">
        <v>0</v>
      </c>
      <c r="AQ14" s="110">
        <v>0</v>
      </c>
      <c r="AR14" s="110">
        <v>0</v>
      </c>
      <c r="AS14" s="110">
        <v>0</v>
      </c>
      <c r="AT14" s="110">
        <v>0</v>
      </c>
      <c r="AU14" s="110">
        <v>0</v>
      </c>
      <c r="AV14" s="110">
        <v>0</v>
      </c>
      <c r="AW14" s="110">
        <v>0</v>
      </c>
      <c r="AX14" s="110">
        <v>0</v>
      </c>
      <c r="AY14" s="110">
        <v>0</v>
      </c>
      <c r="AZ14" s="110">
        <v>0</v>
      </c>
      <c r="BA14" s="110">
        <v>0</v>
      </c>
      <c r="BB14" s="110">
        <v>0</v>
      </c>
    </row>
    <row r="15" spans="1:54" customFormat="1" x14ac:dyDescent="0.15">
      <c r="A15" s="196" t="s">
        <v>205</v>
      </c>
      <c r="B15" s="110">
        <v>0</v>
      </c>
      <c r="C15" s="110">
        <v>0</v>
      </c>
      <c r="D15" s="110">
        <v>0</v>
      </c>
      <c r="E15" s="110">
        <v>0</v>
      </c>
      <c r="F15" s="110">
        <v>0</v>
      </c>
      <c r="G15" s="110">
        <v>0</v>
      </c>
      <c r="H15" s="110">
        <v>0</v>
      </c>
      <c r="I15" s="110">
        <v>0</v>
      </c>
      <c r="J15" s="110">
        <v>0</v>
      </c>
      <c r="K15" s="110">
        <v>0</v>
      </c>
      <c r="L15" s="110">
        <v>0</v>
      </c>
      <c r="M15" s="110">
        <v>0</v>
      </c>
      <c r="N15" s="110">
        <v>0</v>
      </c>
      <c r="O15" s="110">
        <v>1</v>
      </c>
      <c r="P15" s="110">
        <v>0</v>
      </c>
      <c r="Q15" s="110">
        <v>0</v>
      </c>
      <c r="R15" s="110">
        <v>0</v>
      </c>
      <c r="S15" s="110">
        <v>0</v>
      </c>
      <c r="T15" s="110">
        <v>0</v>
      </c>
      <c r="U15" s="110">
        <v>0</v>
      </c>
      <c r="V15" s="110">
        <v>0</v>
      </c>
      <c r="W15" s="110">
        <v>0</v>
      </c>
      <c r="X15" s="110">
        <v>0</v>
      </c>
      <c r="Y15" s="110">
        <v>0</v>
      </c>
      <c r="Z15" s="110">
        <v>0</v>
      </c>
      <c r="AA15" s="110">
        <v>0</v>
      </c>
      <c r="AB15" s="110">
        <v>0</v>
      </c>
      <c r="AC15" s="110">
        <v>0</v>
      </c>
      <c r="AD15" s="110">
        <v>0</v>
      </c>
      <c r="AE15" s="110">
        <v>0</v>
      </c>
      <c r="AF15" s="110">
        <v>0</v>
      </c>
      <c r="AG15" s="110">
        <v>0</v>
      </c>
      <c r="AH15" s="110">
        <v>0</v>
      </c>
      <c r="AI15" s="110">
        <v>0</v>
      </c>
      <c r="AJ15" s="110">
        <v>0</v>
      </c>
      <c r="AK15" s="110">
        <v>0</v>
      </c>
      <c r="AL15" s="110">
        <v>0</v>
      </c>
      <c r="AM15" s="110">
        <v>0</v>
      </c>
      <c r="AN15" s="110">
        <v>0</v>
      </c>
      <c r="AO15" s="110">
        <v>0</v>
      </c>
      <c r="AP15" s="110">
        <v>0</v>
      </c>
      <c r="AQ15" s="110">
        <v>0</v>
      </c>
      <c r="AR15" s="110">
        <v>0</v>
      </c>
      <c r="AS15" s="110">
        <v>0</v>
      </c>
      <c r="AT15" s="110">
        <v>0</v>
      </c>
      <c r="AU15" s="110">
        <v>0</v>
      </c>
      <c r="AV15" s="110">
        <v>0</v>
      </c>
      <c r="AW15" s="110">
        <v>0</v>
      </c>
      <c r="AX15" s="110">
        <v>0</v>
      </c>
      <c r="AY15" s="110">
        <v>0</v>
      </c>
      <c r="AZ15" s="110">
        <v>0</v>
      </c>
      <c r="BA15" s="110">
        <v>0</v>
      </c>
      <c r="BB15" s="110">
        <v>0</v>
      </c>
    </row>
    <row r="16" spans="1:54" customFormat="1" x14ac:dyDescent="0.15">
      <c r="A16" s="196" t="s">
        <v>206</v>
      </c>
      <c r="B16" s="110">
        <v>0</v>
      </c>
      <c r="C16" s="110">
        <v>0</v>
      </c>
      <c r="D16" s="110">
        <v>0</v>
      </c>
      <c r="E16" s="110">
        <v>0</v>
      </c>
      <c r="F16" s="110">
        <v>0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0</v>
      </c>
      <c r="O16" s="110">
        <v>1</v>
      </c>
      <c r="P16" s="110">
        <v>1</v>
      </c>
      <c r="Q16" s="110">
        <v>1</v>
      </c>
      <c r="R16" s="110">
        <v>1</v>
      </c>
      <c r="S16" s="110">
        <v>0</v>
      </c>
      <c r="T16" s="110">
        <v>0</v>
      </c>
      <c r="U16" s="110">
        <v>0</v>
      </c>
      <c r="V16" s="110">
        <v>0</v>
      </c>
      <c r="W16" s="110">
        <v>0</v>
      </c>
      <c r="X16" s="110">
        <v>0</v>
      </c>
      <c r="Y16" s="110">
        <v>1</v>
      </c>
      <c r="Z16" s="110">
        <v>1</v>
      </c>
      <c r="AA16" s="110">
        <v>0</v>
      </c>
      <c r="AB16" s="110">
        <v>0</v>
      </c>
      <c r="AC16" s="110">
        <v>1</v>
      </c>
      <c r="AD16" s="110">
        <v>1</v>
      </c>
      <c r="AE16" s="110">
        <v>1</v>
      </c>
      <c r="AF16" s="110">
        <v>1</v>
      </c>
      <c r="AG16" s="110">
        <v>1</v>
      </c>
      <c r="AH16" s="110">
        <v>0</v>
      </c>
      <c r="AI16" s="110">
        <v>1</v>
      </c>
      <c r="AJ16" s="110">
        <v>1</v>
      </c>
      <c r="AK16" s="110">
        <v>0</v>
      </c>
      <c r="AL16" s="110">
        <v>1</v>
      </c>
      <c r="AM16" s="110">
        <v>0</v>
      </c>
      <c r="AN16" s="110">
        <v>0</v>
      </c>
      <c r="AO16" s="110">
        <v>0</v>
      </c>
      <c r="AP16" s="110">
        <v>0</v>
      </c>
      <c r="AQ16" s="110">
        <v>0</v>
      </c>
      <c r="AR16" s="110">
        <v>1</v>
      </c>
      <c r="AS16" s="110">
        <v>1</v>
      </c>
      <c r="AT16" s="110">
        <v>1</v>
      </c>
      <c r="AU16" s="110">
        <v>0</v>
      </c>
      <c r="AV16" s="110">
        <v>1</v>
      </c>
      <c r="AW16" s="110">
        <v>0</v>
      </c>
      <c r="AX16" s="110">
        <v>0</v>
      </c>
      <c r="AY16" s="110">
        <v>1</v>
      </c>
      <c r="AZ16" s="110">
        <v>0</v>
      </c>
      <c r="BA16" s="110">
        <v>0</v>
      </c>
      <c r="BB16" s="110">
        <v>0</v>
      </c>
    </row>
    <row r="17" spans="1:54" customFormat="1" x14ac:dyDescent="0.15">
      <c r="A17" s="196" t="s">
        <v>207</v>
      </c>
      <c r="B17" s="110">
        <v>0</v>
      </c>
      <c r="C17" s="110">
        <v>0</v>
      </c>
      <c r="D17" s="110">
        <v>0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10">
        <v>0</v>
      </c>
      <c r="P17" s="110">
        <v>0</v>
      </c>
      <c r="Q17" s="110">
        <v>1</v>
      </c>
      <c r="R17" s="110">
        <v>0</v>
      </c>
      <c r="S17" s="110">
        <v>0</v>
      </c>
      <c r="T17" s="110">
        <v>0</v>
      </c>
      <c r="U17" s="110">
        <v>0</v>
      </c>
      <c r="V17" s="110">
        <v>0</v>
      </c>
      <c r="W17" s="110">
        <v>0</v>
      </c>
      <c r="X17" s="110">
        <v>0</v>
      </c>
      <c r="Y17" s="110">
        <v>0</v>
      </c>
      <c r="Z17" s="110">
        <v>0</v>
      </c>
      <c r="AA17" s="110">
        <v>0</v>
      </c>
      <c r="AB17" s="110">
        <v>1</v>
      </c>
      <c r="AC17" s="110">
        <v>1</v>
      </c>
      <c r="AD17" s="110">
        <v>1</v>
      </c>
      <c r="AE17" s="110">
        <v>1</v>
      </c>
      <c r="AF17" s="110">
        <v>1</v>
      </c>
      <c r="AG17" s="110">
        <v>1</v>
      </c>
      <c r="AH17" s="110">
        <v>1</v>
      </c>
      <c r="AI17" s="110">
        <v>1</v>
      </c>
      <c r="AJ17" s="110">
        <v>1</v>
      </c>
      <c r="AK17" s="110">
        <v>0</v>
      </c>
      <c r="AL17" s="110">
        <v>0</v>
      </c>
      <c r="AM17" s="110">
        <v>0</v>
      </c>
      <c r="AN17" s="110">
        <v>0</v>
      </c>
      <c r="AO17" s="110">
        <v>0</v>
      </c>
      <c r="AP17" s="110">
        <v>0</v>
      </c>
      <c r="AQ17" s="110">
        <v>1</v>
      </c>
      <c r="AR17" s="110">
        <v>1</v>
      </c>
      <c r="AS17" s="110">
        <v>0</v>
      </c>
      <c r="AT17" s="110">
        <v>1</v>
      </c>
      <c r="AU17" s="110">
        <v>0</v>
      </c>
      <c r="AV17" s="110">
        <v>1</v>
      </c>
      <c r="AW17" s="110">
        <v>1</v>
      </c>
      <c r="AX17" s="110">
        <v>0</v>
      </c>
      <c r="AY17" s="110">
        <v>1</v>
      </c>
      <c r="AZ17" s="110">
        <v>0</v>
      </c>
      <c r="BA17" s="110">
        <v>0</v>
      </c>
      <c r="BB17" s="110">
        <v>0</v>
      </c>
    </row>
    <row r="18" spans="1:54" customFormat="1" x14ac:dyDescent="0.15">
      <c r="A18" s="196" t="s">
        <v>208</v>
      </c>
      <c r="B18" s="110">
        <v>0</v>
      </c>
      <c r="C18" s="110">
        <v>0</v>
      </c>
      <c r="D18" s="110">
        <v>0</v>
      </c>
      <c r="E18" s="110">
        <v>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10">
        <v>0</v>
      </c>
      <c r="P18" s="110">
        <v>0</v>
      </c>
      <c r="Q18" s="110">
        <v>0</v>
      </c>
      <c r="R18" s="110">
        <v>0</v>
      </c>
      <c r="S18" s="110">
        <v>0</v>
      </c>
      <c r="T18" s="110">
        <v>0</v>
      </c>
      <c r="U18" s="110">
        <v>0</v>
      </c>
      <c r="V18" s="110">
        <v>0</v>
      </c>
      <c r="W18" s="110">
        <v>0</v>
      </c>
      <c r="X18" s="110">
        <v>0</v>
      </c>
      <c r="Y18" s="110">
        <v>0</v>
      </c>
      <c r="Z18" s="110">
        <v>0</v>
      </c>
      <c r="AA18" s="110">
        <v>0</v>
      </c>
      <c r="AB18" s="110">
        <v>0</v>
      </c>
      <c r="AC18" s="110">
        <v>0</v>
      </c>
      <c r="AD18" s="110">
        <v>0</v>
      </c>
      <c r="AE18" s="110">
        <v>0</v>
      </c>
      <c r="AF18" s="110">
        <v>0</v>
      </c>
      <c r="AG18" s="110">
        <v>0</v>
      </c>
      <c r="AH18" s="110">
        <v>0</v>
      </c>
      <c r="AI18" s="110">
        <v>0</v>
      </c>
      <c r="AJ18" s="110">
        <v>0</v>
      </c>
      <c r="AK18" s="110">
        <v>0</v>
      </c>
      <c r="AL18" s="110">
        <v>0</v>
      </c>
      <c r="AM18" s="110">
        <v>0</v>
      </c>
      <c r="AN18" s="110">
        <v>0</v>
      </c>
      <c r="AO18" s="110">
        <v>0</v>
      </c>
      <c r="AP18" s="110">
        <v>0</v>
      </c>
      <c r="AQ18" s="110">
        <v>0</v>
      </c>
      <c r="AR18" s="110">
        <v>0</v>
      </c>
      <c r="AS18" s="110">
        <v>0</v>
      </c>
      <c r="AT18" s="110">
        <v>0</v>
      </c>
      <c r="AU18" s="110">
        <v>0</v>
      </c>
      <c r="AV18" s="110">
        <v>1</v>
      </c>
      <c r="AW18" s="110">
        <v>0</v>
      </c>
      <c r="AX18" s="110">
        <v>0</v>
      </c>
      <c r="AY18" s="110">
        <v>0</v>
      </c>
      <c r="AZ18" s="110">
        <v>0</v>
      </c>
      <c r="BA18" s="110">
        <v>0</v>
      </c>
      <c r="BB18" s="110">
        <v>0</v>
      </c>
    </row>
    <row r="19" spans="1:54" customFormat="1" x14ac:dyDescent="0.15">
      <c r="A19" s="196" t="s">
        <v>209</v>
      </c>
      <c r="B19" s="110">
        <v>0</v>
      </c>
      <c r="C19" s="110">
        <v>0</v>
      </c>
      <c r="D19" s="110">
        <v>0</v>
      </c>
      <c r="E19" s="110">
        <v>0</v>
      </c>
      <c r="F19" s="110">
        <v>0</v>
      </c>
      <c r="G19" s="110">
        <v>0</v>
      </c>
      <c r="H19" s="110">
        <v>0</v>
      </c>
      <c r="I19" s="110">
        <v>0</v>
      </c>
      <c r="J19" s="110">
        <v>0</v>
      </c>
      <c r="K19" s="110">
        <v>0</v>
      </c>
      <c r="L19" s="110">
        <v>0</v>
      </c>
      <c r="M19" s="110">
        <v>0</v>
      </c>
      <c r="N19" s="110">
        <v>0</v>
      </c>
      <c r="O19" s="110">
        <v>0</v>
      </c>
      <c r="P19" s="110">
        <v>0</v>
      </c>
      <c r="Q19" s="110">
        <v>0</v>
      </c>
      <c r="R19" s="110">
        <v>0</v>
      </c>
      <c r="S19" s="110">
        <v>0</v>
      </c>
      <c r="T19" s="110">
        <v>0</v>
      </c>
      <c r="U19" s="110">
        <v>0</v>
      </c>
      <c r="V19" s="110">
        <v>0</v>
      </c>
      <c r="W19" s="110">
        <v>0</v>
      </c>
      <c r="X19" s="110">
        <v>0</v>
      </c>
      <c r="Y19" s="110">
        <v>0</v>
      </c>
      <c r="Z19" s="110">
        <v>0</v>
      </c>
      <c r="AA19" s="110">
        <v>0</v>
      </c>
      <c r="AB19" s="110">
        <v>1</v>
      </c>
      <c r="AC19" s="110">
        <v>0</v>
      </c>
      <c r="AD19" s="110">
        <v>1</v>
      </c>
      <c r="AE19" s="110">
        <v>0</v>
      </c>
      <c r="AF19" s="110">
        <v>1</v>
      </c>
      <c r="AG19" s="110">
        <v>0</v>
      </c>
      <c r="AH19" s="110">
        <v>0</v>
      </c>
      <c r="AI19" s="110">
        <v>0</v>
      </c>
      <c r="AJ19" s="110">
        <v>0</v>
      </c>
      <c r="AK19" s="110">
        <v>0</v>
      </c>
      <c r="AL19" s="110">
        <v>0</v>
      </c>
      <c r="AM19" s="110">
        <v>0</v>
      </c>
      <c r="AN19" s="110">
        <v>0</v>
      </c>
      <c r="AO19" s="110">
        <v>0</v>
      </c>
      <c r="AP19" s="110">
        <v>0</v>
      </c>
      <c r="AQ19" s="110">
        <v>0</v>
      </c>
      <c r="AR19" s="110">
        <v>0</v>
      </c>
      <c r="AS19" s="110">
        <v>0</v>
      </c>
      <c r="AT19" s="110">
        <v>0</v>
      </c>
      <c r="AU19" s="110">
        <v>0</v>
      </c>
      <c r="AV19" s="110">
        <v>1</v>
      </c>
      <c r="AW19" s="110">
        <v>0</v>
      </c>
      <c r="AX19" s="110">
        <v>0</v>
      </c>
      <c r="AY19" s="110">
        <v>0</v>
      </c>
      <c r="AZ19" s="110">
        <v>0</v>
      </c>
      <c r="BA19" s="110">
        <v>0</v>
      </c>
      <c r="BB19" s="110">
        <v>0</v>
      </c>
    </row>
    <row r="20" spans="1:54" customFormat="1" x14ac:dyDescent="0.15">
      <c r="A20" s="196" t="s">
        <v>210</v>
      </c>
      <c r="B20" s="110">
        <v>0</v>
      </c>
      <c r="C20" s="110">
        <v>0</v>
      </c>
      <c r="D20" s="110">
        <v>0</v>
      </c>
      <c r="E20" s="110">
        <v>0</v>
      </c>
      <c r="F20" s="110">
        <v>0</v>
      </c>
      <c r="G20" s="110">
        <v>0</v>
      </c>
      <c r="H20" s="110">
        <v>0</v>
      </c>
      <c r="I20" s="110">
        <v>0</v>
      </c>
      <c r="J20" s="110">
        <v>0</v>
      </c>
      <c r="K20" s="110">
        <v>0</v>
      </c>
      <c r="L20" s="110">
        <v>0</v>
      </c>
      <c r="M20" s="110">
        <v>0</v>
      </c>
      <c r="N20" s="110">
        <v>0</v>
      </c>
      <c r="O20" s="110">
        <v>0</v>
      </c>
      <c r="P20" s="110">
        <v>0</v>
      </c>
      <c r="Q20" s="110">
        <v>0</v>
      </c>
      <c r="R20" s="110">
        <v>0</v>
      </c>
      <c r="S20" s="110">
        <v>0</v>
      </c>
      <c r="T20" s="110">
        <v>0</v>
      </c>
      <c r="U20" s="110">
        <v>0</v>
      </c>
      <c r="V20" s="110">
        <v>0</v>
      </c>
      <c r="W20" s="110">
        <v>0</v>
      </c>
      <c r="X20" s="110">
        <v>0</v>
      </c>
      <c r="Y20" s="110">
        <v>0</v>
      </c>
      <c r="Z20" s="110">
        <v>0</v>
      </c>
      <c r="AA20" s="110">
        <v>0</v>
      </c>
      <c r="AB20" s="110">
        <v>0</v>
      </c>
      <c r="AC20" s="110">
        <v>0</v>
      </c>
      <c r="AD20" s="110">
        <v>0</v>
      </c>
      <c r="AE20" s="110">
        <v>0</v>
      </c>
      <c r="AF20" s="110">
        <v>0</v>
      </c>
      <c r="AG20" s="110">
        <v>0</v>
      </c>
      <c r="AH20" s="110">
        <v>0</v>
      </c>
      <c r="AI20" s="110">
        <v>0</v>
      </c>
      <c r="AJ20" s="110">
        <v>0</v>
      </c>
      <c r="AK20" s="110">
        <v>0</v>
      </c>
      <c r="AL20" s="110">
        <v>0</v>
      </c>
      <c r="AM20" s="110">
        <v>0</v>
      </c>
      <c r="AN20" s="110">
        <v>0</v>
      </c>
      <c r="AO20" s="110">
        <v>0</v>
      </c>
      <c r="AP20" s="110">
        <v>0</v>
      </c>
      <c r="AQ20" s="110">
        <v>0</v>
      </c>
      <c r="AR20" s="110">
        <v>0</v>
      </c>
      <c r="AS20" s="110">
        <v>0</v>
      </c>
      <c r="AT20" s="110">
        <v>0</v>
      </c>
      <c r="AU20" s="110">
        <v>0</v>
      </c>
      <c r="AV20" s="110">
        <v>0</v>
      </c>
      <c r="AW20" s="110">
        <v>0</v>
      </c>
      <c r="AX20" s="110">
        <v>0</v>
      </c>
      <c r="AY20" s="110">
        <v>1</v>
      </c>
      <c r="AZ20" s="110">
        <v>0</v>
      </c>
      <c r="BA20" s="110">
        <v>0</v>
      </c>
      <c r="BB20" s="110">
        <v>0</v>
      </c>
    </row>
    <row r="21" spans="1:54" customFormat="1" x14ac:dyDescent="0.15">
      <c r="A21" s="196" t="s">
        <v>211</v>
      </c>
      <c r="B21" s="110">
        <v>0</v>
      </c>
      <c r="C21" s="110">
        <v>0</v>
      </c>
      <c r="D21" s="110">
        <v>0</v>
      </c>
      <c r="E21" s="110">
        <v>0</v>
      </c>
      <c r="F21" s="110">
        <v>0</v>
      </c>
      <c r="G21" s="110">
        <v>0</v>
      </c>
      <c r="H21" s="110">
        <v>0</v>
      </c>
      <c r="I21" s="110">
        <v>0</v>
      </c>
      <c r="J21" s="110">
        <v>0</v>
      </c>
      <c r="K21" s="110">
        <v>0</v>
      </c>
      <c r="L21" s="110">
        <v>0</v>
      </c>
      <c r="M21" s="110">
        <v>0</v>
      </c>
      <c r="N21" s="110">
        <v>0</v>
      </c>
      <c r="O21" s="110">
        <v>0</v>
      </c>
      <c r="P21" s="110">
        <v>0</v>
      </c>
      <c r="Q21" s="110">
        <v>0</v>
      </c>
      <c r="R21" s="110">
        <v>0</v>
      </c>
      <c r="S21" s="110">
        <v>0</v>
      </c>
      <c r="T21" s="110">
        <v>0</v>
      </c>
      <c r="U21" s="110">
        <v>0</v>
      </c>
      <c r="V21" s="110">
        <v>0</v>
      </c>
      <c r="W21" s="110">
        <v>0</v>
      </c>
      <c r="X21" s="110">
        <v>0</v>
      </c>
      <c r="Y21" s="110">
        <v>0</v>
      </c>
      <c r="Z21" s="110">
        <v>0</v>
      </c>
      <c r="AA21" s="110">
        <v>0</v>
      </c>
      <c r="AB21" s="110">
        <v>0</v>
      </c>
      <c r="AC21" s="110">
        <v>0</v>
      </c>
      <c r="AD21" s="110">
        <v>1</v>
      </c>
      <c r="AE21" s="110">
        <v>0</v>
      </c>
      <c r="AF21" s="110">
        <v>1</v>
      </c>
      <c r="AG21" s="110">
        <v>0</v>
      </c>
      <c r="AH21" s="110">
        <v>0</v>
      </c>
      <c r="AI21" s="110">
        <v>0</v>
      </c>
      <c r="AJ21" s="110">
        <v>0</v>
      </c>
      <c r="AK21" s="110">
        <v>0</v>
      </c>
      <c r="AL21" s="110">
        <v>0</v>
      </c>
      <c r="AM21" s="110">
        <v>0</v>
      </c>
      <c r="AN21" s="110">
        <v>0</v>
      </c>
      <c r="AO21" s="110">
        <v>0</v>
      </c>
      <c r="AP21" s="110">
        <v>0</v>
      </c>
      <c r="AQ21" s="110">
        <v>0</v>
      </c>
      <c r="AR21" s="110">
        <v>0</v>
      </c>
      <c r="AS21" s="110">
        <v>0</v>
      </c>
      <c r="AT21" s="110">
        <v>1</v>
      </c>
      <c r="AU21" s="110">
        <v>0</v>
      </c>
      <c r="AV21" s="110">
        <v>1</v>
      </c>
      <c r="AW21" s="110">
        <v>0</v>
      </c>
      <c r="AX21" s="110">
        <v>0</v>
      </c>
      <c r="AY21" s="110">
        <v>0</v>
      </c>
      <c r="AZ21" s="110">
        <v>0</v>
      </c>
      <c r="BA21" s="110">
        <v>0</v>
      </c>
      <c r="BB21" s="110">
        <v>0</v>
      </c>
    </row>
    <row r="22" spans="1:54" customFormat="1" x14ac:dyDescent="0.15">
      <c r="A22" s="196" t="s">
        <v>212</v>
      </c>
      <c r="B22" s="110">
        <v>0</v>
      </c>
      <c r="C22" s="110">
        <v>0</v>
      </c>
      <c r="D22" s="110">
        <v>0</v>
      </c>
      <c r="E22" s="110">
        <v>0</v>
      </c>
      <c r="F22" s="110">
        <v>0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10">
        <v>0</v>
      </c>
      <c r="P22" s="110">
        <v>0</v>
      </c>
      <c r="Q22" s="110">
        <v>0</v>
      </c>
      <c r="R22" s="110">
        <v>0</v>
      </c>
      <c r="S22" s="110">
        <v>0</v>
      </c>
      <c r="T22" s="110">
        <v>0</v>
      </c>
      <c r="U22" s="110">
        <v>0</v>
      </c>
      <c r="V22" s="110">
        <v>0</v>
      </c>
      <c r="W22" s="110">
        <v>0</v>
      </c>
      <c r="X22" s="110">
        <v>0</v>
      </c>
      <c r="Y22" s="110">
        <v>0</v>
      </c>
      <c r="Z22" s="110"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0</v>
      </c>
      <c r="AH22" s="110">
        <v>0</v>
      </c>
      <c r="AI22" s="110">
        <v>0</v>
      </c>
      <c r="AJ22" s="110">
        <v>0</v>
      </c>
      <c r="AK22" s="110">
        <v>0</v>
      </c>
      <c r="AL22" s="110">
        <v>0</v>
      </c>
      <c r="AM22" s="110">
        <v>0</v>
      </c>
      <c r="AN22" s="110">
        <v>0</v>
      </c>
      <c r="AO22" s="110">
        <v>0</v>
      </c>
      <c r="AP22" s="110">
        <v>0</v>
      </c>
      <c r="AQ22" s="110">
        <v>0</v>
      </c>
      <c r="AR22" s="110">
        <v>0</v>
      </c>
      <c r="AS22" s="110">
        <v>0</v>
      </c>
      <c r="AT22" s="110">
        <v>0</v>
      </c>
      <c r="AU22" s="110">
        <v>0</v>
      </c>
      <c r="AV22" s="110">
        <v>0</v>
      </c>
      <c r="AW22" s="110">
        <v>0</v>
      </c>
      <c r="AX22" s="110">
        <v>0</v>
      </c>
      <c r="AY22" s="110">
        <v>1</v>
      </c>
      <c r="AZ22" s="110">
        <v>0</v>
      </c>
      <c r="BA22" s="110">
        <v>0</v>
      </c>
      <c r="BB22" s="110">
        <v>0</v>
      </c>
    </row>
    <row r="23" spans="1:54" customFormat="1" x14ac:dyDescent="0.15">
      <c r="A23" s="196" t="s">
        <v>213</v>
      </c>
      <c r="B23" s="110">
        <v>0</v>
      </c>
      <c r="C23" s="110">
        <v>0</v>
      </c>
      <c r="D23" s="110">
        <v>0</v>
      </c>
      <c r="E23" s="110">
        <v>0</v>
      </c>
      <c r="F23" s="110">
        <v>0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10">
        <v>0</v>
      </c>
      <c r="P23" s="110">
        <v>0</v>
      </c>
      <c r="Q23" s="110">
        <v>0</v>
      </c>
      <c r="R23" s="110">
        <v>0</v>
      </c>
      <c r="S23" s="110">
        <v>0</v>
      </c>
      <c r="T23" s="110">
        <v>0</v>
      </c>
      <c r="U23" s="110">
        <v>0</v>
      </c>
      <c r="V23" s="110">
        <v>0</v>
      </c>
      <c r="W23" s="110">
        <v>0</v>
      </c>
      <c r="X23" s="110">
        <v>0</v>
      </c>
      <c r="Y23" s="110">
        <v>0</v>
      </c>
      <c r="Z23" s="110">
        <v>0</v>
      </c>
      <c r="AA23" s="110">
        <v>0</v>
      </c>
      <c r="AB23" s="110">
        <v>1</v>
      </c>
      <c r="AC23" s="110">
        <v>1</v>
      </c>
      <c r="AD23" s="110">
        <v>1</v>
      </c>
      <c r="AE23" s="110">
        <v>0</v>
      </c>
      <c r="AF23" s="110">
        <v>1</v>
      </c>
      <c r="AG23" s="110">
        <v>1</v>
      </c>
      <c r="AH23" s="110">
        <v>1</v>
      </c>
      <c r="AI23" s="110">
        <v>1</v>
      </c>
      <c r="AJ23" s="110">
        <v>0</v>
      </c>
      <c r="AK23" s="110">
        <v>0</v>
      </c>
      <c r="AL23" s="110">
        <v>0</v>
      </c>
      <c r="AM23" s="110">
        <v>0</v>
      </c>
      <c r="AN23" s="110">
        <v>0</v>
      </c>
      <c r="AO23" s="110">
        <v>0</v>
      </c>
      <c r="AP23" s="110">
        <v>0</v>
      </c>
      <c r="AQ23" s="110">
        <v>1</v>
      </c>
      <c r="AR23" s="110">
        <v>0</v>
      </c>
      <c r="AS23" s="110">
        <v>0</v>
      </c>
      <c r="AT23" s="110">
        <v>1</v>
      </c>
      <c r="AU23" s="110">
        <v>0</v>
      </c>
      <c r="AV23" s="110">
        <v>0</v>
      </c>
      <c r="AW23" s="110">
        <v>0</v>
      </c>
      <c r="AX23" s="110">
        <v>0</v>
      </c>
      <c r="AY23" s="110">
        <v>1</v>
      </c>
      <c r="AZ23" s="110">
        <v>0</v>
      </c>
      <c r="BA23" s="110">
        <v>0</v>
      </c>
      <c r="BB23" s="110">
        <v>0</v>
      </c>
    </row>
    <row r="24" spans="1:54" customFormat="1" x14ac:dyDescent="0.15">
      <c r="A24" s="196" t="s">
        <v>214</v>
      </c>
      <c r="B24" s="110">
        <v>0</v>
      </c>
      <c r="C24" s="110">
        <v>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10">
        <v>0</v>
      </c>
      <c r="P24" s="110">
        <v>0</v>
      </c>
      <c r="Q24" s="110">
        <v>0</v>
      </c>
      <c r="R24" s="110">
        <v>0</v>
      </c>
      <c r="S24" s="110">
        <v>0</v>
      </c>
      <c r="T24" s="110">
        <v>0</v>
      </c>
      <c r="U24" s="110">
        <v>0</v>
      </c>
      <c r="V24" s="110">
        <v>0</v>
      </c>
      <c r="W24" s="110">
        <v>0</v>
      </c>
      <c r="X24" s="110">
        <v>0</v>
      </c>
      <c r="Y24" s="110">
        <v>0</v>
      </c>
      <c r="Z24" s="110">
        <v>0</v>
      </c>
      <c r="AA24" s="110">
        <v>0</v>
      </c>
      <c r="AB24" s="110">
        <v>0</v>
      </c>
      <c r="AC24" s="110">
        <v>0</v>
      </c>
      <c r="AD24" s="110">
        <v>1</v>
      </c>
      <c r="AE24" s="110">
        <v>0</v>
      </c>
      <c r="AF24" s="110">
        <v>0</v>
      </c>
      <c r="AG24" s="110">
        <v>0</v>
      </c>
      <c r="AH24" s="110">
        <v>0</v>
      </c>
      <c r="AI24" s="110">
        <v>1</v>
      </c>
      <c r="AJ24" s="110">
        <v>1</v>
      </c>
      <c r="AK24" s="110">
        <v>0</v>
      </c>
      <c r="AL24" s="110">
        <v>0</v>
      </c>
      <c r="AM24" s="110">
        <v>0</v>
      </c>
      <c r="AN24" s="110">
        <v>0</v>
      </c>
      <c r="AO24" s="110">
        <v>0</v>
      </c>
      <c r="AP24" s="110">
        <v>0</v>
      </c>
      <c r="AQ24" s="110">
        <v>0</v>
      </c>
      <c r="AR24" s="110">
        <v>0</v>
      </c>
      <c r="AS24" s="110">
        <v>0</v>
      </c>
      <c r="AT24" s="110">
        <v>0</v>
      </c>
      <c r="AU24" s="110">
        <v>0</v>
      </c>
      <c r="AV24" s="110">
        <v>0</v>
      </c>
      <c r="AW24" s="110">
        <v>0</v>
      </c>
      <c r="AX24" s="110">
        <v>0</v>
      </c>
      <c r="AY24" s="110">
        <v>1</v>
      </c>
      <c r="AZ24" s="110">
        <v>0</v>
      </c>
      <c r="BA24" s="110">
        <v>0</v>
      </c>
      <c r="BB24" s="110">
        <v>0</v>
      </c>
    </row>
    <row r="25" spans="1:54" customFormat="1" x14ac:dyDescent="0.15">
      <c r="A25" s="196" t="s">
        <v>215</v>
      </c>
      <c r="B25" s="110">
        <v>0</v>
      </c>
      <c r="C25" s="110">
        <v>0</v>
      </c>
      <c r="D25" s="110">
        <v>0</v>
      </c>
      <c r="E25" s="110">
        <v>0</v>
      </c>
      <c r="F25" s="110">
        <v>0</v>
      </c>
      <c r="G25" s="110">
        <v>0</v>
      </c>
      <c r="H25" s="110">
        <v>0</v>
      </c>
      <c r="I25" s="110">
        <v>0</v>
      </c>
      <c r="J25" s="110">
        <v>0</v>
      </c>
      <c r="K25" s="110">
        <v>0</v>
      </c>
      <c r="L25" s="110">
        <v>0</v>
      </c>
      <c r="M25" s="110">
        <v>0</v>
      </c>
      <c r="N25" s="110">
        <v>0</v>
      </c>
      <c r="O25" s="110">
        <v>0</v>
      </c>
      <c r="P25" s="110">
        <v>0</v>
      </c>
      <c r="Q25" s="110">
        <v>0</v>
      </c>
      <c r="R25" s="110">
        <v>0</v>
      </c>
      <c r="S25" s="110">
        <v>0</v>
      </c>
      <c r="T25" s="110">
        <v>0</v>
      </c>
      <c r="U25" s="110">
        <v>0</v>
      </c>
      <c r="V25" s="110">
        <v>0</v>
      </c>
      <c r="W25" s="110">
        <v>0</v>
      </c>
      <c r="X25" s="110">
        <v>0</v>
      </c>
      <c r="Y25" s="110">
        <v>0</v>
      </c>
      <c r="Z25" s="110">
        <v>0</v>
      </c>
      <c r="AA25" s="110">
        <v>0</v>
      </c>
      <c r="AB25" s="110">
        <v>0</v>
      </c>
      <c r="AC25" s="110">
        <v>0</v>
      </c>
      <c r="AD25" s="110">
        <v>0</v>
      </c>
      <c r="AE25" s="110">
        <v>1</v>
      </c>
      <c r="AF25" s="110">
        <v>0</v>
      </c>
      <c r="AG25" s="110">
        <v>0</v>
      </c>
      <c r="AH25" s="110">
        <v>0</v>
      </c>
      <c r="AI25" s="110">
        <v>0</v>
      </c>
      <c r="AJ25" s="110">
        <v>0</v>
      </c>
      <c r="AK25" s="110">
        <v>0</v>
      </c>
      <c r="AL25" s="110">
        <v>1</v>
      </c>
      <c r="AM25" s="110">
        <v>0</v>
      </c>
      <c r="AN25" s="110">
        <v>0</v>
      </c>
      <c r="AO25" s="110">
        <v>0</v>
      </c>
      <c r="AP25" s="110">
        <v>0</v>
      </c>
      <c r="AQ25" s="110">
        <v>0</v>
      </c>
      <c r="AR25" s="110">
        <v>0</v>
      </c>
      <c r="AS25" s="110">
        <v>0</v>
      </c>
      <c r="AT25" s="110">
        <v>0</v>
      </c>
      <c r="AU25" s="110">
        <v>0</v>
      </c>
      <c r="AV25" s="110">
        <v>0</v>
      </c>
      <c r="AW25" s="110">
        <v>0</v>
      </c>
      <c r="AX25" s="110">
        <v>0</v>
      </c>
      <c r="AY25" s="110">
        <v>1</v>
      </c>
      <c r="AZ25" s="110">
        <v>0</v>
      </c>
      <c r="BA25" s="110">
        <v>0</v>
      </c>
      <c r="BB25" s="110">
        <v>0</v>
      </c>
    </row>
    <row r="26" spans="1:54" customFormat="1" x14ac:dyDescent="0.15">
      <c r="A26" s="196" t="s">
        <v>216</v>
      </c>
      <c r="B26" s="110">
        <v>0</v>
      </c>
      <c r="C26" s="110">
        <v>0</v>
      </c>
      <c r="D26" s="110">
        <v>0</v>
      </c>
      <c r="E26" s="110">
        <v>0</v>
      </c>
      <c r="F26" s="110">
        <v>0</v>
      </c>
      <c r="G26" s="110">
        <v>0</v>
      </c>
      <c r="H26" s="110">
        <v>0</v>
      </c>
      <c r="I26" s="110">
        <v>0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10">
        <v>0</v>
      </c>
      <c r="P26" s="110">
        <v>0</v>
      </c>
      <c r="Q26" s="110">
        <v>0</v>
      </c>
      <c r="R26" s="110">
        <v>0</v>
      </c>
      <c r="S26" s="110">
        <v>0</v>
      </c>
      <c r="T26" s="110">
        <v>0</v>
      </c>
      <c r="U26" s="110">
        <v>0</v>
      </c>
      <c r="V26" s="110">
        <v>0</v>
      </c>
      <c r="W26" s="110">
        <v>0</v>
      </c>
      <c r="X26" s="110">
        <v>0</v>
      </c>
      <c r="Y26" s="110">
        <v>0</v>
      </c>
      <c r="Z26" s="110">
        <v>0</v>
      </c>
      <c r="AA26" s="110">
        <v>0</v>
      </c>
      <c r="AB26" s="110">
        <v>0</v>
      </c>
      <c r="AC26" s="110">
        <v>0</v>
      </c>
      <c r="AD26" s="110">
        <v>0</v>
      </c>
      <c r="AE26" s="110">
        <v>1</v>
      </c>
      <c r="AF26" s="110">
        <v>0</v>
      </c>
      <c r="AG26" s="110">
        <v>0</v>
      </c>
      <c r="AH26" s="110">
        <v>0</v>
      </c>
      <c r="AI26" s="110">
        <v>0</v>
      </c>
      <c r="AJ26" s="110">
        <v>0</v>
      </c>
      <c r="AK26" s="110">
        <v>0</v>
      </c>
      <c r="AL26" s="110">
        <v>0</v>
      </c>
      <c r="AM26" s="110">
        <v>0</v>
      </c>
      <c r="AN26" s="110">
        <v>0</v>
      </c>
      <c r="AO26" s="110">
        <v>0</v>
      </c>
      <c r="AP26" s="110">
        <v>0</v>
      </c>
      <c r="AQ26" s="110">
        <v>0</v>
      </c>
      <c r="AR26" s="110">
        <v>1</v>
      </c>
      <c r="AS26" s="110">
        <v>0</v>
      </c>
      <c r="AT26" s="110">
        <v>1</v>
      </c>
      <c r="AU26" s="110">
        <v>0</v>
      </c>
      <c r="AV26" s="110">
        <v>0</v>
      </c>
      <c r="AW26" s="110">
        <v>0</v>
      </c>
      <c r="AX26" s="110">
        <v>0</v>
      </c>
      <c r="AY26" s="110">
        <v>0</v>
      </c>
      <c r="AZ26" s="110">
        <v>0</v>
      </c>
      <c r="BA26" s="110">
        <v>0</v>
      </c>
      <c r="BB26" s="110">
        <v>0</v>
      </c>
    </row>
    <row r="27" spans="1:54" customFormat="1" x14ac:dyDescent="0.15">
      <c r="A27" s="196" t="s">
        <v>217</v>
      </c>
      <c r="B27" s="110">
        <v>0</v>
      </c>
      <c r="C27" s="110">
        <v>0</v>
      </c>
      <c r="D27" s="110">
        <v>0</v>
      </c>
      <c r="E27" s="110">
        <v>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0</v>
      </c>
      <c r="L27" s="110">
        <v>0</v>
      </c>
      <c r="M27" s="110">
        <v>0</v>
      </c>
      <c r="N27" s="110">
        <v>0</v>
      </c>
      <c r="O27" s="110">
        <v>0</v>
      </c>
      <c r="P27" s="110">
        <v>0</v>
      </c>
      <c r="Q27" s="110">
        <v>1</v>
      </c>
      <c r="R27" s="110">
        <v>0</v>
      </c>
      <c r="S27" s="110">
        <v>0</v>
      </c>
      <c r="T27" s="110">
        <v>0</v>
      </c>
      <c r="U27" s="110">
        <v>0</v>
      </c>
      <c r="V27" s="110">
        <v>0</v>
      </c>
      <c r="W27" s="110">
        <v>0</v>
      </c>
      <c r="X27" s="110">
        <v>0</v>
      </c>
      <c r="Y27" s="110">
        <v>0</v>
      </c>
      <c r="Z27" s="110">
        <v>1</v>
      </c>
      <c r="AA27" s="110">
        <v>0</v>
      </c>
      <c r="AB27" s="110">
        <v>1</v>
      </c>
      <c r="AC27" s="110">
        <v>1</v>
      </c>
      <c r="AD27" s="110">
        <v>1</v>
      </c>
      <c r="AE27" s="110">
        <v>1</v>
      </c>
      <c r="AF27" s="110">
        <v>1</v>
      </c>
      <c r="AG27" s="110">
        <v>1</v>
      </c>
      <c r="AH27" s="110">
        <v>1</v>
      </c>
      <c r="AI27" s="110">
        <v>1</v>
      </c>
      <c r="AJ27" s="110">
        <v>1</v>
      </c>
      <c r="AK27" s="110">
        <v>0</v>
      </c>
      <c r="AL27" s="110">
        <v>0</v>
      </c>
      <c r="AM27" s="110">
        <v>0</v>
      </c>
      <c r="AN27" s="110">
        <v>0</v>
      </c>
      <c r="AO27" s="110">
        <v>0</v>
      </c>
      <c r="AP27" s="110">
        <v>0</v>
      </c>
      <c r="AQ27" s="110">
        <v>1</v>
      </c>
      <c r="AR27" s="110">
        <v>1</v>
      </c>
      <c r="AS27" s="110">
        <v>0</v>
      </c>
      <c r="AT27" s="110">
        <v>0</v>
      </c>
      <c r="AU27" s="110">
        <v>0</v>
      </c>
      <c r="AV27" s="110">
        <v>0</v>
      </c>
      <c r="AW27" s="110">
        <v>0</v>
      </c>
      <c r="AX27" s="110">
        <v>1</v>
      </c>
      <c r="AY27" s="110">
        <v>1</v>
      </c>
      <c r="AZ27" s="110">
        <v>0</v>
      </c>
      <c r="BA27" s="110">
        <v>0</v>
      </c>
      <c r="BB27" s="110">
        <v>0</v>
      </c>
    </row>
    <row r="28" spans="1:54" customFormat="1" x14ac:dyDescent="0.15">
      <c r="A28" s="196" t="s">
        <v>218</v>
      </c>
      <c r="B28" s="110">
        <v>0</v>
      </c>
      <c r="C28" s="110">
        <v>0</v>
      </c>
      <c r="D28" s="110">
        <v>0</v>
      </c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110">
        <v>0</v>
      </c>
      <c r="O28" s="110">
        <v>0</v>
      </c>
      <c r="P28" s="110">
        <v>0</v>
      </c>
      <c r="Q28" s="110">
        <v>0</v>
      </c>
      <c r="R28" s="110">
        <v>0</v>
      </c>
      <c r="S28" s="110">
        <v>0</v>
      </c>
      <c r="T28" s="110">
        <v>0</v>
      </c>
      <c r="U28" s="110">
        <v>0</v>
      </c>
      <c r="V28" s="110">
        <v>0</v>
      </c>
      <c r="W28" s="110">
        <v>0</v>
      </c>
      <c r="X28" s="110">
        <v>0</v>
      </c>
      <c r="Y28" s="110">
        <v>0</v>
      </c>
      <c r="Z28" s="110">
        <v>0</v>
      </c>
      <c r="AA28" s="110">
        <v>0</v>
      </c>
      <c r="AB28" s="110">
        <v>0</v>
      </c>
      <c r="AC28" s="110">
        <v>0</v>
      </c>
      <c r="AD28" s="110">
        <v>1</v>
      </c>
      <c r="AE28" s="110">
        <v>0</v>
      </c>
      <c r="AF28" s="110">
        <v>0</v>
      </c>
      <c r="AG28" s="110">
        <v>0</v>
      </c>
      <c r="AH28" s="110">
        <v>0</v>
      </c>
      <c r="AI28" s="110">
        <v>0</v>
      </c>
      <c r="AJ28" s="110">
        <v>0</v>
      </c>
      <c r="AK28" s="110">
        <v>0</v>
      </c>
      <c r="AL28" s="110">
        <v>0</v>
      </c>
      <c r="AM28" s="110">
        <v>0</v>
      </c>
      <c r="AN28" s="110">
        <v>0</v>
      </c>
      <c r="AO28" s="110">
        <v>0</v>
      </c>
      <c r="AP28" s="110">
        <v>0</v>
      </c>
      <c r="AQ28" s="110">
        <v>0</v>
      </c>
      <c r="AR28" s="110">
        <v>0</v>
      </c>
      <c r="AS28" s="110">
        <v>0</v>
      </c>
      <c r="AT28" s="110">
        <v>0</v>
      </c>
      <c r="AU28" s="110">
        <v>0</v>
      </c>
      <c r="AV28" s="110">
        <v>0</v>
      </c>
      <c r="AW28" s="110">
        <v>0</v>
      </c>
      <c r="AX28" s="110">
        <v>0</v>
      </c>
      <c r="AY28" s="110">
        <v>0</v>
      </c>
      <c r="AZ28" s="110">
        <v>0</v>
      </c>
      <c r="BA28" s="110">
        <v>0</v>
      </c>
      <c r="BB28" s="110">
        <v>0</v>
      </c>
    </row>
    <row r="29" spans="1:54" customFormat="1" x14ac:dyDescent="0.15">
      <c r="A29" s="196" t="s">
        <v>219</v>
      </c>
      <c r="B29" s="110">
        <v>0</v>
      </c>
      <c r="C29" s="110">
        <v>0</v>
      </c>
      <c r="D29" s="110">
        <v>0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110">
        <v>0</v>
      </c>
      <c r="O29" s="110">
        <v>0</v>
      </c>
      <c r="P29" s="110">
        <v>0</v>
      </c>
      <c r="Q29" s="110">
        <v>0</v>
      </c>
      <c r="R29" s="110">
        <v>0</v>
      </c>
      <c r="S29" s="110">
        <v>0</v>
      </c>
      <c r="T29" s="110">
        <v>0</v>
      </c>
      <c r="U29" s="110">
        <v>0</v>
      </c>
      <c r="V29" s="110">
        <v>0</v>
      </c>
      <c r="W29" s="110">
        <v>0</v>
      </c>
      <c r="X29" s="110">
        <v>0</v>
      </c>
      <c r="Y29" s="110">
        <v>0</v>
      </c>
      <c r="Z29" s="110">
        <v>1</v>
      </c>
      <c r="AA29" s="110">
        <v>0</v>
      </c>
      <c r="AB29" s="110">
        <v>1</v>
      </c>
      <c r="AC29" s="110">
        <v>1</v>
      </c>
      <c r="AD29" s="110">
        <v>1</v>
      </c>
      <c r="AE29" s="110">
        <v>0</v>
      </c>
      <c r="AF29" s="110">
        <v>0</v>
      </c>
      <c r="AG29" s="110">
        <v>0</v>
      </c>
      <c r="AH29" s="110">
        <v>1</v>
      </c>
      <c r="AI29" s="110">
        <v>1</v>
      </c>
      <c r="AJ29" s="110">
        <v>1</v>
      </c>
      <c r="AK29" s="110">
        <v>0</v>
      </c>
      <c r="AL29" s="110">
        <v>0</v>
      </c>
      <c r="AM29" s="110">
        <v>0</v>
      </c>
      <c r="AN29" s="110">
        <v>0</v>
      </c>
      <c r="AO29" s="110">
        <v>0</v>
      </c>
      <c r="AP29" s="110">
        <v>0</v>
      </c>
      <c r="AQ29" s="110">
        <v>1</v>
      </c>
      <c r="AR29" s="110">
        <v>1</v>
      </c>
      <c r="AS29" s="110">
        <v>0</v>
      </c>
      <c r="AT29" s="110">
        <v>0</v>
      </c>
      <c r="AU29" s="110">
        <v>0</v>
      </c>
      <c r="AV29" s="110">
        <v>0</v>
      </c>
      <c r="AW29" s="110">
        <v>1</v>
      </c>
      <c r="AX29" s="110">
        <v>1</v>
      </c>
      <c r="AY29" s="110">
        <v>1</v>
      </c>
      <c r="AZ29" s="110">
        <v>0</v>
      </c>
      <c r="BA29" s="110">
        <v>0</v>
      </c>
      <c r="BB29" s="110">
        <v>0</v>
      </c>
    </row>
    <row r="30" spans="1:54" customFormat="1" x14ac:dyDescent="0.15">
      <c r="A30" s="196" t="s">
        <v>220</v>
      </c>
      <c r="B30" s="110">
        <v>0</v>
      </c>
      <c r="C30" s="110">
        <v>0</v>
      </c>
      <c r="D30" s="110">
        <v>0</v>
      </c>
      <c r="E30" s="110">
        <v>0</v>
      </c>
      <c r="F30" s="110">
        <v>0</v>
      </c>
      <c r="G30" s="110">
        <v>0</v>
      </c>
      <c r="H30" s="110">
        <v>0</v>
      </c>
      <c r="I30" s="110">
        <v>0</v>
      </c>
      <c r="J30" s="110">
        <v>0</v>
      </c>
      <c r="K30" s="110">
        <v>0</v>
      </c>
      <c r="L30" s="110">
        <v>0</v>
      </c>
      <c r="M30" s="110">
        <v>0</v>
      </c>
      <c r="N30" s="110">
        <v>0</v>
      </c>
      <c r="O30" s="110">
        <v>0</v>
      </c>
      <c r="P30" s="110">
        <v>0</v>
      </c>
      <c r="Q30" s="110">
        <v>0</v>
      </c>
      <c r="R30" s="110">
        <v>0</v>
      </c>
      <c r="S30" s="110">
        <v>0</v>
      </c>
      <c r="T30" s="110">
        <v>0</v>
      </c>
      <c r="U30" s="110">
        <v>0</v>
      </c>
      <c r="V30" s="110">
        <v>0</v>
      </c>
      <c r="W30" s="110">
        <v>0</v>
      </c>
      <c r="X30" s="110">
        <v>0</v>
      </c>
      <c r="Y30" s="110">
        <v>0</v>
      </c>
      <c r="Z30" s="110">
        <v>0</v>
      </c>
      <c r="AA30" s="110">
        <v>0</v>
      </c>
      <c r="AB30" s="110">
        <v>0</v>
      </c>
      <c r="AC30" s="110">
        <v>0</v>
      </c>
      <c r="AD30" s="110">
        <v>0</v>
      </c>
      <c r="AE30" s="110">
        <v>0</v>
      </c>
      <c r="AF30" s="110">
        <v>0</v>
      </c>
      <c r="AG30" s="110">
        <v>0</v>
      </c>
      <c r="AH30" s="110">
        <v>0</v>
      </c>
      <c r="AI30" s="110">
        <v>0</v>
      </c>
      <c r="AJ30" s="110">
        <v>0</v>
      </c>
      <c r="AK30" s="110">
        <v>0</v>
      </c>
      <c r="AL30" s="110">
        <v>0</v>
      </c>
      <c r="AM30" s="110">
        <v>0</v>
      </c>
      <c r="AN30" s="110">
        <v>0</v>
      </c>
      <c r="AO30" s="110">
        <v>0</v>
      </c>
      <c r="AP30" s="110">
        <v>0</v>
      </c>
      <c r="AQ30" s="110">
        <v>0</v>
      </c>
      <c r="AR30" s="110">
        <v>0</v>
      </c>
      <c r="AS30" s="110">
        <v>0</v>
      </c>
      <c r="AT30" s="110">
        <v>0</v>
      </c>
      <c r="AU30" s="110">
        <v>0</v>
      </c>
      <c r="AV30" s="110">
        <v>0</v>
      </c>
      <c r="AW30" s="110">
        <v>0</v>
      </c>
      <c r="AX30" s="110">
        <v>0</v>
      </c>
      <c r="AY30" s="110">
        <v>0</v>
      </c>
      <c r="AZ30" s="110">
        <v>0</v>
      </c>
      <c r="BA30" s="110">
        <v>0</v>
      </c>
      <c r="BB30" s="110">
        <v>0</v>
      </c>
    </row>
    <row r="31" spans="1:54" customFormat="1" x14ac:dyDescent="0.15">
      <c r="A31" s="196" t="s">
        <v>221</v>
      </c>
      <c r="B31" s="110">
        <v>0</v>
      </c>
      <c r="C31" s="110">
        <v>0</v>
      </c>
      <c r="D31" s="110">
        <v>0</v>
      </c>
      <c r="E31" s="110">
        <v>0</v>
      </c>
      <c r="F31" s="110">
        <v>0</v>
      </c>
      <c r="G31" s="110">
        <v>0</v>
      </c>
      <c r="H31" s="110">
        <v>0</v>
      </c>
      <c r="I31" s="110">
        <v>0</v>
      </c>
      <c r="J31" s="110">
        <v>0</v>
      </c>
      <c r="K31" s="110">
        <v>0</v>
      </c>
      <c r="L31" s="110">
        <v>0</v>
      </c>
      <c r="M31" s="110">
        <v>0</v>
      </c>
      <c r="N31" s="110">
        <v>0</v>
      </c>
      <c r="O31" s="110">
        <v>0</v>
      </c>
      <c r="P31" s="110">
        <v>0</v>
      </c>
      <c r="Q31" s="110">
        <v>0</v>
      </c>
      <c r="R31" s="110">
        <v>0</v>
      </c>
      <c r="S31" s="110">
        <v>0</v>
      </c>
      <c r="T31" s="110">
        <v>0</v>
      </c>
      <c r="U31" s="110">
        <v>0</v>
      </c>
      <c r="V31" s="110">
        <v>0</v>
      </c>
      <c r="W31" s="110">
        <v>0</v>
      </c>
      <c r="X31" s="110">
        <v>0</v>
      </c>
      <c r="Y31" s="110">
        <v>0</v>
      </c>
      <c r="Z31" s="110">
        <v>0</v>
      </c>
      <c r="AA31" s="110">
        <v>0</v>
      </c>
      <c r="AB31" s="110">
        <v>0</v>
      </c>
      <c r="AC31" s="110">
        <v>0</v>
      </c>
      <c r="AD31" s="110">
        <v>0</v>
      </c>
      <c r="AE31" s="110">
        <v>1</v>
      </c>
      <c r="AF31" s="110">
        <v>0</v>
      </c>
      <c r="AG31" s="110">
        <v>0</v>
      </c>
      <c r="AH31" s="110">
        <v>0</v>
      </c>
      <c r="AI31" s="110">
        <v>0</v>
      </c>
      <c r="AJ31" s="110">
        <v>0</v>
      </c>
      <c r="AK31" s="110">
        <v>0</v>
      </c>
      <c r="AL31" s="110">
        <v>0</v>
      </c>
      <c r="AM31" s="110">
        <v>0</v>
      </c>
      <c r="AN31" s="110">
        <v>0</v>
      </c>
      <c r="AO31" s="110">
        <v>0</v>
      </c>
      <c r="AP31" s="110">
        <v>0</v>
      </c>
      <c r="AQ31" s="110">
        <v>0</v>
      </c>
      <c r="AR31" s="110">
        <v>1</v>
      </c>
      <c r="AS31" s="110">
        <v>0</v>
      </c>
      <c r="AT31" s="110">
        <v>0</v>
      </c>
      <c r="AU31" s="110">
        <v>0</v>
      </c>
      <c r="AV31" s="110">
        <v>0</v>
      </c>
      <c r="AW31" s="110">
        <v>0</v>
      </c>
      <c r="AX31" s="110">
        <v>0</v>
      </c>
      <c r="AY31" s="110">
        <v>0</v>
      </c>
      <c r="AZ31" s="110">
        <v>0</v>
      </c>
      <c r="BA31" s="110">
        <v>0</v>
      </c>
      <c r="BB31" s="110">
        <v>0</v>
      </c>
    </row>
    <row r="32" spans="1:54" x14ac:dyDescent="0.15">
      <c r="A32" s="196" t="s">
        <v>222</v>
      </c>
      <c r="B32" s="110">
        <v>0</v>
      </c>
      <c r="C32" s="110">
        <v>0</v>
      </c>
      <c r="D32" s="110">
        <v>0</v>
      </c>
      <c r="E32" s="110">
        <v>0</v>
      </c>
      <c r="F32" s="110">
        <v>0</v>
      </c>
      <c r="G32" s="110">
        <v>0</v>
      </c>
      <c r="H32" s="110">
        <v>0</v>
      </c>
      <c r="I32" s="110">
        <v>0</v>
      </c>
      <c r="J32" s="110">
        <v>0</v>
      </c>
      <c r="K32" s="110">
        <v>0</v>
      </c>
      <c r="L32" s="110">
        <v>0</v>
      </c>
      <c r="M32" s="110">
        <v>0</v>
      </c>
      <c r="N32" s="110">
        <v>0</v>
      </c>
      <c r="O32" s="110">
        <v>0</v>
      </c>
      <c r="P32" s="110">
        <v>0</v>
      </c>
      <c r="Q32" s="110">
        <v>0</v>
      </c>
      <c r="R32" s="110">
        <v>0</v>
      </c>
      <c r="S32" s="110">
        <v>0</v>
      </c>
      <c r="T32" s="110">
        <v>0</v>
      </c>
      <c r="U32" s="110">
        <v>0</v>
      </c>
      <c r="V32" s="110">
        <v>0</v>
      </c>
      <c r="W32" s="110">
        <v>0</v>
      </c>
      <c r="X32" s="110">
        <v>0</v>
      </c>
      <c r="Y32" s="110">
        <v>0</v>
      </c>
      <c r="Z32" s="110">
        <v>0</v>
      </c>
      <c r="AA32" s="110">
        <v>0</v>
      </c>
      <c r="AB32" s="110">
        <v>0</v>
      </c>
      <c r="AC32" s="110">
        <v>0</v>
      </c>
      <c r="AD32" s="110">
        <v>0</v>
      </c>
      <c r="AE32" s="110">
        <v>0</v>
      </c>
      <c r="AF32" s="110">
        <v>0</v>
      </c>
      <c r="AG32" s="110">
        <v>0</v>
      </c>
      <c r="AH32" s="110">
        <v>0</v>
      </c>
      <c r="AI32" s="110">
        <v>0</v>
      </c>
      <c r="AJ32" s="110">
        <v>0</v>
      </c>
      <c r="AK32" s="110">
        <v>0</v>
      </c>
      <c r="AL32" s="110">
        <v>0</v>
      </c>
      <c r="AM32" s="110">
        <v>0</v>
      </c>
      <c r="AN32" s="110">
        <v>0</v>
      </c>
      <c r="AO32" s="110">
        <v>0</v>
      </c>
      <c r="AP32" s="110">
        <v>0</v>
      </c>
      <c r="AQ32" s="110">
        <v>0</v>
      </c>
      <c r="AR32" s="110">
        <v>0</v>
      </c>
      <c r="AS32" s="110">
        <v>0</v>
      </c>
      <c r="AT32" s="110">
        <v>1</v>
      </c>
      <c r="AU32" s="110">
        <v>0</v>
      </c>
      <c r="AV32" s="110">
        <v>0</v>
      </c>
      <c r="AW32" s="110">
        <v>0</v>
      </c>
      <c r="AX32" s="110">
        <v>0</v>
      </c>
      <c r="AY32" s="110">
        <v>0</v>
      </c>
      <c r="AZ32" s="110">
        <v>0</v>
      </c>
      <c r="BA32" s="110">
        <v>0</v>
      </c>
      <c r="BB32" s="110">
        <v>0</v>
      </c>
    </row>
    <row r="33" spans="1:54" x14ac:dyDescent="0.15">
      <c r="A33" s="196" t="s">
        <v>223</v>
      </c>
      <c r="B33" s="110">
        <v>0</v>
      </c>
      <c r="C33" s="110">
        <v>0</v>
      </c>
      <c r="D33" s="110">
        <v>0</v>
      </c>
      <c r="E33" s="110">
        <v>0</v>
      </c>
      <c r="F33" s="110">
        <v>0</v>
      </c>
      <c r="G33" s="110">
        <v>0</v>
      </c>
      <c r="H33" s="110">
        <v>0</v>
      </c>
      <c r="I33" s="110">
        <v>0</v>
      </c>
      <c r="J33" s="110">
        <v>0</v>
      </c>
      <c r="K33" s="110">
        <v>0</v>
      </c>
      <c r="L33" s="110">
        <v>0</v>
      </c>
      <c r="M33" s="110">
        <v>0</v>
      </c>
      <c r="N33" s="110">
        <v>0</v>
      </c>
      <c r="O33" s="110">
        <v>0</v>
      </c>
      <c r="P33" s="110">
        <v>0</v>
      </c>
      <c r="Q33" s="110">
        <v>0</v>
      </c>
      <c r="R33" s="110">
        <v>0</v>
      </c>
      <c r="S33" s="110">
        <v>0</v>
      </c>
      <c r="T33" s="110">
        <v>0</v>
      </c>
      <c r="U33" s="110">
        <v>0</v>
      </c>
      <c r="V33" s="110">
        <v>0</v>
      </c>
      <c r="W33" s="110">
        <v>0</v>
      </c>
      <c r="X33" s="110">
        <v>0</v>
      </c>
      <c r="Y33" s="110">
        <v>0</v>
      </c>
      <c r="Z33" s="110">
        <v>0</v>
      </c>
      <c r="AA33" s="110">
        <v>0</v>
      </c>
      <c r="AB33" s="110">
        <v>0</v>
      </c>
      <c r="AC33" s="110">
        <v>0</v>
      </c>
      <c r="AD33" s="110">
        <v>0</v>
      </c>
      <c r="AE33" s="110">
        <v>0</v>
      </c>
      <c r="AF33" s="110">
        <v>0</v>
      </c>
      <c r="AG33" s="110">
        <v>1</v>
      </c>
      <c r="AH33" s="110">
        <v>0</v>
      </c>
      <c r="AI33" s="110">
        <v>0</v>
      </c>
      <c r="AJ33" s="110">
        <v>0</v>
      </c>
      <c r="AK33" s="110">
        <v>0</v>
      </c>
      <c r="AL33" s="110">
        <v>0</v>
      </c>
      <c r="AM33" s="110">
        <v>0</v>
      </c>
      <c r="AN33" s="110">
        <v>0</v>
      </c>
      <c r="AO33" s="110">
        <v>0</v>
      </c>
      <c r="AP33" s="110">
        <v>0</v>
      </c>
      <c r="AQ33" s="110">
        <v>0</v>
      </c>
      <c r="AR33" s="110">
        <v>0</v>
      </c>
      <c r="AS33" s="110">
        <v>0</v>
      </c>
      <c r="AT33" s="110">
        <v>0</v>
      </c>
      <c r="AU33" s="110">
        <v>0</v>
      </c>
      <c r="AV33" s="110">
        <v>0</v>
      </c>
      <c r="AW33" s="110">
        <v>0</v>
      </c>
      <c r="AX33" s="110">
        <v>0</v>
      </c>
      <c r="AY33" s="110">
        <v>0</v>
      </c>
      <c r="AZ33" s="110">
        <v>0</v>
      </c>
      <c r="BA33" s="110">
        <v>0</v>
      </c>
      <c r="BB33" s="110">
        <v>0</v>
      </c>
    </row>
    <row r="34" spans="1:54" x14ac:dyDescent="0.15">
      <c r="A34" s="196" t="s">
        <v>224</v>
      </c>
      <c r="B34" s="110">
        <v>0</v>
      </c>
      <c r="C34" s="110">
        <v>0</v>
      </c>
      <c r="D34" s="110">
        <v>0</v>
      </c>
      <c r="E34" s="110">
        <v>0</v>
      </c>
      <c r="F34" s="110">
        <v>0</v>
      </c>
      <c r="G34" s="110">
        <v>0</v>
      </c>
      <c r="H34" s="110">
        <v>0</v>
      </c>
      <c r="I34" s="110">
        <v>0</v>
      </c>
      <c r="J34" s="110">
        <v>0</v>
      </c>
      <c r="K34" s="110">
        <v>0</v>
      </c>
      <c r="L34" s="110">
        <v>0</v>
      </c>
      <c r="M34" s="110">
        <v>0</v>
      </c>
      <c r="N34" s="110">
        <v>0</v>
      </c>
      <c r="O34" s="110">
        <v>0</v>
      </c>
      <c r="P34" s="110">
        <v>0</v>
      </c>
      <c r="Q34" s="110">
        <v>0</v>
      </c>
      <c r="R34" s="110">
        <v>0</v>
      </c>
      <c r="S34" s="110">
        <v>0</v>
      </c>
      <c r="T34" s="110">
        <v>0</v>
      </c>
      <c r="U34" s="110">
        <v>0</v>
      </c>
      <c r="V34" s="110">
        <v>0</v>
      </c>
      <c r="W34" s="110">
        <v>0</v>
      </c>
      <c r="X34" s="110">
        <v>0</v>
      </c>
      <c r="Y34" s="110">
        <v>0</v>
      </c>
      <c r="Z34" s="110">
        <v>0</v>
      </c>
      <c r="AA34" s="110">
        <v>0</v>
      </c>
      <c r="AB34" s="110">
        <v>1</v>
      </c>
      <c r="AC34" s="110">
        <v>0</v>
      </c>
      <c r="AD34" s="110">
        <v>1</v>
      </c>
      <c r="AE34" s="110">
        <v>1</v>
      </c>
      <c r="AF34" s="110">
        <v>1</v>
      </c>
      <c r="AG34" s="110">
        <v>1</v>
      </c>
      <c r="AH34" s="110">
        <v>1</v>
      </c>
      <c r="AI34" s="110">
        <v>0</v>
      </c>
      <c r="AJ34" s="110">
        <v>1</v>
      </c>
      <c r="AK34" s="110">
        <v>0</v>
      </c>
      <c r="AL34" s="110">
        <v>1</v>
      </c>
      <c r="AM34" s="110">
        <v>0</v>
      </c>
      <c r="AN34" s="110">
        <v>0</v>
      </c>
      <c r="AO34" s="110">
        <v>0</v>
      </c>
      <c r="AP34" s="110">
        <v>0</v>
      </c>
      <c r="AQ34" s="110">
        <v>1</v>
      </c>
      <c r="AR34" s="110">
        <v>1</v>
      </c>
      <c r="AS34" s="110">
        <v>0</v>
      </c>
      <c r="AT34" s="110">
        <v>0</v>
      </c>
      <c r="AU34" s="110">
        <v>0</v>
      </c>
      <c r="AV34" s="110">
        <v>0</v>
      </c>
      <c r="AW34" s="110">
        <v>0</v>
      </c>
      <c r="AX34" s="110">
        <v>1</v>
      </c>
      <c r="AY34" s="110">
        <v>1</v>
      </c>
      <c r="AZ34" s="110">
        <v>0</v>
      </c>
      <c r="BA34" s="110">
        <v>0</v>
      </c>
      <c r="BB34" s="110">
        <v>0</v>
      </c>
    </row>
    <row r="35" spans="1:54" x14ac:dyDescent="0.15">
      <c r="A35" s="196" t="s">
        <v>225</v>
      </c>
      <c r="B35" s="110">
        <v>0</v>
      </c>
      <c r="C35" s="110">
        <v>0</v>
      </c>
      <c r="D35" s="110">
        <v>0</v>
      </c>
      <c r="E35" s="110">
        <v>0</v>
      </c>
      <c r="F35" s="110">
        <v>0</v>
      </c>
      <c r="G35" s="110">
        <v>0</v>
      </c>
      <c r="H35" s="110">
        <v>0</v>
      </c>
      <c r="I35" s="110">
        <v>0</v>
      </c>
      <c r="J35" s="110">
        <v>0</v>
      </c>
      <c r="K35" s="110">
        <v>0</v>
      </c>
      <c r="L35" s="110">
        <v>0</v>
      </c>
      <c r="M35" s="110">
        <v>0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</v>
      </c>
      <c r="U35" s="110">
        <v>0</v>
      </c>
      <c r="V35" s="110">
        <v>0</v>
      </c>
      <c r="W35" s="110">
        <v>0</v>
      </c>
      <c r="X35" s="110">
        <v>0</v>
      </c>
      <c r="Y35" s="110">
        <v>0</v>
      </c>
      <c r="Z35" s="110">
        <v>0</v>
      </c>
      <c r="AA35" s="110">
        <v>0</v>
      </c>
      <c r="AB35" s="110">
        <v>0</v>
      </c>
      <c r="AC35" s="110">
        <v>0</v>
      </c>
      <c r="AD35" s="110">
        <v>0</v>
      </c>
      <c r="AE35" s="110">
        <v>0</v>
      </c>
      <c r="AF35" s="110">
        <v>0</v>
      </c>
      <c r="AG35" s="110">
        <v>0</v>
      </c>
      <c r="AH35" s="110">
        <v>0</v>
      </c>
      <c r="AI35" s="110">
        <v>0</v>
      </c>
      <c r="AJ35" s="110">
        <v>0</v>
      </c>
      <c r="AK35" s="110">
        <v>0</v>
      </c>
      <c r="AL35" s="110">
        <v>0</v>
      </c>
      <c r="AM35" s="110">
        <v>0</v>
      </c>
      <c r="AN35" s="110">
        <v>0</v>
      </c>
      <c r="AO35" s="110">
        <v>0</v>
      </c>
      <c r="AP35" s="110">
        <v>0</v>
      </c>
      <c r="AQ35" s="110">
        <v>0</v>
      </c>
      <c r="AR35" s="110">
        <v>0</v>
      </c>
      <c r="AS35" s="110">
        <v>0</v>
      </c>
      <c r="AT35" s="110">
        <v>0</v>
      </c>
      <c r="AU35" s="110">
        <v>0</v>
      </c>
      <c r="AV35" s="110">
        <v>0</v>
      </c>
      <c r="AW35" s="110">
        <v>0</v>
      </c>
      <c r="AX35" s="110">
        <v>0</v>
      </c>
      <c r="AY35" s="110">
        <v>1</v>
      </c>
      <c r="AZ35" s="110">
        <v>0</v>
      </c>
      <c r="BA35" s="110">
        <v>0</v>
      </c>
      <c r="BB35" s="110">
        <v>0</v>
      </c>
    </row>
    <row r="36" spans="1:54" x14ac:dyDescent="0.15">
      <c r="A36" s="196" t="s">
        <v>226</v>
      </c>
      <c r="B36" s="110">
        <v>0</v>
      </c>
      <c r="C36" s="110">
        <v>0</v>
      </c>
      <c r="D36" s="110">
        <v>0</v>
      </c>
      <c r="E36" s="110">
        <v>0</v>
      </c>
      <c r="F36" s="110">
        <v>0</v>
      </c>
      <c r="G36" s="110">
        <v>0</v>
      </c>
      <c r="H36" s="110">
        <v>0</v>
      </c>
      <c r="I36" s="110">
        <v>0</v>
      </c>
      <c r="J36" s="110">
        <v>0</v>
      </c>
      <c r="K36" s="110">
        <v>0</v>
      </c>
      <c r="L36" s="110">
        <v>0</v>
      </c>
      <c r="M36" s="110">
        <v>0</v>
      </c>
      <c r="N36" s="110">
        <v>0</v>
      </c>
      <c r="O36" s="110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110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0</v>
      </c>
      <c r="AJ36" s="110">
        <v>0</v>
      </c>
      <c r="AK36" s="110">
        <v>0</v>
      </c>
      <c r="AL36" s="110">
        <v>1</v>
      </c>
      <c r="AM36" s="110">
        <v>0</v>
      </c>
      <c r="AN36" s="110">
        <v>0</v>
      </c>
      <c r="AO36" s="110">
        <v>0</v>
      </c>
      <c r="AP36" s="110">
        <v>0</v>
      </c>
      <c r="AQ36" s="110">
        <v>0</v>
      </c>
      <c r="AR36" s="110">
        <v>0</v>
      </c>
      <c r="AS36" s="110">
        <v>0</v>
      </c>
      <c r="AT36" s="110">
        <v>0</v>
      </c>
      <c r="AU36" s="110">
        <v>0</v>
      </c>
      <c r="AV36" s="110">
        <v>0</v>
      </c>
      <c r="AW36" s="110">
        <v>0</v>
      </c>
      <c r="AX36" s="110">
        <v>0</v>
      </c>
      <c r="AY36" s="110">
        <v>1</v>
      </c>
      <c r="AZ36" s="110">
        <v>0</v>
      </c>
      <c r="BA36" s="110">
        <v>0</v>
      </c>
      <c r="BB36" s="110">
        <v>0</v>
      </c>
    </row>
    <row r="37" spans="1:54" x14ac:dyDescent="0.15">
      <c r="A37" s="196" t="s">
        <v>227</v>
      </c>
      <c r="B37" s="110">
        <v>0</v>
      </c>
      <c r="C37" s="110">
        <v>0</v>
      </c>
      <c r="D37" s="110">
        <v>0</v>
      </c>
      <c r="E37" s="110">
        <v>0</v>
      </c>
      <c r="F37" s="110">
        <v>0</v>
      </c>
      <c r="G37" s="110">
        <v>0</v>
      </c>
      <c r="H37" s="110">
        <v>0</v>
      </c>
      <c r="I37" s="110">
        <v>0</v>
      </c>
      <c r="J37" s="110">
        <v>0</v>
      </c>
      <c r="K37" s="110">
        <v>0</v>
      </c>
      <c r="L37" s="110">
        <v>0</v>
      </c>
      <c r="M37" s="110">
        <v>0</v>
      </c>
      <c r="N37" s="110">
        <v>0</v>
      </c>
      <c r="O37" s="110">
        <v>0</v>
      </c>
      <c r="P37" s="110">
        <v>0</v>
      </c>
      <c r="Q37" s="110">
        <v>0</v>
      </c>
      <c r="R37" s="110">
        <v>0</v>
      </c>
      <c r="S37" s="110">
        <v>0</v>
      </c>
      <c r="T37" s="110">
        <v>0</v>
      </c>
      <c r="U37" s="110">
        <v>0</v>
      </c>
      <c r="V37" s="110">
        <v>0</v>
      </c>
      <c r="W37" s="110">
        <v>0</v>
      </c>
      <c r="X37" s="110">
        <v>0</v>
      </c>
      <c r="Y37" s="110">
        <v>0</v>
      </c>
      <c r="Z37" s="110">
        <v>0</v>
      </c>
      <c r="AA37" s="110">
        <v>0</v>
      </c>
      <c r="AB37" s="110">
        <v>0</v>
      </c>
      <c r="AC37" s="110">
        <v>0</v>
      </c>
      <c r="AD37" s="110">
        <v>0</v>
      </c>
      <c r="AE37" s="110">
        <v>0</v>
      </c>
      <c r="AF37" s="110">
        <v>0</v>
      </c>
      <c r="AG37" s="110">
        <v>0</v>
      </c>
      <c r="AH37" s="110">
        <v>0</v>
      </c>
      <c r="AI37" s="110">
        <v>0</v>
      </c>
      <c r="AJ37" s="110">
        <v>0</v>
      </c>
      <c r="AK37" s="110">
        <v>0</v>
      </c>
      <c r="AL37" s="110">
        <v>0</v>
      </c>
      <c r="AM37" s="110">
        <v>0</v>
      </c>
      <c r="AN37" s="110">
        <v>0</v>
      </c>
      <c r="AO37" s="110">
        <v>0</v>
      </c>
      <c r="AP37" s="110">
        <v>0</v>
      </c>
      <c r="AQ37" s="110">
        <v>0</v>
      </c>
      <c r="AR37" s="110">
        <v>0</v>
      </c>
      <c r="AS37" s="110">
        <v>0</v>
      </c>
      <c r="AT37" s="110">
        <v>0</v>
      </c>
      <c r="AU37" s="110">
        <v>0</v>
      </c>
      <c r="AV37" s="110">
        <v>1</v>
      </c>
      <c r="AW37" s="110">
        <v>0</v>
      </c>
      <c r="AX37" s="110">
        <v>1</v>
      </c>
      <c r="AY37" s="110">
        <v>0</v>
      </c>
      <c r="AZ37" s="110">
        <v>0</v>
      </c>
      <c r="BA37" s="110">
        <v>0</v>
      </c>
      <c r="BB37" s="110">
        <v>0</v>
      </c>
    </row>
    <row r="38" spans="1:54" x14ac:dyDescent="0.15">
      <c r="A38" s="196" t="s">
        <v>228</v>
      </c>
      <c r="B38" s="110">
        <v>0</v>
      </c>
      <c r="C38" s="110">
        <v>0</v>
      </c>
      <c r="D38" s="110">
        <v>0</v>
      </c>
      <c r="E38" s="110">
        <v>0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0</v>
      </c>
      <c r="L38" s="110">
        <v>0</v>
      </c>
      <c r="M38" s="110">
        <v>0</v>
      </c>
      <c r="N38" s="110">
        <v>0</v>
      </c>
      <c r="O38" s="110">
        <v>0</v>
      </c>
      <c r="P38" s="110">
        <v>0</v>
      </c>
      <c r="Q38" s="110">
        <v>0</v>
      </c>
      <c r="R38" s="110">
        <v>0</v>
      </c>
      <c r="S38" s="110">
        <v>0</v>
      </c>
      <c r="T38" s="110">
        <v>0</v>
      </c>
      <c r="U38" s="110">
        <v>0</v>
      </c>
      <c r="V38" s="110">
        <v>0</v>
      </c>
      <c r="W38" s="110">
        <v>0</v>
      </c>
      <c r="X38" s="110">
        <v>0</v>
      </c>
      <c r="Y38" s="110">
        <v>0</v>
      </c>
      <c r="Z38" s="110">
        <v>0</v>
      </c>
      <c r="AA38" s="110">
        <v>0</v>
      </c>
      <c r="AB38" s="110">
        <v>0</v>
      </c>
      <c r="AC38" s="110">
        <v>0</v>
      </c>
      <c r="AD38" s="110">
        <v>0</v>
      </c>
      <c r="AE38" s="110">
        <v>0</v>
      </c>
      <c r="AF38" s="110">
        <v>0</v>
      </c>
      <c r="AG38" s="110">
        <v>0</v>
      </c>
      <c r="AH38" s="110">
        <v>0</v>
      </c>
      <c r="AI38" s="110">
        <v>0</v>
      </c>
      <c r="AJ38" s="110">
        <v>0</v>
      </c>
      <c r="AK38" s="110">
        <v>0</v>
      </c>
      <c r="AL38" s="110">
        <v>0</v>
      </c>
      <c r="AM38" s="110">
        <v>0</v>
      </c>
      <c r="AN38" s="110">
        <v>0</v>
      </c>
      <c r="AO38" s="110">
        <v>0</v>
      </c>
      <c r="AP38" s="110">
        <v>0</v>
      </c>
      <c r="AQ38" s="110">
        <v>0</v>
      </c>
      <c r="AR38" s="110">
        <v>0</v>
      </c>
      <c r="AS38" s="110">
        <v>0</v>
      </c>
      <c r="AT38" s="110">
        <v>0</v>
      </c>
      <c r="AU38" s="110">
        <v>0</v>
      </c>
      <c r="AV38" s="110">
        <v>0</v>
      </c>
      <c r="AW38" s="110">
        <v>0</v>
      </c>
      <c r="AX38" s="110">
        <v>0</v>
      </c>
      <c r="AY38" s="110">
        <v>0</v>
      </c>
      <c r="AZ38" s="110">
        <v>0</v>
      </c>
      <c r="BA38" s="110">
        <v>0</v>
      </c>
      <c r="BB38" s="110">
        <v>0</v>
      </c>
    </row>
    <row r="39" spans="1:54" x14ac:dyDescent="0.15">
      <c r="A39" s="196" t="s">
        <v>229</v>
      </c>
      <c r="B39" s="110">
        <v>0</v>
      </c>
      <c r="C39" s="110">
        <v>0</v>
      </c>
      <c r="D39" s="110">
        <v>0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110">
        <v>0</v>
      </c>
      <c r="O39" s="110">
        <v>0</v>
      </c>
      <c r="P39" s="110">
        <v>0</v>
      </c>
      <c r="Q39" s="110">
        <v>1</v>
      </c>
      <c r="R39" s="110">
        <v>0</v>
      </c>
      <c r="S39" s="110">
        <v>0</v>
      </c>
      <c r="T39" s="110">
        <v>0</v>
      </c>
      <c r="U39" s="110">
        <v>0</v>
      </c>
      <c r="V39" s="110">
        <v>0</v>
      </c>
      <c r="W39" s="110">
        <v>0</v>
      </c>
      <c r="X39" s="110">
        <v>1</v>
      </c>
      <c r="Y39" s="110">
        <v>0</v>
      </c>
      <c r="Z39" s="110">
        <v>0</v>
      </c>
      <c r="AA39" s="110">
        <v>0</v>
      </c>
      <c r="AB39" s="110">
        <v>1</v>
      </c>
      <c r="AC39" s="110">
        <v>1</v>
      </c>
      <c r="AD39" s="110">
        <v>1</v>
      </c>
      <c r="AE39" s="110">
        <v>0</v>
      </c>
      <c r="AF39" s="110">
        <v>1</v>
      </c>
      <c r="AG39" s="110">
        <v>1</v>
      </c>
      <c r="AH39" s="110">
        <v>1</v>
      </c>
      <c r="AI39" s="110">
        <v>0</v>
      </c>
      <c r="AJ39" s="110">
        <v>1</v>
      </c>
      <c r="AK39" s="110">
        <v>0</v>
      </c>
      <c r="AL39" s="110">
        <v>1</v>
      </c>
      <c r="AM39" s="110">
        <v>0</v>
      </c>
      <c r="AN39" s="110">
        <v>0</v>
      </c>
      <c r="AO39" s="110">
        <v>0</v>
      </c>
      <c r="AP39" s="110">
        <v>0</v>
      </c>
      <c r="AQ39" s="110">
        <v>1</v>
      </c>
      <c r="AR39" s="110">
        <v>1</v>
      </c>
      <c r="AS39" s="110">
        <v>0</v>
      </c>
      <c r="AT39" s="110">
        <v>0</v>
      </c>
      <c r="AU39" s="110">
        <v>0</v>
      </c>
      <c r="AV39" s="110">
        <v>1</v>
      </c>
      <c r="AW39" s="110">
        <v>1</v>
      </c>
      <c r="AX39" s="110">
        <v>0</v>
      </c>
      <c r="AY39" s="110">
        <v>1</v>
      </c>
      <c r="AZ39" s="110">
        <v>0</v>
      </c>
      <c r="BA39" s="110">
        <v>0</v>
      </c>
      <c r="BB39" s="110">
        <v>0</v>
      </c>
    </row>
    <row r="40" spans="1:54" x14ac:dyDescent="0.15">
      <c r="A40" s="196" t="s">
        <v>230</v>
      </c>
      <c r="B40" s="110">
        <v>0</v>
      </c>
      <c r="C40" s="110">
        <v>0</v>
      </c>
      <c r="D40" s="110">
        <v>0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10">
        <v>0</v>
      </c>
      <c r="P40" s="110">
        <v>0</v>
      </c>
      <c r="Q40" s="110">
        <v>0</v>
      </c>
      <c r="R40" s="110">
        <v>0</v>
      </c>
      <c r="S40" s="110">
        <v>0</v>
      </c>
      <c r="T40" s="110">
        <v>0</v>
      </c>
      <c r="U40" s="110">
        <v>0</v>
      </c>
      <c r="V40" s="110">
        <v>0</v>
      </c>
      <c r="W40" s="110">
        <v>0</v>
      </c>
      <c r="X40" s="110">
        <v>1</v>
      </c>
      <c r="Y40" s="110">
        <v>1</v>
      </c>
      <c r="Z40" s="110">
        <v>0</v>
      </c>
      <c r="AA40" s="110">
        <v>0</v>
      </c>
      <c r="AB40" s="110">
        <v>1</v>
      </c>
      <c r="AC40" s="110">
        <v>0</v>
      </c>
      <c r="AD40" s="110">
        <v>1</v>
      </c>
      <c r="AE40" s="110">
        <v>1</v>
      </c>
      <c r="AF40" s="110">
        <v>1</v>
      </c>
      <c r="AG40" s="110">
        <v>1</v>
      </c>
      <c r="AH40" s="110">
        <v>1</v>
      </c>
      <c r="AI40" s="110">
        <v>1</v>
      </c>
      <c r="AJ40" s="110">
        <v>1</v>
      </c>
      <c r="AK40" s="110">
        <v>0</v>
      </c>
      <c r="AL40" s="110">
        <v>0</v>
      </c>
      <c r="AM40" s="110">
        <v>0</v>
      </c>
      <c r="AN40" s="110">
        <v>0</v>
      </c>
      <c r="AO40" s="110">
        <v>0</v>
      </c>
      <c r="AP40" s="110">
        <v>0</v>
      </c>
      <c r="AQ40" s="110">
        <v>1</v>
      </c>
      <c r="AR40" s="110">
        <v>1</v>
      </c>
      <c r="AS40" s="110">
        <v>0</v>
      </c>
      <c r="AT40" s="110">
        <v>1</v>
      </c>
      <c r="AU40" s="110">
        <v>0</v>
      </c>
      <c r="AV40" s="110">
        <v>1</v>
      </c>
      <c r="AW40" s="110">
        <v>1</v>
      </c>
      <c r="AX40" s="110">
        <v>1</v>
      </c>
      <c r="AY40" s="110">
        <v>1</v>
      </c>
      <c r="AZ40" s="110">
        <v>0</v>
      </c>
      <c r="BA40" s="110">
        <v>0</v>
      </c>
      <c r="BB40" s="110">
        <v>0</v>
      </c>
    </row>
    <row r="41" spans="1:54" x14ac:dyDescent="0.15">
      <c r="A41" s="196" t="s">
        <v>231</v>
      </c>
      <c r="B41" s="110">
        <v>0</v>
      </c>
      <c r="C41" s="110">
        <v>0</v>
      </c>
      <c r="D41" s="110">
        <v>0</v>
      </c>
      <c r="E41" s="110">
        <v>0</v>
      </c>
      <c r="F41" s="110">
        <v>0</v>
      </c>
      <c r="G41" s="110">
        <v>0</v>
      </c>
      <c r="H41" s="110">
        <v>0</v>
      </c>
      <c r="I41" s="110">
        <v>0</v>
      </c>
      <c r="J41" s="110">
        <v>0</v>
      </c>
      <c r="K41" s="110">
        <v>0</v>
      </c>
      <c r="L41" s="110">
        <v>0</v>
      </c>
      <c r="M41" s="110">
        <v>0</v>
      </c>
      <c r="N41" s="110">
        <v>0</v>
      </c>
      <c r="O41" s="110">
        <v>0</v>
      </c>
      <c r="P41" s="110">
        <v>0</v>
      </c>
      <c r="Q41" s="110">
        <v>1</v>
      </c>
      <c r="R41" s="110">
        <v>0</v>
      </c>
      <c r="S41" s="110">
        <v>0</v>
      </c>
      <c r="T41" s="110">
        <v>0</v>
      </c>
      <c r="U41" s="110">
        <v>0</v>
      </c>
      <c r="V41" s="110">
        <v>0</v>
      </c>
      <c r="W41" s="110">
        <v>0</v>
      </c>
      <c r="X41" s="110">
        <v>1</v>
      </c>
      <c r="Y41" s="110">
        <v>1</v>
      </c>
      <c r="Z41" s="110">
        <v>0</v>
      </c>
      <c r="AA41" s="110">
        <v>0</v>
      </c>
      <c r="AB41" s="110">
        <v>1</v>
      </c>
      <c r="AC41" s="110">
        <v>1</v>
      </c>
      <c r="AD41" s="110">
        <v>1</v>
      </c>
      <c r="AE41" s="110">
        <v>1</v>
      </c>
      <c r="AF41" s="110">
        <v>1</v>
      </c>
      <c r="AG41" s="110">
        <v>1</v>
      </c>
      <c r="AH41" s="110">
        <v>1</v>
      </c>
      <c r="AI41" s="110">
        <v>0</v>
      </c>
      <c r="AJ41" s="110">
        <v>1</v>
      </c>
      <c r="AK41" s="110">
        <v>0</v>
      </c>
      <c r="AL41" s="110">
        <v>0</v>
      </c>
      <c r="AM41" s="110">
        <v>0</v>
      </c>
      <c r="AN41" s="110">
        <v>0</v>
      </c>
      <c r="AO41" s="110">
        <v>0</v>
      </c>
      <c r="AP41" s="110">
        <v>0</v>
      </c>
      <c r="AQ41" s="110">
        <v>1</v>
      </c>
      <c r="AR41" s="110">
        <v>1</v>
      </c>
      <c r="AS41" s="110">
        <v>0</v>
      </c>
      <c r="AT41" s="110">
        <v>1</v>
      </c>
      <c r="AU41" s="110">
        <v>0</v>
      </c>
      <c r="AV41" s="110">
        <v>0</v>
      </c>
      <c r="AW41" s="110">
        <v>1</v>
      </c>
      <c r="AX41" s="110">
        <v>1</v>
      </c>
      <c r="AY41" s="110">
        <v>0</v>
      </c>
      <c r="AZ41" s="110">
        <v>0</v>
      </c>
      <c r="BA41" s="110">
        <v>0</v>
      </c>
      <c r="BB41" s="110">
        <v>0</v>
      </c>
    </row>
    <row r="42" spans="1:54" x14ac:dyDescent="0.15">
      <c r="A42" s="196" t="s">
        <v>232</v>
      </c>
      <c r="B42" s="110">
        <v>0</v>
      </c>
      <c r="C42" s="110">
        <v>0</v>
      </c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1</v>
      </c>
      <c r="Y42" s="110">
        <v>1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1</v>
      </c>
      <c r="AF42" s="110">
        <v>1</v>
      </c>
      <c r="AG42" s="110">
        <v>1</v>
      </c>
      <c r="AH42" s="110">
        <v>0</v>
      </c>
      <c r="AI42" s="110">
        <v>0</v>
      </c>
      <c r="AJ42" s="110">
        <v>1</v>
      </c>
      <c r="AK42" s="110">
        <v>0</v>
      </c>
      <c r="AL42" s="110">
        <v>1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1</v>
      </c>
      <c r="AS42" s="110">
        <v>0</v>
      </c>
      <c r="AT42" s="110">
        <v>0</v>
      </c>
      <c r="AU42" s="110">
        <v>0</v>
      </c>
      <c r="AV42" s="110">
        <v>0</v>
      </c>
      <c r="AW42" s="110">
        <v>1</v>
      </c>
      <c r="AX42" s="110">
        <v>1</v>
      </c>
      <c r="AY42" s="110">
        <v>0</v>
      </c>
      <c r="AZ42" s="110">
        <v>0</v>
      </c>
      <c r="BA42" s="110">
        <v>0</v>
      </c>
      <c r="BB42" s="110">
        <v>0</v>
      </c>
    </row>
    <row r="43" spans="1:54" x14ac:dyDescent="0.15">
      <c r="A43" s="196" t="s">
        <v>233</v>
      </c>
      <c r="B43" s="110">
        <v>0</v>
      </c>
      <c r="C43" s="110">
        <v>0</v>
      </c>
      <c r="D43" s="110">
        <v>0</v>
      </c>
      <c r="E43" s="110">
        <v>0</v>
      </c>
      <c r="F43" s="110">
        <v>0</v>
      </c>
      <c r="G43" s="110">
        <v>0</v>
      </c>
      <c r="H43" s="110">
        <v>0</v>
      </c>
      <c r="I43" s="110">
        <v>0</v>
      </c>
      <c r="J43" s="110">
        <v>0</v>
      </c>
      <c r="K43" s="110">
        <v>0</v>
      </c>
      <c r="L43" s="110">
        <v>0</v>
      </c>
      <c r="M43" s="110">
        <v>0</v>
      </c>
      <c r="N43" s="110">
        <v>0</v>
      </c>
      <c r="O43" s="110">
        <v>0</v>
      </c>
      <c r="P43" s="110">
        <v>0</v>
      </c>
      <c r="Q43" s="110">
        <v>0</v>
      </c>
      <c r="R43" s="110">
        <v>0</v>
      </c>
      <c r="S43" s="110">
        <v>0</v>
      </c>
      <c r="T43" s="110">
        <v>0</v>
      </c>
      <c r="U43" s="110">
        <v>0</v>
      </c>
      <c r="V43" s="110">
        <v>0</v>
      </c>
      <c r="W43" s="110">
        <v>0</v>
      </c>
      <c r="X43" s="110">
        <v>0</v>
      </c>
      <c r="Y43" s="110">
        <v>0</v>
      </c>
      <c r="Z43" s="110">
        <v>0</v>
      </c>
      <c r="AA43" s="110">
        <v>0</v>
      </c>
      <c r="AB43" s="110">
        <v>1</v>
      </c>
      <c r="AC43" s="110">
        <v>0</v>
      </c>
      <c r="AD43" s="110">
        <v>1</v>
      </c>
      <c r="AE43" s="110">
        <v>1</v>
      </c>
      <c r="AF43" s="110">
        <v>0</v>
      </c>
      <c r="AG43" s="110">
        <v>1</v>
      </c>
      <c r="AH43" s="110">
        <v>0</v>
      </c>
      <c r="AI43" s="110">
        <v>1</v>
      </c>
      <c r="AJ43" s="110">
        <v>0</v>
      </c>
      <c r="AK43" s="110">
        <v>0</v>
      </c>
      <c r="AL43" s="110">
        <v>0</v>
      </c>
      <c r="AM43" s="110">
        <v>0</v>
      </c>
      <c r="AN43" s="110">
        <v>0</v>
      </c>
      <c r="AO43" s="110">
        <v>0</v>
      </c>
      <c r="AP43" s="110">
        <v>0</v>
      </c>
      <c r="AQ43" s="110">
        <v>1</v>
      </c>
      <c r="AR43" s="110">
        <v>0</v>
      </c>
      <c r="AS43" s="110">
        <v>0</v>
      </c>
      <c r="AT43" s="110">
        <v>1</v>
      </c>
      <c r="AU43" s="110">
        <v>0</v>
      </c>
      <c r="AV43" s="110">
        <v>1</v>
      </c>
      <c r="AW43" s="110">
        <v>1</v>
      </c>
      <c r="AX43" s="110">
        <v>1</v>
      </c>
      <c r="AY43" s="110">
        <v>1</v>
      </c>
      <c r="AZ43" s="110">
        <v>0</v>
      </c>
      <c r="BA43" s="110">
        <v>0</v>
      </c>
      <c r="BB43" s="110">
        <v>0</v>
      </c>
    </row>
    <row r="44" spans="1:54" x14ac:dyDescent="0.15">
      <c r="A44" s="196" t="s">
        <v>234</v>
      </c>
      <c r="B44" s="110">
        <v>0</v>
      </c>
      <c r="C44" s="110">
        <v>0</v>
      </c>
      <c r="D44" s="110">
        <v>0</v>
      </c>
      <c r="E44" s="110">
        <v>0</v>
      </c>
      <c r="F44" s="110">
        <v>0</v>
      </c>
      <c r="G44" s="110">
        <v>0</v>
      </c>
      <c r="H44" s="110">
        <v>0</v>
      </c>
      <c r="I44" s="110">
        <v>0</v>
      </c>
      <c r="J44" s="110">
        <v>0</v>
      </c>
      <c r="K44" s="110">
        <v>0</v>
      </c>
      <c r="L44" s="110">
        <v>0</v>
      </c>
      <c r="M44" s="110">
        <v>0</v>
      </c>
      <c r="N44" s="110">
        <v>0</v>
      </c>
      <c r="O44" s="110">
        <v>0</v>
      </c>
      <c r="P44" s="110">
        <v>0</v>
      </c>
      <c r="Q44" s="110">
        <v>0</v>
      </c>
      <c r="R44" s="110">
        <v>0</v>
      </c>
      <c r="S44" s="110">
        <v>0</v>
      </c>
      <c r="T44" s="110">
        <v>0</v>
      </c>
      <c r="U44" s="110">
        <v>0</v>
      </c>
      <c r="V44" s="110">
        <v>0</v>
      </c>
      <c r="W44" s="110">
        <v>0</v>
      </c>
      <c r="X44" s="110">
        <v>0</v>
      </c>
      <c r="Y44" s="110">
        <v>0</v>
      </c>
      <c r="Z44" s="110">
        <v>0</v>
      </c>
      <c r="AA44" s="110">
        <v>0</v>
      </c>
      <c r="AB44" s="110">
        <v>0</v>
      </c>
      <c r="AC44" s="110">
        <v>0</v>
      </c>
      <c r="AD44" s="110">
        <v>0</v>
      </c>
      <c r="AE44" s="110">
        <v>1</v>
      </c>
      <c r="AF44" s="110">
        <v>0</v>
      </c>
      <c r="AG44" s="110">
        <v>0</v>
      </c>
      <c r="AH44" s="110">
        <v>0</v>
      </c>
      <c r="AI44" s="110">
        <v>0</v>
      </c>
      <c r="AJ44" s="110">
        <v>0</v>
      </c>
      <c r="AK44" s="110">
        <v>0</v>
      </c>
      <c r="AL44" s="110">
        <v>1</v>
      </c>
      <c r="AM44" s="110">
        <v>0</v>
      </c>
      <c r="AN44" s="110">
        <v>0</v>
      </c>
      <c r="AO44" s="110">
        <v>0</v>
      </c>
      <c r="AP44" s="110">
        <v>0</v>
      </c>
      <c r="AQ44" s="110">
        <v>0</v>
      </c>
      <c r="AR44" s="110">
        <v>0</v>
      </c>
      <c r="AS44" s="110">
        <v>0</v>
      </c>
      <c r="AT44" s="110">
        <v>1</v>
      </c>
      <c r="AU44" s="110">
        <v>0</v>
      </c>
      <c r="AV44" s="110">
        <v>1</v>
      </c>
      <c r="AW44" s="110">
        <v>0</v>
      </c>
      <c r="AX44" s="110">
        <v>1</v>
      </c>
      <c r="AY44" s="110">
        <v>1</v>
      </c>
      <c r="AZ44" s="110">
        <v>0</v>
      </c>
      <c r="BA44" s="110">
        <v>0</v>
      </c>
      <c r="BB44" s="110">
        <v>0</v>
      </c>
    </row>
    <row r="45" spans="1:54" x14ac:dyDescent="0.15">
      <c r="A45" s="196" t="s">
        <v>235</v>
      </c>
      <c r="B45" s="110">
        <v>0</v>
      </c>
      <c r="C45" s="110">
        <v>0</v>
      </c>
      <c r="D45" s="110">
        <v>0</v>
      </c>
      <c r="E45" s="110">
        <v>0</v>
      </c>
      <c r="F45" s="110">
        <v>0</v>
      </c>
      <c r="G45" s="110">
        <v>0</v>
      </c>
      <c r="H45" s="110">
        <v>0</v>
      </c>
      <c r="I45" s="110">
        <v>0</v>
      </c>
      <c r="J45" s="110">
        <v>0</v>
      </c>
      <c r="K45" s="110">
        <v>0</v>
      </c>
      <c r="L45" s="110">
        <v>0</v>
      </c>
      <c r="M45" s="110">
        <v>0</v>
      </c>
      <c r="N45" s="110">
        <v>0</v>
      </c>
      <c r="O45" s="110">
        <v>0</v>
      </c>
      <c r="P45" s="110">
        <v>0</v>
      </c>
      <c r="Q45" s="110">
        <v>0</v>
      </c>
      <c r="R45" s="110">
        <v>0</v>
      </c>
      <c r="S45" s="110">
        <v>0</v>
      </c>
      <c r="T45" s="110">
        <v>0</v>
      </c>
      <c r="U45" s="110">
        <v>0</v>
      </c>
      <c r="V45" s="110">
        <v>0</v>
      </c>
      <c r="W45" s="110">
        <v>0</v>
      </c>
      <c r="X45" s="110">
        <v>0</v>
      </c>
      <c r="Y45" s="110">
        <v>0</v>
      </c>
      <c r="Z45" s="110">
        <v>0</v>
      </c>
      <c r="AA45" s="110">
        <v>0</v>
      </c>
      <c r="AB45" s="110">
        <v>0</v>
      </c>
      <c r="AC45" s="110">
        <v>0</v>
      </c>
      <c r="AD45" s="110">
        <v>0</v>
      </c>
      <c r="AE45" s="110">
        <v>0</v>
      </c>
      <c r="AF45" s="110">
        <v>0</v>
      </c>
      <c r="AG45" s="110">
        <v>0</v>
      </c>
      <c r="AH45" s="110">
        <v>0</v>
      </c>
      <c r="AI45" s="110">
        <v>0</v>
      </c>
      <c r="AJ45" s="110">
        <v>0</v>
      </c>
      <c r="AK45" s="110">
        <v>0</v>
      </c>
      <c r="AL45" s="110">
        <v>0</v>
      </c>
      <c r="AM45" s="110">
        <v>0</v>
      </c>
      <c r="AN45" s="110">
        <v>0</v>
      </c>
      <c r="AO45" s="110">
        <v>0</v>
      </c>
      <c r="AP45" s="110">
        <v>0</v>
      </c>
      <c r="AQ45" s="110">
        <v>0</v>
      </c>
      <c r="AR45" s="110">
        <v>0</v>
      </c>
      <c r="AS45" s="110">
        <v>0</v>
      </c>
      <c r="AT45" s="110">
        <v>0</v>
      </c>
      <c r="AU45" s="110">
        <v>0</v>
      </c>
      <c r="AV45" s="110">
        <v>0</v>
      </c>
      <c r="AW45" s="110">
        <v>0</v>
      </c>
      <c r="AX45" s="110">
        <v>0</v>
      </c>
      <c r="AY45" s="110">
        <v>0</v>
      </c>
      <c r="AZ45" s="110">
        <v>0</v>
      </c>
      <c r="BA45" s="110">
        <v>0</v>
      </c>
      <c r="BB45" s="110">
        <v>0</v>
      </c>
    </row>
    <row r="46" spans="1:54" x14ac:dyDescent="0.15">
      <c r="A46" s="196" t="s">
        <v>236</v>
      </c>
      <c r="B46" s="110">
        <v>0</v>
      </c>
      <c r="C46" s="110">
        <v>0</v>
      </c>
      <c r="D46" s="110">
        <v>0</v>
      </c>
      <c r="E46" s="110">
        <v>0</v>
      </c>
      <c r="F46" s="110">
        <v>0</v>
      </c>
      <c r="G46" s="110">
        <v>0</v>
      </c>
      <c r="H46" s="110">
        <v>0</v>
      </c>
      <c r="I46" s="110">
        <v>0</v>
      </c>
      <c r="J46" s="110">
        <v>0</v>
      </c>
      <c r="K46" s="110">
        <v>0</v>
      </c>
      <c r="L46" s="110">
        <v>0</v>
      </c>
      <c r="M46" s="110">
        <v>0</v>
      </c>
      <c r="N46" s="110">
        <v>0</v>
      </c>
      <c r="O46" s="110">
        <v>0</v>
      </c>
      <c r="P46" s="110">
        <v>0</v>
      </c>
      <c r="Q46" s="110">
        <v>0</v>
      </c>
      <c r="R46" s="110">
        <v>0</v>
      </c>
      <c r="S46" s="110">
        <v>0</v>
      </c>
      <c r="T46" s="110">
        <v>0</v>
      </c>
      <c r="U46" s="110">
        <v>0</v>
      </c>
      <c r="V46" s="110">
        <v>0</v>
      </c>
      <c r="W46" s="110">
        <v>0</v>
      </c>
      <c r="X46" s="110">
        <v>0</v>
      </c>
      <c r="Y46" s="110">
        <v>0</v>
      </c>
      <c r="Z46" s="110">
        <v>0</v>
      </c>
      <c r="AA46" s="110">
        <v>0</v>
      </c>
      <c r="AB46" s="110">
        <v>0</v>
      </c>
      <c r="AC46" s="110">
        <v>0</v>
      </c>
      <c r="AD46" s="110">
        <v>0</v>
      </c>
      <c r="AE46" s="110">
        <v>0</v>
      </c>
      <c r="AF46" s="110">
        <v>0</v>
      </c>
      <c r="AG46" s="110">
        <v>0</v>
      </c>
      <c r="AH46" s="110">
        <v>0</v>
      </c>
      <c r="AI46" s="110">
        <v>0</v>
      </c>
      <c r="AJ46" s="110">
        <v>0</v>
      </c>
      <c r="AK46" s="110">
        <v>0</v>
      </c>
      <c r="AL46" s="110">
        <v>0</v>
      </c>
      <c r="AM46" s="110">
        <v>0</v>
      </c>
      <c r="AN46" s="110">
        <v>0</v>
      </c>
      <c r="AO46" s="110">
        <v>0</v>
      </c>
      <c r="AP46" s="110">
        <v>0</v>
      </c>
      <c r="AQ46" s="110">
        <v>0</v>
      </c>
      <c r="AR46" s="110">
        <v>0</v>
      </c>
      <c r="AS46" s="110">
        <v>0</v>
      </c>
      <c r="AT46" s="110">
        <v>1</v>
      </c>
      <c r="AU46" s="110">
        <v>0</v>
      </c>
      <c r="AV46" s="110">
        <v>0</v>
      </c>
      <c r="AW46" s="110">
        <v>0</v>
      </c>
      <c r="AX46" s="110">
        <v>0</v>
      </c>
      <c r="AY46" s="110">
        <v>0</v>
      </c>
      <c r="AZ46" s="110">
        <v>0</v>
      </c>
      <c r="BA46" s="110">
        <v>0</v>
      </c>
      <c r="BB46" s="110">
        <v>0</v>
      </c>
    </row>
    <row r="47" spans="1:54" x14ac:dyDescent="0.15">
      <c r="A47" s="196" t="s">
        <v>237</v>
      </c>
      <c r="B47" s="110">
        <v>0</v>
      </c>
      <c r="C47" s="110">
        <v>0</v>
      </c>
      <c r="D47" s="110">
        <v>0</v>
      </c>
      <c r="E47" s="110">
        <v>0</v>
      </c>
      <c r="F47" s="110">
        <v>0</v>
      </c>
      <c r="G47" s="110">
        <v>0</v>
      </c>
      <c r="H47" s="110">
        <v>0</v>
      </c>
      <c r="I47" s="110">
        <v>0</v>
      </c>
      <c r="J47" s="110">
        <v>0</v>
      </c>
      <c r="K47" s="110">
        <v>0</v>
      </c>
      <c r="L47" s="110">
        <v>0</v>
      </c>
      <c r="M47" s="110">
        <v>0</v>
      </c>
      <c r="N47" s="110">
        <v>0</v>
      </c>
      <c r="O47" s="110">
        <v>0</v>
      </c>
      <c r="P47" s="110">
        <v>0</v>
      </c>
      <c r="Q47" s="110">
        <v>0</v>
      </c>
      <c r="R47" s="110">
        <v>0</v>
      </c>
      <c r="S47" s="110">
        <v>0</v>
      </c>
      <c r="T47" s="110">
        <v>0</v>
      </c>
      <c r="U47" s="110">
        <v>0</v>
      </c>
      <c r="V47" s="110">
        <v>0</v>
      </c>
      <c r="W47" s="110">
        <v>0</v>
      </c>
      <c r="X47" s="110">
        <v>0</v>
      </c>
      <c r="Y47" s="110">
        <v>0</v>
      </c>
      <c r="Z47" s="110">
        <v>0</v>
      </c>
      <c r="AA47" s="110">
        <v>0</v>
      </c>
      <c r="AB47" s="110">
        <v>0</v>
      </c>
      <c r="AC47" s="110">
        <v>0</v>
      </c>
      <c r="AD47" s="110">
        <v>0</v>
      </c>
      <c r="AE47" s="110">
        <v>0</v>
      </c>
      <c r="AF47" s="110">
        <v>0</v>
      </c>
      <c r="AG47" s="110">
        <v>0</v>
      </c>
      <c r="AH47" s="110">
        <v>0</v>
      </c>
      <c r="AI47" s="110">
        <v>0</v>
      </c>
      <c r="AJ47" s="110">
        <v>0</v>
      </c>
      <c r="AK47" s="110">
        <v>0</v>
      </c>
      <c r="AL47" s="110">
        <v>0</v>
      </c>
      <c r="AM47" s="110">
        <v>0</v>
      </c>
      <c r="AN47" s="110">
        <v>0</v>
      </c>
      <c r="AO47" s="110">
        <v>0</v>
      </c>
      <c r="AP47" s="110">
        <v>0</v>
      </c>
      <c r="AQ47" s="110">
        <v>0</v>
      </c>
      <c r="AR47" s="110">
        <v>0</v>
      </c>
      <c r="AS47" s="110">
        <v>0</v>
      </c>
      <c r="AT47" s="110">
        <v>0</v>
      </c>
      <c r="AU47" s="110">
        <v>0</v>
      </c>
      <c r="AV47" s="110">
        <v>0</v>
      </c>
      <c r="AW47" s="110">
        <v>0</v>
      </c>
      <c r="AX47" s="110">
        <v>0</v>
      </c>
      <c r="AY47" s="110">
        <v>0</v>
      </c>
      <c r="AZ47" s="110">
        <v>0</v>
      </c>
      <c r="BA47" s="110">
        <v>0</v>
      </c>
      <c r="BB47" s="110">
        <v>0</v>
      </c>
    </row>
    <row r="48" spans="1:54" x14ac:dyDescent="0.15">
      <c r="A48" s="196" t="s">
        <v>238</v>
      </c>
      <c r="B48" s="110">
        <v>0</v>
      </c>
      <c r="C48" s="110">
        <v>0</v>
      </c>
      <c r="D48" s="110">
        <v>0</v>
      </c>
      <c r="E48" s="110">
        <v>0</v>
      </c>
      <c r="F48" s="110">
        <v>0</v>
      </c>
      <c r="G48" s="110">
        <v>0</v>
      </c>
      <c r="H48" s="110">
        <v>0</v>
      </c>
      <c r="I48" s="110">
        <v>0</v>
      </c>
      <c r="J48" s="110">
        <v>0</v>
      </c>
      <c r="K48" s="110">
        <v>0</v>
      </c>
      <c r="L48" s="110">
        <v>0</v>
      </c>
      <c r="M48" s="110">
        <v>0</v>
      </c>
      <c r="N48" s="110">
        <v>0</v>
      </c>
      <c r="O48" s="110">
        <v>0</v>
      </c>
      <c r="P48" s="110">
        <v>0</v>
      </c>
      <c r="Q48" s="110">
        <v>1</v>
      </c>
      <c r="R48" s="110">
        <v>0</v>
      </c>
      <c r="S48" s="110">
        <v>0</v>
      </c>
      <c r="T48" s="110">
        <v>0</v>
      </c>
      <c r="U48" s="110">
        <v>0</v>
      </c>
      <c r="V48" s="110">
        <v>0</v>
      </c>
      <c r="W48" s="110">
        <v>1</v>
      </c>
      <c r="X48" s="110">
        <v>0</v>
      </c>
      <c r="Y48" s="110">
        <v>0</v>
      </c>
      <c r="Z48" s="110">
        <v>1</v>
      </c>
      <c r="AA48" s="110">
        <v>0</v>
      </c>
      <c r="AB48" s="110">
        <v>1</v>
      </c>
      <c r="AC48" s="110">
        <v>1</v>
      </c>
      <c r="AD48" s="110">
        <v>1</v>
      </c>
      <c r="AE48" s="110">
        <v>1</v>
      </c>
      <c r="AF48" s="110">
        <v>1</v>
      </c>
      <c r="AG48" s="110">
        <v>1</v>
      </c>
      <c r="AH48" s="110">
        <v>1</v>
      </c>
      <c r="AI48" s="110">
        <v>1</v>
      </c>
      <c r="AJ48" s="110">
        <v>1</v>
      </c>
      <c r="AK48" s="110">
        <v>0</v>
      </c>
      <c r="AL48" s="110">
        <v>1</v>
      </c>
      <c r="AM48" s="110">
        <v>0</v>
      </c>
      <c r="AN48" s="110">
        <v>0</v>
      </c>
      <c r="AO48" s="110">
        <v>0</v>
      </c>
      <c r="AP48" s="110">
        <v>0</v>
      </c>
      <c r="AQ48" s="110">
        <v>1</v>
      </c>
      <c r="AR48" s="110">
        <v>1</v>
      </c>
      <c r="AS48" s="110">
        <v>0</v>
      </c>
      <c r="AT48" s="110">
        <v>1</v>
      </c>
      <c r="AU48" s="110">
        <v>0</v>
      </c>
      <c r="AV48" s="110">
        <v>1</v>
      </c>
      <c r="AW48" s="110">
        <v>0</v>
      </c>
      <c r="AX48" s="110">
        <v>1</v>
      </c>
      <c r="AY48" s="110">
        <v>1</v>
      </c>
      <c r="AZ48" s="110">
        <v>0</v>
      </c>
      <c r="BA48" s="110">
        <v>0</v>
      </c>
      <c r="BB48" s="110">
        <v>0</v>
      </c>
    </row>
    <row r="49" spans="1:54" x14ac:dyDescent="0.15">
      <c r="A49" s="196" t="s">
        <v>239</v>
      </c>
      <c r="B49" s="110">
        <v>0</v>
      </c>
      <c r="C49" s="110">
        <v>0</v>
      </c>
      <c r="D49" s="110">
        <v>0</v>
      </c>
      <c r="E49" s="110">
        <v>0</v>
      </c>
      <c r="F49" s="110">
        <v>0</v>
      </c>
      <c r="G49" s="110">
        <v>0</v>
      </c>
      <c r="H49" s="110">
        <v>0</v>
      </c>
      <c r="I49" s="110">
        <v>0</v>
      </c>
      <c r="J49" s="110">
        <v>0</v>
      </c>
      <c r="K49" s="110">
        <v>0</v>
      </c>
      <c r="L49" s="110">
        <v>0</v>
      </c>
      <c r="M49" s="110">
        <v>0</v>
      </c>
      <c r="N49" s="110">
        <v>0</v>
      </c>
      <c r="O49" s="110">
        <v>0</v>
      </c>
      <c r="P49" s="110">
        <v>0</v>
      </c>
      <c r="Q49" s="110">
        <v>0</v>
      </c>
      <c r="R49" s="110">
        <v>0</v>
      </c>
      <c r="S49" s="110">
        <v>0</v>
      </c>
      <c r="T49" s="110">
        <v>0</v>
      </c>
      <c r="U49" s="110">
        <v>0</v>
      </c>
      <c r="V49" s="110">
        <v>0</v>
      </c>
      <c r="W49" s="110">
        <v>0</v>
      </c>
      <c r="X49" s="110">
        <v>0</v>
      </c>
      <c r="Y49" s="110">
        <v>0</v>
      </c>
      <c r="Z49" s="110">
        <v>0</v>
      </c>
      <c r="AA49" s="110">
        <v>0</v>
      </c>
      <c r="AB49" s="110">
        <v>0</v>
      </c>
      <c r="AC49" s="110">
        <v>0</v>
      </c>
      <c r="AD49" s="110">
        <v>0</v>
      </c>
      <c r="AE49" s="110">
        <v>0</v>
      </c>
      <c r="AF49" s="110">
        <v>0</v>
      </c>
      <c r="AG49" s="110">
        <v>0</v>
      </c>
      <c r="AH49" s="110">
        <v>0</v>
      </c>
      <c r="AI49" s="110">
        <v>0</v>
      </c>
      <c r="AJ49" s="110">
        <v>0</v>
      </c>
      <c r="AK49" s="110">
        <v>0</v>
      </c>
      <c r="AL49" s="110">
        <v>0</v>
      </c>
      <c r="AM49" s="110">
        <v>0</v>
      </c>
      <c r="AN49" s="110">
        <v>0</v>
      </c>
      <c r="AO49" s="110">
        <v>0</v>
      </c>
      <c r="AP49" s="110">
        <v>0</v>
      </c>
      <c r="AQ49" s="110">
        <v>0</v>
      </c>
      <c r="AR49" s="110">
        <v>0</v>
      </c>
      <c r="AS49" s="110">
        <v>0</v>
      </c>
      <c r="AT49" s="110">
        <v>1</v>
      </c>
      <c r="AU49" s="110">
        <v>0</v>
      </c>
      <c r="AV49" s="110">
        <v>0</v>
      </c>
      <c r="AW49" s="110">
        <v>0</v>
      </c>
      <c r="AX49" s="110">
        <v>0</v>
      </c>
      <c r="AY49" s="110">
        <v>0</v>
      </c>
      <c r="AZ49" s="110">
        <v>0</v>
      </c>
      <c r="BA49" s="110">
        <v>0</v>
      </c>
      <c r="BB49" s="110">
        <v>0</v>
      </c>
    </row>
    <row r="50" spans="1:54" x14ac:dyDescent="0.15">
      <c r="A50" s="196" t="s">
        <v>240</v>
      </c>
      <c r="B50" s="110">
        <v>0</v>
      </c>
      <c r="C50" s="110">
        <v>0</v>
      </c>
      <c r="D50" s="110">
        <v>0</v>
      </c>
      <c r="E50" s="110">
        <v>0</v>
      </c>
      <c r="F50" s="110">
        <v>0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110">
        <v>0</v>
      </c>
      <c r="O50" s="110">
        <v>0</v>
      </c>
      <c r="P50" s="110">
        <v>0</v>
      </c>
      <c r="Q50" s="110">
        <v>0</v>
      </c>
      <c r="R50" s="110">
        <v>0</v>
      </c>
      <c r="S50" s="110">
        <v>0</v>
      </c>
      <c r="T50" s="110">
        <v>0</v>
      </c>
      <c r="U50" s="110">
        <v>0</v>
      </c>
      <c r="V50" s="110">
        <v>0</v>
      </c>
      <c r="W50" s="110">
        <v>0</v>
      </c>
      <c r="X50" s="110">
        <v>0</v>
      </c>
      <c r="Y50" s="110">
        <v>0</v>
      </c>
      <c r="Z50" s="110">
        <v>0</v>
      </c>
      <c r="AA50" s="110">
        <v>0</v>
      </c>
      <c r="AB50" s="110">
        <v>0</v>
      </c>
      <c r="AC50" s="110">
        <v>0</v>
      </c>
      <c r="AD50" s="110">
        <v>0</v>
      </c>
      <c r="AE50" s="110">
        <v>0</v>
      </c>
      <c r="AF50" s="110">
        <v>0</v>
      </c>
      <c r="AG50" s="110">
        <v>0</v>
      </c>
      <c r="AH50" s="110">
        <v>0</v>
      </c>
      <c r="AI50" s="110">
        <v>0</v>
      </c>
      <c r="AJ50" s="110">
        <v>0</v>
      </c>
      <c r="AK50" s="110">
        <v>0</v>
      </c>
      <c r="AL50" s="110">
        <v>0</v>
      </c>
      <c r="AM50" s="110">
        <v>0</v>
      </c>
      <c r="AN50" s="110">
        <v>0</v>
      </c>
      <c r="AO50" s="110">
        <v>0</v>
      </c>
      <c r="AP50" s="110">
        <v>0</v>
      </c>
      <c r="AQ50" s="110">
        <v>0</v>
      </c>
      <c r="AR50" s="110">
        <v>0</v>
      </c>
      <c r="AS50" s="110">
        <v>0</v>
      </c>
      <c r="AT50" s="110">
        <v>1</v>
      </c>
      <c r="AU50" s="110">
        <v>0</v>
      </c>
      <c r="AV50" s="110">
        <v>0</v>
      </c>
      <c r="AW50" s="110">
        <v>0</v>
      </c>
      <c r="AX50" s="110">
        <v>0</v>
      </c>
      <c r="AY50" s="110">
        <v>0</v>
      </c>
      <c r="AZ50" s="110">
        <v>0</v>
      </c>
      <c r="BA50" s="110">
        <v>0</v>
      </c>
      <c r="BB50" s="110">
        <v>0</v>
      </c>
    </row>
    <row r="51" spans="1:54" x14ac:dyDescent="0.15">
      <c r="A51" s="196" t="s">
        <v>241</v>
      </c>
      <c r="B51" s="110">
        <v>0</v>
      </c>
      <c r="C51" s="110">
        <v>0</v>
      </c>
      <c r="D51" s="110">
        <v>0</v>
      </c>
      <c r="E51" s="110">
        <v>0</v>
      </c>
      <c r="F51" s="110">
        <v>0</v>
      </c>
      <c r="G51" s="110">
        <v>0</v>
      </c>
      <c r="H51" s="110">
        <v>0</v>
      </c>
      <c r="I51" s="110">
        <v>0</v>
      </c>
      <c r="J51" s="110">
        <v>0</v>
      </c>
      <c r="K51" s="110">
        <v>0</v>
      </c>
      <c r="L51" s="110">
        <v>0</v>
      </c>
      <c r="M51" s="110">
        <v>0</v>
      </c>
      <c r="N51" s="110">
        <v>0</v>
      </c>
      <c r="O51" s="110">
        <v>0</v>
      </c>
      <c r="P51" s="110">
        <v>0</v>
      </c>
      <c r="Q51" s="110">
        <v>0</v>
      </c>
      <c r="R51" s="110">
        <v>0</v>
      </c>
      <c r="S51" s="110">
        <v>0</v>
      </c>
      <c r="T51" s="110">
        <v>0</v>
      </c>
      <c r="U51" s="110">
        <v>0</v>
      </c>
      <c r="V51" s="110">
        <v>0</v>
      </c>
      <c r="W51" s="110">
        <v>0</v>
      </c>
      <c r="X51" s="110">
        <v>0</v>
      </c>
      <c r="Y51" s="110">
        <v>0</v>
      </c>
      <c r="Z51" s="110">
        <v>0</v>
      </c>
      <c r="AA51" s="110">
        <v>0</v>
      </c>
      <c r="AB51" s="110">
        <v>0</v>
      </c>
      <c r="AC51" s="110">
        <v>0</v>
      </c>
      <c r="AD51" s="110">
        <v>0</v>
      </c>
      <c r="AE51" s="110">
        <v>0</v>
      </c>
      <c r="AF51" s="110">
        <v>0</v>
      </c>
      <c r="AG51" s="110">
        <v>0</v>
      </c>
      <c r="AH51" s="110">
        <v>0</v>
      </c>
      <c r="AI51" s="110">
        <v>0</v>
      </c>
      <c r="AJ51" s="110">
        <v>0</v>
      </c>
      <c r="AK51" s="110">
        <v>0</v>
      </c>
      <c r="AL51" s="110">
        <v>0</v>
      </c>
      <c r="AM51" s="110">
        <v>0</v>
      </c>
      <c r="AN51" s="110">
        <v>0</v>
      </c>
      <c r="AO51" s="110">
        <v>0</v>
      </c>
      <c r="AP51" s="110">
        <v>0</v>
      </c>
      <c r="AQ51" s="110">
        <v>0</v>
      </c>
      <c r="AR51" s="110">
        <v>0</v>
      </c>
      <c r="AS51" s="110">
        <v>0</v>
      </c>
      <c r="AT51" s="110">
        <v>1</v>
      </c>
      <c r="AU51" s="110">
        <v>0</v>
      </c>
      <c r="AV51" s="110">
        <v>0</v>
      </c>
      <c r="AW51" s="110">
        <v>0</v>
      </c>
      <c r="AX51" s="110">
        <v>0</v>
      </c>
      <c r="AY51" s="110">
        <v>0</v>
      </c>
      <c r="AZ51" s="110">
        <v>0</v>
      </c>
      <c r="BA51" s="110">
        <v>0</v>
      </c>
      <c r="BB51" s="110">
        <v>0</v>
      </c>
    </row>
    <row r="52" spans="1:54" x14ac:dyDescent="0.15">
      <c r="A52" s="196" t="s">
        <v>242</v>
      </c>
      <c r="B52" s="110">
        <v>0</v>
      </c>
      <c r="C52" s="110">
        <v>0</v>
      </c>
      <c r="D52" s="110">
        <v>0</v>
      </c>
      <c r="E52" s="110">
        <v>0</v>
      </c>
      <c r="F52" s="110">
        <v>0</v>
      </c>
      <c r="G52" s="110">
        <v>0</v>
      </c>
      <c r="H52" s="110">
        <v>0</v>
      </c>
      <c r="I52" s="110">
        <v>0</v>
      </c>
      <c r="J52" s="110">
        <v>0</v>
      </c>
      <c r="K52" s="110">
        <v>0</v>
      </c>
      <c r="L52" s="110">
        <v>0</v>
      </c>
      <c r="M52" s="110">
        <v>0</v>
      </c>
      <c r="N52" s="110">
        <v>0</v>
      </c>
      <c r="O52" s="110">
        <v>0</v>
      </c>
      <c r="P52" s="110">
        <v>0</v>
      </c>
      <c r="Q52" s="110">
        <v>0</v>
      </c>
      <c r="R52" s="110">
        <v>0</v>
      </c>
      <c r="S52" s="110">
        <v>0</v>
      </c>
      <c r="T52" s="110">
        <v>0</v>
      </c>
      <c r="U52" s="110">
        <v>0</v>
      </c>
      <c r="V52" s="110">
        <v>0</v>
      </c>
      <c r="W52" s="110">
        <v>0</v>
      </c>
      <c r="X52" s="110">
        <v>0</v>
      </c>
      <c r="Y52" s="110">
        <v>0</v>
      </c>
      <c r="Z52" s="110">
        <v>0</v>
      </c>
      <c r="AA52" s="110">
        <v>0</v>
      </c>
      <c r="AB52" s="110">
        <v>0</v>
      </c>
      <c r="AC52" s="110">
        <v>0</v>
      </c>
      <c r="AD52" s="110">
        <v>0</v>
      </c>
      <c r="AE52" s="110">
        <v>0</v>
      </c>
      <c r="AF52" s="110">
        <v>0</v>
      </c>
      <c r="AG52" s="110">
        <v>0</v>
      </c>
      <c r="AH52" s="110">
        <v>0</v>
      </c>
      <c r="AI52" s="110">
        <v>0</v>
      </c>
      <c r="AJ52" s="110">
        <v>0</v>
      </c>
      <c r="AK52" s="110">
        <v>0</v>
      </c>
      <c r="AL52" s="110">
        <v>0</v>
      </c>
      <c r="AM52" s="110">
        <v>0</v>
      </c>
      <c r="AN52" s="110">
        <v>0</v>
      </c>
      <c r="AO52" s="110">
        <v>0</v>
      </c>
      <c r="AP52" s="110">
        <v>0</v>
      </c>
      <c r="AQ52" s="110">
        <v>0</v>
      </c>
      <c r="AR52" s="110">
        <v>0</v>
      </c>
      <c r="AS52" s="110">
        <v>0</v>
      </c>
      <c r="AT52" s="110">
        <v>1</v>
      </c>
      <c r="AU52" s="110">
        <v>0</v>
      </c>
      <c r="AV52" s="110">
        <v>0</v>
      </c>
      <c r="AW52" s="110">
        <v>1</v>
      </c>
      <c r="AX52" s="110">
        <v>0</v>
      </c>
      <c r="AY52" s="110">
        <v>0</v>
      </c>
      <c r="AZ52" s="110">
        <v>0</v>
      </c>
      <c r="BA52" s="110">
        <v>0</v>
      </c>
      <c r="BB52" s="110">
        <v>0</v>
      </c>
    </row>
    <row r="53" spans="1:54" x14ac:dyDescent="0.15">
      <c r="A53" s="196" t="s">
        <v>243</v>
      </c>
      <c r="B53" s="110">
        <v>0</v>
      </c>
      <c r="C53" s="110">
        <v>0</v>
      </c>
      <c r="D53" s="110">
        <v>1</v>
      </c>
      <c r="E53" s="110">
        <v>0</v>
      </c>
      <c r="F53" s="110">
        <v>1</v>
      </c>
      <c r="G53" s="110">
        <v>1</v>
      </c>
      <c r="H53" s="110">
        <v>1</v>
      </c>
      <c r="I53" s="110">
        <v>0</v>
      </c>
      <c r="J53" s="110">
        <v>1</v>
      </c>
      <c r="K53" s="110">
        <v>1</v>
      </c>
      <c r="L53" s="110">
        <v>1</v>
      </c>
      <c r="M53" s="110">
        <v>1</v>
      </c>
      <c r="N53" s="110">
        <v>1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10">
        <v>0</v>
      </c>
      <c r="BA53" s="110">
        <v>0</v>
      </c>
      <c r="BB53" s="110">
        <v>0</v>
      </c>
    </row>
    <row r="54" spans="1:54" x14ac:dyDescent="0.15">
      <c r="A54" s="196" t="s">
        <v>244</v>
      </c>
      <c r="B54" s="110">
        <v>0</v>
      </c>
      <c r="C54" s="110">
        <v>0</v>
      </c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10">
        <v>0</v>
      </c>
      <c r="BA54" s="110">
        <v>0</v>
      </c>
      <c r="BB54" s="110">
        <v>0</v>
      </c>
    </row>
    <row r="55" spans="1:54" x14ac:dyDescent="0.15">
      <c r="A55" s="196" t="s">
        <v>254</v>
      </c>
      <c r="B55" s="110">
        <v>0</v>
      </c>
      <c r="C55" s="110">
        <v>0</v>
      </c>
      <c r="D55" s="110">
        <v>0</v>
      </c>
      <c r="E55" s="110">
        <v>0</v>
      </c>
      <c r="F55" s="110">
        <v>0</v>
      </c>
      <c r="G55" s="110">
        <v>0</v>
      </c>
      <c r="H55" s="110">
        <v>0</v>
      </c>
      <c r="I55" s="110">
        <v>0</v>
      </c>
      <c r="J55" s="110">
        <v>0</v>
      </c>
      <c r="K55" s="110">
        <v>0</v>
      </c>
      <c r="L55" s="110">
        <v>0</v>
      </c>
      <c r="M55" s="110">
        <v>0</v>
      </c>
      <c r="N55" s="110">
        <v>0</v>
      </c>
      <c r="O55" s="110">
        <v>0</v>
      </c>
      <c r="P55" s="110">
        <v>0</v>
      </c>
      <c r="Q55" s="110">
        <v>0</v>
      </c>
      <c r="R55" s="110">
        <v>0</v>
      </c>
      <c r="S55" s="110">
        <v>0</v>
      </c>
      <c r="T55" s="110">
        <v>0</v>
      </c>
      <c r="U55" s="110">
        <v>0</v>
      </c>
      <c r="V55" s="110">
        <v>0</v>
      </c>
      <c r="W55" s="110">
        <v>0</v>
      </c>
      <c r="X55" s="110">
        <v>0</v>
      </c>
      <c r="Y55" s="110">
        <v>0</v>
      </c>
      <c r="Z55" s="110">
        <v>0</v>
      </c>
      <c r="AA55" s="110">
        <v>0</v>
      </c>
      <c r="AB55" s="110">
        <v>0</v>
      </c>
      <c r="AC55" s="110">
        <v>0</v>
      </c>
      <c r="AD55" s="110">
        <v>0</v>
      </c>
      <c r="AE55" s="110">
        <v>0</v>
      </c>
      <c r="AF55" s="110">
        <v>0</v>
      </c>
      <c r="AG55" s="110">
        <v>0</v>
      </c>
      <c r="AH55" s="110">
        <v>0</v>
      </c>
      <c r="AI55" s="110">
        <v>0</v>
      </c>
      <c r="AJ55" s="110">
        <v>0</v>
      </c>
      <c r="AK55" s="110">
        <v>0</v>
      </c>
      <c r="AL55" s="110">
        <v>0</v>
      </c>
      <c r="AM55" s="110">
        <v>0</v>
      </c>
      <c r="AN55" s="110">
        <v>0</v>
      </c>
      <c r="AO55" s="110">
        <v>0</v>
      </c>
      <c r="AP55" s="110">
        <v>0</v>
      </c>
      <c r="AQ55" s="110">
        <v>0</v>
      </c>
      <c r="AR55" s="110">
        <v>0</v>
      </c>
      <c r="AS55" s="110">
        <v>0</v>
      </c>
      <c r="AT55" s="110">
        <v>0</v>
      </c>
      <c r="AU55" s="110">
        <v>1</v>
      </c>
      <c r="AV55" s="110">
        <v>0</v>
      </c>
      <c r="AW55" s="110">
        <v>1</v>
      </c>
      <c r="AX55" s="110">
        <v>0</v>
      </c>
      <c r="AY55" s="110">
        <v>0</v>
      </c>
      <c r="AZ55" s="110">
        <v>0</v>
      </c>
      <c r="BA55" s="110">
        <v>0</v>
      </c>
      <c r="BB55" s="11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K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" bestFit="1" customWidth="1"/>
    <col min="3" max="4" width="3.83203125" bestFit="1" customWidth="1"/>
    <col min="5" max="11" width="3.83203125" customWidth="1"/>
  </cols>
  <sheetData>
    <row r="1" spans="1:11" ht="112" x14ac:dyDescent="0.15">
      <c r="A1" s="5" t="s">
        <v>83</v>
      </c>
      <c r="B1" s="3" t="s">
        <v>0</v>
      </c>
      <c r="C1" s="199" t="s">
        <v>245</v>
      </c>
      <c r="D1" s="199" t="s">
        <v>246</v>
      </c>
      <c r="E1" s="199" t="s">
        <v>247</v>
      </c>
      <c r="F1" s="199" t="s">
        <v>248</v>
      </c>
      <c r="G1" s="199" t="s">
        <v>249</v>
      </c>
      <c r="H1" s="199" t="s">
        <v>250</v>
      </c>
      <c r="I1" s="199" t="s">
        <v>251</v>
      </c>
      <c r="J1" s="199" t="s">
        <v>252</v>
      </c>
      <c r="K1" s="199" t="s">
        <v>253</v>
      </c>
    </row>
    <row r="2" spans="1:11" x14ac:dyDescent="0.15">
      <c r="A2">
        <v>1</v>
      </c>
      <c r="B2" s="198" t="s">
        <v>192</v>
      </c>
      <c r="C2">
        <v>0.8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0.8</v>
      </c>
      <c r="K2">
        <v>0</v>
      </c>
    </row>
    <row r="3" spans="1:11" x14ac:dyDescent="0.15">
      <c r="A3">
        <v>2</v>
      </c>
      <c r="B3" s="19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9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98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9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98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15">
      <c r="A8">
        <v>7</v>
      </c>
      <c r="B8" s="198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0.8</v>
      </c>
      <c r="I8">
        <v>0</v>
      </c>
      <c r="J8">
        <v>0</v>
      </c>
      <c r="K8">
        <v>0</v>
      </c>
    </row>
    <row r="9" spans="1:11" x14ac:dyDescent="0.15">
      <c r="A9">
        <v>8</v>
      </c>
      <c r="B9" s="198" t="s">
        <v>199</v>
      </c>
      <c r="C9">
        <v>0</v>
      </c>
      <c r="D9">
        <v>0.8</v>
      </c>
      <c r="E9">
        <v>0</v>
      </c>
      <c r="F9">
        <v>0</v>
      </c>
      <c r="G9">
        <v>0</v>
      </c>
      <c r="H9">
        <v>0.8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198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98" t="s">
        <v>201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98" t="s">
        <v>202</v>
      </c>
      <c r="C12">
        <v>0.8</v>
      </c>
      <c r="D12">
        <v>0.8</v>
      </c>
      <c r="E12">
        <v>0</v>
      </c>
      <c r="F12">
        <v>0.8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15">
      <c r="A13">
        <v>12</v>
      </c>
      <c r="B13" s="198" t="s">
        <v>203</v>
      </c>
      <c r="C13">
        <v>0.8</v>
      </c>
      <c r="D13">
        <v>0.8</v>
      </c>
      <c r="E13">
        <v>0</v>
      </c>
      <c r="F13">
        <v>0.8</v>
      </c>
      <c r="G13">
        <v>0.8</v>
      </c>
      <c r="H13">
        <v>0.8</v>
      </c>
      <c r="I13">
        <v>0</v>
      </c>
      <c r="J13">
        <v>0</v>
      </c>
      <c r="K13">
        <v>0</v>
      </c>
    </row>
    <row r="14" spans="1:11" x14ac:dyDescent="0.15">
      <c r="A14">
        <v>13</v>
      </c>
      <c r="B14" s="198" t="s">
        <v>204</v>
      </c>
      <c r="C14">
        <v>0.8</v>
      </c>
      <c r="D14">
        <v>0.8</v>
      </c>
      <c r="E14">
        <v>0</v>
      </c>
      <c r="F14">
        <v>0.8</v>
      </c>
      <c r="G14">
        <v>0.8</v>
      </c>
      <c r="H14">
        <v>0.8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98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0.8</v>
      </c>
      <c r="I15">
        <v>0</v>
      </c>
      <c r="J15">
        <v>0</v>
      </c>
      <c r="K15">
        <v>0</v>
      </c>
    </row>
    <row r="16" spans="1:11" x14ac:dyDescent="0.15">
      <c r="A16">
        <v>15</v>
      </c>
      <c r="B16" s="198" t="s">
        <v>206</v>
      </c>
      <c r="C16">
        <v>0</v>
      </c>
      <c r="D16">
        <v>0.8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15">
      <c r="A17">
        <v>16</v>
      </c>
      <c r="B17" s="198" t="s">
        <v>207</v>
      </c>
      <c r="C17">
        <v>0.8</v>
      </c>
      <c r="D17">
        <v>0.8</v>
      </c>
      <c r="E17">
        <v>0.8</v>
      </c>
      <c r="F17">
        <v>0</v>
      </c>
      <c r="G17">
        <v>0.8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198" t="s">
        <v>208</v>
      </c>
      <c r="C18">
        <v>0.8</v>
      </c>
      <c r="D18">
        <v>0.8</v>
      </c>
      <c r="E18">
        <v>0.8</v>
      </c>
      <c r="F18">
        <v>0</v>
      </c>
      <c r="G18">
        <v>0.8</v>
      </c>
      <c r="H18">
        <v>0</v>
      </c>
      <c r="I18">
        <v>0</v>
      </c>
      <c r="J18">
        <v>0</v>
      </c>
      <c r="K18">
        <v>0</v>
      </c>
    </row>
    <row r="19" spans="1:11" x14ac:dyDescent="0.15">
      <c r="A19">
        <v>18</v>
      </c>
      <c r="B19" s="198" t="s">
        <v>209</v>
      </c>
      <c r="C19">
        <v>0.8</v>
      </c>
      <c r="D19">
        <v>0.8</v>
      </c>
      <c r="E19">
        <v>0</v>
      </c>
      <c r="F19">
        <v>0.8</v>
      </c>
      <c r="G19">
        <v>0.8</v>
      </c>
      <c r="H19">
        <v>0</v>
      </c>
      <c r="I19">
        <v>0</v>
      </c>
      <c r="J19">
        <v>0</v>
      </c>
      <c r="K19">
        <v>0</v>
      </c>
    </row>
    <row r="20" spans="1:11" x14ac:dyDescent="0.15">
      <c r="A20">
        <v>19</v>
      </c>
      <c r="B20" s="198" t="s">
        <v>210</v>
      </c>
      <c r="C20">
        <v>0.8</v>
      </c>
      <c r="D20">
        <v>0.8</v>
      </c>
      <c r="E20">
        <v>0</v>
      </c>
      <c r="F20">
        <v>0.8</v>
      </c>
      <c r="G20">
        <v>0.8</v>
      </c>
      <c r="H20">
        <v>0</v>
      </c>
      <c r="I20">
        <v>0</v>
      </c>
      <c r="J20">
        <v>0</v>
      </c>
      <c r="K20">
        <v>0</v>
      </c>
    </row>
    <row r="21" spans="1:11" x14ac:dyDescent="0.15">
      <c r="A21">
        <v>20</v>
      </c>
      <c r="B21" s="198" t="s">
        <v>211</v>
      </c>
      <c r="C21">
        <v>0.8</v>
      </c>
      <c r="D21">
        <v>0.8</v>
      </c>
      <c r="E21">
        <v>0</v>
      </c>
      <c r="F21">
        <v>0.8</v>
      </c>
      <c r="G21">
        <v>0.8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98" t="s">
        <v>212</v>
      </c>
      <c r="C22">
        <v>0.8</v>
      </c>
      <c r="D22">
        <v>0.8</v>
      </c>
      <c r="E22">
        <v>0</v>
      </c>
      <c r="F22">
        <v>0.8</v>
      </c>
      <c r="G22">
        <v>0.8</v>
      </c>
      <c r="H22">
        <v>0</v>
      </c>
      <c r="I22">
        <v>0</v>
      </c>
      <c r="J22">
        <v>0</v>
      </c>
      <c r="K22">
        <v>0</v>
      </c>
    </row>
    <row r="23" spans="1:11" x14ac:dyDescent="0.15">
      <c r="A23">
        <v>22</v>
      </c>
      <c r="B23" s="198" t="s">
        <v>213</v>
      </c>
      <c r="C23">
        <v>0.8</v>
      </c>
      <c r="D23">
        <v>0.8</v>
      </c>
      <c r="E23">
        <v>0</v>
      </c>
      <c r="F23">
        <v>0</v>
      </c>
      <c r="G23">
        <v>0.8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198" t="s">
        <v>214</v>
      </c>
      <c r="C24">
        <v>0.8</v>
      </c>
      <c r="D24">
        <v>0.8</v>
      </c>
      <c r="E24">
        <v>0.8</v>
      </c>
      <c r="F24">
        <v>0.8</v>
      </c>
      <c r="G24">
        <v>0.8</v>
      </c>
      <c r="H24">
        <v>0.8</v>
      </c>
      <c r="I24">
        <v>0.8</v>
      </c>
      <c r="J24">
        <v>0</v>
      </c>
      <c r="K24">
        <v>0</v>
      </c>
    </row>
    <row r="25" spans="1:11" x14ac:dyDescent="0.15">
      <c r="A25">
        <v>24</v>
      </c>
      <c r="B25" s="198" t="s">
        <v>215</v>
      </c>
      <c r="C25">
        <v>0.8</v>
      </c>
      <c r="D25">
        <v>0.8</v>
      </c>
      <c r="E25">
        <v>0.8</v>
      </c>
      <c r="F25">
        <v>0.8</v>
      </c>
      <c r="G25">
        <v>0.8</v>
      </c>
      <c r="H25">
        <v>0.8</v>
      </c>
      <c r="I25">
        <v>0.8</v>
      </c>
      <c r="J25">
        <v>0</v>
      </c>
      <c r="K25">
        <v>0</v>
      </c>
    </row>
    <row r="26" spans="1:11" x14ac:dyDescent="0.15">
      <c r="A26">
        <v>25</v>
      </c>
      <c r="B26" s="198" t="s">
        <v>216</v>
      </c>
      <c r="C26">
        <v>0.8</v>
      </c>
      <c r="D26">
        <v>0.8</v>
      </c>
      <c r="E26">
        <v>0.8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198" t="s">
        <v>217</v>
      </c>
      <c r="C27">
        <v>0.8</v>
      </c>
      <c r="D27">
        <v>0.8</v>
      </c>
      <c r="E27">
        <v>0.8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198" t="s">
        <v>218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  <c r="J28">
        <v>0</v>
      </c>
      <c r="K28">
        <v>0</v>
      </c>
    </row>
    <row r="29" spans="1:11" x14ac:dyDescent="0.15">
      <c r="A29">
        <v>28</v>
      </c>
      <c r="B29" s="198" t="s">
        <v>219</v>
      </c>
      <c r="C29">
        <v>0.8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15">
      <c r="A30">
        <v>29</v>
      </c>
      <c r="B30" s="198" t="s">
        <v>220</v>
      </c>
      <c r="C30">
        <v>0.8</v>
      </c>
      <c r="D30">
        <v>0.8</v>
      </c>
      <c r="E30">
        <v>0.8</v>
      </c>
      <c r="F30">
        <v>0</v>
      </c>
      <c r="G30">
        <v>0.8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198" t="s">
        <v>221</v>
      </c>
      <c r="C31">
        <v>0.8</v>
      </c>
      <c r="D31">
        <v>0</v>
      </c>
      <c r="E31">
        <v>0</v>
      </c>
      <c r="F31">
        <v>0</v>
      </c>
      <c r="G31">
        <v>0.8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198" t="s">
        <v>222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</v>
      </c>
      <c r="K32">
        <v>0</v>
      </c>
    </row>
    <row r="33" spans="1:11" x14ac:dyDescent="0.15">
      <c r="A33">
        <v>32</v>
      </c>
      <c r="B33" s="198" t="s">
        <v>223</v>
      </c>
      <c r="C33">
        <v>0.8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</v>
      </c>
      <c r="K33">
        <v>0</v>
      </c>
    </row>
    <row r="34" spans="1:11" x14ac:dyDescent="0.15">
      <c r="A34">
        <v>33</v>
      </c>
      <c r="B34" s="198" t="s">
        <v>224</v>
      </c>
      <c r="C34">
        <v>0.8</v>
      </c>
      <c r="D34">
        <v>0</v>
      </c>
      <c r="E34">
        <v>0</v>
      </c>
      <c r="F34">
        <v>0</v>
      </c>
      <c r="G34">
        <v>0.8</v>
      </c>
      <c r="H34">
        <v>0</v>
      </c>
      <c r="I34">
        <v>0.8</v>
      </c>
      <c r="J34">
        <v>0</v>
      </c>
      <c r="K34">
        <v>0</v>
      </c>
    </row>
    <row r="35" spans="1:11" x14ac:dyDescent="0.15">
      <c r="A35">
        <v>34</v>
      </c>
      <c r="B35" s="198" t="s">
        <v>225</v>
      </c>
      <c r="C35">
        <v>0.8</v>
      </c>
      <c r="D35">
        <v>0.8</v>
      </c>
      <c r="E35">
        <v>0</v>
      </c>
      <c r="F35">
        <v>0.8</v>
      </c>
      <c r="G35">
        <v>0.8</v>
      </c>
      <c r="H35">
        <v>0</v>
      </c>
      <c r="I35">
        <v>0</v>
      </c>
      <c r="J35">
        <v>0</v>
      </c>
      <c r="K35">
        <v>0</v>
      </c>
    </row>
    <row r="36" spans="1:11" x14ac:dyDescent="0.15">
      <c r="A36">
        <v>35</v>
      </c>
      <c r="B36" s="198" t="s">
        <v>226</v>
      </c>
      <c r="C36">
        <v>0.8</v>
      </c>
      <c r="D36">
        <v>0.8</v>
      </c>
      <c r="E36">
        <v>0</v>
      </c>
      <c r="F36">
        <v>0</v>
      </c>
      <c r="G36">
        <v>0.8</v>
      </c>
      <c r="H36">
        <v>0</v>
      </c>
      <c r="I36">
        <v>0.8</v>
      </c>
      <c r="J36">
        <v>0</v>
      </c>
      <c r="K36">
        <v>0</v>
      </c>
    </row>
    <row r="37" spans="1:11" x14ac:dyDescent="0.15">
      <c r="A37">
        <v>36</v>
      </c>
      <c r="B37" s="198" t="s">
        <v>227</v>
      </c>
      <c r="C37">
        <v>0.8</v>
      </c>
      <c r="D37">
        <v>0</v>
      </c>
      <c r="E37">
        <v>0.8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15">
      <c r="A38">
        <v>37</v>
      </c>
      <c r="B38" s="198" t="s">
        <v>228</v>
      </c>
      <c r="C38">
        <v>0.8</v>
      </c>
      <c r="D38">
        <v>0.8</v>
      </c>
      <c r="E38">
        <v>0</v>
      </c>
      <c r="F38">
        <v>0</v>
      </c>
      <c r="G38">
        <v>0.8</v>
      </c>
      <c r="H38">
        <v>0</v>
      </c>
      <c r="I38">
        <v>0</v>
      </c>
      <c r="J38">
        <v>0</v>
      </c>
      <c r="K38">
        <v>0</v>
      </c>
    </row>
    <row r="39" spans="1:11" x14ac:dyDescent="0.15">
      <c r="A39">
        <v>38</v>
      </c>
      <c r="B39" s="19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15">
      <c r="A40">
        <v>39</v>
      </c>
      <c r="B40" s="198" t="s">
        <v>230</v>
      </c>
      <c r="C40">
        <v>0.8</v>
      </c>
      <c r="D40">
        <v>0</v>
      </c>
      <c r="E40">
        <v>0.8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15">
      <c r="A41">
        <v>40</v>
      </c>
      <c r="B41" s="198" t="s">
        <v>231</v>
      </c>
      <c r="C41">
        <v>0</v>
      </c>
      <c r="D41">
        <v>0</v>
      </c>
      <c r="E41">
        <v>0.8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15">
      <c r="A42">
        <v>41</v>
      </c>
      <c r="B42" s="198" t="s">
        <v>232</v>
      </c>
      <c r="C42">
        <v>0.8</v>
      </c>
      <c r="D42">
        <v>0</v>
      </c>
      <c r="E42">
        <v>0.8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15">
      <c r="A43">
        <v>42</v>
      </c>
      <c r="B43" s="198" t="s">
        <v>233</v>
      </c>
      <c r="C43">
        <v>0.8</v>
      </c>
      <c r="D43">
        <v>0</v>
      </c>
      <c r="E43">
        <v>0.8</v>
      </c>
      <c r="F43">
        <v>0</v>
      </c>
      <c r="G43">
        <v>0</v>
      </c>
      <c r="H43">
        <v>0</v>
      </c>
      <c r="I43">
        <v>0.8</v>
      </c>
      <c r="J43">
        <v>0</v>
      </c>
      <c r="K43">
        <v>0</v>
      </c>
    </row>
    <row r="44" spans="1:11" x14ac:dyDescent="0.15">
      <c r="A44">
        <v>43</v>
      </c>
      <c r="B44" s="198" t="s">
        <v>234</v>
      </c>
      <c r="C44">
        <v>0.8</v>
      </c>
      <c r="D44">
        <v>0</v>
      </c>
      <c r="E44">
        <v>0.8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15">
      <c r="A45">
        <v>44</v>
      </c>
      <c r="B45" s="198" t="s">
        <v>235</v>
      </c>
      <c r="C45">
        <v>0.8</v>
      </c>
      <c r="D45">
        <v>0</v>
      </c>
      <c r="E45">
        <v>0.8</v>
      </c>
      <c r="F45">
        <v>0</v>
      </c>
      <c r="G45">
        <v>0.8</v>
      </c>
      <c r="H45">
        <v>0</v>
      </c>
      <c r="I45">
        <v>0.8</v>
      </c>
      <c r="J45">
        <v>0</v>
      </c>
      <c r="K45">
        <v>0.8</v>
      </c>
    </row>
    <row r="46" spans="1:11" x14ac:dyDescent="0.15">
      <c r="A46">
        <v>45</v>
      </c>
      <c r="B46" s="198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0.8</v>
      </c>
    </row>
    <row r="47" spans="1:11" x14ac:dyDescent="0.15">
      <c r="A47">
        <v>46</v>
      </c>
      <c r="B47" s="198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15">
      <c r="A48">
        <v>47</v>
      </c>
      <c r="B48" s="198" t="s">
        <v>238</v>
      </c>
      <c r="C48">
        <v>0.8</v>
      </c>
      <c r="D48">
        <v>0.8</v>
      </c>
      <c r="E48">
        <v>0.8</v>
      </c>
      <c r="F48">
        <v>0.8</v>
      </c>
      <c r="G48">
        <v>0.8</v>
      </c>
      <c r="H48">
        <v>0.8</v>
      </c>
      <c r="I48">
        <v>0.8</v>
      </c>
      <c r="J48">
        <v>0</v>
      </c>
      <c r="K48">
        <v>0</v>
      </c>
    </row>
    <row r="49" spans="1:11" x14ac:dyDescent="0.15">
      <c r="A49">
        <v>48</v>
      </c>
      <c r="B49" s="19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15">
      <c r="A50">
        <v>49</v>
      </c>
      <c r="B50" s="198" t="s">
        <v>240</v>
      </c>
      <c r="C50">
        <v>0</v>
      </c>
      <c r="D50">
        <v>0</v>
      </c>
      <c r="E50">
        <v>0.8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15">
      <c r="A51">
        <v>50</v>
      </c>
      <c r="B51" s="19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15">
      <c r="A52">
        <v>51</v>
      </c>
      <c r="B52" s="198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15">
      <c r="A53">
        <v>52</v>
      </c>
      <c r="B53" s="198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15">
      <c r="A54">
        <v>53</v>
      </c>
      <c r="B54" s="198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K5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" bestFit="1" customWidth="1"/>
    <col min="3" max="4" width="3.83203125" bestFit="1" customWidth="1"/>
    <col min="5" max="11" width="3.83203125" customWidth="1"/>
  </cols>
  <sheetData>
    <row r="1" spans="1:11" ht="112" x14ac:dyDescent="0.15">
      <c r="A1" s="5" t="s">
        <v>82</v>
      </c>
      <c r="B1" s="3" t="s">
        <v>0</v>
      </c>
      <c r="C1" s="201" t="s">
        <v>245</v>
      </c>
      <c r="D1" s="201" t="s">
        <v>246</v>
      </c>
      <c r="E1" s="201" t="s">
        <v>247</v>
      </c>
      <c r="F1" s="201" t="s">
        <v>248</v>
      </c>
      <c r="G1" s="201" t="s">
        <v>249</v>
      </c>
      <c r="H1" s="201" t="s">
        <v>250</v>
      </c>
      <c r="I1" s="201" t="s">
        <v>251</v>
      </c>
      <c r="J1" s="201" t="s">
        <v>252</v>
      </c>
      <c r="K1" s="201" t="s">
        <v>253</v>
      </c>
    </row>
    <row r="2" spans="1:11" x14ac:dyDescent="0.15">
      <c r="A2">
        <v>1</v>
      </c>
      <c r="B2" s="200" t="s">
        <v>192</v>
      </c>
      <c r="C2">
        <v>0.8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0.8</v>
      </c>
      <c r="K2">
        <v>0</v>
      </c>
    </row>
    <row r="3" spans="1:11" x14ac:dyDescent="0.15">
      <c r="A3">
        <v>2</v>
      </c>
      <c r="B3" s="200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200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200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200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200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15">
      <c r="A8">
        <v>7</v>
      </c>
      <c r="B8" s="200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0.8</v>
      </c>
      <c r="I8">
        <v>0</v>
      </c>
      <c r="J8">
        <v>0</v>
      </c>
      <c r="K8">
        <v>0</v>
      </c>
    </row>
    <row r="9" spans="1:11" x14ac:dyDescent="0.15">
      <c r="A9">
        <v>8</v>
      </c>
      <c r="B9" s="200" t="s">
        <v>199</v>
      </c>
      <c r="C9">
        <v>0</v>
      </c>
      <c r="D9">
        <v>0.8</v>
      </c>
      <c r="E9">
        <v>0</v>
      </c>
      <c r="F9">
        <v>0</v>
      </c>
      <c r="G9">
        <v>0</v>
      </c>
      <c r="H9">
        <v>0.8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200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200" t="s">
        <v>201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200" t="s">
        <v>202</v>
      </c>
      <c r="C12">
        <v>0.8</v>
      </c>
      <c r="D12">
        <v>0.8</v>
      </c>
      <c r="E12">
        <v>0</v>
      </c>
      <c r="F12">
        <v>0.8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15">
      <c r="A13">
        <v>12</v>
      </c>
      <c r="B13" s="200" t="s">
        <v>203</v>
      </c>
      <c r="C13">
        <v>0.8</v>
      </c>
      <c r="D13">
        <v>0.8</v>
      </c>
      <c r="E13">
        <v>0</v>
      </c>
      <c r="F13">
        <v>0.8</v>
      </c>
      <c r="G13">
        <v>0.8</v>
      </c>
      <c r="H13">
        <v>0.8</v>
      </c>
      <c r="I13">
        <v>0</v>
      </c>
      <c r="J13">
        <v>0</v>
      </c>
      <c r="K13">
        <v>0</v>
      </c>
    </row>
    <row r="14" spans="1:11" x14ac:dyDescent="0.15">
      <c r="A14">
        <v>13</v>
      </c>
      <c r="B14" s="200" t="s">
        <v>204</v>
      </c>
      <c r="C14">
        <v>0.8</v>
      </c>
      <c r="D14">
        <v>0.8</v>
      </c>
      <c r="E14">
        <v>0</v>
      </c>
      <c r="F14">
        <v>0.8</v>
      </c>
      <c r="G14">
        <v>0.8</v>
      </c>
      <c r="H14">
        <v>0.8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200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0.8</v>
      </c>
      <c r="I15">
        <v>0</v>
      </c>
      <c r="J15">
        <v>0</v>
      </c>
      <c r="K15">
        <v>0</v>
      </c>
    </row>
    <row r="16" spans="1:11" x14ac:dyDescent="0.15">
      <c r="A16">
        <v>15</v>
      </c>
      <c r="B16" s="200" t="s">
        <v>206</v>
      </c>
      <c r="C16">
        <v>0</v>
      </c>
      <c r="D16">
        <v>0.8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15">
      <c r="A17">
        <v>16</v>
      </c>
      <c r="B17" s="200" t="s">
        <v>207</v>
      </c>
      <c r="C17">
        <v>0.8</v>
      </c>
      <c r="D17">
        <v>0.8</v>
      </c>
      <c r="E17">
        <v>0.8</v>
      </c>
      <c r="F17">
        <v>0</v>
      </c>
      <c r="G17">
        <v>0.8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200" t="s">
        <v>208</v>
      </c>
      <c r="C18">
        <v>0.8</v>
      </c>
      <c r="D18">
        <v>0.8</v>
      </c>
      <c r="E18">
        <v>0.8</v>
      </c>
      <c r="F18">
        <v>0</v>
      </c>
      <c r="G18">
        <v>0.8</v>
      </c>
      <c r="H18">
        <v>0</v>
      </c>
      <c r="I18">
        <v>0</v>
      </c>
      <c r="J18">
        <v>0</v>
      </c>
      <c r="K18">
        <v>0</v>
      </c>
    </row>
    <row r="19" spans="1:11" x14ac:dyDescent="0.15">
      <c r="A19">
        <v>18</v>
      </c>
      <c r="B19" s="200" t="s">
        <v>209</v>
      </c>
      <c r="C19">
        <v>0.8</v>
      </c>
      <c r="D19">
        <v>0.8</v>
      </c>
      <c r="E19">
        <v>0</v>
      </c>
      <c r="F19">
        <v>0.8</v>
      </c>
      <c r="G19">
        <v>0.8</v>
      </c>
      <c r="H19">
        <v>0</v>
      </c>
      <c r="I19">
        <v>0</v>
      </c>
      <c r="J19">
        <v>0</v>
      </c>
      <c r="K19">
        <v>0</v>
      </c>
    </row>
    <row r="20" spans="1:11" x14ac:dyDescent="0.15">
      <c r="A20">
        <v>19</v>
      </c>
      <c r="B20" s="200" t="s">
        <v>210</v>
      </c>
      <c r="C20">
        <v>0.8</v>
      </c>
      <c r="D20">
        <v>0.8</v>
      </c>
      <c r="E20">
        <v>0</v>
      </c>
      <c r="F20">
        <v>0.8</v>
      </c>
      <c r="G20">
        <v>0.8</v>
      </c>
      <c r="H20">
        <v>0</v>
      </c>
      <c r="I20">
        <v>0</v>
      </c>
      <c r="J20">
        <v>0</v>
      </c>
      <c r="K20">
        <v>0</v>
      </c>
    </row>
    <row r="21" spans="1:11" x14ac:dyDescent="0.15">
      <c r="A21">
        <v>20</v>
      </c>
      <c r="B21" s="200" t="s">
        <v>211</v>
      </c>
      <c r="C21">
        <v>0.8</v>
      </c>
      <c r="D21">
        <v>0.8</v>
      </c>
      <c r="E21">
        <v>0</v>
      </c>
      <c r="F21">
        <v>0.8</v>
      </c>
      <c r="G21">
        <v>0.8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200" t="s">
        <v>212</v>
      </c>
      <c r="C22">
        <v>0.8</v>
      </c>
      <c r="D22">
        <v>0.8</v>
      </c>
      <c r="E22">
        <v>0</v>
      </c>
      <c r="F22">
        <v>0.8</v>
      </c>
      <c r="G22">
        <v>0.8</v>
      </c>
      <c r="H22">
        <v>0</v>
      </c>
      <c r="I22">
        <v>0</v>
      </c>
      <c r="J22">
        <v>0</v>
      </c>
      <c r="K22">
        <v>0</v>
      </c>
    </row>
    <row r="23" spans="1:11" x14ac:dyDescent="0.15">
      <c r="A23">
        <v>22</v>
      </c>
      <c r="B23" s="200" t="s">
        <v>213</v>
      </c>
      <c r="C23">
        <v>0.8</v>
      </c>
      <c r="D23">
        <v>0.8</v>
      </c>
      <c r="E23">
        <v>0</v>
      </c>
      <c r="F23">
        <v>0</v>
      </c>
      <c r="G23">
        <v>0.8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200" t="s">
        <v>214</v>
      </c>
      <c r="C24">
        <v>0.8</v>
      </c>
      <c r="D24">
        <v>0.8</v>
      </c>
      <c r="E24">
        <v>0.8</v>
      </c>
      <c r="F24">
        <v>0.8</v>
      </c>
      <c r="G24">
        <v>0.8</v>
      </c>
      <c r="H24">
        <v>0.8</v>
      </c>
      <c r="I24">
        <v>0.8</v>
      </c>
      <c r="J24">
        <v>0</v>
      </c>
      <c r="K24">
        <v>0</v>
      </c>
    </row>
    <row r="25" spans="1:11" x14ac:dyDescent="0.15">
      <c r="A25">
        <v>24</v>
      </c>
      <c r="B25" s="200" t="s">
        <v>215</v>
      </c>
      <c r="C25">
        <v>0.8</v>
      </c>
      <c r="D25">
        <v>0.8</v>
      </c>
      <c r="E25">
        <v>0.8</v>
      </c>
      <c r="F25">
        <v>0.8</v>
      </c>
      <c r="G25">
        <v>0.8</v>
      </c>
      <c r="H25">
        <v>0.8</v>
      </c>
      <c r="I25">
        <v>0.8</v>
      </c>
      <c r="J25">
        <v>0</v>
      </c>
      <c r="K25">
        <v>0</v>
      </c>
    </row>
    <row r="26" spans="1:11" x14ac:dyDescent="0.15">
      <c r="A26">
        <v>25</v>
      </c>
      <c r="B26" s="200" t="s">
        <v>216</v>
      </c>
      <c r="C26">
        <v>0.8</v>
      </c>
      <c r="D26">
        <v>0.8</v>
      </c>
      <c r="E26">
        <v>0.8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200" t="s">
        <v>217</v>
      </c>
      <c r="C27">
        <v>0.8</v>
      </c>
      <c r="D27">
        <v>0.8</v>
      </c>
      <c r="E27">
        <v>0.8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200" t="s">
        <v>218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  <c r="J28">
        <v>0</v>
      </c>
      <c r="K28">
        <v>0</v>
      </c>
    </row>
    <row r="29" spans="1:11" x14ac:dyDescent="0.15">
      <c r="A29">
        <v>28</v>
      </c>
      <c r="B29" s="200" t="s">
        <v>219</v>
      </c>
      <c r="C29">
        <v>0.8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15">
      <c r="A30">
        <v>29</v>
      </c>
      <c r="B30" s="200" t="s">
        <v>220</v>
      </c>
      <c r="C30">
        <v>0.8</v>
      </c>
      <c r="D30">
        <v>0.8</v>
      </c>
      <c r="E30">
        <v>0.8</v>
      </c>
      <c r="F30">
        <v>0</v>
      </c>
      <c r="G30">
        <v>0.8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200" t="s">
        <v>221</v>
      </c>
      <c r="C31">
        <v>0.8</v>
      </c>
      <c r="D31">
        <v>0</v>
      </c>
      <c r="E31">
        <v>0</v>
      </c>
      <c r="F31">
        <v>0</v>
      </c>
      <c r="G31">
        <v>0.8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200" t="s">
        <v>222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</v>
      </c>
      <c r="K32">
        <v>0</v>
      </c>
    </row>
    <row r="33" spans="1:11" x14ac:dyDescent="0.15">
      <c r="A33">
        <v>32</v>
      </c>
      <c r="B33" s="200" t="s">
        <v>223</v>
      </c>
      <c r="C33">
        <v>0.8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</v>
      </c>
      <c r="K33">
        <v>0</v>
      </c>
    </row>
    <row r="34" spans="1:11" x14ac:dyDescent="0.15">
      <c r="A34">
        <v>33</v>
      </c>
      <c r="B34" s="200" t="s">
        <v>224</v>
      </c>
      <c r="C34">
        <v>0.8</v>
      </c>
      <c r="D34">
        <v>0</v>
      </c>
      <c r="E34">
        <v>0</v>
      </c>
      <c r="F34">
        <v>0</v>
      </c>
      <c r="G34">
        <v>0.8</v>
      </c>
      <c r="H34">
        <v>0</v>
      </c>
      <c r="I34">
        <v>0.8</v>
      </c>
      <c r="J34">
        <v>0</v>
      </c>
      <c r="K34">
        <v>0</v>
      </c>
    </row>
    <row r="35" spans="1:11" x14ac:dyDescent="0.15">
      <c r="A35">
        <v>34</v>
      </c>
      <c r="B35" s="200" t="s">
        <v>225</v>
      </c>
      <c r="C35">
        <v>0.8</v>
      </c>
      <c r="D35">
        <v>0.8</v>
      </c>
      <c r="E35">
        <v>0</v>
      </c>
      <c r="F35">
        <v>0.8</v>
      </c>
      <c r="G35">
        <v>0.8</v>
      </c>
      <c r="H35">
        <v>0</v>
      </c>
      <c r="I35">
        <v>0</v>
      </c>
      <c r="J35">
        <v>0</v>
      </c>
      <c r="K35">
        <v>0</v>
      </c>
    </row>
    <row r="36" spans="1:11" x14ac:dyDescent="0.15">
      <c r="A36">
        <v>35</v>
      </c>
      <c r="B36" s="200" t="s">
        <v>226</v>
      </c>
      <c r="C36">
        <v>0.8</v>
      </c>
      <c r="D36">
        <v>0.8</v>
      </c>
      <c r="E36">
        <v>0</v>
      </c>
      <c r="F36">
        <v>0</v>
      </c>
      <c r="G36">
        <v>0.8</v>
      </c>
      <c r="H36">
        <v>0</v>
      </c>
      <c r="I36">
        <v>0.8</v>
      </c>
      <c r="J36">
        <v>0</v>
      </c>
      <c r="K36">
        <v>0</v>
      </c>
    </row>
    <row r="37" spans="1:11" x14ac:dyDescent="0.15">
      <c r="A37">
        <v>36</v>
      </c>
      <c r="B37" s="200" t="s">
        <v>227</v>
      </c>
      <c r="C37">
        <v>0.8</v>
      </c>
      <c r="D37">
        <v>0</v>
      </c>
      <c r="E37">
        <v>0.8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15">
      <c r="A38">
        <v>37</v>
      </c>
      <c r="B38" s="200" t="s">
        <v>228</v>
      </c>
      <c r="C38">
        <v>0.8</v>
      </c>
      <c r="D38">
        <v>0.8</v>
      </c>
      <c r="E38">
        <v>0</v>
      </c>
      <c r="F38">
        <v>0</v>
      </c>
      <c r="G38">
        <v>0.8</v>
      </c>
      <c r="H38">
        <v>0</v>
      </c>
      <c r="I38">
        <v>0</v>
      </c>
      <c r="J38">
        <v>0</v>
      </c>
      <c r="K38">
        <v>0</v>
      </c>
    </row>
    <row r="39" spans="1:11" x14ac:dyDescent="0.15">
      <c r="A39">
        <v>38</v>
      </c>
      <c r="B39" s="200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15">
      <c r="A40">
        <v>39</v>
      </c>
      <c r="B40" s="200" t="s">
        <v>230</v>
      </c>
      <c r="C40">
        <v>0.8</v>
      </c>
      <c r="D40">
        <v>0</v>
      </c>
      <c r="E40">
        <v>0.8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15">
      <c r="A41">
        <v>40</v>
      </c>
      <c r="B41" s="200" t="s">
        <v>231</v>
      </c>
      <c r="C41">
        <v>0</v>
      </c>
      <c r="D41">
        <v>0</v>
      </c>
      <c r="E41">
        <v>0.8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15">
      <c r="A42">
        <v>41</v>
      </c>
      <c r="B42" s="200" t="s">
        <v>232</v>
      </c>
      <c r="C42">
        <v>0.8</v>
      </c>
      <c r="D42">
        <v>0</v>
      </c>
      <c r="E42">
        <v>0.8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15">
      <c r="A43">
        <v>42</v>
      </c>
      <c r="B43" s="200" t="s">
        <v>233</v>
      </c>
      <c r="C43">
        <v>0.8</v>
      </c>
      <c r="D43">
        <v>0</v>
      </c>
      <c r="E43">
        <v>0.8</v>
      </c>
      <c r="F43">
        <v>0</v>
      </c>
      <c r="G43">
        <v>0</v>
      </c>
      <c r="H43">
        <v>0</v>
      </c>
      <c r="I43">
        <v>0.8</v>
      </c>
      <c r="J43">
        <v>0</v>
      </c>
      <c r="K43">
        <v>0</v>
      </c>
    </row>
    <row r="44" spans="1:11" x14ac:dyDescent="0.15">
      <c r="A44">
        <v>43</v>
      </c>
      <c r="B44" s="200" t="s">
        <v>234</v>
      </c>
      <c r="C44">
        <v>0.8</v>
      </c>
      <c r="D44">
        <v>0</v>
      </c>
      <c r="E44">
        <v>0.8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15">
      <c r="A45">
        <v>44</v>
      </c>
      <c r="B45" s="200" t="s">
        <v>235</v>
      </c>
      <c r="C45">
        <v>0.8</v>
      </c>
      <c r="D45">
        <v>0</v>
      </c>
      <c r="E45">
        <v>0.8</v>
      </c>
      <c r="F45">
        <v>0</v>
      </c>
      <c r="G45">
        <v>0.8</v>
      </c>
      <c r="H45">
        <v>0</v>
      </c>
      <c r="I45">
        <v>0.8</v>
      </c>
      <c r="J45">
        <v>0</v>
      </c>
      <c r="K45">
        <v>0.8</v>
      </c>
    </row>
    <row r="46" spans="1:11" x14ac:dyDescent="0.15">
      <c r="A46">
        <v>45</v>
      </c>
      <c r="B46" s="200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0.8</v>
      </c>
    </row>
    <row r="47" spans="1:11" x14ac:dyDescent="0.15">
      <c r="A47">
        <v>46</v>
      </c>
      <c r="B47" s="200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15">
      <c r="A48">
        <v>47</v>
      </c>
      <c r="B48" s="200" t="s">
        <v>238</v>
      </c>
      <c r="C48">
        <v>0.8</v>
      </c>
      <c r="D48">
        <v>0.8</v>
      </c>
      <c r="E48">
        <v>0.8</v>
      </c>
      <c r="F48">
        <v>0.8</v>
      </c>
      <c r="G48">
        <v>0.8</v>
      </c>
      <c r="H48">
        <v>0.8</v>
      </c>
      <c r="I48">
        <v>0.8</v>
      </c>
      <c r="J48">
        <v>0</v>
      </c>
      <c r="K48">
        <v>0</v>
      </c>
    </row>
    <row r="49" spans="1:11" x14ac:dyDescent="0.15">
      <c r="A49">
        <v>48</v>
      </c>
      <c r="B49" s="200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15">
      <c r="A50">
        <v>49</v>
      </c>
      <c r="B50" s="200" t="s">
        <v>240</v>
      </c>
      <c r="C50">
        <v>0</v>
      </c>
      <c r="D50">
        <v>0</v>
      </c>
      <c r="E50">
        <v>0.8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15">
      <c r="A51">
        <v>50</v>
      </c>
      <c r="B51" s="200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15">
      <c r="A52">
        <v>51</v>
      </c>
      <c r="B52" s="200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15">
      <c r="A53">
        <v>52</v>
      </c>
      <c r="B53" s="200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15">
      <c r="A54">
        <v>53</v>
      </c>
      <c r="B54" s="200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2"/>
    <col min="2" max="2" width="41.83203125" style="82" bestFit="1" customWidth="1"/>
    <col min="3" max="3" width="9.33203125" style="82" bestFit="1" customWidth="1"/>
    <col min="4" max="4" width="13" style="82" bestFit="1" customWidth="1"/>
    <col min="5" max="6" width="9.33203125" style="82" bestFit="1" customWidth="1"/>
    <col min="7" max="7" width="9.33203125" style="98" bestFit="1" customWidth="1"/>
    <col min="8" max="8" width="9.33203125" style="82" bestFit="1" customWidth="1"/>
    <col min="9" max="9" width="11" style="82" customWidth="1"/>
    <col min="10" max="10" width="8.83203125" style="82"/>
    <col min="15" max="16384" width="8.83203125" style="8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3">
        <v>1</v>
      </c>
      <c r="B2" s="153" t="s">
        <v>192</v>
      </c>
      <c r="C2" s="8">
        <v>1</v>
      </c>
      <c r="D2" s="9">
        <v>118.90000152587891</v>
      </c>
      <c r="E2" s="9">
        <v>24.799999237060547</v>
      </c>
      <c r="F2" s="10"/>
      <c r="G2" s="9">
        <v>0.26004579663276672</v>
      </c>
      <c r="H2" s="10"/>
      <c r="I2">
        <v>1.031453013420105</v>
      </c>
      <c r="J2"/>
    </row>
    <row r="3" spans="1:10" ht="15" customHeight="1" x14ac:dyDescent="0.15">
      <c r="A3" s="154">
        <v>2</v>
      </c>
      <c r="B3" s="154" t="s">
        <v>193</v>
      </c>
      <c r="C3" s="8">
        <v>2.055556058883667</v>
      </c>
      <c r="D3" s="9">
        <v>2.6292500495910645</v>
      </c>
      <c r="E3" s="9">
        <v>45.279998779296875</v>
      </c>
      <c r="F3" s="9">
        <v>120</v>
      </c>
      <c r="G3" s="9">
        <v>0.65843218564987183</v>
      </c>
      <c r="H3" s="9">
        <v>0.37733331322669983</v>
      </c>
      <c r="I3">
        <v>0</v>
      </c>
      <c r="J3"/>
    </row>
    <row r="4" spans="1:10" ht="15" customHeight="1" x14ac:dyDescent="0.15">
      <c r="A4" s="155">
        <v>3</v>
      </c>
      <c r="B4" s="155" t="s">
        <v>194</v>
      </c>
      <c r="C4" s="8">
        <v>2.1601362228393555</v>
      </c>
      <c r="D4" s="9">
        <v>5.8707499504089355</v>
      </c>
      <c r="E4" s="9">
        <v>39.080001831054688</v>
      </c>
      <c r="F4" s="9">
        <v>80</v>
      </c>
      <c r="G4" s="9">
        <v>0.53191268444061279</v>
      </c>
      <c r="H4" s="9">
        <v>0.48850002884864807</v>
      </c>
      <c r="I4">
        <v>0</v>
      </c>
      <c r="J4"/>
    </row>
    <row r="5" spans="1:10" ht="15" customHeight="1" x14ac:dyDescent="0.15">
      <c r="A5" s="156">
        <v>4</v>
      </c>
      <c r="B5" s="156" t="s">
        <v>195</v>
      </c>
      <c r="C5" s="8">
        <v>3.1601362228393555</v>
      </c>
      <c r="D5" s="9">
        <v>1.1000000238418579</v>
      </c>
      <c r="E5" s="9">
        <v>18</v>
      </c>
      <c r="F5" s="9">
        <v>38</v>
      </c>
      <c r="G5" s="9">
        <v>3.3569362014532089E-2</v>
      </c>
      <c r="H5" s="9">
        <v>0.47368422150611877</v>
      </c>
      <c r="I5">
        <v>0</v>
      </c>
      <c r="J5"/>
    </row>
    <row r="6" spans="1:10" ht="15" customHeight="1" x14ac:dyDescent="0.15">
      <c r="A6" s="157">
        <v>5</v>
      </c>
      <c r="B6" s="157" t="s">
        <v>196</v>
      </c>
      <c r="C6" s="8">
        <v>2</v>
      </c>
      <c r="D6" s="9">
        <v>13.642000198364258</v>
      </c>
      <c r="E6" s="9">
        <v>3</v>
      </c>
      <c r="F6" s="9">
        <v>20</v>
      </c>
      <c r="G6" s="9">
        <v>0.79805666208267212</v>
      </c>
      <c r="H6" s="9">
        <v>0.15000000596046448</v>
      </c>
      <c r="I6">
        <v>0</v>
      </c>
      <c r="J6"/>
    </row>
    <row r="7" spans="1:10" ht="15" customHeight="1" x14ac:dyDescent="0.15">
      <c r="A7" s="158">
        <v>6</v>
      </c>
      <c r="B7" s="158" t="s">
        <v>197</v>
      </c>
      <c r="C7" s="8">
        <v>2.6063745021820068</v>
      </c>
      <c r="D7" s="9">
        <v>5.070000171661377</v>
      </c>
      <c r="E7" s="9">
        <v>0.30000001192092896</v>
      </c>
      <c r="F7" s="9">
        <v>2</v>
      </c>
      <c r="G7" s="9">
        <v>0.26617684960365295</v>
      </c>
      <c r="H7" s="9">
        <v>0.15000000596046448</v>
      </c>
      <c r="I7">
        <v>0</v>
      </c>
      <c r="J7"/>
    </row>
    <row r="8" spans="1:10" ht="15" customHeight="1" x14ac:dyDescent="0.15">
      <c r="A8" s="159">
        <v>7</v>
      </c>
      <c r="B8" s="159" t="s">
        <v>198</v>
      </c>
      <c r="C8" s="8">
        <v>2.4345536231994629</v>
      </c>
      <c r="D8" s="9">
        <v>5.5523223876953125</v>
      </c>
      <c r="E8" s="9">
        <v>3.9600000381469727</v>
      </c>
      <c r="F8" s="9">
        <v>13.199999809265137</v>
      </c>
      <c r="G8" s="9">
        <v>0.89999973773956299</v>
      </c>
      <c r="H8" s="9">
        <v>0.30000001192092896</v>
      </c>
      <c r="I8">
        <v>1.4309999532997608E-3</v>
      </c>
      <c r="J8"/>
    </row>
    <row r="9" spans="1:10" ht="15" customHeight="1" x14ac:dyDescent="0.15">
      <c r="A9" s="160">
        <v>8</v>
      </c>
      <c r="B9" s="160" t="s">
        <v>199</v>
      </c>
      <c r="C9" s="8">
        <v>3.0496089458465576</v>
      </c>
      <c r="D9" s="9">
        <v>0.36478400230407715</v>
      </c>
      <c r="E9" s="9">
        <v>0.64099997282028198</v>
      </c>
      <c r="F9" s="9">
        <v>8.0299997329711914</v>
      </c>
      <c r="G9" s="9">
        <v>0.89964330196380615</v>
      </c>
      <c r="H9" s="9">
        <v>7.9825654625892639E-2</v>
      </c>
      <c r="I9">
        <v>0.18400399386882782</v>
      </c>
      <c r="J9"/>
    </row>
    <row r="10" spans="1:10" ht="15" customHeight="1" x14ac:dyDescent="0.15">
      <c r="A10" s="161">
        <v>9</v>
      </c>
      <c r="B10" s="161" t="s">
        <v>200</v>
      </c>
      <c r="C10" s="8">
        <v>2.2302532196044922</v>
      </c>
      <c r="D10" s="9">
        <v>8.8257741928100586</v>
      </c>
      <c r="E10" s="9">
        <v>0.66200000047683716</v>
      </c>
      <c r="F10" s="9">
        <v>6.934999942779541</v>
      </c>
      <c r="G10" s="9">
        <v>0.9008185863494873</v>
      </c>
      <c r="H10" s="9">
        <v>9.545782208442688E-2</v>
      </c>
      <c r="I10">
        <v>0</v>
      </c>
      <c r="J10"/>
    </row>
    <row r="11" spans="1:10" ht="15" customHeight="1" x14ac:dyDescent="0.15">
      <c r="A11" s="162">
        <v>10</v>
      </c>
      <c r="B11" s="162" t="s">
        <v>201</v>
      </c>
      <c r="C11" s="8">
        <v>2</v>
      </c>
      <c r="D11" s="9">
        <v>17.409999847412109</v>
      </c>
      <c r="E11" s="9">
        <v>0.88870400190353394</v>
      </c>
      <c r="F11" s="9">
        <v>9.8744888305664062</v>
      </c>
      <c r="G11" s="9">
        <v>0.85513925552368164</v>
      </c>
      <c r="H11" s="9">
        <v>9.0000003576278687E-2</v>
      </c>
      <c r="I11">
        <v>0.10498499870300293</v>
      </c>
      <c r="J11"/>
    </row>
    <row r="12" spans="1:10" ht="15" customHeight="1" x14ac:dyDescent="0.15">
      <c r="A12" s="163">
        <v>11</v>
      </c>
      <c r="B12" s="163" t="s">
        <v>202</v>
      </c>
      <c r="C12" s="8">
        <v>2</v>
      </c>
      <c r="D12" s="9">
        <v>0.5219460129737854</v>
      </c>
      <c r="E12" s="9">
        <v>0.80000001192092896</v>
      </c>
      <c r="F12" s="9">
        <v>8.8888883590698242</v>
      </c>
      <c r="G12" s="9">
        <v>0.75019294023513794</v>
      </c>
      <c r="H12" s="9">
        <v>9.0000003576278687E-2</v>
      </c>
      <c r="I12">
        <v>0.31316700577735901</v>
      </c>
      <c r="J12"/>
    </row>
    <row r="13" spans="1:10" ht="15" customHeight="1" x14ac:dyDescent="0.15">
      <c r="A13" s="164">
        <v>12</v>
      </c>
      <c r="B13" s="164" t="s">
        <v>203</v>
      </c>
      <c r="C13" s="8">
        <v>2.3037998676300049</v>
      </c>
      <c r="D13" s="9">
        <v>5.1572108268737793</v>
      </c>
      <c r="E13" s="9">
        <v>1.9470000267028809</v>
      </c>
      <c r="F13" s="9">
        <v>12.979999542236328</v>
      </c>
      <c r="G13" s="9">
        <v>0.90496128797531128</v>
      </c>
      <c r="H13" s="9">
        <v>0.15000000596046448</v>
      </c>
      <c r="I13">
        <v>1.9200999289751053E-2</v>
      </c>
      <c r="J13"/>
    </row>
    <row r="14" spans="1:10" ht="15" customHeight="1" x14ac:dyDescent="0.15">
      <c r="A14" s="165">
        <v>13</v>
      </c>
      <c r="B14" s="165" t="s">
        <v>204</v>
      </c>
      <c r="C14" s="8">
        <v>2.4377751350402832</v>
      </c>
      <c r="D14" s="9">
        <v>0.5108180046081543</v>
      </c>
      <c r="E14" s="9">
        <v>0.60000002384185791</v>
      </c>
      <c r="F14" s="9">
        <v>4</v>
      </c>
      <c r="G14" s="9">
        <v>0.7179381251335144</v>
      </c>
      <c r="H14" s="9">
        <v>0.15000000596046448</v>
      </c>
      <c r="I14">
        <v>0.20424400269985199</v>
      </c>
      <c r="J14"/>
    </row>
    <row r="15" spans="1:10" ht="15" customHeight="1" x14ac:dyDescent="0.15">
      <c r="A15" s="166">
        <v>14</v>
      </c>
      <c r="B15" s="166" t="s">
        <v>205</v>
      </c>
      <c r="C15" s="8">
        <v>3.1072642803192139</v>
      </c>
      <c r="D15" s="9">
        <v>1.0227999649941921E-2</v>
      </c>
      <c r="E15" s="9">
        <v>0.51499998569488525</v>
      </c>
      <c r="F15" s="9">
        <v>5.8499999046325684</v>
      </c>
      <c r="G15" s="9">
        <v>0.8997725248336792</v>
      </c>
      <c r="H15" s="9">
        <v>8.8034190237522125E-2</v>
      </c>
      <c r="I15">
        <v>4.0910001844167709E-3</v>
      </c>
      <c r="J15"/>
    </row>
    <row r="16" spans="1:10" ht="15" customHeight="1" x14ac:dyDescent="0.15">
      <c r="A16" s="167">
        <v>15</v>
      </c>
      <c r="B16" s="167" t="s">
        <v>206</v>
      </c>
      <c r="C16" s="8">
        <v>3.0991556644439697</v>
      </c>
      <c r="D16" s="9">
        <v>1.8245890140533447</v>
      </c>
      <c r="E16" s="9">
        <v>1.5729999542236328</v>
      </c>
      <c r="F16" s="9">
        <v>9.6604299545288086</v>
      </c>
      <c r="G16" s="9">
        <v>0.90500003099441528</v>
      </c>
      <c r="H16" s="9">
        <v>0.16282919049263</v>
      </c>
      <c r="I16">
        <v>4.2249999940395355E-2</v>
      </c>
      <c r="J16"/>
    </row>
    <row r="17" spans="1:10" ht="15" customHeight="1" x14ac:dyDescent="0.15">
      <c r="A17" s="168">
        <v>16</v>
      </c>
      <c r="B17" s="168" t="s">
        <v>207</v>
      </c>
      <c r="C17" s="8">
        <v>3.3850440979003906</v>
      </c>
      <c r="D17" s="9">
        <v>1.4173259735107422</v>
      </c>
      <c r="E17" s="9">
        <v>1.2719999551773071</v>
      </c>
      <c r="F17" s="9">
        <v>5.9279999732971191</v>
      </c>
      <c r="G17" s="9">
        <v>0.87880343198776245</v>
      </c>
      <c r="H17" s="9">
        <v>0.21457488834857941</v>
      </c>
      <c r="I17">
        <v>8.174799382686615E-2</v>
      </c>
      <c r="J17"/>
    </row>
    <row r="18" spans="1:10" ht="15" customHeight="1" x14ac:dyDescent="0.15">
      <c r="A18" s="169">
        <v>17</v>
      </c>
      <c r="B18" s="169" t="s">
        <v>208</v>
      </c>
      <c r="C18" s="8">
        <v>3.2970449924468994</v>
      </c>
      <c r="D18" s="9">
        <v>0.16935956478118896</v>
      </c>
      <c r="E18" s="9">
        <v>0.51999998092651367</v>
      </c>
      <c r="F18" s="9">
        <v>5.7005929946899414</v>
      </c>
      <c r="G18" s="9">
        <v>0.89999997615814209</v>
      </c>
      <c r="H18" s="9">
        <v>9.1218575835227966E-2</v>
      </c>
      <c r="I18">
        <v>5.778999999165535E-3</v>
      </c>
      <c r="J18"/>
    </row>
    <row r="19" spans="1:10" ht="15" customHeight="1" x14ac:dyDescent="0.15">
      <c r="A19" s="170">
        <v>18</v>
      </c>
      <c r="B19" s="170" t="s">
        <v>209</v>
      </c>
      <c r="C19" s="8">
        <v>3.0112781524658203</v>
      </c>
      <c r="D19" s="9">
        <v>1.4921394176781178E-2</v>
      </c>
      <c r="E19" s="9">
        <v>0.75</v>
      </c>
      <c r="F19" s="9">
        <v>10.075942993164062</v>
      </c>
      <c r="G19" s="9">
        <v>0.50095808506011963</v>
      </c>
      <c r="H19" s="9">
        <v>7.4434719979763031E-2</v>
      </c>
      <c r="I19">
        <v>2.2070000413805246E-3</v>
      </c>
      <c r="J19"/>
    </row>
    <row r="20" spans="1:10" ht="15" customHeight="1" x14ac:dyDescent="0.15">
      <c r="A20" s="171">
        <v>19</v>
      </c>
      <c r="B20" s="171" t="s">
        <v>210</v>
      </c>
      <c r="C20" s="8">
        <v>3.0112886428833008</v>
      </c>
      <c r="D20" s="9">
        <v>4.4231999665498734E-2</v>
      </c>
      <c r="E20" s="9">
        <v>0.43000000715255737</v>
      </c>
      <c r="F20" s="9">
        <v>5.1751527786254883</v>
      </c>
      <c r="G20" s="9">
        <v>0.59378397464752197</v>
      </c>
      <c r="H20" s="9">
        <v>8.3089336752891541E-2</v>
      </c>
      <c r="I20">
        <v>1.1216000653803349E-2</v>
      </c>
      <c r="J20"/>
    </row>
    <row r="21" spans="1:10" ht="15" customHeight="1" x14ac:dyDescent="0.15">
      <c r="A21" s="172">
        <v>20</v>
      </c>
      <c r="B21" s="172" t="s">
        <v>211</v>
      </c>
      <c r="C21" s="8">
        <v>3.0033276081085205</v>
      </c>
      <c r="D21" s="9">
        <v>2.5407116860151291E-2</v>
      </c>
      <c r="E21" s="9">
        <v>1.5099999904632568</v>
      </c>
      <c r="F21" s="9">
        <v>11.815391540527344</v>
      </c>
      <c r="G21" s="9">
        <v>0.44897115230560303</v>
      </c>
      <c r="H21" s="9">
        <v>0.12779940664768219</v>
      </c>
      <c r="I21">
        <v>9.2520006000995636E-3</v>
      </c>
      <c r="J21"/>
    </row>
    <row r="22" spans="1:10" ht="15" customHeight="1" x14ac:dyDescent="0.15">
      <c r="A22" s="173">
        <v>21</v>
      </c>
      <c r="B22" s="173" t="s">
        <v>212</v>
      </c>
      <c r="C22" s="8">
        <v>3.0033276081085205</v>
      </c>
      <c r="D22" s="9">
        <v>3.391600027680397E-2</v>
      </c>
      <c r="E22" s="9">
        <v>0.75470000505447388</v>
      </c>
      <c r="F22" s="9">
        <v>4.1841812133789062</v>
      </c>
      <c r="G22" s="9">
        <v>0.67376911640167236</v>
      </c>
      <c r="H22" s="9">
        <v>0.18036982417106628</v>
      </c>
      <c r="I22">
        <v>1.5809999778866768E-2</v>
      </c>
      <c r="J22"/>
    </row>
    <row r="23" spans="1:10" ht="15" customHeight="1" x14ac:dyDescent="0.15">
      <c r="A23" s="174">
        <v>22</v>
      </c>
      <c r="B23" s="174" t="s">
        <v>213</v>
      </c>
      <c r="C23" s="8">
        <v>3.1905512809753418</v>
      </c>
      <c r="D23" s="9">
        <v>3.3362001180648804E-2</v>
      </c>
      <c r="E23" s="9">
        <v>0.75300002098083496</v>
      </c>
      <c r="F23" s="9">
        <v>6.0006928443908691</v>
      </c>
      <c r="G23" s="9">
        <v>0.79431366920471191</v>
      </c>
      <c r="H23" s="9">
        <v>0.12548550963401794</v>
      </c>
      <c r="I23">
        <v>5.7020001113414764E-3</v>
      </c>
      <c r="J23"/>
    </row>
    <row r="24" spans="1:10" ht="15" customHeight="1" x14ac:dyDescent="0.15">
      <c r="A24" s="175">
        <v>23</v>
      </c>
      <c r="B24" s="175" t="s">
        <v>214</v>
      </c>
      <c r="C24" s="8">
        <v>3.1443140506744385</v>
      </c>
      <c r="D24" s="9">
        <v>6.0107998549938202E-2</v>
      </c>
      <c r="E24" s="9">
        <v>0.59899997711181641</v>
      </c>
      <c r="F24" s="9">
        <v>5.3154258728027344</v>
      </c>
      <c r="G24" s="9">
        <v>0.89956659078598022</v>
      </c>
      <c r="H24" s="9">
        <v>0.11269087344408035</v>
      </c>
      <c r="I24">
        <v>2.3251999169588089E-2</v>
      </c>
      <c r="J24"/>
    </row>
    <row r="25" spans="1:10" ht="15" customHeight="1" x14ac:dyDescent="0.15">
      <c r="A25" s="176">
        <v>24</v>
      </c>
      <c r="B25" s="176" t="s">
        <v>215</v>
      </c>
      <c r="C25" s="8">
        <v>3.850421667098999</v>
      </c>
      <c r="D25" s="9">
        <v>6.0233999043703079E-2</v>
      </c>
      <c r="E25" s="9">
        <v>0.54540002346038818</v>
      </c>
      <c r="F25" s="9">
        <v>4.9619431495666504</v>
      </c>
      <c r="G25" s="9">
        <v>0.71562361717224121</v>
      </c>
      <c r="H25" s="9">
        <v>0.10991661995649338</v>
      </c>
      <c r="I25">
        <v>2.0601997151970863E-2</v>
      </c>
      <c r="J25"/>
    </row>
    <row r="26" spans="1:10" ht="15" customHeight="1" x14ac:dyDescent="0.15">
      <c r="A26" s="177">
        <v>25</v>
      </c>
      <c r="B26" s="177" t="s">
        <v>216</v>
      </c>
      <c r="C26" s="8">
        <v>3.3959231376647949</v>
      </c>
      <c r="D26" s="9">
        <v>0.28565299510955811</v>
      </c>
      <c r="E26" s="9">
        <v>0.57400000095367432</v>
      </c>
      <c r="F26" s="9">
        <v>5.7577700614929199</v>
      </c>
      <c r="G26" s="9">
        <v>0.82994264364242554</v>
      </c>
      <c r="H26" s="9">
        <v>9.9691376090049744E-2</v>
      </c>
      <c r="I26">
        <v>0.11322199553251266</v>
      </c>
      <c r="J26"/>
    </row>
    <row r="27" spans="1:10" ht="15" customHeight="1" x14ac:dyDescent="0.15">
      <c r="A27" s="178">
        <v>26</v>
      </c>
      <c r="B27" s="178" t="s">
        <v>217</v>
      </c>
      <c r="C27" s="8">
        <v>3.2941858768463135</v>
      </c>
      <c r="D27" s="9">
        <v>3.4481752663850784E-2</v>
      </c>
      <c r="E27" s="9">
        <v>1.6000000238418579</v>
      </c>
      <c r="F27" s="9">
        <v>14.89432430267334</v>
      </c>
      <c r="G27" s="9">
        <v>0.86625635623931885</v>
      </c>
      <c r="H27" s="9">
        <v>0.10742346942424774</v>
      </c>
      <c r="I27">
        <v>1.4319999609142542E-3</v>
      </c>
      <c r="J27"/>
    </row>
    <row r="28" spans="1:10" ht="15" customHeight="1" x14ac:dyDescent="0.15">
      <c r="A28" s="179">
        <v>27</v>
      </c>
      <c r="B28" s="179" t="s">
        <v>218</v>
      </c>
      <c r="C28" s="8">
        <v>4.0736513137817383</v>
      </c>
      <c r="D28" s="9">
        <v>0.12162899971008301</v>
      </c>
      <c r="E28" s="9">
        <v>0.7879670262336731</v>
      </c>
      <c r="F28" s="9">
        <v>5.6309928894042969</v>
      </c>
      <c r="G28" s="9">
        <v>0.39298796653747559</v>
      </c>
      <c r="H28" s="9">
        <v>0.13993394374847412</v>
      </c>
      <c r="I28">
        <v>3.6709997802972794E-2</v>
      </c>
      <c r="J28"/>
    </row>
    <row r="29" spans="1:10" ht="15" customHeight="1" x14ac:dyDescent="0.15">
      <c r="A29" s="180">
        <v>28</v>
      </c>
      <c r="B29" s="180" t="s">
        <v>219</v>
      </c>
      <c r="C29" s="8">
        <v>3.5169155597686768</v>
      </c>
      <c r="D29" s="9">
        <v>1.2438336387276649E-2</v>
      </c>
      <c r="E29" s="9">
        <v>1.8799999952316284</v>
      </c>
      <c r="F29" s="9">
        <v>8.6035223007202148</v>
      </c>
      <c r="G29" s="9">
        <v>0.66295844316482544</v>
      </c>
      <c r="H29" s="9">
        <v>0.21851515769958496</v>
      </c>
      <c r="I29">
        <v>5.5209998972713947E-3</v>
      </c>
      <c r="J29"/>
    </row>
    <row r="30" spans="1:10" ht="15" customHeight="1" x14ac:dyDescent="0.15">
      <c r="A30" s="181">
        <v>29</v>
      </c>
      <c r="B30" s="181" t="s">
        <v>220</v>
      </c>
      <c r="C30" s="8">
        <v>3.9648921489715576</v>
      </c>
      <c r="D30" s="9">
        <v>1.6435999423265457E-2</v>
      </c>
      <c r="E30" s="9">
        <v>0.99000000953674316</v>
      </c>
      <c r="F30" s="9">
        <v>3.4601690769195557</v>
      </c>
      <c r="G30" s="9">
        <v>0.56994873285293579</v>
      </c>
      <c r="H30" s="9">
        <v>0.2861132025718689</v>
      </c>
      <c r="I30">
        <v>9.2740003019571304E-3</v>
      </c>
      <c r="J30"/>
    </row>
    <row r="31" spans="1:10" ht="15" customHeight="1" x14ac:dyDescent="0.15">
      <c r="A31" s="182">
        <v>30</v>
      </c>
      <c r="B31" s="182" t="s">
        <v>221</v>
      </c>
      <c r="C31" s="8">
        <v>4.4222679138183594</v>
      </c>
      <c r="D31" s="9">
        <v>2.558399923145771E-2</v>
      </c>
      <c r="E31" s="9">
        <v>0.52799999713897705</v>
      </c>
      <c r="F31" s="9">
        <v>3.8721349239349365</v>
      </c>
      <c r="G31" s="9">
        <v>0.9004138708114624</v>
      </c>
      <c r="H31" s="9">
        <v>0.13635888695716858</v>
      </c>
      <c r="I31">
        <v>7.9370001330971718E-3</v>
      </c>
      <c r="J31"/>
    </row>
    <row r="32" spans="1:10" ht="15" customHeight="1" x14ac:dyDescent="0.15">
      <c r="A32" s="210">
        <v>31</v>
      </c>
      <c r="B32" s="210" t="s">
        <v>222</v>
      </c>
      <c r="C32" s="8">
        <v>3.4185857772827148</v>
      </c>
      <c r="D32" s="9">
        <v>0.40070998668670654</v>
      </c>
      <c r="E32" s="9">
        <v>0.37992298603057861</v>
      </c>
      <c r="F32" s="9">
        <v>4.7744879722595215</v>
      </c>
      <c r="G32" s="9">
        <v>0.25680530071258545</v>
      </c>
      <c r="H32" s="9">
        <v>7.9573556780815125E-2</v>
      </c>
      <c r="I32">
        <v>3.903999924659729E-2</v>
      </c>
      <c r="J32"/>
    </row>
    <row r="33" spans="1:10" ht="15" customHeight="1" x14ac:dyDescent="0.15">
      <c r="A33" s="211">
        <v>32</v>
      </c>
      <c r="B33" s="211" t="s">
        <v>223</v>
      </c>
      <c r="C33" s="8">
        <v>3.4500370025634766</v>
      </c>
      <c r="D33" s="9">
        <v>9.5717929303646088E-2</v>
      </c>
      <c r="E33" s="9">
        <v>0.60000002384185791</v>
      </c>
      <c r="F33" s="9">
        <v>4.2275772094726562</v>
      </c>
      <c r="G33" s="9">
        <v>0.80000001192092896</v>
      </c>
      <c r="H33" s="9">
        <v>0.14192526042461395</v>
      </c>
      <c r="I33">
        <v>4.590899869799614E-2</v>
      </c>
      <c r="J33"/>
    </row>
    <row r="34" spans="1:10" ht="15" customHeight="1" x14ac:dyDescent="0.15">
      <c r="A34" s="212">
        <v>33</v>
      </c>
      <c r="B34" s="212" t="s">
        <v>224</v>
      </c>
      <c r="C34" s="8">
        <v>3.8175010681152344</v>
      </c>
      <c r="D34" s="9">
        <v>0.30087199807167053</v>
      </c>
      <c r="E34" s="9">
        <v>0.82750397920608521</v>
      </c>
      <c r="F34" s="9">
        <v>4.0525717735290527</v>
      </c>
      <c r="G34" s="9">
        <v>0.65784072875976562</v>
      </c>
      <c r="H34" s="9">
        <v>0.20419231057167053</v>
      </c>
      <c r="I34">
        <v>6.0487996786832809E-2</v>
      </c>
      <c r="J34"/>
    </row>
    <row r="35" spans="1:10" ht="15" customHeight="1" x14ac:dyDescent="0.15">
      <c r="A35" s="213">
        <v>34</v>
      </c>
      <c r="B35" s="213" t="s">
        <v>225</v>
      </c>
      <c r="C35" s="8">
        <v>4.1799807548522949</v>
      </c>
      <c r="D35" s="9">
        <v>0.15149199962615967</v>
      </c>
      <c r="E35" s="9">
        <v>0.41100001335144043</v>
      </c>
      <c r="F35" s="9">
        <v>2.8309109210968018</v>
      </c>
      <c r="G35" s="9">
        <v>0.6854667067527771</v>
      </c>
      <c r="H35" s="9">
        <v>0.14518295228481293</v>
      </c>
      <c r="I35">
        <v>3.7167999893426895E-2</v>
      </c>
      <c r="J35"/>
    </row>
    <row r="36" spans="1:10" ht="15" customHeight="1" x14ac:dyDescent="0.15">
      <c r="A36" s="214">
        <v>35</v>
      </c>
      <c r="B36" s="214" t="s">
        <v>226</v>
      </c>
      <c r="C36" s="8">
        <v>4.0097055435180664</v>
      </c>
      <c r="D36" s="9">
        <v>0.11087600141763687</v>
      </c>
      <c r="E36" s="9">
        <v>0.45800000429153442</v>
      </c>
      <c r="F36" s="9">
        <v>3.0622060298919678</v>
      </c>
      <c r="G36" s="9">
        <v>0.89937925338745117</v>
      </c>
      <c r="H36" s="9">
        <v>0.14956538379192352</v>
      </c>
      <c r="I36">
        <v>3.7843998521566391E-2</v>
      </c>
      <c r="J36"/>
    </row>
    <row r="37" spans="1:10" ht="15" customHeight="1" x14ac:dyDescent="0.15">
      <c r="A37" s="215">
        <v>36</v>
      </c>
      <c r="B37" s="215" t="s">
        <v>227</v>
      </c>
      <c r="C37" s="8">
        <v>3.0050241947174072</v>
      </c>
      <c r="D37" s="9">
        <v>0.11809299886226654</v>
      </c>
      <c r="E37" s="9">
        <v>0.61299997568130493</v>
      </c>
      <c r="F37" s="9">
        <v>4.6091299057006836</v>
      </c>
      <c r="G37" s="9">
        <v>0.89940649271011353</v>
      </c>
      <c r="H37" s="9">
        <v>0.13299690186977386</v>
      </c>
      <c r="I37">
        <v>4.0550999343395233E-2</v>
      </c>
      <c r="J37"/>
    </row>
    <row r="38" spans="1:10" ht="15" customHeight="1" x14ac:dyDescent="0.15">
      <c r="A38" s="216">
        <v>37</v>
      </c>
      <c r="B38" s="216" t="s">
        <v>228</v>
      </c>
      <c r="C38" s="8">
        <v>4.2242641448974609</v>
      </c>
      <c r="D38" s="9">
        <v>1.4999999664723873E-2</v>
      </c>
      <c r="E38" s="9">
        <v>0.65225899219512939</v>
      </c>
      <c r="F38" s="9">
        <v>4.9938168525695801</v>
      </c>
      <c r="G38" s="9">
        <v>0.6388055682182312</v>
      </c>
      <c r="H38" s="9">
        <v>0.13061331212520599</v>
      </c>
      <c r="I38">
        <v>6.2500000931322575E-3</v>
      </c>
      <c r="J38"/>
    </row>
    <row r="39" spans="1:10" ht="15" customHeight="1" x14ac:dyDescent="0.15">
      <c r="A39" s="217">
        <v>38</v>
      </c>
      <c r="B39" s="217" t="s">
        <v>229</v>
      </c>
      <c r="C39" s="8">
        <v>3.1289286613464355</v>
      </c>
      <c r="D39" s="9">
        <v>2.9368231296539307</v>
      </c>
      <c r="E39" s="9">
        <v>1.2899999618530273</v>
      </c>
      <c r="F39" s="9">
        <v>10.142289161682129</v>
      </c>
      <c r="G39" s="9">
        <v>0.89999997615814209</v>
      </c>
      <c r="H39" s="9">
        <v>0.12719021737575531</v>
      </c>
      <c r="I39">
        <v>0</v>
      </c>
      <c r="J39"/>
    </row>
    <row r="40" spans="1:10" ht="15" customHeight="1" x14ac:dyDescent="0.15">
      <c r="A40" s="218">
        <v>39</v>
      </c>
      <c r="B40" s="218" t="s">
        <v>230</v>
      </c>
      <c r="C40" s="8">
        <v>3.0973880290985107</v>
      </c>
      <c r="D40" s="9">
        <v>6.8300001323223114E-2</v>
      </c>
      <c r="E40" s="9">
        <v>0.99747598171234131</v>
      </c>
      <c r="F40" s="9">
        <v>6.3538107872009277</v>
      </c>
      <c r="G40" s="9">
        <v>0.8876221776008606</v>
      </c>
      <c r="H40" s="9">
        <v>0.15698862075805664</v>
      </c>
      <c r="I40">
        <v>1.0200999677181244E-2</v>
      </c>
      <c r="J40"/>
    </row>
    <row r="41" spans="1:10" ht="15" customHeight="1" x14ac:dyDescent="0.15">
      <c r="A41" s="219">
        <v>40</v>
      </c>
      <c r="B41" s="219" t="s">
        <v>231</v>
      </c>
      <c r="C41" s="8">
        <v>3.13167405128479</v>
      </c>
      <c r="D41" s="9">
        <v>0.5248754620552063</v>
      </c>
      <c r="E41" s="9">
        <v>1.2100000381469727</v>
      </c>
      <c r="F41" s="9">
        <v>9.6809062957763672</v>
      </c>
      <c r="G41" s="9">
        <v>0.90000003576278687</v>
      </c>
      <c r="H41" s="9">
        <v>0.12498830258846283</v>
      </c>
      <c r="I41">
        <v>4.2407002300024033E-2</v>
      </c>
      <c r="J41"/>
    </row>
    <row r="42" spans="1:10" ht="15" customHeight="1" x14ac:dyDescent="0.15">
      <c r="A42" s="220">
        <v>41</v>
      </c>
      <c r="B42" s="220" t="s">
        <v>232</v>
      </c>
      <c r="C42" s="8">
        <v>3.1183042526245117</v>
      </c>
      <c r="D42" s="9">
        <v>0.68800002336502075</v>
      </c>
      <c r="E42" s="9">
        <v>0.6393200159072876</v>
      </c>
      <c r="F42" s="9">
        <v>7.9217238426208496</v>
      </c>
      <c r="G42" s="9">
        <v>0.80217015743255615</v>
      </c>
      <c r="H42" s="9">
        <v>8.0704659223556519E-2</v>
      </c>
      <c r="I42">
        <v>0.100894995033741</v>
      </c>
      <c r="J42"/>
    </row>
    <row r="43" spans="1:10" ht="15" customHeight="1" x14ac:dyDescent="0.15">
      <c r="A43" s="221">
        <v>42</v>
      </c>
      <c r="B43" s="221" t="s">
        <v>233</v>
      </c>
      <c r="C43" s="8">
        <v>3.439894437789917</v>
      </c>
      <c r="D43" s="9">
        <v>1.3632040023803711</v>
      </c>
      <c r="E43" s="9">
        <v>0.3619999885559082</v>
      </c>
      <c r="F43" s="9">
        <v>6</v>
      </c>
      <c r="G43" s="9">
        <v>0.89979922771453857</v>
      </c>
      <c r="H43" s="9">
        <v>6.0333330184221268E-2</v>
      </c>
      <c r="I43">
        <v>0.34725397825241089</v>
      </c>
      <c r="J43"/>
    </row>
    <row r="44" spans="1:10" ht="15" customHeight="1" x14ac:dyDescent="0.15">
      <c r="A44" s="222">
        <v>43</v>
      </c>
      <c r="B44" s="222" t="s">
        <v>234</v>
      </c>
      <c r="C44" s="8">
        <v>3.583174467086792</v>
      </c>
      <c r="D44" s="9">
        <v>0.70358598232269287</v>
      </c>
      <c r="E44" s="9">
        <v>0.39399999380111694</v>
      </c>
      <c r="F44" s="9">
        <v>5.563413143157959</v>
      </c>
      <c r="G44" s="9">
        <v>0.90026688575744629</v>
      </c>
      <c r="H44" s="9">
        <v>7.0819832384586334E-2</v>
      </c>
      <c r="I44">
        <v>0.16891300678253174</v>
      </c>
      <c r="J44"/>
    </row>
    <row r="45" spans="1:10" ht="15" customHeight="1" x14ac:dyDescent="0.15">
      <c r="A45" s="223">
        <v>44</v>
      </c>
      <c r="B45" s="223" t="s">
        <v>235</v>
      </c>
      <c r="C45" s="8">
        <v>3.4654617309570312</v>
      </c>
      <c r="D45" s="9">
        <v>6.4597003161907196E-2</v>
      </c>
      <c r="E45" s="9">
        <v>0.42179200053215027</v>
      </c>
      <c r="F45" s="9">
        <v>3.9141149520874023</v>
      </c>
      <c r="G45" s="9">
        <v>0.44200170040130615</v>
      </c>
      <c r="H45" s="9">
        <v>0.10776177793741226</v>
      </c>
      <c r="I45">
        <v>1.2042999267578125E-2</v>
      </c>
      <c r="J45"/>
    </row>
    <row r="46" spans="1:10" ht="15" customHeight="1" x14ac:dyDescent="0.15">
      <c r="A46" s="224">
        <v>45</v>
      </c>
      <c r="B46" s="224" t="s">
        <v>236</v>
      </c>
      <c r="C46" s="8">
        <v>4.4376254081726074</v>
      </c>
      <c r="D46" s="9">
        <v>2.0000000949949026E-3</v>
      </c>
      <c r="E46" s="9">
        <v>0.23638500273227692</v>
      </c>
      <c r="F46" s="9">
        <v>2.5256240367889404</v>
      </c>
      <c r="G46" s="9">
        <v>0.37358185648918152</v>
      </c>
      <c r="H46" s="9">
        <v>9.3594692647457123E-2</v>
      </c>
      <c r="I46">
        <v>1.1999999696854502E-4</v>
      </c>
      <c r="J46"/>
    </row>
    <row r="47" spans="1:10" ht="15" customHeight="1" x14ac:dyDescent="0.15">
      <c r="A47" s="225">
        <v>46</v>
      </c>
      <c r="B47" s="225" t="s">
        <v>237</v>
      </c>
      <c r="C47" s="8">
        <v>3.1601362228393555</v>
      </c>
      <c r="D47" s="9">
        <v>3.4000001847743988E-2</v>
      </c>
      <c r="E47" s="9">
        <v>7.0000000298023224E-2</v>
      </c>
      <c r="F47" s="9">
        <v>3.7000000476837158</v>
      </c>
      <c r="G47" s="7">
        <v>0</v>
      </c>
      <c r="H47" s="9">
        <v>1.8918918445706367E-2</v>
      </c>
      <c r="I47">
        <v>0</v>
      </c>
      <c r="J47"/>
    </row>
    <row r="48" spans="1:10" ht="15" customHeight="1" x14ac:dyDescent="0.15">
      <c r="A48" s="226">
        <v>47</v>
      </c>
      <c r="B48" s="226" t="s">
        <v>238</v>
      </c>
      <c r="C48" s="8">
        <v>3.5363142490386963</v>
      </c>
      <c r="D48" s="9">
        <v>0.46639499068260193</v>
      </c>
      <c r="E48" s="9">
        <v>2.1930000782012939</v>
      </c>
      <c r="F48" s="9">
        <v>15</v>
      </c>
      <c r="G48" s="9">
        <v>0.8998410701751709</v>
      </c>
      <c r="H48" s="9">
        <v>0.14620000123977661</v>
      </c>
      <c r="I48">
        <v>0.174577996134758</v>
      </c>
      <c r="J48"/>
    </row>
    <row r="49" spans="1:10" ht="15" customHeight="1" x14ac:dyDescent="0.15">
      <c r="A49" s="227">
        <v>48</v>
      </c>
      <c r="B49" s="227" t="s">
        <v>239</v>
      </c>
      <c r="C49" s="8">
        <v>3.552642822265625</v>
      </c>
      <c r="D49" s="9">
        <v>1.2000000569969416E-3</v>
      </c>
      <c r="E49" s="9">
        <v>0.40000000596046448</v>
      </c>
      <c r="F49" s="9">
        <v>72.120002746582031</v>
      </c>
      <c r="G49" s="9">
        <v>1.1616443283855915E-2</v>
      </c>
      <c r="H49" s="9">
        <v>5.5463113822042942E-3</v>
      </c>
      <c r="I49">
        <v>0</v>
      </c>
      <c r="J49"/>
    </row>
    <row r="50" spans="1:10" ht="15" customHeight="1" x14ac:dyDescent="0.15">
      <c r="A50" s="228">
        <v>49</v>
      </c>
      <c r="B50" s="228" t="s">
        <v>240</v>
      </c>
      <c r="C50" s="8">
        <v>4.4167132377624512</v>
      </c>
      <c r="D50" s="9">
        <v>3.8399999029934406E-3</v>
      </c>
      <c r="E50" s="9">
        <v>0.40000000596046448</v>
      </c>
      <c r="F50" s="9">
        <v>13.72700023651123</v>
      </c>
      <c r="G50" s="9">
        <v>0.17740342020988464</v>
      </c>
      <c r="H50" s="9">
        <v>2.9139650985598564E-2</v>
      </c>
      <c r="I50">
        <v>1.9999999494757503E-4</v>
      </c>
      <c r="J50"/>
    </row>
    <row r="51" spans="1:10" ht="15" customHeight="1" x14ac:dyDescent="0.15">
      <c r="A51" s="229">
        <v>50</v>
      </c>
      <c r="B51" s="229" t="s">
        <v>241</v>
      </c>
      <c r="C51" s="8">
        <v>4.6591529846191406</v>
      </c>
      <c r="D51" s="9">
        <v>2.0000000949949026E-3</v>
      </c>
      <c r="E51" s="9">
        <v>3.9999999105930328E-2</v>
      </c>
      <c r="F51" s="9">
        <v>13.319892883300781</v>
      </c>
      <c r="G51" s="9">
        <v>0.1769322007894516</v>
      </c>
      <c r="H51" s="9">
        <v>3.003027057275176E-3</v>
      </c>
      <c r="I51">
        <v>0</v>
      </c>
      <c r="J51"/>
    </row>
    <row r="52" spans="1:10" ht="15" customHeight="1" x14ac:dyDescent="0.15">
      <c r="A52" s="230">
        <v>51</v>
      </c>
      <c r="B52" s="230" t="s">
        <v>242</v>
      </c>
      <c r="C52" s="8">
        <v>1</v>
      </c>
      <c r="D52" s="9">
        <v>0.30167499184608459</v>
      </c>
      <c r="E52" s="10"/>
      <c r="F52" s="10"/>
      <c r="G52" s="9">
        <v>6.6466361284255981E-2</v>
      </c>
      <c r="H52" s="10"/>
      <c r="I52">
        <v>0</v>
      </c>
      <c r="J52"/>
    </row>
    <row r="53" spans="1:10" ht="15" customHeight="1" x14ac:dyDescent="0.15">
      <c r="A53" s="231">
        <v>52</v>
      </c>
      <c r="B53" s="231" t="s">
        <v>243</v>
      </c>
      <c r="C53" s="8">
        <v>1</v>
      </c>
      <c r="D53" s="9">
        <v>1</v>
      </c>
      <c r="E53" s="10"/>
      <c r="F53" s="10"/>
      <c r="G53" s="9">
        <v>0.18706692755222321</v>
      </c>
      <c r="H53" s="10"/>
      <c r="I53">
        <v>0</v>
      </c>
      <c r="J53"/>
    </row>
    <row r="54" spans="1:10" ht="15" customHeight="1" x14ac:dyDescent="0.15">
      <c r="A54" s="232">
        <v>53</v>
      </c>
      <c r="B54" s="232" t="s">
        <v>244</v>
      </c>
      <c r="C54" s="8">
        <v>1</v>
      </c>
      <c r="D54" s="9">
        <v>5</v>
      </c>
      <c r="E54" s="10"/>
      <c r="F54" s="10"/>
      <c r="G54" s="7">
        <v>0</v>
      </c>
      <c r="H54" s="10"/>
      <c r="I54">
        <v>0</v>
      </c>
      <c r="J54"/>
    </row>
    <row r="55" spans="1:10" ht="15" customHeight="1" x14ac:dyDescent="0.15">
      <c r="A55" s="233">
        <v>54</v>
      </c>
      <c r="B55" s="233" t="s">
        <v>245</v>
      </c>
      <c r="C55" s="8">
        <v>4.4752345085144043</v>
      </c>
      <c r="D55" s="10"/>
      <c r="E55" s="10"/>
      <c r="F55" s="10"/>
      <c r="G55" s="10"/>
      <c r="H55" s="10"/>
      <c r="I55">
        <v>0.66938400268554688</v>
      </c>
      <c r="J55"/>
    </row>
    <row r="56" spans="1:10" ht="15" customHeight="1" x14ac:dyDescent="0.15">
      <c r="A56" s="234">
        <v>55</v>
      </c>
      <c r="B56" s="234" t="s">
        <v>246</v>
      </c>
      <c r="C56" s="8">
        <v>4.2171282768249512</v>
      </c>
      <c r="D56" s="10"/>
      <c r="E56" s="10"/>
      <c r="F56" s="10"/>
      <c r="G56" s="10"/>
      <c r="H56" s="10"/>
      <c r="I56">
        <v>0.16028100252151489</v>
      </c>
      <c r="J56"/>
    </row>
    <row r="57" spans="1:10" ht="15" customHeight="1" x14ac:dyDescent="0.15">
      <c r="A57" s="235">
        <v>56</v>
      </c>
      <c r="B57" s="235" t="s">
        <v>247</v>
      </c>
      <c r="C57" s="8">
        <v>4.3913993835449219</v>
      </c>
      <c r="D57" s="10"/>
      <c r="E57" s="10"/>
      <c r="F57" s="10"/>
      <c r="G57" s="10"/>
      <c r="H57" s="10"/>
      <c r="I57">
        <v>0.62696099281311035</v>
      </c>
      <c r="J57"/>
    </row>
    <row r="58" spans="1:10" ht="15" customHeight="1" x14ac:dyDescent="0.15">
      <c r="A58" s="236">
        <v>57</v>
      </c>
      <c r="B58" s="236" t="s">
        <v>248</v>
      </c>
      <c r="C58" s="8">
        <v>3.0324089527130127</v>
      </c>
      <c r="D58" s="10"/>
      <c r="E58" s="10"/>
      <c r="F58" s="10"/>
      <c r="G58" s="10"/>
      <c r="H58" s="10"/>
      <c r="I58">
        <v>0.41539603471755981</v>
      </c>
      <c r="J58"/>
    </row>
    <row r="59" spans="1:10" ht="15" customHeight="1" x14ac:dyDescent="0.15">
      <c r="A59" s="237">
        <v>58</v>
      </c>
      <c r="B59" s="237" t="s">
        <v>249</v>
      </c>
      <c r="C59" s="8">
        <v>4.6522293090820312</v>
      </c>
      <c r="D59" s="10"/>
      <c r="E59" s="10"/>
      <c r="F59" s="10"/>
      <c r="G59" s="10"/>
      <c r="H59" s="10"/>
      <c r="I59">
        <v>6.3744999468326569E-2</v>
      </c>
      <c r="J59"/>
    </row>
    <row r="60" spans="1:10" ht="15" customHeight="1" x14ac:dyDescent="0.15">
      <c r="A60" s="238">
        <v>59</v>
      </c>
      <c r="B60" s="238" t="s">
        <v>250</v>
      </c>
      <c r="C60" s="8">
        <v>3.734797477722168</v>
      </c>
      <c r="D60" s="10"/>
      <c r="E60" s="10"/>
      <c r="F60" s="10"/>
      <c r="G60" s="10"/>
      <c r="H60" s="10"/>
      <c r="I60">
        <v>0.37216600775718689</v>
      </c>
      <c r="J60"/>
    </row>
    <row r="61" spans="1:10" ht="15" customHeight="1" x14ac:dyDescent="0.15">
      <c r="A61" s="239">
        <v>60</v>
      </c>
      <c r="B61" s="239" t="s">
        <v>251</v>
      </c>
      <c r="C61" s="8">
        <v>4.6244101524353027</v>
      </c>
      <c r="D61" s="10"/>
      <c r="E61" s="10"/>
      <c r="F61" s="10"/>
      <c r="G61" s="10"/>
      <c r="H61" s="10"/>
      <c r="I61">
        <v>3.9866000413894653E-2</v>
      </c>
      <c r="J61"/>
    </row>
    <row r="62" spans="1:10" ht="15" customHeight="1" x14ac:dyDescent="0.15">
      <c r="A62" s="240">
        <v>61</v>
      </c>
      <c r="B62" s="240" t="s">
        <v>252</v>
      </c>
      <c r="C62" s="8">
        <v>2</v>
      </c>
      <c r="D62" s="10"/>
      <c r="E62" s="10"/>
      <c r="F62" s="10"/>
      <c r="G62" s="10"/>
      <c r="H62" s="10"/>
      <c r="I62">
        <v>1.0266920328140259</v>
      </c>
      <c r="J62"/>
    </row>
    <row r="63" spans="1:10" ht="15" customHeight="1" x14ac:dyDescent="0.15">
      <c r="A63" s="241">
        <v>62</v>
      </c>
      <c r="B63" s="241" t="s">
        <v>253</v>
      </c>
      <c r="C63" s="8">
        <v>4.4956846237182617</v>
      </c>
      <c r="D63" s="10"/>
      <c r="E63" s="10"/>
      <c r="F63" s="10"/>
      <c r="G63" s="10"/>
      <c r="H63" s="10"/>
      <c r="I63">
        <v>3.860000055283308E-3</v>
      </c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2" bestFit="1" customWidth="1"/>
    <col min="2" max="4" width="9.5" style="82" bestFit="1" customWidth="1"/>
    <col min="5" max="7" width="9" style="82" bestFit="1" customWidth="1"/>
    <col min="8" max="16" width="12.6640625" style="82" bestFit="1" customWidth="1"/>
    <col min="17" max="17" width="12.33203125" style="82" bestFit="1" customWidth="1"/>
    <col min="18" max="18" width="8.83203125" style="82"/>
    <col min="19" max="21" width="9.33203125" style="82" bestFit="1" customWidth="1"/>
    <col min="22" max="23" width="8.83203125" style="82"/>
    <col min="24" max="24" width="9.33203125" style="82" bestFit="1" customWidth="1"/>
    <col min="25" max="27" width="8.83203125" style="82"/>
    <col min="28" max="58" width="9" style="82" bestFit="1" customWidth="1"/>
    <col min="59" max="59" width="12.33203125" style="82" bestFit="1" customWidth="1"/>
    <col min="60" max="60" width="9" style="82" bestFit="1" customWidth="1"/>
    <col min="61" max="61" width="11.33203125" style="82" bestFit="1" customWidth="1"/>
    <col min="62" max="77" width="9" style="82" bestFit="1" customWidth="1"/>
    <col min="78" max="78" width="12.33203125" style="82" bestFit="1" customWidth="1"/>
    <col min="79" max="79" width="9" style="82" bestFit="1" customWidth="1"/>
    <col min="80" max="80" width="12.33203125" style="82" bestFit="1" customWidth="1"/>
    <col min="81" max="107" width="9" style="82" bestFit="1" customWidth="1"/>
    <col min="108" max="108" width="11.33203125" style="82" bestFit="1" customWidth="1"/>
    <col min="109" max="124" width="9" style="82" bestFit="1" customWidth="1"/>
    <col min="125" max="125" width="10.33203125" style="82" bestFit="1" customWidth="1"/>
    <col min="126" max="129" width="9.33203125" style="82" bestFit="1" customWidth="1"/>
    <col min="130" max="130" width="9" style="82" bestFit="1" customWidth="1"/>
    <col min="131" max="134" width="9.33203125" style="82" bestFit="1" customWidth="1"/>
    <col min="135" max="165" width="9" style="82" bestFit="1" customWidth="1"/>
    <col min="166" max="166" width="12.33203125" style="82" bestFit="1" customWidth="1"/>
    <col min="167" max="170" width="9" style="82" bestFit="1" customWidth="1"/>
    <col min="171" max="176" width="8.83203125" style="82"/>
    <col min="177" max="177" width="13.83203125" style="82" bestFit="1" customWidth="1"/>
    <col min="178" max="16384" width="8.83203125" style="8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  <c r="K1" t="s">
        <v>265</v>
      </c>
      <c r="L1" t="s">
        <v>266</v>
      </c>
      <c r="M1" t="s">
        <v>192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  <c r="V1" t="s">
        <v>201</v>
      </c>
      <c r="W1" t="s">
        <v>202</v>
      </c>
      <c r="X1" t="s">
        <v>203</v>
      </c>
      <c r="Y1" t="s">
        <v>204</v>
      </c>
      <c r="Z1" t="s">
        <v>205</v>
      </c>
      <c r="AA1" t="s">
        <v>206</v>
      </c>
      <c r="AB1" t="s">
        <v>207</v>
      </c>
      <c r="AC1" t="s">
        <v>208</v>
      </c>
      <c r="AD1" t="s">
        <v>209</v>
      </c>
      <c r="AE1" t="s">
        <v>210</v>
      </c>
      <c r="AF1" t="s">
        <v>211</v>
      </c>
      <c r="AG1" t="s">
        <v>212</v>
      </c>
      <c r="AH1" t="s">
        <v>213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 t="s">
        <v>222</v>
      </c>
      <c r="AR1" t="s">
        <v>223</v>
      </c>
      <c r="AS1" t="s">
        <v>224</v>
      </c>
      <c r="AT1" t="s">
        <v>225</v>
      </c>
      <c r="AU1" t="s">
        <v>226</v>
      </c>
      <c r="AV1" t="s">
        <v>227</v>
      </c>
      <c r="AW1" t="s">
        <v>228</v>
      </c>
      <c r="AX1" t="s">
        <v>229</v>
      </c>
      <c r="AY1" t="s">
        <v>230</v>
      </c>
      <c r="AZ1" t="s">
        <v>231</v>
      </c>
      <c r="BA1" t="s">
        <v>232</v>
      </c>
      <c r="BB1" t="s">
        <v>233</v>
      </c>
      <c r="BC1" t="s">
        <v>234</v>
      </c>
      <c r="BD1" t="s">
        <v>235</v>
      </c>
      <c r="BE1" t="s">
        <v>236</v>
      </c>
      <c r="BF1" t="s">
        <v>237</v>
      </c>
      <c r="BG1" t="s">
        <v>238</v>
      </c>
      <c r="BH1" t="s">
        <v>239</v>
      </c>
      <c r="BI1" t="s">
        <v>240</v>
      </c>
      <c r="BJ1" t="s">
        <v>241</v>
      </c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24.799999237060547</v>
      </c>
      <c r="C2">
        <v>18.350864410400391</v>
      </c>
      <c r="D2" s="11">
        <v>4.0042054024524987E-5</v>
      </c>
      <c r="E2"/>
      <c r="F2"/>
      <c r="G2"/>
      <c r="H2"/>
      <c r="I2"/>
      <c r="J2"/>
      <c r="K2" s="11">
        <v>8.6349202319979668E-3</v>
      </c>
      <c r="L2"/>
      <c r="M2"/>
      <c r="N2" s="318">
        <v>2.5139114856719971</v>
      </c>
      <c r="O2" s="297">
        <v>3.0938236713409424</v>
      </c>
      <c r="P2"/>
      <c r="Q2"/>
      <c r="R2" s="11">
        <v>8.5281757637858391E-3</v>
      </c>
      <c r="S2" s="14">
        <v>5.2394498139619827E-2</v>
      </c>
      <c r="T2"/>
      <c r="U2" s="14">
        <v>2.61825080960989E-2</v>
      </c>
      <c r="V2" s="147">
        <v>0.72293883562088013</v>
      </c>
      <c r="W2" s="11">
        <v>1.9510174170136452E-2</v>
      </c>
      <c r="X2"/>
      <c r="Y2"/>
      <c r="Z2" s="11">
        <v>4.3085910874651745E-5</v>
      </c>
      <c r="AA2" s="11">
        <v>2.8166496122139506E-6</v>
      </c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 s="11">
        <v>1.0296146683685947E-5</v>
      </c>
      <c r="AT2"/>
      <c r="AU2"/>
      <c r="AV2"/>
      <c r="AW2"/>
      <c r="AX2"/>
      <c r="AY2"/>
      <c r="AZ2"/>
      <c r="BA2"/>
      <c r="BB2"/>
      <c r="BC2"/>
      <c r="BD2"/>
      <c r="BE2"/>
      <c r="BF2"/>
      <c r="BG2" s="11">
        <v>3.1156709883362055E-3</v>
      </c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45.279998779296875</v>
      </c>
      <c r="C3">
        <v>15.466190338134766</v>
      </c>
      <c r="D3"/>
      <c r="E3"/>
      <c r="F3"/>
      <c r="G3"/>
      <c r="H3"/>
      <c r="I3"/>
      <c r="J3"/>
      <c r="K3"/>
      <c r="L3"/>
      <c r="M3"/>
      <c r="N3" s="286">
        <v>6.3158402442932129</v>
      </c>
      <c r="O3" s="317">
        <v>17.488643646240234</v>
      </c>
      <c r="P3"/>
      <c r="Q3"/>
      <c r="R3" s="17">
        <v>0.57849198579788208</v>
      </c>
      <c r="S3" s="27">
        <v>3.4904663562774658</v>
      </c>
      <c r="T3"/>
      <c r="U3"/>
      <c r="V3"/>
      <c r="W3"/>
      <c r="X3"/>
      <c r="Y3"/>
      <c r="Z3"/>
      <c r="AA3" s="11">
        <v>6.6368858097121119E-4</v>
      </c>
      <c r="AB3" s="14">
        <v>9.0370506048202515E-2</v>
      </c>
      <c r="AC3"/>
      <c r="AD3"/>
      <c r="AE3"/>
      <c r="AF3"/>
      <c r="AG3"/>
      <c r="AH3"/>
      <c r="AI3" s="11">
        <v>1.0881599737331271E-3</v>
      </c>
      <c r="AJ3" s="11">
        <v>1.8415208614896983E-5</v>
      </c>
      <c r="AK3"/>
      <c r="AL3"/>
      <c r="AM3" s="11">
        <v>1.2400643900036812E-2</v>
      </c>
      <c r="AN3" s="11">
        <v>3.9480082705267705E-6</v>
      </c>
      <c r="AO3"/>
      <c r="AP3"/>
      <c r="AQ3"/>
      <c r="AR3"/>
      <c r="AS3"/>
      <c r="AT3"/>
      <c r="AU3"/>
      <c r="AV3"/>
      <c r="AW3"/>
      <c r="AX3"/>
      <c r="AY3" s="14">
        <v>9.9031738936901093E-2</v>
      </c>
      <c r="AZ3" s="19">
        <v>0.76311719417572021</v>
      </c>
      <c r="BA3" s="19">
        <v>0.82915598154067993</v>
      </c>
      <c r="BB3" s="14">
        <v>0.11725137382745743</v>
      </c>
      <c r="BC3" s="11">
        <v>2.7265757322311401E-2</v>
      </c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39.080001831054688</v>
      </c>
      <c r="C4">
        <v>18.292852401733398</v>
      </c>
      <c r="D4"/>
      <c r="E4"/>
      <c r="F4"/>
      <c r="G4"/>
      <c r="H4"/>
      <c r="I4"/>
      <c r="J4"/>
      <c r="K4"/>
      <c r="L4"/>
      <c r="M4"/>
      <c r="N4"/>
      <c r="O4" s="144">
        <v>3.9162361621856689</v>
      </c>
      <c r="P4" s="109">
        <v>7.1200442314147949</v>
      </c>
      <c r="Q4"/>
      <c r="R4" s="17">
        <v>0.51816213130950928</v>
      </c>
      <c r="S4" s="316">
        <v>2.9310269355773926</v>
      </c>
      <c r="T4"/>
      <c r="U4"/>
      <c r="V4"/>
      <c r="W4"/>
      <c r="X4"/>
      <c r="Y4"/>
      <c r="Z4"/>
      <c r="AA4" s="11">
        <v>2.9723686748184264E-4</v>
      </c>
      <c r="AB4" s="14">
        <v>4.3819189071655273E-2</v>
      </c>
      <c r="AC4"/>
      <c r="AD4"/>
      <c r="AE4"/>
      <c r="AF4"/>
      <c r="AG4"/>
      <c r="AH4"/>
      <c r="AI4" s="11">
        <v>8.4259832510724664E-4</v>
      </c>
      <c r="AJ4" s="11">
        <v>8.2473598013166338E-6</v>
      </c>
      <c r="AK4"/>
      <c r="AL4"/>
      <c r="AM4" s="11">
        <v>6.425417959690094E-3</v>
      </c>
      <c r="AN4" s="11">
        <v>3.9008423300401773E-6</v>
      </c>
      <c r="AO4" s="11">
        <v>2.7026917086914182E-4</v>
      </c>
      <c r="AP4"/>
      <c r="AQ4"/>
      <c r="AR4" s="11">
        <v>2.3491508327424526E-3</v>
      </c>
      <c r="AS4" s="11">
        <v>3.2237827777862549E-2</v>
      </c>
      <c r="AT4"/>
      <c r="AU4"/>
      <c r="AV4"/>
      <c r="AW4"/>
      <c r="AX4" s="265">
        <v>4.0848860740661621</v>
      </c>
      <c r="AY4" s="11">
        <v>2.9567962512373924E-2</v>
      </c>
      <c r="AZ4" s="17">
        <v>0.51264941692352295</v>
      </c>
      <c r="BA4" s="17">
        <v>0.55701369047164917</v>
      </c>
      <c r="BB4" s="248">
        <v>0.90841233730316162</v>
      </c>
      <c r="BC4" s="12">
        <v>0.11611994355916977</v>
      </c>
      <c r="BD4"/>
      <c r="BE4"/>
      <c r="BF4" s="11">
        <v>6.428480613976717E-3</v>
      </c>
      <c r="BG4"/>
      <c r="BH4" s="11">
        <v>3.4739213879220188E-4</v>
      </c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18</v>
      </c>
      <c r="C5">
        <v>17.395751953125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 s="11">
        <v>4.7110281884670258E-3</v>
      </c>
      <c r="AB5"/>
      <c r="AC5"/>
      <c r="AD5"/>
      <c r="AE5"/>
      <c r="AF5"/>
      <c r="AG5"/>
      <c r="AH5"/>
      <c r="AI5"/>
      <c r="AJ5"/>
      <c r="AK5"/>
      <c r="AL5"/>
      <c r="AM5" s="11">
        <v>1.1031379690393806E-3</v>
      </c>
      <c r="AN5"/>
      <c r="AO5"/>
      <c r="AP5"/>
      <c r="AQ5"/>
      <c r="AR5"/>
      <c r="AS5"/>
      <c r="AT5"/>
      <c r="AU5"/>
      <c r="AV5"/>
      <c r="AW5"/>
      <c r="AX5"/>
      <c r="AY5"/>
      <c r="AZ5" s="12">
        <v>5.9279948472976685E-2</v>
      </c>
      <c r="BA5"/>
      <c r="BB5" s="21">
        <v>0.36894610524177551</v>
      </c>
      <c r="BC5" s="15">
        <v>0.17020833492279053</v>
      </c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3</v>
      </c>
      <c r="C6">
        <v>0.60583001375198364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 s="26">
        <v>7.4329279363155365E-2</v>
      </c>
      <c r="S6" s="287">
        <v>0.16117280721664429</v>
      </c>
      <c r="T6" s="287">
        <v>0.15791052579879761</v>
      </c>
      <c r="U6" s="314">
        <v>0.50204199552536011</v>
      </c>
      <c r="V6"/>
      <c r="W6"/>
      <c r="X6"/>
      <c r="Y6"/>
      <c r="Z6" s="11">
        <v>5.2288174629211426E-4</v>
      </c>
      <c r="AA6" s="152">
        <v>0.76353698968887329</v>
      </c>
      <c r="AB6" s="17">
        <v>4.2000170797109604E-2</v>
      </c>
      <c r="AC6" s="18">
        <v>3.4238368272781372E-2</v>
      </c>
      <c r="AD6" s="12">
        <v>9.3186469748616219E-3</v>
      </c>
      <c r="AE6" s="12">
        <v>1.4185306616127491E-2</v>
      </c>
      <c r="AF6" s="12">
        <v>1.066118199378252E-2</v>
      </c>
      <c r="AG6" s="14">
        <v>5.0398423336446285E-3</v>
      </c>
      <c r="AH6" s="12">
        <v>9.6530234441161156E-3</v>
      </c>
      <c r="AI6" s="23">
        <v>1.5934845432639122E-2</v>
      </c>
      <c r="AJ6" s="11">
        <v>1.255277544260025E-3</v>
      </c>
      <c r="AK6" s="15">
        <v>2.9372040182352066E-2</v>
      </c>
      <c r="AL6" s="12">
        <v>1.1632039211690426E-2</v>
      </c>
      <c r="AM6" s="11">
        <v>1.611139508895576E-3</v>
      </c>
      <c r="AN6" s="11">
        <v>6.5946369431912899E-4</v>
      </c>
      <c r="AO6" s="11">
        <v>2.2140367946121842E-4</v>
      </c>
      <c r="AP6" s="11">
        <v>6.6740489046424045E-7</v>
      </c>
      <c r="AQ6" s="18">
        <v>3.4153304994106293E-2</v>
      </c>
      <c r="AR6" s="14">
        <v>3.7929695099592209E-3</v>
      </c>
      <c r="AS6" s="14">
        <v>6.938194390386343E-3</v>
      </c>
      <c r="AT6"/>
      <c r="AU6"/>
      <c r="AV6" s="17">
        <v>3.9259891957044601E-2</v>
      </c>
      <c r="AW6"/>
      <c r="AX6" s="76">
        <v>0.42550697922706604</v>
      </c>
      <c r="AY6"/>
      <c r="AZ6"/>
      <c r="BA6"/>
      <c r="BB6" s="14">
        <v>5.3814402781426907E-3</v>
      </c>
      <c r="BC6" s="15">
        <v>2.8089514002203941E-2</v>
      </c>
      <c r="BD6" s="14">
        <v>3.8337693549692631E-3</v>
      </c>
      <c r="BE6" s="11">
        <v>3.6789392652281094E-6</v>
      </c>
      <c r="BF6"/>
      <c r="BG6" s="11">
        <v>1.6973383026197553E-3</v>
      </c>
      <c r="BH6" s="11">
        <v>2.1508705685846508E-4</v>
      </c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0.30000001192092896</v>
      </c>
      <c r="C7">
        <v>0.22014695405960083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303">
        <v>6.1399951577186584E-2</v>
      </c>
      <c r="V7"/>
      <c r="W7"/>
      <c r="X7"/>
      <c r="Y7"/>
      <c r="Z7" s="14">
        <v>3.8370373658835888E-4</v>
      </c>
      <c r="AA7" s="12">
        <v>1.4532135101035237E-3</v>
      </c>
      <c r="AB7"/>
      <c r="AC7"/>
      <c r="AD7" s="11">
        <v>2.8987013502046466E-4</v>
      </c>
      <c r="AE7" s="14">
        <v>4.4174198410473764E-4</v>
      </c>
      <c r="AF7"/>
      <c r="AG7"/>
      <c r="AH7" s="26">
        <v>7.7931578271090984E-3</v>
      </c>
      <c r="AI7" s="22">
        <v>2.3716713767498732E-3</v>
      </c>
      <c r="AJ7" s="11">
        <v>1.1495295439090114E-5</v>
      </c>
      <c r="AK7"/>
      <c r="AL7"/>
      <c r="AM7" s="14">
        <v>3.6121965968050063E-4</v>
      </c>
      <c r="AN7" s="11">
        <v>1.6210315152420662E-5</v>
      </c>
      <c r="AO7" s="11">
        <v>5.6443773246428464E-6</v>
      </c>
      <c r="AP7"/>
      <c r="AQ7" s="19">
        <v>5.1274821162223816E-3</v>
      </c>
      <c r="AR7"/>
      <c r="AS7" s="11">
        <v>1.9312143558636308E-4</v>
      </c>
      <c r="AT7"/>
      <c r="AU7"/>
      <c r="AV7"/>
      <c r="AW7" s="11">
        <v>4.5653528104594443E-6</v>
      </c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3.9600000381469727</v>
      </c>
      <c r="C8">
        <v>0.39600104093551636</v>
      </c>
      <c r="D8" s="11">
        <v>6.0515216318890452E-5</v>
      </c>
      <c r="E8"/>
      <c r="F8"/>
      <c r="G8"/>
      <c r="H8"/>
      <c r="I8" s="11">
        <v>1.9721475837286562E-4</v>
      </c>
      <c r="J8"/>
      <c r="K8"/>
      <c r="L8"/>
      <c r="M8"/>
      <c r="N8"/>
      <c r="O8"/>
      <c r="P8"/>
      <c r="Q8"/>
      <c r="R8"/>
      <c r="S8"/>
      <c r="T8" s="22">
        <v>2.9493039473891258E-2</v>
      </c>
      <c r="U8"/>
      <c r="V8"/>
      <c r="W8"/>
      <c r="X8" s="315">
        <v>1.7632855176925659</v>
      </c>
      <c r="Y8" s="17">
        <v>5.6091036647558212E-2</v>
      </c>
      <c r="Z8" s="11">
        <v>3.5033965104958043E-5</v>
      </c>
      <c r="AA8" s="68">
        <v>0.3653339147567749</v>
      </c>
      <c r="AB8" s="311">
        <v>0.73955589532852173</v>
      </c>
      <c r="AC8" s="22">
        <v>2.7296600863337517E-2</v>
      </c>
      <c r="AD8"/>
      <c r="AE8"/>
      <c r="AF8" s="11">
        <v>2.7060293359681964E-4</v>
      </c>
      <c r="AG8" s="11">
        <v>1.27921681269072E-4</v>
      </c>
      <c r="AH8" s="11">
        <v>1.2230953434482217E-3</v>
      </c>
      <c r="AI8"/>
      <c r="AJ8" s="14">
        <v>9.7763193771243095E-3</v>
      </c>
      <c r="AK8" s="272">
        <v>0.13063517212867737</v>
      </c>
      <c r="AL8" s="16">
        <v>5.9602588415145874E-2</v>
      </c>
      <c r="AM8" s="11">
        <v>2.4740383960306644E-3</v>
      </c>
      <c r="AN8" s="14">
        <v>9.0416455641388893E-3</v>
      </c>
      <c r="AO8" s="11">
        <v>4.2947314796037972E-5</v>
      </c>
      <c r="AP8" s="11">
        <v>4.7150751925073564E-5</v>
      </c>
      <c r="AQ8" s="23">
        <v>2.0168231800198555E-2</v>
      </c>
      <c r="AR8" s="12">
        <v>1.9182125106453896E-2</v>
      </c>
      <c r="AS8" s="14">
        <v>7.0540294982492924E-3</v>
      </c>
      <c r="AT8"/>
      <c r="AU8" s="14">
        <v>4.5413179323077202E-3</v>
      </c>
      <c r="AV8" s="11">
        <v>9.0865982929244637E-4</v>
      </c>
      <c r="AW8" s="11">
        <v>1.3172764738555998E-4</v>
      </c>
      <c r="AX8"/>
      <c r="AY8"/>
      <c r="AZ8"/>
      <c r="BA8"/>
      <c r="BB8" s="12">
        <v>1.6527313739061356E-2</v>
      </c>
      <c r="BC8" s="275">
        <v>0.27409052848815918</v>
      </c>
      <c r="BD8" s="23">
        <v>2.6805898174643517E-2</v>
      </c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0.64099997282028198</v>
      </c>
      <c r="C9">
        <v>6.4328640699386597E-2</v>
      </c>
      <c r="D9"/>
      <c r="E9" s="67">
        <v>4.067886620759964E-2</v>
      </c>
      <c r="F9"/>
      <c r="G9"/>
      <c r="H9"/>
      <c r="I9" s="279">
        <v>0.46374017000198364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 s="14">
        <v>6.5675785299390554E-4</v>
      </c>
      <c r="AA9"/>
      <c r="AB9"/>
      <c r="AC9"/>
      <c r="AD9"/>
      <c r="AE9"/>
      <c r="AF9"/>
      <c r="AG9"/>
      <c r="AH9"/>
      <c r="AI9"/>
      <c r="AJ9"/>
      <c r="AK9"/>
      <c r="AL9"/>
      <c r="AM9"/>
      <c r="AN9" s="11">
        <v>1.4697386359330267E-4</v>
      </c>
      <c r="AO9"/>
      <c r="AP9"/>
      <c r="AQ9" s="259">
        <v>7.1448571979999542E-2</v>
      </c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0.66200000047683716</v>
      </c>
      <c r="C10">
        <v>6.5658092498779297E-2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24">
        <v>1.8554164096713066E-2</v>
      </c>
      <c r="U10" s="310">
        <v>0.33441293239593506</v>
      </c>
      <c r="V10"/>
      <c r="W10"/>
      <c r="X10"/>
      <c r="Y10"/>
      <c r="Z10" s="11">
        <v>2.2776903642807156E-4</v>
      </c>
      <c r="AA10" s="308">
        <v>0.2277437299489975</v>
      </c>
      <c r="AB10" s="11">
        <v>2.946816966868937E-4</v>
      </c>
      <c r="AC10" s="14">
        <v>1.8733043689280748E-3</v>
      </c>
      <c r="AD10"/>
      <c r="AE10"/>
      <c r="AF10" s="11">
        <v>1.7023716645780951E-4</v>
      </c>
      <c r="AG10" s="11">
        <v>8.0475932918488979E-5</v>
      </c>
      <c r="AH10" s="11">
        <v>3.7200134102022275E-6</v>
      </c>
      <c r="AI10" s="14">
        <v>9.2056102585047483E-4</v>
      </c>
      <c r="AJ10"/>
      <c r="AK10"/>
      <c r="AL10"/>
      <c r="AM10" s="11">
        <v>5.2891762607032433E-5</v>
      </c>
      <c r="AN10" s="11">
        <v>3.5284042496641632E-6</v>
      </c>
      <c r="AO10" s="11">
        <v>1.801019607228227E-5</v>
      </c>
      <c r="AP10"/>
      <c r="AQ10" s="23">
        <v>4.3048807419836521E-3</v>
      </c>
      <c r="AR10" s="11">
        <v>9.7706331871449947E-5</v>
      </c>
      <c r="AS10" s="18">
        <v>7.581039797514677E-3</v>
      </c>
      <c r="AT10"/>
      <c r="AU10"/>
      <c r="AV10"/>
      <c r="AW10" s="11">
        <v>1.0524288427404827E-6</v>
      </c>
      <c r="AX10"/>
      <c r="AY10"/>
      <c r="AZ10"/>
      <c r="BA10"/>
      <c r="BB10"/>
      <c r="BC10"/>
      <c r="BD10"/>
      <c r="BE10" s="11">
        <v>1.2635476878131158E-6</v>
      </c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0.88870400190353394</v>
      </c>
      <c r="C11">
        <v>0.12873832881450653</v>
      </c>
      <c r="D11"/>
      <c r="E11"/>
      <c r="F11"/>
      <c r="G11" s="23">
        <v>6.0301548801362514E-3</v>
      </c>
      <c r="H11"/>
      <c r="I11"/>
      <c r="J11"/>
      <c r="K11"/>
      <c r="L11"/>
      <c r="M11"/>
      <c r="N11"/>
      <c r="O11"/>
      <c r="P11"/>
      <c r="Q11"/>
      <c r="R11"/>
      <c r="S11"/>
      <c r="T11" s="65">
        <v>1.8811587244272232E-2</v>
      </c>
      <c r="U11" s="252">
        <v>0.17881104350090027</v>
      </c>
      <c r="V11"/>
      <c r="W11"/>
      <c r="X11" s="313">
        <v>0.32457920908927917</v>
      </c>
      <c r="Y11" s="24">
        <v>2.3851122707128525E-2</v>
      </c>
      <c r="Z11" s="11">
        <v>8.4922841051593423E-4</v>
      </c>
      <c r="AA11" s="309">
        <v>0.14299069344997406</v>
      </c>
      <c r="AB11" s="29">
        <v>4.138694703578949E-2</v>
      </c>
      <c r="AC11" s="11">
        <v>7.1224948624148965E-4</v>
      </c>
      <c r="AD11" s="14">
        <v>1.0973257012665272E-3</v>
      </c>
      <c r="AE11" s="14">
        <v>1.6723797889426351E-3</v>
      </c>
      <c r="AF11" s="15">
        <v>8.716268464922905E-3</v>
      </c>
      <c r="AG11" s="12">
        <v>4.1204271838068962E-3</v>
      </c>
      <c r="AH11" s="11">
        <v>7.3284521931782365E-4</v>
      </c>
      <c r="AI11" s="14">
        <v>2.4266659747809172E-3</v>
      </c>
      <c r="AJ11" s="11">
        <v>1.4471792383119464E-5</v>
      </c>
      <c r="AK11" s="11">
        <v>3.1969373230822384E-4</v>
      </c>
      <c r="AL11"/>
      <c r="AM11" s="11">
        <v>5.7744978221307974E-6</v>
      </c>
      <c r="AN11" s="11">
        <v>8.2930782809853554E-5</v>
      </c>
      <c r="AO11" s="11">
        <v>3.5152918371750275E-6</v>
      </c>
      <c r="AP11"/>
      <c r="AQ11" s="14">
        <v>1.6080188797786832E-3</v>
      </c>
      <c r="AR11" s="11">
        <v>4.9530961405253038E-5</v>
      </c>
      <c r="AS11" s="14">
        <v>9.3736790586262941E-4</v>
      </c>
      <c r="AT11"/>
      <c r="AU11"/>
      <c r="AV11" s="11">
        <v>1.0867360833799466E-4</v>
      </c>
      <c r="AW11"/>
      <c r="AX11"/>
      <c r="AY11"/>
      <c r="AZ11"/>
      <c r="BA11"/>
      <c r="BB11"/>
      <c r="BC11"/>
      <c r="BD11" s="11">
        <v>4.3742395064327866E-5</v>
      </c>
      <c r="BE11"/>
      <c r="BF11"/>
      <c r="BG11"/>
      <c r="BH11"/>
      <c r="BI11" s="11">
        <v>3.8814650906715542E-6</v>
      </c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0.80000001192092896</v>
      </c>
      <c r="C12">
        <v>0.19984565675258636</v>
      </c>
      <c r="D12" s="24">
        <v>2.1289557218551636E-2</v>
      </c>
      <c r="E12" s="12">
        <v>3.8701321464031935E-3</v>
      </c>
      <c r="F12"/>
      <c r="G12" s="270">
        <v>0.57483917474746704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11">
        <v>1.5549836098216474E-4</v>
      </c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1.9470000267028809</v>
      </c>
      <c r="C13">
        <v>0.18504036962985992</v>
      </c>
      <c r="D13" s="11">
        <v>2.3268391942110611E-6</v>
      </c>
      <c r="E13" s="14">
        <v>2.1340993698686361E-3</v>
      </c>
      <c r="F13"/>
      <c r="G13" s="11">
        <v>1.7625806503929198E-4</v>
      </c>
      <c r="H13" s="11">
        <v>1.3185422176320571E-5</v>
      </c>
      <c r="I13" s="11">
        <v>1.3972668675705791E-3</v>
      </c>
      <c r="J13"/>
      <c r="K13"/>
      <c r="L13"/>
      <c r="M13"/>
      <c r="N13"/>
      <c r="O13"/>
      <c r="P13"/>
      <c r="Q13"/>
      <c r="R13"/>
      <c r="S13"/>
      <c r="T13" s="18">
        <v>2.3264642804861069E-2</v>
      </c>
      <c r="U13"/>
      <c r="V13"/>
      <c r="W13"/>
      <c r="X13" s="295">
        <v>9.5312133431434631E-2</v>
      </c>
      <c r="Y13" s="14">
        <v>4.829642828553915E-3</v>
      </c>
      <c r="Z13" s="14">
        <v>5.281093530356884E-3</v>
      </c>
      <c r="AA13" s="20">
        <v>8.2625225186347961E-2</v>
      </c>
      <c r="AB13" s="254">
        <v>0.35013303160667419</v>
      </c>
      <c r="AC13" s="16">
        <v>3.2249491661787033E-2</v>
      </c>
      <c r="AD13" s="11">
        <v>5.1346770487725735E-4</v>
      </c>
      <c r="AE13" s="11">
        <v>7.8252394450828433E-4</v>
      </c>
      <c r="AF13"/>
      <c r="AG13"/>
      <c r="AH13" s="11">
        <v>5.0871627172455192E-4</v>
      </c>
      <c r="AI13"/>
      <c r="AJ13" s="14">
        <v>4.8240958712995052E-3</v>
      </c>
      <c r="AK13" s="28">
        <v>6.8416371941566467E-2</v>
      </c>
      <c r="AL13" s="14">
        <v>4.6469536609947681E-3</v>
      </c>
      <c r="AM13" s="14">
        <v>3.9067207835614681E-3</v>
      </c>
      <c r="AN13" s="14">
        <v>4.3503101915121078E-3</v>
      </c>
      <c r="AO13" s="14">
        <v>2.5275931693613529E-3</v>
      </c>
      <c r="AP13"/>
      <c r="AQ13" s="262">
        <v>0.17099344730377197</v>
      </c>
      <c r="AR13" s="16">
        <v>2.8845624998211861E-2</v>
      </c>
      <c r="AS13" s="12">
        <v>6.9615314714610577E-3</v>
      </c>
      <c r="AT13" s="23">
        <v>1.3289330527186394E-2</v>
      </c>
      <c r="AU13" s="23">
        <v>9.778488427400589E-3</v>
      </c>
      <c r="AV13" s="11">
        <v>3.4618008066900074E-4</v>
      </c>
      <c r="AW13"/>
      <c r="AX13"/>
      <c r="AY13"/>
      <c r="AZ13"/>
      <c r="BA13"/>
      <c r="BB13" s="18">
        <v>2.3131903260946274E-2</v>
      </c>
      <c r="BC13"/>
      <c r="BD13" s="11">
        <v>7.0573750417679548E-4</v>
      </c>
      <c r="BE13"/>
      <c r="BF13"/>
      <c r="BG13" s="312">
        <v>0.81944328546524048</v>
      </c>
      <c r="BH13" s="11">
        <v>5.6895439047366381E-4</v>
      </c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0.60000002384185791</v>
      </c>
      <c r="C14">
        <v>0.16923713684082031</v>
      </c>
      <c r="D14" s="16">
        <v>9.1970134526491165E-3</v>
      </c>
      <c r="E14" s="23">
        <v>3.8311099633574486E-3</v>
      </c>
      <c r="F14"/>
      <c r="G14" s="23">
        <v>3.5942350514233112E-3</v>
      </c>
      <c r="H14" s="272">
        <v>1.9480518996715546E-2</v>
      </c>
      <c r="I14" s="280">
        <v>0.36373424530029297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23">
        <v>3.9138728752732277E-3</v>
      </c>
      <c r="AR14" s="271">
        <v>2.7011878788471222E-2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0.51499998569488525</v>
      </c>
      <c r="C15">
        <v>5.1617149263620377E-2</v>
      </c>
      <c r="D15"/>
      <c r="E15"/>
      <c r="F15"/>
      <c r="G15"/>
      <c r="H15"/>
      <c r="I15" s="281">
        <v>0.39998048543930054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 s="106">
        <v>6.3402362167835236E-2</v>
      </c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1.5729999542236328</v>
      </c>
      <c r="C16">
        <v>0.14943495392799377</v>
      </c>
      <c r="D16"/>
      <c r="E16" s="16">
        <v>2.3155899718403816E-2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1">
        <v>2.8431587270461023E-4</v>
      </c>
      <c r="AA16" s="302">
        <v>0.13138172030448914</v>
      </c>
      <c r="AB16" s="304">
        <v>0.25561055541038513</v>
      </c>
      <c r="AC16" s="287">
        <v>8.3065025508403778E-2</v>
      </c>
      <c r="AD16"/>
      <c r="AE16"/>
      <c r="AF16"/>
      <c r="AG16"/>
      <c r="AH16"/>
      <c r="AI16"/>
      <c r="AJ16" s="67">
        <v>9.7488678991794586E-2</v>
      </c>
      <c r="AK16" s="17">
        <v>2.033441886305809E-2</v>
      </c>
      <c r="AL16"/>
      <c r="AM16"/>
      <c r="AN16" s="23">
        <v>1.0530907660722733E-2</v>
      </c>
      <c r="AO16" s="12">
        <v>6.3601396977901459E-3</v>
      </c>
      <c r="AP16" s="11">
        <v>1.434822625014931E-4</v>
      </c>
      <c r="AQ16" s="24">
        <v>4.1646532714366913E-2</v>
      </c>
      <c r="AR16" s="16">
        <v>2.4341505020856857E-2</v>
      </c>
      <c r="AS16"/>
      <c r="AT16" s="16">
        <v>2.3476565256714821E-2</v>
      </c>
      <c r="AU16" s="17">
        <v>2.2111158818006516E-2</v>
      </c>
      <c r="AV16"/>
      <c r="AW16" s="15">
        <v>1.4832349494099617E-2</v>
      </c>
      <c r="AX16"/>
      <c r="AY16"/>
      <c r="AZ16"/>
      <c r="BA16"/>
      <c r="BB16"/>
      <c r="BC16" s="22">
        <v>1.2000352144241333E-2</v>
      </c>
      <c r="BD16" s="16">
        <v>2.5881163775920868E-2</v>
      </c>
      <c r="BE16" s="11">
        <v>1.3447384117171168E-4</v>
      </c>
      <c r="BF16"/>
      <c r="BG16" s="306">
        <v>0.63025391101837158</v>
      </c>
      <c r="BH16"/>
      <c r="BI16"/>
      <c r="BJ16" s="11">
        <v>5.3179042879492044E-4</v>
      </c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1.2719999551773071</v>
      </c>
      <c r="C17">
        <v>0.15416203439235687</v>
      </c>
      <c r="D17" s="242">
        <v>5.0892315804958344E-2</v>
      </c>
      <c r="E17" s="12">
        <v>5.6550153531134129E-3</v>
      </c>
      <c r="F17" s="11">
        <v>5.6514871539548039E-4</v>
      </c>
      <c r="G17"/>
      <c r="H17" s="11">
        <v>5.6514871539548039E-4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 s="16">
        <v>1.8706327304244041E-2</v>
      </c>
      <c r="AC17"/>
      <c r="AD17"/>
      <c r="AE17"/>
      <c r="AF17"/>
      <c r="AG17"/>
      <c r="AH17"/>
      <c r="AI17"/>
      <c r="AJ17"/>
      <c r="AK17"/>
      <c r="AL17"/>
      <c r="AM17" s="265">
        <v>0.13181318342685699</v>
      </c>
      <c r="AN17" s="11">
        <v>3.1198142096400261E-4</v>
      </c>
      <c r="AO17" s="14">
        <v>3.5330601967871189E-3</v>
      </c>
      <c r="AP17" s="16">
        <v>1.9576629623770714E-2</v>
      </c>
      <c r="AQ17" s="20">
        <v>5.5024098604917526E-2</v>
      </c>
      <c r="AR17" s="11">
        <v>5.7130691129714251E-4</v>
      </c>
      <c r="AS17" s="68">
        <v>0.11727695912122726</v>
      </c>
      <c r="AT17" s="107">
        <v>0.1990353912115097</v>
      </c>
      <c r="AU17" s="15">
        <v>1.2453191913664341E-2</v>
      </c>
      <c r="AV17"/>
      <c r="AW17"/>
      <c r="AX17"/>
      <c r="AY17"/>
      <c r="AZ17"/>
      <c r="BA17"/>
      <c r="BB17" s="289">
        <v>0.13809140026569366</v>
      </c>
      <c r="BC17" s="301">
        <v>0.14857174456119537</v>
      </c>
      <c r="BD17"/>
      <c r="BE17" s="11">
        <v>1.2086905189789832E-4</v>
      </c>
      <c r="BF17"/>
      <c r="BG17" s="77">
        <v>0.21485006809234619</v>
      </c>
      <c r="BH17" s="11">
        <v>3.2329688110621646E-5</v>
      </c>
      <c r="BI17"/>
      <c r="BJ17" s="11">
        <v>1.9169808365404606E-4</v>
      </c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0.51999998092651367</v>
      </c>
      <c r="C18">
        <v>5.2000012248754501E-2</v>
      </c>
      <c r="D18" s="66">
        <v>3.0237443745136261E-2</v>
      </c>
      <c r="E18" s="23">
        <v>2.8578250203281641E-3</v>
      </c>
      <c r="F18" s="11">
        <v>2.0666090131271631E-4</v>
      </c>
      <c r="G18"/>
      <c r="H18" s="14">
        <v>8.2073896192014217E-4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 s="296">
        <v>0.43387728929519653</v>
      </c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0.75</v>
      </c>
      <c r="C19">
        <v>0.37428143620491028</v>
      </c>
      <c r="D19" s="29">
        <v>3.5653501749038696E-2</v>
      </c>
      <c r="E19" s="260">
        <v>6.7956119775772095E-2</v>
      </c>
      <c r="F19"/>
      <c r="G19" s="25">
        <v>2.3523271083831787E-2</v>
      </c>
      <c r="H19" s="24">
        <v>2.0775537937879562E-2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 s="23">
        <v>4.2914482764899731E-3</v>
      </c>
      <c r="AN19"/>
      <c r="AO19" s="17">
        <v>1.0652752593159676E-2</v>
      </c>
      <c r="AP19"/>
      <c r="AQ19" s="285">
        <v>0.18322277069091797</v>
      </c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 s="242">
        <v>2.9643166810274124E-2</v>
      </c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0.43000000715255737</v>
      </c>
      <c r="C20">
        <v>0.17467288672924042</v>
      </c>
      <c r="D20" s="243">
        <v>7.609875500202179E-2</v>
      </c>
      <c r="E20" s="261">
        <v>0.14503075182437897</v>
      </c>
      <c r="F20"/>
      <c r="G20" s="271">
        <v>1.919424906373024E-2</v>
      </c>
      <c r="H20" s="25">
        <v>1.3248326256871223E-2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 s="12">
        <v>1.7550232587382197E-3</v>
      </c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1.5099999904632568</v>
      </c>
      <c r="C21">
        <v>0.832053542137146</v>
      </c>
      <c r="D21" s="244">
        <v>0.19998334348201752</v>
      </c>
      <c r="E21" s="262">
        <v>0.13405692577362061</v>
      </c>
      <c r="F21"/>
      <c r="G21" s="19">
        <v>2.7669413015246391E-2</v>
      </c>
      <c r="H21" s="14">
        <v>2.4402611888945103E-3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 s="75">
        <v>9.697955846786499E-2</v>
      </c>
      <c r="AP21"/>
      <c r="AQ21" s="265">
        <v>0.15737926959991455</v>
      </c>
      <c r="AR21"/>
      <c r="AS21"/>
      <c r="AT21"/>
      <c r="AU21"/>
      <c r="AV21"/>
      <c r="AW21"/>
      <c r="AX21"/>
      <c r="AY21"/>
      <c r="AZ21"/>
      <c r="BA21"/>
      <c r="BB21"/>
      <c r="BC21"/>
      <c r="BD21"/>
      <c r="BE21" s="14">
        <v>4.1701728478074074E-3</v>
      </c>
      <c r="BF21"/>
      <c r="BG21" s="13">
        <v>5.5267464369535446E-2</v>
      </c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0.75470000505447388</v>
      </c>
      <c r="C22">
        <v>0.24620644748210907</v>
      </c>
      <c r="D22" s="245">
        <v>0.18625427782535553</v>
      </c>
      <c r="E22" s="263">
        <v>0.26388722658157349</v>
      </c>
      <c r="F22"/>
      <c r="G22" s="17">
        <v>1.0761882178485394E-2</v>
      </c>
      <c r="H22" s="22">
        <v>5.2482602186501026E-3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 s="276">
        <v>4.2341906577348709E-2</v>
      </c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0.75300002098083496</v>
      </c>
      <c r="C23">
        <v>0.1548818051815033</v>
      </c>
      <c r="D23" s="107">
        <v>0.11743900179862976</v>
      </c>
      <c r="E23" s="242">
        <v>2.9734427109360695E-2</v>
      </c>
      <c r="F23"/>
      <c r="G23"/>
      <c r="H23" s="25">
        <v>2.3739581927657127E-2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 s="12">
        <v>3.0902035068720579E-3</v>
      </c>
      <c r="AN23" s="19">
        <v>1.3257192447781563E-2</v>
      </c>
      <c r="AO23" s="73">
        <v>5.9022970497608185E-2</v>
      </c>
      <c r="AP23"/>
      <c r="AQ23" s="290">
        <v>0.23391509056091309</v>
      </c>
      <c r="AR23" s="16">
        <v>1.130461972206831E-2</v>
      </c>
      <c r="AS23" s="65">
        <v>1.6519969329237938E-2</v>
      </c>
      <c r="AT23" s="259">
        <v>8.4160245954990387E-2</v>
      </c>
      <c r="AU23"/>
      <c r="AV23"/>
      <c r="AW23"/>
      <c r="AX23"/>
      <c r="AY23"/>
      <c r="AZ23"/>
      <c r="BA23"/>
      <c r="BB23" s="23">
        <v>4.4142748229205608E-3</v>
      </c>
      <c r="BC23"/>
      <c r="BD23"/>
      <c r="BE23" s="14">
        <v>1.0455284500494599E-3</v>
      </c>
      <c r="BF23"/>
      <c r="BG23"/>
      <c r="BH23"/>
      <c r="BI23"/>
      <c r="BJ23" s="11">
        <v>4.7511060256510973E-4</v>
      </c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0.59899997711181641</v>
      </c>
      <c r="C24">
        <v>6.0159608721733093E-2</v>
      </c>
      <c r="D24" s="246">
        <v>0.25425902009010315</v>
      </c>
      <c r="E24" s="142">
        <v>0.12964996695518494</v>
      </c>
      <c r="F24" s="11">
        <v>2.1627737442031503E-4</v>
      </c>
      <c r="G24" s="12">
        <v>2.2958675399422646E-3</v>
      </c>
      <c r="H24" s="11">
        <v>3.8264458999037743E-4</v>
      </c>
      <c r="I24" s="11">
        <v>1.6636720829410478E-5</v>
      </c>
      <c r="J24" s="11">
        <v>1.6636720829410478E-5</v>
      </c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 s="14">
        <v>1.5937234275043011E-3</v>
      </c>
      <c r="AP24"/>
      <c r="AQ24"/>
      <c r="AR24"/>
      <c r="AS24"/>
      <c r="AT24" s="77">
        <v>0.10072258859872818</v>
      </c>
      <c r="AU24" s="67">
        <v>3.6998268216848373E-2</v>
      </c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 s="65">
        <v>1.2688754126429558E-2</v>
      </c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0.54540002346038818</v>
      </c>
      <c r="C25">
        <v>0.15509888529777527</v>
      </c>
      <c r="D25" s="149">
        <v>0.13686622679233551</v>
      </c>
      <c r="E25" s="263">
        <v>0.19083906710147858</v>
      </c>
      <c r="F25" s="11">
        <v>2.158249553758651E-4</v>
      </c>
      <c r="G25" s="22">
        <v>3.9346548728644848E-3</v>
      </c>
      <c r="H25" s="19">
        <v>9.4630932435393333E-3</v>
      </c>
      <c r="I25" s="11">
        <v>4.9805757589638233E-4</v>
      </c>
      <c r="J25" s="11">
        <v>2.158249553758651E-4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 s="16">
        <v>8.6903106421232224E-3</v>
      </c>
      <c r="AQ25"/>
      <c r="AR25"/>
      <c r="AS25"/>
      <c r="AT25"/>
      <c r="AU25"/>
      <c r="AV25"/>
      <c r="AW25" s="18">
        <v>6.0712755657732487E-3</v>
      </c>
      <c r="AX25"/>
      <c r="AY25"/>
      <c r="AZ25"/>
      <c r="BA25"/>
      <c r="BB25"/>
      <c r="BC25"/>
      <c r="BD25"/>
      <c r="BE25"/>
      <c r="BF25"/>
      <c r="BG25"/>
      <c r="BH25"/>
      <c r="BI25"/>
      <c r="BJ25" s="148">
        <v>3.3506866544485092E-2</v>
      </c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0.57400000095367432</v>
      </c>
      <c r="C26">
        <v>9.7612924873828888E-2</v>
      </c>
      <c r="D26" s="247">
        <v>0.37818261981010437</v>
      </c>
      <c r="E26" s="21">
        <v>1.0908340103924274E-2</v>
      </c>
      <c r="F26" s="18">
        <v>7.2710597887635231E-3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 s="12">
        <v>2.748958533629775E-3</v>
      </c>
      <c r="AQ26"/>
      <c r="AR26"/>
      <c r="AS26"/>
      <c r="AT26"/>
      <c r="AU26"/>
      <c r="AV26"/>
      <c r="AW26"/>
      <c r="AX26"/>
      <c r="AY26"/>
      <c r="AZ26"/>
      <c r="BA26"/>
      <c r="BB26"/>
      <c r="BC26" s="244">
        <v>7.6651431620121002E-2</v>
      </c>
      <c r="BD26"/>
      <c r="BE26" s="14">
        <v>6.2468706164509058E-4</v>
      </c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1.6000000238418579</v>
      </c>
      <c r="C27">
        <v>0.21398983895778656</v>
      </c>
      <c r="D27" s="248">
        <v>3.709208220243454E-2</v>
      </c>
      <c r="E27" s="14">
        <v>2.9580863192677498E-3</v>
      </c>
      <c r="F27" s="11">
        <v>1.4790431596338749E-3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 s="292">
        <v>0.24409471452236176</v>
      </c>
      <c r="AC27"/>
      <c r="AD27"/>
      <c r="AE27"/>
      <c r="AF27"/>
      <c r="AG27"/>
      <c r="AH27"/>
      <c r="AI27"/>
      <c r="AJ27"/>
      <c r="AK27" s="262">
        <v>0.14238303899765015</v>
      </c>
      <c r="AL27"/>
      <c r="AM27" s="293">
        <v>0.27855774760246277</v>
      </c>
      <c r="AN27" s="14">
        <v>3.4355516545474529E-3</v>
      </c>
      <c r="AO27" s="27">
        <v>0.12272341549396515</v>
      </c>
      <c r="AP27" s="22">
        <v>1.2267937883734703E-2</v>
      </c>
      <c r="AQ27" s="291">
        <v>0.23780415952205658</v>
      </c>
      <c r="AR27" s="11">
        <v>3.8727256469428539E-4</v>
      </c>
      <c r="AS27" s="11">
        <v>4.5970251085236669E-4</v>
      </c>
      <c r="AT27" s="106">
        <v>0.19877353310585022</v>
      </c>
      <c r="AU27" s="16">
        <v>2.3995984345674515E-2</v>
      </c>
      <c r="AV27"/>
      <c r="AW27"/>
      <c r="AX27"/>
      <c r="AY27"/>
      <c r="AZ27"/>
      <c r="BA27"/>
      <c r="BB27" s="14">
        <v>1.8981894245371222E-3</v>
      </c>
      <c r="BC27" s="13">
        <v>5.8719590306282043E-2</v>
      </c>
      <c r="BD27"/>
      <c r="BE27"/>
      <c r="BF27"/>
      <c r="BG27"/>
      <c r="BH27"/>
      <c r="BI27" s="23">
        <v>8.8082645088434219E-3</v>
      </c>
      <c r="BJ27" s="23">
        <v>1.0171719826757908E-2</v>
      </c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0.7879670262336731</v>
      </c>
      <c r="C28">
        <v>0.47830545902252197</v>
      </c>
      <c r="D28" s="151">
        <v>0.28189000487327576</v>
      </c>
      <c r="E28" s="17">
        <v>1.1304869316518307E-2</v>
      </c>
      <c r="F28" s="14">
        <v>1.7018967773765326E-3</v>
      </c>
      <c r="G28" s="11">
        <v>9.8660682851914316E-5</v>
      </c>
      <c r="H28" s="23">
        <v>5.2125728689134121E-3</v>
      </c>
      <c r="I28" s="11">
        <v>2.4665170712978579E-5</v>
      </c>
      <c r="J28" s="14">
        <v>1.5867926413193345E-3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 s="15">
        <v>7.8421207144856453E-3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1.8799999952316284</v>
      </c>
      <c r="C29">
        <v>0.63363814353942871</v>
      </c>
      <c r="D29" s="249">
        <v>0.44386962056159973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286">
        <v>0.26314428448677063</v>
      </c>
      <c r="AL29"/>
      <c r="AM29" s="65">
        <v>4.1185181587934494E-2</v>
      </c>
      <c r="AN29" s="11">
        <v>6.538670277222991E-4</v>
      </c>
      <c r="AO29" s="284">
        <v>0.19987677037715912</v>
      </c>
      <c r="AP29"/>
      <c r="AQ29"/>
      <c r="AR29"/>
      <c r="AS29" s="14">
        <v>4.9995481967926025E-3</v>
      </c>
      <c r="AT29" s="272">
        <v>6.2372483313083649E-2</v>
      </c>
      <c r="AU29" s="19">
        <v>3.4694097936153412E-2</v>
      </c>
      <c r="AV29"/>
      <c r="AW29"/>
      <c r="AX29"/>
      <c r="AY29"/>
      <c r="AZ29"/>
      <c r="BA29"/>
      <c r="BB29" s="18">
        <v>2.0390991121530533E-2</v>
      </c>
      <c r="BC29" s="28">
        <v>6.5113544464111328E-2</v>
      </c>
      <c r="BD29"/>
      <c r="BE29"/>
      <c r="BF29"/>
      <c r="BG29"/>
      <c r="BH29" s="13">
        <v>6.8858154118061066E-2</v>
      </c>
      <c r="BI29" s="17">
        <v>2.4418409913778305E-2</v>
      </c>
      <c r="BJ29" s="15">
        <v>1.6784848645329475E-2</v>
      </c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0.99000000953674316</v>
      </c>
      <c r="C30">
        <v>0.42575076222419739</v>
      </c>
      <c r="D30" s="250">
        <v>0.31528353691101074</v>
      </c>
      <c r="E30" s="19">
        <v>1.6609882935881615E-2</v>
      </c>
      <c r="F30" s="19">
        <v>1.6609882935881615E-2</v>
      </c>
      <c r="G30"/>
      <c r="H30" s="273">
        <v>0.21574592590332031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0.52799999713897705</v>
      </c>
      <c r="C31">
        <v>5.2581474184989929E-2</v>
      </c>
      <c r="D31" s="251">
        <v>0.15943558514118195</v>
      </c>
      <c r="E31"/>
      <c r="F31"/>
      <c r="G31"/>
      <c r="H31" s="274">
        <v>0.15079738199710846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 s="15">
        <v>4.6866149641573429E-3</v>
      </c>
      <c r="AQ31"/>
      <c r="AR31"/>
      <c r="AS31"/>
      <c r="AT31"/>
      <c r="AU31"/>
      <c r="AV31"/>
      <c r="AW31"/>
      <c r="AX31"/>
      <c r="AY31"/>
      <c r="AZ31"/>
      <c r="BA31"/>
      <c r="BB31"/>
      <c r="BC31" s="288">
        <v>0.16049893200397491</v>
      </c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0.37992298603057861</v>
      </c>
      <c r="C32">
        <v>0.28235673904418945</v>
      </c>
      <c r="D32" s="252">
        <v>7.6506704092025757E-2</v>
      </c>
      <c r="E32" s="11">
        <v>2.2460134641733021E-4</v>
      </c>
      <c r="F32" s="12">
        <v>1.2228295672684908E-3</v>
      </c>
      <c r="G32" s="11">
        <v>2.7451274218037724E-4</v>
      </c>
      <c r="H32" s="19">
        <v>6.4011379145085812E-3</v>
      </c>
      <c r="I32" s="11">
        <v>2.0463677356019616E-4</v>
      </c>
      <c r="J32" s="272">
        <v>1.2592648155987263E-2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 s="11">
        <v>1.3916296302340925E-4</v>
      </c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0.60000002384185791</v>
      </c>
      <c r="C33">
        <v>0.11999999731779099</v>
      </c>
      <c r="D33" s="253">
        <v>0.38088998198509216</v>
      </c>
      <c r="E33" s="64">
        <v>3.3065903931856155E-2</v>
      </c>
      <c r="F33" s="12">
        <v>2.4446831084787846E-3</v>
      </c>
      <c r="G33" s="18">
        <v>7.5116539373993874E-3</v>
      </c>
      <c r="H33" s="275">
        <v>4.1737217456102371E-2</v>
      </c>
      <c r="I33" s="14">
        <v>1.3059205375611782E-3</v>
      </c>
      <c r="J33" s="65">
        <v>1.2672652490437031E-2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 s="11">
        <v>3.7203304236754775E-4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0.82750397920608521</v>
      </c>
      <c r="C34">
        <v>0.28313815593719482</v>
      </c>
      <c r="D34" s="254">
        <v>0.14949214458465576</v>
      </c>
      <c r="E34"/>
      <c r="F34"/>
      <c r="G34"/>
      <c r="H34" s="276">
        <v>4.6395145356655121E-2</v>
      </c>
      <c r="I34"/>
      <c r="J34" s="23">
        <v>5.1550162024796009E-3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 s="254">
        <v>0.14898054301738739</v>
      </c>
      <c r="AN34"/>
      <c r="AO34" s="16">
        <v>1.2306740507483482E-2</v>
      </c>
      <c r="AP34" s="19">
        <v>1.5088676474988461E-2</v>
      </c>
      <c r="AQ34" s="147">
        <v>2.4430487304925919E-2</v>
      </c>
      <c r="AR34" s="14">
        <v>1.4135560486465693E-3</v>
      </c>
      <c r="AS34" s="17">
        <v>1.1554159224033356E-2</v>
      </c>
      <c r="AT34"/>
      <c r="AU34" s="67">
        <v>5.1979657262563705E-2</v>
      </c>
      <c r="AV34"/>
      <c r="AW34" s="23">
        <v>4.945733118802309E-3</v>
      </c>
      <c r="AX34"/>
      <c r="AY34"/>
      <c r="AZ34"/>
      <c r="BA34"/>
      <c r="BB34" s="11">
        <v>5.4386000556405634E-5</v>
      </c>
      <c r="BC34" s="258">
        <v>6.7296244204044342E-2</v>
      </c>
      <c r="BD34"/>
      <c r="BE34"/>
      <c r="BF34"/>
      <c r="BG34"/>
      <c r="BH34"/>
      <c r="BI34" s="14">
        <v>1.5853504883125424E-3</v>
      </c>
      <c r="BJ34" s="12">
        <v>3.688029246404767E-3</v>
      </c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0.41100001335144043</v>
      </c>
      <c r="C35">
        <v>0.1292731910943985</v>
      </c>
      <c r="D35" s="255">
        <v>0.13186174631118774</v>
      </c>
      <c r="E35" s="264">
        <v>4.0035117417573929E-2</v>
      </c>
      <c r="F35"/>
      <c r="G35" s="29">
        <v>1.9552187994122505E-2</v>
      </c>
      <c r="H35" s="277">
        <v>5.3897235542535782E-2</v>
      </c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 s="262">
        <v>3.6380544304847717E-2</v>
      </c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0.45800000429153442</v>
      </c>
      <c r="C36">
        <v>4.608430340886116E-2</v>
      </c>
      <c r="D36" s="256">
        <v>0.11843861639499664</v>
      </c>
      <c r="E36" s="24">
        <v>1.2771022506058216E-2</v>
      </c>
      <c r="F36"/>
      <c r="G36"/>
      <c r="H36" s="278">
        <v>0.10514448583126068</v>
      </c>
      <c r="I36"/>
      <c r="J36" s="278">
        <v>0.10496409982442856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 s="271">
        <v>2.0890068262815475E-2</v>
      </c>
      <c r="AX36"/>
      <c r="AY36"/>
      <c r="AZ36"/>
      <c r="BA36"/>
      <c r="BB36"/>
      <c r="BC36"/>
      <c r="BD36"/>
      <c r="BE36"/>
      <c r="BF36"/>
      <c r="BG36"/>
      <c r="BH36"/>
      <c r="BI36"/>
      <c r="BJ36" s="289">
        <v>4.9707431346178055E-2</v>
      </c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0.61299997568130493</v>
      </c>
      <c r="C37">
        <v>6.166381761431694E-2</v>
      </c>
      <c r="D37" s="143">
        <v>0.27950006723403931</v>
      </c>
      <c r="E37"/>
      <c r="F37" s="265">
        <v>6.3881859183311462E-2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 s="274">
        <v>0.17532600462436676</v>
      </c>
      <c r="BH37"/>
      <c r="BI37" s="287">
        <v>3.2628249377012253E-2</v>
      </c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0.65225899219512939</v>
      </c>
      <c r="C38">
        <v>0.235592320561409</v>
      </c>
      <c r="D38" s="257">
        <v>0.3871999979019165</v>
      </c>
      <c r="E38" s="242">
        <v>2.6000000536441803E-2</v>
      </c>
      <c r="F38"/>
      <c r="G38"/>
      <c r="H38" s="23">
        <v>3.4666666761040688E-3</v>
      </c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1.2899999618530273</v>
      </c>
      <c r="C39">
        <v>0.12900002300739288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 s="14">
        <v>1.5074939001351595E-3</v>
      </c>
      <c r="AC39"/>
      <c r="AD39"/>
      <c r="AE39"/>
      <c r="AF39"/>
      <c r="AG39"/>
      <c r="AH39"/>
      <c r="AI39" s="22">
        <v>9.1847581788897514E-3</v>
      </c>
      <c r="AJ39"/>
      <c r="AK39"/>
      <c r="AL39"/>
      <c r="AM39" s="20">
        <v>5.4882552474737167E-2</v>
      </c>
      <c r="AN39" s="11">
        <v>1.0211160406470299E-3</v>
      </c>
      <c r="AO39" s="11">
        <v>8.9313444914296269E-4</v>
      </c>
      <c r="AP39"/>
      <c r="AQ39" s="23">
        <v>6.8089189007878304E-3</v>
      </c>
      <c r="AR39" s="14">
        <v>2.0555353257805109E-3</v>
      </c>
      <c r="AS39" s="305">
        <v>0.19059592485427856</v>
      </c>
      <c r="AT39"/>
      <c r="AU39" s="12">
        <v>3.949461504817009E-3</v>
      </c>
      <c r="AV39"/>
      <c r="AW39" s="11">
        <v>1.2452134978957474E-4</v>
      </c>
      <c r="AX39"/>
      <c r="AY39"/>
      <c r="AZ39"/>
      <c r="BA39"/>
      <c r="BB39" s="307">
        <v>0.49350050091743469</v>
      </c>
      <c r="BC39" s="291">
        <v>0.19166366755962372</v>
      </c>
      <c r="BD39"/>
      <c r="BE39"/>
      <c r="BF39"/>
      <c r="BG39" s="291">
        <v>0.19184094667434692</v>
      </c>
      <c r="BH39" s="22">
        <v>1.124014426022768E-2</v>
      </c>
      <c r="BI39"/>
      <c r="BJ39" s="14">
        <v>1.7312605632469058E-3</v>
      </c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0.99747598171234131</v>
      </c>
      <c r="C40">
        <v>0.11209417879581451</v>
      </c>
      <c r="D40" s="22">
        <v>7.0278183557093143E-3</v>
      </c>
      <c r="E40"/>
      <c r="F40" s="266">
        <v>0.14232796430587769</v>
      </c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4">
        <v>2.1049939095973969E-3</v>
      </c>
      <c r="AJ40" s="16">
        <v>1.5311466529965401E-2</v>
      </c>
      <c r="AK40"/>
      <c r="AL40"/>
      <c r="AM40" s="66">
        <v>5.9440422803163528E-2</v>
      </c>
      <c r="AN40"/>
      <c r="AO40" s="14">
        <v>1.5520430169999599E-3</v>
      </c>
      <c r="AP40" s="14">
        <v>2.5656085927039385E-3</v>
      </c>
      <c r="AQ40" s="289">
        <v>0.10762004554271698</v>
      </c>
      <c r="AR40" s="11">
        <v>1.0664584260666743E-4</v>
      </c>
      <c r="AS40" s="66">
        <v>5.8931529521942139E-2</v>
      </c>
      <c r="AT40" s="28">
        <v>3.4811221063137054E-2</v>
      </c>
      <c r="AU40" s="242">
        <v>3.9480403065681458E-2</v>
      </c>
      <c r="AV40"/>
      <c r="AW40"/>
      <c r="AX40"/>
      <c r="AY40"/>
      <c r="AZ40"/>
      <c r="BA40"/>
      <c r="BB40" s="294">
        <v>0.14985647797584534</v>
      </c>
      <c r="BC40" s="107">
        <v>0.1572965532541275</v>
      </c>
      <c r="BD40"/>
      <c r="BE40" s="11">
        <v>2.2692917264066637E-4</v>
      </c>
      <c r="BF40"/>
      <c r="BG40" s="265">
        <v>0.10279574245214462</v>
      </c>
      <c r="BH40" s="14">
        <v>1.054612104780972E-3</v>
      </c>
      <c r="BI40" s="14">
        <v>2.6957793161273003E-3</v>
      </c>
      <c r="BJ40" s="11">
        <v>1.7551801283843815E-4</v>
      </c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1.2100000381469727</v>
      </c>
      <c r="C41">
        <v>0.12099996209144592</v>
      </c>
      <c r="D41"/>
      <c r="E41"/>
      <c r="F41" s="108">
        <v>8.0794408917427063E-2</v>
      </c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 s="66">
        <v>7.0429377257823944E-2</v>
      </c>
      <c r="AC41"/>
      <c r="AD41"/>
      <c r="AE41"/>
      <c r="AF41"/>
      <c r="AG41"/>
      <c r="AH41"/>
      <c r="AI41" s="12">
        <v>3.5602818243205547E-3</v>
      </c>
      <c r="AJ41" s="28">
        <v>4.3090738356113434E-2</v>
      </c>
      <c r="AK41"/>
      <c r="AL41"/>
      <c r="AM41" s="300">
        <v>0.25648263096809387</v>
      </c>
      <c r="AN41" s="11">
        <v>1.2701937521342188E-4</v>
      </c>
      <c r="AO41" s="14">
        <v>1.5143067575991154E-3</v>
      </c>
      <c r="AP41" s="15">
        <v>1.1470283381640911E-2</v>
      </c>
      <c r="AQ41" s="28">
        <v>4.1906833648681641E-2</v>
      </c>
      <c r="AR41" s="11">
        <v>1.9197080109734088E-4</v>
      </c>
      <c r="AS41" s="295">
        <v>5.9073932468891144E-2</v>
      </c>
      <c r="AT41"/>
      <c r="AU41" s="297">
        <v>0.15276581048965454</v>
      </c>
      <c r="AV41"/>
      <c r="AW41"/>
      <c r="AX41"/>
      <c r="AY41"/>
      <c r="AZ41"/>
      <c r="BA41"/>
      <c r="BB41" s="140">
        <v>0.15561224520206451</v>
      </c>
      <c r="BC41" s="298">
        <v>0.18773365020751953</v>
      </c>
      <c r="BD41"/>
      <c r="BE41" s="11">
        <v>2.8684749850071967E-4</v>
      </c>
      <c r="BF41"/>
      <c r="BG41"/>
      <c r="BH41" s="18">
        <v>1.4944323338568211E-2</v>
      </c>
      <c r="BI41" s="22">
        <v>9.0154260396957397E-3</v>
      </c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0.6393200159072876</v>
      </c>
      <c r="C42">
        <v>0.12647657096385956</v>
      </c>
      <c r="D42" s="14">
        <v>1.3793604448437691E-3</v>
      </c>
      <c r="E42"/>
      <c r="F42" s="267">
        <v>0.14527033269405365</v>
      </c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23">
        <v>4.2513702064752579E-3</v>
      </c>
      <c r="AJ42" s="14">
        <v>9.3920581275597215E-4</v>
      </c>
      <c r="AK42"/>
      <c r="AL42"/>
      <c r="AM42"/>
      <c r="AN42"/>
      <c r="AO42"/>
      <c r="AP42" s="248">
        <v>1.559898629784584E-2</v>
      </c>
      <c r="AQ42" s="69">
        <v>3.1970739364624023E-2</v>
      </c>
      <c r="AR42" s="11">
        <v>2.2585768601857126E-4</v>
      </c>
      <c r="AS42"/>
      <c r="AT42"/>
      <c r="AU42" s="109">
        <v>0.11654508858919144</v>
      </c>
      <c r="AV42"/>
      <c r="AW42" s="275">
        <v>4.4296856969594955E-2</v>
      </c>
      <c r="AX42"/>
      <c r="AY42"/>
      <c r="AZ42"/>
      <c r="BA42"/>
      <c r="BB42"/>
      <c r="BC42" s="299">
        <v>0.14322207868099213</v>
      </c>
      <c r="BD42"/>
      <c r="BE42"/>
      <c r="BF42"/>
      <c r="BG42"/>
      <c r="BH42" s="12">
        <v>2.2656905930489302E-3</v>
      </c>
      <c r="BI42" s="15">
        <v>6.8778716959059238E-3</v>
      </c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0.3619999885559082</v>
      </c>
      <c r="C43">
        <v>3.6272678524255753E-2</v>
      </c>
      <c r="D43" s="25">
        <v>1.1371739208698273E-2</v>
      </c>
      <c r="E43"/>
      <c r="F43" s="268">
        <v>0.23096029460430145</v>
      </c>
      <c r="G43"/>
      <c r="H43"/>
      <c r="I43"/>
      <c r="J43" s="272">
        <v>1.2401665560901165E-2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 s="11">
        <v>3.4948246320709586E-4</v>
      </c>
      <c r="AN43"/>
      <c r="AO43" s="14">
        <v>8.7458203779533505E-4</v>
      </c>
      <c r="AP43" s="271">
        <v>1.6543179750442505E-2</v>
      </c>
      <c r="AQ43"/>
      <c r="AR43" s="17">
        <v>5.0609279423952103E-3</v>
      </c>
      <c r="AS43"/>
      <c r="AT43" s="19">
        <v>6.7333406768739223E-3</v>
      </c>
      <c r="AU43"/>
      <c r="AV43"/>
      <c r="AW43"/>
      <c r="AX43"/>
      <c r="AY43"/>
      <c r="AZ43"/>
      <c r="BA43"/>
      <c r="BB43" s="19">
        <v>6.7339665256440639E-3</v>
      </c>
      <c r="BC43"/>
      <c r="BD43"/>
      <c r="BE43" s="14">
        <v>4.6223553363233805E-4</v>
      </c>
      <c r="BF43"/>
      <c r="BG43" s="67">
        <v>2.2645995020866394E-2</v>
      </c>
      <c r="BH43" s="21">
        <v>7.2645447216928005E-3</v>
      </c>
      <c r="BI43" s="15">
        <v>3.471216419711709E-3</v>
      </c>
      <c r="BJ43" s="14">
        <v>8.5414171917364001E-4</v>
      </c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0.39399999380111694</v>
      </c>
      <c r="C44">
        <v>3.929484635591507E-2</v>
      </c>
      <c r="D44" s="258">
        <v>3.1542699784040451E-2</v>
      </c>
      <c r="E44"/>
      <c r="F44" s="269">
        <v>0.20853173732757568</v>
      </c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 s="262">
        <v>3.5038817673921585E-2</v>
      </c>
      <c r="AQ44"/>
      <c r="AR44"/>
      <c r="AS44"/>
      <c r="AT44"/>
      <c r="AU44"/>
      <c r="AV44"/>
      <c r="AW44" s="20">
        <v>1.6806451603770256E-2</v>
      </c>
      <c r="AX44"/>
      <c r="AY44"/>
      <c r="AZ44"/>
      <c r="BA44"/>
      <c r="BB44"/>
      <c r="BC44"/>
      <c r="BD44"/>
      <c r="BE44" s="14">
        <v>4.9930857494473457E-4</v>
      </c>
      <c r="BF44"/>
      <c r="BG44" s="286">
        <v>5.4843507707118988E-2</v>
      </c>
      <c r="BH44"/>
      <c r="BI44" s="19">
        <v>6.7255119793117046E-3</v>
      </c>
      <c r="BJ44" s="14">
        <v>7.1712135104462504E-4</v>
      </c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0.42179200053215027</v>
      </c>
      <c r="C45">
        <v>0.23535922169685364</v>
      </c>
      <c r="D45" s="259">
        <v>4.747898131608963E-2</v>
      </c>
      <c r="E45"/>
      <c r="F45" s="24">
        <v>1.1579484678804874E-2</v>
      </c>
      <c r="G45"/>
      <c r="H45" s="64">
        <v>2.3158969357609749E-2</v>
      </c>
      <c r="I45"/>
      <c r="J45" s="282">
        <v>4.6317938715219498E-2</v>
      </c>
      <c r="K45"/>
      <c r="L45" s="283">
        <v>5.7897422462701797E-2</v>
      </c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0.23638500273227692</v>
      </c>
      <c r="C46">
        <v>0.14807584881782532</v>
      </c>
      <c r="D46"/>
      <c r="E46"/>
      <c r="F46"/>
      <c r="G46"/>
      <c r="H46"/>
      <c r="I46"/>
      <c r="J46"/>
      <c r="K46"/>
      <c r="L46" s="150">
        <v>5.9999994933605194E-2</v>
      </c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 s="141">
        <v>2.8309155255556107E-2</v>
      </c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7.0000000298023224E-2</v>
      </c>
      <c r="C47">
        <v>7.0000000298023224E-2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2.1930000782012939</v>
      </c>
      <c r="C48">
        <v>0.21964854001998901</v>
      </c>
      <c r="D48" s="76">
        <v>0.30851316452026367</v>
      </c>
      <c r="E48" s="248">
        <v>5.0714526325464249E-2</v>
      </c>
      <c r="F48" s="11">
        <v>1.3615068746730685E-3</v>
      </c>
      <c r="G48" s="14">
        <v>2.540764631703496E-3</v>
      </c>
      <c r="H48" s="11">
        <v>7.2256353450939059E-4</v>
      </c>
      <c r="I48" s="12">
        <v>9.7899846732616425E-3</v>
      </c>
      <c r="J48" s="11">
        <v>6.7110499367117882E-4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 s="292">
        <v>0.33505204319953918</v>
      </c>
      <c r="AC48"/>
      <c r="AD48"/>
      <c r="AE48"/>
      <c r="AF48"/>
      <c r="AG48"/>
      <c r="AH48" s="23">
        <v>1.4560661278665066E-2</v>
      </c>
      <c r="AI48"/>
      <c r="AJ48"/>
      <c r="AK48" s="259">
        <v>0.24660274386405945</v>
      </c>
      <c r="AL48"/>
      <c r="AM48" s="18">
        <v>2.7489503845572472E-2</v>
      </c>
      <c r="AN48" s="11">
        <v>9.526681387796998E-4</v>
      </c>
      <c r="AO48" s="14">
        <v>2.8972018044441938E-3</v>
      </c>
      <c r="AP48" s="11">
        <v>5.6131859309971333E-4</v>
      </c>
      <c r="AQ48" s="27">
        <v>0.16721251606941223</v>
      </c>
      <c r="AR48" s="15">
        <v>1.9415123388171196E-2</v>
      </c>
      <c r="AS48" s="15">
        <v>2.0993487909436226E-2</v>
      </c>
      <c r="AT48" s="22">
        <v>1.5744084492325783E-2</v>
      </c>
      <c r="AU48" s="18">
        <v>2.5950245559215546E-2</v>
      </c>
      <c r="AV48"/>
      <c r="AW48" s="11">
        <v>5.2278244402259588E-4</v>
      </c>
      <c r="AX48"/>
      <c r="AY48"/>
      <c r="AZ48"/>
      <c r="BA48"/>
      <c r="BB48" s="264">
        <v>0.21643617749214172</v>
      </c>
      <c r="BC48" s="16">
        <v>3.5207856446504593E-2</v>
      </c>
      <c r="BD48"/>
      <c r="BE48" s="14">
        <v>6.0593322850763798E-3</v>
      </c>
      <c r="BF48"/>
      <c r="BG48" s="109">
        <v>0.39857548475265503</v>
      </c>
      <c r="BH48"/>
      <c r="BI48" s="24">
        <v>6.1309568583965302E-2</v>
      </c>
      <c r="BJ48" s="14">
        <v>3.4951320849359035E-3</v>
      </c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0.40000000596046448</v>
      </c>
      <c r="C49">
        <v>0.39535343647003174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 s="18">
        <v>4.6465774066746235E-3</v>
      </c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0.40000000596046448</v>
      </c>
      <c r="C50">
        <v>0.32903864979743958</v>
      </c>
      <c r="D50"/>
      <c r="E50"/>
      <c r="F50" s="140">
        <v>5.2083332091569901E-2</v>
      </c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 s="29">
        <v>1.8878037109971046E-2</v>
      </c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3.9999999105930328E-2</v>
      </c>
      <c r="C51">
        <v>3.2922711223363876E-2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 s="243">
        <v>7.0772883482277393E-3</v>
      </c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/>
      <c r="C52">
        <v>6.6466361284255981E-2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 s="9">
        <v>7.5828094850294292E-5</v>
      </c>
      <c r="BF52"/>
      <c r="BG52"/>
      <c r="BH52" s="9">
        <v>1.995600201189518E-2</v>
      </c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/>
      <c r="C53">
        <v>0.18706692755222321</v>
      </c>
      <c r="D53"/>
      <c r="E53"/>
      <c r="F53"/>
      <c r="G53"/>
      <c r="H53"/>
      <c r="I53"/>
      <c r="J53"/>
      <c r="K53"/>
      <c r="L53"/>
      <c r="M53"/>
      <c r="N53"/>
      <c r="O53" s="9">
        <v>32.831077575683594</v>
      </c>
      <c r="P53"/>
      <c r="Q53" s="9">
        <v>272.83999633789062</v>
      </c>
      <c r="R53" s="9">
        <v>3.5490000247955322</v>
      </c>
      <c r="S53" s="9">
        <v>38.477592468261719</v>
      </c>
      <c r="T53"/>
      <c r="U53" s="9">
        <v>44.868934631347656</v>
      </c>
      <c r="V53" s="9">
        <v>85.957427978515625</v>
      </c>
      <c r="W53" s="9">
        <v>2.3197598457336426</v>
      </c>
      <c r="X53" s="9">
        <v>51.007797241210938</v>
      </c>
      <c r="Y53" s="9">
        <v>1.2916809320449829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/>
      <c r="C54">
        <v>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30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2" t="s">
        <v>192</v>
      </c>
      <c r="E5">
        <v>4</v>
      </c>
      <c r="F5">
        <v>2</v>
      </c>
      <c r="G5">
        <v>4</v>
      </c>
      <c r="H5" s="203" t="s">
        <v>192</v>
      </c>
      <c r="J5" s="57"/>
      <c r="K5" s="58"/>
    </row>
    <row r="6" spans="1:12" ht="14" thickBot="1" x14ac:dyDescent="0.2">
      <c r="A6" s="41" t="s">
        <v>121</v>
      </c>
      <c r="D6" s="202" t="s">
        <v>193</v>
      </c>
      <c r="E6">
        <v>5</v>
      </c>
      <c r="F6">
        <v>3.14</v>
      </c>
      <c r="G6">
        <v>5</v>
      </c>
      <c r="H6" s="203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2" t="s">
        <v>194</v>
      </c>
      <c r="E7">
        <v>6</v>
      </c>
      <c r="F7">
        <v>3.11</v>
      </c>
      <c r="G7">
        <v>6</v>
      </c>
      <c r="H7" s="203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2" t="s">
        <v>195</v>
      </c>
      <c r="E8">
        <v>7</v>
      </c>
      <c r="F8">
        <v>3.11</v>
      </c>
      <c r="G8">
        <v>7</v>
      </c>
      <c r="H8" s="203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2" t="s">
        <v>196</v>
      </c>
      <c r="E9">
        <v>8</v>
      </c>
      <c r="F9">
        <v>3.21</v>
      </c>
      <c r="G9">
        <v>8</v>
      </c>
      <c r="H9" s="203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2" t="s">
        <v>197</v>
      </c>
      <c r="E10">
        <v>9</v>
      </c>
      <c r="F10">
        <v>3.21</v>
      </c>
      <c r="G10">
        <v>9</v>
      </c>
      <c r="H10" s="203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2" t="s">
        <v>198</v>
      </c>
      <c r="E11">
        <v>10</v>
      </c>
      <c r="F11">
        <v>3</v>
      </c>
      <c r="G11">
        <v>10</v>
      </c>
      <c r="H11" s="203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2" t="s">
        <v>199</v>
      </c>
      <c r="E12">
        <v>11</v>
      </c>
      <c r="F12">
        <v>3.21</v>
      </c>
      <c r="G12">
        <v>11</v>
      </c>
      <c r="H12" s="203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2" t="s">
        <v>200</v>
      </c>
      <c r="E13">
        <v>12</v>
      </c>
      <c r="F13">
        <v>3.21</v>
      </c>
      <c r="G13">
        <v>12</v>
      </c>
      <c r="H13" s="203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2" t="s">
        <v>201</v>
      </c>
      <c r="E14">
        <v>13</v>
      </c>
      <c r="F14">
        <v>3.21</v>
      </c>
      <c r="G14">
        <v>13</v>
      </c>
      <c r="H14" s="203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2" t="s">
        <v>202</v>
      </c>
      <c r="E15">
        <v>14</v>
      </c>
      <c r="F15">
        <v>3.21</v>
      </c>
      <c r="G15">
        <v>14</v>
      </c>
      <c r="H15" s="203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2" t="s">
        <v>203</v>
      </c>
      <c r="E16">
        <v>15</v>
      </c>
      <c r="F16">
        <v>3.21</v>
      </c>
      <c r="G16">
        <v>15</v>
      </c>
      <c r="H16" s="203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2" t="s">
        <v>204</v>
      </c>
      <c r="E17">
        <v>16</v>
      </c>
      <c r="F17">
        <v>3.21</v>
      </c>
      <c r="G17">
        <v>16</v>
      </c>
      <c r="H17" s="203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2" t="s">
        <v>205</v>
      </c>
      <c r="E18">
        <v>17</v>
      </c>
      <c r="F18">
        <v>3.21</v>
      </c>
      <c r="G18">
        <v>17</v>
      </c>
      <c r="H18" s="203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2" t="s">
        <v>206</v>
      </c>
      <c r="E19">
        <v>18</v>
      </c>
      <c r="F19">
        <v>3.2</v>
      </c>
      <c r="G19">
        <v>18</v>
      </c>
      <c r="H19" s="203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2" t="s">
        <v>207</v>
      </c>
      <c r="E20">
        <v>19</v>
      </c>
      <c r="F20">
        <v>3.22</v>
      </c>
      <c r="G20">
        <v>19</v>
      </c>
      <c r="H20" s="203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2" t="s">
        <v>208</v>
      </c>
      <c r="E21">
        <v>20</v>
      </c>
      <c r="F21">
        <v>3.12</v>
      </c>
      <c r="G21">
        <v>20</v>
      </c>
      <c r="H21" s="203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2" t="s">
        <v>209</v>
      </c>
      <c r="E22">
        <v>21</v>
      </c>
      <c r="F22">
        <v>3.22</v>
      </c>
      <c r="G22">
        <v>21</v>
      </c>
      <c r="H22" s="203" t="s">
        <v>209</v>
      </c>
    </row>
    <row r="23" spans="1:12" x14ac:dyDescent="0.15">
      <c r="A23" s="36" t="s">
        <v>129</v>
      </c>
      <c r="B23" s="44">
        <v>4</v>
      </c>
      <c r="C23" s="38"/>
      <c r="D23" s="202" t="s">
        <v>210</v>
      </c>
      <c r="E23">
        <v>22</v>
      </c>
      <c r="F23">
        <v>3.22</v>
      </c>
      <c r="G23">
        <v>22</v>
      </c>
      <c r="H23" s="203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202" t="s">
        <v>211</v>
      </c>
      <c r="E24">
        <v>23</v>
      </c>
      <c r="F24">
        <v>3.22</v>
      </c>
      <c r="G24">
        <v>23</v>
      </c>
      <c r="H24" s="203" t="s">
        <v>211</v>
      </c>
    </row>
    <row r="25" spans="1:12" x14ac:dyDescent="0.15">
      <c r="A25" s="36" t="s">
        <v>70</v>
      </c>
      <c r="B25" s="44">
        <v>4.2</v>
      </c>
      <c r="C25" s="38"/>
      <c r="D25" s="202" t="s">
        <v>212</v>
      </c>
      <c r="E25">
        <v>24</v>
      </c>
      <c r="F25">
        <v>3.22</v>
      </c>
      <c r="G25">
        <v>24</v>
      </c>
      <c r="H25" s="203" t="s">
        <v>212</v>
      </c>
    </row>
    <row r="26" spans="1:12" x14ac:dyDescent="0.15">
      <c r="A26" s="36" t="s">
        <v>123</v>
      </c>
      <c r="B26" s="44">
        <v>4.3</v>
      </c>
      <c r="C26" s="38"/>
      <c r="D26" s="202" t="s">
        <v>213</v>
      </c>
      <c r="E26">
        <v>25</v>
      </c>
      <c r="F26">
        <v>3.22</v>
      </c>
      <c r="G26">
        <v>25</v>
      </c>
      <c r="H26" s="203" t="s">
        <v>213</v>
      </c>
    </row>
    <row r="27" spans="1:12" x14ac:dyDescent="0.15">
      <c r="A27" s="36" t="s">
        <v>125</v>
      </c>
      <c r="B27" s="44">
        <v>6.1</v>
      </c>
      <c r="D27" s="202" t="s">
        <v>214</v>
      </c>
      <c r="E27">
        <v>26</v>
      </c>
      <c r="F27">
        <v>3.22</v>
      </c>
      <c r="G27">
        <v>26</v>
      </c>
      <c r="H27" s="203" t="s">
        <v>214</v>
      </c>
    </row>
    <row r="28" spans="1:12" x14ac:dyDescent="0.15">
      <c r="A28" s="36" t="s">
        <v>124</v>
      </c>
      <c r="B28" s="44">
        <v>6.2</v>
      </c>
      <c r="D28" s="202" t="s">
        <v>215</v>
      </c>
      <c r="E28">
        <v>27</v>
      </c>
      <c r="F28">
        <v>3.22</v>
      </c>
      <c r="G28">
        <v>27</v>
      </c>
      <c r="H28" s="203" t="s">
        <v>215</v>
      </c>
    </row>
    <row r="29" spans="1:12" x14ac:dyDescent="0.15">
      <c r="A29" s="36" t="s">
        <v>44</v>
      </c>
      <c r="B29" s="44">
        <v>5</v>
      </c>
      <c r="D29" s="202" t="s">
        <v>216</v>
      </c>
      <c r="E29">
        <v>28</v>
      </c>
      <c r="F29">
        <v>3.22</v>
      </c>
      <c r="G29">
        <v>28</v>
      </c>
      <c r="H29" s="203" t="s">
        <v>216</v>
      </c>
    </row>
    <row r="30" spans="1:12" x14ac:dyDescent="0.15">
      <c r="A30" s="36" t="s">
        <v>73</v>
      </c>
      <c r="B30" s="44">
        <v>7</v>
      </c>
      <c r="D30" s="202" t="s">
        <v>217</v>
      </c>
      <c r="E30">
        <v>29</v>
      </c>
      <c r="F30">
        <v>3.12</v>
      </c>
      <c r="G30">
        <v>29</v>
      </c>
      <c r="H30" s="203" t="s">
        <v>217</v>
      </c>
    </row>
    <row r="31" spans="1:12" x14ac:dyDescent="0.15">
      <c r="A31" s="36" t="s">
        <v>169</v>
      </c>
      <c r="B31" s="44">
        <v>3.14</v>
      </c>
      <c r="D31" s="202" t="s">
        <v>218</v>
      </c>
      <c r="E31">
        <v>30</v>
      </c>
      <c r="F31">
        <v>3.12</v>
      </c>
      <c r="G31">
        <v>30</v>
      </c>
      <c r="H31" s="203" t="s">
        <v>218</v>
      </c>
    </row>
    <row r="32" spans="1:12" ht="12" customHeight="1" thickBot="1" x14ac:dyDescent="0.2">
      <c r="A32" s="42" t="s">
        <v>170</v>
      </c>
      <c r="B32" s="45">
        <v>9</v>
      </c>
      <c r="D32" s="202" t="s">
        <v>219</v>
      </c>
      <c r="E32">
        <v>31</v>
      </c>
      <c r="F32">
        <v>3.22</v>
      </c>
      <c r="G32">
        <v>31</v>
      </c>
      <c r="H32" s="203" t="s">
        <v>219</v>
      </c>
    </row>
    <row r="33" spans="4:8" customFormat="1" ht="12" customHeight="1" x14ac:dyDescent="0.15">
      <c r="D33" s="202" t="s">
        <v>220</v>
      </c>
      <c r="E33">
        <v>32</v>
      </c>
      <c r="F33">
        <v>3.22</v>
      </c>
      <c r="G33">
        <v>32</v>
      </c>
      <c r="H33" s="203" t="s">
        <v>220</v>
      </c>
    </row>
    <row r="34" spans="4:8" customFormat="1" ht="12" customHeight="1" x14ac:dyDescent="0.15">
      <c r="D34" s="202" t="s">
        <v>221</v>
      </c>
      <c r="E34">
        <v>33</v>
      </c>
      <c r="F34">
        <v>3.12</v>
      </c>
      <c r="G34">
        <v>33</v>
      </c>
      <c r="H34" s="203" t="s">
        <v>221</v>
      </c>
    </row>
    <row r="35" spans="4:8" customFormat="1" x14ac:dyDescent="0.15">
      <c r="D35" s="202" t="s">
        <v>222</v>
      </c>
      <c r="E35">
        <v>34</v>
      </c>
      <c r="F35">
        <v>3.22</v>
      </c>
      <c r="G35">
        <v>34</v>
      </c>
      <c r="H35" s="203" t="s">
        <v>222</v>
      </c>
    </row>
    <row r="36" spans="4:8" customFormat="1" x14ac:dyDescent="0.15">
      <c r="D36" s="202" t="s">
        <v>223</v>
      </c>
      <c r="E36">
        <v>35</v>
      </c>
      <c r="F36">
        <v>3.22</v>
      </c>
      <c r="G36">
        <v>35</v>
      </c>
      <c r="H36" s="203" t="s">
        <v>223</v>
      </c>
    </row>
    <row r="37" spans="4:8" customFormat="1" ht="12" customHeight="1" x14ac:dyDescent="0.15">
      <c r="D37" s="202" t="s">
        <v>224</v>
      </c>
      <c r="E37">
        <v>36</v>
      </c>
      <c r="F37">
        <v>3.22</v>
      </c>
      <c r="G37">
        <v>36</v>
      </c>
      <c r="H37" s="203" t="s">
        <v>224</v>
      </c>
    </row>
    <row r="38" spans="4:8" customFormat="1" x14ac:dyDescent="0.15">
      <c r="D38" s="202" t="s">
        <v>225</v>
      </c>
      <c r="E38">
        <v>37</v>
      </c>
      <c r="F38">
        <v>3.22</v>
      </c>
      <c r="G38">
        <v>37</v>
      </c>
      <c r="H38" s="203" t="s">
        <v>225</v>
      </c>
    </row>
    <row r="39" spans="4:8" customFormat="1" x14ac:dyDescent="0.15">
      <c r="D39" s="202" t="s">
        <v>226</v>
      </c>
      <c r="E39">
        <v>38</v>
      </c>
      <c r="F39">
        <v>3</v>
      </c>
      <c r="G39">
        <v>38</v>
      </c>
      <c r="H39" s="203" t="s">
        <v>226</v>
      </c>
    </row>
    <row r="40" spans="4:8" customFormat="1" x14ac:dyDescent="0.15">
      <c r="D40" s="202" t="s">
        <v>227</v>
      </c>
      <c r="E40">
        <v>39</v>
      </c>
      <c r="F40">
        <v>3.22</v>
      </c>
      <c r="G40">
        <v>39</v>
      </c>
      <c r="H40" s="203" t="s">
        <v>227</v>
      </c>
    </row>
    <row r="41" spans="4:8" customFormat="1" x14ac:dyDescent="0.15">
      <c r="D41" s="202" t="s">
        <v>228</v>
      </c>
      <c r="E41">
        <v>40</v>
      </c>
      <c r="F41">
        <v>3.22</v>
      </c>
      <c r="G41">
        <v>40</v>
      </c>
      <c r="H41" s="203" t="s">
        <v>228</v>
      </c>
    </row>
    <row r="42" spans="4:8" customFormat="1" x14ac:dyDescent="0.15">
      <c r="D42" s="202" t="s">
        <v>229</v>
      </c>
      <c r="E42">
        <v>41</v>
      </c>
      <c r="F42">
        <v>3.12</v>
      </c>
      <c r="G42">
        <v>41</v>
      </c>
      <c r="H42" s="203" t="s">
        <v>229</v>
      </c>
    </row>
    <row r="43" spans="4:8" customFormat="1" x14ac:dyDescent="0.15">
      <c r="D43" s="202" t="s">
        <v>230</v>
      </c>
      <c r="E43">
        <v>42</v>
      </c>
      <c r="F43">
        <v>3.12</v>
      </c>
      <c r="G43">
        <v>42</v>
      </c>
      <c r="H43" s="203" t="s">
        <v>230</v>
      </c>
    </row>
    <row r="44" spans="4:8" customFormat="1" x14ac:dyDescent="0.15">
      <c r="D44" s="202" t="s">
        <v>231</v>
      </c>
      <c r="E44">
        <v>43</v>
      </c>
      <c r="F44">
        <v>3.12</v>
      </c>
      <c r="G44">
        <v>43</v>
      </c>
      <c r="H44" s="203" t="s">
        <v>231</v>
      </c>
    </row>
    <row r="45" spans="4:8" customFormat="1" x14ac:dyDescent="0.15">
      <c r="D45" s="202" t="s">
        <v>232</v>
      </c>
      <c r="E45">
        <v>44</v>
      </c>
      <c r="F45">
        <v>3.12</v>
      </c>
      <c r="G45">
        <v>44</v>
      </c>
      <c r="H45" s="203" t="s">
        <v>232</v>
      </c>
    </row>
    <row r="46" spans="4:8" customFormat="1" x14ac:dyDescent="0.15">
      <c r="D46" s="202" t="s">
        <v>233</v>
      </c>
      <c r="E46">
        <v>45</v>
      </c>
      <c r="F46">
        <v>3.12</v>
      </c>
      <c r="G46">
        <v>45</v>
      </c>
      <c r="H46" s="203" t="s">
        <v>233</v>
      </c>
    </row>
    <row r="47" spans="4:8" customFormat="1" x14ac:dyDescent="0.15">
      <c r="D47" s="202" t="s">
        <v>234</v>
      </c>
      <c r="E47">
        <v>46</v>
      </c>
      <c r="F47">
        <v>3.12</v>
      </c>
      <c r="G47">
        <v>46</v>
      </c>
      <c r="H47" s="203" t="s">
        <v>234</v>
      </c>
    </row>
    <row r="48" spans="4:8" customFormat="1" x14ac:dyDescent="0.15">
      <c r="D48" s="202" t="s">
        <v>235</v>
      </c>
      <c r="E48">
        <v>47</v>
      </c>
      <c r="F48">
        <v>3.12</v>
      </c>
      <c r="G48">
        <v>47</v>
      </c>
      <c r="H48" s="203" t="s">
        <v>235</v>
      </c>
    </row>
    <row r="49" spans="4:8" customFormat="1" x14ac:dyDescent="0.15">
      <c r="D49" s="202" t="s">
        <v>236</v>
      </c>
      <c r="E49">
        <v>48</v>
      </c>
      <c r="F49">
        <v>3.12</v>
      </c>
      <c r="G49">
        <v>48</v>
      </c>
      <c r="H49" s="203" t="s">
        <v>236</v>
      </c>
    </row>
    <row r="50" spans="4:8" customFormat="1" ht="12" customHeight="1" x14ac:dyDescent="0.15">
      <c r="D50" s="202" t="s">
        <v>237</v>
      </c>
      <c r="E50">
        <v>49</v>
      </c>
      <c r="F50">
        <v>3.12</v>
      </c>
      <c r="G50">
        <v>49</v>
      </c>
      <c r="H50" s="203" t="s">
        <v>237</v>
      </c>
    </row>
    <row r="51" spans="4:8" customFormat="1" x14ac:dyDescent="0.15">
      <c r="D51" s="202" t="s">
        <v>238</v>
      </c>
      <c r="E51">
        <v>50</v>
      </c>
      <c r="F51">
        <v>3.12</v>
      </c>
      <c r="G51">
        <v>50</v>
      </c>
      <c r="H51" s="203" t="s">
        <v>238</v>
      </c>
    </row>
    <row r="52" spans="4:8" customFormat="1" ht="12" customHeight="1" x14ac:dyDescent="0.15">
      <c r="D52" s="202" t="s">
        <v>239</v>
      </c>
      <c r="E52">
        <v>51</v>
      </c>
      <c r="F52">
        <v>3.13</v>
      </c>
      <c r="G52">
        <v>51</v>
      </c>
      <c r="H52" s="203" t="s">
        <v>239</v>
      </c>
    </row>
    <row r="53" spans="4:8" customFormat="1" x14ac:dyDescent="0.15">
      <c r="D53" s="202" t="s">
        <v>240</v>
      </c>
      <c r="E53">
        <v>52</v>
      </c>
      <c r="F53">
        <v>3.13</v>
      </c>
      <c r="G53">
        <v>52</v>
      </c>
      <c r="H53" s="203" t="s">
        <v>240</v>
      </c>
    </row>
    <row r="54" spans="4:8" customFormat="1" ht="12" customHeight="1" x14ac:dyDescent="0.15">
      <c r="D54" s="202" t="s">
        <v>241</v>
      </c>
      <c r="E54">
        <v>53</v>
      </c>
      <c r="F54">
        <v>3.13</v>
      </c>
      <c r="G54">
        <v>53</v>
      </c>
      <c r="H54" s="203" t="s">
        <v>241</v>
      </c>
    </row>
    <row r="55" spans="4:8" customFormat="1" ht="12" customHeight="1" x14ac:dyDescent="0.15">
      <c r="D55" s="202" t="s">
        <v>242</v>
      </c>
      <c r="E55">
        <v>54</v>
      </c>
      <c r="F55">
        <v>4.2</v>
      </c>
      <c r="G55">
        <v>54</v>
      </c>
      <c r="H55" s="203" t="s">
        <v>242</v>
      </c>
    </row>
    <row r="56" spans="4:8" customFormat="1" x14ac:dyDescent="0.15">
      <c r="D56" s="202" t="s">
        <v>243</v>
      </c>
      <c r="E56">
        <v>55</v>
      </c>
      <c r="F56">
        <v>4.0999999999999996</v>
      </c>
      <c r="G56">
        <v>55</v>
      </c>
      <c r="H56" s="203" t="s">
        <v>243</v>
      </c>
    </row>
    <row r="57" spans="4:8" customFormat="1" x14ac:dyDescent="0.15">
      <c r="D57" s="202" t="s">
        <v>244</v>
      </c>
      <c r="E57">
        <v>56</v>
      </c>
      <c r="F57">
        <v>4.3</v>
      </c>
      <c r="G57">
        <v>56</v>
      </c>
      <c r="H57" s="203" t="s">
        <v>244</v>
      </c>
    </row>
    <row r="58" spans="4:8" customFormat="1" x14ac:dyDescent="0.15">
      <c r="D58" s="202" t="s">
        <v>245</v>
      </c>
      <c r="E58">
        <v>57</v>
      </c>
      <c r="F58">
        <v>5</v>
      </c>
      <c r="G58">
        <v>57</v>
      </c>
      <c r="H58" s="203" t="s">
        <v>245</v>
      </c>
    </row>
    <row r="59" spans="4:8" customFormat="1" x14ac:dyDescent="0.15">
      <c r="D59" s="202" t="s">
        <v>246</v>
      </c>
      <c r="E59">
        <v>58</v>
      </c>
      <c r="F59">
        <v>5</v>
      </c>
      <c r="G59">
        <v>58</v>
      </c>
      <c r="H59" s="203" t="s">
        <v>246</v>
      </c>
    </row>
    <row r="60" spans="4:8" customFormat="1" x14ac:dyDescent="0.15">
      <c r="D60" s="202" t="s">
        <v>247</v>
      </c>
      <c r="E60">
        <v>59</v>
      </c>
      <c r="F60">
        <v>5</v>
      </c>
      <c r="G60">
        <v>59</v>
      </c>
      <c r="H60" s="203" t="s">
        <v>247</v>
      </c>
    </row>
    <row r="61" spans="4:8" customFormat="1" x14ac:dyDescent="0.15">
      <c r="D61" s="202" t="s">
        <v>248</v>
      </c>
      <c r="E61">
        <v>60</v>
      </c>
      <c r="F61">
        <v>5</v>
      </c>
      <c r="G61">
        <v>60</v>
      </c>
      <c r="H61" s="203" t="s">
        <v>248</v>
      </c>
    </row>
    <row r="62" spans="4:8" customFormat="1" x14ac:dyDescent="0.15">
      <c r="D62" s="202" t="s">
        <v>249</v>
      </c>
      <c r="E62">
        <v>61</v>
      </c>
      <c r="F62">
        <v>5</v>
      </c>
      <c r="G62">
        <v>61</v>
      </c>
      <c r="H62" s="203" t="s">
        <v>249</v>
      </c>
    </row>
    <row r="63" spans="4:8" customFormat="1" x14ac:dyDescent="0.15">
      <c r="D63" s="202" t="s">
        <v>250</v>
      </c>
      <c r="E63">
        <v>62</v>
      </c>
      <c r="F63">
        <v>5</v>
      </c>
      <c r="G63">
        <v>62</v>
      </c>
      <c r="H63" s="203" t="s">
        <v>250</v>
      </c>
    </row>
    <row r="64" spans="4:8" customFormat="1" x14ac:dyDescent="0.15">
      <c r="D64" s="202" t="s">
        <v>251</v>
      </c>
      <c r="E64">
        <v>63</v>
      </c>
      <c r="F64">
        <v>5</v>
      </c>
      <c r="G64">
        <v>63</v>
      </c>
      <c r="H64" s="203" t="s">
        <v>251</v>
      </c>
    </row>
    <row r="65" spans="4:8" customFormat="1" x14ac:dyDescent="0.15">
      <c r="D65" s="202" t="s">
        <v>252</v>
      </c>
      <c r="E65">
        <v>64</v>
      </c>
      <c r="F65">
        <v>5</v>
      </c>
      <c r="G65">
        <v>64</v>
      </c>
      <c r="H65" s="203" t="s">
        <v>252</v>
      </c>
    </row>
    <row r="66" spans="4:8" customFormat="1" x14ac:dyDescent="0.15">
      <c r="D66" s="202" t="s">
        <v>253</v>
      </c>
      <c r="E66">
        <v>65</v>
      </c>
      <c r="F66">
        <v>5</v>
      </c>
      <c r="G66">
        <v>65</v>
      </c>
      <c r="H66" s="203" t="s">
        <v>253</v>
      </c>
    </row>
    <row r="67" spans="4:8" customFormat="1" x14ac:dyDescent="0.15">
      <c r="D67" s="202" t="s">
        <v>138</v>
      </c>
      <c r="E67">
        <v>66</v>
      </c>
      <c r="F67">
        <v>6.1</v>
      </c>
      <c r="G67">
        <v>66</v>
      </c>
      <c r="H67" s="203" t="s">
        <v>138</v>
      </c>
    </row>
    <row r="68" spans="4:8" customFormat="1" x14ac:dyDescent="0.15">
      <c r="D68" s="202" t="s">
        <v>45</v>
      </c>
      <c r="E68">
        <v>67</v>
      </c>
      <c r="F68">
        <v>6.2</v>
      </c>
      <c r="G68">
        <v>67</v>
      </c>
      <c r="H68" s="203" t="s">
        <v>45</v>
      </c>
    </row>
    <row r="69" spans="4:8" customFormat="1" x14ac:dyDescent="0.15"/>
    <row r="70" spans="4:8" customFormat="1" x14ac:dyDescent="0.15"/>
    <row r="71" spans="4:8" customFormat="1" x14ac:dyDescent="0.15"/>
    <row r="72" spans="4:8" customFormat="1" x14ac:dyDescent="0.15"/>
    <row r="73" spans="4:8" customFormat="1" x14ac:dyDescent="0.15"/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3" bestFit="1" customWidth="1"/>
    <col min="2" max="2" width="5.83203125" style="82" customWidth="1"/>
    <col min="3" max="3" width="14.83203125" style="82" customWidth="1"/>
    <col min="4" max="4" width="39.6640625" style="82" customWidth="1"/>
    <col min="5" max="5" width="8.1640625" style="82" customWidth="1"/>
    <col min="6" max="6" width="21.6640625" style="82" bestFit="1" customWidth="1"/>
    <col min="7" max="9" width="2.33203125" style="82" customWidth="1"/>
    <col min="10" max="10" width="2.33203125" style="82" bestFit="1" customWidth="1"/>
    <col min="11" max="15" width="2.33203125" style="82" customWidth="1"/>
    <col min="16" max="16" width="2.33203125" style="71" customWidth="1"/>
    <col min="17" max="17" width="2.33203125" style="82" customWidth="1"/>
    <col min="18" max="18" width="2.33203125" style="72" customWidth="1"/>
    <col min="19" max="16384" width="11.5" style="82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4" t="s">
        <v>48</v>
      </c>
      <c r="L1" s="72"/>
      <c r="M1" s="84" t="s">
        <v>119</v>
      </c>
      <c r="N1" s="72"/>
      <c r="O1" s="84" t="s">
        <v>49</v>
      </c>
      <c r="P1" s="74"/>
      <c r="Q1" s="84" t="s">
        <v>50</v>
      </c>
      <c r="R1" s="70" t="s">
        <v>154</v>
      </c>
    </row>
    <row r="2" spans="1:23" ht="15" customHeight="1" x14ac:dyDescent="0.15">
      <c r="A2" s="84" t="s">
        <v>51</v>
      </c>
      <c r="B2" s="85">
        <v>0.5</v>
      </c>
      <c r="C2" s="83" t="s">
        <v>52</v>
      </c>
      <c r="D2" s="86"/>
      <c r="F2" s="1"/>
      <c r="G2" s="87"/>
      <c r="H2" s="87"/>
      <c r="I2" s="87" t="s">
        <v>133</v>
      </c>
      <c r="J2" s="87" t="s">
        <v>133</v>
      </c>
      <c r="K2" s="87" t="s">
        <v>52</v>
      </c>
      <c r="L2" s="87" t="s">
        <v>53</v>
      </c>
      <c r="M2" s="87" t="s">
        <v>52</v>
      </c>
      <c r="N2" s="87" t="s">
        <v>53</v>
      </c>
      <c r="O2" s="87" t="s">
        <v>52</v>
      </c>
      <c r="P2" s="88" t="s">
        <v>53</v>
      </c>
      <c r="Q2" s="87"/>
      <c r="R2" s="89" t="s">
        <v>155</v>
      </c>
    </row>
    <row r="3" spans="1:23" ht="15" customHeight="1" thickBot="1" x14ac:dyDescent="0.2">
      <c r="A3" s="84" t="s">
        <v>54</v>
      </c>
      <c r="B3" s="90">
        <v>0.5</v>
      </c>
      <c r="C3" s="83" t="s">
        <v>53</v>
      </c>
      <c r="D3" s="8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1">
        <v>0</v>
      </c>
    </row>
    <row r="5" spans="1:23" ht="15" customHeight="1" x14ac:dyDescent="0.15">
      <c r="A5" s="84" t="s">
        <v>55</v>
      </c>
      <c r="B5" s="91">
        <v>0.5</v>
      </c>
      <c r="C5" s="83" t="s">
        <v>52</v>
      </c>
      <c r="D5" s="8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1">
        <v>0</v>
      </c>
    </row>
    <row r="6" spans="1:23" ht="15" customHeight="1" thickBot="1" x14ac:dyDescent="0.2">
      <c r="A6" s="84"/>
      <c r="B6" s="92">
        <v>0.5</v>
      </c>
      <c r="C6" s="83" t="s">
        <v>53</v>
      </c>
      <c r="D6" s="86"/>
      <c r="F6" s="204" t="s">
        <v>192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1</v>
      </c>
      <c r="N6" s="82">
        <v>0</v>
      </c>
      <c r="O6" s="82">
        <v>0</v>
      </c>
      <c r="P6" s="71">
        <v>0</v>
      </c>
      <c r="Q6" s="82">
        <v>0</v>
      </c>
      <c r="R6" s="72">
        <v>1</v>
      </c>
      <c r="S6"/>
      <c r="T6"/>
    </row>
    <row r="7" spans="1:23" ht="15" customHeight="1" thickBot="1" x14ac:dyDescent="0.2">
      <c r="F7" s="204" t="s">
        <v>193</v>
      </c>
      <c r="G7" s="82">
        <v>0</v>
      </c>
      <c r="H7" s="82">
        <v>0</v>
      </c>
      <c r="I7" s="82">
        <v>0</v>
      </c>
      <c r="J7" s="82">
        <v>0</v>
      </c>
      <c r="K7" s="82">
        <v>1</v>
      </c>
      <c r="L7" s="82">
        <v>0</v>
      </c>
      <c r="M7" s="82">
        <v>1</v>
      </c>
      <c r="N7" s="82">
        <v>0</v>
      </c>
      <c r="O7" s="82">
        <v>1</v>
      </c>
      <c r="P7" s="71">
        <v>0</v>
      </c>
      <c r="Q7" s="82">
        <v>0</v>
      </c>
      <c r="R7" s="72">
        <v>1</v>
      </c>
      <c r="S7"/>
      <c r="T7"/>
    </row>
    <row r="8" spans="1:23" ht="15" customHeight="1" x14ac:dyDescent="0.15">
      <c r="A8" s="84" t="s">
        <v>56</v>
      </c>
      <c r="B8" s="91">
        <v>1</v>
      </c>
      <c r="C8" s="205" t="s">
        <v>192</v>
      </c>
      <c r="D8" s="86" t="s">
        <v>160</v>
      </c>
      <c r="F8" s="204" t="s">
        <v>194</v>
      </c>
      <c r="G8" s="82">
        <v>0</v>
      </c>
      <c r="H8" s="82">
        <v>0</v>
      </c>
      <c r="I8" s="82">
        <v>0</v>
      </c>
      <c r="J8" s="82">
        <v>0</v>
      </c>
      <c r="K8" s="82">
        <v>1</v>
      </c>
      <c r="L8" s="82">
        <v>0</v>
      </c>
      <c r="M8" s="82">
        <v>1</v>
      </c>
      <c r="N8" s="82">
        <v>0</v>
      </c>
      <c r="O8" s="82">
        <v>1</v>
      </c>
      <c r="P8" s="71">
        <v>0</v>
      </c>
      <c r="Q8" s="82">
        <v>0</v>
      </c>
      <c r="R8" s="72">
        <v>1</v>
      </c>
      <c r="S8"/>
      <c r="T8"/>
      <c r="W8"/>
    </row>
    <row r="9" spans="1:23" ht="15" customHeight="1" x14ac:dyDescent="0.15">
      <c r="A9" s="125" t="s">
        <v>168</v>
      </c>
      <c r="B9" s="93"/>
      <c r="C9" s="81"/>
      <c r="D9" s="86" t="s">
        <v>160</v>
      </c>
      <c r="F9" s="204" t="s">
        <v>195</v>
      </c>
      <c r="G9" s="82">
        <v>0</v>
      </c>
      <c r="H9" s="82">
        <v>0</v>
      </c>
      <c r="I9" s="82">
        <v>0</v>
      </c>
      <c r="J9" s="82">
        <v>0</v>
      </c>
      <c r="K9" s="82">
        <v>1</v>
      </c>
      <c r="L9" s="82">
        <v>0</v>
      </c>
      <c r="M9" s="82">
        <v>1</v>
      </c>
      <c r="N9" s="82">
        <v>0</v>
      </c>
      <c r="O9" s="82">
        <v>1</v>
      </c>
      <c r="P9" s="71">
        <v>0</v>
      </c>
      <c r="Q9" s="82">
        <v>0</v>
      </c>
      <c r="R9" s="72">
        <v>1</v>
      </c>
      <c r="S9"/>
      <c r="T9"/>
      <c r="W9"/>
    </row>
    <row r="10" spans="1:23" ht="15" customHeight="1" x14ac:dyDescent="0.15">
      <c r="B10" s="93"/>
      <c r="C10" s="81"/>
      <c r="D10" s="86" t="s">
        <v>160</v>
      </c>
      <c r="F10" s="204" t="s">
        <v>196</v>
      </c>
      <c r="G10" s="82">
        <v>0</v>
      </c>
      <c r="H10" s="82">
        <v>0</v>
      </c>
      <c r="I10" s="82">
        <v>0</v>
      </c>
      <c r="J10" s="82">
        <v>0</v>
      </c>
      <c r="K10" s="82">
        <v>1</v>
      </c>
      <c r="L10" s="82">
        <v>0</v>
      </c>
      <c r="M10" s="82">
        <v>1</v>
      </c>
      <c r="N10" s="82">
        <v>0</v>
      </c>
      <c r="O10" s="82">
        <v>1</v>
      </c>
      <c r="P10" s="71">
        <v>0</v>
      </c>
      <c r="Q10" s="82">
        <v>0</v>
      </c>
      <c r="R10" s="72">
        <v>1</v>
      </c>
      <c r="S10"/>
      <c r="T10"/>
      <c r="W10"/>
    </row>
    <row r="11" spans="1:23" ht="15" customHeight="1" x14ac:dyDescent="0.15">
      <c r="A11" s="84"/>
      <c r="B11" s="93"/>
      <c r="C11" s="96"/>
      <c r="D11" s="86" t="s">
        <v>160</v>
      </c>
      <c r="F11" s="204" t="s">
        <v>197</v>
      </c>
      <c r="G11" s="82">
        <v>0</v>
      </c>
      <c r="H11" s="82">
        <v>0</v>
      </c>
      <c r="I11" s="82">
        <v>0</v>
      </c>
      <c r="J11" s="82">
        <v>0</v>
      </c>
      <c r="K11" s="82">
        <v>1</v>
      </c>
      <c r="L11" s="82">
        <v>0</v>
      </c>
      <c r="M11" s="82">
        <v>1</v>
      </c>
      <c r="N11" s="82">
        <v>0</v>
      </c>
      <c r="O11" s="82">
        <v>1</v>
      </c>
      <c r="P11" s="71">
        <v>0</v>
      </c>
      <c r="Q11" s="82">
        <v>0</v>
      </c>
      <c r="R11" s="72">
        <v>1</v>
      </c>
      <c r="S11"/>
      <c r="T11"/>
      <c r="W11"/>
    </row>
    <row r="12" spans="1:23" ht="15" customHeight="1" x14ac:dyDescent="0.15">
      <c r="B12" s="93"/>
      <c r="C12" s="97"/>
      <c r="D12" s="86" t="s">
        <v>160</v>
      </c>
      <c r="F12" s="204" t="s">
        <v>198</v>
      </c>
      <c r="G12" s="82">
        <v>0</v>
      </c>
      <c r="H12" s="82">
        <v>0</v>
      </c>
      <c r="I12" s="82">
        <v>0</v>
      </c>
      <c r="J12" s="82">
        <v>0</v>
      </c>
      <c r="K12" s="82">
        <v>1</v>
      </c>
      <c r="L12" s="82">
        <v>0</v>
      </c>
      <c r="M12" s="82">
        <v>1</v>
      </c>
      <c r="N12" s="82">
        <v>0</v>
      </c>
      <c r="O12" s="82">
        <v>1</v>
      </c>
      <c r="P12" s="71">
        <v>0</v>
      </c>
      <c r="Q12" s="82">
        <v>0</v>
      </c>
      <c r="R12" s="72">
        <v>1</v>
      </c>
      <c r="S12"/>
      <c r="T12"/>
      <c r="W12"/>
    </row>
    <row r="13" spans="1:23" ht="15" customHeight="1" x14ac:dyDescent="0.15">
      <c r="B13" s="93"/>
      <c r="C13" s="97"/>
      <c r="D13" s="86" t="s">
        <v>160</v>
      </c>
      <c r="F13" s="204" t="s">
        <v>199</v>
      </c>
      <c r="G13" s="82">
        <v>0</v>
      </c>
      <c r="H13" s="82">
        <v>0</v>
      </c>
      <c r="I13" s="82">
        <v>0</v>
      </c>
      <c r="J13" s="82">
        <v>0</v>
      </c>
      <c r="K13" s="82">
        <v>1</v>
      </c>
      <c r="L13" s="82">
        <v>0</v>
      </c>
      <c r="M13" s="82">
        <v>1</v>
      </c>
      <c r="N13" s="82">
        <v>0</v>
      </c>
      <c r="O13" s="82">
        <v>1</v>
      </c>
      <c r="P13" s="71">
        <v>0</v>
      </c>
      <c r="Q13" s="82">
        <v>0</v>
      </c>
      <c r="R13" s="72">
        <v>1</v>
      </c>
      <c r="S13"/>
      <c r="T13"/>
      <c r="W13"/>
    </row>
    <row r="14" spans="1:23" ht="15" customHeight="1" x14ac:dyDescent="0.15">
      <c r="B14" s="93"/>
      <c r="C14" s="81"/>
      <c r="D14" s="86" t="s">
        <v>160</v>
      </c>
      <c r="F14" s="204" t="s">
        <v>200</v>
      </c>
      <c r="G14" s="82">
        <v>0</v>
      </c>
      <c r="H14" s="82">
        <v>0</v>
      </c>
      <c r="I14" s="82">
        <v>0</v>
      </c>
      <c r="J14" s="82">
        <v>0</v>
      </c>
      <c r="K14" s="82">
        <v>1</v>
      </c>
      <c r="L14" s="82">
        <v>0</v>
      </c>
      <c r="M14" s="82">
        <v>1</v>
      </c>
      <c r="N14" s="82">
        <v>0</v>
      </c>
      <c r="O14" s="82">
        <v>1</v>
      </c>
      <c r="P14" s="71">
        <v>0</v>
      </c>
      <c r="Q14" s="82">
        <v>0</v>
      </c>
      <c r="R14" s="72">
        <v>1</v>
      </c>
      <c r="S14"/>
      <c r="T14"/>
      <c r="W14"/>
    </row>
    <row r="15" spans="1:23" ht="15" customHeight="1" x14ac:dyDescent="0.15">
      <c r="B15" s="93"/>
      <c r="C15" s="81"/>
      <c r="D15" s="86" t="s">
        <v>160</v>
      </c>
      <c r="F15" s="204" t="s">
        <v>201</v>
      </c>
      <c r="G15" s="82">
        <v>0</v>
      </c>
      <c r="H15" s="82">
        <v>0</v>
      </c>
      <c r="I15" s="82">
        <v>0</v>
      </c>
      <c r="J15" s="82">
        <v>0</v>
      </c>
      <c r="K15" s="82">
        <v>1</v>
      </c>
      <c r="L15" s="82">
        <v>0</v>
      </c>
      <c r="M15" s="82">
        <v>1</v>
      </c>
      <c r="N15" s="82">
        <v>0</v>
      </c>
      <c r="O15" s="82">
        <v>1</v>
      </c>
      <c r="P15" s="71">
        <v>0</v>
      </c>
      <c r="Q15" s="82">
        <v>0</v>
      </c>
      <c r="R15" s="72">
        <v>1</v>
      </c>
      <c r="S15"/>
      <c r="T15"/>
      <c r="W15"/>
    </row>
    <row r="16" spans="1:23" ht="15" customHeight="1" x14ac:dyDescent="0.15">
      <c r="B16" s="93"/>
      <c r="C16" s="81"/>
      <c r="D16" s="86" t="s">
        <v>160</v>
      </c>
      <c r="F16" s="204" t="s">
        <v>202</v>
      </c>
      <c r="G16" s="82">
        <v>0</v>
      </c>
      <c r="H16" s="82">
        <v>0</v>
      </c>
      <c r="I16" s="82">
        <v>0</v>
      </c>
      <c r="J16" s="82">
        <v>0</v>
      </c>
      <c r="K16" s="82">
        <v>1</v>
      </c>
      <c r="L16" s="82">
        <v>0</v>
      </c>
      <c r="M16" s="82">
        <v>1</v>
      </c>
      <c r="N16" s="82">
        <v>0</v>
      </c>
      <c r="O16" s="82">
        <v>1</v>
      </c>
      <c r="P16" s="71">
        <v>0</v>
      </c>
      <c r="Q16" s="82">
        <v>0</v>
      </c>
      <c r="R16" s="72">
        <v>1</v>
      </c>
      <c r="S16"/>
      <c r="T16"/>
    </row>
    <row r="17" spans="1:20" ht="15" customHeight="1" thickBot="1" x14ac:dyDescent="0.2">
      <c r="B17" s="92"/>
      <c r="C17" s="81"/>
      <c r="D17" s="86" t="s">
        <v>160</v>
      </c>
      <c r="F17" s="204" t="s">
        <v>203</v>
      </c>
      <c r="G17" s="82">
        <v>0</v>
      </c>
      <c r="H17" s="82">
        <v>0</v>
      </c>
      <c r="I17" s="82">
        <v>0</v>
      </c>
      <c r="J17" s="82">
        <v>0</v>
      </c>
      <c r="K17" s="82">
        <v>1</v>
      </c>
      <c r="L17" s="82">
        <v>0</v>
      </c>
      <c r="M17" s="82">
        <v>1</v>
      </c>
      <c r="N17" s="82">
        <v>0</v>
      </c>
      <c r="O17" s="82">
        <v>1</v>
      </c>
      <c r="P17" s="71">
        <v>0</v>
      </c>
      <c r="Q17" s="82">
        <v>0</v>
      </c>
      <c r="R17" s="72">
        <v>1</v>
      </c>
      <c r="S17"/>
      <c r="T17"/>
    </row>
    <row r="18" spans="1:20" ht="15" customHeight="1" thickBot="1" x14ac:dyDescent="0.2">
      <c r="B18" s="94"/>
      <c r="F18" s="204" t="s">
        <v>204</v>
      </c>
      <c r="G18" s="82">
        <v>0</v>
      </c>
      <c r="H18" s="82">
        <v>0</v>
      </c>
      <c r="I18" s="82">
        <v>0</v>
      </c>
      <c r="J18" s="82">
        <v>0</v>
      </c>
      <c r="K18" s="82">
        <v>1</v>
      </c>
      <c r="L18" s="82">
        <v>0</v>
      </c>
      <c r="M18" s="82">
        <v>1</v>
      </c>
      <c r="N18" s="82">
        <v>0</v>
      </c>
      <c r="O18" s="82">
        <v>1</v>
      </c>
      <c r="P18" s="71">
        <v>0</v>
      </c>
      <c r="Q18" s="82">
        <v>0</v>
      </c>
      <c r="R18" s="72">
        <v>1</v>
      </c>
      <c r="S18"/>
      <c r="T18"/>
    </row>
    <row r="19" spans="1:20" ht="15" customHeight="1" x14ac:dyDescent="0.15">
      <c r="A19" s="84" t="s">
        <v>57</v>
      </c>
      <c r="B19" s="91">
        <v>1</v>
      </c>
      <c r="C19" s="206" t="s">
        <v>192</v>
      </c>
      <c r="D19" s="86" t="s">
        <v>160</v>
      </c>
      <c r="F19" s="204" t="s">
        <v>205</v>
      </c>
      <c r="G19" s="82">
        <v>0</v>
      </c>
      <c r="H19" s="82">
        <v>0</v>
      </c>
      <c r="I19" s="82">
        <v>0</v>
      </c>
      <c r="J19" s="82">
        <v>0</v>
      </c>
      <c r="K19" s="82">
        <v>1</v>
      </c>
      <c r="L19" s="82">
        <v>0</v>
      </c>
      <c r="M19" s="82">
        <v>1</v>
      </c>
      <c r="N19" s="82">
        <v>0</v>
      </c>
      <c r="O19" s="82">
        <v>1</v>
      </c>
      <c r="P19" s="71">
        <v>0</v>
      </c>
      <c r="Q19" s="82">
        <v>0</v>
      </c>
      <c r="R19" s="72">
        <v>1</v>
      </c>
      <c r="S19"/>
      <c r="T19"/>
    </row>
    <row r="20" spans="1:20" ht="15" customHeight="1" x14ac:dyDescent="0.15">
      <c r="A20" s="125" t="s">
        <v>168</v>
      </c>
      <c r="B20" s="93"/>
      <c r="C20" s="81"/>
      <c r="D20" s="86" t="s">
        <v>160</v>
      </c>
      <c r="F20" s="204" t="s">
        <v>206</v>
      </c>
      <c r="G20" s="82">
        <v>0</v>
      </c>
      <c r="H20" s="82">
        <v>0</v>
      </c>
      <c r="I20" s="82">
        <v>0</v>
      </c>
      <c r="J20" s="82">
        <v>0</v>
      </c>
      <c r="K20" s="82">
        <v>1</v>
      </c>
      <c r="L20" s="82">
        <v>0</v>
      </c>
      <c r="M20" s="82">
        <v>1</v>
      </c>
      <c r="N20" s="82">
        <v>0</v>
      </c>
      <c r="O20" s="82">
        <v>1</v>
      </c>
      <c r="P20" s="71">
        <v>0</v>
      </c>
      <c r="Q20" s="82">
        <v>0</v>
      </c>
      <c r="R20" s="72">
        <v>1</v>
      </c>
      <c r="S20"/>
      <c r="T20"/>
    </row>
    <row r="21" spans="1:20" ht="15" customHeight="1" x14ac:dyDescent="0.15">
      <c r="B21" s="93"/>
      <c r="C21" s="81"/>
      <c r="D21" s="86" t="s">
        <v>160</v>
      </c>
      <c r="F21" s="204" t="s">
        <v>207</v>
      </c>
      <c r="G21" s="82">
        <v>0</v>
      </c>
      <c r="H21" s="82">
        <v>0</v>
      </c>
      <c r="I21" s="82">
        <v>0</v>
      </c>
      <c r="J21" s="82">
        <v>0</v>
      </c>
      <c r="K21" s="82">
        <v>1</v>
      </c>
      <c r="L21" s="82">
        <v>0</v>
      </c>
      <c r="M21" s="82">
        <v>1</v>
      </c>
      <c r="N21" s="82">
        <v>0</v>
      </c>
      <c r="O21" s="82">
        <v>1</v>
      </c>
      <c r="P21" s="71">
        <v>0</v>
      </c>
      <c r="Q21" s="82">
        <v>0</v>
      </c>
      <c r="R21" s="72">
        <v>1</v>
      </c>
      <c r="S21"/>
      <c r="T21"/>
    </row>
    <row r="22" spans="1:20" ht="15" customHeight="1" x14ac:dyDescent="0.15">
      <c r="A22" s="82"/>
      <c r="B22" s="93"/>
      <c r="C22" s="96"/>
      <c r="D22" s="86" t="s">
        <v>160</v>
      </c>
      <c r="F22" s="204" t="s">
        <v>208</v>
      </c>
      <c r="G22" s="82">
        <v>0</v>
      </c>
      <c r="H22" s="82">
        <v>0</v>
      </c>
      <c r="I22" s="82">
        <v>0</v>
      </c>
      <c r="J22" s="82">
        <v>0</v>
      </c>
      <c r="K22" s="82">
        <v>1</v>
      </c>
      <c r="L22" s="82">
        <v>0</v>
      </c>
      <c r="M22" s="82">
        <v>1</v>
      </c>
      <c r="N22" s="82">
        <v>0</v>
      </c>
      <c r="O22" s="82">
        <v>1</v>
      </c>
      <c r="P22" s="71">
        <v>0</v>
      </c>
      <c r="Q22" s="82">
        <v>0</v>
      </c>
      <c r="R22" s="72">
        <v>1</v>
      </c>
      <c r="S22"/>
      <c r="T22"/>
    </row>
    <row r="23" spans="1:20" ht="15" customHeight="1" x14ac:dyDescent="0.15">
      <c r="A23" s="82"/>
      <c r="B23" s="93"/>
      <c r="C23" s="97"/>
      <c r="D23" s="86" t="s">
        <v>160</v>
      </c>
      <c r="F23" s="204" t="s">
        <v>209</v>
      </c>
      <c r="G23" s="82">
        <v>0</v>
      </c>
      <c r="H23" s="82">
        <v>0</v>
      </c>
      <c r="I23" s="82">
        <v>0</v>
      </c>
      <c r="J23" s="82">
        <v>0</v>
      </c>
      <c r="K23" s="82">
        <v>1</v>
      </c>
      <c r="L23" s="82">
        <v>0</v>
      </c>
      <c r="M23" s="82">
        <v>1</v>
      </c>
      <c r="N23" s="82">
        <v>0</v>
      </c>
      <c r="O23" s="82">
        <v>1</v>
      </c>
      <c r="P23" s="71">
        <v>0</v>
      </c>
      <c r="Q23" s="82">
        <v>0</v>
      </c>
      <c r="R23" s="72">
        <v>1</v>
      </c>
      <c r="S23"/>
      <c r="T23"/>
    </row>
    <row r="24" spans="1:20" ht="15" customHeight="1" x14ac:dyDescent="0.15">
      <c r="A24" s="82"/>
      <c r="B24" s="93"/>
      <c r="C24" s="97"/>
      <c r="D24" s="86" t="s">
        <v>160</v>
      </c>
      <c r="F24" s="204" t="s">
        <v>210</v>
      </c>
      <c r="G24" s="82">
        <v>0</v>
      </c>
      <c r="H24" s="82">
        <v>0</v>
      </c>
      <c r="I24" s="82">
        <v>0</v>
      </c>
      <c r="J24" s="82">
        <v>0</v>
      </c>
      <c r="K24" s="82">
        <v>1</v>
      </c>
      <c r="L24" s="82">
        <v>0</v>
      </c>
      <c r="M24" s="82">
        <v>1</v>
      </c>
      <c r="N24" s="82">
        <v>0</v>
      </c>
      <c r="O24" s="82">
        <v>1</v>
      </c>
      <c r="P24" s="71">
        <v>0</v>
      </c>
      <c r="Q24" s="82">
        <v>0</v>
      </c>
      <c r="R24" s="72">
        <v>1</v>
      </c>
      <c r="S24"/>
      <c r="T24"/>
    </row>
    <row r="25" spans="1:20" ht="15" customHeight="1" x14ac:dyDescent="0.15">
      <c r="A25" s="82"/>
      <c r="B25" s="93"/>
      <c r="C25" s="81"/>
      <c r="D25" s="86" t="s">
        <v>160</v>
      </c>
      <c r="F25" s="204" t="s">
        <v>211</v>
      </c>
      <c r="G25" s="82">
        <v>0</v>
      </c>
      <c r="H25" s="82">
        <v>0</v>
      </c>
      <c r="I25" s="82">
        <v>0</v>
      </c>
      <c r="J25" s="82">
        <v>0</v>
      </c>
      <c r="K25" s="82">
        <v>1</v>
      </c>
      <c r="L25" s="82">
        <v>0</v>
      </c>
      <c r="M25" s="82">
        <v>1</v>
      </c>
      <c r="N25" s="82">
        <v>0</v>
      </c>
      <c r="O25" s="82">
        <v>1</v>
      </c>
      <c r="P25" s="71">
        <v>0</v>
      </c>
      <c r="Q25" s="82">
        <v>0</v>
      </c>
      <c r="R25" s="72">
        <v>1</v>
      </c>
      <c r="S25"/>
      <c r="T25"/>
    </row>
    <row r="26" spans="1:20" ht="15" customHeight="1" x14ac:dyDescent="0.15">
      <c r="B26" s="93"/>
      <c r="C26" s="81"/>
      <c r="D26" s="86" t="s">
        <v>160</v>
      </c>
      <c r="F26" s="204" t="s">
        <v>212</v>
      </c>
      <c r="G26" s="82">
        <v>0</v>
      </c>
      <c r="H26" s="82">
        <v>0</v>
      </c>
      <c r="I26" s="82">
        <v>0</v>
      </c>
      <c r="J26" s="82">
        <v>0</v>
      </c>
      <c r="K26" s="82">
        <v>1</v>
      </c>
      <c r="L26" s="82">
        <v>0</v>
      </c>
      <c r="M26" s="82">
        <v>1</v>
      </c>
      <c r="N26" s="82">
        <v>0</v>
      </c>
      <c r="O26" s="82">
        <v>1</v>
      </c>
      <c r="P26" s="71">
        <v>0</v>
      </c>
      <c r="Q26" s="82">
        <v>0</v>
      </c>
      <c r="R26" s="72">
        <v>1</v>
      </c>
      <c r="S26"/>
      <c r="T26"/>
    </row>
    <row r="27" spans="1:20" ht="15" customHeight="1" x14ac:dyDescent="0.15">
      <c r="B27" s="93"/>
      <c r="C27" s="81"/>
      <c r="D27" s="86" t="s">
        <v>160</v>
      </c>
      <c r="F27" s="204" t="s">
        <v>213</v>
      </c>
      <c r="G27" s="82">
        <v>0</v>
      </c>
      <c r="H27" s="82">
        <v>0</v>
      </c>
      <c r="I27" s="82">
        <v>0</v>
      </c>
      <c r="J27" s="82">
        <v>0</v>
      </c>
      <c r="K27" s="82">
        <v>1</v>
      </c>
      <c r="L27" s="82">
        <v>0</v>
      </c>
      <c r="M27" s="82">
        <v>1</v>
      </c>
      <c r="N27" s="82">
        <v>0</v>
      </c>
      <c r="O27" s="82">
        <v>1</v>
      </c>
      <c r="P27" s="71">
        <v>0</v>
      </c>
      <c r="Q27" s="82">
        <v>0</v>
      </c>
      <c r="R27" s="72">
        <v>1</v>
      </c>
      <c r="S27"/>
      <c r="T27"/>
    </row>
    <row r="28" spans="1:20" ht="15" customHeight="1" thickBot="1" x14ac:dyDescent="0.2">
      <c r="B28" s="92"/>
      <c r="C28" s="81"/>
      <c r="D28" s="86" t="s">
        <v>160</v>
      </c>
      <c r="F28" s="204" t="s">
        <v>214</v>
      </c>
      <c r="G28" s="82">
        <v>0</v>
      </c>
      <c r="H28" s="82">
        <v>0</v>
      </c>
      <c r="I28" s="82">
        <v>0</v>
      </c>
      <c r="J28" s="82">
        <v>0</v>
      </c>
      <c r="K28" s="82">
        <v>1</v>
      </c>
      <c r="L28" s="82">
        <v>0</v>
      </c>
      <c r="M28" s="82">
        <v>1</v>
      </c>
      <c r="N28" s="82">
        <v>0</v>
      </c>
      <c r="O28" s="82">
        <v>1</v>
      </c>
      <c r="P28" s="71">
        <v>0</v>
      </c>
      <c r="Q28" s="82">
        <v>0</v>
      </c>
      <c r="R28" s="72">
        <v>1</v>
      </c>
      <c r="S28"/>
      <c r="T28"/>
    </row>
    <row r="29" spans="1:20" ht="15" customHeight="1" x14ac:dyDescent="0.15">
      <c r="F29" s="204" t="s">
        <v>215</v>
      </c>
      <c r="G29" s="82">
        <v>0</v>
      </c>
      <c r="H29" s="82">
        <v>0</v>
      </c>
      <c r="I29" s="82">
        <v>0</v>
      </c>
      <c r="J29" s="82">
        <v>0</v>
      </c>
      <c r="K29" s="82">
        <v>1</v>
      </c>
      <c r="L29" s="82">
        <v>0</v>
      </c>
      <c r="M29" s="82">
        <v>1</v>
      </c>
      <c r="N29" s="82">
        <v>0</v>
      </c>
      <c r="O29" s="82">
        <v>1</v>
      </c>
      <c r="P29" s="71">
        <v>0</v>
      </c>
      <c r="Q29" s="82">
        <v>0</v>
      </c>
      <c r="R29" s="72">
        <v>1</v>
      </c>
      <c r="S29"/>
      <c r="T29"/>
    </row>
    <row r="30" spans="1:20" ht="15" customHeight="1" x14ac:dyDescent="0.15">
      <c r="F30" s="204" t="s">
        <v>216</v>
      </c>
      <c r="G30" s="82">
        <v>0</v>
      </c>
      <c r="H30" s="82">
        <v>0</v>
      </c>
      <c r="I30" s="82">
        <v>0</v>
      </c>
      <c r="J30" s="82">
        <v>0</v>
      </c>
      <c r="K30" s="82">
        <v>1</v>
      </c>
      <c r="L30" s="82">
        <v>0</v>
      </c>
      <c r="M30" s="82">
        <v>1</v>
      </c>
      <c r="N30" s="82">
        <v>0</v>
      </c>
      <c r="O30" s="82">
        <v>1</v>
      </c>
      <c r="P30" s="71">
        <v>0</v>
      </c>
      <c r="Q30" s="82">
        <v>0</v>
      </c>
      <c r="R30" s="72">
        <v>1</v>
      </c>
      <c r="S30"/>
      <c r="T30"/>
    </row>
    <row r="31" spans="1:20" ht="15" customHeight="1" x14ac:dyDescent="0.15">
      <c r="A31" s="126"/>
      <c r="B31" s="137" t="s">
        <v>17</v>
      </c>
      <c r="C31" s="137" t="s">
        <v>1</v>
      </c>
      <c r="D31" s="137" t="s">
        <v>161</v>
      </c>
      <c r="E31" s="138" t="s">
        <v>163</v>
      </c>
      <c r="F31" s="204" t="s">
        <v>217</v>
      </c>
      <c r="G31" s="82">
        <v>0</v>
      </c>
      <c r="H31" s="82">
        <v>0</v>
      </c>
      <c r="I31" s="82">
        <v>0</v>
      </c>
      <c r="J31" s="82">
        <v>0</v>
      </c>
      <c r="K31" s="82">
        <v>1</v>
      </c>
      <c r="L31" s="82">
        <v>0</v>
      </c>
      <c r="M31" s="82">
        <v>1</v>
      </c>
      <c r="N31" s="82">
        <v>0</v>
      </c>
      <c r="O31" s="82">
        <v>1</v>
      </c>
      <c r="P31" s="71">
        <v>0</v>
      </c>
      <c r="Q31" s="82">
        <v>0</v>
      </c>
      <c r="R31" s="72">
        <v>1</v>
      </c>
      <c r="S31"/>
      <c r="T31"/>
    </row>
    <row r="32" spans="1:20" ht="15" customHeight="1" x14ac:dyDescent="0.15">
      <c r="A32" s="207" t="s">
        <v>192</v>
      </c>
      <c r="B32" s="94">
        <v>118.9</v>
      </c>
      <c r="C32" s="94">
        <v>24.8</v>
      </c>
      <c r="D32" s="94">
        <v>2948.7200000000003</v>
      </c>
      <c r="E32" s="128">
        <v>1</v>
      </c>
      <c r="F32" s="204" t="s">
        <v>218</v>
      </c>
      <c r="G32" s="82">
        <v>0</v>
      </c>
      <c r="H32" s="82">
        <v>0</v>
      </c>
      <c r="I32" s="82">
        <v>0</v>
      </c>
      <c r="J32" s="82">
        <v>0</v>
      </c>
      <c r="K32" s="82">
        <v>1</v>
      </c>
      <c r="L32" s="82">
        <v>0</v>
      </c>
      <c r="M32" s="82">
        <v>1</v>
      </c>
      <c r="N32" s="82">
        <v>0</v>
      </c>
      <c r="O32" s="82">
        <v>1</v>
      </c>
      <c r="P32" s="71">
        <v>0</v>
      </c>
      <c r="Q32" s="82">
        <v>0</v>
      </c>
      <c r="R32" s="72">
        <v>1</v>
      </c>
      <c r="S32"/>
      <c r="T32"/>
    </row>
    <row r="33" spans="1:20" ht="15" customHeight="1" x14ac:dyDescent="0.15">
      <c r="A33" s="127"/>
      <c r="B33" s="94"/>
      <c r="C33" s="94"/>
      <c r="D33" s="94"/>
      <c r="E33" s="128"/>
      <c r="F33" s="204" t="s">
        <v>219</v>
      </c>
      <c r="G33" s="82">
        <v>0</v>
      </c>
      <c r="H33" s="82">
        <v>0</v>
      </c>
      <c r="I33" s="82">
        <v>0</v>
      </c>
      <c r="J33" s="82">
        <v>0</v>
      </c>
      <c r="K33" s="82">
        <v>1</v>
      </c>
      <c r="L33" s="82">
        <v>0</v>
      </c>
      <c r="M33" s="82">
        <v>1</v>
      </c>
      <c r="N33" s="82">
        <v>0</v>
      </c>
      <c r="O33" s="82">
        <v>1</v>
      </c>
      <c r="P33" s="71">
        <v>0</v>
      </c>
      <c r="Q33" s="82">
        <v>0</v>
      </c>
      <c r="R33" s="72">
        <v>1</v>
      </c>
      <c r="S33"/>
      <c r="T33"/>
    </row>
    <row r="34" spans="1:20" ht="15" customHeight="1" x14ac:dyDescent="0.15">
      <c r="A34" s="129"/>
      <c r="B34" s="94"/>
      <c r="C34" s="94"/>
      <c r="D34" s="94"/>
      <c r="E34" s="128"/>
      <c r="F34" s="204" t="s">
        <v>220</v>
      </c>
      <c r="G34" s="82">
        <v>0</v>
      </c>
      <c r="H34" s="82">
        <v>0</v>
      </c>
      <c r="I34" s="82">
        <v>0</v>
      </c>
      <c r="J34" s="82">
        <v>0</v>
      </c>
      <c r="K34" s="82">
        <v>1</v>
      </c>
      <c r="L34" s="82">
        <v>0</v>
      </c>
      <c r="M34" s="82">
        <v>1</v>
      </c>
      <c r="N34" s="82">
        <v>0</v>
      </c>
      <c r="O34" s="82">
        <v>1</v>
      </c>
      <c r="P34" s="71">
        <v>0</v>
      </c>
      <c r="Q34" s="82">
        <v>0</v>
      </c>
      <c r="R34" s="72">
        <v>1</v>
      </c>
      <c r="S34"/>
      <c r="T34"/>
    </row>
    <row r="35" spans="1:20" ht="15" customHeight="1" x14ac:dyDescent="0.15">
      <c r="A35" s="130"/>
      <c r="B35" s="94"/>
      <c r="C35" s="94"/>
      <c r="D35" s="94"/>
      <c r="E35" s="128"/>
      <c r="F35" s="204" t="s">
        <v>221</v>
      </c>
      <c r="G35" s="82">
        <v>0</v>
      </c>
      <c r="H35" s="82">
        <v>0</v>
      </c>
      <c r="I35" s="82">
        <v>0</v>
      </c>
      <c r="J35" s="82">
        <v>0</v>
      </c>
      <c r="K35" s="82">
        <v>1</v>
      </c>
      <c r="L35" s="82">
        <v>0</v>
      </c>
      <c r="M35" s="82">
        <v>1</v>
      </c>
      <c r="N35" s="82">
        <v>0</v>
      </c>
      <c r="O35" s="82">
        <v>1</v>
      </c>
      <c r="P35" s="71">
        <v>0</v>
      </c>
      <c r="Q35" s="82">
        <v>0</v>
      </c>
      <c r="R35" s="72">
        <v>1</v>
      </c>
      <c r="S35"/>
      <c r="T35"/>
    </row>
    <row r="36" spans="1:20" ht="15" customHeight="1" x14ac:dyDescent="0.15">
      <c r="A36" s="131"/>
      <c r="B36" s="94"/>
      <c r="C36" s="94"/>
      <c r="D36" s="94"/>
      <c r="E36" s="128"/>
      <c r="F36" s="204" t="s">
        <v>222</v>
      </c>
      <c r="G36" s="82">
        <v>0</v>
      </c>
      <c r="H36" s="82">
        <v>0</v>
      </c>
      <c r="I36" s="82">
        <v>0</v>
      </c>
      <c r="J36" s="82">
        <v>0</v>
      </c>
      <c r="K36" s="82">
        <v>1</v>
      </c>
      <c r="L36" s="82">
        <v>0</v>
      </c>
      <c r="M36" s="82">
        <v>1</v>
      </c>
      <c r="N36" s="82">
        <v>0</v>
      </c>
      <c r="O36" s="82">
        <v>1</v>
      </c>
      <c r="P36" s="71">
        <v>0</v>
      </c>
      <c r="Q36" s="82">
        <v>0</v>
      </c>
      <c r="R36" s="72">
        <v>1</v>
      </c>
      <c r="S36"/>
      <c r="T36"/>
    </row>
    <row r="37" spans="1:20" ht="15" customHeight="1" x14ac:dyDescent="0.15">
      <c r="A37" s="131"/>
      <c r="B37" s="94"/>
      <c r="C37" s="94"/>
      <c r="D37" s="94"/>
      <c r="E37" s="128"/>
      <c r="F37" s="204" t="s">
        <v>223</v>
      </c>
      <c r="G37" s="82">
        <v>0</v>
      </c>
      <c r="H37" s="82">
        <v>0</v>
      </c>
      <c r="I37" s="82">
        <v>0</v>
      </c>
      <c r="J37" s="82">
        <v>0</v>
      </c>
      <c r="K37" s="82">
        <v>1</v>
      </c>
      <c r="L37" s="82">
        <v>0</v>
      </c>
      <c r="M37" s="82">
        <v>1</v>
      </c>
      <c r="N37" s="82">
        <v>0</v>
      </c>
      <c r="O37" s="82">
        <v>1</v>
      </c>
      <c r="P37" s="71">
        <v>0</v>
      </c>
      <c r="Q37" s="82">
        <v>0</v>
      </c>
      <c r="R37" s="72">
        <v>1</v>
      </c>
      <c r="S37"/>
      <c r="T37"/>
    </row>
    <row r="38" spans="1:20" ht="15" customHeight="1" x14ac:dyDescent="0.15">
      <c r="A38" s="132"/>
      <c r="B38" s="94"/>
      <c r="C38" s="94"/>
      <c r="D38" s="94"/>
      <c r="E38" s="128"/>
      <c r="F38" s="204" t="s">
        <v>224</v>
      </c>
      <c r="G38" s="82">
        <v>0</v>
      </c>
      <c r="H38" s="82">
        <v>0</v>
      </c>
      <c r="I38" s="82">
        <v>0</v>
      </c>
      <c r="J38" s="82">
        <v>0</v>
      </c>
      <c r="K38" s="82">
        <v>1</v>
      </c>
      <c r="L38" s="82">
        <v>0</v>
      </c>
      <c r="M38" s="82">
        <v>1</v>
      </c>
      <c r="N38" s="82">
        <v>0</v>
      </c>
      <c r="O38" s="82">
        <v>1</v>
      </c>
      <c r="P38" s="71">
        <v>0</v>
      </c>
      <c r="Q38" s="82">
        <v>0</v>
      </c>
      <c r="R38" s="72">
        <v>1</v>
      </c>
      <c r="S38"/>
      <c r="T38"/>
    </row>
    <row r="39" spans="1:20" ht="15" customHeight="1" x14ac:dyDescent="0.15">
      <c r="A39" s="132"/>
      <c r="B39" s="94"/>
      <c r="C39" s="94"/>
      <c r="D39" s="94"/>
      <c r="E39" s="128"/>
      <c r="F39" s="204" t="s">
        <v>225</v>
      </c>
      <c r="G39" s="82">
        <v>0</v>
      </c>
      <c r="H39" s="82">
        <v>0</v>
      </c>
      <c r="I39" s="82">
        <v>0</v>
      </c>
      <c r="J39" s="82">
        <v>0</v>
      </c>
      <c r="K39" s="82">
        <v>1</v>
      </c>
      <c r="L39" s="82">
        <v>0</v>
      </c>
      <c r="M39" s="82">
        <v>1</v>
      </c>
      <c r="N39" s="82">
        <v>0</v>
      </c>
      <c r="O39" s="82">
        <v>1</v>
      </c>
      <c r="P39" s="71">
        <v>0</v>
      </c>
      <c r="Q39" s="82">
        <v>0</v>
      </c>
      <c r="R39" s="72">
        <v>1</v>
      </c>
      <c r="S39"/>
      <c r="T39"/>
    </row>
    <row r="40" spans="1:20" ht="15" customHeight="1" x14ac:dyDescent="0.15">
      <c r="A40" s="132"/>
      <c r="B40" s="94"/>
      <c r="C40" s="94"/>
      <c r="D40" s="94"/>
      <c r="E40" s="128"/>
      <c r="F40" s="204" t="s">
        <v>226</v>
      </c>
      <c r="G40" s="82">
        <v>0</v>
      </c>
      <c r="H40" s="82">
        <v>0</v>
      </c>
      <c r="I40" s="82">
        <v>0</v>
      </c>
      <c r="J40" s="82">
        <v>0</v>
      </c>
      <c r="K40" s="82">
        <v>1</v>
      </c>
      <c r="L40" s="82">
        <v>0</v>
      </c>
      <c r="M40" s="82">
        <v>1</v>
      </c>
      <c r="N40" s="82">
        <v>0</v>
      </c>
      <c r="O40" s="82">
        <v>1</v>
      </c>
      <c r="P40" s="71">
        <v>0</v>
      </c>
      <c r="Q40" s="82">
        <v>0</v>
      </c>
      <c r="R40" s="72">
        <v>1</v>
      </c>
      <c r="S40"/>
      <c r="T40"/>
    </row>
    <row r="41" spans="1:20" ht="15" customHeight="1" thickBot="1" x14ac:dyDescent="0.2">
      <c r="A41" s="132"/>
      <c r="B41" s="94"/>
      <c r="C41" s="94"/>
      <c r="D41" s="95"/>
      <c r="E41" s="133"/>
      <c r="F41" s="204" t="s">
        <v>227</v>
      </c>
      <c r="G41" s="82">
        <v>0</v>
      </c>
      <c r="H41" s="82">
        <v>0</v>
      </c>
      <c r="I41" s="82">
        <v>0</v>
      </c>
      <c r="J41" s="82">
        <v>0</v>
      </c>
      <c r="K41" s="82">
        <v>1</v>
      </c>
      <c r="L41" s="82">
        <v>0</v>
      </c>
      <c r="M41" s="82">
        <v>1</v>
      </c>
      <c r="N41" s="82">
        <v>0</v>
      </c>
      <c r="O41" s="82">
        <v>1</v>
      </c>
      <c r="P41" s="71">
        <v>0</v>
      </c>
      <c r="Q41" s="82">
        <v>0</v>
      </c>
      <c r="R41" s="72">
        <v>1</v>
      </c>
      <c r="S41"/>
      <c r="T41"/>
    </row>
    <row r="42" spans="1:20" ht="15" customHeight="1" x14ac:dyDescent="0.15">
      <c r="A42" s="134"/>
      <c r="B42" s="135"/>
      <c r="C42" s="135" t="s">
        <v>162</v>
      </c>
      <c r="D42" s="135">
        <f>SUM(D32:D41)</f>
        <v>2948.7200000000003</v>
      </c>
      <c r="E42" s="136">
        <f>SUM(E32:E41)</f>
        <v>1</v>
      </c>
      <c r="F42" s="204" t="s">
        <v>228</v>
      </c>
      <c r="G42" s="82">
        <v>0</v>
      </c>
      <c r="H42" s="82">
        <v>0</v>
      </c>
      <c r="I42" s="82">
        <v>0</v>
      </c>
      <c r="J42" s="82">
        <v>0</v>
      </c>
      <c r="K42" s="82">
        <v>1</v>
      </c>
      <c r="L42" s="82">
        <v>0</v>
      </c>
      <c r="M42" s="82">
        <v>1</v>
      </c>
      <c r="N42" s="82">
        <v>0</v>
      </c>
      <c r="O42" s="82">
        <v>1</v>
      </c>
      <c r="P42" s="71">
        <v>0</v>
      </c>
      <c r="Q42" s="82">
        <v>0</v>
      </c>
      <c r="R42" s="72">
        <v>1</v>
      </c>
      <c r="S42"/>
      <c r="T42"/>
    </row>
    <row r="43" spans="1:20" ht="15" customHeight="1" x14ac:dyDescent="0.15">
      <c r="A43" s="82"/>
      <c r="F43" s="204" t="s">
        <v>229</v>
      </c>
      <c r="G43" s="82">
        <v>0</v>
      </c>
      <c r="H43" s="82">
        <v>0</v>
      </c>
      <c r="I43" s="82">
        <v>0</v>
      </c>
      <c r="J43" s="82">
        <v>0</v>
      </c>
      <c r="K43" s="82">
        <v>1</v>
      </c>
      <c r="L43" s="82">
        <v>0</v>
      </c>
      <c r="M43" s="82">
        <v>1</v>
      </c>
      <c r="N43" s="82">
        <v>0</v>
      </c>
      <c r="O43" s="82">
        <v>1</v>
      </c>
      <c r="P43" s="71">
        <v>0</v>
      </c>
      <c r="Q43" s="82">
        <v>0</v>
      </c>
      <c r="R43" s="72">
        <v>1</v>
      </c>
      <c r="S43"/>
      <c r="T43"/>
    </row>
    <row r="44" spans="1:20" ht="15" customHeight="1" x14ac:dyDescent="0.15">
      <c r="A44" s="82"/>
      <c r="F44" s="204" t="s">
        <v>230</v>
      </c>
      <c r="G44" s="82">
        <v>0</v>
      </c>
      <c r="H44" s="82">
        <v>0</v>
      </c>
      <c r="I44" s="82">
        <v>0</v>
      </c>
      <c r="J44" s="82">
        <v>0</v>
      </c>
      <c r="K44" s="82">
        <v>1</v>
      </c>
      <c r="L44" s="82">
        <v>0</v>
      </c>
      <c r="M44" s="82">
        <v>1</v>
      </c>
      <c r="N44" s="82">
        <v>0</v>
      </c>
      <c r="O44" s="82">
        <v>1</v>
      </c>
      <c r="P44" s="71">
        <v>0</v>
      </c>
      <c r="Q44" s="82">
        <v>0</v>
      </c>
      <c r="R44" s="72">
        <v>1</v>
      </c>
    </row>
    <row r="45" spans="1:20" ht="15" customHeight="1" x14ac:dyDescent="0.15">
      <c r="A45" s="82"/>
      <c r="F45" s="204" t="s">
        <v>231</v>
      </c>
      <c r="G45" s="82">
        <v>0</v>
      </c>
      <c r="H45" s="82">
        <v>0</v>
      </c>
      <c r="I45" s="82">
        <v>0</v>
      </c>
      <c r="J45" s="82">
        <v>0</v>
      </c>
      <c r="K45" s="82">
        <v>1</v>
      </c>
      <c r="L45" s="82">
        <v>0</v>
      </c>
      <c r="M45" s="82">
        <v>1</v>
      </c>
      <c r="N45" s="82">
        <v>0</v>
      </c>
      <c r="O45" s="82">
        <v>1</v>
      </c>
      <c r="P45" s="71">
        <v>0</v>
      </c>
      <c r="Q45" s="82">
        <v>0</v>
      </c>
      <c r="R45" s="72">
        <v>1</v>
      </c>
    </row>
    <row r="46" spans="1:20" ht="15" customHeight="1" x14ac:dyDescent="0.15">
      <c r="A46" s="82"/>
      <c r="F46" s="204" t="s">
        <v>232</v>
      </c>
      <c r="G46" s="82">
        <v>0</v>
      </c>
      <c r="H46" s="82">
        <v>0</v>
      </c>
      <c r="I46" s="82">
        <v>0</v>
      </c>
      <c r="J46" s="82">
        <v>0</v>
      </c>
      <c r="K46" s="82">
        <v>1</v>
      </c>
      <c r="L46" s="82">
        <v>0</v>
      </c>
      <c r="M46" s="82">
        <v>1</v>
      </c>
      <c r="N46" s="82">
        <v>0</v>
      </c>
      <c r="O46" s="82">
        <v>1</v>
      </c>
      <c r="P46" s="71">
        <v>0</v>
      </c>
      <c r="Q46" s="82">
        <v>0</v>
      </c>
      <c r="R46" s="72">
        <v>1</v>
      </c>
    </row>
    <row r="47" spans="1:20" ht="15" customHeight="1" x14ac:dyDescent="0.15">
      <c r="A47" s="82"/>
      <c r="F47" s="204" t="s">
        <v>233</v>
      </c>
      <c r="G47" s="82">
        <v>0</v>
      </c>
      <c r="H47" s="82">
        <v>0</v>
      </c>
      <c r="I47" s="82">
        <v>0</v>
      </c>
      <c r="J47" s="82">
        <v>0</v>
      </c>
      <c r="K47" s="82">
        <v>1</v>
      </c>
      <c r="L47" s="82">
        <v>0</v>
      </c>
      <c r="M47" s="82">
        <v>1</v>
      </c>
      <c r="N47" s="82">
        <v>0</v>
      </c>
      <c r="O47" s="82">
        <v>1</v>
      </c>
      <c r="P47" s="71">
        <v>0</v>
      </c>
      <c r="Q47" s="82">
        <v>0</v>
      </c>
      <c r="R47" s="72">
        <v>1</v>
      </c>
    </row>
    <row r="48" spans="1:20" ht="15" customHeight="1" x14ac:dyDescent="0.15">
      <c r="A48" s="82"/>
      <c r="F48" s="204" t="s">
        <v>234</v>
      </c>
      <c r="G48" s="82">
        <v>0</v>
      </c>
      <c r="H48" s="82">
        <v>0</v>
      </c>
      <c r="I48" s="82">
        <v>0</v>
      </c>
      <c r="J48" s="82">
        <v>0</v>
      </c>
      <c r="K48" s="82">
        <v>1</v>
      </c>
      <c r="L48" s="82">
        <v>0</v>
      </c>
      <c r="M48" s="82">
        <v>1</v>
      </c>
      <c r="N48" s="82">
        <v>0</v>
      </c>
      <c r="O48" s="82">
        <v>1</v>
      </c>
      <c r="P48" s="71">
        <v>0</v>
      </c>
      <c r="Q48" s="82">
        <v>0</v>
      </c>
      <c r="R48" s="72">
        <v>1</v>
      </c>
    </row>
    <row r="49" spans="6:18" s="82" customFormat="1" ht="15" customHeight="1" x14ac:dyDescent="0.15">
      <c r="F49" s="204" t="s">
        <v>235</v>
      </c>
      <c r="G49" s="82">
        <v>0</v>
      </c>
      <c r="H49" s="82">
        <v>0</v>
      </c>
      <c r="I49" s="82">
        <v>0</v>
      </c>
      <c r="J49" s="82">
        <v>0</v>
      </c>
      <c r="K49" s="82">
        <v>1</v>
      </c>
      <c r="L49" s="82">
        <v>0</v>
      </c>
      <c r="M49" s="82">
        <v>1</v>
      </c>
      <c r="N49" s="82">
        <v>0</v>
      </c>
      <c r="O49" s="82">
        <v>1</v>
      </c>
      <c r="P49" s="71">
        <v>0</v>
      </c>
      <c r="Q49" s="82">
        <v>0</v>
      </c>
      <c r="R49" s="72">
        <v>1</v>
      </c>
    </row>
    <row r="50" spans="6:18" s="82" customFormat="1" ht="15" customHeight="1" x14ac:dyDescent="0.15">
      <c r="F50" s="204" t="s">
        <v>236</v>
      </c>
      <c r="G50" s="82">
        <v>0</v>
      </c>
      <c r="H50" s="82">
        <v>0</v>
      </c>
      <c r="I50" s="82">
        <v>0</v>
      </c>
      <c r="J50" s="82">
        <v>0</v>
      </c>
      <c r="K50" s="82">
        <v>1</v>
      </c>
      <c r="L50" s="82">
        <v>0</v>
      </c>
      <c r="M50" s="82">
        <v>1</v>
      </c>
      <c r="N50" s="82">
        <v>0</v>
      </c>
      <c r="O50" s="82">
        <v>1</v>
      </c>
      <c r="P50" s="71">
        <v>0</v>
      </c>
      <c r="Q50" s="82">
        <v>0</v>
      </c>
      <c r="R50" s="72">
        <v>1</v>
      </c>
    </row>
    <row r="51" spans="6:18" s="82" customFormat="1" ht="15" customHeight="1" x14ac:dyDescent="0.15">
      <c r="F51" s="204" t="s">
        <v>237</v>
      </c>
      <c r="G51" s="82">
        <v>0</v>
      </c>
      <c r="H51" s="82">
        <v>0</v>
      </c>
      <c r="I51" s="82">
        <v>0</v>
      </c>
      <c r="J51" s="82">
        <v>0</v>
      </c>
      <c r="K51" s="82">
        <v>1</v>
      </c>
      <c r="L51" s="82">
        <v>0</v>
      </c>
      <c r="M51" s="82">
        <v>1</v>
      </c>
      <c r="N51" s="82">
        <v>0</v>
      </c>
      <c r="O51" s="82">
        <v>1</v>
      </c>
      <c r="P51" s="71">
        <v>0</v>
      </c>
      <c r="Q51" s="82">
        <v>0</v>
      </c>
      <c r="R51" s="72">
        <v>1</v>
      </c>
    </row>
    <row r="52" spans="6:18" s="82" customFormat="1" ht="15" customHeight="1" x14ac:dyDescent="0.15">
      <c r="F52" s="204" t="s">
        <v>238</v>
      </c>
      <c r="G52" s="82">
        <v>0</v>
      </c>
      <c r="H52" s="82">
        <v>0</v>
      </c>
      <c r="I52" s="82">
        <v>0</v>
      </c>
      <c r="J52" s="82">
        <v>0</v>
      </c>
      <c r="K52" s="82">
        <v>1</v>
      </c>
      <c r="L52" s="82">
        <v>0</v>
      </c>
      <c r="M52" s="82">
        <v>1</v>
      </c>
      <c r="N52" s="82">
        <v>0</v>
      </c>
      <c r="O52" s="82">
        <v>1</v>
      </c>
      <c r="P52" s="71">
        <v>0</v>
      </c>
      <c r="Q52" s="82">
        <v>0</v>
      </c>
      <c r="R52" s="72">
        <v>1</v>
      </c>
    </row>
    <row r="53" spans="6:18" s="82" customFormat="1" ht="15" customHeight="1" x14ac:dyDescent="0.15">
      <c r="F53" s="204" t="s">
        <v>239</v>
      </c>
      <c r="G53" s="82">
        <v>0</v>
      </c>
      <c r="H53" s="82">
        <v>0</v>
      </c>
      <c r="I53" s="82">
        <v>0</v>
      </c>
      <c r="J53" s="82">
        <v>0</v>
      </c>
      <c r="K53" s="82">
        <v>1</v>
      </c>
      <c r="L53" s="82">
        <v>0</v>
      </c>
      <c r="M53" s="82">
        <v>1</v>
      </c>
      <c r="N53" s="82">
        <v>0</v>
      </c>
      <c r="O53" s="82">
        <v>1</v>
      </c>
      <c r="P53" s="71">
        <v>0</v>
      </c>
      <c r="Q53" s="82">
        <v>0</v>
      </c>
      <c r="R53" s="72">
        <v>1</v>
      </c>
    </row>
    <row r="54" spans="6:18" s="82" customFormat="1" ht="15" customHeight="1" x14ac:dyDescent="0.15">
      <c r="F54" s="204" t="s">
        <v>240</v>
      </c>
      <c r="G54" s="82">
        <v>0</v>
      </c>
      <c r="H54" s="82">
        <v>0</v>
      </c>
      <c r="I54" s="82">
        <v>0</v>
      </c>
      <c r="J54" s="82">
        <v>0</v>
      </c>
      <c r="K54" s="82">
        <v>1</v>
      </c>
      <c r="L54" s="82">
        <v>0</v>
      </c>
      <c r="M54" s="82">
        <v>1</v>
      </c>
      <c r="N54" s="82">
        <v>0</v>
      </c>
      <c r="O54" s="82">
        <v>1</v>
      </c>
      <c r="P54" s="71">
        <v>0</v>
      </c>
      <c r="Q54" s="82">
        <v>0</v>
      </c>
      <c r="R54" s="72">
        <v>1</v>
      </c>
    </row>
    <row r="55" spans="6:18" s="82" customFormat="1" ht="15" customHeight="1" x14ac:dyDescent="0.15">
      <c r="F55" s="204" t="s">
        <v>241</v>
      </c>
      <c r="G55" s="82">
        <v>0</v>
      </c>
      <c r="H55" s="82">
        <v>0</v>
      </c>
      <c r="I55" s="82">
        <v>0</v>
      </c>
      <c r="J55" s="82">
        <v>0</v>
      </c>
      <c r="K55" s="82">
        <v>1</v>
      </c>
      <c r="L55" s="82">
        <v>0</v>
      </c>
      <c r="M55" s="82">
        <v>1</v>
      </c>
      <c r="N55" s="82">
        <v>0</v>
      </c>
      <c r="O55" s="82">
        <v>1</v>
      </c>
      <c r="P55" s="71">
        <v>0</v>
      </c>
      <c r="Q55" s="82">
        <v>0</v>
      </c>
      <c r="R55" s="72">
        <v>1</v>
      </c>
    </row>
    <row r="56" spans="6:18" s="82" customFormat="1" ht="15" customHeight="1" x14ac:dyDescent="0.15">
      <c r="F56" s="204" t="s">
        <v>242</v>
      </c>
      <c r="G56" s="82">
        <v>0</v>
      </c>
      <c r="H56" s="82">
        <v>0</v>
      </c>
      <c r="I56" s="82">
        <v>0</v>
      </c>
      <c r="J56" s="82">
        <v>0</v>
      </c>
      <c r="K56" s="82">
        <v>1</v>
      </c>
      <c r="L56" s="82">
        <v>0</v>
      </c>
      <c r="M56" s="82">
        <v>1</v>
      </c>
      <c r="N56" s="82">
        <v>0</v>
      </c>
      <c r="O56" s="82">
        <v>1</v>
      </c>
      <c r="P56" s="71">
        <v>0</v>
      </c>
      <c r="Q56" s="82">
        <v>0</v>
      </c>
      <c r="R56" s="72">
        <v>1</v>
      </c>
    </row>
    <row r="57" spans="6:18" s="82" customFormat="1" ht="15" customHeight="1" x14ac:dyDescent="0.15">
      <c r="F57" s="204" t="s">
        <v>243</v>
      </c>
      <c r="G57" s="82">
        <v>0</v>
      </c>
      <c r="H57" s="82">
        <v>0</v>
      </c>
      <c r="I57" s="82">
        <v>0</v>
      </c>
      <c r="J57" s="82">
        <v>0</v>
      </c>
      <c r="K57" s="82">
        <v>0</v>
      </c>
      <c r="L57" s="82">
        <v>1</v>
      </c>
      <c r="M57" s="82">
        <v>0</v>
      </c>
      <c r="N57" s="82">
        <v>1</v>
      </c>
      <c r="O57" s="82">
        <v>0</v>
      </c>
      <c r="P57" s="71">
        <v>1</v>
      </c>
      <c r="Q57" s="82">
        <v>0</v>
      </c>
      <c r="R57" s="72">
        <v>1</v>
      </c>
    </row>
    <row r="58" spans="6:18" s="82" customFormat="1" ht="15" customHeight="1" x14ac:dyDescent="0.15">
      <c r="F58" s="204" t="s">
        <v>244</v>
      </c>
      <c r="G58" s="82">
        <v>0</v>
      </c>
      <c r="H58" s="82">
        <v>0</v>
      </c>
      <c r="I58" s="82">
        <v>0</v>
      </c>
      <c r="J58" s="82">
        <v>0</v>
      </c>
      <c r="K58" s="82">
        <v>0</v>
      </c>
      <c r="L58" s="82">
        <v>1</v>
      </c>
      <c r="M58" s="82">
        <v>0</v>
      </c>
      <c r="N58" s="82">
        <v>1</v>
      </c>
      <c r="O58" s="82">
        <v>0</v>
      </c>
      <c r="P58" s="71">
        <v>1</v>
      </c>
      <c r="Q58" s="82">
        <v>0</v>
      </c>
      <c r="R58" s="72">
        <v>1</v>
      </c>
    </row>
    <row r="59" spans="6:18" s="82" customFormat="1" ht="15" customHeight="1" x14ac:dyDescent="0.15">
      <c r="F59" s="204" t="s">
        <v>245</v>
      </c>
      <c r="G59" s="82">
        <v>0</v>
      </c>
      <c r="H59" s="82">
        <v>0</v>
      </c>
      <c r="I59" s="82">
        <v>0</v>
      </c>
      <c r="J59" s="82">
        <v>0</v>
      </c>
      <c r="K59" s="82">
        <v>0</v>
      </c>
      <c r="L59" s="82">
        <v>1</v>
      </c>
      <c r="M59" s="82">
        <v>0</v>
      </c>
      <c r="N59" s="82">
        <v>0</v>
      </c>
      <c r="O59" s="82">
        <v>0</v>
      </c>
      <c r="P59" s="71">
        <v>0</v>
      </c>
      <c r="Q59" s="82">
        <v>0</v>
      </c>
      <c r="R59" s="72">
        <v>1</v>
      </c>
    </row>
    <row r="60" spans="6:18" s="82" customFormat="1" ht="15" customHeight="1" x14ac:dyDescent="0.15">
      <c r="F60" s="204" t="s">
        <v>246</v>
      </c>
      <c r="G60" s="82">
        <v>0</v>
      </c>
      <c r="H60" s="82">
        <v>0</v>
      </c>
      <c r="I60" s="82">
        <v>0</v>
      </c>
      <c r="J60" s="82">
        <v>0</v>
      </c>
      <c r="K60" s="82">
        <v>0</v>
      </c>
      <c r="L60" s="82">
        <v>1</v>
      </c>
      <c r="M60" s="82">
        <v>0</v>
      </c>
      <c r="N60" s="82">
        <v>0</v>
      </c>
      <c r="O60" s="82">
        <v>0</v>
      </c>
      <c r="P60" s="71">
        <v>0</v>
      </c>
      <c r="Q60" s="82">
        <v>0</v>
      </c>
      <c r="R60" s="72">
        <v>1</v>
      </c>
    </row>
    <row r="61" spans="6:18" s="82" customFormat="1" ht="15" customHeight="1" x14ac:dyDescent="0.15">
      <c r="F61" s="204" t="s">
        <v>247</v>
      </c>
      <c r="G61" s="82">
        <v>0</v>
      </c>
      <c r="H61" s="82">
        <v>0</v>
      </c>
      <c r="I61" s="82">
        <v>0</v>
      </c>
      <c r="J61" s="82">
        <v>0</v>
      </c>
      <c r="K61" s="82">
        <v>0</v>
      </c>
      <c r="L61" s="82">
        <v>1</v>
      </c>
      <c r="M61" s="82">
        <v>0</v>
      </c>
      <c r="N61" s="82">
        <v>0</v>
      </c>
      <c r="O61" s="82">
        <v>0</v>
      </c>
      <c r="P61" s="71">
        <v>0</v>
      </c>
      <c r="Q61" s="82">
        <v>0</v>
      </c>
      <c r="R61" s="72">
        <v>1</v>
      </c>
    </row>
    <row r="62" spans="6:18" s="82" customFormat="1" ht="15" customHeight="1" x14ac:dyDescent="0.15">
      <c r="F62" s="204" t="s">
        <v>248</v>
      </c>
      <c r="G62" s="82">
        <v>0</v>
      </c>
      <c r="H62" s="82">
        <v>0</v>
      </c>
      <c r="I62" s="82">
        <v>0</v>
      </c>
      <c r="J62" s="82">
        <v>0</v>
      </c>
      <c r="K62" s="82">
        <v>0</v>
      </c>
      <c r="L62" s="82">
        <v>1</v>
      </c>
      <c r="M62" s="82">
        <v>0</v>
      </c>
      <c r="N62" s="82">
        <v>0</v>
      </c>
      <c r="O62" s="82">
        <v>0</v>
      </c>
      <c r="P62" s="71">
        <v>0</v>
      </c>
      <c r="Q62" s="82">
        <v>0</v>
      </c>
      <c r="R62" s="72">
        <v>1</v>
      </c>
    </row>
    <row r="63" spans="6:18" s="82" customFormat="1" ht="15" customHeight="1" x14ac:dyDescent="0.15">
      <c r="F63" s="204" t="s">
        <v>249</v>
      </c>
      <c r="G63" s="82">
        <v>0</v>
      </c>
      <c r="H63" s="82">
        <v>0</v>
      </c>
      <c r="I63" s="82">
        <v>0</v>
      </c>
      <c r="J63" s="82">
        <v>0</v>
      </c>
      <c r="K63" s="82">
        <v>0</v>
      </c>
      <c r="L63" s="82">
        <v>1</v>
      </c>
      <c r="M63" s="82">
        <v>0</v>
      </c>
      <c r="N63" s="82">
        <v>0</v>
      </c>
      <c r="O63" s="82">
        <v>0</v>
      </c>
      <c r="P63" s="71">
        <v>0</v>
      </c>
      <c r="Q63" s="82">
        <v>0</v>
      </c>
      <c r="R63" s="72">
        <v>1</v>
      </c>
    </row>
    <row r="64" spans="6:18" s="82" customFormat="1" ht="15" customHeight="1" x14ac:dyDescent="0.15">
      <c r="F64" s="204" t="s">
        <v>250</v>
      </c>
      <c r="G64" s="82">
        <v>0</v>
      </c>
      <c r="H64" s="82">
        <v>0</v>
      </c>
      <c r="I64" s="82">
        <v>0</v>
      </c>
      <c r="J64" s="82">
        <v>0</v>
      </c>
      <c r="K64" s="82">
        <v>0</v>
      </c>
      <c r="L64" s="82">
        <v>1</v>
      </c>
      <c r="M64" s="82">
        <v>0</v>
      </c>
      <c r="N64" s="82">
        <v>0</v>
      </c>
      <c r="O64" s="82">
        <v>0</v>
      </c>
      <c r="P64" s="71">
        <v>0</v>
      </c>
      <c r="Q64" s="82">
        <v>0</v>
      </c>
      <c r="R64" s="72">
        <v>1</v>
      </c>
    </row>
    <row r="65" spans="1:18" ht="15" customHeight="1" x14ac:dyDescent="0.15">
      <c r="F65" s="204" t="s">
        <v>251</v>
      </c>
      <c r="G65" s="82">
        <v>0</v>
      </c>
      <c r="H65" s="82">
        <v>0</v>
      </c>
      <c r="I65" s="82">
        <v>0</v>
      </c>
      <c r="J65" s="82">
        <v>0</v>
      </c>
      <c r="K65" s="82">
        <v>0</v>
      </c>
      <c r="L65" s="82">
        <v>1</v>
      </c>
      <c r="M65" s="82">
        <v>0</v>
      </c>
      <c r="N65" s="82">
        <v>0</v>
      </c>
      <c r="O65" s="82">
        <v>0</v>
      </c>
      <c r="P65" s="71">
        <v>0</v>
      </c>
      <c r="Q65" s="82">
        <v>0</v>
      </c>
      <c r="R65" s="72">
        <v>1</v>
      </c>
    </row>
    <row r="66" spans="1:18" ht="15" customHeight="1" x14ac:dyDescent="0.15">
      <c r="F66" s="204" t="s">
        <v>252</v>
      </c>
      <c r="G66" s="82">
        <v>0</v>
      </c>
      <c r="H66" s="82">
        <v>0</v>
      </c>
      <c r="I66" s="82">
        <v>0</v>
      </c>
      <c r="J66" s="82">
        <v>0</v>
      </c>
      <c r="K66" s="82">
        <v>0</v>
      </c>
      <c r="L66" s="82">
        <v>1</v>
      </c>
      <c r="M66" s="82">
        <v>0</v>
      </c>
      <c r="N66" s="82">
        <v>0</v>
      </c>
      <c r="O66" s="82">
        <v>0</v>
      </c>
      <c r="P66" s="71">
        <v>0</v>
      </c>
      <c r="Q66" s="82">
        <v>0</v>
      </c>
      <c r="R66" s="72">
        <v>1</v>
      </c>
    </row>
    <row r="67" spans="1:18" ht="15" customHeight="1" x14ac:dyDescent="0.15">
      <c r="F67" s="204" t="s">
        <v>253</v>
      </c>
      <c r="G67" s="82">
        <v>0</v>
      </c>
      <c r="H67" s="82">
        <v>0</v>
      </c>
      <c r="I67" s="82">
        <v>0</v>
      </c>
      <c r="J67" s="82">
        <v>0</v>
      </c>
      <c r="K67" s="82">
        <v>0</v>
      </c>
      <c r="L67" s="82">
        <v>1</v>
      </c>
      <c r="M67" s="82">
        <v>0</v>
      </c>
      <c r="N67" s="82">
        <v>0</v>
      </c>
      <c r="O67" s="82">
        <v>0</v>
      </c>
      <c r="P67" s="71">
        <v>0</v>
      </c>
      <c r="Q67" s="82">
        <v>0</v>
      </c>
      <c r="R67" s="72">
        <v>1</v>
      </c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R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1" customWidth="1"/>
    <col min="3" max="5" width="7.83203125" style="111" customWidth="1"/>
    <col min="6" max="8" width="8.83203125" style="6"/>
    <col min="9" max="9" width="14.83203125" style="6" customWidth="1"/>
    <col min="10" max="11" width="15.83203125" style="6" customWidth="1"/>
    <col min="12" max="12" width="15.5" style="6" customWidth="1"/>
    <col min="13" max="13" width="13.83203125" style="6" customWidth="1"/>
    <col min="14" max="14" width="14.6640625" style="6" customWidth="1"/>
    <col min="15" max="15" width="15.5" style="6" customWidth="1"/>
    <col min="16" max="16" width="6.5" style="6" customWidth="1"/>
    <col min="17" max="17" width="12.1640625" style="6" customWidth="1"/>
    <col min="18" max="18" width="7.83203125" style="6" customWidth="1"/>
    <col min="19" max="19" width="8.5" style="6" customWidth="1"/>
    <col min="20" max="20" width="5.1640625" style="6" customWidth="1"/>
    <col min="21" max="21" width="15.33203125" style="6" customWidth="1"/>
    <col min="22" max="22" width="7.5" style="6" customWidth="1"/>
    <col min="23" max="23" width="15.1640625" style="6" customWidth="1"/>
    <col min="24" max="24" width="13" style="6" customWidth="1"/>
    <col min="25" max="25" width="6.33203125" style="6" customWidth="1"/>
    <col min="26" max="26" width="8.1640625" style="6" customWidth="1"/>
    <col min="27" max="27" width="7.83203125" style="6" customWidth="1"/>
    <col min="28" max="28" width="9.5" style="6" customWidth="1"/>
    <col min="29" max="29" width="9.33203125" style="6" customWidth="1"/>
    <col min="30" max="30" width="4.5" style="6" customWidth="1"/>
    <col min="31" max="31" width="11.1640625" style="6" customWidth="1"/>
    <col min="32" max="32" width="12.5" style="6" customWidth="1"/>
    <col min="33" max="33" width="8.83203125" style="6" customWidth="1"/>
    <col min="34" max="34" width="10.6640625" style="6" customWidth="1"/>
    <col min="35" max="35" width="10.5" style="6" customWidth="1"/>
    <col min="36" max="36" width="7.6640625" style="6" customWidth="1"/>
    <col min="37" max="37" width="7.5" style="6" customWidth="1"/>
    <col min="38" max="38" width="5.5" style="6" customWidth="1"/>
    <col min="39" max="39" width="7.5" customWidth="1"/>
    <col min="40" max="40" width="5.5" customWidth="1"/>
    <col min="41" max="41" width="7.5" customWidth="1"/>
    <col min="42" max="42" width="10.6640625" customWidth="1"/>
    <col min="43" max="43" width="12.1640625" customWidth="1"/>
    <col min="44" max="44" width="10.6640625" customWidth="1"/>
    <col min="45" max="45" width="9.5" customWidth="1"/>
    <col min="46" max="46" width="9" customWidth="1"/>
    <col min="47" max="47" width="7.1640625" customWidth="1"/>
    <col min="48" max="48" width="5.6640625" customWidth="1"/>
    <col min="49" max="49" width="8" customWidth="1"/>
    <col min="50" max="50" width="8.83203125" customWidth="1"/>
    <col min="51" max="52" width="5.5" customWidth="1"/>
    <col min="53" max="53" width="7.1640625" customWidth="1"/>
    <col min="54" max="54" width="13.1640625" customWidth="1"/>
    <col min="55" max="55" width="12" customWidth="1"/>
    <col min="56" max="56" width="8.5" customWidth="1"/>
    <col min="57" max="57" width="17" customWidth="1"/>
    <col min="58" max="58" width="6" customWidth="1"/>
    <col min="59" max="59" width="14.6640625" customWidth="1"/>
    <col min="60" max="60" width="7.6640625" customWidth="1"/>
    <col min="61" max="61" width="21.6640625" customWidth="1"/>
    <col min="62" max="62" width="9.83203125" customWidth="1"/>
    <col min="63" max="63" width="10.5" customWidth="1"/>
    <col min="64" max="64" width="13.1640625" customWidth="1"/>
    <col min="65" max="65" width="7.1640625" customWidth="1"/>
    <col min="66" max="67" width="4.1640625" customWidth="1"/>
    <col min="68" max="68" width="6.1640625" customWidth="1"/>
    <col min="69" max="69" width="8.83203125" customWidth="1"/>
    <col min="70" max="70" width="11.5" customWidth="1"/>
    <col min="81" max="81" width="22.1640625" bestFit="1" customWidth="1"/>
  </cols>
  <sheetData>
    <row r="1" spans="1:7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9" t="s">
        <v>192</v>
      </c>
      <c r="J1" s="209" t="s">
        <v>193</v>
      </c>
      <c r="K1" s="209" t="s">
        <v>194</v>
      </c>
      <c r="L1" s="209" t="s">
        <v>195</v>
      </c>
      <c r="M1" s="209" t="s">
        <v>196</v>
      </c>
      <c r="N1" s="209" t="s">
        <v>197</v>
      </c>
      <c r="O1" s="209" t="s">
        <v>198</v>
      </c>
      <c r="P1" s="209" t="s">
        <v>199</v>
      </c>
      <c r="Q1" s="209" t="s">
        <v>200</v>
      </c>
      <c r="R1" s="209" t="s">
        <v>201</v>
      </c>
      <c r="S1" s="209" t="s">
        <v>202</v>
      </c>
      <c r="T1" s="209" t="s">
        <v>203</v>
      </c>
      <c r="U1" s="209" t="s">
        <v>204</v>
      </c>
      <c r="V1" s="209" t="s">
        <v>205</v>
      </c>
      <c r="W1" s="209" t="s">
        <v>206</v>
      </c>
      <c r="X1" s="209" t="s">
        <v>207</v>
      </c>
      <c r="Y1" s="209" t="s">
        <v>208</v>
      </c>
      <c r="Z1" s="209" t="s">
        <v>209</v>
      </c>
      <c r="AA1" s="209" t="s">
        <v>210</v>
      </c>
      <c r="AB1" s="209" t="s">
        <v>211</v>
      </c>
      <c r="AC1" s="209" t="s">
        <v>212</v>
      </c>
      <c r="AD1" s="209" t="s">
        <v>213</v>
      </c>
      <c r="AE1" s="209" t="s">
        <v>214</v>
      </c>
      <c r="AF1" s="209" t="s">
        <v>215</v>
      </c>
      <c r="AG1" s="209" t="s">
        <v>216</v>
      </c>
      <c r="AH1" s="209" t="s">
        <v>217</v>
      </c>
      <c r="AI1" s="209" t="s">
        <v>218</v>
      </c>
      <c r="AJ1" s="209" t="s">
        <v>219</v>
      </c>
      <c r="AK1" s="209" t="s">
        <v>220</v>
      </c>
      <c r="AL1" s="209" t="s">
        <v>221</v>
      </c>
      <c r="AM1" s="209" t="s">
        <v>222</v>
      </c>
      <c r="AN1" s="209" t="s">
        <v>223</v>
      </c>
      <c r="AO1" s="209" t="s">
        <v>224</v>
      </c>
      <c r="AP1" s="209" t="s">
        <v>225</v>
      </c>
      <c r="AQ1" s="209" t="s">
        <v>226</v>
      </c>
      <c r="AR1" s="209" t="s">
        <v>227</v>
      </c>
      <c r="AS1" s="209" t="s">
        <v>228</v>
      </c>
      <c r="AT1" s="209" t="s">
        <v>229</v>
      </c>
      <c r="AU1" s="209" t="s">
        <v>230</v>
      </c>
      <c r="AV1" s="209" t="s">
        <v>231</v>
      </c>
      <c r="AW1" s="209" t="s">
        <v>232</v>
      </c>
      <c r="AX1" s="209" t="s">
        <v>233</v>
      </c>
      <c r="AY1" s="209" t="s">
        <v>234</v>
      </c>
      <c r="AZ1" s="209" t="s">
        <v>235</v>
      </c>
      <c r="BA1" s="209" t="s">
        <v>236</v>
      </c>
      <c r="BB1" s="209" t="s">
        <v>237</v>
      </c>
      <c r="BC1" s="209" t="s">
        <v>238</v>
      </c>
      <c r="BD1" s="209" t="s">
        <v>239</v>
      </c>
      <c r="BE1" s="209" t="s">
        <v>240</v>
      </c>
      <c r="BF1" s="209" t="s">
        <v>241</v>
      </c>
      <c r="BG1" s="209" t="s">
        <v>242</v>
      </c>
      <c r="BH1" s="209" t="s">
        <v>243</v>
      </c>
      <c r="BI1" s="209" t="s">
        <v>244</v>
      </c>
      <c r="BJ1" s="209" t="s">
        <v>245</v>
      </c>
      <c r="BK1" s="209" t="s">
        <v>246</v>
      </c>
      <c r="BL1" s="209" t="s">
        <v>247</v>
      </c>
      <c r="BM1" s="209" t="s">
        <v>248</v>
      </c>
      <c r="BN1" s="209" t="s">
        <v>249</v>
      </c>
      <c r="BO1" s="209" t="s">
        <v>250</v>
      </c>
      <c r="BP1" s="209" t="s">
        <v>251</v>
      </c>
      <c r="BQ1" s="209" t="s">
        <v>252</v>
      </c>
      <c r="BR1" s="209" t="s">
        <v>253</v>
      </c>
    </row>
    <row r="2" spans="1:70" x14ac:dyDescent="0.15">
      <c r="A2" t="s">
        <v>38</v>
      </c>
      <c r="B2" s="11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0" x14ac:dyDescent="0.15">
      <c r="A3" t="s">
        <v>40</v>
      </c>
      <c r="B3" s="11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0" x14ac:dyDescent="0.15">
      <c r="A4" t="s">
        <v>41</v>
      </c>
      <c r="B4" s="11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0" x14ac:dyDescent="0.15">
      <c r="A5" s="208" t="s">
        <v>192</v>
      </c>
      <c r="B5" s="11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0" x14ac:dyDescent="0.15">
      <c r="A6" s="208" t="s">
        <v>193</v>
      </c>
      <c r="B6" s="11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0" x14ac:dyDescent="0.15">
      <c r="A7" s="208" t="s">
        <v>194</v>
      </c>
      <c r="B7" s="11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0" x14ac:dyDescent="0.15">
      <c r="A8" s="208" t="s">
        <v>195</v>
      </c>
      <c r="B8" s="11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0" x14ac:dyDescent="0.15">
      <c r="A9" s="208" t="s">
        <v>196</v>
      </c>
      <c r="B9" s="11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0" x14ac:dyDescent="0.15">
      <c r="A10" s="208" t="s">
        <v>197</v>
      </c>
      <c r="B10" s="11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0" x14ac:dyDescent="0.15">
      <c r="A11" s="208" t="s">
        <v>198</v>
      </c>
      <c r="B11" s="11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0" x14ac:dyDescent="0.15">
      <c r="A12" s="208" t="s">
        <v>199</v>
      </c>
      <c r="B12" s="11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0" x14ac:dyDescent="0.15">
      <c r="A13" s="208" t="s">
        <v>200</v>
      </c>
      <c r="B13" s="11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0" x14ac:dyDescent="0.15">
      <c r="A14" s="208" t="s">
        <v>201</v>
      </c>
      <c r="B14" s="11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0" x14ac:dyDescent="0.15">
      <c r="A15" s="208" t="s">
        <v>202</v>
      </c>
      <c r="B15" s="11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0" x14ac:dyDescent="0.15">
      <c r="A16" s="208" t="s">
        <v>203</v>
      </c>
      <c r="B16" s="11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8" t="s">
        <v>204</v>
      </c>
      <c r="B17" s="11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8" t="s">
        <v>205</v>
      </c>
      <c r="B18" s="11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8" t="s">
        <v>206</v>
      </c>
      <c r="B19" s="11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8" t="s">
        <v>207</v>
      </c>
      <c r="B20" s="11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8" t="s">
        <v>208</v>
      </c>
      <c r="B21" s="11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8" t="s">
        <v>209</v>
      </c>
      <c r="B22" s="11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8" t="s">
        <v>210</v>
      </c>
      <c r="B23" s="11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8" t="s">
        <v>211</v>
      </c>
      <c r="B24" s="11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8" t="s">
        <v>212</v>
      </c>
      <c r="B25" s="11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8" t="s">
        <v>213</v>
      </c>
      <c r="B26" s="11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8" t="s">
        <v>214</v>
      </c>
      <c r="B27" s="11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8" t="s">
        <v>215</v>
      </c>
      <c r="B28" s="11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8" t="s">
        <v>216</v>
      </c>
      <c r="B29" s="11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8" t="s">
        <v>217</v>
      </c>
      <c r="B30" s="11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8" t="s">
        <v>218</v>
      </c>
      <c r="B31" s="111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8" t="s">
        <v>219</v>
      </c>
      <c r="B32" s="111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8" t="s">
        <v>220</v>
      </c>
      <c r="B33" s="111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8" t="s">
        <v>221</v>
      </c>
      <c r="B34" s="111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8" t="s">
        <v>222</v>
      </c>
      <c r="B35" s="111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8" t="s">
        <v>223</v>
      </c>
      <c r="B36" s="111">
        <v>0</v>
      </c>
      <c r="C36"/>
      <c r="D36"/>
    </row>
    <row r="37" spans="1:38" ht="15" customHeight="1" x14ac:dyDescent="0.15">
      <c r="A37" s="208" t="s">
        <v>224</v>
      </c>
      <c r="B37" s="111">
        <v>0</v>
      </c>
      <c r="C37"/>
      <c r="D37"/>
    </row>
    <row r="38" spans="1:38" ht="15" customHeight="1" x14ac:dyDescent="0.15">
      <c r="A38" s="208" t="s">
        <v>225</v>
      </c>
      <c r="B38" s="111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8" t="s">
        <v>226</v>
      </c>
      <c r="B39" s="111">
        <v>0</v>
      </c>
      <c r="C39"/>
      <c r="D39"/>
    </row>
    <row r="40" spans="1:38" ht="15" customHeight="1" x14ac:dyDescent="0.15">
      <c r="A40" s="208" t="s">
        <v>227</v>
      </c>
      <c r="B40" s="111">
        <v>0</v>
      </c>
      <c r="C40"/>
      <c r="D40"/>
    </row>
    <row r="41" spans="1:38" ht="15" customHeight="1" x14ac:dyDescent="0.15">
      <c r="A41" s="208" t="s">
        <v>228</v>
      </c>
      <c r="B41" s="111">
        <v>0</v>
      </c>
      <c r="C41"/>
      <c r="D41"/>
    </row>
    <row r="42" spans="1:38" ht="15" customHeight="1" x14ac:dyDescent="0.15">
      <c r="A42" s="208" t="s">
        <v>229</v>
      </c>
      <c r="B42" s="111">
        <v>0</v>
      </c>
    </row>
    <row r="43" spans="1:38" ht="15" customHeight="1" x14ac:dyDescent="0.15">
      <c r="A43" s="208" t="s">
        <v>230</v>
      </c>
      <c r="B43" s="111">
        <v>0</v>
      </c>
    </row>
    <row r="44" spans="1:38" ht="15" customHeight="1" x14ac:dyDescent="0.15">
      <c r="A44" s="208" t="s">
        <v>231</v>
      </c>
      <c r="B44" s="111">
        <v>0</v>
      </c>
    </row>
    <row r="45" spans="1:38" ht="15" customHeight="1" x14ac:dyDescent="0.15">
      <c r="A45" s="208" t="s">
        <v>232</v>
      </c>
      <c r="B45" s="111">
        <v>0</v>
      </c>
    </row>
    <row r="46" spans="1:38" ht="15" customHeight="1" x14ac:dyDescent="0.15">
      <c r="A46" s="208" t="s">
        <v>233</v>
      </c>
      <c r="B46" s="111">
        <v>0</v>
      </c>
    </row>
    <row r="47" spans="1:38" ht="15" customHeight="1" x14ac:dyDescent="0.15">
      <c r="A47" s="208" t="s">
        <v>234</v>
      </c>
      <c r="B47" s="111">
        <v>0</v>
      </c>
    </row>
    <row r="48" spans="1:38" ht="15" customHeight="1" x14ac:dyDescent="0.15">
      <c r="A48" s="208" t="s">
        <v>235</v>
      </c>
      <c r="B48" s="111">
        <v>0</v>
      </c>
    </row>
    <row r="49" spans="1:38" ht="15" customHeight="1" x14ac:dyDescent="0.15">
      <c r="A49" s="208" t="s">
        <v>236</v>
      </c>
      <c r="B49" s="111">
        <v>0</v>
      </c>
    </row>
    <row r="50" spans="1:38" ht="15" customHeight="1" x14ac:dyDescent="0.15">
      <c r="A50" s="208" t="s">
        <v>237</v>
      </c>
      <c r="B50" s="111">
        <v>0</v>
      </c>
    </row>
    <row r="51" spans="1:38" ht="15" customHeight="1" x14ac:dyDescent="0.15">
      <c r="A51" s="208" t="s">
        <v>238</v>
      </c>
      <c r="B51" s="111">
        <v>0</v>
      </c>
    </row>
    <row r="52" spans="1:38" ht="15" customHeight="1" x14ac:dyDescent="0.15">
      <c r="A52" s="208" t="s">
        <v>239</v>
      </c>
      <c r="B52" s="111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8" t="s">
        <v>240</v>
      </c>
      <c r="B53" s="111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8" t="s">
        <v>241</v>
      </c>
      <c r="B54" s="111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8" t="s">
        <v>242</v>
      </c>
      <c r="B55" s="111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8" t="s">
        <v>243</v>
      </c>
      <c r="B56" s="111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8" t="s">
        <v>244</v>
      </c>
      <c r="B57" s="111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8" t="s">
        <v>245</v>
      </c>
      <c r="B58" s="111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8" t="s">
        <v>246</v>
      </c>
      <c r="B59" s="111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8" t="s">
        <v>247</v>
      </c>
      <c r="B60" s="111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8" t="s">
        <v>248</v>
      </c>
      <c r="B61" s="111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8" t="s">
        <v>249</v>
      </c>
      <c r="B62" s="111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8" t="s">
        <v>250</v>
      </c>
      <c r="B63" s="111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8" t="s">
        <v>251</v>
      </c>
      <c r="B64" s="111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8" t="s">
        <v>252</v>
      </c>
      <c r="B65" s="111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8" t="s">
        <v>253</v>
      </c>
      <c r="B66" s="111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2022-10-24T04:24:22Z</dcterms:modified>
</cp:coreProperties>
</file>