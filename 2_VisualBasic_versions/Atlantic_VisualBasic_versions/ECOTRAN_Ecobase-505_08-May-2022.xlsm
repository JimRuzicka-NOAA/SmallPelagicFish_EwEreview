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87632DA2-346A-1847-8972-DF026C847CD8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Main!$C$2:$N$36</definedName>
    <definedName name="matDetritus">Detritus!$C$2:$E$36</definedName>
    <definedName name="matDiet">Diets!$B$2:$AF$35</definedName>
    <definedName name="matDiscards">Discards!$C$2:$D$34</definedName>
    <definedName name="matFishery">Fishing!$C$2:$D$34</definedName>
    <definedName name="matFishing">Fishing!#REF!</definedName>
    <definedName name="matMort">Mortalities!$A$1:$AL$34</definedName>
    <definedName name="matOut">MainOutputs!$A$2:$I$36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<sst xmlns="http://schemas.openxmlformats.org/spreadsheetml/2006/main" count="1011" uniqueCount="233">
  <si>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</si>
  <si>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</si>
  <si>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</si>
  <si>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</si>
  <si>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</si>
  <si>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</si>
  <si>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</si>
  <si>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</si>
  <si>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</si>
  <si>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</si>
  <si>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</si>
  <si>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</si>
  <si>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</si>
  <si>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</si>
  <si>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</si>
  <si>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</si>
  <si>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</si>
  <si>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</si>
  <si>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</si>
  <si>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</si>
  <si>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</si>
  <si>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</si>
  <si>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</si>
  <si>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</si>
  <si>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</si>
  <si>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</si>
  <si>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</si>
  <si>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</si>
  <si>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</si>
  <si>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</si>
  <si>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</si>
  <si>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</si>
  <si>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</si>
  <si>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</si>
  <si>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</si>
  <si>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</si>
  <si>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</si>
  <si>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</si>
  <si>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</si>
  <si>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</si>
  <si>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</si>
  <si>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</si>
  <si>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</si>
  <si>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</si>
  <si>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</si>
  <si>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</si>
  <si>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</si>
  <si>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</si>
  <si>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</si>
  <si>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</si>
  <si>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</si>
  <si>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</si>
  <si>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</si>
  <si>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</si>
  <si>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</si>
  <si>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</si>
  <si>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</si>
  <si>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</si>
  <si>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</si>
  <si>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</si>
  <si>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</si>
  <si>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</si>
  <si>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</si>
  <si>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</si>
  <si>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</si>
  <si>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</si>
  <si>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</si>
  <si>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</si>
  <si>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</si>
  <si>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</si>
  <si>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</si>
  <si>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</si>
  <si>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</si>
  <si>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</si>
  <si>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</si>
  <si>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</si>
  <si>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</si>
  <si>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</si>
  <si>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</si>
  <si>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</si>
  <si>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</si>
  <si>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</si>
  <si>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</si>
  <si>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</si>
  <si>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</si>
  <si>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</si>
  <si>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</si>
  <si>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</si>
  <si>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</si>
  <si>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</si>
  <si>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</si>
  <si>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</si>
  <si>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</si>
  <si>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</si>
  <si>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</si>
  <si>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</si>
  <si>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</si>
  <si>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</si>
  <si>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</si>
  <si>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</si>
  <si>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</si>
  <si>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</si>
  <si>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</si>
  <si>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</si>
  <si>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</si>
  <si>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</si>
  <si>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</si>
  <si>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</si>
  <si>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</si>
  <si>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</si>
  <si>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</si>
  <si>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</si>
  <si>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</si>
  <si>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</si>
  <si>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</si>
  <si>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</si>
  <si>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</si>
  <si>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</si>
  <si>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</si>
  <si>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</si>
  <si>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</si>
  <si>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</si>
  <si>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</si>
  <si>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</si>
  <si>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</si>
  <si>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</si>
  <si>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</si>
  <si>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</si>
  <si>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</si>
  <si>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</si>
  <si>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</si>
  <si>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</si>
  <si>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</si>
  <si>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</si>
  <si>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</si>
  <si>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</si>
  <si>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</si>
  <si>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</si>
  <si>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</si>
  <si>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</si>
  <si>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</si>
  <si>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</si>
  <si>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</si>
  <si>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</si>
  <si>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</si>
  <si>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</si>
  <si>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</si>
  <si>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</si>
  <si>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</si>
  <si>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</si>
  <si>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</si>
  <si>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</si>
  <si>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</si>
  <si>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</si>
  <si>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</si>
  <si>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</si>
  <si>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</si>
  <si>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</si>
  <si>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</si>
  <si>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</si>
  <si>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</si>
  <si>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</si>
  <si>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</si>
  <si>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</si>
  <si>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</si>
  <si>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</si>
  <si>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</si>
  <si>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</si>
  <si>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</si>
  <si>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</si>
  <si>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</si>
  <si>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</si>
  <si>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</si>
  <si>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</si>
  <si>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</si>
  <si>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</si>
  <si>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</si>
  <si>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</si>
  <si>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</si>
  <si>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</si>
  <si>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</si>
  <si>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</si>
  <si>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</si>
  <si>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</si>
  <si>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</si>
  <si>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South Benguela</t>
  </si>
  <si>
    <t>South Africa</t>
  </si>
  <si>
    <t>BOX(15.1848308550611 -35.3774889258689,23.5147218631843 -27.0835026203668)</t>
  </si>
  <si>
    <t>upwelling</t>
  </si>
  <si>
    <t>WetWeight</t>
  </si>
  <si>
    <t>; 10/27/2006 8:45:00 AM; 10/27/2006 9:44:40 AM; 10/27/2006 5:30:15 PM; 2007/02/23 12:20:43 PM; 07/01/2011 11:21:35 AM</t>
  </si>
  <si>
    <t>Watermeyer K.E.,Shannon L.J.,Griffiths C.L.(2008). Changes in the trophic structure of the southern Benguela before and after the onset of industrial fishing African Journal of Marine Science. pp 351-382</t>
  </si>
  <si>
    <t>Phytoplankton</t>
  </si>
  <si>
    <t>Benthic produce</t>
  </si>
  <si>
    <t>Microzooplankto</t>
  </si>
  <si>
    <t>Mesozooplankton</t>
  </si>
  <si>
    <t>Macrozooplankto</t>
  </si>
  <si>
    <t>Gelatinous zoop</t>
  </si>
  <si>
    <t>Anchovy</t>
  </si>
  <si>
    <t>Sardine</t>
  </si>
  <si>
    <t>Redeye</t>
  </si>
  <si>
    <t>Other small pel</t>
  </si>
  <si>
    <t>Chub mackerel</t>
  </si>
  <si>
    <t>Juvenile horse</t>
  </si>
  <si>
    <t>Adult horse mac</t>
  </si>
  <si>
    <t>Mesopelagics</t>
  </si>
  <si>
    <t>Snoek</t>
  </si>
  <si>
    <t>Other large pel</t>
  </si>
  <si>
    <t>Cephalopods</t>
  </si>
  <si>
    <t>Small M. capens</t>
  </si>
  <si>
    <t>Large M. capens</t>
  </si>
  <si>
    <t>Small M. parado</t>
  </si>
  <si>
    <t>Large M. parado</t>
  </si>
  <si>
    <t>Pelagic-feedi22</t>
  </si>
  <si>
    <t>Benthic-feedi23</t>
  </si>
  <si>
    <t>Pelagic-feeding</t>
  </si>
  <si>
    <t>Benthic-feeding</t>
  </si>
  <si>
    <t>Apex chondricht</t>
  </si>
  <si>
    <t>Seals</t>
  </si>
  <si>
    <t>Cetaceans</t>
  </si>
  <si>
    <t>Seabirds</t>
  </si>
  <si>
    <t>Meiobenthos</t>
  </si>
  <si>
    <t>Macrobenthos</t>
  </si>
  <si>
    <t>Detritus</t>
  </si>
  <si>
    <t>detritus_TerminalBenthic</t>
  </si>
  <si>
    <t>Line Fishery</t>
  </si>
  <si>
    <t>Sealing</t>
  </si>
  <si>
    <t>Import</t>
  </si>
  <si>
    <t>export</t>
  </si>
  <si>
    <t>sum</t>
  </si>
  <si>
    <t>TOTAL</t>
  </si>
  <si>
    <t>F Line Fishery</t>
  </si>
  <si>
    <t>F Sealing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</si>
</sst>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2" borderId="0" xfId="0" applyFill="1"/>
    <xf numFmtId="0" fontId="0" fillId="4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4" borderId="0" xfId="0" applyFill="1"/>
    <xf numFmtId="0" fontId="0" fillId="45" borderId="0" xfId="0" applyFill="1"/>
    <xf numFmtId="0" fontId="0" fillId="4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7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42" t="s">
        <v>171</v>
      </c>
      <c r="C53" s="106">
        <v>505</v>
      </c>
      <c r="D53" s="106"/>
    </row>
    <row r="54" spans="2:4" x14ac:dyDescent="0.15">
      <c r="B54" s="142" t="s">
        <v>172</v>
      </c>
      <c r="C54" s="142" t="s">
        <v>185</v>
      </c>
      <c r="D54" s="106"/>
    </row>
    <row r="55" spans="2:4" x14ac:dyDescent="0.15">
      <c r="B55" s="142" t="s">
        <v>173</v>
      </c>
      <c r="C55" s="142" t="s">
        <v>186</v>
      </c>
      <c r="D55" s="106"/>
    </row>
    <row r="56" spans="2:4" x14ac:dyDescent="0.15">
      <c r="B56" s="142" t="s">
        <v>174</v>
      </c>
      <c r="C56" s="106">
        <v>220000</v>
      </c>
      <c r="D56" s="106"/>
    </row>
    <row r="57" spans="2:4" x14ac:dyDescent="0.15">
      <c r="B57" s="142" t="s">
        <v>175</v>
      </c>
      <c r="C57" s="142" t="s">
        <v>187</v>
      </c>
      <c r="D57" s="106"/>
    </row>
    <row r="58" spans="2:4" x14ac:dyDescent="0.15">
      <c r="B58" s="142" t="s">
        <v>176</v>
      </c>
      <c r="C58" s="142" t="s">
        <v>188</v>
      </c>
      <c r="D58" s="106"/>
    </row>
    <row r="59" spans="2:4" x14ac:dyDescent="0.15">
      <c r="B59" s="142" t="s">
        <v>177</v>
      </c>
      <c r="C59" s="142" t="s">
        <v>189</v>
      </c>
      <c r="D59" s="106"/>
    </row>
    <row r="60" spans="2:4" x14ac:dyDescent="0.15">
      <c r="B60" s="142" t="s">
        <v>178</v>
      </c>
      <c r="C60" s="142" t="s">
        <v>190</v>
      </c>
      <c r="D60" s="106"/>
    </row>
    <row r="61" spans="2:4" x14ac:dyDescent="0.15">
      <c r="B61" s="142" t="s">
        <v>179</v>
      </c>
      <c r="C61" s="106">
        <v>32</v>
      </c>
      <c r="D61" s="106"/>
    </row>
    <row r="62" spans="2:4" x14ac:dyDescent="0.15">
      <c r="B62" s="142" t="s">
        <v>180</v>
      </c>
      <c r="C62" s="106">
        <v>2</v>
      </c>
      <c r="D62" s="106"/>
    </row>
    <row r="63" spans="2:4" x14ac:dyDescent="0.15">
      <c r="B63" s="142" t="s">
        <v>181</v>
      </c>
      <c r="C63" s="106">
        <v>1900</v>
      </c>
      <c r="D63" s="106"/>
    </row>
    <row r="64" spans="2:4" x14ac:dyDescent="0.15">
      <c r="B64" s="142" t="s">
        <v>182</v>
      </c>
      <c r="C64" s="106">
        <v>1</v>
      </c>
      <c r="D64" s="106"/>
    </row>
    <row r="65" spans="2:4" x14ac:dyDescent="0.15">
      <c r="B65" s="142" t="s">
        <v>183</v>
      </c>
      <c r="C65" s="142" t="s">
        <v>191</v>
      </c>
      <c r="D65" s="106"/>
    </row>
    <row r="66" spans="2:4" x14ac:dyDescent="0.15">
      <c r="B66" s="142" t="s">
        <v>184</v>
      </c>
      <c r="D66" s="106"/>
    </row>
    <row r="67" spans="2:4" x14ac:dyDescent="0.15">
      <c r="B67" s="106"/>
      <c r="C67" s="106"/>
      <c r="D67" s="106"/>
    </row>
    <row r="68" spans="2:4" x14ac:dyDescent="0.15">
      <c r="B68" s="106"/>
      <c r="C68" s="106"/>
      <c r="D68" s="10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1.6640625" style="80" bestFit="1" customWidth="1"/>
    <col min="6" max="6" width="2.33203125" style="80" bestFit="1" customWidth="1"/>
    <col min="7" max="7" width="12.83203125" style="80" bestFit="1" customWidth="1"/>
    <col min="8" max="8" width="5.83203125" style="80" customWidth="1"/>
    <col min="9" max="9" width="7.83203125" style="80" customWidth="1"/>
    <col min="10" max="10" width="11.83203125" style="80" customWidth="1"/>
    <col min="11" max="11" width="12.83203125" style="80" customWidth="1"/>
    <col min="12" max="12" width="2.33203125" style="80" customWidth="1"/>
    <col min="13" max="13" width="4.83203125" style="80" customWidth="1"/>
    <col min="14" max="14" width="7.83203125" style="80" bestFit="1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43" t="s">
        <v>192</v>
      </c>
      <c r="F2" s="80">
        <v>1</v>
      </c>
      <c r="G2" s="80">
        <v>76.938000000000002</v>
      </c>
      <c r="H2" s="80">
        <v>154.4</v>
      </c>
      <c r="I2" s="6">
        <v>0</v>
      </c>
      <c r="J2" s="6">
        <v>0.24761675299999999</v>
      </c>
      <c r="K2" s="6">
        <v>0</v>
      </c>
      <c r="L2" s="6">
        <v>0</v>
      </c>
      <c r="M2" s="80">
        <v>0</v>
      </c>
      <c r="N2" s="80">
        <v>0</v>
      </c>
    </row>
    <row r="3" spans="1:46" ht="15" customHeight="1" x14ac:dyDescent="0.15">
      <c r="A3" s="1" t="s">
        <v>9</v>
      </c>
      <c r="B3" s="4">
        <v>31</v>
      </c>
      <c r="C3" s="80">
        <v>2</v>
      </c>
      <c r="D3"/>
      <c r="E3" s="143" t="s">
        <v>193</v>
      </c>
      <c r="F3" s="80">
        <v>1</v>
      </c>
      <c r="G3" s="80">
        <v>5.5295143099999997</v>
      </c>
      <c r="H3" s="80">
        <v>15</v>
      </c>
      <c r="I3" s="80">
        <v>0</v>
      </c>
      <c r="J3" s="80">
        <v>0.5</v>
      </c>
      <c r="K3" s="80">
        <v>0</v>
      </c>
      <c r="L3" s="80">
        <v>0</v>
      </c>
      <c r="M3" s="80">
        <v>0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43" t="s">
        <v>194</v>
      </c>
      <c r="F4" s="80">
        <v>0</v>
      </c>
      <c r="G4" s="80">
        <v>2.2705326100000001</v>
      </c>
      <c r="H4" s="80">
        <v>482</v>
      </c>
      <c r="I4" s="80">
        <v>1928</v>
      </c>
      <c r="J4" s="80">
        <v>0.95</v>
      </c>
      <c r="K4" s="80">
        <v>0.25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80">
        <v>4</v>
      </c>
      <c r="D5"/>
      <c r="E5" s="143" t="s">
        <v>195</v>
      </c>
      <c r="F5" s="80">
        <v>0</v>
      </c>
      <c r="G5" s="80">
        <v>9.5295959999999997</v>
      </c>
      <c r="H5" s="80">
        <v>40</v>
      </c>
      <c r="I5" s="80">
        <v>133.333</v>
      </c>
      <c r="J5" s="80">
        <v>0.95</v>
      </c>
      <c r="K5" s="80">
        <v>0.30000075700000001</v>
      </c>
      <c r="L5" s="80">
        <v>0</v>
      </c>
      <c r="M5" s="80">
        <v>0.35</v>
      </c>
      <c r="N5" s="80">
        <v>0</v>
      </c>
      <c r="P5" s="72"/>
      <c r="Q5" s="72"/>
      <c r="R5" s="72"/>
    </row>
    <row r="6" spans="1:46" ht="15" customHeight="1" thickBot="1" x14ac:dyDescent="0.2">
      <c r="B6" s="1"/>
      <c r="C6" s="80">
        <v>5</v>
      </c>
      <c r="D6"/>
      <c r="E6" s="143" t="s">
        <v>196</v>
      </c>
      <c r="F6" s="80">
        <v>0</v>
      </c>
      <c r="G6" s="80">
        <v>16.755048800000001</v>
      </c>
      <c r="H6" s="80">
        <v>13</v>
      </c>
      <c r="I6" s="80">
        <v>31.707000000000001</v>
      </c>
      <c r="J6" s="80">
        <v>0.95</v>
      </c>
      <c r="K6" s="80">
        <v>0.41000407900000002</v>
      </c>
      <c r="L6" s="80">
        <v>0</v>
      </c>
      <c r="M6" s="80">
        <v>0.2</v>
      </c>
      <c r="N6" s="80">
        <v>0</v>
      </c>
      <c r="P6" s="72"/>
      <c r="Q6" s="72"/>
      <c r="R6" s="72"/>
      <c r="W6" s="36" t="s">
        <v>31</v>
      </c>
      <c r="X6" s="52">
        <f>MAX(MainOutputs!G:G)</f>
        <v>0.99529874324798584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267</v>
      </c>
      <c r="C7" s="80">
        <v>6</v>
      </c>
      <c r="D7"/>
      <c r="E7" s="143" t="s">
        <v>197</v>
      </c>
      <c r="F7" s="80">
        <v>0</v>
      </c>
      <c r="G7" s="80">
        <v>5</v>
      </c>
      <c r="H7" s="80">
        <v>0.58399999999999996</v>
      </c>
      <c r="I7" s="80">
        <v>1.669</v>
      </c>
      <c r="J7" s="80">
        <v>0.16682946700000001</v>
      </c>
      <c r="K7" s="80">
        <v>0.3499101</v>
      </c>
      <c r="L7" s="80">
        <v>0</v>
      </c>
      <c r="M7" s="80">
        <v>0.2</v>
      </c>
      <c r="N7" s="80">
        <v>0</v>
      </c>
      <c r="P7" s="72"/>
      <c r="Q7" s="72"/>
      <c r="R7" s="72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38</v>
      </c>
      <c r="C8" s="80">
        <v>7</v>
      </c>
      <c r="D8"/>
      <c r="E8" s="143" t="s">
        <v>198</v>
      </c>
      <c r="F8" s="80">
        <v>0</v>
      </c>
      <c r="G8" s="80">
        <v>8.7742090000000008</v>
      </c>
      <c r="H8" s="80">
        <v>1.4</v>
      </c>
      <c r="I8" s="80">
        <v>14.4</v>
      </c>
      <c r="J8" s="80">
        <v>0.95</v>
      </c>
      <c r="K8" s="80">
        <v>9.7222223900000002E-2</v>
      </c>
      <c r="L8" s="80">
        <v>0</v>
      </c>
      <c r="M8" s="80">
        <v>0.35</v>
      </c>
      <c r="N8" s="80">
        <v>0</v>
      </c>
      <c r="P8" s="72"/>
      <c r="Q8" s="72"/>
      <c r="R8" s="72"/>
    </row>
    <row r="9" spans="1:46" ht="15" customHeight="1" x14ac:dyDescent="0.15">
      <c r="B9" s="1"/>
      <c r="C9" s="80">
        <v>8</v>
      </c>
      <c r="D9"/>
      <c r="E9" s="143" t="s">
        <v>199</v>
      </c>
      <c r="F9" s="80">
        <v>0</v>
      </c>
      <c r="G9" s="80">
        <v>0.89215319999999998</v>
      </c>
      <c r="H9" s="80">
        <v>1.2</v>
      </c>
      <c r="I9" s="80">
        <v>12.371</v>
      </c>
      <c r="J9" s="80">
        <v>0.95</v>
      </c>
      <c r="K9" s="80">
        <v>9.7001050000000005E-2</v>
      </c>
      <c r="L9" s="80">
        <v>0</v>
      </c>
      <c r="M9" s="80">
        <v>0.35</v>
      </c>
      <c r="N9" s="80">
        <v>0</v>
      </c>
      <c r="P9" s="72"/>
      <c r="Q9" s="72"/>
      <c r="R9" s="72"/>
    </row>
    <row r="10" spans="1:46" ht="15" customHeight="1" x14ac:dyDescent="0.15">
      <c r="B10" s="1"/>
      <c r="C10" s="80">
        <v>9</v>
      </c>
      <c r="D10"/>
      <c r="E10" s="143" t="s">
        <v>200</v>
      </c>
      <c r="F10" s="80">
        <v>0</v>
      </c>
      <c r="G10" s="80">
        <v>4.9584465</v>
      </c>
      <c r="H10" s="80">
        <v>1.3</v>
      </c>
      <c r="I10" s="80">
        <v>13</v>
      </c>
      <c r="J10" s="80">
        <v>0.95</v>
      </c>
      <c r="K10" s="80">
        <v>9.9999993999999995E-2</v>
      </c>
      <c r="L10" s="80">
        <v>0</v>
      </c>
      <c r="M10" s="80">
        <v>0.35</v>
      </c>
      <c r="N10" s="80">
        <v>0</v>
      </c>
    </row>
    <row r="11" spans="1:46" ht="15" customHeight="1" x14ac:dyDescent="0.15">
      <c r="C11" s="80">
        <v>10</v>
      </c>
      <c r="D11"/>
      <c r="E11" s="143" t="s">
        <v>201</v>
      </c>
      <c r="F11" s="80">
        <v>0</v>
      </c>
      <c r="G11" s="80">
        <v>0.51114029999999999</v>
      </c>
      <c r="H11" s="80">
        <v>1</v>
      </c>
      <c r="I11" s="80">
        <v>10</v>
      </c>
      <c r="J11" s="80">
        <v>0.95</v>
      </c>
      <c r="K11" s="80">
        <v>0.1</v>
      </c>
      <c r="L11" s="80">
        <v>0</v>
      </c>
      <c r="M11" s="80">
        <v>0.35</v>
      </c>
      <c r="N11" s="80">
        <v>0</v>
      </c>
    </row>
    <row r="12" spans="1:46" ht="15" customHeight="1" x14ac:dyDescent="0.15">
      <c r="C12" s="80">
        <v>11</v>
      </c>
      <c r="D12"/>
      <c r="E12" s="143" t="s">
        <v>202</v>
      </c>
      <c r="F12" s="80">
        <v>0</v>
      </c>
      <c r="G12" s="80">
        <v>0.28280509999999998</v>
      </c>
      <c r="H12" s="80">
        <v>0.8</v>
      </c>
      <c r="I12" s="80">
        <v>8</v>
      </c>
      <c r="J12" s="80">
        <v>0.95</v>
      </c>
      <c r="K12" s="80">
        <v>0.1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43" t="s">
        <v>203</v>
      </c>
      <c r="F13" s="80">
        <v>0</v>
      </c>
      <c r="G13" s="80">
        <v>0.2798216</v>
      </c>
      <c r="H13" s="80">
        <v>1.2</v>
      </c>
      <c r="I13" s="80">
        <v>12</v>
      </c>
      <c r="J13" s="80">
        <v>0.95</v>
      </c>
      <c r="K13" s="80">
        <v>0.1</v>
      </c>
      <c r="L13" s="80">
        <v>0</v>
      </c>
      <c r="M13" s="80">
        <v>0.35</v>
      </c>
      <c r="N13" s="80">
        <v>0</v>
      </c>
    </row>
    <row r="14" spans="1:46" ht="15" customHeight="1" x14ac:dyDescent="0.15">
      <c r="C14" s="80">
        <v>13</v>
      </c>
      <c r="D14"/>
      <c r="E14" s="143" t="s">
        <v>204</v>
      </c>
      <c r="F14" s="80">
        <v>0</v>
      </c>
      <c r="G14" s="80">
        <v>1.69444036</v>
      </c>
      <c r="H14" s="80">
        <v>1.5</v>
      </c>
      <c r="I14" s="80">
        <v>10</v>
      </c>
      <c r="J14" s="80">
        <v>0.95</v>
      </c>
      <c r="K14" s="80">
        <v>0.15</v>
      </c>
      <c r="L14" s="80">
        <v>0</v>
      </c>
      <c r="M14" s="80">
        <v>0.3</v>
      </c>
      <c r="N14" s="80">
        <v>0</v>
      </c>
    </row>
    <row r="15" spans="1:46" ht="15" customHeight="1" x14ac:dyDescent="0.15">
      <c r="C15" s="80">
        <v>14</v>
      </c>
      <c r="D15"/>
      <c r="E15" s="143" t="s">
        <v>205</v>
      </c>
      <c r="F15" s="80">
        <v>0</v>
      </c>
      <c r="G15" s="80">
        <v>10.8118219</v>
      </c>
      <c r="H15" s="80">
        <v>1.2</v>
      </c>
      <c r="I15" s="80">
        <v>12</v>
      </c>
      <c r="J15" s="80">
        <v>0.95</v>
      </c>
      <c r="K15" s="80">
        <v>0.1</v>
      </c>
      <c r="L15" s="80">
        <v>0</v>
      </c>
      <c r="M15" s="80">
        <v>0.35</v>
      </c>
      <c r="N15" s="80">
        <v>0</v>
      </c>
    </row>
    <row r="16" spans="1:46" ht="15" customHeight="1" x14ac:dyDescent="0.15">
      <c r="C16" s="80">
        <v>15</v>
      </c>
      <c r="D16"/>
      <c r="E16" s="143" t="s">
        <v>206</v>
      </c>
      <c r="F16" s="80">
        <v>0</v>
      </c>
      <c r="G16" s="80">
        <v>0.16727481799999999</v>
      </c>
      <c r="H16" s="80">
        <v>0.5</v>
      </c>
      <c r="I16" s="80">
        <v>5</v>
      </c>
      <c r="J16" s="80">
        <v>0.95</v>
      </c>
      <c r="K16" s="80">
        <v>0.1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43" t="s">
        <v>207</v>
      </c>
      <c r="F17" s="80">
        <v>0</v>
      </c>
      <c r="G17" s="80">
        <v>9.09108743E-2</v>
      </c>
      <c r="H17" s="80">
        <v>0.49299999999999999</v>
      </c>
      <c r="I17" s="80">
        <v>4.93</v>
      </c>
      <c r="J17" s="80">
        <v>0.95</v>
      </c>
      <c r="K17" s="80">
        <v>0.1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43" t="s">
        <v>208</v>
      </c>
      <c r="F18" s="80">
        <v>0</v>
      </c>
      <c r="G18" s="80">
        <v>1.4061577300000001</v>
      </c>
      <c r="H18" s="80">
        <v>3.5</v>
      </c>
      <c r="I18" s="80">
        <v>10</v>
      </c>
      <c r="J18" s="80">
        <v>0.95</v>
      </c>
      <c r="K18" s="80">
        <v>0.35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43" t="s">
        <v>209</v>
      </c>
      <c r="F19" s="80">
        <v>0</v>
      </c>
      <c r="G19" s="80">
        <v>0.56212530000000005</v>
      </c>
      <c r="H19" s="80">
        <v>2.5</v>
      </c>
      <c r="I19" s="80">
        <v>16.666</v>
      </c>
      <c r="J19" s="80">
        <v>0.95</v>
      </c>
      <c r="K19" s="80">
        <v>0.150006</v>
      </c>
      <c r="L19" s="80">
        <v>0</v>
      </c>
      <c r="M19" s="80">
        <v>0.35</v>
      </c>
      <c r="N19" s="80">
        <v>0</v>
      </c>
    </row>
    <row r="20" spans="1:22" ht="15" customHeight="1" thickBot="1" x14ac:dyDescent="0.2">
      <c r="C20" s="80">
        <v>19</v>
      </c>
      <c r="D20"/>
      <c r="E20" s="143" t="s">
        <v>210</v>
      </c>
      <c r="F20" s="80">
        <v>0</v>
      </c>
      <c r="G20" s="80">
        <v>1.833545</v>
      </c>
      <c r="H20" s="80">
        <v>0.8</v>
      </c>
      <c r="I20" s="80">
        <v>4.4000000000000004</v>
      </c>
      <c r="J20" s="80">
        <v>0.25658482300000002</v>
      </c>
      <c r="K20" s="80">
        <v>0.18181818699999999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7" t="s">
        <v>137</v>
      </c>
      <c r="B21" s="98"/>
      <c r="C21" s="80">
        <v>20</v>
      </c>
      <c r="D21"/>
      <c r="E21" s="143" t="s">
        <v>211</v>
      </c>
      <c r="F21" s="80">
        <v>0</v>
      </c>
      <c r="G21" s="80">
        <v>2.1687245399999999</v>
      </c>
      <c r="H21" s="80">
        <v>2.5</v>
      </c>
      <c r="I21" s="80">
        <v>16.666</v>
      </c>
      <c r="J21" s="80">
        <v>0.95</v>
      </c>
      <c r="K21" s="80">
        <v>0.150006</v>
      </c>
      <c r="L21" s="80">
        <v>0</v>
      </c>
      <c r="M21" s="80">
        <v>0.35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43" t="s">
        <v>212</v>
      </c>
      <c r="F22" s="80">
        <v>0</v>
      </c>
      <c r="G22" s="80">
        <v>2.5846360000000002</v>
      </c>
      <c r="H22" s="80">
        <v>0.8</v>
      </c>
      <c r="I22" s="80">
        <v>4.7</v>
      </c>
      <c r="J22" s="80">
        <v>0.2751344</v>
      </c>
      <c r="K22" s="80">
        <v>0.17021277500000001</v>
      </c>
      <c r="L22" s="80">
        <v>0</v>
      </c>
      <c r="M22" s="80">
        <v>0.2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43" t="s">
        <v>213</v>
      </c>
      <c r="F23" s="80">
        <v>0</v>
      </c>
      <c r="G23" s="80">
        <v>1.7263772500000001</v>
      </c>
      <c r="H23" s="80">
        <v>0.7</v>
      </c>
      <c r="I23" s="80">
        <v>3.5</v>
      </c>
      <c r="J23" s="80">
        <v>0.95</v>
      </c>
      <c r="K23" s="80">
        <v>0.2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43" t="s">
        <v>214</v>
      </c>
      <c r="F24" s="80">
        <v>0</v>
      </c>
      <c r="G24" s="80">
        <v>4.048438</v>
      </c>
      <c r="H24" s="80">
        <v>0.7</v>
      </c>
      <c r="I24" s="80">
        <v>3.5</v>
      </c>
      <c r="J24" s="80">
        <v>0.95</v>
      </c>
      <c r="K24" s="80">
        <v>0.2</v>
      </c>
      <c r="L24" s="80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43" t="s">
        <v>215</v>
      </c>
      <c r="F25" s="80">
        <v>0</v>
      </c>
      <c r="G25" s="80">
        <v>0.52053225000000003</v>
      </c>
      <c r="H25" s="80">
        <v>0.5</v>
      </c>
      <c r="I25" s="80">
        <v>4.5449999999999999</v>
      </c>
      <c r="J25" s="80">
        <v>0.95</v>
      </c>
      <c r="K25" s="80">
        <v>0.110011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43" t="s">
        <v>216</v>
      </c>
      <c r="F26" s="80">
        <v>0</v>
      </c>
      <c r="G26" s="80">
        <v>0.70385050000000005</v>
      </c>
      <c r="H26" s="80">
        <v>1</v>
      </c>
      <c r="I26" s="80">
        <v>10</v>
      </c>
      <c r="J26" s="80">
        <v>0.95</v>
      </c>
      <c r="K26" s="80">
        <v>0.1</v>
      </c>
      <c r="L26" s="80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43" t="s">
        <v>217</v>
      </c>
      <c r="F27" s="80">
        <v>0</v>
      </c>
      <c r="G27" s="80">
        <v>4.4999999999999998E-2</v>
      </c>
      <c r="H27" s="80">
        <v>0.5</v>
      </c>
      <c r="I27" s="80">
        <v>5</v>
      </c>
      <c r="J27" s="80">
        <v>0</v>
      </c>
      <c r="K27" s="80">
        <v>0.1</v>
      </c>
      <c r="L27" s="80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43" t="s">
        <v>218</v>
      </c>
      <c r="F28" s="80">
        <v>0</v>
      </c>
      <c r="G28" s="80">
        <v>7.6E-3</v>
      </c>
      <c r="H28" s="80">
        <v>0.25</v>
      </c>
      <c r="I28" s="80">
        <v>19.306000000000001</v>
      </c>
      <c r="J28" s="80">
        <v>0.99531573100000004</v>
      </c>
      <c r="K28" s="80">
        <v>1.29493419E-2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43" t="s">
        <v>219</v>
      </c>
      <c r="F29" s="80">
        <v>0</v>
      </c>
      <c r="G29" s="80">
        <v>0.22006500000000001</v>
      </c>
      <c r="H29" s="80">
        <v>0.15</v>
      </c>
      <c r="I29" s="80">
        <v>10</v>
      </c>
      <c r="J29" s="80">
        <v>0.27946290000000001</v>
      </c>
      <c r="K29" s="80">
        <v>1.5000000600000001E-2</v>
      </c>
      <c r="L29" s="80">
        <v>0</v>
      </c>
      <c r="M29" s="80">
        <v>0.21</v>
      </c>
      <c r="N29" s="80">
        <v>0</v>
      </c>
    </row>
    <row r="30" spans="1:22" customFormat="1" ht="15" customHeight="1" x14ac:dyDescent="0.15">
      <c r="C30" s="80">
        <v>29</v>
      </c>
      <c r="E30" s="143" t="s">
        <v>220</v>
      </c>
      <c r="F30" s="80">
        <v>0</v>
      </c>
      <c r="G30" s="80">
        <v>3.5999999999999997E-2</v>
      </c>
      <c r="H30" s="80">
        <v>0.123</v>
      </c>
      <c r="I30" s="80">
        <v>123</v>
      </c>
      <c r="J30" s="80">
        <v>0.161886632</v>
      </c>
      <c r="K30" s="80">
        <v>1E-3</v>
      </c>
      <c r="L30" s="80">
        <v>0</v>
      </c>
      <c r="M30" s="80">
        <v>0.26</v>
      </c>
      <c r="N30" s="80">
        <v>0</v>
      </c>
    </row>
    <row r="31" spans="1:22" customFormat="1" ht="15" customHeight="1" x14ac:dyDescent="0.15">
      <c r="C31" s="80">
        <v>30</v>
      </c>
      <c r="E31" s="143" t="s">
        <v>221</v>
      </c>
      <c r="F31" s="80">
        <v>0</v>
      </c>
      <c r="G31" s="80">
        <v>10.303443</v>
      </c>
      <c r="H31" s="80">
        <v>4</v>
      </c>
      <c r="I31" s="80">
        <v>33</v>
      </c>
      <c r="J31" s="80">
        <v>0.95</v>
      </c>
      <c r="K31" s="80">
        <v>0.121212125</v>
      </c>
      <c r="L31" s="80">
        <v>0</v>
      </c>
      <c r="M31" s="80">
        <v>0.1</v>
      </c>
      <c r="N31" s="80">
        <v>0</v>
      </c>
    </row>
    <row r="32" spans="1:22" customFormat="1" ht="15" customHeight="1" x14ac:dyDescent="0.15">
      <c r="C32" s="80">
        <v>31</v>
      </c>
      <c r="E32" s="143" t="s">
        <v>222</v>
      </c>
      <c r="F32" s="80">
        <v>0</v>
      </c>
      <c r="G32" s="80">
        <v>48.9413567</v>
      </c>
      <c r="H32" s="80">
        <v>1.2</v>
      </c>
      <c r="I32" s="80">
        <v>10</v>
      </c>
      <c r="J32" s="80">
        <v>0.95</v>
      </c>
      <c r="K32" s="80">
        <v>0.12000000500000001</v>
      </c>
      <c r="L32" s="80">
        <v>0</v>
      </c>
      <c r="M32" s="80">
        <v>0.1</v>
      </c>
      <c r="N32" s="80">
        <v>0</v>
      </c>
    </row>
    <row r="33" spans="3:14" customFormat="1" ht="15" customHeight="1" x14ac:dyDescent="0.15">
      <c r="C33" s="80">
        <v>32</v>
      </c>
      <c r="E33" s="143" t="s">
        <v>223</v>
      </c>
      <c r="F33" s="80">
        <v>2</v>
      </c>
      <c r="G33" s="80">
        <v>0</v>
      </c>
      <c r="H33" s="80">
        <v>0</v>
      </c>
      <c r="I33" s="80">
        <v>0</v>
      </c>
      <c r="J33" s="80">
        <v>0.290785819</v>
      </c>
      <c r="K33" s="80">
        <v>0</v>
      </c>
      <c r="L33" s="80">
        <v>0</v>
      </c>
      <c r="M33" s="80">
        <v>0</v>
      </c>
      <c r="N33" s="80">
        <v>0</v>
      </c>
    </row>
    <row r="34" spans="3:14" customFormat="1" ht="15" customHeight="1" x14ac:dyDescent="0.15">
      <c r="C34" s="80">
        <v>33</v>
      </c>
      <c r="E34" s="143" t="s">
        <v>224</v>
      </c>
      <c r="F34" s="80">
        <v>2</v>
      </c>
      <c r="G34" s="80">
        <v>5</v>
      </c>
      <c r="H34" s="80">
        <v>0</v>
      </c>
      <c r="I34" s="80">
        <v>0</v>
      </c>
      <c r="J34" s="80">
        <v>0</v>
      </c>
      <c r="K34" s="80">
        <v>0</v>
      </c>
      <c r="L34" s="80">
        <v>0</v>
      </c>
      <c r="M34" s="80">
        <v>0</v>
      </c>
      <c r="N34" s="80">
        <v>0</v>
      </c>
    </row>
    <row r="35" spans="3:14" customFormat="1" ht="15" customHeight="1" x14ac:dyDescent="0.15">
      <c r="C35" s="80">
        <v>34</v>
      </c>
      <c r="E35" s="143" t="s">
        <v>225</v>
      </c>
      <c r="F35" s="80">
        <v>3</v>
      </c>
      <c r="G35" s="80">
        <v>0</v>
      </c>
      <c r="H35" s="80">
        <v>0</v>
      </c>
      <c r="I35" s="80">
        <v>0</v>
      </c>
      <c r="J35" s="80">
        <v>0</v>
      </c>
      <c r="K35" s="80">
        <v>0</v>
      </c>
      <c r="L35" s="80">
        <v>0</v>
      </c>
      <c r="M35" s="80">
        <v>0</v>
      </c>
      <c r="N35" s="80">
        <v>0</v>
      </c>
    </row>
    <row r="36" spans="3:14" customFormat="1" ht="15" customHeight="1" x14ac:dyDescent="0.15">
      <c r="C36" s="80">
        <v>35</v>
      </c>
      <c r="E36" s="143" t="s">
        <v>226</v>
      </c>
      <c r="F36" s="80">
        <v>3</v>
      </c>
      <c r="G36" s="80">
        <v>0</v>
      </c>
      <c r="H36" s="80">
        <v>0</v>
      </c>
      <c r="I36" s="80">
        <v>0</v>
      </c>
      <c r="J36" s="80">
        <v>0</v>
      </c>
      <c r="K36" s="80">
        <v>0</v>
      </c>
      <c r="L36" s="80">
        <v>0</v>
      </c>
      <c r="M36" s="80">
        <v>0</v>
      </c>
      <c r="N36" s="80">
        <v>0</v>
      </c>
    </row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8" bestFit="1" customWidth="1"/>
    <col min="2" max="3" width="2.33203125" style="138" bestFit="1" customWidth="1"/>
    <col min="4" max="4" width="4.83203125" style="138" bestFit="1" customWidth="1"/>
    <col min="5" max="5" width="3.83203125" style="138" bestFit="1" customWidth="1"/>
    <col min="6" max="6" width="5.83203125" style="138" bestFit="1" customWidth="1"/>
    <col min="7" max="9" width="4.83203125" style="138" bestFit="1" customWidth="1"/>
    <col min="10" max="10" width="3.83203125" style="138" bestFit="1" customWidth="1"/>
    <col min="11" max="13" width="4.83203125" style="138" bestFit="1" customWidth="1"/>
    <col min="14" max="14" width="5.83203125" style="138" bestFit="1" customWidth="1"/>
    <col min="15" max="15" width="3.83203125" style="138" bestFit="1" customWidth="1"/>
    <col min="16" max="16" width="15.83203125" style="138" bestFit="1" customWidth="1"/>
    <col min="17" max="20" width="5.83203125" style="138" bestFit="1" customWidth="1"/>
    <col min="21" max="23" width="13.83203125" style="138" bestFit="1" customWidth="1"/>
    <col min="24" max="26" width="5.83203125" style="138" bestFit="1" customWidth="1"/>
    <col min="27" max="27" width="15.83203125" style="138" bestFit="1" customWidth="1"/>
    <col min="28" max="28" width="5.83203125" style="138" bestFit="1" customWidth="1"/>
    <col min="29" max="29" width="14.83203125" style="138" bestFit="1" customWidth="1"/>
    <col min="30" max="30" width="14.83203125" style="138" customWidth="1"/>
    <col min="31" max="32" width="4.83203125" style="138" customWidth="1"/>
    <col min="33" max="34" width="2.33203125" style="138" customWidth="1"/>
    <col min="35" max="16384" width="8.83203125" style="138"/>
  </cols>
  <sheetData>
    <row r="1" spans="1:34" x14ac:dyDescent="0.15">
      <c r="A1" s="137" t="s">
        <v>19</v>
      </c>
      <c r="B1" s="145" t="s">
        <v>192</v>
      </c>
      <c r="C1" s="145" t="s">
        <v>193</v>
      </c>
      <c r="D1" s="145" t="s">
        <v>194</v>
      </c>
      <c r="E1" s="145" t="s">
        <v>195</v>
      </c>
      <c r="F1" s="145" t="s">
        <v>196</v>
      </c>
      <c r="G1" s="145" t="s">
        <v>197</v>
      </c>
      <c r="H1" s="145" t="s">
        <v>198</v>
      </c>
      <c r="I1" s="145" t="s">
        <v>199</v>
      </c>
      <c r="J1" s="145" t="s">
        <v>200</v>
      </c>
      <c r="K1" s="145" t="s">
        <v>201</v>
      </c>
      <c r="L1" s="145" t="s">
        <v>202</v>
      </c>
      <c r="M1" s="145" t="s">
        <v>203</v>
      </c>
      <c r="N1" s="145" t="s">
        <v>204</v>
      </c>
      <c r="O1" s="145" t="s">
        <v>205</v>
      </c>
      <c r="P1" s="145" t="s">
        <v>206</v>
      </c>
      <c r="Q1" s="145" t="s">
        <v>207</v>
      </c>
      <c r="R1" s="145" t="s">
        <v>208</v>
      </c>
      <c r="S1" s="145" t="s">
        <v>209</v>
      </c>
      <c r="T1" s="145" t="s">
        <v>210</v>
      </c>
      <c r="U1" s="145" t="s">
        <v>211</v>
      </c>
      <c r="V1" s="145" t="s">
        <v>212</v>
      </c>
      <c r="W1" s="145" t="s">
        <v>213</v>
      </c>
      <c r="X1" s="145" t="s">
        <v>214</v>
      </c>
      <c r="Y1" s="145" t="s">
        <v>215</v>
      </c>
      <c r="Z1" s="145" t="s">
        <v>216</v>
      </c>
      <c r="AA1" s="145" t="s">
        <v>217</v>
      </c>
      <c r="AB1" s="145" t="s">
        <v>218</v>
      </c>
      <c r="AC1" s="145" t="s">
        <v>219</v>
      </c>
      <c r="AD1" s="145" t="s">
        <v>220</v>
      </c>
      <c r="AE1" s="145" t="s">
        <v>221</v>
      </c>
      <c r="AF1" s="145" t="s">
        <v>222</v>
      </c>
      <c r="AG1" s="145" t="s">
        <v>223</v>
      </c>
      <c r="AH1" s="145" t="s">
        <v>224</v>
      </c>
    </row>
    <row r="2" spans="1:34" customFormat="1" x14ac:dyDescent="0.15">
      <c r="A2" s="144" t="s">
        <v>192</v>
      </c>
      <c r="B2" s="138">
        <v>0</v>
      </c>
      <c r="C2" s="138">
        <v>0</v>
      </c>
      <c r="D2" s="138">
        <v>0.4</v>
      </c>
      <c r="E2" s="138">
        <v>0.5</v>
      </c>
      <c r="F2" s="138">
        <v>0.33300000000000002</v>
      </c>
      <c r="G2" s="138">
        <v>0</v>
      </c>
      <c r="H2" s="138">
        <v>0.05</v>
      </c>
      <c r="I2" s="138">
        <v>0.32</v>
      </c>
      <c r="J2" s="138">
        <v>0</v>
      </c>
      <c r="K2" s="138">
        <v>0</v>
      </c>
      <c r="L2" s="138">
        <v>0</v>
      </c>
      <c r="M2" s="138">
        <v>0</v>
      </c>
      <c r="N2" s="138">
        <v>0</v>
      </c>
      <c r="O2" s="138">
        <v>0</v>
      </c>
      <c r="P2" s="138">
        <v>0</v>
      </c>
      <c r="Q2" s="138">
        <v>0</v>
      </c>
      <c r="R2" s="138">
        <v>0</v>
      </c>
      <c r="S2" s="138">
        <v>0</v>
      </c>
      <c r="T2" s="138">
        <v>0</v>
      </c>
      <c r="U2" s="138">
        <v>0</v>
      </c>
      <c r="V2" s="138">
        <v>0</v>
      </c>
      <c r="W2" s="138">
        <v>0</v>
      </c>
      <c r="X2" s="138">
        <v>0</v>
      </c>
      <c r="Y2" s="138">
        <v>0</v>
      </c>
      <c r="Z2" s="138">
        <v>0</v>
      </c>
      <c r="AA2" s="138">
        <v>0</v>
      </c>
      <c r="AB2" s="138">
        <v>0</v>
      </c>
      <c r="AC2" s="138">
        <v>0</v>
      </c>
      <c r="AD2" s="138">
        <v>0</v>
      </c>
      <c r="AE2" s="138">
        <v>0</v>
      </c>
      <c r="AF2" s="138">
        <v>0</v>
      </c>
      <c r="AG2" s="138">
        <v>0</v>
      </c>
      <c r="AH2" s="138">
        <v>0</v>
      </c>
    </row>
    <row r="3" spans="1:34" customFormat="1" x14ac:dyDescent="0.15">
      <c r="A3" s="144" t="s">
        <v>193</v>
      </c>
      <c r="B3" s="138">
        <v>0</v>
      </c>
      <c r="C3" s="138">
        <v>0</v>
      </c>
      <c r="D3" s="138">
        <v>0</v>
      </c>
      <c r="E3" s="138">
        <v>0</v>
      </c>
      <c r="F3" s="138">
        <v>0</v>
      </c>
      <c r="G3" s="138">
        <v>0</v>
      </c>
      <c r="H3" s="138">
        <v>0</v>
      </c>
      <c r="I3" s="138">
        <v>0</v>
      </c>
      <c r="J3" s="138">
        <v>0</v>
      </c>
      <c r="K3" s="138">
        <v>0</v>
      </c>
      <c r="L3" s="138">
        <v>0</v>
      </c>
      <c r="M3" s="138">
        <v>0</v>
      </c>
      <c r="N3" s="138">
        <v>0</v>
      </c>
      <c r="O3" s="138">
        <v>0</v>
      </c>
      <c r="P3" s="138">
        <v>0</v>
      </c>
      <c r="Q3" s="138">
        <v>0</v>
      </c>
      <c r="R3" s="138">
        <v>0</v>
      </c>
      <c r="S3" s="138">
        <v>0</v>
      </c>
      <c r="T3" s="138">
        <v>0</v>
      </c>
      <c r="U3" s="138">
        <v>0</v>
      </c>
      <c r="V3" s="138">
        <v>0</v>
      </c>
      <c r="W3" s="138">
        <v>0</v>
      </c>
      <c r="X3" s="138">
        <v>0</v>
      </c>
      <c r="Y3" s="138">
        <v>0</v>
      </c>
      <c r="Z3" s="138">
        <v>0</v>
      </c>
      <c r="AA3" s="138">
        <v>0</v>
      </c>
      <c r="AB3" s="138">
        <v>0</v>
      </c>
      <c r="AC3" s="138">
        <v>0</v>
      </c>
      <c r="AD3" s="138">
        <v>0</v>
      </c>
      <c r="AE3" s="138">
        <v>0.05</v>
      </c>
      <c r="AF3" s="138">
        <v>0.05</v>
      </c>
      <c r="AG3" s="138">
        <v>0</v>
      </c>
      <c r="AH3" s="138">
        <v>0</v>
      </c>
    </row>
    <row r="4" spans="1:34" customFormat="1" x14ac:dyDescent="0.15">
      <c r="A4" s="144" t="s">
        <v>194</v>
      </c>
      <c r="B4" s="138">
        <v>0</v>
      </c>
      <c r="C4" s="138">
        <v>0</v>
      </c>
      <c r="D4" s="138">
        <v>0.05</v>
      </c>
      <c r="E4" s="138">
        <v>0.5</v>
      </c>
      <c r="F4" s="138">
        <v>0.33300000000000002</v>
      </c>
      <c r="G4" s="138">
        <v>0</v>
      </c>
      <c r="H4" s="138">
        <v>0.04</v>
      </c>
      <c r="I4" s="138">
        <v>0.32</v>
      </c>
      <c r="J4" s="138">
        <v>0</v>
      </c>
      <c r="K4" s="138">
        <v>0</v>
      </c>
      <c r="L4" s="138">
        <v>0</v>
      </c>
      <c r="M4" s="138">
        <v>0</v>
      </c>
      <c r="N4" s="138">
        <v>0</v>
      </c>
      <c r="O4" s="138">
        <v>0</v>
      </c>
      <c r="P4" s="138">
        <v>0</v>
      </c>
      <c r="Q4" s="138">
        <v>0</v>
      </c>
      <c r="R4" s="138">
        <v>0</v>
      </c>
      <c r="S4" s="138">
        <v>0</v>
      </c>
      <c r="T4" s="138">
        <v>0</v>
      </c>
      <c r="U4" s="138">
        <v>0</v>
      </c>
      <c r="V4" s="138">
        <v>0</v>
      </c>
      <c r="W4" s="138">
        <v>0</v>
      </c>
      <c r="X4" s="138">
        <v>0</v>
      </c>
      <c r="Y4" s="138">
        <v>0</v>
      </c>
      <c r="Z4" s="138">
        <v>0</v>
      </c>
      <c r="AA4" s="138">
        <v>0</v>
      </c>
      <c r="AB4" s="138">
        <v>0</v>
      </c>
      <c r="AC4" s="138">
        <v>0</v>
      </c>
      <c r="AD4" s="138">
        <v>0</v>
      </c>
      <c r="AE4" s="138">
        <v>0</v>
      </c>
      <c r="AF4" s="138">
        <v>0</v>
      </c>
      <c r="AG4" s="138">
        <v>0</v>
      </c>
      <c r="AH4" s="138">
        <v>0</v>
      </c>
    </row>
    <row r="5" spans="1:34" customFormat="1" x14ac:dyDescent="0.15">
      <c r="A5" s="144" t="s">
        <v>195</v>
      </c>
      <c r="B5" s="138">
        <v>0</v>
      </c>
      <c r="C5" s="138">
        <v>0</v>
      </c>
      <c r="D5" s="138">
        <v>0</v>
      </c>
      <c r="E5" s="138">
        <v>0</v>
      </c>
      <c r="F5" s="138">
        <v>0.33400000000000002</v>
      </c>
      <c r="G5" s="138">
        <v>0.64</v>
      </c>
      <c r="H5" s="138">
        <v>0.56999999999999995</v>
      </c>
      <c r="I5" s="138">
        <v>0.28999999999999998</v>
      </c>
      <c r="J5" s="138">
        <v>0.6</v>
      </c>
      <c r="K5" s="138">
        <v>0.81</v>
      </c>
      <c r="L5" s="138">
        <v>0.01</v>
      </c>
      <c r="M5" s="138">
        <v>0.75</v>
      </c>
      <c r="N5" s="138">
        <v>0.39</v>
      </c>
      <c r="O5" s="138">
        <v>0.4</v>
      </c>
      <c r="P5" s="138">
        <v>0</v>
      </c>
      <c r="Q5" s="138">
        <v>0</v>
      </c>
      <c r="R5" s="138">
        <v>0</v>
      </c>
      <c r="S5" s="138">
        <v>0</v>
      </c>
      <c r="T5" s="138">
        <v>0</v>
      </c>
      <c r="U5" s="138">
        <v>0</v>
      </c>
      <c r="V5" s="138">
        <v>0</v>
      </c>
      <c r="W5" s="138">
        <v>9.9990000999900016E-3</v>
      </c>
      <c r="X5" s="138">
        <v>0.01</v>
      </c>
      <c r="Y5" s="138">
        <v>0</v>
      </c>
      <c r="Z5" s="138">
        <v>0</v>
      </c>
      <c r="AA5" s="138">
        <v>0</v>
      </c>
      <c r="AB5" s="138">
        <v>0</v>
      </c>
      <c r="AC5" s="138">
        <v>1.001001001001001E-2</v>
      </c>
      <c r="AD5" s="138">
        <v>8.9991000899910002E-3</v>
      </c>
      <c r="AE5" s="138">
        <v>0</v>
      </c>
      <c r="AF5" s="138">
        <v>0</v>
      </c>
      <c r="AG5" s="138">
        <v>0</v>
      </c>
      <c r="AH5" s="138">
        <v>0</v>
      </c>
    </row>
    <row r="6" spans="1:34" customFormat="1" x14ac:dyDescent="0.15">
      <c r="A6" s="144" t="s">
        <v>196</v>
      </c>
      <c r="B6" s="138">
        <v>0</v>
      </c>
      <c r="C6" s="138">
        <v>0</v>
      </c>
      <c r="D6" s="138">
        <v>0</v>
      </c>
      <c r="E6" s="138">
        <v>0</v>
      </c>
      <c r="F6" s="138">
        <v>0</v>
      </c>
      <c r="G6" s="138">
        <v>0.12</v>
      </c>
      <c r="H6" s="138">
        <v>0.34</v>
      </c>
      <c r="I6" s="138">
        <v>7.0000000000000007E-2</v>
      </c>
      <c r="J6" s="138">
        <v>0.4</v>
      </c>
      <c r="K6" s="138">
        <v>0.16</v>
      </c>
      <c r="L6" s="138">
        <v>0.8</v>
      </c>
      <c r="M6" s="138">
        <v>0.25</v>
      </c>
      <c r="N6" s="138">
        <v>0.52</v>
      </c>
      <c r="O6" s="138">
        <v>0.6</v>
      </c>
      <c r="P6" s="138">
        <v>0.16999830001699978</v>
      </c>
      <c r="Q6" s="138">
        <v>8.299999999999999E-2</v>
      </c>
      <c r="R6" s="138">
        <v>0.27</v>
      </c>
      <c r="S6" s="138">
        <v>0.61599999999999999</v>
      </c>
      <c r="T6" s="138">
        <v>4.5999999999999999E-2</v>
      </c>
      <c r="U6" s="138">
        <v>0.77884423115376933</v>
      </c>
      <c r="V6" s="138">
        <v>0.23997600239976002</v>
      </c>
      <c r="W6" s="138">
        <v>0.6479352064793521</v>
      </c>
      <c r="X6" s="138">
        <v>0.05</v>
      </c>
      <c r="Y6" s="138">
        <v>0</v>
      </c>
      <c r="Z6" s="138">
        <v>0</v>
      </c>
      <c r="AA6" s="138">
        <v>0</v>
      </c>
      <c r="AB6" s="138">
        <v>0</v>
      </c>
      <c r="AC6" s="138">
        <v>1.3013013013013011E-2</v>
      </c>
      <c r="AD6" s="138">
        <v>9.9990000999900019E-2</v>
      </c>
      <c r="AE6" s="138">
        <v>0</v>
      </c>
      <c r="AF6" s="138">
        <v>0</v>
      </c>
      <c r="AG6" s="138">
        <v>0</v>
      </c>
      <c r="AH6" s="138">
        <v>0</v>
      </c>
    </row>
    <row r="7" spans="1:34" customFormat="1" x14ac:dyDescent="0.15">
      <c r="A7" s="144" t="s">
        <v>197</v>
      </c>
      <c r="B7" s="138">
        <v>0</v>
      </c>
      <c r="C7" s="138">
        <v>0</v>
      </c>
      <c r="D7" s="138">
        <v>0</v>
      </c>
      <c r="E7" s="138">
        <v>0</v>
      </c>
      <c r="F7" s="138">
        <v>0</v>
      </c>
      <c r="G7" s="138">
        <v>0.04</v>
      </c>
      <c r="H7" s="138">
        <v>0</v>
      </c>
      <c r="I7" s="138">
        <v>0</v>
      </c>
      <c r="J7" s="138">
        <v>0</v>
      </c>
      <c r="K7" s="138">
        <v>0.03</v>
      </c>
      <c r="L7" s="138">
        <v>0</v>
      </c>
      <c r="M7" s="138">
        <v>0</v>
      </c>
      <c r="N7" s="138">
        <v>0</v>
      </c>
      <c r="O7" s="138">
        <v>0</v>
      </c>
      <c r="P7" s="138">
        <v>0</v>
      </c>
      <c r="Q7" s="138">
        <v>0</v>
      </c>
      <c r="R7" s="138">
        <v>0</v>
      </c>
      <c r="S7" s="138">
        <v>0</v>
      </c>
      <c r="T7" s="138">
        <v>0</v>
      </c>
      <c r="U7" s="138">
        <v>0</v>
      </c>
      <c r="V7" s="138">
        <v>0</v>
      </c>
      <c r="W7" s="138">
        <v>0</v>
      </c>
      <c r="X7" s="138">
        <v>0</v>
      </c>
      <c r="Y7" s="138">
        <v>0</v>
      </c>
      <c r="Z7" s="138">
        <v>0</v>
      </c>
      <c r="AA7" s="138">
        <v>0</v>
      </c>
      <c r="AB7" s="138">
        <v>0</v>
      </c>
      <c r="AC7" s="138">
        <v>0</v>
      </c>
      <c r="AD7" s="138">
        <v>0</v>
      </c>
      <c r="AE7" s="138">
        <v>0</v>
      </c>
      <c r="AF7" s="138">
        <v>0</v>
      </c>
      <c r="AG7" s="138">
        <v>0</v>
      </c>
      <c r="AH7" s="138">
        <v>0</v>
      </c>
    </row>
    <row r="8" spans="1:34" customFormat="1" x14ac:dyDescent="0.15">
      <c r="A8" s="144" t="s">
        <v>198</v>
      </c>
      <c r="B8" s="138">
        <v>0</v>
      </c>
      <c r="C8" s="138">
        <v>0</v>
      </c>
      <c r="D8" s="138">
        <v>0</v>
      </c>
      <c r="E8" s="138">
        <v>0</v>
      </c>
      <c r="F8" s="138">
        <v>0</v>
      </c>
      <c r="G8" s="138">
        <v>0</v>
      </c>
      <c r="H8" s="138">
        <v>0</v>
      </c>
      <c r="I8" s="138">
        <v>0</v>
      </c>
      <c r="J8" s="138">
        <v>0</v>
      </c>
      <c r="K8" s="138">
        <v>0</v>
      </c>
      <c r="L8" s="138">
        <v>0.02</v>
      </c>
      <c r="M8" s="138">
        <v>0</v>
      </c>
      <c r="N8" s="138">
        <v>2.4E-2</v>
      </c>
      <c r="O8" s="138">
        <v>0</v>
      </c>
      <c r="P8" s="138">
        <v>0.47699523004769939</v>
      </c>
      <c r="Q8" s="138">
        <v>0.24999999999999994</v>
      </c>
      <c r="R8" s="138">
        <v>0.05</v>
      </c>
      <c r="S8" s="138">
        <v>0.18</v>
      </c>
      <c r="T8" s="138">
        <v>0.29899999999999999</v>
      </c>
      <c r="U8" s="138">
        <v>8.3983203359328143E-2</v>
      </c>
      <c r="V8" s="138">
        <v>1.9998000199980001E-3</v>
      </c>
      <c r="W8" s="138">
        <v>1.9998000199980001E-3</v>
      </c>
      <c r="X8" s="138">
        <v>5.0000000000000001E-3</v>
      </c>
      <c r="Y8" s="138">
        <v>1.9999999999999997E-2</v>
      </c>
      <c r="Z8" s="138">
        <v>0</v>
      </c>
      <c r="AA8" s="138">
        <v>0</v>
      </c>
      <c r="AB8" s="138">
        <v>0.25</v>
      </c>
      <c r="AC8" s="138">
        <v>0.41241241241241233</v>
      </c>
      <c r="AD8" s="138">
        <v>0.39996000399960008</v>
      </c>
      <c r="AE8" s="138">
        <v>0</v>
      </c>
      <c r="AF8" s="138">
        <v>0</v>
      </c>
      <c r="AG8" s="138">
        <v>0</v>
      </c>
      <c r="AH8" s="138">
        <v>0</v>
      </c>
    </row>
    <row r="9" spans="1:34" customFormat="1" x14ac:dyDescent="0.15">
      <c r="A9" s="144" t="s">
        <v>199</v>
      </c>
      <c r="B9" s="138">
        <v>0</v>
      </c>
      <c r="C9" s="138">
        <v>0</v>
      </c>
      <c r="D9" s="138">
        <v>0</v>
      </c>
      <c r="E9" s="138">
        <v>0</v>
      </c>
      <c r="F9" s="138">
        <v>0</v>
      </c>
      <c r="G9" s="138">
        <v>0</v>
      </c>
      <c r="H9" s="138">
        <v>0</v>
      </c>
      <c r="I9" s="138">
        <v>0</v>
      </c>
      <c r="J9" s="138">
        <v>0</v>
      </c>
      <c r="K9" s="138">
        <v>0</v>
      </c>
      <c r="L9" s="138">
        <v>0.01</v>
      </c>
      <c r="M9" s="138">
        <v>0</v>
      </c>
      <c r="N9" s="138">
        <v>0.01</v>
      </c>
      <c r="O9" s="138">
        <v>0</v>
      </c>
      <c r="P9" s="138">
        <v>2.9999700002999959E-2</v>
      </c>
      <c r="Q9" s="138">
        <v>0.14999999999999997</v>
      </c>
      <c r="R9" s="138">
        <v>1E-3</v>
      </c>
      <c r="S9" s="138">
        <v>0.01</v>
      </c>
      <c r="T9" s="138">
        <v>1E-3</v>
      </c>
      <c r="U9" s="138">
        <v>4.9990001999600086E-3</v>
      </c>
      <c r="V9" s="138">
        <v>9.9990000999900015E-5</v>
      </c>
      <c r="W9" s="138">
        <v>9.9990000999900015E-5</v>
      </c>
      <c r="X9" s="138">
        <v>0</v>
      </c>
      <c r="Y9" s="138">
        <v>9.9999999999999985E-3</v>
      </c>
      <c r="Z9" s="138">
        <v>0</v>
      </c>
      <c r="AA9" s="138">
        <v>0</v>
      </c>
      <c r="AB9" s="138">
        <v>0.03</v>
      </c>
      <c r="AC9" s="138">
        <v>8.4084084084084076E-2</v>
      </c>
      <c r="AD9" s="138">
        <v>4.999500049995001E-2</v>
      </c>
      <c r="AE9" s="138">
        <v>0</v>
      </c>
      <c r="AF9" s="138">
        <v>0</v>
      </c>
      <c r="AG9" s="138">
        <v>0</v>
      </c>
      <c r="AH9" s="138">
        <v>0</v>
      </c>
    </row>
    <row r="10" spans="1:34" customFormat="1" x14ac:dyDescent="0.15">
      <c r="A10" s="144" t="s">
        <v>200</v>
      </c>
      <c r="B10" s="138">
        <v>0</v>
      </c>
      <c r="C10" s="138">
        <v>0</v>
      </c>
      <c r="D10" s="138">
        <v>0</v>
      </c>
      <c r="E10" s="138">
        <v>0</v>
      </c>
      <c r="F10" s="138">
        <v>0</v>
      </c>
      <c r="G10" s="138">
        <v>0</v>
      </c>
      <c r="H10" s="138">
        <v>0</v>
      </c>
      <c r="I10" s="138">
        <v>0</v>
      </c>
      <c r="J10" s="138">
        <v>0</v>
      </c>
      <c r="K10" s="138">
        <v>0</v>
      </c>
      <c r="L10" s="138">
        <v>0.01</v>
      </c>
      <c r="M10" s="138">
        <v>0</v>
      </c>
      <c r="N10" s="138">
        <v>5.6000000000000001E-2</v>
      </c>
      <c r="O10" s="138">
        <v>0</v>
      </c>
      <c r="P10" s="138">
        <v>5.9999400005999917E-2</v>
      </c>
      <c r="Q10" s="138">
        <v>2.9999999999999992E-2</v>
      </c>
      <c r="R10" s="138">
        <v>0.05</v>
      </c>
      <c r="S10" s="138">
        <v>3.1E-2</v>
      </c>
      <c r="T10" s="138">
        <v>8.6999999999999994E-2</v>
      </c>
      <c r="U10" s="138">
        <v>4.9990001999600082E-2</v>
      </c>
      <c r="V10" s="138">
        <v>2.7997200279972004E-2</v>
      </c>
      <c r="W10" s="138">
        <v>0.10998900109989002</v>
      </c>
      <c r="X10" s="138">
        <v>2.5000000000000001E-2</v>
      </c>
      <c r="Y10" s="138">
        <v>4.8999999999999988E-2</v>
      </c>
      <c r="Z10" s="138">
        <v>0</v>
      </c>
      <c r="AA10" s="138">
        <v>0</v>
      </c>
      <c r="AB10" s="138">
        <v>3.0000000000000001E-3</v>
      </c>
      <c r="AC10" s="138">
        <v>1.001001001001001E-2</v>
      </c>
      <c r="AD10" s="138">
        <v>1.9998000199980003E-2</v>
      </c>
      <c r="AE10" s="138">
        <v>0</v>
      </c>
      <c r="AF10" s="138">
        <v>0</v>
      </c>
      <c r="AG10" s="138">
        <v>0</v>
      </c>
      <c r="AH10" s="138">
        <v>0</v>
      </c>
    </row>
    <row r="11" spans="1:34" customFormat="1" x14ac:dyDescent="0.15">
      <c r="A11" s="144" t="s">
        <v>201</v>
      </c>
      <c r="B11" s="138">
        <v>0</v>
      </c>
      <c r="C11" s="138">
        <v>0</v>
      </c>
      <c r="D11" s="138">
        <v>0</v>
      </c>
      <c r="E11" s="138">
        <v>0</v>
      </c>
      <c r="F11" s="138">
        <v>0</v>
      </c>
      <c r="G11" s="138">
        <v>0</v>
      </c>
      <c r="H11" s="138">
        <v>0</v>
      </c>
      <c r="I11" s="138">
        <v>0</v>
      </c>
      <c r="J11" s="138">
        <v>0</v>
      </c>
      <c r="K11" s="138">
        <v>0</v>
      </c>
      <c r="L11" s="138">
        <v>0</v>
      </c>
      <c r="M11" s="138">
        <v>0</v>
      </c>
      <c r="N11" s="138">
        <v>0</v>
      </c>
      <c r="O11" s="138">
        <v>0</v>
      </c>
      <c r="P11" s="138">
        <v>9.9999000009999865E-4</v>
      </c>
      <c r="Q11" s="138">
        <v>3.2999999999999995E-2</v>
      </c>
      <c r="R11" s="138">
        <v>0</v>
      </c>
      <c r="S11" s="138">
        <v>0</v>
      </c>
      <c r="T11" s="138">
        <v>0.01</v>
      </c>
      <c r="U11" s="138">
        <v>9.9980003999200159E-4</v>
      </c>
      <c r="V11" s="138">
        <v>1.9998000199980001E-3</v>
      </c>
      <c r="W11" s="138">
        <v>0</v>
      </c>
      <c r="X11" s="138">
        <v>0</v>
      </c>
      <c r="Y11" s="138">
        <v>1.9999999999999997E-2</v>
      </c>
      <c r="Z11" s="138">
        <v>0</v>
      </c>
      <c r="AA11" s="138">
        <v>0</v>
      </c>
      <c r="AB11" s="138">
        <v>3.0000000000000001E-3</v>
      </c>
      <c r="AC11" s="138">
        <v>7.0070070070070061E-3</v>
      </c>
      <c r="AD11" s="138">
        <v>5.9994000599940006E-2</v>
      </c>
      <c r="AE11" s="138">
        <v>0</v>
      </c>
      <c r="AF11" s="138">
        <v>0</v>
      </c>
      <c r="AG11" s="138">
        <v>0</v>
      </c>
      <c r="AH11" s="138">
        <v>0</v>
      </c>
    </row>
    <row r="12" spans="1:34" customFormat="1" x14ac:dyDescent="0.15">
      <c r="A12" s="144" t="s">
        <v>202</v>
      </c>
      <c r="B12" s="138">
        <v>0</v>
      </c>
      <c r="C12" s="138">
        <v>0</v>
      </c>
      <c r="D12" s="138">
        <v>0</v>
      </c>
      <c r="E12" s="138">
        <v>0</v>
      </c>
      <c r="F12" s="138">
        <v>0</v>
      </c>
      <c r="G12" s="138">
        <v>0</v>
      </c>
      <c r="H12" s="138">
        <v>0</v>
      </c>
      <c r="I12" s="138">
        <v>0</v>
      </c>
      <c r="J12" s="138">
        <v>0</v>
      </c>
      <c r="K12" s="138">
        <v>0</v>
      </c>
      <c r="L12" s="138">
        <v>0</v>
      </c>
      <c r="M12" s="138">
        <v>0</v>
      </c>
      <c r="N12" s="138">
        <v>0</v>
      </c>
      <c r="O12" s="138">
        <v>0</v>
      </c>
      <c r="P12" s="138">
        <v>9.9999000009999865E-4</v>
      </c>
      <c r="Q12" s="138">
        <v>3.0999999999999993E-2</v>
      </c>
      <c r="R12" s="138">
        <v>0</v>
      </c>
      <c r="S12" s="138">
        <v>0</v>
      </c>
      <c r="T12" s="138">
        <v>0.02</v>
      </c>
      <c r="U12" s="138">
        <v>0</v>
      </c>
      <c r="V12" s="138">
        <v>0</v>
      </c>
      <c r="W12" s="138">
        <v>0</v>
      </c>
      <c r="X12" s="138">
        <v>0</v>
      </c>
      <c r="Y12" s="138">
        <v>9.9999999999999985E-3</v>
      </c>
      <c r="Z12" s="138">
        <v>0</v>
      </c>
      <c r="AA12" s="138">
        <v>0</v>
      </c>
      <c r="AB12" s="138">
        <v>1.2999999999999999E-2</v>
      </c>
      <c r="AC12" s="138">
        <v>0</v>
      </c>
      <c r="AD12" s="138">
        <v>2.9997000299970002E-3</v>
      </c>
      <c r="AE12" s="138">
        <v>0</v>
      </c>
      <c r="AF12" s="138">
        <v>0</v>
      </c>
      <c r="AG12" s="138">
        <v>0</v>
      </c>
      <c r="AH12" s="138">
        <v>0</v>
      </c>
    </row>
    <row r="13" spans="1:34" customFormat="1" x14ac:dyDescent="0.15">
      <c r="A13" s="144" t="s">
        <v>203</v>
      </c>
      <c r="B13" s="138">
        <v>0</v>
      </c>
      <c r="C13" s="138">
        <v>0</v>
      </c>
      <c r="D13" s="138">
        <v>0</v>
      </c>
      <c r="E13" s="138">
        <v>0</v>
      </c>
      <c r="F13" s="138">
        <v>0</v>
      </c>
      <c r="G13" s="138">
        <v>0</v>
      </c>
      <c r="H13" s="138">
        <v>0</v>
      </c>
      <c r="I13" s="138">
        <v>0</v>
      </c>
      <c r="J13" s="138">
        <v>0</v>
      </c>
      <c r="K13" s="138">
        <v>0</v>
      </c>
      <c r="L13" s="138">
        <v>0</v>
      </c>
      <c r="M13" s="138">
        <v>0</v>
      </c>
      <c r="N13" s="138">
        <v>0</v>
      </c>
      <c r="O13" s="138">
        <v>0</v>
      </c>
      <c r="P13" s="138">
        <v>9.9999000009999874E-3</v>
      </c>
      <c r="Q13" s="138">
        <v>5.0999999999999983E-2</v>
      </c>
      <c r="R13" s="138">
        <v>0</v>
      </c>
      <c r="S13" s="138">
        <v>0</v>
      </c>
      <c r="T13" s="138">
        <v>0.03</v>
      </c>
      <c r="U13" s="138">
        <v>0</v>
      </c>
      <c r="V13" s="138">
        <v>0</v>
      </c>
      <c r="W13" s="138">
        <v>0</v>
      </c>
      <c r="X13" s="138">
        <v>0</v>
      </c>
      <c r="Y13" s="138">
        <v>0</v>
      </c>
      <c r="Z13" s="138">
        <v>0</v>
      </c>
      <c r="AA13" s="138">
        <v>0</v>
      </c>
      <c r="AB13" s="138">
        <v>0.01</v>
      </c>
      <c r="AC13" s="138">
        <v>0</v>
      </c>
      <c r="AD13" s="138">
        <v>9.9990000999900016E-3</v>
      </c>
      <c r="AE13" s="138">
        <v>0</v>
      </c>
      <c r="AF13" s="138">
        <v>0</v>
      </c>
      <c r="AG13" s="138">
        <v>0</v>
      </c>
      <c r="AH13" s="138">
        <v>0</v>
      </c>
    </row>
    <row r="14" spans="1:34" customFormat="1" x14ac:dyDescent="0.15">
      <c r="A14" s="144" t="s">
        <v>204</v>
      </c>
      <c r="B14" s="138">
        <v>0</v>
      </c>
      <c r="C14" s="138">
        <v>0</v>
      </c>
      <c r="D14" s="138">
        <v>0</v>
      </c>
      <c r="E14" s="138">
        <v>0</v>
      </c>
      <c r="F14" s="138">
        <v>0</v>
      </c>
      <c r="G14" s="138">
        <v>0</v>
      </c>
      <c r="H14" s="138">
        <v>0</v>
      </c>
      <c r="I14" s="138">
        <v>0</v>
      </c>
      <c r="J14" s="138">
        <v>0</v>
      </c>
      <c r="K14" s="138">
        <v>0</v>
      </c>
      <c r="L14" s="138">
        <v>0</v>
      </c>
      <c r="M14" s="138">
        <v>0</v>
      </c>
      <c r="N14" s="138">
        <v>0</v>
      </c>
      <c r="O14" s="138">
        <v>0</v>
      </c>
      <c r="P14" s="138">
        <v>9.9999000009999865E-4</v>
      </c>
      <c r="Q14" s="138">
        <v>0</v>
      </c>
      <c r="R14" s="138">
        <v>0</v>
      </c>
      <c r="S14" s="138">
        <v>0</v>
      </c>
      <c r="T14" s="138">
        <v>0.158</v>
      </c>
      <c r="U14" s="138">
        <v>0</v>
      </c>
      <c r="V14" s="138">
        <v>0</v>
      </c>
      <c r="W14" s="138">
        <v>0</v>
      </c>
      <c r="X14" s="138">
        <v>0</v>
      </c>
      <c r="Y14" s="138">
        <v>8.9999999999999983E-2</v>
      </c>
      <c r="Z14" s="138">
        <v>0.01</v>
      </c>
      <c r="AA14" s="138">
        <v>4.302151075537769E-2</v>
      </c>
      <c r="AB14" s="138">
        <v>2.1999999999999999E-2</v>
      </c>
      <c r="AC14" s="138">
        <v>0.38338338338338335</v>
      </c>
      <c r="AD14" s="138">
        <v>0</v>
      </c>
      <c r="AE14" s="138">
        <v>0</v>
      </c>
      <c r="AF14" s="138">
        <v>0</v>
      </c>
      <c r="AG14" s="138">
        <v>0</v>
      </c>
      <c r="AH14" s="138">
        <v>0</v>
      </c>
    </row>
    <row r="15" spans="1:34" customFormat="1" x14ac:dyDescent="0.15">
      <c r="A15" s="144" t="s">
        <v>205</v>
      </c>
      <c r="B15" s="138">
        <v>0</v>
      </c>
      <c r="C15" s="138">
        <v>0</v>
      </c>
      <c r="D15" s="138">
        <v>0</v>
      </c>
      <c r="E15" s="138">
        <v>0</v>
      </c>
      <c r="F15" s="138">
        <v>0</v>
      </c>
      <c r="G15" s="138">
        <v>0</v>
      </c>
      <c r="H15" s="138">
        <v>0</v>
      </c>
      <c r="I15" s="138">
        <v>0</v>
      </c>
      <c r="J15" s="138">
        <v>0</v>
      </c>
      <c r="K15" s="138">
        <v>0</v>
      </c>
      <c r="L15" s="138">
        <v>0.15</v>
      </c>
      <c r="M15" s="138">
        <v>0</v>
      </c>
      <c r="N15" s="138">
        <v>0</v>
      </c>
      <c r="O15" s="138">
        <v>0</v>
      </c>
      <c r="P15" s="138">
        <v>4.999950000499994E-2</v>
      </c>
      <c r="Q15" s="138">
        <v>1.9999999999999997E-2</v>
      </c>
      <c r="R15" s="138">
        <v>0.1</v>
      </c>
      <c r="S15" s="138">
        <v>8.7999999999999995E-2</v>
      </c>
      <c r="T15" s="138">
        <v>0.05</v>
      </c>
      <c r="U15" s="138">
        <v>7.0985802839432108E-2</v>
      </c>
      <c r="V15" s="138">
        <v>0.32696730326967305</v>
      </c>
      <c r="W15" s="138">
        <v>0.14998500149985</v>
      </c>
      <c r="X15" s="138">
        <v>0.05</v>
      </c>
      <c r="Y15" s="138">
        <v>0.24999999999999994</v>
      </c>
      <c r="Z15" s="138">
        <v>0.01</v>
      </c>
      <c r="AA15" s="138">
        <v>0</v>
      </c>
      <c r="AB15" s="138">
        <v>0.01</v>
      </c>
      <c r="AC15" s="138">
        <v>1.3013013013013011E-2</v>
      </c>
      <c r="AD15" s="138">
        <v>0.102989701029897</v>
      </c>
      <c r="AE15" s="138">
        <v>0</v>
      </c>
      <c r="AF15" s="138">
        <v>0</v>
      </c>
      <c r="AG15" s="138">
        <v>0</v>
      </c>
      <c r="AH15" s="138">
        <v>0</v>
      </c>
    </row>
    <row r="16" spans="1:34" customFormat="1" x14ac:dyDescent="0.15">
      <c r="A16" s="144" t="s">
        <v>206</v>
      </c>
      <c r="B16" s="138">
        <v>0</v>
      </c>
      <c r="C16" s="138">
        <v>0</v>
      </c>
      <c r="D16" s="138">
        <v>0</v>
      </c>
      <c r="E16" s="138">
        <v>0</v>
      </c>
      <c r="F16" s="138">
        <v>0</v>
      </c>
      <c r="G16" s="138">
        <v>0</v>
      </c>
      <c r="H16" s="138">
        <v>0</v>
      </c>
      <c r="I16" s="138">
        <v>0</v>
      </c>
      <c r="J16" s="138">
        <v>0</v>
      </c>
      <c r="K16" s="138">
        <v>0</v>
      </c>
      <c r="L16" s="138">
        <v>0</v>
      </c>
      <c r="M16" s="138">
        <v>0</v>
      </c>
      <c r="N16" s="138">
        <v>0</v>
      </c>
      <c r="O16" s="138">
        <v>0</v>
      </c>
      <c r="P16" s="138">
        <v>9.9999000009999874E-6</v>
      </c>
      <c r="Q16" s="138">
        <v>0</v>
      </c>
      <c r="R16" s="138">
        <v>0</v>
      </c>
      <c r="S16" s="138">
        <v>0</v>
      </c>
      <c r="T16" s="138">
        <v>2E-3</v>
      </c>
      <c r="U16" s="138">
        <v>0</v>
      </c>
      <c r="V16" s="138">
        <v>3.9996000399960003E-3</v>
      </c>
      <c r="W16" s="138">
        <v>0</v>
      </c>
      <c r="X16" s="138">
        <v>0</v>
      </c>
      <c r="Y16" s="138">
        <v>9.999999999999998E-4</v>
      </c>
      <c r="Z16" s="138">
        <v>0</v>
      </c>
      <c r="AA16" s="138">
        <v>1.0005002501250627E-2</v>
      </c>
      <c r="AB16" s="138">
        <v>0</v>
      </c>
      <c r="AC16" s="138">
        <v>0</v>
      </c>
      <c r="AD16" s="138">
        <v>1.9998000199980001E-3</v>
      </c>
      <c r="AE16" s="138">
        <v>0</v>
      </c>
      <c r="AF16" s="138">
        <v>0</v>
      </c>
      <c r="AG16" s="138">
        <v>0</v>
      </c>
      <c r="AH16" s="138">
        <v>0</v>
      </c>
    </row>
    <row r="17" spans="1:34" customFormat="1" x14ac:dyDescent="0.15">
      <c r="A17" s="144" t="s">
        <v>207</v>
      </c>
      <c r="B17" s="138">
        <v>0</v>
      </c>
      <c r="C17" s="138">
        <v>0</v>
      </c>
      <c r="D17" s="138">
        <v>0</v>
      </c>
      <c r="E17" s="138">
        <v>0</v>
      </c>
      <c r="F17" s="138">
        <v>0</v>
      </c>
      <c r="G17" s="138">
        <v>0</v>
      </c>
      <c r="H17" s="138">
        <v>0</v>
      </c>
      <c r="I17" s="138">
        <v>0</v>
      </c>
      <c r="J17" s="138">
        <v>0</v>
      </c>
      <c r="K17" s="138">
        <v>0</v>
      </c>
      <c r="L17" s="138">
        <v>0</v>
      </c>
      <c r="M17" s="138">
        <v>0</v>
      </c>
      <c r="N17" s="138">
        <v>0</v>
      </c>
      <c r="O17" s="138">
        <v>0</v>
      </c>
      <c r="P17" s="138">
        <v>0</v>
      </c>
      <c r="Q17" s="138">
        <v>9.999999999999998E-4</v>
      </c>
      <c r="R17" s="138">
        <v>0</v>
      </c>
      <c r="S17" s="138">
        <v>0</v>
      </c>
      <c r="T17" s="138">
        <v>0</v>
      </c>
      <c r="U17" s="138">
        <v>0</v>
      </c>
      <c r="V17" s="138">
        <v>0</v>
      </c>
      <c r="W17" s="138">
        <v>0</v>
      </c>
      <c r="X17" s="138">
        <v>0</v>
      </c>
      <c r="Y17" s="138">
        <v>9.9999999999999985E-3</v>
      </c>
      <c r="Z17" s="138">
        <v>0</v>
      </c>
      <c r="AA17" s="138">
        <v>5.0025012506253134E-3</v>
      </c>
      <c r="AB17" s="138">
        <v>1E-3</v>
      </c>
      <c r="AC17" s="138">
        <v>0</v>
      </c>
      <c r="AD17" s="138">
        <v>0</v>
      </c>
      <c r="AE17" s="138">
        <v>0</v>
      </c>
      <c r="AF17" s="138">
        <v>0</v>
      </c>
      <c r="AG17" s="138">
        <v>0</v>
      </c>
      <c r="AH17" s="138">
        <v>0</v>
      </c>
    </row>
    <row r="18" spans="1:34" customFormat="1" x14ac:dyDescent="0.15">
      <c r="A18" s="144" t="s">
        <v>208</v>
      </c>
      <c r="B18" s="138">
        <v>0</v>
      </c>
      <c r="C18" s="138">
        <v>0</v>
      </c>
      <c r="D18" s="138">
        <v>0</v>
      </c>
      <c r="E18" s="138">
        <v>0</v>
      </c>
      <c r="F18" s="138">
        <v>0</v>
      </c>
      <c r="G18" s="138">
        <v>0</v>
      </c>
      <c r="H18" s="138">
        <v>0</v>
      </c>
      <c r="I18" s="138">
        <v>0</v>
      </c>
      <c r="J18" s="138">
        <v>0</v>
      </c>
      <c r="K18" s="138">
        <v>0</v>
      </c>
      <c r="L18" s="138">
        <v>0</v>
      </c>
      <c r="M18" s="138">
        <v>0</v>
      </c>
      <c r="N18" s="138">
        <v>0</v>
      </c>
      <c r="O18" s="138">
        <v>0</v>
      </c>
      <c r="P18" s="138">
        <v>9.9999000009999874E-3</v>
      </c>
      <c r="Q18" s="138">
        <v>0.14099999999999996</v>
      </c>
      <c r="R18" s="138">
        <v>0.05</v>
      </c>
      <c r="S18" s="138">
        <v>5.1999999999999998E-2</v>
      </c>
      <c r="T18" s="138">
        <v>0.03</v>
      </c>
      <c r="U18" s="138">
        <v>9.9980003999200172E-3</v>
      </c>
      <c r="V18" s="138">
        <v>0.103989601039896</v>
      </c>
      <c r="W18" s="138">
        <v>1.9998000199980003E-2</v>
      </c>
      <c r="X18" s="138">
        <v>0.02</v>
      </c>
      <c r="Y18" s="138">
        <v>0.19999999999999996</v>
      </c>
      <c r="Z18" s="138">
        <v>0.03</v>
      </c>
      <c r="AA18" s="138">
        <v>0</v>
      </c>
      <c r="AB18" s="138">
        <v>0.23100000000000001</v>
      </c>
      <c r="AC18" s="138">
        <v>5.2052052052052045E-2</v>
      </c>
      <c r="AD18" s="138">
        <v>6.9993000699930016E-2</v>
      </c>
      <c r="AE18" s="138">
        <v>0</v>
      </c>
      <c r="AF18" s="138">
        <v>0</v>
      </c>
      <c r="AG18" s="138">
        <v>0</v>
      </c>
      <c r="AH18" s="138">
        <v>0</v>
      </c>
    </row>
    <row r="19" spans="1:34" customFormat="1" x14ac:dyDescent="0.15">
      <c r="A19" s="144" t="s">
        <v>209</v>
      </c>
      <c r="B19" s="138">
        <v>0</v>
      </c>
      <c r="C19" s="138">
        <v>0</v>
      </c>
      <c r="D19" s="138">
        <v>0</v>
      </c>
      <c r="E19" s="138">
        <v>0</v>
      </c>
      <c r="F19" s="138">
        <v>0</v>
      </c>
      <c r="G19" s="138">
        <v>0</v>
      </c>
      <c r="H19" s="138">
        <v>0</v>
      </c>
      <c r="I19" s="138">
        <v>0</v>
      </c>
      <c r="J19" s="138">
        <v>0</v>
      </c>
      <c r="K19" s="138">
        <v>0</v>
      </c>
      <c r="L19" s="138">
        <v>0</v>
      </c>
      <c r="M19" s="138">
        <v>0</v>
      </c>
      <c r="N19" s="138">
        <v>0</v>
      </c>
      <c r="O19" s="138">
        <v>0</v>
      </c>
      <c r="P19" s="138">
        <v>1.9999800001999975E-2</v>
      </c>
      <c r="Q19" s="138">
        <v>9.9999999999999985E-3</v>
      </c>
      <c r="R19" s="138">
        <v>2.1999999999999999E-2</v>
      </c>
      <c r="S19" s="138">
        <v>0</v>
      </c>
      <c r="T19" s="138">
        <v>9.5000000000000001E-2</v>
      </c>
      <c r="U19" s="138">
        <v>0</v>
      </c>
      <c r="V19" s="138">
        <v>0</v>
      </c>
      <c r="W19" s="138">
        <v>3.9996000399960003E-3</v>
      </c>
      <c r="X19" s="138">
        <v>1E-3</v>
      </c>
      <c r="Y19" s="138">
        <v>0</v>
      </c>
      <c r="Z19" s="138">
        <v>0</v>
      </c>
      <c r="AA19" s="138">
        <v>0</v>
      </c>
      <c r="AB19" s="138">
        <v>0.1</v>
      </c>
      <c r="AC19" s="138">
        <v>3.0030030030030025E-3</v>
      </c>
      <c r="AD19" s="138">
        <v>4.0295970402959708E-2</v>
      </c>
      <c r="AE19" s="138">
        <v>0</v>
      </c>
      <c r="AF19" s="138">
        <v>0</v>
      </c>
      <c r="AG19" s="138">
        <v>0</v>
      </c>
      <c r="AH19" s="138">
        <v>0</v>
      </c>
    </row>
    <row r="20" spans="1:34" customFormat="1" x14ac:dyDescent="0.15">
      <c r="A20" s="144" t="s">
        <v>210</v>
      </c>
      <c r="B20" s="138">
        <v>0</v>
      </c>
      <c r="C20" s="138">
        <v>0</v>
      </c>
      <c r="D20" s="138">
        <v>0</v>
      </c>
      <c r="E20" s="138">
        <v>0</v>
      </c>
      <c r="F20" s="138">
        <v>0</v>
      </c>
      <c r="G20" s="138">
        <v>0</v>
      </c>
      <c r="H20" s="138">
        <v>0</v>
      </c>
      <c r="I20" s="138">
        <v>0</v>
      </c>
      <c r="J20" s="138">
        <v>0</v>
      </c>
      <c r="K20" s="138">
        <v>0</v>
      </c>
      <c r="L20" s="138">
        <v>0</v>
      </c>
      <c r="M20" s="138">
        <v>0</v>
      </c>
      <c r="N20" s="138">
        <v>0</v>
      </c>
      <c r="O20" s="138">
        <v>0</v>
      </c>
      <c r="P20" s="138">
        <v>0</v>
      </c>
      <c r="Q20" s="138">
        <v>0</v>
      </c>
      <c r="R20" s="138">
        <v>0</v>
      </c>
      <c r="S20" s="138">
        <v>0</v>
      </c>
      <c r="T20" s="138">
        <v>0.02</v>
      </c>
      <c r="U20" s="138">
        <v>0</v>
      </c>
      <c r="V20" s="138">
        <v>0</v>
      </c>
      <c r="W20" s="138">
        <v>0</v>
      </c>
      <c r="X20" s="138">
        <v>2E-3</v>
      </c>
      <c r="Y20" s="138">
        <v>4.4999999999999991E-2</v>
      </c>
      <c r="Z20" s="138">
        <v>0.01</v>
      </c>
      <c r="AA20" s="138">
        <v>0</v>
      </c>
      <c r="AB20" s="138">
        <v>2.1999999999999999E-2</v>
      </c>
      <c r="AC20" s="138">
        <v>3.0030030030030025E-3</v>
      </c>
      <c r="AD20" s="138">
        <v>0</v>
      </c>
      <c r="AE20" s="138">
        <v>0</v>
      </c>
      <c r="AF20" s="138">
        <v>0</v>
      </c>
      <c r="AG20" s="138">
        <v>0</v>
      </c>
      <c r="AH20" s="138">
        <v>0</v>
      </c>
    </row>
    <row r="21" spans="1:34" customFormat="1" x14ac:dyDescent="0.15">
      <c r="A21" s="144" t="s">
        <v>211</v>
      </c>
      <c r="B21" s="138">
        <v>0</v>
      </c>
      <c r="C21" s="138">
        <v>0</v>
      </c>
      <c r="D21" s="138">
        <v>0</v>
      </c>
      <c r="E21" s="138">
        <v>0</v>
      </c>
      <c r="F21" s="138">
        <v>0</v>
      </c>
      <c r="G21" s="138">
        <v>0</v>
      </c>
      <c r="H21" s="138">
        <v>0</v>
      </c>
      <c r="I21" s="138">
        <v>0</v>
      </c>
      <c r="J21" s="138">
        <v>0</v>
      </c>
      <c r="K21" s="138">
        <v>0</v>
      </c>
      <c r="L21" s="138">
        <v>0</v>
      </c>
      <c r="M21" s="138">
        <v>0</v>
      </c>
      <c r="N21" s="138">
        <v>0</v>
      </c>
      <c r="O21" s="138">
        <v>0</v>
      </c>
      <c r="P21" s="138">
        <v>5.9999400005999917E-2</v>
      </c>
      <c r="Q21" s="138">
        <v>3.3999999999999996E-2</v>
      </c>
      <c r="R21" s="138">
        <v>7.8E-2</v>
      </c>
      <c r="S21" s="138">
        <v>2.1000000000000001E-2</v>
      </c>
      <c r="T21" s="138">
        <v>0.15</v>
      </c>
      <c r="U21" s="138">
        <v>0</v>
      </c>
      <c r="V21" s="138">
        <v>0.144985501449855</v>
      </c>
      <c r="W21" s="138">
        <v>1.5998400159984001E-2</v>
      </c>
      <c r="X21" s="138">
        <v>8.0000000000000002E-3</v>
      </c>
      <c r="Y21" s="138">
        <v>0</v>
      </c>
      <c r="Z21" s="138">
        <v>0</v>
      </c>
      <c r="AA21" s="138">
        <v>0</v>
      </c>
      <c r="AB21" s="138">
        <v>0.1</v>
      </c>
      <c r="AC21" s="138">
        <v>6.0060060060060051E-3</v>
      </c>
      <c r="AD21" s="138">
        <v>0.13148685131486851</v>
      </c>
      <c r="AE21" s="138">
        <v>0</v>
      </c>
      <c r="AF21" s="138">
        <v>0</v>
      </c>
      <c r="AG21" s="138">
        <v>0</v>
      </c>
      <c r="AH21" s="138">
        <v>0</v>
      </c>
    </row>
    <row r="22" spans="1:34" customFormat="1" x14ac:dyDescent="0.15">
      <c r="A22" s="144" t="s">
        <v>212</v>
      </c>
      <c r="B22" s="138">
        <v>0</v>
      </c>
      <c r="C22" s="138">
        <v>0</v>
      </c>
      <c r="D22" s="138">
        <v>0</v>
      </c>
      <c r="E22" s="138">
        <v>0</v>
      </c>
      <c r="F22" s="138">
        <v>0</v>
      </c>
      <c r="G22" s="138">
        <v>0</v>
      </c>
      <c r="H22" s="138">
        <v>0</v>
      </c>
      <c r="I22" s="138">
        <v>0</v>
      </c>
      <c r="J22" s="138">
        <v>0</v>
      </c>
      <c r="K22" s="138">
        <v>0</v>
      </c>
      <c r="L22" s="138">
        <v>0</v>
      </c>
      <c r="M22" s="138">
        <v>0</v>
      </c>
      <c r="N22" s="138">
        <v>0</v>
      </c>
      <c r="O22" s="138">
        <v>0</v>
      </c>
      <c r="P22" s="138">
        <v>0</v>
      </c>
      <c r="Q22" s="138">
        <v>0</v>
      </c>
      <c r="R22" s="138">
        <v>0</v>
      </c>
      <c r="S22" s="138">
        <v>0</v>
      </c>
      <c r="T22" s="138">
        <v>0</v>
      </c>
      <c r="U22" s="138">
        <v>0</v>
      </c>
      <c r="V22" s="138">
        <v>3.3996600339966009E-2</v>
      </c>
      <c r="W22" s="138">
        <v>0</v>
      </c>
      <c r="X22" s="138">
        <v>2E-3</v>
      </c>
      <c r="Y22" s="138">
        <v>4.9999999999999989E-2</v>
      </c>
      <c r="Z22" s="138">
        <v>0</v>
      </c>
      <c r="AA22" s="138">
        <v>0</v>
      </c>
      <c r="AB22" s="138">
        <v>1.7999999999999999E-2</v>
      </c>
      <c r="AC22" s="138">
        <v>3.0030030030030025E-3</v>
      </c>
      <c r="AD22" s="138">
        <v>0</v>
      </c>
      <c r="AE22" s="138">
        <v>0</v>
      </c>
      <c r="AF22" s="138">
        <v>0</v>
      </c>
      <c r="AG22" s="138">
        <v>0</v>
      </c>
      <c r="AH22" s="138">
        <v>0</v>
      </c>
    </row>
    <row r="23" spans="1:34" customFormat="1" x14ac:dyDescent="0.15">
      <c r="A23" s="144" t="s">
        <v>213</v>
      </c>
      <c r="B23" s="138">
        <v>0</v>
      </c>
      <c r="C23" s="138">
        <v>0</v>
      </c>
      <c r="D23" s="138">
        <v>0</v>
      </c>
      <c r="E23" s="138">
        <v>0</v>
      </c>
      <c r="F23" s="138">
        <v>0</v>
      </c>
      <c r="G23" s="138">
        <v>0</v>
      </c>
      <c r="H23" s="138">
        <v>0</v>
      </c>
      <c r="I23" s="138">
        <v>0</v>
      </c>
      <c r="J23" s="138">
        <v>0</v>
      </c>
      <c r="K23" s="138">
        <v>0</v>
      </c>
      <c r="L23" s="138">
        <v>0</v>
      </c>
      <c r="M23" s="138">
        <v>0</v>
      </c>
      <c r="N23" s="138">
        <v>0</v>
      </c>
      <c r="O23" s="138">
        <v>0</v>
      </c>
      <c r="P23" s="138">
        <v>0.10999890001099986</v>
      </c>
      <c r="Q23" s="138">
        <v>8.5999999999999979E-2</v>
      </c>
      <c r="R23" s="138">
        <v>0</v>
      </c>
      <c r="S23" s="138">
        <v>1E-3</v>
      </c>
      <c r="T23" s="138">
        <v>1E-3</v>
      </c>
      <c r="U23" s="138">
        <v>9.998000399920017E-5</v>
      </c>
      <c r="V23" s="138">
        <v>2.9997000299970003E-2</v>
      </c>
      <c r="W23" s="138">
        <v>2.9997000299970003E-2</v>
      </c>
      <c r="X23" s="138">
        <v>0.02</v>
      </c>
      <c r="Y23" s="138">
        <v>4.9999999999999989E-2</v>
      </c>
      <c r="Z23" s="138">
        <v>5.0000000000000001E-3</v>
      </c>
      <c r="AA23" s="138">
        <v>1.0005002501250627E-2</v>
      </c>
      <c r="AB23" s="138">
        <v>4.9000000000000002E-2</v>
      </c>
      <c r="AC23" s="138">
        <v>0</v>
      </c>
      <c r="AD23" s="138">
        <v>9.9990000999900007E-4</v>
      </c>
      <c r="AE23" s="138">
        <v>0</v>
      </c>
      <c r="AF23" s="138">
        <v>0</v>
      </c>
      <c r="AG23" s="138">
        <v>0</v>
      </c>
      <c r="AH23" s="138">
        <v>0</v>
      </c>
    </row>
    <row r="24" spans="1:34" customFormat="1" x14ac:dyDescent="0.15">
      <c r="A24" s="144" t="s">
        <v>214</v>
      </c>
      <c r="B24" s="138">
        <v>0</v>
      </c>
      <c r="C24" s="138">
        <v>0</v>
      </c>
      <c r="D24" s="138">
        <v>0</v>
      </c>
      <c r="E24" s="138">
        <v>0</v>
      </c>
      <c r="F24" s="138">
        <v>0</v>
      </c>
      <c r="G24" s="138">
        <v>0</v>
      </c>
      <c r="H24" s="138">
        <v>0</v>
      </c>
      <c r="I24" s="138">
        <v>0</v>
      </c>
      <c r="J24" s="138">
        <v>0</v>
      </c>
      <c r="K24" s="138">
        <v>0</v>
      </c>
      <c r="L24" s="138">
        <v>0</v>
      </c>
      <c r="M24" s="138">
        <v>0</v>
      </c>
      <c r="N24" s="138">
        <v>0</v>
      </c>
      <c r="O24" s="138">
        <v>0</v>
      </c>
      <c r="P24" s="138">
        <v>0</v>
      </c>
      <c r="Q24" s="138">
        <v>0</v>
      </c>
      <c r="R24" s="138">
        <v>0</v>
      </c>
      <c r="S24" s="138">
        <v>1E-3</v>
      </c>
      <c r="T24" s="138">
        <v>1E-3</v>
      </c>
      <c r="U24" s="138">
        <v>9.998000399920017E-5</v>
      </c>
      <c r="V24" s="138">
        <v>8.3991600839916011E-2</v>
      </c>
      <c r="W24" s="138">
        <v>9.9990000999900016E-3</v>
      </c>
      <c r="X24" s="138">
        <v>0.02</v>
      </c>
      <c r="Y24" s="138">
        <v>9.9999999999999978E-2</v>
      </c>
      <c r="Z24" s="138">
        <v>0.15</v>
      </c>
      <c r="AA24" s="138">
        <v>1.0005002501250627E-2</v>
      </c>
      <c r="AB24" s="138">
        <v>8.4000000000000005E-2</v>
      </c>
      <c r="AC24" s="138">
        <v>0</v>
      </c>
      <c r="AD24" s="138">
        <v>0</v>
      </c>
      <c r="AE24" s="138">
        <v>0</v>
      </c>
      <c r="AF24" s="138">
        <v>0</v>
      </c>
      <c r="AG24" s="138">
        <v>0</v>
      </c>
      <c r="AH24" s="138">
        <v>0</v>
      </c>
    </row>
    <row r="25" spans="1:34" customFormat="1" x14ac:dyDescent="0.15">
      <c r="A25" s="144" t="s">
        <v>215</v>
      </c>
      <c r="B25" s="138">
        <v>0</v>
      </c>
      <c r="C25" s="138">
        <v>0</v>
      </c>
      <c r="D25" s="138">
        <v>0</v>
      </c>
      <c r="E25" s="138">
        <v>0</v>
      </c>
      <c r="F25" s="138">
        <v>0</v>
      </c>
      <c r="G25" s="138">
        <v>0</v>
      </c>
      <c r="H25" s="138">
        <v>0</v>
      </c>
      <c r="I25" s="138">
        <v>0</v>
      </c>
      <c r="J25" s="138">
        <v>0</v>
      </c>
      <c r="K25" s="138">
        <v>0</v>
      </c>
      <c r="L25" s="138">
        <v>0</v>
      </c>
      <c r="M25" s="138">
        <v>0</v>
      </c>
      <c r="N25" s="138">
        <v>0</v>
      </c>
      <c r="O25" s="138">
        <v>0</v>
      </c>
      <c r="P25" s="138">
        <v>0</v>
      </c>
      <c r="Q25" s="138">
        <v>0</v>
      </c>
      <c r="R25" s="138">
        <v>0</v>
      </c>
      <c r="S25" s="138">
        <v>0</v>
      </c>
      <c r="T25" s="138">
        <v>0</v>
      </c>
      <c r="U25" s="138">
        <v>0</v>
      </c>
      <c r="V25" s="138">
        <v>0</v>
      </c>
      <c r="W25" s="138">
        <v>0</v>
      </c>
      <c r="X25" s="138">
        <v>0</v>
      </c>
      <c r="Y25" s="138">
        <v>9.4999999999999973E-2</v>
      </c>
      <c r="Z25" s="138">
        <v>0</v>
      </c>
      <c r="AA25" s="138">
        <v>0.10005002501250626</v>
      </c>
      <c r="AB25" s="138">
        <v>0</v>
      </c>
      <c r="AC25" s="138">
        <v>0</v>
      </c>
      <c r="AD25" s="138">
        <v>0</v>
      </c>
      <c r="AE25" s="138">
        <v>0</v>
      </c>
      <c r="AF25" s="138">
        <v>0</v>
      </c>
      <c r="AG25" s="138">
        <v>0</v>
      </c>
      <c r="AH25" s="138">
        <v>0</v>
      </c>
    </row>
    <row r="26" spans="1:34" customFormat="1" x14ac:dyDescent="0.15">
      <c r="A26" s="144" t="s">
        <v>216</v>
      </c>
      <c r="B26" s="138">
        <v>0</v>
      </c>
      <c r="C26" s="138">
        <v>0</v>
      </c>
      <c r="D26" s="138">
        <v>0</v>
      </c>
      <c r="E26" s="138">
        <v>0</v>
      </c>
      <c r="F26" s="138">
        <v>0</v>
      </c>
      <c r="G26" s="138">
        <v>0</v>
      </c>
      <c r="H26" s="138">
        <v>0</v>
      </c>
      <c r="I26" s="138">
        <v>0</v>
      </c>
      <c r="J26" s="138">
        <v>0</v>
      </c>
      <c r="K26" s="138">
        <v>0</v>
      </c>
      <c r="L26" s="138">
        <v>0</v>
      </c>
      <c r="M26" s="138">
        <v>0</v>
      </c>
      <c r="N26" s="138">
        <v>0</v>
      </c>
      <c r="O26" s="138">
        <v>0</v>
      </c>
      <c r="P26" s="138">
        <v>0</v>
      </c>
      <c r="Q26" s="138">
        <v>0</v>
      </c>
      <c r="R26" s="138">
        <v>0</v>
      </c>
      <c r="S26" s="138">
        <v>0</v>
      </c>
      <c r="T26" s="138">
        <v>0</v>
      </c>
      <c r="U26" s="138">
        <v>0</v>
      </c>
      <c r="V26" s="138">
        <v>0</v>
      </c>
      <c r="W26" s="138">
        <v>0</v>
      </c>
      <c r="X26" s="138">
        <v>5.0000000000000001E-3</v>
      </c>
      <c r="Y26" s="138">
        <v>0</v>
      </c>
      <c r="Z26" s="138">
        <v>0.06</v>
      </c>
      <c r="AA26" s="138">
        <v>0.78039019509754881</v>
      </c>
      <c r="AB26" s="138">
        <v>0</v>
      </c>
      <c r="AC26" s="138">
        <v>0</v>
      </c>
      <c r="AD26" s="138">
        <v>0</v>
      </c>
      <c r="AE26" s="138">
        <v>0</v>
      </c>
      <c r="AF26" s="138">
        <v>0</v>
      </c>
      <c r="AG26" s="138">
        <v>0</v>
      </c>
      <c r="AH26" s="138">
        <v>0</v>
      </c>
    </row>
    <row r="27" spans="1:34" customFormat="1" x14ac:dyDescent="0.15">
      <c r="A27" s="144" t="s">
        <v>217</v>
      </c>
      <c r="B27" s="138">
        <v>0</v>
      </c>
      <c r="C27" s="138">
        <v>0</v>
      </c>
      <c r="D27" s="138">
        <v>0</v>
      </c>
      <c r="E27" s="138">
        <v>0</v>
      </c>
      <c r="F27" s="138">
        <v>0</v>
      </c>
      <c r="G27" s="138">
        <v>0</v>
      </c>
      <c r="H27" s="138">
        <v>0</v>
      </c>
      <c r="I27" s="138">
        <v>0</v>
      </c>
      <c r="J27" s="138">
        <v>0</v>
      </c>
      <c r="K27" s="138">
        <v>0</v>
      </c>
      <c r="L27" s="138">
        <v>0</v>
      </c>
      <c r="M27" s="138">
        <v>0</v>
      </c>
      <c r="N27" s="138">
        <v>0</v>
      </c>
      <c r="O27" s="138">
        <v>0</v>
      </c>
      <c r="P27" s="138">
        <v>0</v>
      </c>
      <c r="Q27" s="138">
        <v>0</v>
      </c>
      <c r="R27" s="138">
        <v>0</v>
      </c>
      <c r="S27" s="138">
        <v>0</v>
      </c>
      <c r="T27" s="138">
        <v>0</v>
      </c>
      <c r="U27" s="138">
        <v>0</v>
      </c>
      <c r="V27" s="138">
        <v>0</v>
      </c>
      <c r="W27" s="138">
        <v>0</v>
      </c>
      <c r="X27" s="138">
        <v>0</v>
      </c>
      <c r="Y27" s="138">
        <v>0</v>
      </c>
      <c r="Z27" s="138">
        <v>0</v>
      </c>
      <c r="AA27" s="138">
        <v>0</v>
      </c>
      <c r="AB27" s="138">
        <v>0</v>
      </c>
      <c r="AC27" s="138">
        <v>0</v>
      </c>
      <c r="AD27" s="138">
        <v>0</v>
      </c>
      <c r="AE27" s="138">
        <v>0</v>
      </c>
      <c r="AF27" s="138">
        <v>0</v>
      </c>
      <c r="AG27" s="138">
        <v>0</v>
      </c>
      <c r="AH27" s="138">
        <v>0</v>
      </c>
    </row>
    <row r="28" spans="1:34" customFormat="1" x14ac:dyDescent="0.15">
      <c r="A28" s="144" t="s">
        <v>218</v>
      </c>
      <c r="B28" s="138">
        <v>0</v>
      </c>
      <c r="C28" s="138">
        <v>0</v>
      </c>
      <c r="D28" s="138">
        <v>0</v>
      </c>
      <c r="E28" s="138">
        <v>0</v>
      </c>
      <c r="F28" s="138">
        <v>0</v>
      </c>
      <c r="G28" s="138">
        <v>0</v>
      </c>
      <c r="H28" s="138">
        <v>0</v>
      </c>
      <c r="I28" s="138">
        <v>0</v>
      </c>
      <c r="J28" s="138">
        <v>0</v>
      </c>
      <c r="K28" s="138">
        <v>0</v>
      </c>
      <c r="L28" s="138">
        <v>0</v>
      </c>
      <c r="M28" s="138">
        <v>0</v>
      </c>
      <c r="N28" s="138">
        <v>0</v>
      </c>
      <c r="O28" s="138">
        <v>0</v>
      </c>
      <c r="P28" s="138">
        <v>0</v>
      </c>
      <c r="Q28" s="138">
        <v>0</v>
      </c>
      <c r="R28" s="138">
        <v>0</v>
      </c>
      <c r="S28" s="138">
        <v>0</v>
      </c>
      <c r="T28" s="138">
        <v>0</v>
      </c>
      <c r="U28" s="138">
        <v>0</v>
      </c>
      <c r="V28" s="138">
        <v>0</v>
      </c>
      <c r="W28" s="138">
        <v>0</v>
      </c>
      <c r="X28" s="138">
        <v>0</v>
      </c>
      <c r="Y28" s="138">
        <v>0</v>
      </c>
      <c r="Z28" s="138">
        <v>0</v>
      </c>
      <c r="AA28" s="138">
        <v>5.0025012506253134E-4</v>
      </c>
      <c r="AB28" s="138">
        <v>0</v>
      </c>
      <c r="AC28" s="138">
        <v>0</v>
      </c>
      <c r="AD28" s="138">
        <v>1.9998000199980003E-4</v>
      </c>
      <c r="AE28" s="138">
        <v>0</v>
      </c>
      <c r="AF28" s="138">
        <v>0</v>
      </c>
      <c r="AG28" s="138">
        <v>0</v>
      </c>
      <c r="AH28" s="138">
        <v>0</v>
      </c>
    </row>
    <row r="29" spans="1:34" customFormat="1" x14ac:dyDescent="0.15">
      <c r="A29" s="144" t="s">
        <v>219</v>
      </c>
      <c r="B29" s="138">
        <v>0</v>
      </c>
      <c r="C29" s="138">
        <v>0</v>
      </c>
      <c r="D29" s="138">
        <v>0</v>
      </c>
      <c r="E29" s="138">
        <v>0</v>
      </c>
      <c r="F29" s="138">
        <v>0</v>
      </c>
      <c r="G29" s="138">
        <v>0</v>
      </c>
      <c r="H29" s="138">
        <v>0</v>
      </c>
      <c r="I29" s="138">
        <v>0</v>
      </c>
      <c r="J29" s="138">
        <v>0</v>
      </c>
      <c r="K29" s="138">
        <v>0</v>
      </c>
      <c r="L29" s="138">
        <v>0</v>
      </c>
      <c r="M29" s="138">
        <v>0</v>
      </c>
      <c r="N29" s="138">
        <v>0</v>
      </c>
      <c r="O29" s="138">
        <v>0</v>
      </c>
      <c r="P29" s="138">
        <v>0</v>
      </c>
      <c r="Q29" s="138">
        <v>0</v>
      </c>
      <c r="R29" s="138">
        <v>0</v>
      </c>
      <c r="S29" s="138">
        <v>0</v>
      </c>
      <c r="T29" s="138">
        <v>0</v>
      </c>
      <c r="U29" s="138">
        <v>0</v>
      </c>
      <c r="V29" s="138">
        <v>0</v>
      </c>
      <c r="W29" s="138">
        <v>0</v>
      </c>
      <c r="X29" s="138">
        <v>0</v>
      </c>
      <c r="Y29" s="138">
        <v>0</v>
      </c>
      <c r="Z29" s="138">
        <v>0</v>
      </c>
      <c r="AA29" s="138">
        <v>4.1020510255127568E-2</v>
      </c>
      <c r="AB29" s="138">
        <v>0</v>
      </c>
      <c r="AC29" s="138">
        <v>0</v>
      </c>
      <c r="AD29" s="138">
        <v>0</v>
      </c>
      <c r="AE29" s="138">
        <v>0</v>
      </c>
      <c r="AF29" s="138">
        <v>0</v>
      </c>
      <c r="AG29" s="138">
        <v>0</v>
      </c>
      <c r="AH29" s="138">
        <v>0</v>
      </c>
    </row>
    <row r="30" spans="1:34" customFormat="1" x14ac:dyDescent="0.15">
      <c r="A30" s="144" t="s">
        <v>220</v>
      </c>
      <c r="B30" s="138">
        <v>0</v>
      </c>
      <c r="C30" s="138">
        <v>0</v>
      </c>
      <c r="D30" s="138">
        <v>0</v>
      </c>
      <c r="E30" s="138">
        <v>0</v>
      </c>
      <c r="F30" s="138">
        <v>0</v>
      </c>
      <c r="G30" s="138">
        <v>0</v>
      </c>
      <c r="H30" s="138">
        <v>0</v>
      </c>
      <c r="I30" s="138">
        <v>0</v>
      </c>
      <c r="J30" s="138">
        <v>0</v>
      </c>
      <c r="K30" s="138">
        <v>0</v>
      </c>
      <c r="L30" s="138">
        <v>0</v>
      </c>
      <c r="M30" s="138">
        <v>0</v>
      </c>
      <c r="N30" s="138">
        <v>0</v>
      </c>
      <c r="O30" s="138">
        <v>0</v>
      </c>
      <c r="P30" s="138">
        <v>0</v>
      </c>
      <c r="Q30" s="138">
        <v>0</v>
      </c>
      <c r="R30" s="138">
        <v>0</v>
      </c>
      <c r="S30" s="138">
        <v>0</v>
      </c>
      <c r="T30" s="138">
        <v>0</v>
      </c>
      <c r="U30" s="138">
        <v>0</v>
      </c>
      <c r="V30" s="138">
        <v>0</v>
      </c>
      <c r="W30" s="138">
        <v>0</v>
      </c>
      <c r="X30" s="138">
        <v>0</v>
      </c>
      <c r="Y30" s="138">
        <v>0</v>
      </c>
      <c r="Z30" s="138">
        <v>0</v>
      </c>
      <c r="AA30" s="138">
        <v>0</v>
      </c>
      <c r="AB30" s="138">
        <v>0</v>
      </c>
      <c r="AC30" s="138">
        <v>0</v>
      </c>
      <c r="AD30" s="138">
        <v>9.9990000999900015E-5</v>
      </c>
      <c r="AE30" s="138">
        <v>0</v>
      </c>
      <c r="AF30" s="138">
        <v>0</v>
      </c>
      <c r="AG30" s="138">
        <v>0</v>
      </c>
      <c r="AH30" s="138">
        <v>0</v>
      </c>
    </row>
    <row r="31" spans="1:34" customFormat="1" x14ac:dyDescent="0.15">
      <c r="A31" s="144" t="s">
        <v>221</v>
      </c>
      <c r="B31" s="138">
        <v>0</v>
      </c>
      <c r="C31" s="138">
        <v>0</v>
      </c>
      <c r="D31" s="138">
        <v>0</v>
      </c>
      <c r="E31" s="138">
        <v>0</v>
      </c>
      <c r="F31" s="138">
        <v>0</v>
      </c>
      <c r="G31" s="138">
        <v>0</v>
      </c>
      <c r="H31" s="138">
        <v>0</v>
      </c>
      <c r="I31" s="138">
        <v>0</v>
      </c>
      <c r="J31" s="138">
        <v>0</v>
      </c>
      <c r="K31" s="138">
        <v>0</v>
      </c>
      <c r="L31" s="138">
        <v>0</v>
      </c>
      <c r="M31" s="138">
        <v>0</v>
      </c>
      <c r="N31" s="138">
        <v>0</v>
      </c>
      <c r="O31" s="138">
        <v>0</v>
      </c>
      <c r="P31" s="138">
        <v>0</v>
      </c>
      <c r="Q31" s="138">
        <v>0</v>
      </c>
      <c r="R31" s="138">
        <v>0</v>
      </c>
      <c r="S31" s="138">
        <v>0</v>
      </c>
      <c r="T31" s="138">
        <v>0</v>
      </c>
      <c r="U31" s="138">
        <v>0</v>
      </c>
      <c r="V31" s="138">
        <v>0</v>
      </c>
      <c r="W31" s="138">
        <v>0</v>
      </c>
      <c r="X31" s="138">
        <v>0</v>
      </c>
      <c r="Y31" s="138">
        <v>0</v>
      </c>
      <c r="Z31" s="138">
        <v>0</v>
      </c>
      <c r="AA31" s="138">
        <v>0</v>
      </c>
      <c r="AB31" s="138">
        <v>0</v>
      </c>
      <c r="AC31" s="138">
        <v>0</v>
      </c>
      <c r="AD31" s="138">
        <v>0</v>
      </c>
      <c r="AE31" s="138">
        <v>0</v>
      </c>
      <c r="AF31" s="138">
        <v>0.08</v>
      </c>
      <c r="AG31" s="138">
        <v>0</v>
      </c>
      <c r="AH31" s="138">
        <v>0</v>
      </c>
    </row>
    <row r="32" spans="1:34" customFormat="1" x14ac:dyDescent="0.15">
      <c r="A32" s="144" t="s">
        <v>222</v>
      </c>
      <c r="B32" s="138">
        <v>0</v>
      </c>
      <c r="C32" s="138">
        <v>0</v>
      </c>
      <c r="D32" s="138">
        <v>0</v>
      </c>
      <c r="E32" s="138">
        <v>0</v>
      </c>
      <c r="F32" s="138">
        <v>0</v>
      </c>
      <c r="G32" s="138">
        <v>0</v>
      </c>
      <c r="H32" s="138">
        <v>0</v>
      </c>
      <c r="I32" s="138">
        <v>0</v>
      </c>
      <c r="J32" s="138">
        <v>0</v>
      </c>
      <c r="K32" s="138">
        <v>0</v>
      </c>
      <c r="L32" s="138">
        <v>0</v>
      </c>
      <c r="M32" s="138">
        <v>0</v>
      </c>
      <c r="N32" s="138">
        <v>0</v>
      </c>
      <c r="O32" s="138">
        <v>0</v>
      </c>
      <c r="P32" s="138">
        <v>0</v>
      </c>
      <c r="Q32" s="138">
        <v>2.9999999999999992E-2</v>
      </c>
      <c r="R32" s="138">
        <v>0.379</v>
      </c>
      <c r="S32" s="138">
        <v>0</v>
      </c>
      <c r="T32" s="138">
        <v>0</v>
      </c>
      <c r="U32" s="138">
        <v>0</v>
      </c>
      <c r="V32" s="138">
        <v>0</v>
      </c>
      <c r="W32" s="138">
        <v>0</v>
      </c>
      <c r="X32" s="138">
        <v>0.78200000000000003</v>
      </c>
      <c r="Y32" s="138">
        <v>0</v>
      </c>
      <c r="Z32" s="138">
        <v>0.72499999999999998</v>
      </c>
      <c r="AA32" s="138">
        <v>0</v>
      </c>
      <c r="AB32" s="138">
        <v>5.3999999999999999E-2</v>
      </c>
      <c r="AC32" s="138">
        <v>0</v>
      </c>
      <c r="AD32" s="138">
        <v>0</v>
      </c>
      <c r="AE32" s="138">
        <v>0</v>
      </c>
      <c r="AF32" s="138">
        <v>7.0000000000000007E-2</v>
      </c>
      <c r="AG32" s="138">
        <v>0</v>
      </c>
      <c r="AH32" s="138">
        <v>0</v>
      </c>
    </row>
    <row r="33" spans="1:34" customFormat="1" x14ac:dyDescent="0.15">
      <c r="A33" s="144" t="s">
        <v>223</v>
      </c>
      <c r="B33" s="138">
        <v>0</v>
      </c>
      <c r="C33" s="138">
        <v>0</v>
      </c>
      <c r="D33" s="138">
        <v>0.55000000000000004</v>
      </c>
      <c r="E33" s="138">
        <v>0</v>
      </c>
      <c r="F33" s="138">
        <v>0</v>
      </c>
      <c r="G33" s="138">
        <v>0.2</v>
      </c>
      <c r="H33" s="138">
        <v>0</v>
      </c>
      <c r="I33" s="138">
        <v>0</v>
      </c>
      <c r="J33" s="138">
        <v>0</v>
      </c>
      <c r="K33" s="138">
        <v>0</v>
      </c>
      <c r="L33" s="138">
        <v>0</v>
      </c>
      <c r="M33" s="138">
        <v>0</v>
      </c>
      <c r="N33" s="138">
        <v>0</v>
      </c>
      <c r="O33" s="138">
        <v>0</v>
      </c>
      <c r="P33" s="138">
        <v>0</v>
      </c>
      <c r="Q33" s="138">
        <v>0</v>
      </c>
      <c r="R33" s="138">
        <v>0</v>
      </c>
      <c r="S33" s="138">
        <v>0</v>
      </c>
      <c r="T33" s="138">
        <v>0</v>
      </c>
      <c r="U33" s="138">
        <v>0</v>
      </c>
      <c r="V33" s="138">
        <v>0</v>
      </c>
      <c r="W33" s="138">
        <v>0</v>
      </c>
      <c r="X33" s="138">
        <v>0</v>
      </c>
      <c r="Y33" s="138">
        <v>0</v>
      </c>
      <c r="Z33" s="138">
        <v>0</v>
      </c>
      <c r="AA33" s="138">
        <v>0</v>
      </c>
      <c r="AB33" s="138">
        <v>0</v>
      </c>
      <c r="AC33" s="138">
        <v>0</v>
      </c>
      <c r="AD33" s="138">
        <v>0</v>
      </c>
      <c r="AE33" s="138">
        <v>0.95</v>
      </c>
      <c r="AF33" s="138">
        <v>0.8</v>
      </c>
      <c r="AG33" s="138">
        <v>0</v>
      </c>
      <c r="AH33" s="138">
        <v>0</v>
      </c>
    </row>
    <row r="34" spans="1:34" customFormat="1" x14ac:dyDescent="0.15">
      <c r="A34" s="144" t="s">
        <v>224</v>
      </c>
      <c r="B34" s="138">
        <v>0</v>
      </c>
      <c r="C34" s="138">
        <v>0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  <c r="P34" s="138">
        <v>0</v>
      </c>
      <c r="Q34" s="138">
        <v>0</v>
      </c>
      <c r="R34" s="138">
        <v>0</v>
      </c>
      <c r="S34" s="138">
        <v>0</v>
      </c>
      <c r="T34" s="138">
        <v>0</v>
      </c>
      <c r="U34" s="138">
        <v>0</v>
      </c>
      <c r="V34" s="138">
        <v>0</v>
      </c>
      <c r="W34" s="138">
        <v>0</v>
      </c>
      <c r="X34" s="138">
        <v>0</v>
      </c>
      <c r="Y34" s="138">
        <v>0</v>
      </c>
      <c r="Z34" s="138">
        <v>0</v>
      </c>
      <c r="AA34" s="138">
        <v>0</v>
      </c>
      <c r="AB34" s="138">
        <v>0</v>
      </c>
      <c r="AC34" s="138">
        <v>0</v>
      </c>
      <c r="AD34" s="138">
        <v>0</v>
      </c>
      <c r="AE34" s="138">
        <v>0</v>
      </c>
      <c r="AF34" s="138">
        <v>0</v>
      </c>
      <c r="AG34" s="138">
        <v>0</v>
      </c>
      <c r="AH34" s="138">
        <v>0</v>
      </c>
    </row>
    <row r="35" spans="1:34" customFormat="1" x14ac:dyDescent="0.15">
      <c r="A35" s="144" t="s">
        <v>227</v>
      </c>
      <c r="B35" s="138">
        <v>0</v>
      </c>
      <c r="C35" s="138">
        <v>0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  <c r="P35" s="138">
        <v>0</v>
      </c>
      <c r="Q35" s="138">
        <v>4.9999999999999989E-2</v>
      </c>
      <c r="R35" s="138">
        <v>0</v>
      </c>
      <c r="S35" s="138">
        <v>0</v>
      </c>
      <c r="T35" s="138">
        <v>0</v>
      </c>
      <c r="U35" s="138">
        <v>0</v>
      </c>
      <c r="V35" s="138">
        <v>0</v>
      </c>
      <c r="W35" s="138">
        <v>0</v>
      </c>
      <c r="X35" s="138">
        <v>0</v>
      </c>
      <c r="Y35" s="138">
        <v>0</v>
      </c>
      <c r="Z35" s="138">
        <v>0</v>
      </c>
      <c r="AA35" s="138">
        <v>0</v>
      </c>
      <c r="AB35" s="138">
        <v>0</v>
      </c>
      <c r="AC35" s="138">
        <v>0</v>
      </c>
      <c r="AD35" s="138">
        <v>0</v>
      </c>
      <c r="AE35" s="138">
        <v>0</v>
      </c>
      <c r="AF35" s="138">
        <v>0</v>
      </c>
      <c r="AG35" s="138">
        <v>0</v>
      </c>
      <c r="AH35" s="138">
        <v>0</v>
      </c>
    </row>
    <row r="36" spans="1:34" customFormat="1" x14ac:dyDescent="0.15"/>
    <row r="37" spans="1:34" customFormat="1" x14ac:dyDescent="0.15"/>
    <row r="38" spans="1:34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8" activePane="bottomRight" state="frozen"/>
      <selection pane="topRight" activeCell="C1" sqref="C1"/>
      <selection pane="bottomLeft" activeCell="A2" sqref="A2"/>
      <selection pane="bottomRight" activeCell="H39" sqref="H39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1" style="108" customWidth="1"/>
    <col min="5" max="6" width="11" style="107" customWidth="1"/>
    <col min="7" max="8" width="8.83203125" style="108"/>
  </cols>
  <sheetData>
    <row r="1" spans="1:8" ht="70" x14ac:dyDescent="0.15">
      <c r="A1" s="5" t="s">
        <v>20</v>
      </c>
      <c r="B1" s="1" t="s">
        <v>0</v>
      </c>
      <c r="C1" s="147" t="s">
        <v>223</v>
      </c>
      <c r="D1" s="147" t="s">
        <v>224</v>
      </c>
      <c r="E1" s="147" t="s">
        <v>228</v>
      </c>
      <c r="F1" s="147" t="s">
        <v>229</v>
      </c>
      <c r="G1"/>
      <c r="H1"/>
    </row>
    <row r="2" spans="1:8" x14ac:dyDescent="0.15">
      <c r="A2">
        <v>1</v>
      </c>
      <c r="B2" s="146" t="s">
        <v>192</v>
      </c>
      <c r="C2" s="108">
        <v>1</v>
      </c>
      <c r="D2" s="108">
        <v>0</v>
      </c>
      <c r="E2" s="107">
        <v>0</v>
      </c>
      <c r="F2" s="107">
        <v>1</v>
      </c>
      <c r="G2"/>
      <c r="H2"/>
    </row>
    <row r="3" spans="1:8" x14ac:dyDescent="0.15">
      <c r="A3">
        <v>2</v>
      </c>
      <c r="B3" s="146" t="s">
        <v>193</v>
      </c>
      <c r="C3" s="108">
        <v>1</v>
      </c>
      <c r="D3" s="108">
        <v>0</v>
      </c>
      <c r="E3" s="107">
        <v>0</v>
      </c>
      <c r="F3" s="107">
        <v>1</v>
      </c>
      <c r="G3"/>
      <c r="H3"/>
    </row>
    <row r="4" spans="1:8" x14ac:dyDescent="0.15">
      <c r="A4">
        <v>3</v>
      </c>
      <c r="B4" s="146" t="s">
        <v>194</v>
      </c>
      <c r="C4" s="108">
        <v>1</v>
      </c>
      <c r="D4" s="108">
        <v>0</v>
      </c>
      <c r="E4" s="107">
        <v>0</v>
      </c>
      <c r="F4" s="107">
        <v>1</v>
      </c>
      <c r="G4"/>
      <c r="H4"/>
    </row>
    <row r="5" spans="1:8" x14ac:dyDescent="0.15">
      <c r="A5">
        <v>4</v>
      </c>
      <c r="B5" s="146" t="s">
        <v>195</v>
      </c>
      <c r="C5" s="108">
        <v>1</v>
      </c>
      <c r="D5" s="108">
        <v>0</v>
      </c>
      <c r="E5" s="107">
        <v>0</v>
      </c>
      <c r="F5" s="107">
        <v>1</v>
      </c>
      <c r="G5"/>
      <c r="H5"/>
    </row>
    <row r="6" spans="1:8" x14ac:dyDescent="0.15">
      <c r="A6">
        <v>5</v>
      </c>
      <c r="B6" s="146" t="s">
        <v>196</v>
      </c>
      <c r="C6" s="108">
        <v>1</v>
      </c>
      <c r="D6" s="108">
        <v>0</v>
      </c>
      <c r="E6" s="107">
        <v>0</v>
      </c>
      <c r="F6" s="107">
        <v>1</v>
      </c>
      <c r="G6"/>
      <c r="H6"/>
    </row>
    <row r="7" spans="1:8" x14ac:dyDescent="0.15">
      <c r="A7">
        <v>6</v>
      </c>
      <c r="B7" s="146" t="s">
        <v>197</v>
      </c>
      <c r="C7" s="108">
        <v>1</v>
      </c>
      <c r="D7" s="108">
        <v>0</v>
      </c>
      <c r="E7" s="107">
        <v>0</v>
      </c>
      <c r="F7" s="107">
        <v>1</v>
      </c>
      <c r="G7"/>
      <c r="H7"/>
    </row>
    <row r="8" spans="1:8" x14ac:dyDescent="0.15">
      <c r="A8">
        <v>7</v>
      </c>
      <c r="B8" s="146" t="s">
        <v>198</v>
      </c>
      <c r="C8" s="108">
        <v>1</v>
      </c>
      <c r="D8" s="108">
        <v>0</v>
      </c>
      <c r="E8" s="107">
        <v>0</v>
      </c>
      <c r="F8" s="107">
        <v>1</v>
      </c>
      <c r="G8"/>
      <c r="H8"/>
    </row>
    <row r="9" spans="1:8" x14ac:dyDescent="0.15">
      <c r="A9">
        <v>8</v>
      </c>
      <c r="B9" s="146" t="s">
        <v>199</v>
      </c>
      <c r="C9" s="108">
        <v>1</v>
      </c>
      <c r="D9" s="108">
        <v>0</v>
      </c>
      <c r="E9" s="107">
        <v>0</v>
      </c>
      <c r="F9" s="107">
        <v>1</v>
      </c>
      <c r="G9"/>
      <c r="H9"/>
    </row>
    <row r="10" spans="1:8" x14ac:dyDescent="0.15">
      <c r="A10">
        <v>9</v>
      </c>
      <c r="B10" s="146" t="s">
        <v>200</v>
      </c>
      <c r="C10" s="108">
        <v>1</v>
      </c>
      <c r="D10" s="108">
        <v>0</v>
      </c>
      <c r="E10" s="107">
        <v>0</v>
      </c>
      <c r="F10" s="107">
        <v>1</v>
      </c>
      <c r="G10"/>
      <c r="H10"/>
    </row>
    <row r="11" spans="1:8" x14ac:dyDescent="0.15">
      <c r="A11">
        <v>10</v>
      </c>
      <c r="B11" s="146" t="s">
        <v>201</v>
      </c>
      <c r="C11" s="108">
        <v>1</v>
      </c>
      <c r="D11" s="108">
        <v>0</v>
      </c>
      <c r="E11" s="107">
        <v>0</v>
      </c>
      <c r="F11" s="107">
        <v>1</v>
      </c>
      <c r="G11"/>
      <c r="H11"/>
    </row>
    <row r="12" spans="1:8" x14ac:dyDescent="0.15">
      <c r="A12">
        <v>11</v>
      </c>
      <c r="B12" s="146" t="s">
        <v>202</v>
      </c>
      <c r="C12" s="108">
        <v>1</v>
      </c>
      <c r="D12" s="108">
        <v>0</v>
      </c>
      <c r="E12" s="107">
        <v>0</v>
      </c>
      <c r="F12" s="107">
        <v>1</v>
      </c>
      <c r="G12"/>
      <c r="H12"/>
    </row>
    <row r="13" spans="1:8" x14ac:dyDescent="0.15">
      <c r="A13">
        <v>12</v>
      </c>
      <c r="B13" s="146" t="s">
        <v>203</v>
      </c>
      <c r="C13" s="108">
        <v>1</v>
      </c>
      <c r="D13" s="108">
        <v>0</v>
      </c>
      <c r="E13" s="107">
        <v>0</v>
      </c>
      <c r="F13" s="107">
        <v>1</v>
      </c>
      <c r="G13"/>
      <c r="H13"/>
    </row>
    <row r="14" spans="1:8" x14ac:dyDescent="0.15">
      <c r="A14">
        <v>13</v>
      </c>
      <c r="B14" s="146" t="s">
        <v>204</v>
      </c>
      <c r="C14" s="108">
        <v>1</v>
      </c>
      <c r="D14" s="108">
        <v>0</v>
      </c>
      <c r="E14" s="107">
        <v>0</v>
      </c>
      <c r="F14" s="107">
        <v>1</v>
      </c>
      <c r="G14"/>
      <c r="H14"/>
    </row>
    <row r="15" spans="1:8" x14ac:dyDescent="0.15">
      <c r="A15">
        <v>14</v>
      </c>
      <c r="B15" s="146" t="s">
        <v>205</v>
      </c>
      <c r="C15" s="108">
        <v>1</v>
      </c>
      <c r="D15" s="108">
        <v>0</v>
      </c>
      <c r="E15" s="107">
        <v>0</v>
      </c>
      <c r="F15" s="107">
        <v>1</v>
      </c>
      <c r="G15"/>
      <c r="H15"/>
    </row>
    <row r="16" spans="1:8" x14ac:dyDescent="0.15">
      <c r="A16">
        <v>15</v>
      </c>
      <c r="B16" s="146" t="s">
        <v>206</v>
      </c>
      <c r="C16" s="108">
        <v>1</v>
      </c>
      <c r="D16" s="108">
        <v>0</v>
      </c>
      <c r="E16" s="107">
        <v>0</v>
      </c>
      <c r="F16" s="107">
        <v>1</v>
      </c>
      <c r="G16"/>
      <c r="H16"/>
    </row>
    <row r="17" spans="1:8" ht="15" customHeight="1" x14ac:dyDescent="0.15">
      <c r="A17">
        <v>16</v>
      </c>
      <c r="B17" s="146" t="s">
        <v>207</v>
      </c>
      <c r="C17" s="108">
        <v>1</v>
      </c>
      <c r="D17" s="108">
        <v>0</v>
      </c>
      <c r="E17" s="107">
        <v>0</v>
      </c>
      <c r="F17" s="107">
        <v>1</v>
      </c>
      <c r="G17"/>
      <c r="H17"/>
    </row>
    <row r="18" spans="1:8" ht="15" customHeight="1" x14ac:dyDescent="0.15">
      <c r="A18">
        <v>17</v>
      </c>
      <c r="B18" s="146" t="s">
        <v>208</v>
      </c>
      <c r="C18" s="108">
        <v>1</v>
      </c>
      <c r="D18" s="108">
        <v>0</v>
      </c>
      <c r="E18" s="107">
        <v>0</v>
      </c>
      <c r="F18" s="107">
        <v>1</v>
      </c>
      <c r="G18"/>
      <c r="H18"/>
    </row>
    <row r="19" spans="1:8" ht="15" customHeight="1" x14ac:dyDescent="0.15">
      <c r="A19">
        <v>18</v>
      </c>
      <c r="B19" s="146" t="s">
        <v>209</v>
      </c>
      <c r="C19" s="108">
        <v>1</v>
      </c>
      <c r="D19" s="108">
        <v>0</v>
      </c>
      <c r="E19" s="107">
        <v>0</v>
      </c>
      <c r="F19" s="107">
        <v>1</v>
      </c>
      <c r="G19"/>
      <c r="H19"/>
    </row>
    <row r="20" spans="1:8" ht="15" customHeight="1" x14ac:dyDescent="0.15">
      <c r="A20">
        <v>19</v>
      </c>
      <c r="B20" s="146" t="s">
        <v>210</v>
      </c>
      <c r="C20" s="108">
        <v>1</v>
      </c>
      <c r="D20" s="108">
        <v>0</v>
      </c>
      <c r="E20" s="107">
        <v>0</v>
      </c>
      <c r="F20" s="107">
        <v>1</v>
      </c>
      <c r="G20"/>
      <c r="H20"/>
    </row>
    <row r="21" spans="1:8" ht="15" customHeight="1" x14ac:dyDescent="0.15">
      <c r="A21">
        <v>20</v>
      </c>
      <c r="B21" s="146" t="s">
        <v>211</v>
      </c>
      <c r="C21" s="108">
        <v>1</v>
      </c>
      <c r="D21" s="108">
        <v>0</v>
      </c>
      <c r="E21" s="107">
        <v>0</v>
      </c>
      <c r="F21" s="107">
        <v>1</v>
      </c>
      <c r="G21"/>
      <c r="H21"/>
    </row>
    <row r="22" spans="1:8" ht="15" customHeight="1" x14ac:dyDescent="0.15">
      <c r="A22">
        <v>21</v>
      </c>
      <c r="B22" s="146" t="s">
        <v>212</v>
      </c>
      <c r="C22" s="108">
        <v>1</v>
      </c>
      <c r="D22" s="108">
        <v>0</v>
      </c>
      <c r="E22" s="107">
        <v>0</v>
      </c>
      <c r="F22" s="107">
        <v>1</v>
      </c>
      <c r="G22"/>
      <c r="H22"/>
    </row>
    <row r="23" spans="1:8" ht="15" customHeight="1" x14ac:dyDescent="0.15">
      <c r="A23">
        <v>22</v>
      </c>
      <c r="B23" s="146" t="s">
        <v>213</v>
      </c>
      <c r="C23" s="108">
        <v>1</v>
      </c>
      <c r="D23" s="108">
        <v>0</v>
      </c>
      <c r="E23" s="107">
        <v>0</v>
      </c>
      <c r="F23" s="107">
        <v>1</v>
      </c>
      <c r="G23"/>
      <c r="H23"/>
    </row>
    <row r="24" spans="1:8" ht="15" customHeight="1" x14ac:dyDescent="0.15">
      <c r="A24">
        <v>23</v>
      </c>
      <c r="B24" s="146" t="s">
        <v>214</v>
      </c>
      <c r="C24" s="108">
        <v>1</v>
      </c>
      <c r="D24" s="108">
        <v>0</v>
      </c>
      <c r="E24" s="107">
        <v>0</v>
      </c>
      <c r="F24" s="107">
        <v>1</v>
      </c>
      <c r="G24"/>
      <c r="H24"/>
    </row>
    <row r="25" spans="1:8" ht="15" customHeight="1" x14ac:dyDescent="0.15">
      <c r="A25">
        <v>24</v>
      </c>
      <c r="B25" s="146" t="s">
        <v>215</v>
      </c>
      <c r="C25" s="108">
        <v>1</v>
      </c>
      <c r="D25" s="108">
        <v>0</v>
      </c>
      <c r="E25" s="107">
        <v>0</v>
      </c>
      <c r="F25" s="107">
        <v>1</v>
      </c>
      <c r="G25"/>
      <c r="H25"/>
    </row>
    <row r="26" spans="1:8" ht="15" customHeight="1" x14ac:dyDescent="0.15">
      <c r="A26">
        <v>25</v>
      </c>
      <c r="B26" s="146" t="s">
        <v>216</v>
      </c>
      <c r="C26" s="108">
        <v>1</v>
      </c>
      <c r="D26" s="108">
        <v>0</v>
      </c>
      <c r="E26" s="107">
        <v>0</v>
      </c>
      <c r="F26" s="107">
        <v>1</v>
      </c>
      <c r="G26"/>
      <c r="H26"/>
    </row>
    <row r="27" spans="1:8" ht="15" customHeight="1" x14ac:dyDescent="0.15">
      <c r="A27">
        <v>26</v>
      </c>
      <c r="B27" s="146" t="s">
        <v>217</v>
      </c>
      <c r="C27" s="108">
        <v>1</v>
      </c>
      <c r="D27" s="108">
        <v>0</v>
      </c>
      <c r="E27" s="107">
        <v>0</v>
      </c>
      <c r="F27" s="107">
        <v>1</v>
      </c>
      <c r="G27"/>
      <c r="H27"/>
    </row>
    <row r="28" spans="1:8" ht="15" customHeight="1" x14ac:dyDescent="0.15">
      <c r="A28">
        <v>27</v>
      </c>
      <c r="B28" s="146" t="s">
        <v>218</v>
      </c>
      <c r="C28" s="108">
        <v>1</v>
      </c>
      <c r="D28" s="108">
        <v>0</v>
      </c>
      <c r="E28" s="107">
        <v>0</v>
      </c>
      <c r="F28" s="107">
        <v>1</v>
      </c>
      <c r="G28"/>
      <c r="H28"/>
    </row>
    <row r="29" spans="1:8" ht="15" customHeight="1" x14ac:dyDescent="0.15">
      <c r="A29">
        <v>28</v>
      </c>
      <c r="B29" s="146" t="s">
        <v>219</v>
      </c>
      <c r="C29" s="108">
        <v>1</v>
      </c>
      <c r="D29" s="108">
        <v>0</v>
      </c>
      <c r="E29" s="107">
        <v>0</v>
      </c>
      <c r="F29" s="107">
        <v>1</v>
      </c>
      <c r="G29"/>
      <c r="H29"/>
    </row>
    <row r="30" spans="1:8" ht="15" customHeight="1" x14ac:dyDescent="0.15">
      <c r="A30">
        <v>29</v>
      </c>
      <c r="B30" s="146" t="s">
        <v>220</v>
      </c>
      <c r="C30" s="108">
        <v>1</v>
      </c>
      <c r="D30" s="108">
        <v>0</v>
      </c>
      <c r="E30" s="107">
        <v>0</v>
      </c>
      <c r="F30" s="107">
        <v>1</v>
      </c>
      <c r="G30"/>
      <c r="H30"/>
    </row>
    <row r="31" spans="1:8" ht="15" customHeight="1" x14ac:dyDescent="0.15">
      <c r="A31">
        <v>30</v>
      </c>
      <c r="B31" s="146" t="s">
        <v>221</v>
      </c>
      <c r="C31" s="108">
        <v>1</v>
      </c>
      <c r="D31" s="108">
        <v>0</v>
      </c>
      <c r="E31" s="107">
        <v>0</v>
      </c>
      <c r="F31" s="107">
        <v>1</v>
      </c>
      <c r="G31"/>
      <c r="H31"/>
    </row>
    <row r="32" spans="1:8" ht="15" customHeight="1" x14ac:dyDescent="0.15">
      <c r="A32">
        <v>31</v>
      </c>
      <c r="B32" s="146" t="s">
        <v>222</v>
      </c>
      <c r="C32" s="108">
        <v>1</v>
      </c>
      <c r="D32" s="108">
        <v>0</v>
      </c>
      <c r="E32" s="107">
        <v>0</v>
      </c>
      <c r="F32" s="107">
        <v>1</v>
      </c>
    </row>
    <row r="33" spans="1:8" ht="15" customHeight="1" x14ac:dyDescent="0.15">
      <c r="A33">
        <v>32</v>
      </c>
      <c r="B33" s="146" t="s">
        <v>223</v>
      </c>
      <c r="C33" s="108">
        <v>0</v>
      </c>
      <c r="D33" s="108">
        <v>1</v>
      </c>
      <c r="E33" s="107">
        <v>0</v>
      </c>
      <c r="F33" s="107">
        <v>1</v>
      </c>
    </row>
    <row r="34" spans="1:8" ht="15" customHeight="1" x14ac:dyDescent="0.15">
      <c r="A34">
        <v>33</v>
      </c>
      <c r="B34" s="146" t="s">
        <v>224</v>
      </c>
      <c r="C34" s="108">
        <v>0</v>
      </c>
      <c r="D34" s="108">
        <v>0</v>
      </c>
      <c r="E34" s="107">
        <v>1</v>
      </c>
      <c r="F34" s="107">
        <v>1</v>
      </c>
    </row>
    <row r="35" spans="1:8" ht="15" customHeight="1" x14ac:dyDescent="0.15">
      <c r="A35">
        <v>34</v>
      </c>
      <c r="B35" s="146" t="s">
        <v>225</v>
      </c>
      <c r="C35" s="108">
        <v>0</v>
      </c>
      <c r="D35" s="108">
        <v>1</v>
      </c>
      <c r="E35" s="107">
        <v>0</v>
      </c>
      <c r="F35" s="107">
        <v>1</v>
      </c>
    </row>
    <row r="36" spans="1:8" ht="15" customHeight="1" x14ac:dyDescent="0.15">
      <c r="A36">
        <v>35</v>
      </c>
      <c r="B36" s="146" t="s">
        <v>226</v>
      </c>
      <c r="C36" s="108">
        <v>0</v>
      </c>
      <c r="D36" s="108">
        <v>1</v>
      </c>
      <c r="E36" s="108">
        <v>0</v>
      </c>
      <c r="F36" s="108">
        <v>1</v>
      </c>
      <c r="G36"/>
      <c r="H36"/>
    </row>
    <row r="37" spans="1:8" ht="15" customHeight="1" x14ac:dyDescent="0.15">
      <c r="C37"/>
      <c r="D37"/>
      <c r="E37" s="108"/>
      <c r="F37" s="108"/>
      <c r="G37"/>
      <c r="H37"/>
    </row>
    <row r="38" spans="1:8" ht="15" customHeight="1" x14ac:dyDescent="0.15">
      <c r="C38"/>
      <c r="D38"/>
      <c r="E38" s="108"/>
      <c r="F38" s="108"/>
      <c r="G38"/>
      <c r="H38"/>
    </row>
    <row r="39" spans="1:8" ht="15" customHeight="1" x14ac:dyDescent="0.15">
      <c r="C39"/>
      <c r="D39"/>
      <c r="E39" s="108"/>
      <c r="F39" s="108"/>
      <c r="G39"/>
      <c r="H39"/>
    </row>
    <row r="40" spans="1:8" ht="15" customHeight="1" x14ac:dyDescent="0.15">
      <c r="C40"/>
      <c r="D40"/>
      <c r="E40" s="108"/>
      <c r="F40" s="108"/>
      <c r="G40"/>
      <c r="H40"/>
    </row>
    <row r="41" spans="1:8" ht="15" customHeight="1" x14ac:dyDescent="0.15">
      <c r="C41"/>
      <c r="D41"/>
      <c r="E41" s="108"/>
      <c r="F41" s="108"/>
      <c r="G41"/>
      <c r="H41"/>
    </row>
    <row r="42" spans="1:8" ht="15" customHeight="1" x14ac:dyDescent="0.15">
      <c r="C42"/>
      <c r="D42"/>
      <c r="E42" s="108"/>
      <c r="F42" s="108"/>
      <c r="G42"/>
      <c r="H42"/>
    </row>
    <row r="43" spans="1:8" ht="15" customHeight="1" x14ac:dyDescent="0.15">
      <c r="C43"/>
      <c r="D43"/>
      <c r="E43" s="108"/>
      <c r="F43" s="108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8"/>
      <c r="F46" s="108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3" width="8.83203125" bestFit="1" customWidth="1"/>
    <col min="4" max="5" width="11.83203125" bestFit="1" customWidth="1"/>
  </cols>
  <sheetData>
    <row r="1" spans="1:5" s="109" customFormat="1" ht="112" x14ac:dyDescent="0.15">
      <c r="A1" s="5" t="s">
        <v>21</v>
      </c>
      <c r="B1" s="3" t="s">
        <v>0</v>
      </c>
      <c r="C1" s="149" t="s">
        <v>225</v>
      </c>
      <c r="D1" s="149" t="s">
        <v>226</v>
      </c>
      <c r="E1" s="149" t="s">
        <v>230</v>
      </c>
    </row>
    <row r="2" spans="1:5" ht="15" customHeight="1" x14ac:dyDescent="0.15">
      <c r="A2">
        <v>1</v>
      </c>
      <c r="B2" s="148" t="s">
        <v>192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48" t="s">
        <v>193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48" t="s">
        <v>194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48" t="s">
        <v>195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48" t="s">
        <v>196</v>
      </c>
      <c r="C6">
        <v>0</v>
      </c>
      <c r="D6">
        <v>0</v>
      </c>
      <c r="E6">
        <v>0</v>
      </c>
    </row>
    <row r="7" spans="1:5" ht="15" customHeight="1" x14ac:dyDescent="0.15">
      <c r="A7">
        <v>6</v>
      </c>
      <c r="B7" s="148" t="s">
        <v>197</v>
      </c>
      <c r="C7">
        <v>0</v>
      </c>
      <c r="D7">
        <v>0</v>
      </c>
      <c r="E7">
        <v>0</v>
      </c>
    </row>
    <row r="8" spans="1:5" ht="15" customHeight="1" x14ac:dyDescent="0.15">
      <c r="A8">
        <v>7</v>
      </c>
      <c r="B8" s="148" t="s">
        <v>198</v>
      </c>
      <c r="C8">
        <v>0</v>
      </c>
      <c r="D8">
        <v>0</v>
      </c>
      <c r="E8">
        <v>0</v>
      </c>
    </row>
    <row r="9" spans="1:5" ht="15" customHeight="1" x14ac:dyDescent="0.15">
      <c r="A9">
        <v>8</v>
      </c>
      <c r="B9" s="148" t="s">
        <v>199</v>
      </c>
      <c r="C9">
        <v>0</v>
      </c>
      <c r="D9">
        <v>0</v>
      </c>
      <c r="E9">
        <v>0</v>
      </c>
    </row>
    <row r="10" spans="1:5" ht="15" customHeight="1" x14ac:dyDescent="0.15">
      <c r="A10">
        <v>9</v>
      </c>
      <c r="B10" s="148" t="s">
        <v>200</v>
      </c>
      <c r="C10">
        <v>0</v>
      </c>
      <c r="D10">
        <v>0</v>
      </c>
      <c r="E10">
        <v>0</v>
      </c>
    </row>
    <row r="11" spans="1:5" ht="15" customHeight="1" x14ac:dyDescent="0.15">
      <c r="A11">
        <v>10</v>
      </c>
      <c r="B11" s="148" t="s">
        <v>201</v>
      </c>
      <c r="C11">
        <v>0</v>
      </c>
      <c r="D11">
        <v>0</v>
      </c>
      <c r="E11">
        <v>0</v>
      </c>
    </row>
    <row r="12" spans="1:5" ht="15" customHeight="1" x14ac:dyDescent="0.15">
      <c r="A12">
        <v>11</v>
      </c>
      <c r="B12" s="148" t="s">
        <v>202</v>
      </c>
      <c r="C12">
        <v>0</v>
      </c>
      <c r="D12">
        <v>0</v>
      </c>
      <c r="E12">
        <v>0</v>
      </c>
    </row>
    <row r="13" spans="1:5" ht="15" customHeight="1" x14ac:dyDescent="0.15">
      <c r="A13">
        <v>12</v>
      </c>
      <c r="B13" s="148" t="s">
        <v>203</v>
      </c>
      <c r="C13">
        <v>0</v>
      </c>
      <c r="D13">
        <v>0</v>
      </c>
      <c r="E13">
        <v>0</v>
      </c>
    </row>
    <row r="14" spans="1:5" ht="15" customHeight="1" x14ac:dyDescent="0.15">
      <c r="A14">
        <v>13</v>
      </c>
      <c r="B14" s="148" t="s">
        <v>204</v>
      </c>
      <c r="C14">
        <v>0</v>
      </c>
      <c r="D14">
        <v>0</v>
      </c>
      <c r="E14">
        <v>0</v>
      </c>
    </row>
    <row r="15" spans="1:5" ht="15" customHeight="1" x14ac:dyDescent="0.15">
      <c r="A15">
        <v>14</v>
      </c>
      <c r="B15" s="148" t="s">
        <v>205</v>
      </c>
      <c r="C15">
        <v>0</v>
      </c>
      <c r="D15">
        <v>0</v>
      </c>
      <c r="E15">
        <v>0</v>
      </c>
    </row>
    <row r="16" spans="1:5" ht="15" customHeight="1" x14ac:dyDescent="0.15">
      <c r="A16">
        <v>15</v>
      </c>
      <c r="B16" s="148" t="s">
        <v>206</v>
      </c>
      <c r="C16">
        <v>1.2489999999999999E-3</v>
      </c>
      <c r="D16">
        <v>0</v>
      </c>
      <c r="E16">
        <v>1.2489999999999999E-3</v>
      </c>
    </row>
    <row r="17" spans="1:5" ht="15" customHeight="1" x14ac:dyDescent="0.15">
      <c r="A17">
        <v>16</v>
      </c>
      <c r="B17" s="148" t="s">
        <v>207</v>
      </c>
      <c r="C17">
        <v>1.72E-2</v>
      </c>
      <c r="D17">
        <v>0</v>
      </c>
      <c r="E17">
        <v>1.72E-2</v>
      </c>
    </row>
    <row r="18" spans="1:5" ht="15" customHeight="1" x14ac:dyDescent="0.15">
      <c r="A18">
        <v>17</v>
      </c>
      <c r="B18" s="148" t="s">
        <v>208</v>
      </c>
      <c r="C18">
        <v>0</v>
      </c>
      <c r="D18">
        <v>0</v>
      </c>
      <c r="E18">
        <v>0</v>
      </c>
    </row>
    <row r="19" spans="1:5" ht="15" customHeight="1" x14ac:dyDescent="0.15">
      <c r="A19">
        <v>18</v>
      </c>
      <c r="B19" s="148" t="s">
        <v>209</v>
      </c>
      <c r="C19">
        <v>0</v>
      </c>
      <c r="D19">
        <v>0</v>
      </c>
      <c r="E19">
        <v>0</v>
      </c>
    </row>
    <row r="20" spans="1:5" ht="15" customHeight="1" x14ac:dyDescent="0.15">
      <c r="A20">
        <v>19</v>
      </c>
      <c r="B20" s="148" t="s">
        <v>210</v>
      </c>
      <c r="C20">
        <v>0</v>
      </c>
      <c r="D20">
        <v>0</v>
      </c>
      <c r="E20">
        <v>0</v>
      </c>
    </row>
    <row r="21" spans="1:5" ht="15" customHeight="1" x14ac:dyDescent="0.15">
      <c r="A21">
        <v>20</v>
      </c>
      <c r="B21" s="148" t="s">
        <v>211</v>
      </c>
      <c r="C21">
        <v>0</v>
      </c>
      <c r="D21">
        <v>0</v>
      </c>
      <c r="E21">
        <v>0</v>
      </c>
    </row>
    <row r="22" spans="1:5" ht="15" customHeight="1" x14ac:dyDescent="0.15">
      <c r="A22">
        <v>21</v>
      </c>
      <c r="B22" s="148" t="s">
        <v>212</v>
      </c>
      <c r="C22">
        <v>0</v>
      </c>
      <c r="D22">
        <v>0</v>
      </c>
      <c r="E22">
        <v>0</v>
      </c>
    </row>
    <row r="23" spans="1:5" ht="15" customHeight="1" x14ac:dyDescent="0.15">
      <c r="A23">
        <v>22</v>
      </c>
      <c r="B23" s="148" t="s">
        <v>213</v>
      </c>
      <c r="C23">
        <v>0</v>
      </c>
      <c r="D23">
        <v>0</v>
      </c>
      <c r="E23">
        <v>0</v>
      </c>
    </row>
    <row r="24" spans="1:5" ht="15" customHeight="1" x14ac:dyDescent="0.15">
      <c r="A24">
        <v>23</v>
      </c>
      <c r="B24" s="148" t="s">
        <v>214</v>
      </c>
      <c r="C24">
        <v>0</v>
      </c>
      <c r="D24">
        <v>0</v>
      </c>
      <c r="E24">
        <v>0</v>
      </c>
    </row>
    <row r="25" spans="1:5" ht="15" customHeight="1" x14ac:dyDescent="0.15">
      <c r="A25">
        <v>24</v>
      </c>
      <c r="B25" s="148" t="s">
        <v>215</v>
      </c>
      <c r="C25">
        <v>0</v>
      </c>
      <c r="D25">
        <v>0</v>
      </c>
      <c r="E25">
        <v>0</v>
      </c>
    </row>
    <row r="26" spans="1:5" ht="15" customHeight="1" x14ac:dyDescent="0.15">
      <c r="A26">
        <v>25</v>
      </c>
      <c r="B26" s="148" t="s">
        <v>216</v>
      </c>
      <c r="C26">
        <v>0</v>
      </c>
      <c r="D26">
        <v>0</v>
      </c>
      <c r="E26">
        <v>0</v>
      </c>
    </row>
    <row r="27" spans="1:5" ht="15" customHeight="1" x14ac:dyDescent="0.15">
      <c r="A27">
        <v>26</v>
      </c>
      <c r="B27" s="148" t="s">
        <v>217</v>
      </c>
      <c r="C27">
        <v>0</v>
      </c>
      <c r="D27">
        <v>0</v>
      </c>
      <c r="E27">
        <v>0</v>
      </c>
    </row>
    <row r="28" spans="1:5" ht="15" customHeight="1" x14ac:dyDescent="0.15">
      <c r="A28">
        <v>27</v>
      </c>
      <c r="B28" s="148" t="s">
        <v>218</v>
      </c>
      <c r="C28">
        <v>0</v>
      </c>
      <c r="D28">
        <v>8.9300000000000002E-4</v>
      </c>
      <c r="E28">
        <v>8.9300000000000002E-4</v>
      </c>
    </row>
    <row r="29" spans="1:5" ht="15" customHeight="1" x14ac:dyDescent="0.15">
      <c r="A29">
        <v>28</v>
      </c>
      <c r="B29" s="148" t="s">
        <v>219</v>
      </c>
      <c r="C29">
        <v>0</v>
      </c>
      <c r="D29">
        <v>0</v>
      </c>
      <c r="E29">
        <v>0</v>
      </c>
    </row>
    <row r="30" spans="1:5" ht="15" customHeight="1" x14ac:dyDescent="0.15">
      <c r="A30">
        <v>29</v>
      </c>
      <c r="B30" s="148" t="s">
        <v>220</v>
      </c>
      <c r="C30">
        <v>0</v>
      </c>
      <c r="D30">
        <v>2.7403399999999999E-4</v>
      </c>
      <c r="E30">
        <v>2.7403399999999999E-4</v>
      </c>
    </row>
    <row r="31" spans="1:5" ht="15" customHeight="1" x14ac:dyDescent="0.15">
      <c r="A31">
        <v>30</v>
      </c>
      <c r="B31" s="148" t="s">
        <v>221</v>
      </c>
      <c r="C31">
        <v>0</v>
      </c>
      <c r="D31">
        <v>0</v>
      </c>
      <c r="E31">
        <v>0</v>
      </c>
    </row>
    <row r="32" spans="1:5" ht="15" customHeight="1" x14ac:dyDescent="0.15">
      <c r="A32">
        <v>31</v>
      </c>
      <c r="B32" s="148" t="s">
        <v>222</v>
      </c>
      <c r="C32">
        <v>0</v>
      </c>
      <c r="D32">
        <v>0</v>
      </c>
      <c r="E32">
        <v>0</v>
      </c>
    </row>
    <row r="33" spans="1:5" ht="15" customHeight="1" x14ac:dyDescent="0.15">
      <c r="A33">
        <v>32</v>
      </c>
      <c r="B33" s="148" t="s">
        <v>223</v>
      </c>
      <c r="C33">
        <v>0</v>
      </c>
      <c r="D33">
        <v>0</v>
      </c>
      <c r="E33">
        <v>0</v>
      </c>
    </row>
    <row r="34" spans="1:5" ht="15" customHeight="1" x14ac:dyDescent="0.15">
      <c r="A34">
        <v>33</v>
      </c>
      <c r="B34" s="148" t="s">
        <v>224</v>
      </c>
      <c r="C34">
        <v>0</v>
      </c>
      <c r="D34">
        <v>0</v>
      </c>
      <c r="E34">
        <v>0</v>
      </c>
    </row>
    <row r="35" spans="1:5" ht="15" customHeight="1" x14ac:dyDescent="0.15"/>
    <row r="36" spans="1:5" ht="15" customHeight="1" x14ac:dyDescent="0.15"/>
    <row r="37" spans="1:5" ht="15" customHeight="1" x14ac:dyDescent="0.15"/>
    <row r="38" spans="1:5" ht="15" customHeight="1" x14ac:dyDescent="0.15"/>
    <row r="39" spans="1:5" ht="15" customHeight="1" x14ac:dyDescent="0.15"/>
    <row r="40" spans="1:5" ht="15" customHeight="1" x14ac:dyDescent="0.15"/>
    <row r="41" spans="1:5" ht="15" customHeight="1" x14ac:dyDescent="0.15"/>
    <row r="42" spans="1:5" ht="15" customHeight="1" x14ac:dyDescent="0.15"/>
    <row r="43" spans="1:5" ht="15" customHeight="1" x14ac:dyDescent="0.15"/>
    <row r="44" spans="1:5" ht="15" customHeight="1" x14ac:dyDescent="0.15"/>
    <row r="45" spans="1:5" ht="15" customHeight="1" x14ac:dyDescent="0.15"/>
    <row r="46" spans="1:5" ht="15" customHeight="1" x14ac:dyDescent="0.15"/>
    <row r="47" spans="1:5" ht="15" customHeight="1" x14ac:dyDescent="0.15"/>
    <row r="48" spans="1: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5" width="2.33203125" bestFit="1" customWidth="1"/>
  </cols>
  <sheetData>
    <row r="1" spans="1:5" s="109" customFormat="1" ht="112" x14ac:dyDescent="0.15">
      <c r="A1" s="5" t="s">
        <v>22</v>
      </c>
      <c r="B1" s="3" t="s">
        <v>0</v>
      </c>
      <c r="C1" s="151" t="s">
        <v>225</v>
      </c>
      <c r="D1" s="151" t="s">
        <v>226</v>
      </c>
      <c r="E1" s="151" t="s">
        <v>230</v>
      </c>
    </row>
    <row r="2" spans="1:5" x14ac:dyDescent="0.15">
      <c r="A2">
        <v>1</v>
      </c>
      <c r="B2" s="150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50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50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50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50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50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50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50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50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50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50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50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50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50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50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50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50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50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50" t="s">
        <v>210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50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50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50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50" t="s">
        <v>214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50" t="s">
        <v>215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50" t="s">
        <v>216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50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50" t="s">
        <v>218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50" t="s">
        <v>219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50" t="s">
        <v>220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50" t="s">
        <v>221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50" t="s">
        <v>222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50" t="s">
        <v>223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50" t="s">
        <v>224</v>
      </c>
      <c r="C34">
        <v>0</v>
      </c>
      <c r="D34">
        <v>0</v>
      </c>
      <c r="E3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10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0" customFormat="1" ht="14" thickBot="1" x14ac:dyDescent="0.2">
      <c r="D1" s="111" t="s">
        <v>8</v>
      </c>
      <c r="E1" s="111" t="s">
        <v>0</v>
      </c>
      <c r="F1" s="112" t="s">
        <v>99</v>
      </c>
      <c r="G1" s="113" t="s">
        <v>84</v>
      </c>
      <c r="H1" s="113" t="s">
        <v>85</v>
      </c>
      <c r="I1" s="113" t="s">
        <v>86</v>
      </c>
      <c r="J1" s="113" t="s">
        <v>87</v>
      </c>
      <c r="K1" s="113" t="s">
        <v>88</v>
      </c>
      <c r="L1" s="114" t="s">
        <v>89</v>
      </c>
      <c r="M1" s="114" t="s">
        <v>93</v>
      </c>
      <c r="N1" s="114" t="s">
        <v>92</v>
      </c>
      <c r="O1" s="114" t="s">
        <v>90</v>
      </c>
      <c r="P1" s="114" t="s">
        <v>91</v>
      </c>
      <c r="Q1" s="115" t="s">
        <v>94</v>
      </c>
      <c r="R1" s="115" t="s">
        <v>95</v>
      </c>
      <c r="S1" s="115" t="s">
        <v>96</v>
      </c>
      <c r="T1" s="115" t="s">
        <v>97</v>
      </c>
      <c r="U1" s="115" t="s">
        <v>98</v>
      </c>
      <c r="V1" s="113" t="s">
        <v>100</v>
      </c>
      <c r="W1" s="113" t="s">
        <v>101</v>
      </c>
      <c r="X1" s="113" t="s">
        <v>102</v>
      </c>
      <c r="Y1" s="113" t="s">
        <v>134</v>
      </c>
      <c r="Z1" s="114" t="s">
        <v>103</v>
      </c>
      <c r="AA1" s="114" t="s">
        <v>104</v>
      </c>
      <c r="AB1" s="114" t="s">
        <v>105</v>
      </c>
      <c r="AC1" s="116" t="s">
        <v>135</v>
      </c>
      <c r="AD1" s="115" t="s">
        <v>106</v>
      </c>
      <c r="AE1" s="115" t="s">
        <v>107</v>
      </c>
      <c r="AF1" s="115" t="s">
        <v>108</v>
      </c>
      <c r="AG1" s="115" t="s">
        <v>136</v>
      </c>
      <c r="AH1" s="113" t="s">
        <v>109</v>
      </c>
      <c r="AI1" s="113" t="s">
        <v>111</v>
      </c>
      <c r="AJ1" s="113" t="s">
        <v>110</v>
      </c>
      <c r="AK1" s="114" t="s">
        <v>115</v>
      </c>
      <c r="AL1" s="114" t="s">
        <v>116</v>
      </c>
      <c r="AM1" s="114" t="s">
        <v>117</v>
      </c>
      <c r="AN1" s="115" t="s">
        <v>112</v>
      </c>
      <c r="AO1" s="115" t="s">
        <v>113</v>
      </c>
      <c r="AP1" s="115" t="s">
        <v>114</v>
      </c>
    </row>
    <row r="2" spans="1:42" x14ac:dyDescent="0.15">
      <c r="A2" s="117" t="s">
        <v>74</v>
      </c>
      <c r="B2" s="118">
        <v>1</v>
      </c>
      <c r="D2">
        <v>1</v>
      </c>
      <c r="E2" s="152" t="s">
        <v>192</v>
      </c>
      <c r="F2">
        <v>0.98</v>
      </c>
      <c r="G2">
        <v>0.8</v>
      </c>
      <c r="H2">
        <v>0.8</v>
      </c>
      <c r="I2">
        <v>0</v>
      </c>
      <c r="J2" s="108">
        <v>0</v>
      </c>
      <c r="K2" s="108">
        <v>0</v>
      </c>
    </row>
    <row r="3" spans="1:42" x14ac:dyDescent="0.15">
      <c r="A3" s="117" t="s">
        <v>75</v>
      </c>
      <c r="B3" s="119">
        <v>1</v>
      </c>
      <c r="D3">
        <v>2</v>
      </c>
      <c r="E3" s="152" t="s">
        <v>193</v>
      </c>
      <c r="F3">
        <v>0.98</v>
      </c>
      <c r="G3">
        <v>0.8</v>
      </c>
      <c r="H3">
        <v>0.8</v>
      </c>
      <c r="I3">
        <v>0</v>
      </c>
      <c r="J3" s="108">
        <v>0</v>
      </c>
      <c r="K3" s="108">
        <v>0</v>
      </c>
    </row>
    <row r="4" spans="1:42" x14ac:dyDescent="0.15">
      <c r="A4" s="117" t="s">
        <v>76</v>
      </c>
      <c r="B4" s="119">
        <v>1</v>
      </c>
      <c r="D4">
        <v>3</v>
      </c>
      <c r="E4" s="152" t="s">
        <v>194</v>
      </c>
      <c r="F4">
        <v>0.98</v>
      </c>
      <c r="G4">
        <v>0.8</v>
      </c>
      <c r="H4">
        <v>0.8</v>
      </c>
      <c r="I4">
        <v>0.8</v>
      </c>
      <c r="J4" s="108">
        <v>0.25</v>
      </c>
      <c r="K4" s="108">
        <v>0.05</v>
      </c>
    </row>
    <row r="5" spans="1:42" x14ac:dyDescent="0.15">
      <c r="A5" s="117" t="s">
        <v>77</v>
      </c>
      <c r="B5" s="119">
        <v>1</v>
      </c>
      <c r="D5">
        <v>4</v>
      </c>
      <c r="E5" s="152" t="s">
        <v>195</v>
      </c>
      <c r="F5">
        <v>0.98</v>
      </c>
      <c r="G5">
        <v>0.8</v>
      </c>
      <c r="H5">
        <v>0.8</v>
      </c>
      <c r="I5">
        <v>0.8</v>
      </c>
      <c r="J5" s="108">
        <v>0.25</v>
      </c>
      <c r="K5" s="108">
        <v>0.05</v>
      </c>
    </row>
    <row r="6" spans="1:42" x14ac:dyDescent="0.15">
      <c r="A6" s="117" t="s">
        <v>78</v>
      </c>
      <c r="B6" s="119">
        <v>1</v>
      </c>
      <c r="D6">
        <v>5</v>
      </c>
      <c r="E6" s="152" t="s">
        <v>196</v>
      </c>
      <c r="F6">
        <v>0.98</v>
      </c>
      <c r="G6">
        <v>0.8</v>
      </c>
      <c r="H6">
        <v>0.8</v>
      </c>
      <c r="I6">
        <v>0.8</v>
      </c>
      <c r="J6" s="108">
        <v>0.25</v>
      </c>
      <c r="K6" s="108">
        <v>0.05</v>
      </c>
    </row>
    <row r="7" spans="1:42" x14ac:dyDescent="0.15">
      <c r="A7" s="117" t="s">
        <v>79</v>
      </c>
      <c r="B7" s="119">
        <v>1</v>
      </c>
      <c r="D7">
        <v>6</v>
      </c>
      <c r="E7" s="152" t="s">
        <v>197</v>
      </c>
      <c r="F7">
        <v>0.98</v>
      </c>
      <c r="G7">
        <v>0.8</v>
      </c>
      <c r="H7">
        <v>0.8</v>
      </c>
      <c r="I7">
        <v>0.8</v>
      </c>
      <c r="J7" s="108">
        <v>0.25</v>
      </c>
      <c r="K7" s="108">
        <v>0.05</v>
      </c>
    </row>
    <row r="8" spans="1:42" x14ac:dyDescent="0.15">
      <c r="A8" s="117" t="s">
        <v>80</v>
      </c>
      <c r="B8" s="119">
        <v>1</v>
      </c>
      <c r="D8">
        <v>7</v>
      </c>
      <c r="E8" s="152" t="s">
        <v>198</v>
      </c>
      <c r="F8">
        <v>0.98</v>
      </c>
      <c r="G8">
        <v>0.8</v>
      </c>
      <c r="H8">
        <v>0.8</v>
      </c>
      <c r="I8">
        <v>0.8</v>
      </c>
      <c r="J8" s="108">
        <v>0.25</v>
      </c>
      <c r="K8" s="108">
        <v>0.05</v>
      </c>
    </row>
    <row r="9" spans="1:42" x14ac:dyDescent="0.15">
      <c r="A9" s="117" t="s">
        <v>81</v>
      </c>
      <c r="B9" s="119">
        <v>0.1</v>
      </c>
      <c r="C9" s="61" t="s">
        <v>150</v>
      </c>
      <c r="D9">
        <v>8</v>
      </c>
      <c r="E9" s="152" t="s">
        <v>199</v>
      </c>
      <c r="F9">
        <v>0.98</v>
      </c>
      <c r="G9">
        <v>0.8</v>
      </c>
      <c r="H9">
        <v>0.8</v>
      </c>
      <c r="I9">
        <v>0.8</v>
      </c>
      <c r="J9" s="108">
        <v>0.25</v>
      </c>
      <c r="K9" s="108">
        <v>0.05</v>
      </c>
    </row>
    <row r="10" spans="1:42" ht="14" thickBot="1" x14ac:dyDescent="0.2">
      <c r="A10" s="117" t="s">
        <v>149</v>
      </c>
      <c r="B10" s="120">
        <f>1/3</f>
        <v>0.33333333333333331</v>
      </c>
      <c r="C10" s="61" t="s">
        <v>150</v>
      </c>
      <c r="D10">
        <v>9</v>
      </c>
      <c r="E10" s="152" t="s">
        <v>200</v>
      </c>
      <c r="F10">
        <v>0.98</v>
      </c>
      <c r="G10">
        <v>0.8</v>
      </c>
      <c r="H10">
        <v>0.8</v>
      </c>
      <c r="I10">
        <v>0.8</v>
      </c>
      <c r="J10" s="108">
        <v>0.25</v>
      </c>
      <c r="K10" s="108">
        <v>0.05</v>
      </c>
    </row>
    <row r="11" spans="1:42" x14ac:dyDescent="0.15">
      <c r="D11">
        <v>10</v>
      </c>
      <c r="E11" s="152" t="s">
        <v>201</v>
      </c>
      <c r="F11">
        <v>0.98</v>
      </c>
      <c r="G11">
        <v>0.8</v>
      </c>
      <c r="H11">
        <v>0.8</v>
      </c>
      <c r="I11">
        <v>0.8</v>
      </c>
      <c r="J11" s="108">
        <v>0.25</v>
      </c>
      <c r="K11" s="108">
        <v>0.05</v>
      </c>
    </row>
    <row r="12" spans="1:42" x14ac:dyDescent="0.15">
      <c r="D12">
        <v>11</v>
      </c>
      <c r="E12" s="152" t="s">
        <v>202</v>
      </c>
      <c r="F12">
        <v>0.98</v>
      </c>
      <c r="G12">
        <v>0.8</v>
      </c>
      <c r="H12">
        <v>0.8</v>
      </c>
      <c r="I12">
        <v>0.8</v>
      </c>
      <c r="J12" s="108">
        <v>0.25</v>
      </c>
      <c r="K12" s="108">
        <v>0.05</v>
      </c>
    </row>
    <row r="13" spans="1:42" x14ac:dyDescent="0.15">
      <c r="D13">
        <v>12</v>
      </c>
      <c r="E13" s="152" t="s">
        <v>203</v>
      </c>
      <c r="F13">
        <v>0.98</v>
      </c>
      <c r="G13">
        <v>0.8</v>
      </c>
      <c r="H13">
        <v>0.8</v>
      </c>
      <c r="I13">
        <v>0.8</v>
      </c>
      <c r="J13" s="108">
        <v>0.25</v>
      </c>
      <c r="K13" s="108">
        <v>0.05</v>
      </c>
    </row>
    <row r="14" spans="1:42" x14ac:dyDescent="0.15">
      <c r="D14">
        <v>13</v>
      </c>
      <c r="E14" s="152" t="s">
        <v>204</v>
      </c>
      <c r="F14">
        <v>0.98</v>
      </c>
      <c r="G14">
        <v>0.8</v>
      </c>
      <c r="H14">
        <v>0.8</v>
      </c>
      <c r="I14">
        <v>0.8</v>
      </c>
      <c r="J14" s="108">
        <v>0.25</v>
      </c>
      <c r="K14" s="108">
        <v>0.05</v>
      </c>
    </row>
    <row r="15" spans="1:42" x14ac:dyDescent="0.15">
      <c r="D15">
        <v>14</v>
      </c>
      <c r="E15" s="152" t="s">
        <v>205</v>
      </c>
      <c r="F15">
        <v>0.98</v>
      </c>
      <c r="G15">
        <v>0.8</v>
      </c>
      <c r="H15">
        <v>0.8</v>
      </c>
      <c r="I15">
        <v>0.8</v>
      </c>
      <c r="J15" s="108">
        <v>0.25</v>
      </c>
      <c r="K15" s="108">
        <v>0.05</v>
      </c>
    </row>
    <row r="16" spans="1:42" x14ac:dyDescent="0.15">
      <c r="D16">
        <v>15</v>
      </c>
      <c r="E16" s="152" t="s">
        <v>206</v>
      </c>
      <c r="F16">
        <v>0.98</v>
      </c>
      <c r="G16">
        <v>0.8</v>
      </c>
      <c r="H16">
        <v>0.8</v>
      </c>
      <c r="I16">
        <v>0.8</v>
      </c>
      <c r="J16" s="108">
        <v>0.25</v>
      </c>
      <c r="K16" s="108">
        <v>0.05</v>
      </c>
    </row>
    <row r="17" spans="4:33" ht="15" customHeight="1" x14ac:dyDescent="0.15">
      <c r="D17">
        <v>16</v>
      </c>
      <c r="E17" s="152" t="s">
        <v>207</v>
      </c>
      <c r="F17">
        <v>0.98</v>
      </c>
      <c r="G17">
        <v>0.8</v>
      </c>
      <c r="H17">
        <v>0.8</v>
      </c>
      <c r="I17">
        <v>0.8</v>
      </c>
      <c r="J17" s="108">
        <v>0.25</v>
      </c>
      <c r="K17" s="108">
        <v>0.05</v>
      </c>
    </row>
    <row r="18" spans="4:33" ht="15" customHeight="1" x14ac:dyDescent="0.15">
      <c r="D18">
        <v>17</v>
      </c>
      <c r="E18" s="152" t="s">
        <v>208</v>
      </c>
      <c r="F18">
        <v>0.98</v>
      </c>
      <c r="G18">
        <v>0.8</v>
      </c>
      <c r="H18">
        <v>0.8</v>
      </c>
      <c r="I18">
        <v>0.8</v>
      </c>
      <c r="J18" s="108">
        <v>0.25</v>
      </c>
      <c r="K18" s="108">
        <v>0.05</v>
      </c>
    </row>
    <row r="19" spans="4:33" ht="15" customHeight="1" x14ac:dyDescent="0.15">
      <c r="D19">
        <v>18</v>
      </c>
      <c r="E19" s="152" t="s">
        <v>209</v>
      </c>
      <c r="F19">
        <v>0.98</v>
      </c>
      <c r="G19">
        <v>0.8</v>
      </c>
      <c r="H19">
        <v>0.8</v>
      </c>
      <c r="I19">
        <v>0.8</v>
      </c>
      <c r="J19" s="108">
        <v>0.25</v>
      </c>
      <c r="K19" s="108">
        <v>0.05</v>
      </c>
    </row>
    <row r="20" spans="4:33" ht="15" customHeight="1" x14ac:dyDescent="0.15">
      <c r="D20">
        <v>19</v>
      </c>
      <c r="E20" s="152" t="s">
        <v>210</v>
      </c>
      <c r="F20">
        <v>0.98</v>
      </c>
      <c r="G20">
        <v>0.8</v>
      </c>
      <c r="H20">
        <v>0.8</v>
      </c>
      <c r="I20">
        <v>0.8</v>
      </c>
      <c r="J20" s="108">
        <v>0.25</v>
      </c>
      <c r="K20" s="108">
        <v>0.05</v>
      </c>
    </row>
    <row r="21" spans="4:33" ht="15" customHeight="1" x14ac:dyDescent="0.15">
      <c r="D21">
        <v>20</v>
      </c>
      <c r="E21" s="152" t="s">
        <v>211</v>
      </c>
      <c r="F21">
        <v>0.98</v>
      </c>
      <c r="G21">
        <v>0.8</v>
      </c>
      <c r="H21">
        <v>0.8</v>
      </c>
      <c r="I21">
        <v>0.8</v>
      </c>
      <c r="J21" s="108">
        <v>0.25</v>
      </c>
      <c r="K21" s="108">
        <v>0.05</v>
      </c>
    </row>
    <row r="22" spans="4:33" ht="15" customHeight="1" x14ac:dyDescent="0.15">
      <c r="D22">
        <v>21</v>
      </c>
      <c r="E22" s="152" t="s">
        <v>212</v>
      </c>
      <c r="F22">
        <v>0.98</v>
      </c>
      <c r="G22">
        <v>0.8</v>
      </c>
      <c r="H22">
        <v>0.8</v>
      </c>
      <c r="I22">
        <v>0.8</v>
      </c>
      <c r="J22" s="108">
        <v>0.25</v>
      </c>
      <c r="K22" s="108">
        <v>0.05</v>
      </c>
    </row>
    <row r="23" spans="4:33" ht="15" customHeight="1" x14ac:dyDescent="0.15">
      <c r="D23">
        <v>22</v>
      </c>
      <c r="E23" s="152" t="s">
        <v>213</v>
      </c>
      <c r="F23">
        <v>0.98</v>
      </c>
      <c r="G23">
        <v>0.8</v>
      </c>
      <c r="H23">
        <v>0.8</v>
      </c>
      <c r="I23">
        <v>0.8</v>
      </c>
      <c r="J23" s="108">
        <v>0.25</v>
      </c>
      <c r="K23" s="108">
        <v>0.05</v>
      </c>
    </row>
    <row r="24" spans="4:33" ht="15" customHeight="1" x14ac:dyDescent="0.15">
      <c r="D24">
        <v>23</v>
      </c>
      <c r="E24" s="152" t="s">
        <v>214</v>
      </c>
      <c r="F24">
        <v>0.98</v>
      </c>
      <c r="G24">
        <v>0.8</v>
      </c>
      <c r="H24">
        <v>0.8</v>
      </c>
      <c r="I24">
        <v>0.8</v>
      </c>
      <c r="J24" s="108">
        <v>0.25</v>
      </c>
      <c r="K24" s="108">
        <v>0.05</v>
      </c>
    </row>
    <row r="25" spans="4:33" ht="15" customHeight="1" x14ac:dyDescent="0.15">
      <c r="D25">
        <v>24</v>
      </c>
      <c r="E25" s="152" t="s">
        <v>215</v>
      </c>
      <c r="F25">
        <v>0.98</v>
      </c>
      <c r="G25">
        <v>0.8</v>
      </c>
      <c r="H25">
        <v>0.8</v>
      </c>
      <c r="I25">
        <v>0.8</v>
      </c>
      <c r="J25" s="108">
        <v>0.25</v>
      </c>
      <c r="K25" s="108">
        <v>0.05</v>
      </c>
    </row>
    <row r="26" spans="4:33" ht="15" customHeight="1" x14ac:dyDescent="0.15">
      <c r="D26">
        <v>25</v>
      </c>
      <c r="E26" s="152" t="s">
        <v>216</v>
      </c>
      <c r="F26">
        <v>0.98</v>
      </c>
      <c r="G26">
        <v>0.8</v>
      </c>
      <c r="H26">
        <v>0.8</v>
      </c>
      <c r="I26">
        <v>0.8</v>
      </c>
      <c r="J26" s="108">
        <v>0.25</v>
      </c>
      <c r="K26" s="108">
        <v>0.05</v>
      </c>
    </row>
    <row r="27" spans="4:33" ht="15" customHeight="1" x14ac:dyDescent="0.15">
      <c r="D27">
        <v>26</v>
      </c>
      <c r="E27" s="152" t="s">
        <v>217</v>
      </c>
      <c r="F27">
        <v>0.98</v>
      </c>
      <c r="G27">
        <v>0.8</v>
      </c>
      <c r="H27">
        <v>0.8</v>
      </c>
      <c r="I27">
        <v>0.8</v>
      </c>
      <c r="J27" s="108">
        <v>0.25</v>
      </c>
      <c r="K27" s="108">
        <v>0.05</v>
      </c>
    </row>
    <row r="28" spans="4:33" ht="15" customHeight="1" x14ac:dyDescent="0.15">
      <c r="D28">
        <v>27</v>
      </c>
      <c r="E28" s="152" t="s">
        <v>218</v>
      </c>
      <c r="F28">
        <v>0.98</v>
      </c>
      <c r="G28">
        <v>0.8</v>
      </c>
      <c r="H28">
        <v>0.8</v>
      </c>
      <c r="I28">
        <v>0.8</v>
      </c>
      <c r="J28" s="108">
        <v>0.25</v>
      </c>
      <c r="K28" s="108">
        <v>0.05</v>
      </c>
    </row>
    <row r="29" spans="4:33" ht="15" customHeight="1" x14ac:dyDescent="0.15">
      <c r="D29">
        <v>28</v>
      </c>
      <c r="E29" s="152" t="s">
        <v>219</v>
      </c>
      <c r="F29">
        <v>0.98</v>
      </c>
      <c r="G29">
        <v>0.8</v>
      </c>
      <c r="H29">
        <v>0.8</v>
      </c>
      <c r="I29">
        <v>0.8</v>
      </c>
      <c r="J29" s="108">
        <v>0.25</v>
      </c>
      <c r="K29" s="108">
        <v>0.05</v>
      </c>
      <c r="Y29"/>
      <c r="AC29"/>
      <c r="AG29"/>
    </row>
    <row r="30" spans="4:33" ht="15" customHeight="1" x14ac:dyDescent="0.15">
      <c r="D30">
        <v>29</v>
      </c>
      <c r="E30" s="152" t="s">
        <v>220</v>
      </c>
      <c r="F30">
        <v>0.98</v>
      </c>
      <c r="G30">
        <v>0.8</v>
      </c>
      <c r="H30">
        <v>0.8</v>
      </c>
      <c r="I30">
        <v>0.8</v>
      </c>
      <c r="J30" s="108">
        <v>0.25</v>
      </c>
      <c r="K30" s="108">
        <v>0.05</v>
      </c>
      <c r="Y30"/>
      <c r="AC30"/>
      <c r="AG30"/>
    </row>
    <row r="31" spans="4:33" ht="15" customHeight="1" x14ac:dyDescent="0.15">
      <c r="D31">
        <v>30</v>
      </c>
      <c r="E31" s="152" t="s">
        <v>221</v>
      </c>
      <c r="F31">
        <v>0.98</v>
      </c>
      <c r="G31">
        <v>0.8</v>
      </c>
      <c r="H31">
        <v>0.8</v>
      </c>
      <c r="I31">
        <v>0.8</v>
      </c>
      <c r="J31" s="108">
        <v>0.25</v>
      </c>
      <c r="K31" s="108">
        <v>0.05</v>
      </c>
      <c r="Y31"/>
      <c r="AC31"/>
      <c r="AG31"/>
    </row>
    <row r="32" spans="4:33" ht="15" customHeight="1" x14ac:dyDescent="0.15">
      <c r="D32">
        <v>31</v>
      </c>
      <c r="E32" s="152" t="s">
        <v>222</v>
      </c>
      <c r="F32">
        <v>0.98</v>
      </c>
      <c r="G32">
        <v>0.8</v>
      </c>
      <c r="H32">
        <v>0.8</v>
      </c>
      <c r="I32">
        <v>0.8</v>
      </c>
      <c r="J32" s="108">
        <v>0.25</v>
      </c>
      <c r="K32" s="108">
        <v>0.05</v>
      </c>
      <c r="Y32"/>
      <c r="AC32"/>
      <c r="AG32"/>
    </row>
    <row r="33" spans="4:33" ht="15" customHeight="1" x14ac:dyDescent="0.15">
      <c r="D33">
        <v>32</v>
      </c>
      <c r="E33" s="152" t="s">
        <v>223</v>
      </c>
      <c r="F33">
        <v>0.98</v>
      </c>
      <c r="G33">
        <v>0.8</v>
      </c>
      <c r="H33">
        <v>0</v>
      </c>
      <c r="I33">
        <v>0</v>
      </c>
      <c r="J33" s="108">
        <v>0</v>
      </c>
      <c r="K33" s="108">
        <v>0</v>
      </c>
      <c r="Y33"/>
      <c r="AC33"/>
      <c r="AG33"/>
    </row>
    <row r="34" spans="4:33" ht="15" customHeight="1" x14ac:dyDescent="0.15">
      <c r="D34">
        <v>33</v>
      </c>
      <c r="E34" s="152" t="s">
        <v>224</v>
      </c>
      <c r="F34">
        <v>0.98</v>
      </c>
      <c r="G34">
        <v>0.8</v>
      </c>
      <c r="H34">
        <v>0</v>
      </c>
      <c r="I34">
        <v>0</v>
      </c>
      <c r="J34" s="108">
        <v>0</v>
      </c>
      <c r="K34" s="108">
        <v>0</v>
      </c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3" width="2.33203125" style="106" customWidth="1"/>
    <col min="4" max="32" width="3.83203125" style="106" customWidth="1"/>
    <col min="33" max="34" width="2.33203125" style="106" customWidth="1"/>
    <col min="35" max="16384" width="10.83203125" style="106"/>
  </cols>
  <sheetData>
    <row r="1" spans="1:34" x14ac:dyDescent="0.15">
      <c r="A1" s="63" t="s">
        <v>118</v>
      </c>
      <c r="B1" s="154" t="s">
        <v>192</v>
      </c>
      <c r="C1" s="154" t="s">
        <v>193</v>
      </c>
      <c r="D1" s="154" t="s">
        <v>194</v>
      </c>
      <c r="E1" s="154" t="s">
        <v>195</v>
      </c>
      <c r="F1" s="154" t="s">
        <v>196</v>
      </c>
      <c r="G1" s="154" t="s">
        <v>197</v>
      </c>
      <c r="H1" s="154" t="s">
        <v>198</v>
      </c>
      <c r="I1" s="154" t="s">
        <v>199</v>
      </c>
      <c r="J1" s="154" t="s">
        <v>200</v>
      </c>
      <c r="K1" s="154" t="s">
        <v>201</v>
      </c>
      <c r="L1" s="154" t="s">
        <v>202</v>
      </c>
      <c r="M1" s="154" t="s">
        <v>203</v>
      </c>
      <c r="N1" s="154" t="s">
        <v>204</v>
      </c>
      <c r="O1" s="154" t="s">
        <v>205</v>
      </c>
      <c r="P1" s="154" t="s">
        <v>206</v>
      </c>
      <c r="Q1" s="154" t="s">
        <v>207</v>
      </c>
      <c r="R1" s="154" t="s">
        <v>208</v>
      </c>
      <c r="S1" s="154" t="s">
        <v>209</v>
      </c>
      <c r="T1" s="154" t="s">
        <v>210</v>
      </c>
      <c r="U1" s="154" t="s">
        <v>211</v>
      </c>
      <c r="V1" s="154" t="s">
        <v>212</v>
      </c>
      <c r="W1" s="154" t="s">
        <v>213</v>
      </c>
      <c r="X1" s="154" t="s">
        <v>214</v>
      </c>
      <c r="Y1" s="154" t="s">
        <v>215</v>
      </c>
      <c r="Z1" s="154" t="s">
        <v>216</v>
      </c>
      <c r="AA1" s="154" t="s">
        <v>217</v>
      </c>
      <c r="AB1" s="154" t="s">
        <v>218</v>
      </c>
      <c r="AC1" s="154" t="s">
        <v>219</v>
      </c>
      <c r="AD1" s="154" t="s">
        <v>220</v>
      </c>
      <c r="AE1" s="154" t="s">
        <v>221</v>
      </c>
      <c r="AF1" s="154" t="s">
        <v>222</v>
      </c>
      <c r="AG1" s="154" t="s">
        <v>223</v>
      </c>
      <c r="AH1" s="154" t="s">
        <v>224</v>
      </c>
    </row>
    <row r="2" spans="1:34" customFormat="1" x14ac:dyDescent="0.15">
      <c r="A2" s="153" t="s">
        <v>192</v>
      </c>
      <c r="B2" s="106">
        <v>0</v>
      </c>
      <c r="C2" s="106">
        <v>0</v>
      </c>
      <c r="D2" s="106">
        <v>0.8</v>
      </c>
      <c r="E2" s="106">
        <v>0.8</v>
      </c>
      <c r="F2" s="106">
        <v>0.8</v>
      </c>
      <c r="G2" s="106">
        <v>0</v>
      </c>
      <c r="H2" s="106">
        <v>0.8</v>
      </c>
      <c r="I2" s="106">
        <v>0.8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</row>
    <row r="3" spans="1:34" customFormat="1" x14ac:dyDescent="0.15">
      <c r="A3" s="153" t="s">
        <v>193</v>
      </c>
      <c r="B3" s="106">
        <v>0</v>
      </c>
      <c r="C3" s="106">
        <v>0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0.8</v>
      </c>
      <c r="AF3" s="106">
        <v>0.8</v>
      </c>
      <c r="AG3" s="106">
        <v>0</v>
      </c>
      <c r="AH3" s="106">
        <v>0</v>
      </c>
    </row>
    <row r="4" spans="1:34" customFormat="1" x14ac:dyDescent="0.15">
      <c r="A4" s="153" t="s">
        <v>194</v>
      </c>
      <c r="B4" s="106">
        <v>0</v>
      </c>
      <c r="C4" s="106">
        <v>0</v>
      </c>
      <c r="D4" s="106">
        <v>0.8</v>
      </c>
      <c r="E4" s="106">
        <v>0.8</v>
      </c>
      <c r="F4" s="106">
        <v>0.8</v>
      </c>
      <c r="G4" s="106">
        <v>0</v>
      </c>
      <c r="H4" s="106">
        <v>0.8</v>
      </c>
      <c r="I4" s="106">
        <v>0.8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</row>
    <row r="5" spans="1:34" customFormat="1" x14ac:dyDescent="0.15">
      <c r="A5" s="153" t="s">
        <v>195</v>
      </c>
      <c r="B5" s="106">
        <v>0</v>
      </c>
      <c r="C5" s="106">
        <v>0</v>
      </c>
      <c r="D5" s="106">
        <v>0</v>
      </c>
      <c r="E5" s="106">
        <v>0</v>
      </c>
      <c r="F5" s="106">
        <v>0.8</v>
      </c>
      <c r="G5" s="106">
        <v>0.8</v>
      </c>
      <c r="H5" s="106">
        <v>0.8</v>
      </c>
      <c r="I5" s="106">
        <v>0.8</v>
      </c>
      <c r="J5" s="106">
        <v>0.8</v>
      </c>
      <c r="K5" s="106">
        <v>0.8</v>
      </c>
      <c r="L5" s="106">
        <v>0.8</v>
      </c>
      <c r="M5" s="106">
        <v>0.8</v>
      </c>
      <c r="N5" s="106">
        <v>0.8</v>
      </c>
      <c r="O5" s="106">
        <v>0.8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0.8</v>
      </c>
      <c r="X5" s="106">
        <v>0.8</v>
      </c>
      <c r="Y5" s="106">
        <v>0</v>
      </c>
      <c r="Z5" s="106">
        <v>0</v>
      </c>
      <c r="AA5" s="106">
        <v>0</v>
      </c>
      <c r="AB5" s="106">
        <v>0</v>
      </c>
      <c r="AC5" s="106">
        <v>0.8</v>
      </c>
      <c r="AD5" s="106">
        <v>0.8</v>
      </c>
      <c r="AE5" s="106">
        <v>0</v>
      </c>
      <c r="AF5" s="106">
        <v>0</v>
      </c>
      <c r="AG5" s="106">
        <v>0</v>
      </c>
      <c r="AH5" s="106">
        <v>0</v>
      </c>
    </row>
    <row r="6" spans="1:34" customFormat="1" x14ac:dyDescent="0.15">
      <c r="A6" s="153" t="s">
        <v>196</v>
      </c>
      <c r="B6" s="106">
        <v>0</v>
      </c>
      <c r="C6" s="106">
        <v>0</v>
      </c>
      <c r="D6" s="106">
        <v>0</v>
      </c>
      <c r="E6" s="106">
        <v>0</v>
      </c>
      <c r="F6" s="106">
        <v>0</v>
      </c>
      <c r="G6" s="106">
        <v>0.8</v>
      </c>
      <c r="H6" s="106">
        <v>0.8</v>
      </c>
      <c r="I6" s="106">
        <v>0.8</v>
      </c>
      <c r="J6" s="106">
        <v>0.8</v>
      </c>
      <c r="K6" s="106">
        <v>0.8</v>
      </c>
      <c r="L6" s="106">
        <v>0.8</v>
      </c>
      <c r="M6" s="106">
        <v>0.8</v>
      </c>
      <c r="N6" s="106">
        <v>0.8</v>
      </c>
      <c r="O6" s="106">
        <v>0.8</v>
      </c>
      <c r="P6" s="106">
        <v>0.8</v>
      </c>
      <c r="Q6" s="106">
        <v>0.8</v>
      </c>
      <c r="R6" s="106">
        <v>0.8</v>
      </c>
      <c r="S6" s="106">
        <v>0.8</v>
      </c>
      <c r="T6" s="106">
        <v>0.8</v>
      </c>
      <c r="U6" s="106">
        <v>0.8</v>
      </c>
      <c r="V6" s="106">
        <v>0.8</v>
      </c>
      <c r="W6" s="106">
        <v>0.8</v>
      </c>
      <c r="X6" s="106">
        <v>0.8</v>
      </c>
      <c r="Y6" s="106">
        <v>0</v>
      </c>
      <c r="Z6" s="106">
        <v>0</v>
      </c>
      <c r="AA6" s="106">
        <v>0</v>
      </c>
      <c r="AB6" s="106">
        <v>0</v>
      </c>
      <c r="AC6" s="106">
        <v>0.8</v>
      </c>
      <c r="AD6" s="106">
        <v>0.8</v>
      </c>
      <c r="AE6" s="106">
        <v>0</v>
      </c>
      <c r="AF6" s="106">
        <v>0</v>
      </c>
      <c r="AG6" s="106">
        <v>0</v>
      </c>
      <c r="AH6" s="106">
        <v>0</v>
      </c>
    </row>
    <row r="7" spans="1:34" customFormat="1" x14ac:dyDescent="0.15">
      <c r="A7" s="153" t="s">
        <v>197</v>
      </c>
      <c r="B7" s="106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0.8</v>
      </c>
      <c r="H7" s="106">
        <v>0</v>
      </c>
      <c r="I7" s="106">
        <v>0</v>
      </c>
      <c r="J7" s="106">
        <v>0</v>
      </c>
      <c r="K7" s="106">
        <v>0.8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</row>
    <row r="8" spans="1:34" customFormat="1" x14ac:dyDescent="0.15">
      <c r="A8" s="153" t="s">
        <v>198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0.8</v>
      </c>
      <c r="M8" s="106">
        <v>0</v>
      </c>
      <c r="N8" s="106">
        <v>0.8</v>
      </c>
      <c r="O8" s="106">
        <v>0</v>
      </c>
      <c r="P8" s="106">
        <v>0.8</v>
      </c>
      <c r="Q8" s="106">
        <v>0.8</v>
      </c>
      <c r="R8" s="106">
        <v>0.8</v>
      </c>
      <c r="S8" s="106">
        <v>0.8</v>
      </c>
      <c r="T8" s="106">
        <v>0.8</v>
      </c>
      <c r="U8" s="106">
        <v>0.8</v>
      </c>
      <c r="V8" s="106">
        <v>0.8</v>
      </c>
      <c r="W8" s="106">
        <v>0.8</v>
      </c>
      <c r="X8" s="106">
        <v>0.8</v>
      </c>
      <c r="Y8" s="106">
        <v>0.8</v>
      </c>
      <c r="Z8" s="106">
        <v>0</v>
      </c>
      <c r="AA8" s="106">
        <v>0</v>
      </c>
      <c r="AB8" s="106">
        <v>0.8</v>
      </c>
      <c r="AC8" s="106">
        <v>0.8</v>
      </c>
      <c r="AD8" s="106">
        <v>0.8</v>
      </c>
      <c r="AE8" s="106">
        <v>0</v>
      </c>
      <c r="AF8" s="106">
        <v>0</v>
      </c>
      <c r="AG8" s="106">
        <v>0</v>
      </c>
      <c r="AH8" s="106">
        <v>0</v>
      </c>
    </row>
    <row r="9" spans="1:34" customFormat="1" x14ac:dyDescent="0.15">
      <c r="A9" s="153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0.8</v>
      </c>
      <c r="M9" s="106">
        <v>0</v>
      </c>
      <c r="N9" s="106">
        <v>0.8</v>
      </c>
      <c r="O9" s="106">
        <v>0</v>
      </c>
      <c r="P9" s="106">
        <v>0.8</v>
      </c>
      <c r="Q9" s="106">
        <v>0.8</v>
      </c>
      <c r="R9" s="106">
        <v>0.8</v>
      </c>
      <c r="S9" s="106">
        <v>0.8</v>
      </c>
      <c r="T9" s="106">
        <v>0.8</v>
      </c>
      <c r="U9" s="106">
        <v>0.8</v>
      </c>
      <c r="V9" s="106">
        <v>0.8</v>
      </c>
      <c r="W9" s="106">
        <v>0.8</v>
      </c>
      <c r="X9" s="106">
        <v>0</v>
      </c>
      <c r="Y9" s="106">
        <v>0.8</v>
      </c>
      <c r="Z9" s="106">
        <v>0</v>
      </c>
      <c r="AA9" s="106">
        <v>0</v>
      </c>
      <c r="AB9" s="106">
        <v>0.8</v>
      </c>
      <c r="AC9" s="106">
        <v>0.8</v>
      </c>
      <c r="AD9" s="106">
        <v>0.8</v>
      </c>
      <c r="AE9" s="106">
        <v>0</v>
      </c>
      <c r="AF9" s="106">
        <v>0</v>
      </c>
      <c r="AG9" s="106">
        <v>0</v>
      </c>
      <c r="AH9" s="106">
        <v>0</v>
      </c>
    </row>
    <row r="10" spans="1:34" customFormat="1" x14ac:dyDescent="0.15">
      <c r="A10" s="153" t="s">
        <v>200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0.8</v>
      </c>
      <c r="M10" s="106">
        <v>0</v>
      </c>
      <c r="N10" s="106">
        <v>0.8</v>
      </c>
      <c r="O10" s="106">
        <v>0</v>
      </c>
      <c r="P10" s="106">
        <v>0.8</v>
      </c>
      <c r="Q10" s="106">
        <v>0.8</v>
      </c>
      <c r="R10" s="106">
        <v>0.8</v>
      </c>
      <c r="S10" s="106">
        <v>0.8</v>
      </c>
      <c r="T10" s="106">
        <v>0.8</v>
      </c>
      <c r="U10" s="106">
        <v>0.8</v>
      </c>
      <c r="V10" s="106">
        <v>0.8</v>
      </c>
      <c r="W10" s="106">
        <v>0.8</v>
      </c>
      <c r="X10" s="106">
        <v>0.8</v>
      </c>
      <c r="Y10" s="106">
        <v>0.8</v>
      </c>
      <c r="Z10" s="106">
        <v>0</v>
      </c>
      <c r="AA10" s="106">
        <v>0</v>
      </c>
      <c r="AB10" s="106">
        <v>0.8</v>
      </c>
      <c r="AC10" s="106">
        <v>0.8</v>
      </c>
      <c r="AD10" s="106">
        <v>0.8</v>
      </c>
      <c r="AE10" s="106">
        <v>0</v>
      </c>
      <c r="AF10" s="106">
        <v>0</v>
      </c>
      <c r="AG10" s="106">
        <v>0</v>
      </c>
      <c r="AH10" s="106">
        <v>0</v>
      </c>
    </row>
    <row r="11" spans="1:34" customFormat="1" x14ac:dyDescent="0.15">
      <c r="A11" s="153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0.8</v>
      </c>
      <c r="Q11" s="106">
        <v>0.8</v>
      </c>
      <c r="R11" s="106">
        <v>0</v>
      </c>
      <c r="S11" s="106">
        <v>0</v>
      </c>
      <c r="T11" s="106">
        <v>0.8</v>
      </c>
      <c r="U11" s="106">
        <v>0.8</v>
      </c>
      <c r="V11" s="106">
        <v>0.8</v>
      </c>
      <c r="W11" s="106">
        <v>0</v>
      </c>
      <c r="X11" s="106">
        <v>0</v>
      </c>
      <c r="Y11" s="106">
        <v>0.8</v>
      </c>
      <c r="Z11" s="106">
        <v>0</v>
      </c>
      <c r="AA11" s="106">
        <v>0</v>
      </c>
      <c r="AB11" s="106">
        <v>0.8</v>
      </c>
      <c r="AC11" s="106">
        <v>0.8</v>
      </c>
      <c r="AD11" s="106">
        <v>0.8</v>
      </c>
      <c r="AE11" s="106">
        <v>0</v>
      </c>
      <c r="AF11" s="106">
        <v>0</v>
      </c>
      <c r="AG11" s="106">
        <v>0</v>
      </c>
      <c r="AH11" s="106">
        <v>0</v>
      </c>
    </row>
    <row r="12" spans="1:34" customFormat="1" x14ac:dyDescent="0.15">
      <c r="A12" s="153" t="s">
        <v>202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0.8</v>
      </c>
      <c r="Q12" s="106">
        <v>0.8</v>
      </c>
      <c r="R12" s="106">
        <v>0</v>
      </c>
      <c r="S12" s="106">
        <v>0</v>
      </c>
      <c r="T12" s="106">
        <v>0.8</v>
      </c>
      <c r="U12" s="106">
        <v>0</v>
      </c>
      <c r="V12" s="106">
        <v>0</v>
      </c>
      <c r="W12" s="106">
        <v>0</v>
      </c>
      <c r="X12" s="106">
        <v>0</v>
      </c>
      <c r="Y12" s="106">
        <v>0.8</v>
      </c>
      <c r="Z12" s="106">
        <v>0</v>
      </c>
      <c r="AA12" s="106">
        <v>0</v>
      </c>
      <c r="AB12" s="106">
        <v>0.8</v>
      </c>
      <c r="AC12" s="106">
        <v>0</v>
      </c>
      <c r="AD12" s="106">
        <v>0.8</v>
      </c>
      <c r="AE12" s="106">
        <v>0</v>
      </c>
      <c r="AF12" s="106">
        <v>0</v>
      </c>
      <c r="AG12" s="106">
        <v>0</v>
      </c>
      <c r="AH12" s="106">
        <v>0</v>
      </c>
    </row>
    <row r="13" spans="1:34" customFormat="1" x14ac:dyDescent="0.15">
      <c r="A13" s="153" t="s">
        <v>203</v>
      </c>
      <c r="B13" s="106">
        <v>0</v>
      </c>
      <c r="C13" s="106">
        <v>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0.8</v>
      </c>
      <c r="Q13" s="106">
        <v>0.8</v>
      </c>
      <c r="R13" s="106">
        <v>0</v>
      </c>
      <c r="S13" s="106">
        <v>0</v>
      </c>
      <c r="T13" s="106">
        <v>0.8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0.8</v>
      </c>
      <c r="AC13" s="106">
        <v>0</v>
      </c>
      <c r="AD13" s="106">
        <v>0.8</v>
      </c>
      <c r="AE13" s="106">
        <v>0</v>
      </c>
      <c r="AF13" s="106">
        <v>0</v>
      </c>
      <c r="AG13" s="106">
        <v>0</v>
      </c>
      <c r="AH13" s="106">
        <v>0</v>
      </c>
    </row>
    <row r="14" spans="1:34" customFormat="1" x14ac:dyDescent="0.15">
      <c r="A14" s="153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0.8</v>
      </c>
      <c r="Q14" s="106">
        <v>0</v>
      </c>
      <c r="R14" s="106">
        <v>0</v>
      </c>
      <c r="S14" s="106">
        <v>0</v>
      </c>
      <c r="T14" s="106">
        <v>0.8</v>
      </c>
      <c r="U14" s="106">
        <v>0</v>
      </c>
      <c r="V14" s="106">
        <v>0</v>
      </c>
      <c r="W14" s="106">
        <v>0</v>
      </c>
      <c r="X14" s="106">
        <v>0</v>
      </c>
      <c r="Y14" s="106">
        <v>0.8</v>
      </c>
      <c r="Z14" s="106">
        <v>0.8</v>
      </c>
      <c r="AA14" s="106">
        <v>0.8</v>
      </c>
      <c r="AB14" s="106">
        <v>0.8</v>
      </c>
      <c r="AC14" s="106">
        <v>0.8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</row>
    <row r="15" spans="1:34" customFormat="1" x14ac:dyDescent="0.15">
      <c r="A15" s="153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0.8</v>
      </c>
      <c r="M15" s="106">
        <v>0</v>
      </c>
      <c r="N15" s="106">
        <v>0</v>
      </c>
      <c r="O15" s="106">
        <v>0</v>
      </c>
      <c r="P15" s="106">
        <v>0.8</v>
      </c>
      <c r="Q15" s="106">
        <v>0.8</v>
      </c>
      <c r="R15" s="106">
        <v>0.8</v>
      </c>
      <c r="S15" s="106">
        <v>0.8</v>
      </c>
      <c r="T15" s="106">
        <v>0.8</v>
      </c>
      <c r="U15" s="106">
        <v>0.8</v>
      </c>
      <c r="V15" s="106">
        <v>0.8</v>
      </c>
      <c r="W15" s="106">
        <v>0.8</v>
      </c>
      <c r="X15" s="106">
        <v>0.8</v>
      </c>
      <c r="Y15" s="106">
        <v>0.8</v>
      </c>
      <c r="Z15" s="106">
        <v>0.8</v>
      </c>
      <c r="AA15" s="106">
        <v>0</v>
      </c>
      <c r="AB15" s="106">
        <v>0.8</v>
      </c>
      <c r="AC15" s="106">
        <v>0.8</v>
      </c>
      <c r="AD15" s="106">
        <v>0.8</v>
      </c>
      <c r="AE15" s="106">
        <v>0</v>
      </c>
      <c r="AF15" s="106">
        <v>0</v>
      </c>
      <c r="AG15" s="106">
        <v>0</v>
      </c>
      <c r="AH15" s="106">
        <v>0</v>
      </c>
    </row>
    <row r="16" spans="1:34" customFormat="1" x14ac:dyDescent="0.15">
      <c r="A16" s="153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0.8</v>
      </c>
      <c r="Q16" s="106">
        <v>0</v>
      </c>
      <c r="R16" s="106">
        <v>0</v>
      </c>
      <c r="S16" s="106">
        <v>0</v>
      </c>
      <c r="T16" s="106">
        <v>0.8</v>
      </c>
      <c r="U16" s="106">
        <v>0</v>
      </c>
      <c r="V16" s="106">
        <v>0.8</v>
      </c>
      <c r="W16" s="106">
        <v>0</v>
      </c>
      <c r="X16" s="106">
        <v>0</v>
      </c>
      <c r="Y16" s="106">
        <v>0.8</v>
      </c>
      <c r="Z16" s="106">
        <v>0</v>
      </c>
      <c r="AA16" s="106">
        <v>0.8</v>
      </c>
      <c r="AB16" s="106">
        <v>0</v>
      </c>
      <c r="AC16" s="106">
        <v>0</v>
      </c>
      <c r="AD16" s="106">
        <v>0.8</v>
      </c>
      <c r="AE16" s="106">
        <v>0</v>
      </c>
      <c r="AF16" s="106">
        <v>0</v>
      </c>
      <c r="AG16" s="106">
        <v>0</v>
      </c>
      <c r="AH16" s="106">
        <v>0</v>
      </c>
    </row>
    <row r="17" spans="1:34" customFormat="1" x14ac:dyDescent="0.15">
      <c r="A17" s="153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0.8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0.8</v>
      </c>
      <c r="Z17" s="106">
        <v>0</v>
      </c>
      <c r="AA17" s="106">
        <v>0.8</v>
      </c>
      <c r="AB17" s="106">
        <v>0.8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</row>
    <row r="18" spans="1:34" customFormat="1" x14ac:dyDescent="0.15">
      <c r="A18" s="153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0.8</v>
      </c>
      <c r="Q18" s="106">
        <v>0.8</v>
      </c>
      <c r="R18" s="106">
        <v>0.8</v>
      </c>
      <c r="S18" s="106">
        <v>0.8</v>
      </c>
      <c r="T18" s="106">
        <v>0.8</v>
      </c>
      <c r="U18" s="106">
        <v>0.8</v>
      </c>
      <c r="V18" s="106">
        <v>0.8</v>
      </c>
      <c r="W18" s="106">
        <v>0.8</v>
      </c>
      <c r="X18" s="106">
        <v>0.8</v>
      </c>
      <c r="Y18" s="106">
        <v>0.8</v>
      </c>
      <c r="Z18" s="106">
        <v>0.8</v>
      </c>
      <c r="AA18" s="106">
        <v>0</v>
      </c>
      <c r="AB18" s="106">
        <v>0.8</v>
      </c>
      <c r="AC18" s="106">
        <v>0.8</v>
      </c>
      <c r="AD18" s="106">
        <v>0.8</v>
      </c>
      <c r="AE18" s="106">
        <v>0</v>
      </c>
      <c r="AF18" s="106">
        <v>0</v>
      </c>
      <c r="AG18" s="106">
        <v>0</v>
      </c>
      <c r="AH18" s="106">
        <v>0</v>
      </c>
    </row>
    <row r="19" spans="1:34" customFormat="1" x14ac:dyDescent="0.15">
      <c r="A19" s="153" t="s">
        <v>209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0.8</v>
      </c>
      <c r="Q19" s="106">
        <v>0.8</v>
      </c>
      <c r="R19" s="106">
        <v>0.8</v>
      </c>
      <c r="S19" s="106">
        <v>0</v>
      </c>
      <c r="T19" s="106">
        <v>0.8</v>
      </c>
      <c r="U19" s="106">
        <v>0</v>
      </c>
      <c r="V19" s="106">
        <v>0</v>
      </c>
      <c r="W19" s="106">
        <v>0.8</v>
      </c>
      <c r="X19" s="106">
        <v>0.8</v>
      </c>
      <c r="Y19" s="106">
        <v>0</v>
      </c>
      <c r="Z19" s="106">
        <v>0</v>
      </c>
      <c r="AA19" s="106">
        <v>0</v>
      </c>
      <c r="AB19" s="106">
        <v>0.8</v>
      </c>
      <c r="AC19" s="106">
        <v>0.8</v>
      </c>
      <c r="AD19" s="106">
        <v>0.8</v>
      </c>
      <c r="AE19" s="106">
        <v>0</v>
      </c>
      <c r="AF19" s="106">
        <v>0</v>
      </c>
      <c r="AG19" s="106">
        <v>0</v>
      </c>
      <c r="AH19" s="106">
        <v>0</v>
      </c>
    </row>
    <row r="20" spans="1:34" customFormat="1" x14ac:dyDescent="0.15">
      <c r="A20" s="153" t="s">
        <v>210</v>
      </c>
      <c r="B20" s="106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0.8</v>
      </c>
      <c r="U20" s="106">
        <v>0</v>
      </c>
      <c r="V20" s="106">
        <v>0</v>
      </c>
      <c r="W20" s="106">
        <v>0</v>
      </c>
      <c r="X20" s="106">
        <v>0.8</v>
      </c>
      <c r="Y20" s="106">
        <v>0.8</v>
      </c>
      <c r="Z20" s="106">
        <v>0.8</v>
      </c>
      <c r="AA20" s="106">
        <v>0</v>
      </c>
      <c r="AB20" s="106">
        <v>0.8</v>
      </c>
      <c r="AC20" s="106">
        <v>0.8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</row>
    <row r="21" spans="1:34" customFormat="1" x14ac:dyDescent="0.15">
      <c r="A21" s="153" t="s">
        <v>211</v>
      </c>
      <c r="B21" s="106">
        <v>0</v>
      </c>
      <c r="C21" s="106">
        <v>0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0.8</v>
      </c>
      <c r="Q21" s="106">
        <v>0.8</v>
      </c>
      <c r="R21" s="106">
        <v>0.8</v>
      </c>
      <c r="S21" s="106">
        <v>0.8</v>
      </c>
      <c r="T21" s="106">
        <v>0.8</v>
      </c>
      <c r="U21" s="106">
        <v>0</v>
      </c>
      <c r="V21" s="106">
        <v>0.8</v>
      </c>
      <c r="W21" s="106">
        <v>0.8</v>
      </c>
      <c r="X21" s="106">
        <v>0.8</v>
      </c>
      <c r="Y21" s="106">
        <v>0</v>
      </c>
      <c r="Z21" s="106">
        <v>0</v>
      </c>
      <c r="AA21" s="106">
        <v>0</v>
      </c>
      <c r="AB21" s="106">
        <v>0.8</v>
      </c>
      <c r="AC21" s="106">
        <v>0.8</v>
      </c>
      <c r="AD21" s="106">
        <v>0.8</v>
      </c>
      <c r="AE21" s="106">
        <v>0</v>
      </c>
      <c r="AF21" s="106">
        <v>0</v>
      </c>
      <c r="AG21" s="106">
        <v>0</v>
      </c>
      <c r="AH21" s="106">
        <v>0</v>
      </c>
    </row>
    <row r="22" spans="1:34" customFormat="1" x14ac:dyDescent="0.15">
      <c r="A22" s="153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0.8</v>
      </c>
      <c r="W22" s="106">
        <v>0</v>
      </c>
      <c r="X22" s="106">
        <v>0.8</v>
      </c>
      <c r="Y22" s="106">
        <v>0.8</v>
      </c>
      <c r="Z22" s="106">
        <v>0</v>
      </c>
      <c r="AA22" s="106">
        <v>0</v>
      </c>
      <c r="AB22" s="106">
        <v>0.8</v>
      </c>
      <c r="AC22" s="106">
        <v>0.8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</row>
    <row r="23" spans="1:34" customFormat="1" x14ac:dyDescent="0.15">
      <c r="A23" s="153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0.8</v>
      </c>
      <c r="Q23" s="106">
        <v>0.8</v>
      </c>
      <c r="R23" s="106">
        <v>0</v>
      </c>
      <c r="S23" s="106">
        <v>0.8</v>
      </c>
      <c r="T23" s="106">
        <v>0.8</v>
      </c>
      <c r="U23" s="106">
        <v>0.8</v>
      </c>
      <c r="V23" s="106">
        <v>0.8</v>
      </c>
      <c r="W23" s="106">
        <v>0.8</v>
      </c>
      <c r="X23" s="106">
        <v>0.8</v>
      </c>
      <c r="Y23" s="106">
        <v>0.8</v>
      </c>
      <c r="Z23" s="106">
        <v>0.8</v>
      </c>
      <c r="AA23" s="106">
        <v>0.8</v>
      </c>
      <c r="AB23" s="106">
        <v>0.8</v>
      </c>
      <c r="AC23" s="106">
        <v>0</v>
      </c>
      <c r="AD23" s="106">
        <v>0.8</v>
      </c>
      <c r="AE23" s="106">
        <v>0</v>
      </c>
      <c r="AF23" s="106">
        <v>0</v>
      </c>
      <c r="AG23" s="106">
        <v>0</v>
      </c>
      <c r="AH23" s="106">
        <v>0</v>
      </c>
    </row>
    <row r="24" spans="1:34" customFormat="1" x14ac:dyDescent="0.15">
      <c r="A24" s="153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0.8</v>
      </c>
      <c r="T24" s="106">
        <v>0.8</v>
      </c>
      <c r="U24" s="106">
        <v>0.8</v>
      </c>
      <c r="V24" s="106">
        <v>0.8</v>
      </c>
      <c r="W24" s="106">
        <v>0.8</v>
      </c>
      <c r="X24" s="106">
        <v>0.8</v>
      </c>
      <c r="Y24" s="106">
        <v>0.8</v>
      </c>
      <c r="Z24" s="106">
        <v>0.8</v>
      </c>
      <c r="AA24" s="106">
        <v>0.8</v>
      </c>
      <c r="AB24" s="106">
        <v>0.8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</row>
    <row r="25" spans="1:34" customFormat="1" x14ac:dyDescent="0.15">
      <c r="A25" s="153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0.8</v>
      </c>
      <c r="Z25" s="106">
        <v>0</v>
      </c>
      <c r="AA25" s="106">
        <v>0.8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</row>
    <row r="26" spans="1:34" customFormat="1" x14ac:dyDescent="0.15">
      <c r="A26" s="153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0.8</v>
      </c>
      <c r="Y26" s="106">
        <v>0</v>
      </c>
      <c r="Z26" s="106">
        <v>0.8</v>
      </c>
      <c r="AA26" s="106">
        <v>0.8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</row>
    <row r="27" spans="1:34" customFormat="1" x14ac:dyDescent="0.15">
      <c r="A27" s="153" t="s">
        <v>217</v>
      </c>
      <c r="B27" s="106">
        <v>0</v>
      </c>
      <c r="C27" s="106">
        <v>0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</row>
    <row r="28" spans="1:34" customFormat="1" x14ac:dyDescent="0.15">
      <c r="A28" s="153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0.8</v>
      </c>
      <c r="AB28" s="106">
        <v>0</v>
      </c>
      <c r="AC28" s="106">
        <v>0</v>
      </c>
      <c r="AD28" s="106">
        <v>0.8</v>
      </c>
      <c r="AE28" s="106">
        <v>0</v>
      </c>
      <c r="AF28" s="106">
        <v>0</v>
      </c>
      <c r="AG28" s="106">
        <v>0</v>
      </c>
      <c r="AH28" s="106">
        <v>0</v>
      </c>
    </row>
    <row r="29" spans="1:34" customFormat="1" x14ac:dyDescent="0.15">
      <c r="A29" s="153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0.8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</row>
    <row r="30" spans="1:34" customFormat="1" x14ac:dyDescent="0.15">
      <c r="A30" s="153" t="s">
        <v>220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0.8</v>
      </c>
      <c r="AE30" s="106">
        <v>0</v>
      </c>
      <c r="AF30" s="106">
        <v>0</v>
      </c>
      <c r="AG30" s="106">
        <v>0</v>
      </c>
      <c r="AH30" s="106">
        <v>0</v>
      </c>
    </row>
    <row r="31" spans="1:34" customFormat="1" x14ac:dyDescent="0.15">
      <c r="A31" s="153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0.8</v>
      </c>
      <c r="AG31" s="106">
        <v>0</v>
      </c>
      <c r="AH31" s="106">
        <v>0</v>
      </c>
    </row>
    <row r="32" spans="1:34" customFormat="1" x14ac:dyDescent="0.15">
      <c r="A32" s="153" t="s">
        <v>222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0.8</v>
      </c>
      <c r="R32" s="106">
        <v>0.8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0.8</v>
      </c>
      <c r="Y32" s="106">
        <v>0</v>
      </c>
      <c r="Z32" s="106">
        <v>0.8</v>
      </c>
      <c r="AA32" s="106">
        <v>0</v>
      </c>
      <c r="AB32" s="106">
        <v>0.8</v>
      </c>
      <c r="AC32" s="106">
        <v>0</v>
      </c>
      <c r="AD32" s="106">
        <v>0</v>
      </c>
      <c r="AE32" s="106">
        <v>0</v>
      </c>
      <c r="AF32" s="106">
        <v>0.8</v>
      </c>
      <c r="AG32" s="106">
        <v>0</v>
      </c>
      <c r="AH32" s="106">
        <v>0</v>
      </c>
    </row>
    <row r="33" spans="1:34" x14ac:dyDescent="0.15">
      <c r="A33" s="153" t="s">
        <v>223</v>
      </c>
      <c r="B33" s="106">
        <v>0</v>
      </c>
      <c r="C33" s="106">
        <v>0</v>
      </c>
      <c r="D33" s="106">
        <v>0.8</v>
      </c>
      <c r="E33" s="106">
        <v>0</v>
      </c>
      <c r="F33" s="106">
        <v>0</v>
      </c>
      <c r="G33" s="106">
        <v>0.8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0.8</v>
      </c>
      <c r="AF33" s="106">
        <v>0.8</v>
      </c>
      <c r="AG33" s="106">
        <v>0</v>
      </c>
      <c r="AH33" s="106">
        <v>0</v>
      </c>
    </row>
    <row r="34" spans="1:34" x14ac:dyDescent="0.15">
      <c r="A34" s="153" t="s">
        <v>224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</row>
    <row r="35" spans="1:34" x14ac:dyDescent="0.15">
      <c r="A35" s="153" t="s">
        <v>227</v>
      </c>
      <c r="B35" s="106">
        <v>0</v>
      </c>
      <c r="C35" s="106">
        <v>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0.8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34" width="2.33203125" style="106" customWidth="1"/>
    <col min="35" max="16384" width="10.83203125" style="106"/>
  </cols>
  <sheetData>
    <row r="1" spans="1:34" x14ac:dyDescent="0.15">
      <c r="A1" s="63" t="s">
        <v>139</v>
      </c>
      <c r="B1" s="156" t="s">
        <v>192</v>
      </c>
      <c r="C1" s="156" t="s">
        <v>193</v>
      </c>
      <c r="D1" s="156" t="s">
        <v>194</v>
      </c>
      <c r="E1" s="156" t="s">
        <v>195</v>
      </c>
      <c r="F1" s="156" t="s">
        <v>196</v>
      </c>
      <c r="G1" s="156" t="s">
        <v>197</v>
      </c>
      <c r="H1" s="156" t="s">
        <v>198</v>
      </c>
      <c r="I1" s="156" t="s">
        <v>199</v>
      </c>
      <c r="J1" s="156" t="s">
        <v>200</v>
      </c>
      <c r="K1" s="156" t="s">
        <v>201</v>
      </c>
      <c r="L1" s="156" t="s">
        <v>202</v>
      </c>
      <c r="M1" s="156" t="s">
        <v>203</v>
      </c>
      <c r="N1" s="156" t="s">
        <v>204</v>
      </c>
      <c r="O1" s="156" t="s">
        <v>205</v>
      </c>
      <c r="P1" s="156" t="s">
        <v>206</v>
      </c>
      <c r="Q1" s="156" t="s">
        <v>207</v>
      </c>
      <c r="R1" s="156" t="s">
        <v>208</v>
      </c>
      <c r="S1" s="156" t="s">
        <v>209</v>
      </c>
      <c r="T1" s="156" t="s">
        <v>210</v>
      </c>
      <c r="U1" s="156" t="s">
        <v>211</v>
      </c>
      <c r="V1" s="156" t="s">
        <v>212</v>
      </c>
      <c r="W1" s="156" t="s">
        <v>213</v>
      </c>
      <c r="X1" s="156" t="s">
        <v>214</v>
      </c>
      <c r="Y1" s="156" t="s">
        <v>215</v>
      </c>
      <c r="Z1" s="156" t="s">
        <v>216</v>
      </c>
      <c r="AA1" s="156" t="s">
        <v>217</v>
      </c>
      <c r="AB1" s="156" t="s">
        <v>218</v>
      </c>
      <c r="AC1" s="156" t="s">
        <v>219</v>
      </c>
      <c r="AD1" s="156" t="s">
        <v>220</v>
      </c>
      <c r="AE1" s="156" t="s">
        <v>221</v>
      </c>
      <c r="AF1" s="156" t="s">
        <v>222</v>
      </c>
      <c r="AG1" s="156" t="s">
        <v>223</v>
      </c>
      <c r="AH1" s="156" t="s">
        <v>224</v>
      </c>
    </row>
    <row r="2" spans="1:34" customFormat="1" x14ac:dyDescent="0.15">
      <c r="A2" s="155" t="s">
        <v>192</v>
      </c>
      <c r="B2" s="106">
        <v>0</v>
      </c>
      <c r="C2" s="106">
        <v>0</v>
      </c>
      <c r="D2" s="106">
        <v>1</v>
      </c>
      <c r="E2" s="106">
        <v>1</v>
      </c>
      <c r="F2" s="106">
        <v>1</v>
      </c>
      <c r="G2" s="106">
        <v>0</v>
      </c>
      <c r="H2" s="106">
        <v>1</v>
      </c>
      <c r="I2" s="106">
        <v>1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</row>
    <row r="3" spans="1:34" customFormat="1" x14ac:dyDescent="0.15">
      <c r="A3" s="155" t="s">
        <v>193</v>
      </c>
      <c r="B3" s="106">
        <v>0</v>
      </c>
      <c r="C3" s="106">
        <v>0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</v>
      </c>
      <c r="AD3" s="106">
        <v>0</v>
      </c>
      <c r="AE3" s="106">
        <v>1</v>
      </c>
      <c r="AF3" s="106">
        <v>1</v>
      </c>
      <c r="AG3" s="106">
        <v>0</v>
      </c>
      <c r="AH3" s="106">
        <v>0</v>
      </c>
    </row>
    <row r="4" spans="1:34" customFormat="1" x14ac:dyDescent="0.15">
      <c r="A4" s="155" t="s">
        <v>194</v>
      </c>
      <c r="B4" s="106">
        <v>0</v>
      </c>
      <c r="C4" s="106">
        <v>0</v>
      </c>
      <c r="D4" s="106">
        <v>1</v>
      </c>
      <c r="E4" s="106">
        <v>1</v>
      </c>
      <c r="F4" s="106">
        <v>1</v>
      </c>
      <c r="G4" s="106">
        <v>0</v>
      </c>
      <c r="H4" s="106">
        <v>1</v>
      </c>
      <c r="I4" s="106">
        <v>1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</row>
    <row r="5" spans="1:34" customFormat="1" x14ac:dyDescent="0.15">
      <c r="A5" s="155" t="s">
        <v>195</v>
      </c>
      <c r="B5" s="106">
        <v>0</v>
      </c>
      <c r="C5" s="106">
        <v>0</v>
      </c>
      <c r="D5" s="106">
        <v>0</v>
      </c>
      <c r="E5" s="106">
        <v>0</v>
      </c>
      <c r="F5" s="106">
        <v>1</v>
      </c>
      <c r="G5" s="106">
        <v>1</v>
      </c>
      <c r="H5" s="106">
        <v>1</v>
      </c>
      <c r="I5" s="106">
        <v>1</v>
      </c>
      <c r="J5" s="106">
        <v>1</v>
      </c>
      <c r="K5" s="106">
        <v>1</v>
      </c>
      <c r="L5" s="106">
        <v>1</v>
      </c>
      <c r="M5" s="106">
        <v>1</v>
      </c>
      <c r="N5" s="106">
        <v>1</v>
      </c>
      <c r="O5" s="106">
        <v>1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1</v>
      </c>
      <c r="X5" s="106">
        <v>1</v>
      </c>
      <c r="Y5" s="106">
        <v>0</v>
      </c>
      <c r="Z5" s="106">
        <v>0</v>
      </c>
      <c r="AA5" s="106">
        <v>0</v>
      </c>
      <c r="AB5" s="106">
        <v>0</v>
      </c>
      <c r="AC5" s="106">
        <v>1</v>
      </c>
      <c r="AD5" s="106">
        <v>1</v>
      </c>
      <c r="AE5" s="106">
        <v>0</v>
      </c>
      <c r="AF5" s="106">
        <v>0</v>
      </c>
      <c r="AG5" s="106">
        <v>0</v>
      </c>
      <c r="AH5" s="106">
        <v>0</v>
      </c>
    </row>
    <row r="6" spans="1:34" customFormat="1" x14ac:dyDescent="0.15">
      <c r="A6" s="155" t="s">
        <v>196</v>
      </c>
      <c r="B6" s="106">
        <v>0</v>
      </c>
      <c r="C6" s="106">
        <v>0</v>
      </c>
      <c r="D6" s="106">
        <v>0</v>
      </c>
      <c r="E6" s="106">
        <v>0</v>
      </c>
      <c r="F6" s="106">
        <v>0</v>
      </c>
      <c r="G6" s="106">
        <v>1</v>
      </c>
      <c r="H6" s="106">
        <v>1</v>
      </c>
      <c r="I6" s="106">
        <v>1</v>
      </c>
      <c r="J6" s="106">
        <v>1</v>
      </c>
      <c r="K6" s="106">
        <v>1</v>
      </c>
      <c r="L6" s="106">
        <v>1</v>
      </c>
      <c r="M6" s="106">
        <v>1</v>
      </c>
      <c r="N6" s="106">
        <v>1</v>
      </c>
      <c r="O6" s="106">
        <v>1</v>
      </c>
      <c r="P6" s="106">
        <v>1</v>
      </c>
      <c r="Q6" s="106">
        <v>1</v>
      </c>
      <c r="R6" s="106">
        <v>1</v>
      </c>
      <c r="S6" s="106">
        <v>1</v>
      </c>
      <c r="T6" s="106">
        <v>1</v>
      </c>
      <c r="U6" s="106">
        <v>1</v>
      </c>
      <c r="V6" s="106">
        <v>1</v>
      </c>
      <c r="W6" s="106">
        <v>1</v>
      </c>
      <c r="X6" s="106">
        <v>1</v>
      </c>
      <c r="Y6" s="106">
        <v>0</v>
      </c>
      <c r="Z6" s="106">
        <v>0</v>
      </c>
      <c r="AA6" s="106">
        <v>0</v>
      </c>
      <c r="AB6" s="106">
        <v>0</v>
      </c>
      <c r="AC6" s="106">
        <v>1</v>
      </c>
      <c r="AD6" s="106">
        <v>1</v>
      </c>
      <c r="AE6" s="106">
        <v>0</v>
      </c>
      <c r="AF6" s="106">
        <v>0</v>
      </c>
      <c r="AG6" s="106">
        <v>0</v>
      </c>
      <c r="AH6" s="106">
        <v>0</v>
      </c>
    </row>
    <row r="7" spans="1:34" customFormat="1" x14ac:dyDescent="0.15">
      <c r="A7" s="155" t="s">
        <v>197</v>
      </c>
      <c r="B7" s="106">
        <v>0</v>
      </c>
      <c r="C7" s="106">
        <v>0</v>
      </c>
      <c r="D7" s="106">
        <v>0</v>
      </c>
      <c r="E7" s="106">
        <v>0</v>
      </c>
      <c r="F7" s="106">
        <v>0</v>
      </c>
      <c r="G7" s="106">
        <v>1</v>
      </c>
      <c r="H7" s="106">
        <v>0</v>
      </c>
      <c r="I7" s="106">
        <v>0</v>
      </c>
      <c r="J7" s="106">
        <v>0</v>
      </c>
      <c r="K7" s="106">
        <v>1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</row>
    <row r="8" spans="1:34" customFormat="1" x14ac:dyDescent="0.15">
      <c r="A8" s="155" t="s">
        <v>198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1</v>
      </c>
      <c r="M8" s="106">
        <v>0</v>
      </c>
      <c r="N8" s="106">
        <v>1</v>
      </c>
      <c r="O8" s="106">
        <v>0</v>
      </c>
      <c r="P8" s="106">
        <v>1</v>
      </c>
      <c r="Q8" s="106">
        <v>1</v>
      </c>
      <c r="R8" s="106">
        <v>1</v>
      </c>
      <c r="S8" s="106">
        <v>1</v>
      </c>
      <c r="T8" s="106">
        <v>1</v>
      </c>
      <c r="U8" s="106">
        <v>1</v>
      </c>
      <c r="V8" s="106">
        <v>1</v>
      </c>
      <c r="W8" s="106">
        <v>1</v>
      </c>
      <c r="X8" s="106">
        <v>1</v>
      </c>
      <c r="Y8" s="106">
        <v>1</v>
      </c>
      <c r="Z8" s="106">
        <v>0</v>
      </c>
      <c r="AA8" s="106">
        <v>0</v>
      </c>
      <c r="AB8" s="106">
        <v>1</v>
      </c>
      <c r="AC8" s="106">
        <v>1</v>
      </c>
      <c r="AD8" s="106">
        <v>1</v>
      </c>
      <c r="AE8" s="106">
        <v>0</v>
      </c>
      <c r="AF8" s="106">
        <v>0</v>
      </c>
      <c r="AG8" s="106">
        <v>0</v>
      </c>
      <c r="AH8" s="106">
        <v>0</v>
      </c>
    </row>
    <row r="9" spans="1:34" customFormat="1" x14ac:dyDescent="0.15">
      <c r="A9" s="155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1</v>
      </c>
      <c r="M9" s="106">
        <v>0</v>
      </c>
      <c r="N9" s="106">
        <v>1</v>
      </c>
      <c r="O9" s="106">
        <v>0</v>
      </c>
      <c r="P9" s="106">
        <v>1</v>
      </c>
      <c r="Q9" s="106">
        <v>1</v>
      </c>
      <c r="R9" s="106">
        <v>1</v>
      </c>
      <c r="S9" s="106">
        <v>1</v>
      </c>
      <c r="T9" s="106">
        <v>1</v>
      </c>
      <c r="U9" s="106">
        <v>1</v>
      </c>
      <c r="V9" s="106">
        <v>1</v>
      </c>
      <c r="W9" s="106">
        <v>1</v>
      </c>
      <c r="X9" s="106">
        <v>0</v>
      </c>
      <c r="Y9" s="106">
        <v>1</v>
      </c>
      <c r="Z9" s="106">
        <v>0</v>
      </c>
      <c r="AA9" s="106">
        <v>0</v>
      </c>
      <c r="AB9" s="106">
        <v>1</v>
      </c>
      <c r="AC9" s="106">
        <v>1</v>
      </c>
      <c r="AD9" s="106">
        <v>1</v>
      </c>
      <c r="AE9" s="106">
        <v>0</v>
      </c>
      <c r="AF9" s="106">
        <v>0</v>
      </c>
      <c r="AG9" s="106">
        <v>0</v>
      </c>
      <c r="AH9" s="106">
        <v>0</v>
      </c>
    </row>
    <row r="10" spans="1:34" customFormat="1" x14ac:dyDescent="0.15">
      <c r="A10" s="155" t="s">
        <v>200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1</v>
      </c>
      <c r="M10" s="106">
        <v>0</v>
      </c>
      <c r="N10" s="106">
        <v>1</v>
      </c>
      <c r="O10" s="106">
        <v>0</v>
      </c>
      <c r="P10" s="106">
        <v>1</v>
      </c>
      <c r="Q10" s="106">
        <v>1</v>
      </c>
      <c r="R10" s="106">
        <v>1</v>
      </c>
      <c r="S10" s="106">
        <v>1</v>
      </c>
      <c r="T10" s="106">
        <v>1</v>
      </c>
      <c r="U10" s="106">
        <v>1</v>
      </c>
      <c r="V10" s="106">
        <v>1</v>
      </c>
      <c r="W10" s="106">
        <v>1</v>
      </c>
      <c r="X10" s="106">
        <v>1</v>
      </c>
      <c r="Y10" s="106">
        <v>1</v>
      </c>
      <c r="Z10" s="106">
        <v>0</v>
      </c>
      <c r="AA10" s="106">
        <v>0</v>
      </c>
      <c r="AB10" s="106">
        <v>1</v>
      </c>
      <c r="AC10" s="106">
        <v>1</v>
      </c>
      <c r="AD10" s="106">
        <v>1</v>
      </c>
      <c r="AE10" s="106">
        <v>0</v>
      </c>
      <c r="AF10" s="106">
        <v>0</v>
      </c>
      <c r="AG10" s="106">
        <v>0</v>
      </c>
      <c r="AH10" s="106">
        <v>0</v>
      </c>
    </row>
    <row r="11" spans="1:34" customFormat="1" x14ac:dyDescent="0.15">
      <c r="A11" s="155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1</v>
      </c>
      <c r="Q11" s="106">
        <v>1</v>
      </c>
      <c r="R11" s="106">
        <v>0</v>
      </c>
      <c r="S11" s="106">
        <v>0</v>
      </c>
      <c r="T11" s="106">
        <v>1</v>
      </c>
      <c r="U11" s="106">
        <v>1</v>
      </c>
      <c r="V11" s="106">
        <v>1</v>
      </c>
      <c r="W11" s="106">
        <v>0</v>
      </c>
      <c r="X11" s="106">
        <v>0</v>
      </c>
      <c r="Y11" s="106">
        <v>1</v>
      </c>
      <c r="Z11" s="106">
        <v>0</v>
      </c>
      <c r="AA11" s="106">
        <v>0</v>
      </c>
      <c r="AB11" s="106">
        <v>1</v>
      </c>
      <c r="AC11" s="106">
        <v>1</v>
      </c>
      <c r="AD11" s="106">
        <v>1</v>
      </c>
      <c r="AE11" s="106">
        <v>0</v>
      </c>
      <c r="AF11" s="106">
        <v>0</v>
      </c>
      <c r="AG11" s="106">
        <v>0</v>
      </c>
      <c r="AH11" s="106">
        <v>0</v>
      </c>
    </row>
    <row r="12" spans="1:34" customFormat="1" x14ac:dyDescent="0.15">
      <c r="A12" s="155" t="s">
        <v>202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1</v>
      </c>
      <c r="Q12" s="106">
        <v>1</v>
      </c>
      <c r="R12" s="106">
        <v>0</v>
      </c>
      <c r="S12" s="106">
        <v>0</v>
      </c>
      <c r="T12" s="106">
        <v>1</v>
      </c>
      <c r="U12" s="106">
        <v>0</v>
      </c>
      <c r="V12" s="106">
        <v>0</v>
      </c>
      <c r="W12" s="106">
        <v>0</v>
      </c>
      <c r="X12" s="106">
        <v>0</v>
      </c>
      <c r="Y12" s="106">
        <v>1</v>
      </c>
      <c r="Z12" s="106">
        <v>0</v>
      </c>
      <c r="AA12" s="106">
        <v>0</v>
      </c>
      <c r="AB12" s="106">
        <v>1</v>
      </c>
      <c r="AC12" s="106">
        <v>0</v>
      </c>
      <c r="AD12" s="106">
        <v>1</v>
      </c>
      <c r="AE12" s="106">
        <v>0</v>
      </c>
      <c r="AF12" s="106">
        <v>0</v>
      </c>
      <c r="AG12" s="106">
        <v>0</v>
      </c>
      <c r="AH12" s="106">
        <v>0</v>
      </c>
    </row>
    <row r="13" spans="1:34" customFormat="1" x14ac:dyDescent="0.15">
      <c r="A13" s="155" t="s">
        <v>203</v>
      </c>
      <c r="B13" s="106">
        <v>0</v>
      </c>
      <c r="C13" s="106">
        <v>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1</v>
      </c>
      <c r="Q13" s="106">
        <v>1</v>
      </c>
      <c r="R13" s="106">
        <v>0</v>
      </c>
      <c r="S13" s="106">
        <v>0</v>
      </c>
      <c r="T13" s="106">
        <v>1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1</v>
      </c>
      <c r="AC13" s="106">
        <v>0</v>
      </c>
      <c r="AD13" s="106">
        <v>1</v>
      </c>
      <c r="AE13" s="106">
        <v>0</v>
      </c>
      <c r="AF13" s="106">
        <v>0</v>
      </c>
      <c r="AG13" s="106">
        <v>0</v>
      </c>
      <c r="AH13" s="106">
        <v>0</v>
      </c>
    </row>
    <row r="14" spans="1:34" customFormat="1" x14ac:dyDescent="0.15">
      <c r="A14" s="155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1</v>
      </c>
      <c r="Q14" s="106">
        <v>0</v>
      </c>
      <c r="R14" s="106">
        <v>0</v>
      </c>
      <c r="S14" s="106">
        <v>0</v>
      </c>
      <c r="T14" s="106">
        <v>1</v>
      </c>
      <c r="U14" s="106">
        <v>0</v>
      </c>
      <c r="V14" s="106">
        <v>0</v>
      </c>
      <c r="W14" s="106">
        <v>0</v>
      </c>
      <c r="X14" s="106">
        <v>0</v>
      </c>
      <c r="Y14" s="106">
        <v>1</v>
      </c>
      <c r="Z14" s="106">
        <v>1</v>
      </c>
      <c r="AA14" s="106">
        <v>1</v>
      </c>
      <c r="AB14" s="106">
        <v>1</v>
      </c>
      <c r="AC14" s="106">
        <v>1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</row>
    <row r="15" spans="1:34" customFormat="1" x14ac:dyDescent="0.15">
      <c r="A15" s="155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1</v>
      </c>
      <c r="M15" s="106">
        <v>0</v>
      </c>
      <c r="N15" s="106">
        <v>0</v>
      </c>
      <c r="O15" s="106">
        <v>0</v>
      </c>
      <c r="P15" s="106">
        <v>1</v>
      </c>
      <c r="Q15" s="106">
        <v>1</v>
      </c>
      <c r="R15" s="106">
        <v>1</v>
      </c>
      <c r="S15" s="106">
        <v>1</v>
      </c>
      <c r="T15" s="106">
        <v>1</v>
      </c>
      <c r="U15" s="106">
        <v>1</v>
      </c>
      <c r="V15" s="106">
        <v>1</v>
      </c>
      <c r="W15" s="106">
        <v>1</v>
      </c>
      <c r="X15" s="106">
        <v>1</v>
      </c>
      <c r="Y15" s="106">
        <v>1</v>
      </c>
      <c r="Z15" s="106">
        <v>1</v>
      </c>
      <c r="AA15" s="106">
        <v>0</v>
      </c>
      <c r="AB15" s="106">
        <v>1</v>
      </c>
      <c r="AC15" s="106">
        <v>1</v>
      </c>
      <c r="AD15" s="106">
        <v>1</v>
      </c>
      <c r="AE15" s="106">
        <v>0</v>
      </c>
      <c r="AF15" s="106">
        <v>0</v>
      </c>
      <c r="AG15" s="106">
        <v>0</v>
      </c>
      <c r="AH15" s="106">
        <v>0</v>
      </c>
    </row>
    <row r="16" spans="1:34" customFormat="1" x14ac:dyDescent="0.15">
      <c r="A16" s="155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1</v>
      </c>
      <c r="Q16" s="106">
        <v>0</v>
      </c>
      <c r="R16" s="106">
        <v>0</v>
      </c>
      <c r="S16" s="106">
        <v>0</v>
      </c>
      <c r="T16" s="106">
        <v>1</v>
      </c>
      <c r="U16" s="106">
        <v>0</v>
      </c>
      <c r="V16" s="106">
        <v>1</v>
      </c>
      <c r="W16" s="106">
        <v>0</v>
      </c>
      <c r="X16" s="106">
        <v>0</v>
      </c>
      <c r="Y16" s="106">
        <v>1</v>
      </c>
      <c r="Z16" s="106">
        <v>0</v>
      </c>
      <c r="AA16" s="106">
        <v>1</v>
      </c>
      <c r="AB16" s="106">
        <v>0</v>
      </c>
      <c r="AC16" s="106">
        <v>0</v>
      </c>
      <c r="AD16" s="106">
        <v>1</v>
      </c>
      <c r="AE16" s="106">
        <v>0</v>
      </c>
      <c r="AF16" s="106">
        <v>0</v>
      </c>
      <c r="AG16" s="106">
        <v>0</v>
      </c>
      <c r="AH16" s="106">
        <v>0</v>
      </c>
    </row>
    <row r="17" spans="1:34" customFormat="1" x14ac:dyDescent="0.15">
      <c r="A17" s="155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1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1</v>
      </c>
      <c r="Z17" s="106">
        <v>0</v>
      </c>
      <c r="AA17" s="106">
        <v>1</v>
      </c>
      <c r="AB17" s="106">
        <v>1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</row>
    <row r="18" spans="1:34" customFormat="1" x14ac:dyDescent="0.15">
      <c r="A18" s="155" t="s">
        <v>208</v>
      </c>
      <c r="B18" s="106">
        <v>0</v>
      </c>
      <c r="C18" s="106">
        <v>0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1</v>
      </c>
      <c r="Q18" s="106">
        <v>1</v>
      </c>
      <c r="R18" s="106">
        <v>1</v>
      </c>
      <c r="S18" s="106">
        <v>1</v>
      </c>
      <c r="T18" s="106">
        <v>1</v>
      </c>
      <c r="U18" s="106">
        <v>1</v>
      </c>
      <c r="V18" s="106">
        <v>1</v>
      </c>
      <c r="W18" s="106">
        <v>1</v>
      </c>
      <c r="X18" s="106">
        <v>1</v>
      </c>
      <c r="Y18" s="106">
        <v>1</v>
      </c>
      <c r="Z18" s="106">
        <v>1</v>
      </c>
      <c r="AA18" s="106">
        <v>0</v>
      </c>
      <c r="AB18" s="106">
        <v>1</v>
      </c>
      <c r="AC18" s="106">
        <v>1</v>
      </c>
      <c r="AD18" s="106">
        <v>1</v>
      </c>
      <c r="AE18" s="106">
        <v>0</v>
      </c>
      <c r="AF18" s="106">
        <v>0</v>
      </c>
      <c r="AG18" s="106">
        <v>0</v>
      </c>
      <c r="AH18" s="106">
        <v>0</v>
      </c>
    </row>
    <row r="19" spans="1:34" customFormat="1" x14ac:dyDescent="0.15">
      <c r="A19" s="155" t="s">
        <v>209</v>
      </c>
      <c r="B19" s="106">
        <v>0</v>
      </c>
      <c r="C19" s="106">
        <v>0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1</v>
      </c>
      <c r="Q19" s="106">
        <v>1</v>
      </c>
      <c r="R19" s="106">
        <v>1</v>
      </c>
      <c r="S19" s="106">
        <v>0</v>
      </c>
      <c r="T19" s="106">
        <v>1</v>
      </c>
      <c r="U19" s="106">
        <v>0</v>
      </c>
      <c r="V19" s="106">
        <v>0</v>
      </c>
      <c r="W19" s="106">
        <v>1</v>
      </c>
      <c r="X19" s="106">
        <v>1</v>
      </c>
      <c r="Y19" s="106">
        <v>0</v>
      </c>
      <c r="Z19" s="106">
        <v>0</v>
      </c>
      <c r="AA19" s="106">
        <v>0</v>
      </c>
      <c r="AB19" s="106">
        <v>1</v>
      </c>
      <c r="AC19" s="106">
        <v>1</v>
      </c>
      <c r="AD19" s="106">
        <v>1</v>
      </c>
      <c r="AE19" s="106">
        <v>0</v>
      </c>
      <c r="AF19" s="106">
        <v>0</v>
      </c>
      <c r="AG19" s="106">
        <v>0</v>
      </c>
      <c r="AH19" s="106">
        <v>0</v>
      </c>
    </row>
    <row r="20" spans="1:34" customFormat="1" x14ac:dyDescent="0.15">
      <c r="A20" s="155" t="s">
        <v>210</v>
      </c>
      <c r="B20" s="106">
        <v>0</v>
      </c>
      <c r="C20" s="106">
        <v>0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1</v>
      </c>
      <c r="U20" s="106">
        <v>0</v>
      </c>
      <c r="V20" s="106">
        <v>0</v>
      </c>
      <c r="W20" s="106">
        <v>0</v>
      </c>
      <c r="X20" s="106">
        <v>1</v>
      </c>
      <c r="Y20" s="106">
        <v>1</v>
      </c>
      <c r="Z20" s="106">
        <v>1</v>
      </c>
      <c r="AA20" s="106">
        <v>0</v>
      </c>
      <c r="AB20" s="106">
        <v>1</v>
      </c>
      <c r="AC20" s="106">
        <v>1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</row>
    <row r="21" spans="1:34" customFormat="1" x14ac:dyDescent="0.15">
      <c r="A21" s="155" t="s">
        <v>211</v>
      </c>
      <c r="B21" s="106">
        <v>0</v>
      </c>
      <c r="C21" s="106">
        <v>0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1</v>
      </c>
      <c r="Q21" s="106">
        <v>1</v>
      </c>
      <c r="R21" s="106">
        <v>1</v>
      </c>
      <c r="S21" s="106">
        <v>1</v>
      </c>
      <c r="T21" s="106">
        <v>1</v>
      </c>
      <c r="U21" s="106">
        <v>0</v>
      </c>
      <c r="V21" s="106">
        <v>1</v>
      </c>
      <c r="W21" s="106">
        <v>1</v>
      </c>
      <c r="X21" s="106">
        <v>1</v>
      </c>
      <c r="Y21" s="106">
        <v>0</v>
      </c>
      <c r="Z21" s="106">
        <v>0</v>
      </c>
      <c r="AA21" s="106">
        <v>0</v>
      </c>
      <c r="AB21" s="106">
        <v>1</v>
      </c>
      <c r="AC21" s="106">
        <v>1</v>
      </c>
      <c r="AD21" s="106">
        <v>1</v>
      </c>
      <c r="AE21" s="106">
        <v>0</v>
      </c>
      <c r="AF21" s="106">
        <v>0</v>
      </c>
      <c r="AG21" s="106">
        <v>0</v>
      </c>
      <c r="AH21" s="106">
        <v>0</v>
      </c>
    </row>
    <row r="22" spans="1:34" customFormat="1" x14ac:dyDescent="0.15">
      <c r="A22" s="155" t="s">
        <v>212</v>
      </c>
      <c r="B22" s="106">
        <v>0</v>
      </c>
      <c r="C22" s="106">
        <v>0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1</v>
      </c>
      <c r="W22" s="106">
        <v>0</v>
      </c>
      <c r="X22" s="106">
        <v>1</v>
      </c>
      <c r="Y22" s="106">
        <v>1</v>
      </c>
      <c r="Z22" s="106">
        <v>0</v>
      </c>
      <c r="AA22" s="106">
        <v>0</v>
      </c>
      <c r="AB22" s="106">
        <v>1</v>
      </c>
      <c r="AC22" s="106">
        <v>1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</row>
    <row r="23" spans="1:34" customFormat="1" x14ac:dyDescent="0.15">
      <c r="A23" s="155" t="s">
        <v>213</v>
      </c>
      <c r="B23" s="106">
        <v>0</v>
      </c>
      <c r="C23" s="106">
        <v>0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1</v>
      </c>
      <c r="Q23" s="106">
        <v>1</v>
      </c>
      <c r="R23" s="106">
        <v>0</v>
      </c>
      <c r="S23" s="106">
        <v>1</v>
      </c>
      <c r="T23" s="106">
        <v>1</v>
      </c>
      <c r="U23" s="106">
        <v>1</v>
      </c>
      <c r="V23" s="106">
        <v>1</v>
      </c>
      <c r="W23" s="106">
        <v>1</v>
      </c>
      <c r="X23" s="106">
        <v>1</v>
      </c>
      <c r="Y23" s="106">
        <v>1</v>
      </c>
      <c r="Z23" s="106">
        <v>1</v>
      </c>
      <c r="AA23" s="106">
        <v>1</v>
      </c>
      <c r="AB23" s="106">
        <v>1</v>
      </c>
      <c r="AC23" s="106">
        <v>0</v>
      </c>
      <c r="AD23" s="106">
        <v>1</v>
      </c>
      <c r="AE23" s="106">
        <v>0</v>
      </c>
      <c r="AF23" s="106">
        <v>0</v>
      </c>
      <c r="AG23" s="106">
        <v>0</v>
      </c>
      <c r="AH23" s="106">
        <v>0</v>
      </c>
    </row>
    <row r="24" spans="1:34" customFormat="1" x14ac:dyDescent="0.15">
      <c r="A24" s="155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1</v>
      </c>
      <c r="T24" s="106">
        <v>1</v>
      </c>
      <c r="U24" s="106">
        <v>1</v>
      </c>
      <c r="V24" s="106">
        <v>1</v>
      </c>
      <c r="W24" s="106">
        <v>1</v>
      </c>
      <c r="X24" s="106">
        <v>1</v>
      </c>
      <c r="Y24" s="106">
        <v>1</v>
      </c>
      <c r="Z24" s="106">
        <v>1</v>
      </c>
      <c r="AA24" s="106">
        <v>1</v>
      </c>
      <c r="AB24" s="106">
        <v>1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</row>
    <row r="25" spans="1:34" customFormat="1" x14ac:dyDescent="0.15">
      <c r="A25" s="155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1</v>
      </c>
      <c r="Z25" s="106">
        <v>0</v>
      </c>
      <c r="AA25" s="106">
        <v>1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</row>
    <row r="26" spans="1:34" customFormat="1" x14ac:dyDescent="0.15">
      <c r="A26" s="155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1</v>
      </c>
      <c r="Y26" s="106">
        <v>0</v>
      </c>
      <c r="Z26" s="106">
        <v>1</v>
      </c>
      <c r="AA26" s="106">
        <v>1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</row>
    <row r="27" spans="1:34" customFormat="1" x14ac:dyDescent="0.15">
      <c r="A27" s="155" t="s">
        <v>217</v>
      </c>
      <c r="B27" s="106">
        <v>0</v>
      </c>
      <c r="C27" s="106">
        <v>0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</row>
    <row r="28" spans="1:34" customFormat="1" x14ac:dyDescent="0.15">
      <c r="A28" s="155" t="s">
        <v>218</v>
      </c>
      <c r="B28" s="106">
        <v>0</v>
      </c>
      <c r="C28" s="106">
        <v>0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1</v>
      </c>
      <c r="AB28" s="106">
        <v>0</v>
      </c>
      <c r="AC28" s="106">
        <v>0</v>
      </c>
      <c r="AD28" s="106">
        <v>1</v>
      </c>
      <c r="AE28" s="106">
        <v>0</v>
      </c>
      <c r="AF28" s="106">
        <v>0</v>
      </c>
      <c r="AG28" s="106">
        <v>0</v>
      </c>
      <c r="AH28" s="106">
        <v>0</v>
      </c>
    </row>
    <row r="29" spans="1:34" customFormat="1" x14ac:dyDescent="0.15">
      <c r="A29" s="155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1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</row>
    <row r="30" spans="1:34" customFormat="1" x14ac:dyDescent="0.15">
      <c r="A30" s="155" t="s">
        <v>220</v>
      </c>
      <c r="B30" s="106">
        <v>0</v>
      </c>
      <c r="C30" s="106">
        <v>0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1</v>
      </c>
      <c r="AE30" s="106">
        <v>0</v>
      </c>
      <c r="AF30" s="106">
        <v>0</v>
      </c>
      <c r="AG30" s="106">
        <v>0</v>
      </c>
      <c r="AH30" s="106">
        <v>0</v>
      </c>
    </row>
    <row r="31" spans="1:34" customFormat="1" x14ac:dyDescent="0.15">
      <c r="A31" s="155" t="s">
        <v>221</v>
      </c>
      <c r="B31" s="106">
        <v>0</v>
      </c>
      <c r="C31" s="106">
        <v>0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1</v>
      </c>
      <c r="AG31" s="106">
        <v>0</v>
      </c>
      <c r="AH31" s="106">
        <v>0</v>
      </c>
    </row>
    <row r="32" spans="1:34" x14ac:dyDescent="0.15">
      <c r="A32" s="155" t="s">
        <v>222</v>
      </c>
      <c r="B32" s="106">
        <v>0</v>
      </c>
      <c r="C32" s="106">
        <v>0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1</v>
      </c>
      <c r="R32" s="106">
        <v>1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1</v>
      </c>
      <c r="Y32" s="106">
        <v>0</v>
      </c>
      <c r="Z32" s="106">
        <v>1</v>
      </c>
      <c r="AA32" s="106">
        <v>0</v>
      </c>
      <c r="AB32" s="106">
        <v>1</v>
      </c>
      <c r="AC32" s="106">
        <v>0</v>
      </c>
      <c r="AD32" s="106">
        <v>0</v>
      </c>
      <c r="AE32" s="106">
        <v>0</v>
      </c>
      <c r="AF32" s="106">
        <v>1</v>
      </c>
      <c r="AG32" s="106">
        <v>0</v>
      </c>
      <c r="AH32" s="106">
        <v>0</v>
      </c>
    </row>
    <row r="33" spans="1:34" x14ac:dyDescent="0.15">
      <c r="A33" s="155" t="s">
        <v>223</v>
      </c>
      <c r="B33" s="106">
        <v>0</v>
      </c>
      <c r="C33" s="106">
        <v>0</v>
      </c>
      <c r="D33" s="106">
        <v>1</v>
      </c>
      <c r="E33" s="106">
        <v>0</v>
      </c>
      <c r="F33" s="106">
        <v>0</v>
      </c>
      <c r="G33" s="106">
        <v>1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1</v>
      </c>
      <c r="AF33" s="106">
        <v>1</v>
      </c>
      <c r="AG33" s="106">
        <v>0</v>
      </c>
      <c r="AH33" s="106">
        <v>0</v>
      </c>
    </row>
    <row r="34" spans="1:34" x14ac:dyDescent="0.15">
      <c r="A34" s="155" t="s">
        <v>224</v>
      </c>
      <c r="B34" s="106">
        <v>0</v>
      </c>
      <c r="C34" s="106">
        <v>0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</row>
    <row r="35" spans="1:34" x14ac:dyDescent="0.15">
      <c r="A35" s="155" t="s">
        <v>227</v>
      </c>
      <c r="B35" s="106">
        <v>0</v>
      </c>
      <c r="C35" s="106">
        <v>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1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58" t="s">
        <v>225</v>
      </c>
      <c r="D1" s="158" t="s">
        <v>226</v>
      </c>
    </row>
    <row r="2" spans="1:4" x14ac:dyDescent="0.15">
      <c r="A2">
        <v>1</v>
      </c>
      <c r="B2" s="157" t="s">
        <v>192</v>
      </c>
      <c r="C2">
        <v>0</v>
      </c>
      <c r="D2">
        <v>0</v>
      </c>
    </row>
    <row r="3" spans="1:4" x14ac:dyDescent="0.15">
      <c r="A3">
        <v>2</v>
      </c>
      <c r="B3" s="157" t="s">
        <v>193</v>
      </c>
      <c r="C3">
        <v>0</v>
      </c>
      <c r="D3">
        <v>0</v>
      </c>
    </row>
    <row r="4" spans="1:4" x14ac:dyDescent="0.15">
      <c r="A4">
        <v>3</v>
      </c>
      <c r="B4" s="157" t="s">
        <v>194</v>
      </c>
      <c r="C4">
        <v>0</v>
      </c>
      <c r="D4">
        <v>0</v>
      </c>
    </row>
    <row r="5" spans="1:4" x14ac:dyDescent="0.15">
      <c r="A5">
        <v>4</v>
      </c>
      <c r="B5" s="157" t="s">
        <v>195</v>
      </c>
      <c r="C5">
        <v>0</v>
      </c>
      <c r="D5">
        <v>0</v>
      </c>
    </row>
    <row r="6" spans="1:4" x14ac:dyDescent="0.15">
      <c r="A6">
        <v>5</v>
      </c>
      <c r="B6" s="157" t="s">
        <v>196</v>
      </c>
      <c r="C6">
        <v>0</v>
      </c>
      <c r="D6">
        <v>0</v>
      </c>
    </row>
    <row r="7" spans="1:4" x14ac:dyDescent="0.15">
      <c r="A7">
        <v>6</v>
      </c>
      <c r="B7" s="157" t="s">
        <v>197</v>
      </c>
      <c r="C7">
        <v>0</v>
      </c>
      <c r="D7">
        <v>0</v>
      </c>
    </row>
    <row r="8" spans="1:4" x14ac:dyDescent="0.15">
      <c r="A8">
        <v>7</v>
      </c>
      <c r="B8" s="157" t="s">
        <v>198</v>
      </c>
      <c r="C8">
        <v>0</v>
      </c>
      <c r="D8">
        <v>0</v>
      </c>
    </row>
    <row r="9" spans="1:4" x14ac:dyDescent="0.15">
      <c r="A9">
        <v>8</v>
      </c>
      <c r="B9" s="157" t="s">
        <v>199</v>
      </c>
      <c r="C9">
        <v>0</v>
      </c>
      <c r="D9">
        <v>0</v>
      </c>
    </row>
    <row r="10" spans="1:4" x14ac:dyDescent="0.15">
      <c r="A10">
        <v>9</v>
      </c>
      <c r="B10" s="157" t="s">
        <v>200</v>
      </c>
      <c r="C10">
        <v>0</v>
      </c>
      <c r="D10">
        <v>0</v>
      </c>
    </row>
    <row r="11" spans="1:4" x14ac:dyDescent="0.15">
      <c r="A11">
        <v>10</v>
      </c>
      <c r="B11" s="157" t="s">
        <v>201</v>
      </c>
      <c r="C11">
        <v>0</v>
      </c>
      <c r="D11">
        <v>0</v>
      </c>
    </row>
    <row r="12" spans="1:4" x14ac:dyDescent="0.15">
      <c r="A12">
        <v>11</v>
      </c>
      <c r="B12" s="157" t="s">
        <v>202</v>
      </c>
      <c r="C12">
        <v>0</v>
      </c>
      <c r="D12">
        <v>0</v>
      </c>
    </row>
    <row r="13" spans="1:4" x14ac:dyDescent="0.15">
      <c r="A13">
        <v>12</v>
      </c>
      <c r="B13" s="157" t="s">
        <v>203</v>
      </c>
      <c r="C13">
        <v>0</v>
      </c>
      <c r="D13">
        <v>0</v>
      </c>
    </row>
    <row r="14" spans="1:4" x14ac:dyDescent="0.15">
      <c r="A14">
        <v>13</v>
      </c>
      <c r="B14" s="157" t="s">
        <v>204</v>
      </c>
      <c r="C14">
        <v>0</v>
      </c>
      <c r="D14">
        <v>0</v>
      </c>
    </row>
    <row r="15" spans="1:4" x14ac:dyDescent="0.15">
      <c r="A15">
        <v>14</v>
      </c>
      <c r="B15" s="157" t="s">
        <v>205</v>
      </c>
      <c r="C15">
        <v>0</v>
      </c>
      <c r="D15">
        <v>0</v>
      </c>
    </row>
    <row r="16" spans="1:4" x14ac:dyDescent="0.15">
      <c r="A16">
        <v>15</v>
      </c>
      <c r="B16" s="157" t="s">
        <v>206</v>
      </c>
      <c r="C16">
        <v>0.8</v>
      </c>
      <c r="D16">
        <v>0</v>
      </c>
    </row>
    <row r="17" spans="1:4" x14ac:dyDescent="0.15">
      <c r="A17">
        <v>16</v>
      </c>
      <c r="B17" s="157" t="s">
        <v>207</v>
      </c>
      <c r="C17">
        <v>0.8</v>
      </c>
      <c r="D17">
        <v>0</v>
      </c>
    </row>
    <row r="18" spans="1:4" x14ac:dyDescent="0.15">
      <c r="A18">
        <v>17</v>
      </c>
      <c r="B18" s="157" t="s">
        <v>208</v>
      </c>
      <c r="C18">
        <v>0</v>
      </c>
      <c r="D18">
        <v>0</v>
      </c>
    </row>
    <row r="19" spans="1:4" x14ac:dyDescent="0.15">
      <c r="A19">
        <v>18</v>
      </c>
      <c r="B19" s="157" t="s">
        <v>209</v>
      </c>
      <c r="C19">
        <v>0</v>
      </c>
      <c r="D19">
        <v>0</v>
      </c>
    </row>
    <row r="20" spans="1:4" x14ac:dyDescent="0.15">
      <c r="A20">
        <v>19</v>
      </c>
      <c r="B20" s="157" t="s">
        <v>210</v>
      </c>
      <c r="C20">
        <v>0</v>
      </c>
      <c r="D20">
        <v>0</v>
      </c>
    </row>
    <row r="21" spans="1:4" x14ac:dyDescent="0.15">
      <c r="A21">
        <v>20</v>
      </c>
      <c r="B21" s="157" t="s">
        <v>211</v>
      </c>
      <c r="C21">
        <v>0</v>
      </c>
      <c r="D21">
        <v>0</v>
      </c>
    </row>
    <row r="22" spans="1:4" x14ac:dyDescent="0.15">
      <c r="A22">
        <v>21</v>
      </c>
      <c r="B22" s="157" t="s">
        <v>212</v>
      </c>
      <c r="C22">
        <v>0</v>
      </c>
      <c r="D22">
        <v>0</v>
      </c>
    </row>
    <row r="23" spans="1:4" x14ac:dyDescent="0.15">
      <c r="A23">
        <v>22</v>
      </c>
      <c r="B23" s="157" t="s">
        <v>213</v>
      </c>
      <c r="C23">
        <v>0</v>
      </c>
      <c r="D23">
        <v>0</v>
      </c>
    </row>
    <row r="24" spans="1:4" x14ac:dyDescent="0.15">
      <c r="A24">
        <v>23</v>
      </c>
      <c r="B24" s="157" t="s">
        <v>214</v>
      </c>
      <c r="C24">
        <v>0</v>
      </c>
      <c r="D24">
        <v>0</v>
      </c>
    </row>
    <row r="25" spans="1:4" x14ac:dyDescent="0.15">
      <c r="A25">
        <v>24</v>
      </c>
      <c r="B25" s="157" t="s">
        <v>215</v>
      </c>
      <c r="C25">
        <v>0</v>
      </c>
      <c r="D25">
        <v>0</v>
      </c>
    </row>
    <row r="26" spans="1:4" x14ac:dyDescent="0.15">
      <c r="A26">
        <v>25</v>
      </c>
      <c r="B26" s="157" t="s">
        <v>216</v>
      </c>
      <c r="C26">
        <v>0</v>
      </c>
      <c r="D26">
        <v>0</v>
      </c>
    </row>
    <row r="27" spans="1:4" x14ac:dyDescent="0.15">
      <c r="A27">
        <v>26</v>
      </c>
      <c r="B27" s="157" t="s">
        <v>217</v>
      </c>
      <c r="C27">
        <v>0</v>
      </c>
      <c r="D27">
        <v>0</v>
      </c>
    </row>
    <row r="28" spans="1:4" x14ac:dyDescent="0.15">
      <c r="A28">
        <v>27</v>
      </c>
      <c r="B28" s="157" t="s">
        <v>218</v>
      </c>
      <c r="C28">
        <v>0</v>
      </c>
      <c r="D28">
        <v>0.8</v>
      </c>
    </row>
    <row r="29" spans="1:4" x14ac:dyDescent="0.15">
      <c r="A29">
        <v>28</v>
      </c>
      <c r="B29" s="157" t="s">
        <v>219</v>
      </c>
      <c r="C29">
        <v>0</v>
      </c>
      <c r="D29">
        <v>0</v>
      </c>
    </row>
    <row r="30" spans="1:4" x14ac:dyDescent="0.15">
      <c r="A30">
        <v>29</v>
      </c>
      <c r="B30" s="157" t="s">
        <v>220</v>
      </c>
      <c r="C30">
        <v>0</v>
      </c>
      <c r="D30">
        <v>0.8</v>
      </c>
    </row>
    <row r="31" spans="1:4" x14ac:dyDescent="0.15">
      <c r="A31">
        <v>30</v>
      </c>
      <c r="B31" s="157" t="s">
        <v>221</v>
      </c>
      <c r="C31">
        <v>0</v>
      </c>
      <c r="D31">
        <v>0</v>
      </c>
    </row>
    <row r="32" spans="1:4" x14ac:dyDescent="0.15">
      <c r="A32">
        <v>31</v>
      </c>
      <c r="B32" s="157" t="s">
        <v>222</v>
      </c>
      <c r="C32">
        <v>0</v>
      </c>
      <c r="D32">
        <v>0</v>
      </c>
    </row>
    <row r="33" spans="1:4" x14ac:dyDescent="0.15">
      <c r="A33">
        <v>32</v>
      </c>
      <c r="B33" s="157" t="s">
        <v>223</v>
      </c>
      <c r="C33">
        <v>0</v>
      </c>
      <c r="D33">
        <v>0</v>
      </c>
    </row>
    <row r="34" spans="1:4" x14ac:dyDescent="0.15">
      <c r="A34">
        <v>33</v>
      </c>
      <c r="B34" s="157" t="s">
        <v>224</v>
      </c>
      <c r="C34">
        <v>0</v>
      </c>
      <c r="D3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3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60" t="s">
        <v>225</v>
      </c>
      <c r="D1" s="160" t="s">
        <v>226</v>
      </c>
    </row>
    <row r="2" spans="1:4" x14ac:dyDescent="0.15">
      <c r="A2">
        <v>1</v>
      </c>
      <c r="B2" s="159" t="s">
        <v>192</v>
      </c>
      <c r="C2">
        <v>0</v>
      </c>
      <c r="D2">
        <v>0</v>
      </c>
    </row>
    <row r="3" spans="1:4" x14ac:dyDescent="0.15">
      <c r="A3">
        <v>2</v>
      </c>
      <c r="B3" s="159" t="s">
        <v>193</v>
      </c>
      <c r="C3">
        <v>0</v>
      </c>
      <c r="D3">
        <v>0</v>
      </c>
    </row>
    <row r="4" spans="1:4" x14ac:dyDescent="0.15">
      <c r="A4">
        <v>3</v>
      </c>
      <c r="B4" s="159" t="s">
        <v>194</v>
      </c>
      <c r="C4">
        <v>0</v>
      </c>
      <c r="D4">
        <v>0</v>
      </c>
    </row>
    <row r="5" spans="1:4" x14ac:dyDescent="0.15">
      <c r="A5">
        <v>4</v>
      </c>
      <c r="B5" s="159" t="s">
        <v>195</v>
      </c>
      <c r="C5">
        <v>0</v>
      </c>
      <c r="D5">
        <v>0</v>
      </c>
    </row>
    <row r="6" spans="1:4" x14ac:dyDescent="0.15">
      <c r="A6">
        <v>5</v>
      </c>
      <c r="B6" s="159" t="s">
        <v>196</v>
      </c>
      <c r="C6">
        <v>0</v>
      </c>
      <c r="D6">
        <v>0</v>
      </c>
    </row>
    <row r="7" spans="1:4" x14ac:dyDescent="0.15">
      <c r="A7">
        <v>6</v>
      </c>
      <c r="B7" s="159" t="s">
        <v>197</v>
      </c>
      <c r="C7">
        <v>0</v>
      </c>
      <c r="D7">
        <v>0</v>
      </c>
    </row>
    <row r="8" spans="1:4" x14ac:dyDescent="0.15">
      <c r="A8">
        <v>7</v>
      </c>
      <c r="B8" s="159" t="s">
        <v>198</v>
      </c>
      <c r="C8">
        <v>0</v>
      </c>
      <c r="D8">
        <v>0</v>
      </c>
    </row>
    <row r="9" spans="1:4" x14ac:dyDescent="0.15">
      <c r="A9">
        <v>8</v>
      </c>
      <c r="B9" s="159" t="s">
        <v>199</v>
      </c>
      <c r="C9">
        <v>0</v>
      </c>
      <c r="D9">
        <v>0</v>
      </c>
    </row>
    <row r="10" spans="1:4" x14ac:dyDescent="0.15">
      <c r="A10">
        <v>9</v>
      </c>
      <c r="B10" s="159" t="s">
        <v>200</v>
      </c>
      <c r="C10">
        <v>0</v>
      </c>
      <c r="D10">
        <v>0</v>
      </c>
    </row>
    <row r="11" spans="1:4" x14ac:dyDescent="0.15">
      <c r="A11">
        <v>10</v>
      </c>
      <c r="B11" s="159" t="s">
        <v>201</v>
      </c>
      <c r="C11">
        <v>0</v>
      </c>
      <c r="D11">
        <v>0</v>
      </c>
    </row>
    <row r="12" spans="1:4" x14ac:dyDescent="0.15">
      <c r="A12">
        <v>11</v>
      </c>
      <c r="B12" s="159" t="s">
        <v>202</v>
      </c>
      <c r="C12">
        <v>0</v>
      </c>
      <c r="D12">
        <v>0</v>
      </c>
    </row>
    <row r="13" spans="1:4" x14ac:dyDescent="0.15">
      <c r="A13">
        <v>12</v>
      </c>
      <c r="B13" s="159" t="s">
        <v>203</v>
      </c>
      <c r="C13">
        <v>0</v>
      </c>
      <c r="D13">
        <v>0</v>
      </c>
    </row>
    <row r="14" spans="1:4" x14ac:dyDescent="0.15">
      <c r="A14">
        <v>13</v>
      </c>
      <c r="B14" s="159" t="s">
        <v>204</v>
      </c>
      <c r="C14">
        <v>0</v>
      </c>
      <c r="D14">
        <v>0</v>
      </c>
    </row>
    <row r="15" spans="1:4" x14ac:dyDescent="0.15">
      <c r="A15">
        <v>14</v>
      </c>
      <c r="B15" s="159" t="s">
        <v>205</v>
      </c>
      <c r="C15">
        <v>0</v>
      </c>
      <c r="D15">
        <v>0</v>
      </c>
    </row>
    <row r="16" spans="1:4" x14ac:dyDescent="0.15">
      <c r="A16">
        <v>15</v>
      </c>
      <c r="B16" s="159" t="s">
        <v>206</v>
      </c>
      <c r="C16">
        <v>0.8</v>
      </c>
      <c r="D16">
        <v>0</v>
      </c>
    </row>
    <row r="17" spans="1:4" x14ac:dyDescent="0.15">
      <c r="A17">
        <v>16</v>
      </c>
      <c r="B17" s="159" t="s">
        <v>207</v>
      </c>
      <c r="C17">
        <v>0.8</v>
      </c>
      <c r="D17">
        <v>0</v>
      </c>
    </row>
    <row r="18" spans="1:4" x14ac:dyDescent="0.15">
      <c r="A18">
        <v>17</v>
      </c>
      <c r="B18" s="159" t="s">
        <v>208</v>
      </c>
      <c r="C18">
        <v>0</v>
      </c>
      <c r="D18">
        <v>0</v>
      </c>
    </row>
    <row r="19" spans="1:4" x14ac:dyDescent="0.15">
      <c r="A19">
        <v>18</v>
      </c>
      <c r="B19" s="159" t="s">
        <v>209</v>
      </c>
      <c r="C19">
        <v>0</v>
      </c>
      <c r="D19">
        <v>0</v>
      </c>
    </row>
    <row r="20" spans="1:4" x14ac:dyDescent="0.15">
      <c r="A20">
        <v>19</v>
      </c>
      <c r="B20" s="159" t="s">
        <v>210</v>
      </c>
      <c r="C20">
        <v>0</v>
      </c>
      <c r="D20">
        <v>0</v>
      </c>
    </row>
    <row r="21" spans="1:4" x14ac:dyDescent="0.15">
      <c r="A21">
        <v>20</v>
      </c>
      <c r="B21" s="159" t="s">
        <v>211</v>
      </c>
      <c r="C21">
        <v>0</v>
      </c>
      <c r="D21">
        <v>0</v>
      </c>
    </row>
    <row r="22" spans="1:4" x14ac:dyDescent="0.15">
      <c r="A22">
        <v>21</v>
      </c>
      <c r="B22" s="159" t="s">
        <v>212</v>
      </c>
      <c r="C22">
        <v>0</v>
      </c>
      <c r="D22">
        <v>0</v>
      </c>
    </row>
    <row r="23" spans="1:4" x14ac:dyDescent="0.15">
      <c r="A23">
        <v>22</v>
      </c>
      <c r="B23" s="159" t="s">
        <v>213</v>
      </c>
      <c r="C23">
        <v>0</v>
      </c>
      <c r="D23">
        <v>0</v>
      </c>
    </row>
    <row r="24" spans="1:4" x14ac:dyDescent="0.15">
      <c r="A24">
        <v>23</v>
      </c>
      <c r="B24" s="159" t="s">
        <v>214</v>
      </c>
      <c r="C24">
        <v>0</v>
      </c>
      <c r="D24">
        <v>0</v>
      </c>
    </row>
    <row r="25" spans="1:4" x14ac:dyDescent="0.15">
      <c r="A25">
        <v>24</v>
      </c>
      <c r="B25" s="159" t="s">
        <v>215</v>
      </c>
      <c r="C25">
        <v>0</v>
      </c>
      <c r="D25">
        <v>0</v>
      </c>
    </row>
    <row r="26" spans="1:4" x14ac:dyDescent="0.15">
      <c r="A26">
        <v>25</v>
      </c>
      <c r="B26" s="159" t="s">
        <v>216</v>
      </c>
      <c r="C26">
        <v>0</v>
      </c>
      <c r="D26">
        <v>0</v>
      </c>
    </row>
    <row r="27" spans="1:4" x14ac:dyDescent="0.15">
      <c r="A27">
        <v>26</v>
      </c>
      <c r="B27" s="159" t="s">
        <v>217</v>
      </c>
      <c r="C27">
        <v>0</v>
      </c>
      <c r="D27">
        <v>0</v>
      </c>
    </row>
    <row r="28" spans="1:4" x14ac:dyDescent="0.15">
      <c r="A28">
        <v>27</v>
      </c>
      <c r="B28" s="159" t="s">
        <v>218</v>
      </c>
      <c r="C28">
        <v>0</v>
      </c>
      <c r="D28">
        <v>0.8</v>
      </c>
    </row>
    <row r="29" spans="1:4" x14ac:dyDescent="0.15">
      <c r="A29">
        <v>28</v>
      </c>
      <c r="B29" s="159" t="s">
        <v>219</v>
      </c>
      <c r="C29">
        <v>0</v>
      </c>
      <c r="D29">
        <v>0</v>
      </c>
    </row>
    <row r="30" spans="1:4" x14ac:dyDescent="0.15">
      <c r="A30">
        <v>29</v>
      </c>
      <c r="B30" s="159" t="s">
        <v>220</v>
      </c>
      <c r="C30">
        <v>0</v>
      </c>
      <c r="D30">
        <v>0.8</v>
      </c>
    </row>
    <row r="31" spans="1:4" x14ac:dyDescent="0.15">
      <c r="A31">
        <v>30</v>
      </c>
      <c r="B31" s="159" t="s">
        <v>221</v>
      </c>
      <c r="C31">
        <v>0</v>
      </c>
      <c r="D31">
        <v>0</v>
      </c>
    </row>
    <row r="32" spans="1:4" x14ac:dyDescent="0.15">
      <c r="A32">
        <v>31</v>
      </c>
      <c r="B32" s="159" t="s">
        <v>222</v>
      </c>
      <c r="C32">
        <v>0</v>
      </c>
      <c r="D32">
        <v>0</v>
      </c>
    </row>
    <row r="33" spans="1:4" x14ac:dyDescent="0.15">
      <c r="A33">
        <v>32</v>
      </c>
      <c r="B33" s="159" t="s">
        <v>223</v>
      </c>
      <c r="C33">
        <v>0</v>
      </c>
      <c r="D33">
        <v>0</v>
      </c>
    </row>
    <row r="34" spans="1:4" x14ac:dyDescent="0.15">
      <c r="A34">
        <v>33</v>
      </c>
      <c r="B34" s="159" t="s">
        <v>224</v>
      </c>
      <c r="C34">
        <v>0</v>
      </c>
      <c r="D3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37">
        <v>1</v>
      </c>
      <c r="B2" s="237" t="s">
        <v>192</v>
      </c>
      <c r="C2" s="8">
        <v>1</v>
      </c>
      <c r="D2" s="9">
        <v>76.938003540039062</v>
      </c>
      <c r="E2" s="9">
        <v>154.39999389648438</v>
      </c>
      <c r="F2" s="10"/>
      <c r="G2" s="9">
        <v>0.21660463511943817</v>
      </c>
      <c r="H2" s="10"/>
      <c r="I2">
        <v>0</v>
      </c>
      <c r="J2"/>
    </row>
    <row r="3" spans="1:10" ht="15" customHeight="1" x14ac:dyDescent="0.15">
      <c r="A3" s="238">
        <v>2</v>
      </c>
      <c r="B3" s="238" t="s">
        <v>193</v>
      </c>
      <c r="C3" s="8">
        <v>1</v>
      </c>
      <c r="D3" s="9">
        <v>5.5295143127441406</v>
      </c>
      <c r="E3" s="9">
        <v>15</v>
      </c>
      <c r="F3" s="10"/>
      <c r="G3" s="9">
        <v>0.5</v>
      </c>
      <c r="H3" s="10"/>
      <c r="I3">
        <v>0</v>
      </c>
      <c r="J3"/>
    </row>
    <row r="4" spans="1:10" ht="15" customHeight="1" x14ac:dyDescent="0.15">
      <c r="A4" s="239">
        <v>3</v>
      </c>
      <c r="B4" s="239" t="s">
        <v>194</v>
      </c>
      <c r="C4" s="8">
        <v>2.0526316165924072</v>
      </c>
      <c r="D4" s="9">
        <v>2.2705326080322266</v>
      </c>
      <c r="E4" s="9">
        <v>482</v>
      </c>
      <c r="F4" s="9">
        <v>1928</v>
      </c>
      <c r="G4" s="9">
        <v>0.94999998807907104</v>
      </c>
      <c r="H4" s="9">
        <v>0.25</v>
      </c>
      <c r="I4">
        <v>0</v>
      </c>
      <c r="J4"/>
    </row>
    <row r="5" spans="1:10" ht="15" customHeight="1" x14ac:dyDescent="0.15">
      <c r="A5" s="240">
        <v>4</v>
      </c>
      <c r="B5" s="240" t="s">
        <v>195</v>
      </c>
      <c r="C5" s="8">
        <v>2.5263156890869141</v>
      </c>
      <c r="D5" s="9">
        <v>9.5295963287353516</v>
      </c>
      <c r="E5" s="9">
        <v>40</v>
      </c>
      <c r="F5" s="9">
        <v>133.33299255371094</v>
      </c>
      <c r="G5" s="9">
        <v>0.94999998807907104</v>
      </c>
      <c r="H5" s="9">
        <v>0.30000075697898865</v>
      </c>
      <c r="I5">
        <v>0</v>
      </c>
      <c r="J5"/>
    </row>
    <row r="6" spans="1:10" ht="15" customHeight="1" x14ac:dyDescent="0.15">
      <c r="A6" s="241">
        <v>5</v>
      </c>
      <c r="B6" s="241" t="s">
        <v>196</v>
      </c>
      <c r="C6" s="8">
        <v>2.8603155612945557</v>
      </c>
      <c r="D6" s="9">
        <v>16.755048751831055</v>
      </c>
      <c r="E6" s="9">
        <v>13</v>
      </c>
      <c r="F6" s="9">
        <v>31.707000732421875</v>
      </c>
      <c r="G6" s="9">
        <v>0.94997090101242065</v>
      </c>
      <c r="H6" s="9">
        <v>0.41000407934188843</v>
      </c>
      <c r="I6">
        <v>0</v>
      </c>
      <c r="J6"/>
    </row>
    <row r="7" spans="1:10" ht="15" customHeight="1" x14ac:dyDescent="0.15">
      <c r="A7" s="242">
        <v>6</v>
      </c>
      <c r="B7" s="242" t="s">
        <v>197</v>
      </c>
      <c r="C7" s="8">
        <v>3.2917499542236328</v>
      </c>
      <c r="D7" s="9">
        <v>5</v>
      </c>
      <c r="E7" s="9">
        <v>0.58399999141693115</v>
      </c>
      <c r="F7" s="9">
        <v>1.6690000295639038</v>
      </c>
      <c r="G7" s="9">
        <v>0.16682946681976318</v>
      </c>
      <c r="H7" s="9">
        <v>0.34991011023521423</v>
      </c>
      <c r="I7">
        <v>0</v>
      </c>
      <c r="J7"/>
    </row>
    <row r="8" spans="1:10" ht="15" customHeight="1" x14ac:dyDescent="0.15">
      <c r="A8" s="243">
        <v>7</v>
      </c>
      <c r="B8" s="243" t="s">
        <v>198</v>
      </c>
      <c r="C8" s="8">
        <v>3.5446121692657471</v>
      </c>
      <c r="D8" s="9">
        <v>8.7742090225219727</v>
      </c>
      <c r="E8" s="9">
        <v>1.3999999761581421</v>
      </c>
      <c r="F8" s="9">
        <v>14.399999618530273</v>
      </c>
      <c r="G8" s="9">
        <v>0.95000940561294556</v>
      </c>
      <c r="H8" s="9">
        <v>9.7222223877906799E-2</v>
      </c>
      <c r="I8">
        <v>0</v>
      </c>
      <c r="J8"/>
    </row>
    <row r="9" spans="1:10" ht="15" customHeight="1" x14ac:dyDescent="0.15">
      <c r="A9" s="244">
        <v>8</v>
      </c>
      <c r="B9" s="244" t="s">
        <v>199</v>
      </c>
      <c r="C9" s="8">
        <v>2.9096958637237549</v>
      </c>
      <c r="D9" s="9">
        <v>0.89215320348739624</v>
      </c>
      <c r="E9" s="9">
        <v>1.2000000476837158</v>
      </c>
      <c r="F9" s="9">
        <v>12.371000289916992</v>
      </c>
      <c r="G9" s="9">
        <v>0.95011800527572632</v>
      </c>
      <c r="H9" s="9">
        <v>9.7001053392887115E-2</v>
      </c>
      <c r="I9">
        <v>0</v>
      </c>
      <c r="J9"/>
    </row>
    <row r="10" spans="1:10" ht="15" customHeight="1" x14ac:dyDescent="0.15">
      <c r="A10" s="245">
        <v>9</v>
      </c>
      <c r="B10" s="245" t="s">
        <v>200</v>
      </c>
      <c r="C10" s="8">
        <v>3.6599159240722656</v>
      </c>
      <c r="D10" s="9">
        <v>4.9584465026855469</v>
      </c>
      <c r="E10" s="9">
        <v>1.2999999523162842</v>
      </c>
      <c r="F10" s="9">
        <v>13</v>
      </c>
      <c r="G10" s="9">
        <v>0.94993019104003906</v>
      </c>
      <c r="H10" s="9">
        <v>9.9999994039535522E-2</v>
      </c>
      <c r="I10">
        <v>0</v>
      </c>
      <c r="J10"/>
    </row>
    <row r="11" spans="1:10" ht="15" customHeight="1" x14ac:dyDescent="0.15">
      <c r="A11" s="246">
        <v>10</v>
      </c>
      <c r="B11" s="246" t="s">
        <v>201</v>
      </c>
      <c r="C11" s="8">
        <v>3.6027185916900635</v>
      </c>
      <c r="D11" s="9">
        <v>0.51114028692245483</v>
      </c>
      <c r="E11" s="9">
        <v>1</v>
      </c>
      <c r="F11" s="9">
        <v>10</v>
      </c>
      <c r="G11" s="9">
        <v>0.94995933771133423</v>
      </c>
      <c r="H11" s="9">
        <v>0.10000000149011612</v>
      </c>
      <c r="I11">
        <v>0</v>
      </c>
      <c r="J11"/>
    </row>
    <row r="12" spans="1:10" ht="15" customHeight="1" x14ac:dyDescent="0.15">
      <c r="A12" s="247">
        <v>11</v>
      </c>
      <c r="B12" s="247" t="s">
        <v>202</v>
      </c>
      <c r="C12" s="8">
        <v>4.0091114044189453</v>
      </c>
      <c r="D12" s="9">
        <v>0.28280508518218994</v>
      </c>
      <c r="E12" s="9">
        <v>0.80000001192092896</v>
      </c>
      <c r="F12" s="9">
        <v>8</v>
      </c>
      <c r="G12" s="9">
        <v>0.94999402761459351</v>
      </c>
      <c r="H12" s="9">
        <v>0.10000000149011612</v>
      </c>
      <c r="I12">
        <v>0</v>
      </c>
      <c r="J12"/>
    </row>
    <row r="13" spans="1:10" ht="15" customHeight="1" x14ac:dyDescent="0.15">
      <c r="A13" s="248">
        <v>12</v>
      </c>
      <c r="B13" s="248" t="s">
        <v>203</v>
      </c>
      <c r="C13" s="8">
        <v>3.6098155975341797</v>
      </c>
      <c r="D13" s="9">
        <v>0.27982160449028015</v>
      </c>
      <c r="E13" s="9">
        <v>1.2000000476837158</v>
      </c>
      <c r="F13" s="9">
        <v>12</v>
      </c>
      <c r="G13" s="9">
        <v>0.94998657703399658</v>
      </c>
      <c r="H13" s="9">
        <v>0.10000000149011612</v>
      </c>
      <c r="I13">
        <v>0</v>
      </c>
      <c r="J13"/>
    </row>
    <row r="14" spans="1:10" ht="15" customHeight="1" x14ac:dyDescent="0.15">
      <c r="A14" s="249">
        <v>13</v>
      </c>
      <c r="B14" s="249" t="s">
        <v>204</v>
      </c>
      <c r="C14" s="8">
        <v>3.7917501926422119</v>
      </c>
      <c r="D14" s="9">
        <v>1.6944403648376465</v>
      </c>
      <c r="E14" s="9">
        <v>1.5</v>
      </c>
      <c r="F14" s="9">
        <v>10</v>
      </c>
      <c r="G14" s="9">
        <v>0.95033383369445801</v>
      </c>
      <c r="H14" s="9">
        <v>0.15000000596046448</v>
      </c>
      <c r="I14">
        <v>0</v>
      </c>
      <c r="J14"/>
    </row>
    <row r="15" spans="1:10" ht="15" customHeight="1" x14ac:dyDescent="0.15">
      <c r="A15" s="250">
        <v>14</v>
      </c>
      <c r="B15" s="250" t="s">
        <v>205</v>
      </c>
      <c r="C15" s="8">
        <v>3.7267155647277832</v>
      </c>
      <c r="D15" s="9">
        <v>10.811821937561035</v>
      </c>
      <c r="E15" s="9">
        <v>1.2000000476837158</v>
      </c>
      <c r="F15" s="9">
        <v>12</v>
      </c>
      <c r="G15" s="9">
        <v>0.94992148876190186</v>
      </c>
      <c r="H15" s="9">
        <v>0.10000000149011612</v>
      </c>
      <c r="I15">
        <v>0</v>
      </c>
      <c r="J15"/>
    </row>
    <row r="16" spans="1:10" ht="15" customHeight="1" x14ac:dyDescent="0.15">
      <c r="A16" s="251">
        <v>15</v>
      </c>
      <c r="B16" s="251" t="s">
        <v>206</v>
      </c>
      <c r="C16" s="8">
        <v>4.540618896484375</v>
      </c>
      <c r="D16" s="9">
        <v>0.16727481782436371</v>
      </c>
      <c r="E16" s="9">
        <v>0.5</v>
      </c>
      <c r="F16" s="9">
        <v>5</v>
      </c>
      <c r="G16" s="9">
        <v>0.94994479417800903</v>
      </c>
      <c r="H16" s="9">
        <v>0.10000000149011612</v>
      </c>
      <c r="I16">
        <v>1.2489999644458294E-3</v>
      </c>
      <c r="J16"/>
    </row>
    <row r="17" spans="1:10" ht="15" customHeight="1" x14ac:dyDescent="0.15">
      <c r="A17" s="252">
        <v>16</v>
      </c>
      <c r="B17" s="252" t="s">
        <v>207</v>
      </c>
      <c r="C17" s="8">
        <v>4.5072774887084961</v>
      </c>
      <c r="D17" s="9">
        <v>9.0910874307155609E-2</v>
      </c>
      <c r="E17" s="9">
        <v>0.49300000071525574</v>
      </c>
      <c r="F17" s="9">
        <v>4.929999828338623</v>
      </c>
      <c r="G17" s="9">
        <v>0.95001256465911865</v>
      </c>
      <c r="H17" s="9">
        <v>0.10000000149011612</v>
      </c>
      <c r="I17">
        <v>1.7200000584125519E-2</v>
      </c>
      <c r="J17"/>
    </row>
    <row r="18" spans="1:10" ht="15" customHeight="1" x14ac:dyDescent="0.15">
      <c r="A18" s="253">
        <v>17</v>
      </c>
      <c r="B18" s="253" t="s">
        <v>208</v>
      </c>
      <c r="C18" s="8">
        <v>3.9298179149627686</v>
      </c>
      <c r="D18" s="9">
        <v>1.4061577320098877</v>
      </c>
      <c r="E18" s="9">
        <v>3.5</v>
      </c>
      <c r="F18" s="9">
        <v>10</v>
      </c>
      <c r="G18" s="9">
        <v>0.94997406005859375</v>
      </c>
      <c r="H18" s="9">
        <v>0.34999999403953552</v>
      </c>
      <c r="I18">
        <v>0</v>
      </c>
      <c r="J18"/>
    </row>
    <row r="19" spans="1:10" ht="15" customHeight="1" x14ac:dyDescent="0.15">
      <c r="A19" s="254">
        <v>18</v>
      </c>
      <c r="B19" s="254" t="s">
        <v>209</v>
      </c>
      <c r="C19" s="8">
        <v>4.167119026184082</v>
      </c>
      <c r="D19" s="9">
        <v>0.56212532520294189</v>
      </c>
      <c r="E19" s="9">
        <v>2.5</v>
      </c>
      <c r="F19" s="9">
        <v>16.666000366210938</v>
      </c>
      <c r="G19" s="9">
        <v>0.94999015331268311</v>
      </c>
      <c r="H19" s="9">
        <v>0.1500059962272644</v>
      </c>
      <c r="I19">
        <v>0</v>
      </c>
      <c r="J19"/>
    </row>
    <row r="20" spans="1:10" ht="15" customHeight="1" x14ac:dyDescent="0.15">
      <c r="A20" s="255">
        <v>19</v>
      </c>
      <c r="B20" s="255" t="s">
        <v>210</v>
      </c>
      <c r="C20" s="8">
        <v>4.7528762817382812</v>
      </c>
      <c r="D20" s="9">
        <v>1.8335449695587158</v>
      </c>
      <c r="E20" s="9">
        <v>0.80000001192092896</v>
      </c>
      <c r="F20" s="9">
        <v>4.4000000953674316</v>
      </c>
      <c r="G20" s="9">
        <v>0.25658929347991943</v>
      </c>
      <c r="H20" s="9">
        <v>0.18181818723678589</v>
      </c>
      <c r="I20">
        <v>0</v>
      </c>
      <c r="J20"/>
    </row>
    <row r="21" spans="1:10" ht="15" customHeight="1" x14ac:dyDescent="0.15">
      <c r="A21" s="256">
        <v>20</v>
      </c>
      <c r="B21" s="256" t="s">
        <v>211</v>
      </c>
      <c r="C21" s="8">
        <v>4.0311322212219238</v>
      </c>
      <c r="D21" s="9">
        <v>2.168724536895752</v>
      </c>
      <c r="E21" s="9">
        <v>2.5</v>
      </c>
      <c r="F21" s="9">
        <v>16.666000366210938</v>
      </c>
      <c r="G21" s="9">
        <v>0.94995731115341187</v>
      </c>
      <c r="H21" s="9">
        <v>0.1500059962272644</v>
      </c>
      <c r="I21">
        <v>0</v>
      </c>
      <c r="J21"/>
    </row>
    <row r="22" spans="1:10" ht="15" customHeight="1" x14ac:dyDescent="0.15">
      <c r="A22" s="257">
        <v>21</v>
      </c>
      <c r="B22" s="257" t="s">
        <v>212</v>
      </c>
      <c r="C22" s="8">
        <v>4.6052451133728027</v>
      </c>
      <c r="D22" s="9">
        <v>2.5846359729766846</v>
      </c>
      <c r="E22" s="9">
        <v>0.80000001192092896</v>
      </c>
      <c r="F22" s="9">
        <v>4.6999998092651367</v>
      </c>
      <c r="G22" s="9">
        <v>0.2751176655292511</v>
      </c>
      <c r="H22" s="9">
        <v>0.17021277546882629</v>
      </c>
      <c r="I22">
        <v>0</v>
      </c>
      <c r="J22"/>
    </row>
    <row r="23" spans="1:10" ht="15" customHeight="1" x14ac:dyDescent="0.15">
      <c r="A23" s="258">
        <v>22</v>
      </c>
      <c r="B23" s="258" t="s">
        <v>213</v>
      </c>
      <c r="C23" s="8">
        <v>4.1667547225952148</v>
      </c>
      <c r="D23" s="9">
        <v>1.7263772487640381</v>
      </c>
      <c r="E23" s="9">
        <v>0.69999998807907104</v>
      </c>
      <c r="F23" s="9">
        <v>3.5</v>
      </c>
      <c r="G23" s="9">
        <v>0.94995397329330444</v>
      </c>
      <c r="H23" s="9">
        <v>0.20000000298023224</v>
      </c>
      <c r="I23">
        <v>0</v>
      </c>
      <c r="J23"/>
    </row>
    <row r="24" spans="1:10" ht="15" customHeight="1" x14ac:dyDescent="0.15">
      <c r="A24" s="259">
        <v>23</v>
      </c>
      <c r="B24" s="259" t="s">
        <v>214</v>
      </c>
      <c r="C24" s="8">
        <v>3.4579920768737793</v>
      </c>
      <c r="D24" s="9">
        <v>4.0484380722045898</v>
      </c>
      <c r="E24" s="9">
        <v>0.69999998807907104</v>
      </c>
      <c r="F24" s="9">
        <v>3.5</v>
      </c>
      <c r="G24" s="9">
        <v>0.94996201992034912</v>
      </c>
      <c r="H24" s="9">
        <v>0.20000000298023224</v>
      </c>
      <c r="I24">
        <v>0</v>
      </c>
      <c r="J24"/>
    </row>
    <row r="25" spans="1:10" ht="15" customHeight="1" x14ac:dyDescent="0.15">
      <c r="A25" s="260">
        <v>24</v>
      </c>
      <c r="B25" s="260" t="s">
        <v>215</v>
      </c>
      <c r="C25" s="8">
        <v>4.9704556465148926</v>
      </c>
      <c r="D25" s="9">
        <v>0.52053225040435791</v>
      </c>
      <c r="E25" s="9">
        <v>0.5</v>
      </c>
      <c r="F25" s="9">
        <v>4.5450000762939453</v>
      </c>
      <c r="G25" s="9">
        <v>0.95004326105117798</v>
      </c>
      <c r="H25" s="9">
        <v>0.11001099646091461</v>
      </c>
      <c r="I25">
        <v>0</v>
      </c>
      <c r="J25"/>
    </row>
    <row r="26" spans="1:10" ht="15" customHeight="1" x14ac:dyDescent="0.15">
      <c r="A26" s="261">
        <v>25</v>
      </c>
      <c r="B26" s="261" t="s">
        <v>216</v>
      </c>
      <c r="C26" s="8">
        <v>3.5607192516326904</v>
      </c>
      <c r="D26" s="9">
        <v>0.70385050773620605</v>
      </c>
      <c r="E26" s="9">
        <v>1</v>
      </c>
      <c r="F26" s="9">
        <v>10</v>
      </c>
      <c r="G26" s="9">
        <v>0.95012468099594116</v>
      </c>
      <c r="H26" s="9">
        <v>0.10000000149011612</v>
      </c>
      <c r="I26">
        <v>0</v>
      </c>
      <c r="J26"/>
    </row>
    <row r="27" spans="1:10" ht="15" customHeight="1" x14ac:dyDescent="0.15">
      <c r="A27" s="262">
        <v>26</v>
      </c>
      <c r="B27" s="262" t="s">
        <v>217</v>
      </c>
      <c r="C27" s="8">
        <v>4.7745976448059082</v>
      </c>
      <c r="D27" s="9">
        <v>4.5000001788139343E-2</v>
      </c>
      <c r="E27" s="9">
        <v>0.5</v>
      </c>
      <c r="F27" s="9">
        <v>5</v>
      </c>
      <c r="G27" s="7">
        <v>0</v>
      </c>
      <c r="H27" s="9">
        <v>0.10000000149011612</v>
      </c>
      <c r="I27">
        <v>0</v>
      </c>
      <c r="J27"/>
    </row>
    <row r="28" spans="1:10" ht="15" customHeight="1" x14ac:dyDescent="0.15">
      <c r="A28" s="263">
        <v>27</v>
      </c>
      <c r="B28" s="263" t="s">
        <v>218</v>
      </c>
      <c r="C28" s="8">
        <v>4.7350640296936035</v>
      </c>
      <c r="D28" s="9">
        <v>7.6000001281499863E-3</v>
      </c>
      <c r="E28" s="9">
        <v>0.25</v>
      </c>
      <c r="F28" s="9">
        <v>19.305999755859375</v>
      </c>
      <c r="G28" s="9">
        <v>0.99529874324798584</v>
      </c>
      <c r="H28" s="9">
        <v>1.2949341908097267E-2</v>
      </c>
      <c r="I28">
        <v>8.9299998944625258E-4</v>
      </c>
      <c r="J28"/>
    </row>
    <row r="29" spans="1:10" ht="15" customHeight="1" x14ac:dyDescent="0.15">
      <c r="A29" s="264">
        <v>28</v>
      </c>
      <c r="B29" s="264" t="s">
        <v>219</v>
      </c>
      <c r="C29" s="8">
        <v>4.6024632453918457</v>
      </c>
      <c r="D29" s="9">
        <v>0.22006499767303467</v>
      </c>
      <c r="E29" s="9">
        <v>0.15000000596046448</v>
      </c>
      <c r="F29" s="9">
        <v>10</v>
      </c>
      <c r="G29" s="9">
        <v>0.27960267663002014</v>
      </c>
      <c r="H29" s="9">
        <v>1.5000000596046448E-2</v>
      </c>
      <c r="I29">
        <v>0</v>
      </c>
      <c r="J29"/>
    </row>
    <row r="30" spans="1:10" ht="15" customHeight="1" x14ac:dyDescent="0.15">
      <c r="A30" s="265">
        <v>29</v>
      </c>
      <c r="B30" s="265" t="s">
        <v>220</v>
      </c>
      <c r="C30" s="8">
        <v>4.580848217010498</v>
      </c>
      <c r="D30" s="9">
        <v>3.5999998450279236E-2</v>
      </c>
      <c r="E30" s="9">
        <v>0.12300000339746475</v>
      </c>
      <c r="F30" s="9">
        <v>123</v>
      </c>
      <c r="G30" s="9">
        <v>0.16187663376331329</v>
      </c>
      <c r="H30" s="9">
        <v>1.0000000474974513E-3</v>
      </c>
      <c r="I30">
        <v>2.7403401327319443E-4</v>
      </c>
      <c r="J30"/>
    </row>
    <row r="31" spans="1:10" ht="15" customHeight="1" x14ac:dyDescent="0.15">
      <c r="A31" s="266">
        <v>30</v>
      </c>
      <c r="B31" s="266" t="s">
        <v>221</v>
      </c>
      <c r="C31" s="8">
        <v>2</v>
      </c>
      <c r="D31" s="9">
        <v>10.30344295501709</v>
      </c>
      <c r="E31" s="9">
        <v>4</v>
      </c>
      <c r="F31" s="9">
        <v>33</v>
      </c>
      <c r="G31" s="9">
        <v>0.94999998807907104</v>
      </c>
      <c r="H31" s="9">
        <v>0.12121212482452393</v>
      </c>
      <c r="I31">
        <v>0</v>
      </c>
      <c r="J31"/>
    </row>
    <row r="32" spans="1:10" ht="15" customHeight="1" x14ac:dyDescent="0.15">
      <c r="A32" s="267">
        <v>31</v>
      </c>
      <c r="B32" s="267" t="s">
        <v>222</v>
      </c>
      <c r="C32" s="8">
        <v>2.1612904071807861</v>
      </c>
      <c r="D32" s="9">
        <v>48.941356658935547</v>
      </c>
      <c r="E32" s="9">
        <v>1.2000000476837158</v>
      </c>
      <c r="F32" s="9">
        <v>10</v>
      </c>
      <c r="G32" s="9">
        <v>0.94999998807907104</v>
      </c>
      <c r="H32" s="9">
        <v>0.12000000476837158</v>
      </c>
      <c r="I32">
        <v>0</v>
      </c>
      <c r="J32"/>
    </row>
    <row r="33" spans="1:10" ht="15" customHeight="1" x14ac:dyDescent="0.15">
      <c r="A33" s="268">
        <v>32</v>
      </c>
      <c r="B33" s="268" t="s">
        <v>223</v>
      </c>
      <c r="C33" s="8">
        <v>1</v>
      </c>
      <c r="D33" s="10"/>
      <c r="E33" s="10"/>
      <c r="F33" s="10"/>
      <c r="G33" s="9">
        <v>0.28114449977874756</v>
      </c>
      <c r="H33" s="10"/>
      <c r="I33">
        <v>0</v>
      </c>
      <c r="J33"/>
    </row>
    <row r="34" spans="1:10" ht="15" customHeight="1" x14ac:dyDescent="0.15">
      <c r="A34" s="269">
        <v>33</v>
      </c>
      <c r="B34" s="269" t="s">
        <v>224</v>
      </c>
      <c r="C34" s="8">
        <v>1</v>
      </c>
      <c r="D34" s="9">
        <v>5</v>
      </c>
      <c r="E34" s="10"/>
      <c r="F34" s="10"/>
      <c r="G34" s="7">
        <v>0</v>
      </c>
      <c r="H34" s="10"/>
      <c r="I34">
        <v>0</v>
      </c>
      <c r="J34"/>
    </row>
    <row r="35" spans="1:10" ht="15" customHeight="1" x14ac:dyDescent="0.15">
      <c r="A35" s="270">
        <v>34</v>
      </c>
      <c r="B35" s="270" t="s">
        <v>225</v>
      </c>
      <c r="C35" s="8">
        <v>5.5095353126525879</v>
      </c>
      <c r="D35" s="10"/>
      <c r="E35" s="10"/>
      <c r="F35" s="10"/>
      <c r="G35" s="10"/>
      <c r="H35" s="10"/>
      <c r="I35">
        <v>1.8449001014232635E-2</v>
      </c>
      <c r="J35"/>
    </row>
    <row r="36" spans="1:10" ht="15" customHeight="1" x14ac:dyDescent="0.15">
      <c r="A36" s="271">
        <v>35</v>
      </c>
      <c r="B36" s="271" t="s">
        <v>226</v>
      </c>
      <c r="C36" s="8">
        <v>5.6988530158996582</v>
      </c>
      <c r="D36" s="10"/>
      <c r="E36" s="10"/>
      <c r="F36" s="10"/>
      <c r="G36" s="10"/>
      <c r="H36" s="10"/>
      <c r="I36">
        <v>1.1670340318232775E-3</v>
      </c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231</v>
      </c>
      <c r="E1" t="s">
        <v>232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 t="s">
        <v>220</v>
      </c>
      <c r="AI1" t="s">
        <v>221</v>
      </c>
      <c r="AJ1" t="s">
        <v>222</v>
      </c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154.39999389648438</v>
      </c>
      <c r="C2">
        <v>120.95623779296875</v>
      </c>
      <c r="D2"/>
      <c r="E2"/>
      <c r="F2"/>
      <c r="G2"/>
      <c r="H2" s="213">
        <v>22.759035110473633</v>
      </c>
      <c r="I2" s="186">
        <v>8.2573604583740234</v>
      </c>
      <c r="J2" s="16">
        <v>2.2993452548980713</v>
      </c>
      <c r="K2"/>
      <c r="L2" s="11">
        <v>8.2110665738582611E-2</v>
      </c>
      <c r="M2" s="11">
        <v>4.5904293656349182E-2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15</v>
      </c>
      <c r="C3">
        <v>7.5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 s="194">
        <v>3.0745341777801514</v>
      </c>
      <c r="AJ3" s="229">
        <v>4.4254660606384277</v>
      </c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482</v>
      </c>
      <c r="C4">
        <v>24.100006103515625</v>
      </c>
      <c r="D4"/>
      <c r="E4"/>
      <c r="F4"/>
      <c r="G4"/>
      <c r="H4" s="205">
        <v>96.400001525878906</v>
      </c>
      <c r="I4" s="181">
        <v>279.8043212890625</v>
      </c>
      <c r="J4" s="235">
        <v>77.914329528808594</v>
      </c>
      <c r="K4"/>
      <c r="L4" s="12">
        <v>2.2258849143981934</v>
      </c>
      <c r="M4" s="12">
        <v>1.5554873943328857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40</v>
      </c>
      <c r="C5">
        <v>2.0000004768371582</v>
      </c>
      <c r="D5"/>
      <c r="E5"/>
      <c r="F5"/>
      <c r="G5"/>
      <c r="H5"/>
      <c r="I5"/>
      <c r="J5" s="236">
        <v>18.619705200195312</v>
      </c>
      <c r="K5" s="17">
        <v>0.5604434609413147</v>
      </c>
      <c r="L5" s="228">
        <v>7.5573720932006836</v>
      </c>
      <c r="M5" s="22">
        <v>0.33586728572845459</v>
      </c>
      <c r="N5" s="232">
        <v>4.0585017204284668</v>
      </c>
      <c r="O5" s="18">
        <v>0.43446084856987</v>
      </c>
      <c r="P5" s="11">
        <v>2.3741202894598246E-3</v>
      </c>
      <c r="Q5" s="23">
        <v>0.2642708420753479</v>
      </c>
      <c r="R5" s="19">
        <v>0.69345194101333618</v>
      </c>
      <c r="S5" s="234">
        <v>5.4458494186401367</v>
      </c>
      <c r="T5"/>
      <c r="U5"/>
      <c r="V5"/>
      <c r="W5"/>
      <c r="X5"/>
      <c r="Y5"/>
      <c r="Z5"/>
      <c r="AA5" s="11">
        <v>6.3399500213563442E-3</v>
      </c>
      <c r="AB5" s="11">
        <v>1.486897561699152E-2</v>
      </c>
      <c r="AC5"/>
      <c r="AD5"/>
      <c r="AE5"/>
      <c r="AF5"/>
      <c r="AG5" s="11">
        <v>2.311590826138854E-3</v>
      </c>
      <c r="AH5" s="11">
        <v>4.1815009899437428E-3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13</v>
      </c>
      <c r="C6">
        <v>0.65037828683853149</v>
      </c>
      <c r="D6"/>
      <c r="E6"/>
      <c r="F6"/>
      <c r="G6"/>
      <c r="H6"/>
      <c r="I6"/>
      <c r="J6"/>
      <c r="K6" s="12">
        <v>5.9767059981822968E-2</v>
      </c>
      <c r="L6" s="224">
        <v>2.5639152526855469</v>
      </c>
      <c r="M6" s="12">
        <v>4.6110156923532486E-2</v>
      </c>
      <c r="N6" s="230">
        <v>1.5388747453689575</v>
      </c>
      <c r="O6" s="12">
        <v>4.8810627311468124E-2</v>
      </c>
      <c r="P6" s="22">
        <v>0.10802431404590607</v>
      </c>
      <c r="Q6" s="12">
        <v>5.0102200359106064E-2</v>
      </c>
      <c r="R6" s="66">
        <v>0.52587670087814331</v>
      </c>
      <c r="S6" s="141">
        <v>4.6460695266723633</v>
      </c>
      <c r="T6" s="11">
        <v>8.4859291091561317E-3</v>
      </c>
      <c r="U6" s="11">
        <v>2.2202155087143183E-3</v>
      </c>
      <c r="V6" s="19">
        <v>0.22659593820571899</v>
      </c>
      <c r="W6" s="24">
        <v>0.34442886710166931</v>
      </c>
      <c r="X6" s="14">
        <v>2.2149115800857544E-2</v>
      </c>
      <c r="Y6" s="135">
        <v>1.6801214218139648</v>
      </c>
      <c r="Z6" s="17">
        <v>0.17398802936077118</v>
      </c>
      <c r="AA6" s="19">
        <v>0.23366282880306244</v>
      </c>
      <c r="AB6" s="12">
        <v>4.2284369468688965E-2</v>
      </c>
      <c r="AC6"/>
      <c r="AD6"/>
      <c r="AE6"/>
      <c r="AF6"/>
      <c r="AG6" s="11">
        <v>1.7091616755351424E-3</v>
      </c>
      <c r="AH6" s="14">
        <v>2.6425210759043694E-2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0.58399999141693115</v>
      </c>
      <c r="C7">
        <v>0.48657158017158508</v>
      </c>
      <c r="D7"/>
      <c r="E7"/>
      <c r="F7"/>
      <c r="G7"/>
      <c r="H7"/>
      <c r="I7"/>
      <c r="J7"/>
      <c r="K7" s="202">
        <v>6.6759996116161346E-2</v>
      </c>
      <c r="L7"/>
      <c r="M7"/>
      <c r="N7"/>
      <c r="O7" s="186">
        <v>3.0668416991829872E-2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1.3999999761581421</v>
      </c>
      <c r="C8">
        <v>6.9986827671527863E-2</v>
      </c>
      <c r="D8"/>
      <c r="E8"/>
      <c r="F8"/>
      <c r="G8"/>
      <c r="H8"/>
      <c r="I8"/>
      <c r="J8"/>
      <c r="K8"/>
      <c r="L8"/>
      <c r="M8"/>
      <c r="N8"/>
      <c r="O8"/>
      <c r="P8" s="12">
        <v>5.1570250652730465E-3</v>
      </c>
      <c r="Q8"/>
      <c r="R8" s="204">
        <v>4.6347841620445251E-2</v>
      </c>
      <c r="S8"/>
      <c r="T8" s="204">
        <v>4.5468077063560486E-2</v>
      </c>
      <c r="U8" s="15">
        <v>1.2770114466547966E-2</v>
      </c>
      <c r="V8" s="184">
        <v>8.0130167305469513E-2</v>
      </c>
      <c r="W8" s="220">
        <v>0.19218924641609192</v>
      </c>
      <c r="X8" s="223">
        <v>0.27492070198059082</v>
      </c>
      <c r="Y8" s="225">
        <v>0.34595552086830139</v>
      </c>
      <c r="Z8" s="14">
        <v>2.7686997782438993E-3</v>
      </c>
      <c r="AA8" s="14">
        <v>1.377153443172574E-3</v>
      </c>
      <c r="AB8" s="23">
        <v>8.0745359882712364E-3</v>
      </c>
      <c r="AC8" s="12">
        <v>5.3926659747958183E-3</v>
      </c>
      <c r="AD8"/>
      <c r="AE8"/>
      <c r="AF8" s="12">
        <v>4.18059341609478E-3</v>
      </c>
      <c r="AG8" s="212">
        <v>0.10343671590089798</v>
      </c>
      <c r="AH8" s="222">
        <v>0.20184415578842163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1.2000000476837158</v>
      </c>
      <c r="C9">
        <v>5.9858396649360657E-2</v>
      </c>
      <c r="D9"/>
      <c r="E9"/>
      <c r="F9"/>
      <c r="G9"/>
      <c r="H9"/>
      <c r="I9"/>
      <c r="J9"/>
      <c r="K9"/>
      <c r="L9"/>
      <c r="M9"/>
      <c r="N9"/>
      <c r="O9"/>
      <c r="P9" s="65">
        <v>2.5359328836202621E-2</v>
      </c>
      <c r="Q9"/>
      <c r="R9" s="189">
        <v>0.18992707133293152</v>
      </c>
      <c r="S9"/>
      <c r="T9" s="179">
        <v>2.8124058619141579E-2</v>
      </c>
      <c r="U9" s="68">
        <v>7.535543292760849E-2</v>
      </c>
      <c r="V9" s="17">
        <v>1.5761394053697586E-2</v>
      </c>
      <c r="W9" s="182">
        <v>0.10500865429639816</v>
      </c>
      <c r="X9" s="22">
        <v>9.0428395196795464E-3</v>
      </c>
      <c r="Y9" s="75">
        <v>0.20252539217472076</v>
      </c>
      <c r="Z9" s="14">
        <v>1.36148976162076E-3</v>
      </c>
      <c r="AA9" s="11">
        <v>6.7720608785748482E-4</v>
      </c>
      <c r="AB9"/>
      <c r="AC9" s="65">
        <v>2.65180803835392E-2</v>
      </c>
      <c r="AD9"/>
      <c r="AE9"/>
      <c r="AF9" s="12">
        <v>4.9338703975081444E-3</v>
      </c>
      <c r="AG9" s="105">
        <v>0.20740792155265808</v>
      </c>
      <c r="AH9" s="194">
        <v>0.24813883006572723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1.2999999523162842</v>
      </c>
      <c r="C10">
        <v>6.5090745687484741E-2</v>
      </c>
      <c r="D10"/>
      <c r="E10"/>
      <c r="F10"/>
      <c r="G10"/>
      <c r="H10"/>
      <c r="I10"/>
      <c r="J10"/>
      <c r="K10"/>
      <c r="L10"/>
      <c r="M10"/>
      <c r="N10"/>
      <c r="O10"/>
      <c r="P10" s="12">
        <v>4.56280168145895E-3</v>
      </c>
      <c r="Q10"/>
      <c r="R10" s="213">
        <v>0.19136771559715271</v>
      </c>
      <c r="S10"/>
      <c r="T10" s="22">
        <v>1.0120496153831482E-2</v>
      </c>
      <c r="U10" s="14">
        <v>2.711679320782423E-3</v>
      </c>
      <c r="V10" s="187">
        <v>0.14179417490959167</v>
      </c>
      <c r="W10" s="200">
        <v>5.8570727705955505E-2</v>
      </c>
      <c r="X10" s="187">
        <v>0.14155259728431702</v>
      </c>
      <c r="Y10" s="173">
        <v>0.36439573764801025</v>
      </c>
      <c r="Z10" s="186">
        <v>6.8590849637985229E-2</v>
      </c>
      <c r="AA10" s="177">
        <v>0.13403165340423584</v>
      </c>
      <c r="AB10" s="64">
        <v>7.1441397070884705E-2</v>
      </c>
      <c r="AC10" s="19">
        <v>2.3379325866699219E-2</v>
      </c>
      <c r="AD10"/>
      <c r="AE10"/>
      <c r="AF10" s="11">
        <v>8.8773129391483963E-5</v>
      </c>
      <c r="AG10" s="12">
        <v>4.4426270760595798E-3</v>
      </c>
      <c r="AH10" s="17">
        <v>1.7858646810054779E-2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</v>
      </c>
      <c r="C11">
        <v>5.0040662288665771E-2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14">
        <v>1.6362742753699422E-3</v>
      </c>
      <c r="U11" s="139">
        <v>2.8935870155692101E-2</v>
      </c>
      <c r="V11"/>
      <c r="W11"/>
      <c r="X11" s="104">
        <v>0.15783530473709106</v>
      </c>
      <c r="Y11" s="71">
        <v>7.0698268711566925E-2</v>
      </c>
      <c r="Z11" s="29">
        <v>4.7527365386486053E-2</v>
      </c>
      <c r="AA11"/>
      <c r="AB11"/>
      <c r="AC11" s="69">
        <v>9.2570245265960693E-2</v>
      </c>
      <c r="AD11"/>
      <c r="AE11"/>
      <c r="AF11" s="11">
        <v>8.6116633610799909E-4</v>
      </c>
      <c r="AG11" s="139">
        <v>3.0167784541845322E-2</v>
      </c>
      <c r="AH11" s="198">
        <v>0.51972705125808716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0.80000001192092896</v>
      </c>
      <c r="C12">
        <v>4.0004778653383255E-2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12">
        <v>2.9573927167803049E-3</v>
      </c>
      <c r="U12" s="140">
        <v>4.9128919839859009E-2</v>
      </c>
      <c r="V12"/>
      <c r="W12"/>
      <c r="X12" s="188">
        <v>0.57054126262664795</v>
      </c>
      <c r="Y12"/>
      <c r="Z12"/>
      <c r="AA12"/>
      <c r="AB12"/>
      <c r="AC12" s="177">
        <v>8.3655461668968201E-2</v>
      </c>
      <c r="AD12"/>
      <c r="AE12"/>
      <c r="AF12" s="22">
        <v>6.7446907050907612E-3</v>
      </c>
      <c r="AG12"/>
      <c r="AH12" s="67">
        <v>4.6967584639787674E-2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1.2000000476837158</v>
      </c>
      <c r="C13">
        <v>6.001611053943634E-2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26">
        <v>2.9889242723584175E-2</v>
      </c>
      <c r="U13" s="176">
        <v>8.1686757504940033E-2</v>
      </c>
      <c r="V13"/>
      <c r="W13"/>
      <c r="X13" s="196">
        <v>0.86493659019470215</v>
      </c>
      <c r="Y13"/>
      <c r="Z13"/>
      <c r="AA13"/>
      <c r="AB13"/>
      <c r="AC13"/>
      <c r="AD13"/>
      <c r="AE13"/>
      <c r="AF13" s="12">
        <v>5.2435407415032387E-3</v>
      </c>
      <c r="AG13"/>
      <c r="AH13" s="180">
        <v>0.15822784602642059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1.5</v>
      </c>
      <c r="C14">
        <v>7.4499249458312988E-2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11">
        <v>4.9359403783455491E-4</v>
      </c>
      <c r="U14"/>
      <c r="V14"/>
      <c r="W14"/>
      <c r="X14" s="219">
        <v>0.75227224826812744</v>
      </c>
      <c r="Y14"/>
      <c r="Z14"/>
      <c r="AA14"/>
      <c r="AB14"/>
      <c r="AC14" s="193">
        <v>0.12566021084785461</v>
      </c>
      <c r="AD14" s="24">
        <v>4.1538815945386887E-2</v>
      </c>
      <c r="AE14" s="12">
        <v>5.712706595659256E-3</v>
      </c>
      <c r="AF14" s="14">
        <v>1.905031967908144E-3</v>
      </c>
      <c r="AG14" s="211">
        <v>0.49791818857192993</v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6.0094214975833893E-2</v>
      </c>
      <c r="D15"/>
      <c r="E15"/>
      <c r="F15"/>
      <c r="G15"/>
      <c r="H15"/>
      <c r="I15"/>
      <c r="J15"/>
      <c r="K15"/>
      <c r="L15"/>
      <c r="M15"/>
      <c r="N15"/>
      <c r="O15"/>
      <c r="P15" s="26">
        <v>3.1388428062200546E-2</v>
      </c>
      <c r="Q15"/>
      <c r="R15"/>
      <c r="S15"/>
      <c r="T15" s="12">
        <v>3.8678294513374567E-3</v>
      </c>
      <c r="U15" s="11">
        <v>8.2907505566254258E-4</v>
      </c>
      <c r="V15" s="208">
        <v>0.13005742430686951</v>
      </c>
      <c r="W15" s="68">
        <v>7.6251491904258728E-2</v>
      </c>
      <c r="X15" s="25">
        <v>3.7309151142835617E-2</v>
      </c>
      <c r="Y15" s="224">
        <v>0.23730580508708954</v>
      </c>
      <c r="Z15" s="226">
        <v>0.36736917495727539</v>
      </c>
      <c r="AA15" s="71">
        <v>8.3820976316928864E-2</v>
      </c>
      <c r="AB15" s="64">
        <v>6.5527960658073425E-2</v>
      </c>
      <c r="AC15" s="200">
        <v>5.47044537961483E-2</v>
      </c>
      <c r="AD15" s="23">
        <v>6.5100081264972687E-3</v>
      </c>
      <c r="AE15"/>
      <c r="AF15" s="11">
        <v>1.3570848386734724E-4</v>
      </c>
      <c r="AG15" s="14">
        <v>2.6486827991902828E-3</v>
      </c>
      <c r="AH15" s="28">
        <v>4.2179606854915619E-2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</v>
      </c>
      <c r="C16">
        <v>2.5027602910995483E-2</v>
      </c>
      <c r="D16" s="16">
        <v>7.4667544104158878E-3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11">
        <v>4.9999485781881958E-5</v>
      </c>
      <c r="U16"/>
      <c r="V16"/>
      <c r="W16"/>
      <c r="X16" s="174">
        <v>9.645920991897583E-2</v>
      </c>
      <c r="Y16"/>
      <c r="Z16" s="181">
        <v>0.29045796394348145</v>
      </c>
      <c r="AA16"/>
      <c r="AB16"/>
      <c r="AC16" s="24">
        <v>1.4143307693302631E-2</v>
      </c>
      <c r="AD16"/>
      <c r="AE16" s="24">
        <v>1.3457648456096649E-2</v>
      </c>
      <c r="AF16"/>
      <c r="AG16"/>
      <c r="AH16" s="172">
        <v>5.2937522530555725E-2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0.49300000071525574</v>
      </c>
      <c r="C17">
        <v>2.4643804877996445E-2</v>
      </c>
      <c r="D17" s="169">
        <v>0.18919628858566284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 s="15">
        <v>4.9299998208880424E-3</v>
      </c>
      <c r="V17"/>
      <c r="W17"/>
      <c r="X17"/>
      <c r="Y17"/>
      <c r="Z17"/>
      <c r="AA17"/>
      <c r="AB17"/>
      <c r="AC17" s="178">
        <v>0.26023498177528381</v>
      </c>
      <c r="AD17"/>
      <c r="AE17" s="26">
        <v>1.2380948290228844E-2</v>
      </c>
      <c r="AF17" s="12">
        <v>1.6139500075951219E-3</v>
      </c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3.5</v>
      </c>
      <c r="C18">
        <v>0.17509078979492188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14">
        <v>5.9478785842657089E-3</v>
      </c>
      <c r="U18" s="17">
        <v>4.4941529631614685E-2</v>
      </c>
      <c r="V18" s="209">
        <v>0.5</v>
      </c>
      <c r="W18" s="185">
        <v>0.34644463658332825</v>
      </c>
      <c r="X18" s="197">
        <v>0.17212004959583282</v>
      </c>
      <c r="Y18" s="183">
        <v>0.25698918104171753</v>
      </c>
      <c r="Z18" s="218">
        <v>0.89836561679840088</v>
      </c>
      <c r="AA18" s="26">
        <v>8.5932269692420959E-2</v>
      </c>
      <c r="AB18" s="184">
        <v>0.20153547823429108</v>
      </c>
      <c r="AC18" s="207">
        <v>0.33649414777755737</v>
      </c>
      <c r="AD18" s="20">
        <v>0.15016461908817291</v>
      </c>
      <c r="AE18"/>
      <c r="AF18" s="22">
        <v>2.4103708565235138E-2</v>
      </c>
      <c r="AG18" s="179">
        <v>8.146195113658905E-2</v>
      </c>
      <c r="AH18" s="68">
        <v>0.22040842473506927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2.5</v>
      </c>
      <c r="C19">
        <v>0.12502461671829224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 s="18">
        <v>2.9757263138890266E-2</v>
      </c>
      <c r="U19" s="12">
        <v>7.9731438308954239E-3</v>
      </c>
      <c r="V19" s="201">
        <v>0.55033046007156372</v>
      </c>
      <c r="W19"/>
      <c r="X19" s="210">
        <v>1.3634357452392578</v>
      </c>
      <c r="Y19"/>
      <c r="Z19"/>
      <c r="AA19" s="19">
        <v>4.2991951107978821E-2</v>
      </c>
      <c r="AB19" s="15">
        <v>2.5207072496414185E-2</v>
      </c>
      <c r="AC19"/>
      <c r="AD19"/>
      <c r="AE19"/>
      <c r="AF19" s="15">
        <v>2.6101937517523766E-2</v>
      </c>
      <c r="AG19" s="12">
        <v>1.1756380088627338E-2</v>
      </c>
      <c r="AH19" s="191">
        <v>0.31742128729820251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0.80000001192092896</v>
      </c>
      <c r="C20">
        <v>0.59472858905792236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 s="187">
        <v>8.8000006973743439E-2</v>
      </c>
      <c r="Y20"/>
      <c r="Z20"/>
      <c r="AA20"/>
      <c r="AB20" s="21">
        <v>1.5455888584256172E-2</v>
      </c>
      <c r="AC20" s="183">
        <v>5.8063406497240067E-2</v>
      </c>
      <c r="AD20" s="29">
        <v>3.8387410342693329E-2</v>
      </c>
      <c r="AE20"/>
      <c r="AF20" s="14">
        <v>1.76050397567451E-3</v>
      </c>
      <c r="AG20" s="12">
        <v>3.6042523570358753E-3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2.5</v>
      </c>
      <c r="C21">
        <v>0.12510672211647034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 s="15">
        <v>2.3138916119933128E-2</v>
      </c>
      <c r="U21" s="14">
        <v>7.0264711976051331E-3</v>
      </c>
      <c r="V21" s="216">
        <v>0.50573647022247314</v>
      </c>
      <c r="W21" s="13">
        <v>9.0715065598487854E-2</v>
      </c>
      <c r="X21" s="217">
        <v>0.55799603462219238</v>
      </c>
      <c r="Y21"/>
      <c r="Z21" s="221">
        <v>0.81211483478546143</v>
      </c>
      <c r="AA21" s="19">
        <v>4.4573415070772171E-2</v>
      </c>
      <c r="AB21" s="65">
        <v>5.2268635481595993E-2</v>
      </c>
      <c r="AC21"/>
      <c r="AD21"/>
      <c r="AE21"/>
      <c r="AF21" s="14">
        <v>6.7655253224074841E-3</v>
      </c>
      <c r="AG21" s="14">
        <v>6.0944198630750179E-3</v>
      </c>
      <c r="AH21" s="208">
        <v>0.26846364140510559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0.80000001192092896</v>
      </c>
      <c r="C22">
        <v>0.57990586757659912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205">
        <v>0.15978403389453888</v>
      </c>
      <c r="AA22"/>
      <c r="AB22" s="17">
        <v>1.096443273127079E-2</v>
      </c>
      <c r="AC22" s="184">
        <v>4.5766972005367279E-2</v>
      </c>
      <c r="AD22"/>
      <c r="AE22"/>
      <c r="AF22" s="14">
        <v>1.0218308307230473E-3</v>
      </c>
      <c r="AG22" s="12">
        <v>2.5568625424057245E-3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0.69999998807907104</v>
      </c>
      <c r="C23">
        <v>3.5032216459512711E-2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 s="27">
        <v>5.3290911018848419E-2</v>
      </c>
      <c r="U23" s="25">
        <v>2.2326750680804253E-2</v>
      </c>
      <c r="V23"/>
      <c r="W23" s="22">
        <v>5.4266131483018398E-3</v>
      </c>
      <c r="X23" s="23">
        <v>4.6731377951800823E-3</v>
      </c>
      <c r="Y23" s="12">
        <v>2.0932119805365801E-3</v>
      </c>
      <c r="Z23" s="203">
        <v>0.21107624471187592</v>
      </c>
      <c r="AA23" s="192">
        <v>0.10498949885368347</v>
      </c>
      <c r="AB23" s="199">
        <v>0.16415338218212128</v>
      </c>
      <c r="AC23" s="185">
        <v>6.8519763648509979E-2</v>
      </c>
      <c r="AD23" s="139">
        <v>2.0385187119245529E-2</v>
      </c>
      <c r="AE23" s="14">
        <v>1.3039592886343598E-3</v>
      </c>
      <c r="AF23" s="23">
        <v>4.1645322926342487E-3</v>
      </c>
      <c r="AG23"/>
      <c r="AH23" s="12">
        <v>2.564652357250452E-3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0.69999998807907104</v>
      </c>
      <c r="C24">
        <v>3.5026583820581436E-2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 s="12">
        <v>2.3140730336308479E-3</v>
      </c>
      <c r="X24" s="14">
        <v>1.9927681423723698E-3</v>
      </c>
      <c r="Y24" s="14">
        <v>8.9260929962620139E-4</v>
      </c>
      <c r="Z24" s="214">
        <v>0.25202617049217224</v>
      </c>
      <c r="AA24" s="65">
        <v>1.4923573471605778E-2</v>
      </c>
      <c r="AB24" s="136">
        <v>7.0000000298023224E-2</v>
      </c>
      <c r="AC24" s="193">
        <v>5.8437827974557877E-2</v>
      </c>
      <c r="AD24" s="215">
        <v>0.26078593730926514</v>
      </c>
      <c r="AE24" s="11">
        <v>5.5604794761165977E-4</v>
      </c>
      <c r="AF24" s="12">
        <v>3.0443717259913683E-3</v>
      </c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0.5</v>
      </c>
      <c r="C25">
        <v>2.4978369474411011E-2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195">
        <v>0.43177500367164612</v>
      </c>
      <c r="AD25"/>
      <c r="AE25" s="175">
        <v>4.3246611952781677E-2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</v>
      </c>
      <c r="C26">
        <v>4.9875319004058838E-2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 s="136">
        <v>0.10065726935863495</v>
      </c>
      <c r="AC26"/>
      <c r="AD26" s="206">
        <v>0.59999996423721313</v>
      </c>
      <c r="AE26" s="190">
        <v>0.24946746230125427</v>
      </c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</v>
      </c>
      <c r="C27">
        <v>0.5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0.25</v>
      </c>
      <c r="C28">
        <v>1.17531418800354E-3</v>
      </c>
      <c r="D28"/>
      <c r="E28" s="170">
        <v>0.11749999970197678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 s="67">
        <v>1.4810036867856979E-2</v>
      </c>
      <c r="AF28"/>
      <c r="AG28"/>
      <c r="AH28" s="171">
        <v>0.116514652967453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0.15000000596046448</v>
      </c>
      <c r="C29">
        <v>0.1080595999956131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 s="173">
        <v>4.1940402239561081E-2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0.12300000339746475</v>
      </c>
      <c r="C30">
        <v>0.10308917611837387</v>
      </c>
      <c r="D30"/>
      <c r="E30" s="68">
        <v>7.6120560988783836E-3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 s="136">
        <v>1.2298770248889923E-2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4</v>
      </c>
      <c r="C31">
        <v>0.20000004768371582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 s="233">
        <v>3.7999999523162842</v>
      </c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1.2000000476837158</v>
      </c>
      <c r="C32">
        <v>6.0000017285346985E-2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 s="11">
        <v>2.7473119553178549E-4</v>
      </c>
      <c r="V32" s="227">
        <v>0.10889232158660889</v>
      </c>
      <c r="W32"/>
      <c r="X32"/>
      <c r="Y32"/>
      <c r="Z32"/>
      <c r="AA32"/>
      <c r="AB32" s="228">
        <v>0.22640514373779297</v>
      </c>
      <c r="AC32"/>
      <c r="AD32" s="175">
        <v>0.10426593571901321</v>
      </c>
      <c r="AE32"/>
      <c r="AF32" s="11">
        <v>1.6189136658795178E-4</v>
      </c>
      <c r="AG32"/>
      <c r="AH32"/>
      <c r="AI32"/>
      <c r="AJ32" s="231">
        <v>0.69999998807907104</v>
      </c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0.28114449977874756</v>
      </c>
      <c r="D33"/>
      <c r="E33"/>
      <c r="F33"/>
      <c r="G33"/>
      <c r="H33" s="9">
        <v>2407.6728515625</v>
      </c>
      <c r="I33"/>
      <c r="J33"/>
      <c r="K33" s="9">
        <v>1.6690000295639038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 s="9">
        <v>323.012939453125</v>
      </c>
      <c r="AJ33" s="9">
        <v>391.53085327148438</v>
      </c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0" workbookViewId="0">
      <selection activeCell="D43" sqref="D43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61" t="s">
        <v>192</v>
      </c>
      <c r="E5">
        <v>4</v>
      </c>
      <c r="F5">
        <v>2</v>
      </c>
      <c r="G5">
        <v>4</v>
      </c>
      <c r="H5" s="162" t="s">
        <v>192</v>
      </c>
      <c r="J5" s="57"/>
      <c r="K5" s="58"/>
    </row>
    <row r="6" spans="1:12" ht="14" thickBot="1" x14ac:dyDescent="0.2">
      <c r="A6" s="41" t="s">
        <v>121</v>
      </c>
      <c r="D6" s="161" t="s">
        <v>193</v>
      </c>
      <c r="E6">
        <v>5</v>
      </c>
      <c r="F6">
        <v>2</v>
      </c>
      <c r="G6">
        <v>5</v>
      </c>
      <c r="H6" s="162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61" t="s">
        <v>194</v>
      </c>
      <c r="E7">
        <v>6</v>
      </c>
      <c r="F7">
        <v>3.14</v>
      </c>
      <c r="G7">
        <v>6</v>
      </c>
      <c r="H7" s="162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61" t="s">
        <v>195</v>
      </c>
      <c r="E8">
        <v>7</v>
      </c>
      <c r="F8">
        <v>3.11</v>
      </c>
      <c r="G8">
        <v>7</v>
      </c>
      <c r="H8" s="162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61" t="s">
        <v>196</v>
      </c>
      <c r="E9">
        <v>8</v>
      </c>
      <c r="F9">
        <v>3.11</v>
      </c>
      <c r="G9">
        <v>8</v>
      </c>
      <c r="H9" s="162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61" t="s">
        <v>197</v>
      </c>
      <c r="E10">
        <v>9</v>
      </c>
      <c r="F10">
        <v>3.11</v>
      </c>
      <c r="G10">
        <v>9</v>
      </c>
      <c r="H10" s="162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61" t="s">
        <v>198</v>
      </c>
      <c r="E11">
        <v>10</v>
      </c>
      <c r="F11">
        <v>3.12</v>
      </c>
      <c r="G11">
        <v>10</v>
      </c>
      <c r="H11" s="162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61" t="s">
        <v>199</v>
      </c>
      <c r="E12">
        <v>11</v>
      </c>
      <c r="F12">
        <v>3.12</v>
      </c>
      <c r="G12">
        <v>11</v>
      </c>
      <c r="H12" s="162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61" t="s">
        <v>200</v>
      </c>
      <c r="E13">
        <v>12</v>
      </c>
      <c r="F13">
        <v>3</v>
      </c>
      <c r="G13">
        <v>12</v>
      </c>
      <c r="H13" s="162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61" t="s">
        <v>201</v>
      </c>
      <c r="E14">
        <v>13</v>
      </c>
      <c r="F14">
        <v>3.1</v>
      </c>
      <c r="G14">
        <v>13</v>
      </c>
      <c r="H14" s="162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61" t="s">
        <v>202</v>
      </c>
      <c r="E15">
        <v>14</v>
      </c>
      <c r="F15">
        <v>3.12</v>
      </c>
      <c r="G15">
        <v>14</v>
      </c>
      <c r="H15" s="162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61" t="s">
        <v>203</v>
      </c>
      <c r="E16">
        <v>15</v>
      </c>
      <c r="F16">
        <v>3.12</v>
      </c>
      <c r="G16">
        <v>15</v>
      </c>
      <c r="H16" s="162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61" t="s">
        <v>204</v>
      </c>
      <c r="E17">
        <v>16</v>
      </c>
      <c r="F17">
        <v>3.12</v>
      </c>
      <c r="G17">
        <v>16</v>
      </c>
      <c r="H17" s="162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61" t="s">
        <v>205</v>
      </c>
      <c r="E18">
        <v>17</v>
      </c>
      <c r="F18">
        <v>3.12</v>
      </c>
      <c r="G18">
        <v>17</v>
      </c>
      <c r="H18" s="162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61" t="s">
        <v>206</v>
      </c>
      <c r="E19">
        <v>18</v>
      </c>
      <c r="F19">
        <v>3.12</v>
      </c>
      <c r="G19">
        <v>18</v>
      </c>
      <c r="H19" s="162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61" t="s">
        <v>207</v>
      </c>
      <c r="E20">
        <v>19</v>
      </c>
      <c r="F20">
        <v>3.1</v>
      </c>
      <c r="G20">
        <v>19</v>
      </c>
      <c r="H20" s="162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61" t="s">
        <v>208</v>
      </c>
      <c r="E21">
        <v>20</v>
      </c>
      <c r="F21">
        <v>3.12</v>
      </c>
      <c r="G21">
        <v>20</v>
      </c>
      <c r="H21" s="162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61" t="s">
        <v>209</v>
      </c>
      <c r="E22">
        <v>21</v>
      </c>
      <c r="F22">
        <v>3.12</v>
      </c>
      <c r="G22">
        <v>21</v>
      </c>
      <c r="H22" s="162" t="s">
        <v>209</v>
      </c>
    </row>
    <row r="23" spans="1:12" x14ac:dyDescent="0.15">
      <c r="A23" s="36" t="s">
        <v>129</v>
      </c>
      <c r="B23" s="44">
        <v>4</v>
      </c>
      <c r="C23" s="38"/>
      <c r="D23" s="161" t="s">
        <v>210</v>
      </c>
      <c r="E23">
        <v>22</v>
      </c>
      <c r="F23">
        <v>3.12</v>
      </c>
      <c r="G23">
        <v>22</v>
      </c>
      <c r="H23" s="162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61" t="s">
        <v>211</v>
      </c>
      <c r="E24">
        <v>23</v>
      </c>
      <c r="F24">
        <v>3.12</v>
      </c>
      <c r="G24">
        <v>23</v>
      </c>
      <c r="H24" s="162" t="s">
        <v>211</v>
      </c>
    </row>
    <row r="25" spans="1:12" x14ac:dyDescent="0.15">
      <c r="A25" s="36" t="s">
        <v>70</v>
      </c>
      <c r="B25" s="44">
        <v>4.2</v>
      </c>
      <c r="C25" s="38"/>
      <c r="D25" s="161" t="s">
        <v>212</v>
      </c>
      <c r="E25">
        <v>24</v>
      </c>
      <c r="F25">
        <v>3.12</v>
      </c>
      <c r="G25">
        <v>24</v>
      </c>
      <c r="H25" s="162" t="s">
        <v>212</v>
      </c>
    </row>
    <row r="26" spans="1:12" x14ac:dyDescent="0.15">
      <c r="A26" s="36" t="s">
        <v>123</v>
      </c>
      <c r="B26" s="44">
        <v>4.3</v>
      </c>
      <c r="C26" s="38"/>
      <c r="D26" s="161" t="s">
        <v>213</v>
      </c>
      <c r="E26">
        <v>25</v>
      </c>
      <c r="F26">
        <v>3.1</v>
      </c>
      <c r="G26">
        <v>25</v>
      </c>
      <c r="H26" s="162" t="s">
        <v>213</v>
      </c>
    </row>
    <row r="27" spans="1:12" x14ac:dyDescent="0.15">
      <c r="A27" s="36" t="s">
        <v>125</v>
      </c>
      <c r="B27" s="44">
        <v>6.1</v>
      </c>
      <c r="D27" s="161" t="s">
        <v>214</v>
      </c>
      <c r="E27">
        <v>26</v>
      </c>
      <c r="F27">
        <v>3.2</v>
      </c>
      <c r="G27">
        <v>26</v>
      </c>
      <c r="H27" s="162" t="s">
        <v>214</v>
      </c>
    </row>
    <row r="28" spans="1:12" x14ac:dyDescent="0.15">
      <c r="A28" s="36" t="s">
        <v>124</v>
      </c>
      <c r="B28" s="44">
        <v>6.2</v>
      </c>
      <c r="D28" s="161" t="s">
        <v>215</v>
      </c>
      <c r="E28">
        <v>27</v>
      </c>
      <c r="F28">
        <v>3.1</v>
      </c>
      <c r="G28">
        <v>27</v>
      </c>
      <c r="H28" s="162" t="s">
        <v>215</v>
      </c>
    </row>
    <row r="29" spans="1:12" x14ac:dyDescent="0.15">
      <c r="A29" s="36" t="s">
        <v>44</v>
      </c>
      <c r="B29" s="44">
        <v>5</v>
      </c>
      <c r="D29" s="161" t="s">
        <v>216</v>
      </c>
      <c r="E29">
        <v>28</v>
      </c>
      <c r="F29">
        <v>3.2</v>
      </c>
      <c r="G29">
        <v>28</v>
      </c>
      <c r="H29" s="162" t="s">
        <v>216</v>
      </c>
    </row>
    <row r="30" spans="1:12" x14ac:dyDescent="0.15">
      <c r="A30" s="36" t="s">
        <v>73</v>
      </c>
      <c r="B30" s="44">
        <v>7</v>
      </c>
      <c r="D30" s="161" t="s">
        <v>217</v>
      </c>
      <c r="E30">
        <v>29</v>
      </c>
      <c r="F30">
        <v>3.12</v>
      </c>
      <c r="G30">
        <v>29</v>
      </c>
      <c r="H30" s="162" t="s">
        <v>217</v>
      </c>
    </row>
    <row r="31" spans="1:12" x14ac:dyDescent="0.15">
      <c r="A31" s="36" t="s">
        <v>169</v>
      </c>
      <c r="B31" s="44">
        <v>3.14</v>
      </c>
      <c r="D31" s="161" t="s">
        <v>218</v>
      </c>
      <c r="E31">
        <v>30</v>
      </c>
      <c r="F31">
        <v>3.13</v>
      </c>
      <c r="G31">
        <v>30</v>
      </c>
      <c r="H31" s="162" t="s">
        <v>218</v>
      </c>
    </row>
    <row r="32" spans="1:12" ht="12" customHeight="1" thickBot="1" x14ac:dyDescent="0.2">
      <c r="A32" s="42" t="s">
        <v>170</v>
      </c>
      <c r="B32" s="45">
        <v>9</v>
      </c>
      <c r="D32" s="161" t="s">
        <v>219</v>
      </c>
      <c r="E32">
        <v>31</v>
      </c>
      <c r="F32">
        <v>3.13</v>
      </c>
      <c r="G32">
        <v>31</v>
      </c>
      <c r="H32" s="162" t="s">
        <v>219</v>
      </c>
    </row>
    <row r="33" spans="4:8" customFormat="1" ht="12" customHeight="1" x14ac:dyDescent="0.15">
      <c r="D33" s="161" t="s">
        <v>220</v>
      </c>
      <c r="E33">
        <v>32</v>
      </c>
      <c r="F33">
        <v>3.13</v>
      </c>
      <c r="G33">
        <v>32</v>
      </c>
      <c r="H33" s="162" t="s">
        <v>220</v>
      </c>
    </row>
    <row r="34" spans="4:8" customFormat="1" ht="12" customHeight="1" x14ac:dyDescent="0.15">
      <c r="D34" s="161" t="s">
        <v>221</v>
      </c>
      <c r="E34">
        <v>33</v>
      </c>
      <c r="F34">
        <v>3.21</v>
      </c>
      <c r="G34">
        <v>33</v>
      </c>
      <c r="H34" s="162" t="s">
        <v>221</v>
      </c>
    </row>
    <row r="35" spans="4:8" customFormat="1" x14ac:dyDescent="0.15">
      <c r="D35" s="161" t="s">
        <v>222</v>
      </c>
      <c r="E35">
        <v>34</v>
      </c>
      <c r="F35">
        <v>3.21</v>
      </c>
      <c r="G35">
        <v>34</v>
      </c>
      <c r="H35" s="162" t="s">
        <v>222</v>
      </c>
    </row>
    <row r="36" spans="4:8" customFormat="1" x14ac:dyDescent="0.15">
      <c r="D36" s="161" t="s">
        <v>223</v>
      </c>
      <c r="E36">
        <v>35</v>
      </c>
      <c r="F36">
        <v>4.0999999999999996</v>
      </c>
      <c r="G36">
        <v>35</v>
      </c>
      <c r="H36" s="162" t="s">
        <v>223</v>
      </c>
    </row>
    <row r="37" spans="4:8" customFormat="1" ht="12" customHeight="1" x14ac:dyDescent="0.15">
      <c r="D37" s="161" t="s">
        <v>224</v>
      </c>
      <c r="E37">
        <v>36</v>
      </c>
      <c r="F37">
        <v>4.3</v>
      </c>
      <c r="G37">
        <v>36</v>
      </c>
      <c r="H37" s="162" t="s">
        <v>224</v>
      </c>
    </row>
    <row r="38" spans="4:8" customFormat="1" x14ac:dyDescent="0.15">
      <c r="D38" s="161" t="s">
        <v>225</v>
      </c>
      <c r="E38">
        <v>37</v>
      </c>
      <c r="F38">
        <v>5</v>
      </c>
      <c r="G38">
        <v>37</v>
      </c>
      <c r="H38" s="162" t="s">
        <v>225</v>
      </c>
    </row>
    <row r="39" spans="4:8" customFormat="1" x14ac:dyDescent="0.15">
      <c r="D39" s="161" t="s">
        <v>226</v>
      </c>
      <c r="E39">
        <v>38</v>
      </c>
      <c r="F39">
        <v>5</v>
      </c>
      <c r="G39">
        <v>38</v>
      </c>
      <c r="H39" s="162" t="s">
        <v>226</v>
      </c>
    </row>
    <row r="40" spans="4:8" customFormat="1" x14ac:dyDescent="0.15">
      <c r="D40" s="161" t="s">
        <v>138</v>
      </c>
      <c r="E40">
        <v>39</v>
      </c>
      <c r="F40">
        <v>6.1</v>
      </c>
      <c r="G40">
        <v>39</v>
      </c>
      <c r="H40" s="162" t="s">
        <v>138</v>
      </c>
    </row>
    <row r="41" spans="4:8" customFormat="1" x14ac:dyDescent="0.15">
      <c r="D41" s="161" t="s">
        <v>45</v>
      </c>
      <c r="E41">
        <v>40</v>
      </c>
      <c r="F41">
        <v>6.2</v>
      </c>
      <c r="G41">
        <v>40</v>
      </c>
      <c r="H41" s="162" t="s">
        <v>45</v>
      </c>
    </row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1" bestFit="1" customWidth="1"/>
    <col min="2" max="2" width="12.83203125" style="80" customWidth="1"/>
    <col min="3" max="3" width="13.1640625" style="80" customWidth="1"/>
    <col min="4" max="4" width="10.83203125" style="80" customWidth="1"/>
    <col min="5" max="5" width="12.83203125" style="80" customWidth="1"/>
    <col min="6" max="6" width="21.664062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72" customWidth="1"/>
    <col min="17" max="17" width="2.33203125" style="80" customWidth="1"/>
    <col min="18" max="18" width="2.33203125" style="73" customWidth="1"/>
    <col min="19" max="16384" width="11.5" style="80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2" t="s">
        <v>48</v>
      </c>
      <c r="L1" s="73"/>
      <c r="M1" s="82" t="s">
        <v>119</v>
      </c>
      <c r="N1" s="73"/>
      <c r="O1" s="82" t="s">
        <v>49</v>
      </c>
      <c r="P1" s="74"/>
      <c r="Q1" s="82" t="s">
        <v>50</v>
      </c>
      <c r="R1" s="70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4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4">
        <v>0</v>
      </c>
      <c r="R4" s="107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4">
        <v>0</v>
      </c>
      <c r="R5" s="107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63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1</v>
      </c>
      <c r="N6" s="80">
        <v>0</v>
      </c>
      <c r="O6" s="80">
        <v>0</v>
      </c>
      <c r="P6" s="72">
        <v>0</v>
      </c>
      <c r="Q6" s="80">
        <v>0</v>
      </c>
      <c r="R6" s="73">
        <v>1</v>
      </c>
      <c r="S6"/>
      <c r="T6"/>
    </row>
    <row r="7" spans="1:23" ht="15" customHeight="1" thickBot="1" x14ac:dyDescent="0.2">
      <c r="F7" s="163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0</v>
      </c>
      <c r="L7" s="80">
        <v>0</v>
      </c>
      <c r="M7" s="80">
        <v>1</v>
      </c>
      <c r="N7" s="80">
        <v>0</v>
      </c>
      <c r="O7" s="80">
        <v>0</v>
      </c>
      <c r="P7" s="72">
        <v>0</v>
      </c>
      <c r="Q7" s="80">
        <v>0</v>
      </c>
      <c r="R7" s="73">
        <v>1</v>
      </c>
      <c r="S7"/>
      <c r="T7"/>
    </row>
    <row r="8" spans="1:23" ht="15" customHeight="1" x14ac:dyDescent="0.15">
      <c r="A8" s="82" t="s">
        <v>56</v>
      </c>
      <c r="B8" s="89">
        <v>0.99306624841130031</v>
      </c>
      <c r="C8" s="164" t="s">
        <v>192</v>
      </c>
      <c r="D8" s="84" t="s">
        <v>160</v>
      </c>
      <c r="F8" s="163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72">
        <v>0</v>
      </c>
      <c r="Q8" s="80">
        <v>0</v>
      </c>
      <c r="R8" s="73">
        <v>1</v>
      </c>
      <c r="S8"/>
      <c r="T8"/>
      <c r="W8"/>
    </row>
    <row r="9" spans="1:23" ht="15" customHeight="1" x14ac:dyDescent="0.15">
      <c r="A9" s="121" t="s">
        <v>168</v>
      </c>
      <c r="B9" s="91">
        <v>6.9337515886996829E-3</v>
      </c>
      <c r="C9" s="164" t="s">
        <v>193</v>
      </c>
      <c r="D9" s="84" t="s">
        <v>160</v>
      </c>
      <c r="F9" s="163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72">
        <v>0</v>
      </c>
      <c r="Q9" s="80">
        <v>0</v>
      </c>
      <c r="R9" s="73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63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72">
        <v>0</v>
      </c>
      <c r="Q10" s="80">
        <v>0</v>
      </c>
      <c r="R10" s="73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63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72">
        <v>0</v>
      </c>
      <c r="Q11" s="80">
        <v>0</v>
      </c>
      <c r="R11" s="73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63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72">
        <v>0</v>
      </c>
      <c r="Q12" s="80">
        <v>0</v>
      </c>
      <c r="R12" s="73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63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72">
        <v>0</v>
      </c>
      <c r="Q13" s="80">
        <v>0</v>
      </c>
      <c r="R13" s="73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63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72">
        <v>0</v>
      </c>
      <c r="Q14" s="80">
        <v>0</v>
      </c>
      <c r="R14" s="73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63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72">
        <v>0</v>
      </c>
      <c r="Q15" s="80">
        <v>0</v>
      </c>
      <c r="R15" s="73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63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72">
        <v>0</v>
      </c>
      <c r="Q16" s="80">
        <v>0</v>
      </c>
      <c r="R16" s="73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63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72">
        <v>0</v>
      </c>
      <c r="Q17" s="80">
        <v>0</v>
      </c>
      <c r="R17" s="73">
        <v>1</v>
      </c>
      <c r="S17"/>
      <c r="T17"/>
    </row>
    <row r="18" spans="1:20" ht="15" customHeight="1" thickBot="1" x14ac:dyDescent="0.2">
      <c r="B18" s="92"/>
      <c r="F18" s="163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72">
        <v>0</v>
      </c>
      <c r="Q18" s="80">
        <v>0</v>
      </c>
      <c r="R18" s="73">
        <v>1</v>
      </c>
      <c r="S18"/>
      <c r="T18"/>
    </row>
    <row r="19" spans="1:20" ht="15" customHeight="1" x14ac:dyDescent="0.15">
      <c r="A19" s="82" t="s">
        <v>57</v>
      </c>
      <c r="B19" s="89">
        <v>0.99306624841130031</v>
      </c>
      <c r="C19" s="165" t="s">
        <v>192</v>
      </c>
      <c r="D19" s="84" t="s">
        <v>160</v>
      </c>
      <c r="F19" s="163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72">
        <v>0</v>
      </c>
      <c r="Q19" s="80">
        <v>0</v>
      </c>
      <c r="R19" s="73">
        <v>1</v>
      </c>
      <c r="S19"/>
      <c r="T19"/>
    </row>
    <row r="20" spans="1:20" ht="15" customHeight="1" x14ac:dyDescent="0.15">
      <c r="A20" s="121" t="s">
        <v>168</v>
      </c>
      <c r="B20" s="91">
        <v>6.9337515886996829E-3</v>
      </c>
      <c r="C20" s="165" t="s">
        <v>193</v>
      </c>
      <c r="D20" s="84" t="s">
        <v>160</v>
      </c>
      <c r="F20" s="163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72">
        <v>0</v>
      </c>
      <c r="Q20" s="80">
        <v>0</v>
      </c>
      <c r="R20" s="73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63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72">
        <v>0</v>
      </c>
      <c r="Q21" s="80">
        <v>0</v>
      </c>
      <c r="R21" s="73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63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72">
        <v>0</v>
      </c>
      <c r="Q22" s="80">
        <v>0</v>
      </c>
      <c r="R22" s="73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63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72">
        <v>0</v>
      </c>
      <c r="Q23" s="80">
        <v>0</v>
      </c>
      <c r="R23" s="73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63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72">
        <v>0</v>
      </c>
      <c r="Q24" s="80">
        <v>0</v>
      </c>
      <c r="R24" s="73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63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72">
        <v>0</v>
      </c>
      <c r="Q25" s="80">
        <v>0</v>
      </c>
      <c r="R25" s="73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63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72">
        <v>0</v>
      </c>
      <c r="Q26" s="80">
        <v>0</v>
      </c>
      <c r="R26" s="73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63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72">
        <v>0</v>
      </c>
      <c r="Q27" s="80">
        <v>0</v>
      </c>
      <c r="R27" s="73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63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72">
        <v>0</v>
      </c>
      <c r="Q28" s="80">
        <v>0</v>
      </c>
      <c r="R28" s="73">
        <v>1</v>
      </c>
      <c r="S28"/>
      <c r="T28"/>
    </row>
    <row r="29" spans="1:20" ht="15" customHeight="1" x14ac:dyDescent="0.15">
      <c r="F29" s="163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72">
        <v>0</v>
      </c>
      <c r="Q29" s="80">
        <v>0</v>
      </c>
      <c r="R29" s="73">
        <v>1</v>
      </c>
      <c r="S29"/>
      <c r="T29"/>
    </row>
    <row r="30" spans="1:20" ht="15" customHeight="1" x14ac:dyDescent="0.15">
      <c r="F30" s="163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72">
        <v>0</v>
      </c>
      <c r="Q30" s="80">
        <v>0</v>
      </c>
      <c r="R30" s="73">
        <v>1</v>
      </c>
      <c r="S30"/>
      <c r="T30"/>
    </row>
    <row r="31" spans="1:20" ht="15" customHeight="1" x14ac:dyDescent="0.15">
      <c r="A31" s="122"/>
      <c r="B31" s="132" t="s">
        <v>17</v>
      </c>
      <c r="C31" s="132" t="s">
        <v>1</v>
      </c>
      <c r="D31" s="132" t="s">
        <v>161</v>
      </c>
      <c r="E31" s="133" t="s">
        <v>163</v>
      </c>
      <c r="F31" s="163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72">
        <v>0</v>
      </c>
      <c r="Q31" s="80">
        <v>0</v>
      </c>
      <c r="R31" s="73">
        <v>1</v>
      </c>
      <c r="S31"/>
      <c r="T31"/>
    </row>
    <row r="32" spans="1:20" ht="15" customHeight="1" x14ac:dyDescent="0.15">
      <c r="A32" s="166" t="s">
        <v>192</v>
      </c>
      <c r="B32" s="92">
        <v>76.938000000000002</v>
      </c>
      <c r="C32" s="92">
        <v>154.4</v>
      </c>
      <c r="D32" s="92">
        <v>11879.227200000001</v>
      </c>
      <c r="E32" s="123">
        <v>0.99306624841130031</v>
      </c>
      <c r="F32" s="163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72">
        <v>0</v>
      </c>
      <c r="Q32" s="80">
        <v>0</v>
      </c>
      <c r="R32" s="73">
        <v>1</v>
      </c>
      <c r="S32"/>
      <c r="T32"/>
    </row>
    <row r="33" spans="1:20" ht="15" customHeight="1" x14ac:dyDescent="0.15">
      <c r="A33" s="166" t="s">
        <v>193</v>
      </c>
      <c r="B33" s="92">
        <v>5.5295143099999997</v>
      </c>
      <c r="C33" s="92">
        <v>15</v>
      </c>
      <c r="D33" s="92">
        <v>82.942714649999999</v>
      </c>
      <c r="E33" s="123">
        <v>6.9337515886996829E-3</v>
      </c>
      <c r="F33" s="163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72">
        <v>0</v>
      </c>
      <c r="Q33" s="80">
        <v>0</v>
      </c>
      <c r="R33" s="73">
        <v>1</v>
      </c>
      <c r="S33"/>
      <c r="T33"/>
    </row>
    <row r="34" spans="1:20" ht="15" customHeight="1" x14ac:dyDescent="0.15">
      <c r="A34" s="124"/>
      <c r="B34" s="92"/>
      <c r="C34" s="92"/>
      <c r="D34" s="92"/>
      <c r="E34" s="123"/>
      <c r="F34" s="163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72">
        <v>0</v>
      </c>
      <c r="Q34" s="80">
        <v>0</v>
      </c>
      <c r="R34" s="73">
        <v>1</v>
      </c>
      <c r="S34"/>
      <c r="T34"/>
    </row>
    <row r="35" spans="1:20" ht="15" customHeight="1" x14ac:dyDescent="0.15">
      <c r="A35" s="125"/>
      <c r="B35" s="92"/>
      <c r="C35" s="92"/>
      <c r="D35" s="92"/>
      <c r="E35" s="123"/>
      <c r="F35" s="163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1</v>
      </c>
      <c r="L35" s="80">
        <v>0</v>
      </c>
      <c r="M35" s="80">
        <v>1</v>
      </c>
      <c r="N35" s="80">
        <v>0</v>
      </c>
      <c r="O35" s="80">
        <v>1</v>
      </c>
      <c r="P35" s="72">
        <v>0</v>
      </c>
      <c r="Q35" s="80">
        <v>0</v>
      </c>
      <c r="R35" s="73">
        <v>1</v>
      </c>
      <c r="S35"/>
      <c r="T35"/>
    </row>
    <row r="36" spans="1:20" ht="15" customHeight="1" x14ac:dyDescent="0.15">
      <c r="A36" s="126"/>
      <c r="B36" s="92"/>
      <c r="C36" s="92"/>
      <c r="D36" s="92"/>
      <c r="E36" s="123"/>
      <c r="F36" s="163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72">
        <v>0</v>
      </c>
      <c r="Q36" s="80">
        <v>0</v>
      </c>
      <c r="R36" s="73">
        <v>1</v>
      </c>
      <c r="S36"/>
      <c r="T36"/>
    </row>
    <row r="37" spans="1:20" ht="15" customHeight="1" x14ac:dyDescent="0.15">
      <c r="A37" s="126"/>
      <c r="B37" s="92"/>
      <c r="C37" s="92"/>
      <c r="D37" s="92"/>
      <c r="E37" s="123"/>
      <c r="F37" s="163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80">
        <v>1</v>
      </c>
      <c r="M37" s="80">
        <v>0</v>
      </c>
      <c r="N37" s="80">
        <v>1</v>
      </c>
      <c r="O37" s="80">
        <v>0</v>
      </c>
      <c r="P37" s="72">
        <v>1</v>
      </c>
      <c r="Q37" s="80">
        <v>0</v>
      </c>
      <c r="R37" s="73">
        <v>1</v>
      </c>
      <c r="S37"/>
      <c r="T37"/>
    </row>
    <row r="38" spans="1:20" ht="15" customHeight="1" x14ac:dyDescent="0.15">
      <c r="A38" s="127"/>
      <c r="B38" s="92"/>
      <c r="C38" s="92"/>
      <c r="D38" s="92"/>
      <c r="E38" s="123"/>
      <c r="F38" s="163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1</v>
      </c>
      <c r="M38" s="80">
        <v>0</v>
      </c>
      <c r="N38" s="80">
        <v>1</v>
      </c>
      <c r="O38" s="80">
        <v>0</v>
      </c>
      <c r="P38" s="72">
        <v>1</v>
      </c>
      <c r="Q38" s="80">
        <v>0</v>
      </c>
      <c r="R38" s="73">
        <v>1</v>
      </c>
      <c r="S38"/>
      <c r="T38"/>
    </row>
    <row r="39" spans="1:20" ht="15" customHeight="1" x14ac:dyDescent="0.15">
      <c r="A39" s="127"/>
      <c r="B39" s="92"/>
      <c r="C39" s="92"/>
      <c r="D39" s="92"/>
      <c r="E39" s="123"/>
      <c r="F39" s="163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80">
        <v>1</v>
      </c>
      <c r="M39" s="80">
        <v>0</v>
      </c>
      <c r="N39" s="80">
        <v>0</v>
      </c>
      <c r="O39" s="80">
        <v>0</v>
      </c>
      <c r="P39" s="72">
        <v>0</v>
      </c>
      <c r="Q39" s="80">
        <v>0</v>
      </c>
      <c r="R39" s="73">
        <v>1</v>
      </c>
      <c r="S39"/>
      <c r="T39"/>
    </row>
    <row r="40" spans="1:20" ht="15" customHeight="1" x14ac:dyDescent="0.15">
      <c r="A40" s="127"/>
      <c r="B40" s="92"/>
      <c r="C40" s="92"/>
      <c r="D40" s="92"/>
      <c r="E40" s="123"/>
      <c r="F40" s="163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0</v>
      </c>
      <c r="L40" s="80">
        <v>1</v>
      </c>
      <c r="M40" s="80">
        <v>0</v>
      </c>
      <c r="N40" s="80">
        <v>0</v>
      </c>
      <c r="O40" s="80">
        <v>0</v>
      </c>
      <c r="P40" s="72">
        <v>0</v>
      </c>
      <c r="Q40" s="80">
        <v>0</v>
      </c>
      <c r="R40" s="73">
        <v>1</v>
      </c>
      <c r="S40"/>
      <c r="T40"/>
    </row>
    <row r="41" spans="1:20" ht="15" customHeight="1" thickBot="1" x14ac:dyDescent="0.2">
      <c r="A41" s="127"/>
      <c r="B41" s="92"/>
      <c r="C41" s="92"/>
      <c r="D41" s="93"/>
      <c r="E41" s="128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9"/>
      <c r="B42" s="130"/>
      <c r="C42" s="130" t="s">
        <v>162</v>
      </c>
      <c r="D42" s="130">
        <f>SUM(D32:D41)</f>
        <v>11962.169914650001</v>
      </c>
      <c r="E42" s="131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Q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7" customWidth="1"/>
    <col min="3" max="5" width="7.83203125" style="107" customWidth="1"/>
    <col min="6" max="8" width="8.83203125" style="6"/>
    <col min="9" max="9" width="13.1640625" style="6" customWidth="1"/>
    <col min="10" max="10" width="14.6640625" style="6" customWidth="1"/>
    <col min="11" max="11" width="14.83203125" style="6" customWidth="1"/>
    <col min="12" max="12" width="15.83203125" style="6" customWidth="1"/>
    <col min="13" max="13" width="15.5" style="6" customWidth="1"/>
    <col min="14" max="14" width="14.6640625" style="6" customWidth="1"/>
    <col min="15" max="15" width="8.33203125" style="6" customWidth="1"/>
    <col min="16" max="17" width="7.5" style="6" customWidth="1"/>
    <col min="18" max="18" width="13.83203125" style="6" customWidth="1"/>
    <col min="19" max="19" width="13.6640625" style="6" customWidth="1"/>
    <col min="20" max="20" width="12.83203125" style="6" customWidth="1"/>
    <col min="21" max="21" width="14.83203125" style="6" customWidth="1"/>
    <col min="22" max="22" width="12.6640625" style="6" customWidth="1"/>
    <col min="23" max="23" width="6.5" style="6" customWidth="1"/>
    <col min="24" max="24" width="13.5" style="6" customWidth="1"/>
    <col min="25" max="25" width="12" style="6" customWidth="1"/>
    <col min="26" max="26" width="15.33203125" style="6" customWidth="1"/>
    <col min="27" max="27" width="15.1640625" style="6" customWidth="1"/>
    <col min="28" max="28" width="14.83203125" style="6" customWidth="1"/>
    <col min="29" max="29" width="14.6640625" style="6" customWidth="1"/>
    <col min="30" max="30" width="13.83203125" style="6" customWidth="1"/>
    <col min="31" max="31" width="14" style="6" customWidth="1"/>
    <col min="32" max="32" width="13.83203125" style="6" customWidth="1"/>
    <col min="33" max="33" width="14" style="6" customWidth="1"/>
    <col min="34" max="34" width="14.6640625" style="6" customWidth="1"/>
    <col min="35" max="35" width="6" style="6" customWidth="1"/>
    <col min="36" max="36" width="10.1640625" style="6" customWidth="1"/>
    <col min="37" max="37" width="8.5" style="6" customWidth="1"/>
    <col min="38" max="38" width="11.83203125" style="6" customWidth="1"/>
    <col min="39" max="39" width="13" customWidth="1"/>
    <col min="40" max="40" width="7.6640625" customWidth="1"/>
    <col min="41" max="41" width="21.6640625" customWidth="1"/>
    <col min="42" max="42" width="11.5" customWidth="1"/>
    <col min="43" max="43" width="7.5" customWidth="1"/>
    <col min="81" max="81" width="22.1640625" bestFit="1" customWidth="1"/>
  </cols>
  <sheetData>
    <row r="1" spans="1:43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68" t="s">
        <v>192</v>
      </c>
      <c r="J1" s="168" t="s">
        <v>193</v>
      </c>
      <c r="K1" s="168" t="s">
        <v>194</v>
      </c>
      <c r="L1" s="168" t="s">
        <v>195</v>
      </c>
      <c r="M1" s="168" t="s">
        <v>196</v>
      </c>
      <c r="N1" s="168" t="s">
        <v>197</v>
      </c>
      <c r="O1" s="168" t="s">
        <v>198</v>
      </c>
      <c r="P1" s="168" t="s">
        <v>199</v>
      </c>
      <c r="Q1" s="168" t="s">
        <v>200</v>
      </c>
      <c r="R1" s="168" t="s">
        <v>201</v>
      </c>
      <c r="S1" s="168" t="s">
        <v>202</v>
      </c>
      <c r="T1" s="168" t="s">
        <v>203</v>
      </c>
      <c r="U1" s="168" t="s">
        <v>204</v>
      </c>
      <c r="V1" s="168" t="s">
        <v>205</v>
      </c>
      <c r="W1" s="168" t="s">
        <v>206</v>
      </c>
      <c r="X1" s="168" t="s">
        <v>207</v>
      </c>
      <c r="Y1" s="168" t="s">
        <v>208</v>
      </c>
      <c r="Z1" s="168" t="s">
        <v>209</v>
      </c>
      <c r="AA1" s="168" t="s">
        <v>210</v>
      </c>
      <c r="AB1" s="168" t="s">
        <v>211</v>
      </c>
      <c r="AC1" s="168" t="s">
        <v>212</v>
      </c>
      <c r="AD1" s="168" t="s">
        <v>213</v>
      </c>
      <c r="AE1" s="168" t="s">
        <v>214</v>
      </c>
      <c r="AF1" s="168" t="s">
        <v>215</v>
      </c>
      <c r="AG1" s="168" t="s">
        <v>216</v>
      </c>
      <c r="AH1" s="168" t="s">
        <v>217</v>
      </c>
      <c r="AI1" s="168" t="s">
        <v>218</v>
      </c>
      <c r="AJ1" s="168" t="s">
        <v>219</v>
      </c>
      <c r="AK1" s="168" t="s">
        <v>220</v>
      </c>
      <c r="AL1" s="168" t="s">
        <v>221</v>
      </c>
      <c r="AM1" s="168" t="s">
        <v>222</v>
      </c>
      <c r="AN1" s="168" t="s">
        <v>223</v>
      </c>
      <c r="AO1" s="168" t="s">
        <v>224</v>
      </c>
      <c r="AP1" s="168" t="s">
        <v>225</v>
      </c>
      <c r="AQ1" s="168" t="s">
        <v>226</v>
      </c>
    </row>
    <row r="2" spans="1:43" x14ac:dyDescent="0.15">
      <c r="A2" t="s">
        <v>38</v>
      </c>
      <c r="B2" s="10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3" x14ac:dyDescent="0.15">
      <c r="A3" t="s">
        <v>40</v>
      </c>
      <c r="B3" s="10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3" x14ac:dyDescent="0.15">
      <c r="A4" t="s">
        <v>41</v>
      </c>
      <c r="B4" s="10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3" x14ac:dyDescent="0.15">
      <c r="A5" s="167" t="s">
        <v>192</v>
      </c>
      <c r="B5" s="10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3" x14ac:dyDescent="0.15">
      <c r="A6" s="167" t="s">
        <v>193</v>
      </c>
      <c r="B6" s="10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3" x14ac:dyDescent="0.15">
      <c r="A7" s="167" t="s">
        <v>194</v>
      </c>
      <c r="B7" s="10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3" x14ac:dyDescent="0.15">
      <c r="A8" s="167" t="s">
        <v>195</v>
      </c>
      <c r="B8" s="10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3" x14ac:dyDescent="0.15">
      <c r="A9" s="167" t="s">
        <v>196</v>
      </c>
      <c r="B9" s="10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3" x14ac:dyDescent="0.15">
      <c r="A10" s="167" t="s">
        <v>197</v>
      </c>
      <c r="B10" s="10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3" x14ac:dyDescent="0.15">
      <c r="A11" s="167" t="s">
        <v>198</v>
      </c>
      <c r="B11" s="10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3" x14ac:dyDescent="0.15">
      <c r="A12" s="167" t="s">
        <v>199</v>
      </c>
      <c r="B12" s="10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3" x14ac:dyDescent="0.15">
      <c r="A13" s="167" t="s">
        <v>200</v>
      </c>
      <c r="B13" s="10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3" x14ac:dyDescent="0.15">
      <c r="A14" s="167" t="s">
        <v>201</v>
      </c>
      <c r="B14" s="10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3" x14ac:dyDescent="0.15">
      <c r="A15" s="167" t="s">
        <v>202</v>
      </c>
      <c r="B15" s="10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3" x14ac:dyDescent="0.15">
      <c r="A16" s="167" t="s">
        <v>203</v>
      </c>
      <c r="B16" s="10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7" t="s">
        <v>204</v>
      </c>
      <c r="B17" s="10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7" t="s">
        <v>205</v>
      </c>
      <c r="B18" s="10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7" t="s">
        <v>206</v>
      </c>
      <c r="B19" s="10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7" t="s">
        <v>207</v>
      </c>
      <c r="B20" s="10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7" t="s">
        <v>208</v>
      </c>
      <c r="B21" s="10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7" t="s">
        <v>209</v>
      </c>
      <c r="B22" s="10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67" t="s">
        <v>210</v>
      </c>
      <c r="B23" s="10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67" t="s">
        <v>211</v>
      </c>
      <c r="B24" s="10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67" t="s">
        <v>212</v>
      </c>
      <c r="B25" s="10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67" t="s">
        <v>213</v>
      </c>
      <c r="B26" s="10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67" t="s">
        <v>214</v>
      </c>
      <c r="B27" s="10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67" t="s">
        <v>215</v>
      </c>
      <c r="B28" s="10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67" t="s">
        <v>216</v>
      </c>
      <c r="B29" s="10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67" t="s">
        <v>217</v>
      </c>
      <c r="B30" s="10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67" t="s">
        <v>218</v>
      </c>
      <c r="B31" s="10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67" t="s">
        <v>219</v>
      </c>
      <c r="B32" s="10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67" t="s">
        <v>220</v>
      </c>
      <c r="B33" s="10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67" t="s">
        <v>221</v>
      </c>
      <c r="B34" s="10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67" t="s">
        <v>222</v>
      </c>
      <c r="B35" s="10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67" t="s">
        <v>223</v>
      </c>
      <c r="B36" s="107">
        <v>0</v>
      </c>
      <c r="C36"/>
      <c r="D36"/>
    </row>
    <row r="37" spans="1:38" ht="15" customHeight="1" x14ac:dyDescent="0.15">
      <c r="A37" s="167" t="s">
        <v>224</v>
      </c>
      <c r="B37" s="107">
        <v>0</v>
      </c>
      <c r="C37"/>
      <c r="D37"/>
    </row>
    <row r="38" spans="1:38" ht="15" customHeight="1" x14ac:dyDescent="0.15">
      <c r="A38" s="167" t="s">
        <v>225</v>
      </c>
      <c r="B38" s="10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67" t="s">
        <v>226</v>
      </c>
      <c r="B39" s="107">
        <v>0</v>
      </c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2022-10-24T04:38:28Z</dcterms:modified>
</cp:coreProperties>
</file>