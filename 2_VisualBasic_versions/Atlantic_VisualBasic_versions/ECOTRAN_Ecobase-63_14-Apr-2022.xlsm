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6D84996F-C59D-B347-B65B-9BE5AAAE0AB8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Main!$C$2:$N$48</definedName>
    <definedName name="matDetritus">Detritus!$C$2:$F$48</definedName>
    <definedName name="matDiet">Diets!$B$2:$AM$43</definedName>
    <definedName name="matDiscards">Discards!$C$2:$H$42</definedName>
    <definedName name="matFishery">Fishing!$C$2:$H$42</definedName>
    <definedName name="matFishing">Fishing!#REF!</definedName>
    <definedName name="matMort">Mortalities!$A$1:$AX$42</definedName>
    <definedName name="matOut">MainOutputs!$A$2:$I$48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<sst xmlns="http://schemas.openxmlformats.org/spreadsheetml/2006/main" count="1231" uniqueCount="249">
  <si>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</si>
  <si>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</si>
  <si>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</si>
  <si>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</si>
  <si>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</si>
  <si>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</si>
  <si>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</si>
  <si>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</si>
  <si>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</si>
  <si>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</si>
  <si>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</si>
  <si>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</si>
  <si>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</si>
  <si>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</si>
  <si>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</si>
  <si>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</si>
  <si>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</si>
  <si>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</si>
  <si>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</si>
  <si>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</si>
  <si>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</si>
  <si>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</si>
  <si>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</si>
  <si>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</si>
  <si>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</si>
  <si>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</si>
  <si>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</si>
  <si>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</si>
  <si>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</si>
  <si>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</si>
  <si>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</si>
  <si>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</si>
  <si>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</si>
  <si>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</si>
  <si>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</si>
  <si>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</si>
  <si>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</si>
  <si>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</si>
  <si>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</si>
  <si>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</si>
  <si>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</si>
  <si>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</si>
  <si>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</si>
  <si>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</si>
  <si>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</si>
  <si>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</si>
  <si>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</si>
  <si>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</si>
  <si>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</si>
  <si>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</si>
  <si>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</si>
  <si>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</si>
  <si>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</si>
  <si>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</si>
  <si>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</si>
  <si>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</si>
  <si>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</si>
  <si>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</si>
  <si>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</si>
  <si>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</si>
  <si>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</si>
  <si>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</si>
  <si>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</si>
  <si>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</si>
  <si>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</si>
  <si>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</si>
  <si>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</si>
  <si>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</si>
  <si>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</si>
  <si>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</si>
  <si>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</si>
  <si>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</si>
  <si>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</si>
  <si>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</si>
  <si>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</si>
  <si>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</si>
  <si>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</si>
  <si>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</si>
  <si>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</si>
  <si>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</si>
  <si>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</si>
  <si>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</si>
  <si>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</si>
  <si>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</si>
  <si>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</si>
  <si>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</si>
  <si>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</si>
  <si>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</si>
  <si>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</si>
  <si>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</si>
  <si>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</si>
  <si>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</si>
  <si>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</si>
  <si>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</si>
  <si>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</si>
  <si>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</si>
  <si>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</si>
  <si>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</si>
  <si>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</si>
  <si>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</si>
  <si>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</si>
  <si>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</si>
  <si>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</si>
  <si>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</si>
  <si>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</si>
  <si>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</si>
  <si>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</si>
  <si>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</si>
  <si>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</si>
  <si>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</si>
  <si>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</si>
  <si>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</si>
  <si>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</si>
  <si>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</si>
  <si>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</si>
  <si>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</si>
  <si>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</si>
  <si>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</si>
  <si>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</si>
  <si>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</si>
  <si>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</si>
  <si>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</si>
  <si>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</si>
  <si>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</si>
  <si>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</si>
  <si>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</si>
  <si>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</si>
  <si>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</si>
  <si>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</si>
  <si>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</si>
  <si>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</si>
  <si>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</si>
  <si>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</si>
  <si>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</si>
  <si>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</si>
  <si>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</si>
  <si>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</si>
  <si>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</si>
  <si>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</si>
  <si>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</si>
  <si>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</si>
  <si>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</si>
  <si>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</si>
  <si>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</si>
  <si>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</si>
  <si>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</si>
  <si>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</si>
  <si>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</si>
  <si>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</si>
  <si>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</si>
  <si>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</si>
  <si>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</si>
  <si>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</si>
  <si>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</si>
  <si>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</si>
  <si>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</si>
  <si>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</si>
  <si>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</si>
  <si>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</si>
  <si>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</si>
  <si>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</si>
  <si>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</si>
  <si>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</si>
  <si>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</si>
  <si>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</si>
  <si>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</si>
  <si>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</si>
  <si>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</si>
  <si>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</si>
  <si>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</si>
  <si>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</si>
  <si>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</si>
  <si>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</si>
  <si>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</si>
  <si>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</si>
  <si>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</si>
  <si>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</si>
  <si>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</si>
  <si>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</si>
  <si>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</si>
  <si>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</si>
  <si>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</si>
  <si>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</si>
  <si>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</si>
  <si>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</si>
  <si>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Barents Sea</t>
  </si>
  <si>
    <t>Russian Federation</t>
  </si>
  <si>
    <t>BOX(16.733585572989 65.8553776078359,68.933773381877 81.0049893095666)</t>
  </si>
  <si>
    <t>continental shelf</t>
  </si>
  <si>
    <t>WetWeight</t>
  </si>
  <si>
    <t>; 20/04/2006 12:18:07 a.m.; 20/04/2006 12:21:31 a.m.; 18/07/2006 12:20:41 a.m.; 8/15/2006 2:50:12 PM; 8/15/2006 2:55:49 PM</t>
  </si>
  <si>
    <t>Blanchard J.L.,Pinnegar J.K.,Mackinson S.(2002). Exploring Marine Mammal-Fishery Interactions Using 'Ecopath with Ecosim': Modelling the Barents Sea Ecosystem Science Series Technical Report</t>
  </si>
  <si>
    <t>Toothed whales</t>
  </si>
  <si>
    <t>Sharks</t>
  </si>
  <si>
    <t>Birds</t>
  </si>
  <si>
    <t>Seals</t>
  </si>
  <si>
    <t>Adult saithe</t>
  </si>
  <si>
    <t>Adult cod (4+)</t>
  </si>
  <si>
    <t>Minke</t>
  </si>
  <si>
    <t>Benthic piscivores</t>
  </si>
  <si>
    <t>Other baleen whales</t>
  </si>
  <si>
    <t>Juvenile saithe</t>
  </si>
  <si>
    <t>Mackerel/Horse Mackerel</t>
  </si>
  <si>
    <t>Salmon and Seatrout</t>
  </si>
  <si>
    <t>Juvenile cod (1-3)</t>
  </si>
  <si>
    <t>Wolfishes</t>
  </si>
  <si>
    <t>Adult haddock (4+)</t>
  </si>
  <si>
    <t>Juvenile haddock (1-3)</t>
  </si>
  <si>
    <t>Polar cod (1+)</t>
  </si>
  <si>
    <t>Redfishes</t>
  </si>
  <si>
    <t>Adult capelin (2+)</t>
  </si>
  <si>
    <t>Squid</t>
  </si>
  <si>
    <t>Benthic Invertebrate Feeders 1 (BIF1)</t>
  </si>
  <si>
    <t>Lobsters  crabs</t>
  </si>
  <si>
    <t>Pelagic planktivorous fish</t>
  </si>
  <si>
    <t>Adult herring (4+)</t>
  </si>
  <si>
    <t>Juvenile capelin (1)</t>
  </si>
  <si>
    <t>Juvenile herring (1-3)</t>
  </si>
  <si>
    <t>Other macrobenthos</t>
  </si>
  <si>
    <t>Carnivorous zooplankton</t>
  </si>
  <si>
    <t>Epifaunal filter feeders</t>
  </si>
  <si>
    <t>Other crustaceans</t>
  </si>
  <si>
    <t>Prawns &amp;amp; shrimps</t>
  </si>
  <si>
    <t>Infaunal filter feeders</t>
  </si>
  <si>
    <t>Meiofauna</t>
  </si>
  <si>
    <t>Herbivorous zooplankton</t>
  </si>
  <si>
    <t>Planktonic micro-organisms</t>
  </si>
  <si>
    <t>Benthic micro-organisms</t>
  </si>
  <si>
    <t>Phytoplankton</t>
  </si>
  <si>
    <t>Seaweeds and algae</t>
  </si>
  <si>
    <t>Dead carcasses</t>
  </si>
  <si>
    <t>Water column detritus</t>
  </si>
  <si>
    <t>Benthic detritus</t>
  </si>
  <si>
    <t>Whalers</t>
  </si>
  <si>
    <t>Seal bashers</t>
  </si>
  <si>
    <t>Pelagic gear</t>
  </si>
  <si>
    <t>Demersal trawlers</t>
  </si>
  <si>
    <t>Invertebrate fisheries</t>
  </si>
  <si>
    <t>Shrimp trawlers</t>
  </si>
  <si>
    <t>Import</t>
  </si>
  <si>
    <t>export</t>
  </si>
  <si>
    <t>sum</t>
  </si>
  <si>
    <t>TOTAL</t>
  </si>
  <si>
    <t>F Whalers</t>
  </si>
  <si>
    <t>F Seal bashers</t>
  </si>
  <si>
    <t>F Pelagic gear</t>
  </si>
  <si>
    <t>F Demersal trawlers</t>
  </si>
  <si>
    <t>F Invertebrate fisheries</t>
  </si>
  <si>
    <t>F Shrimp trawlers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</si>
</sst>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FA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6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5" t="s">
        <v>171</v>
      </c>
      <c r="C53" s="108">
        <v>63</v>
      </c>
      <c r="D53" s="108"/>
    </row>
    <row r="54" spans="2:4" x14ac:dyDescent="0.15">
      <c r="B54" s="175" t="s">
        <v>172</v>
      </c>
      <c r="C54" s="175" t="s">
        <v>185</v>
      </c>
      <c r="D54" s="108"/>
    </row>
    <row r="55" spans="2:4" x14ac:dyDescent="0.15">
      <c r="B55" s="175" t="s">
        <v>173</v>
      </c>
      <c r="C55" s="175" t="s">
        <v>186</v>
      </c>
      <c r="D55" s="108"/>
    </row>
    <row r="56" spans="2:4" x14ac:dyDescent="0.15">
      <c r="B56" s="175" t="s">
        <v>174</v>
      </c>
      <c r="C56" s="108">
        <v>1400000</v>
      </c>
      <c r="D56" s="108"/>
    </row>
    <row r="57" spans="2:4" x14ac:dyDescent="0.15">
      <c r="B57" s="175" t="s">
        <v>175</v>
      </c>
      <c r="C57" s="175" t="s">
        <v>187</v>
      </c>
      <c r="D57" s="108"/>
    </row>
    <row r="58" spans="2:4" x14ac:dyDescent="0.15">
      <c r="B58" s="175" t="s">
        <v>176</v>
      </c>
      <c r="C58" s="175" t="s">
        <v>188</v>
      </c>
      <c r="D58" s="108"/>
    </row>
    <row r="59" spans="2:4" x14ac:dyDescent="0.15">
      <c r="B59" s="175" t="s">
        <v>177</v>
      </c>
      <c r="C59" s="175" t="s">
        <v>189</v>
      </c>
      <c r="D59" s="108"/>
    </row>
    <row r="60" spans="2:4" x14ac:dyDescent="0.15">
      <c r="B60" s="175" t="s">
        <v>178</v>
      </c>
      <c r="C60" s="175" t="s">
        <v>190</v>
      </c>
      <c r="D60" s="108"/>
    </row>
    <row r="61" spans="2:4" x14ac:dyDescent="0.15">
      <c r="B61" s="175" t="s">
        <v>179</v>
      </c>
      <c r="C61" s="108">
        <v>41</v>
      </c>
      <c r="D61" s="108"/>
    </row>
    <row r="62" spans="2:4" x14ac:dyDescent="0.15">
      <c r="B62" s="175" t="s">
        <v>180</v>
      </c>
      <c r="C62" s="108">
        <v>6</v>
      </c>
      <c r="D62" s="108"/>
    </row>
    <row r="63" spans="2:4" x14ac:dyDescent="0.15">
      <c r="B63" s="175" t="s">
        <v>181</v>
      </c>
      <c r="C63" s="108">
        <v>1990</v>
      </c>
      <c r="D63" s="108"/>
    </row>
    <row r="64" spans="2:4" x14ac:dyDescent="0.15">
      <c r="B64" s="175" t="s">
        <v>182</v>
      </c>
      <c r="C64" s="108">
        <v>0</v>
      </c>
      <c r="D64" s="108"/>
    </row>
    <row r="65" spans="2:4" x14ac:dyDescent="0.15">
      <c r="B65" s="175" t="s">
        <v>183</v>
      </c>
      <c r="C65" s="175" t="s">
        <v>191</v>
      </c>
      <c r="D65" s="108"/>
    </row>
    <row r="66" spans="2:4" x14ac:dyDescent="0.15">
      <c r="B66" s="175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D1"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32" style="80" bestFit="1" customWidth="1"/>
    <col min="6" max="6" width="2.33203125" style="80" bestFit="1" customWidth="1"/>
    <col min="7" max="7" width="12.83203125" style="80" bestFit="1" customWidth="1"/>
    <col min="8" max="8" width="10.83203125" style="80" customWidth="1"/>
    <col min="9" max="9" width="6.83203125" style="80" customWidth="1"/>
    <col min="10" max="10" width="12.83203125" style="80" customWidth="1"/>
    <col min="11" max="11" width="13.83203125" style="80" customWidth="1"/>
    <col min="12" max="12" width="2.33203125" style="80" customWidth="1"/>
    <col min="13" max="13" width="5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6" t="s">
        <v>192</v>
      </c>
      <c r="F2" s="80">
        <v>0</v>
      </c>
      <c r="G2" s="80">
        <v>1.779E-2</v>
      </c>
      <c r="H2" s="80">
        <v>0.02</v>
      </c>
      <c r="I2" s="6">
        <v>12.747999999999999</v>
      </c>
      <c r="J2" s="6">
        <v>0</v>
      </c>
      <c r="K2" s="6">
        <v>1.56887353E-3</v>
      </c>
      <c r="L2" s="6">
        <v>0</v>
      </c>
      <c r="M2" s="80">
        <v>0.112</v>
      </c>
      <c r="N2" s="80">
        <v>0</v>
      </c>
    </row>
    <row r="3" spans="1:46" ht="15" customHeight="1" x14ac:dyDescent="0.15">
      <c r="A3" s="1" t="s">
        <v>9</v>
      </c>
      <c r="B3" s="4">
        <v>38</v>
      </c>
      <c r="C3" s="80">
        <v>2</v>
      </c>
      <c r="D3"/>
      <c r="E3" s="176" t="s">
        <v>193</v>
      </c>
      <c r="F3" s="80">
        <v>0</v>
      </c>
      <c r="G3" s="80">
        <v>1.8117988500000001E-2</v>
      </c>
      <c r="H3" s="80">
        <v>0.15</v>
      </c>
      <c r="I3" s="80">
        <v>4.7699999999999996</v>
      </c>
      <c r="J3" s="80">
        <v>0.75</v>
      </c>
      <c r="K3" s="80">
        <v>3.1446542600000002E-2</v>
      </c>
      <c r="L3" s="80">
        <v>0</v>
      </c>
      <c r="M3" s="80">
        <v>0.112</v>
      </c>
      <c r="N3" s="80">
        <v>0</v>
      </c>
    </row>
    <row r="4" spans="1:46" ht="15" customHeight="1" x14ac:dyDescent="0.15">
      <c r="A4" s="1" t="s">
        <v>10</v>
      </c>
      <c r="B4" s="4">
        <v>3</v>
      </c>
      <c r="C4" s="80">
        <v>3</v>
      </c>
      <c r="D4"/>
      <c r="E4" s="176" t="s">
        <v>194</v>
      </c>
      <c r="F4" s="80">
        <v>0</v>
      </c>
      <c r="G4" s="80">
        <v>7.6600000000000001E-3</v>
      </c>
      <c r="H4" s="80">
        <v>1</v>
      </c>
      <c r="I4" s="80">
        <v>80</v>
      </c>
      <c r="J4" s="80">
        <v>0</v>
      </c>
      <c r="K4" s="80">
        <v>1.2500000000000001E-2</v>
      </c>
      <c r="L4" s="80">
        <v>0</v>
      </c>
      <c r="M4" s="80">
        <v>0.112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6</v>
      </c>
      <c r="C5" s="80">
        <v>4</v>
      </c>
      <c r="D5"/>
      <c r="E5" s="176" t="s">
        <v>195</v>
      </c>
      <c r="F5" s="80">
        <v>0</v>
      </c>
      <c r="G5" s="80">
        <v>0.111</v>
      </c>
      <c r="H5" s="80">
        <v>5.6000000000000001E-2</v>
      </c>
      <c r="I5" s="80">
        <v>13</v>
      </c>
      <c r="J5" s="80">
        <v>0.14556522699999999</v>
      </c>
      <c r="K5" s="80">
        <v>4.3076924000000003E-3</v>
      </c>
      <c r="L5" s="80">
        <v>0</v>
      </c>
      <c r="M5" s="80">
        <v>0.112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76" t="s">
        <v>196</v>
      </c>
      <c r="F6" s="80">
        <v>0</v>
      </c>
      <c r="G6" s="80">
        <v>0.13800000000000001</v>
      </c>
      <c r="H6" s="80">
        <v>0.7</v>
      </c>
      <c r="I6" s="80">
        <v>2</v>
      </c>
      <c r="J6" s="80">
        <v>0.287955344</v>
      </c>
      <c r="K6" s="80">
        <v>0.35</v>
      </c>
      <c r="L6" s="80">
        <v>0</v>
      </c>
      <c r="M6" s="80">
        <v>0.112</v>
      </c>
      <c r="N6" s="80">
        <v>0</v>
      </c>
      <c r="P6" s="70"/>
      <c r="Q6" s="70"/>
      <c r="R6" s="70"/>
      <c r="W6" s="34" t="s">
        <v>31</v>
      </c>
      <c r="X6" s="50">
        <f>MAX(MainOutputs!G:G)</f>
        <v>0.99000030755996704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337</v>
      </c>
      <c r="C7" s="80">
        <v>6</v>
      </c>
      <c r="D7"/>
      <c r="E7" s="176" t="s">
        <v>197</v>
      </c>
      <c r="F7" s="80">
        <v>0</v>
      </c>
      <c r="G7" s="80">
        <v>0.62629999999999997</v>
      </c>
      <c r="H7" s="80">
        <v>0.49</v>
      </c>
      <c r="I7" s="80">
        <v>2</v>
      </c>
      <c r="J7" s="80">
        <v>0.79295040000000006</v>
      </c>
      <c r="K7" s="80">
        <v>0.245</v>
      </c>
      <c r="L7" s="80">
        <v>0</v>
      </c>
      <c r="M7" s="80">
        <v>0.112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82</v>
      </c>
      <c r="C8" s="80">
        <v>7</v>
      </c>
      <c r="D8"/>
      <c r="E8" s="176" t="s">
        <v>198</v>
      </c>
      <c r="F8" s="80">
        <v>0</v>
      </c>
      <c r="G8" s="80">
        <v>0.15941</v>
      </c>
      <c r="H8" s="80">
        <v>3.5000000000000003E-2</v>
      </c>
      <c r="I8" s="80">
        <v>8.14</v>
      </c>
      <c r="J8" s="80">
        <v>5.8429747800000001E-2</v>
      </c>
      <c r="K8" s="80">
        <v>4.29975428E-3</v>
      </c>
      <c r="L8" s="80">
        <v>0</v>
      </c>
      <c r="M8" s="80">
        <v>0.112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76" t="s">
        <v>199</v>
      </c>
      <c r="F9" s="80">
        <v>0</v>
      </c>
      <c r="G9" s="80">
        <v>0.57806223599999995</v>
      </c>
      <c r="H9" s="80">
        <v>0.62</v>
      </c>
      <c r="I9" s="80">
        <v>2.6539999999999999</v>
      </c>
      <c r="J9" s="80">
        <v>0.99</v>
      </c>
      <c r="K9" s="80">
        <v>0.233609647</v>
      </c>
      <c r="L9" s="80">
        <v>0</v>
      </c>
      <c r="M9" s="80">
        <v>0.112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76" t="s">
        <v>200</v>
      </c>
      <c r="F10" s="80">
        <v>0</v>
      </c>
      <c r="G10" s="80">
        <v>0.11172</v>
      </c>
      <c r="H10" s="80">
        <v>0.02</v>
      </c>
      <c r="I10" s="80">
        <v>12.89</v>
      </c>
      <c r="J10" s="80">
        <v>0</v>
      </c>
      <c r="K10" s="80">
        <v>1.55159028E-3</v>
      </c>
      <c r="L10" s="80">
        <v>0</v>
      </c>
      <c r="M10" s="80">
        <v>0.112</v>
      </c>
      <c r="N10" s="80">
        <v>0</v>
      </c>
    </row>
    <row r="11" spans="1:46" ht="15" customHeight="1" x14ac:dyDescent="0.15">
      <c r="C11" s="80">
        <v>10</v>
      </c>
      <c r="D11"/>
      <c r="E11" s="176" t="s">
        <v>201</v>
      </c>
      <c r="F11" s="80">
        <v>0</v>
      </c>
      <c r="G11" s="80">
        <v>0.14560000000000001</v>
      </c>
      <c r="H11" s="80">
        <v>1.27382946</v>
      </c>
      <c r="I11" s="80">
        <v>2.9380000000000002</v>
      </c>
      <c r="J11" s="80">
        <v>0.99</v>
      </c>
      <c r="K11" s="80">
        <v>0.43357026599999998</v>
      </c>
      <c r="L11" s="80">
        <v>0</v>
      </c>
      <c r="M11" s="80">
        <v>0.112</v>
      </c>
      <c r="N11" s="80">
        <v>0</v>
      </c>
    </row>
    <row r="12" spans="1:46" ht="15" customHeight="1" x14ac:dyDescent="0.15">
      <c r="C12" s="80">
        <v>11</v>
      </c>
      <c r="D12"/>
      <c r="E12" s="176" t="s">
        <v>202</v>
      </c>
      <c r="F12" s="80">
        <v>0</v>
      </c>
      <c r="G12" s="80">
        <v>0.18</v>
      </c>
      <c r="H12" s="80">
        <v>0.52</v>
      </c>
      <c r="I12" s="80">
        <v>2.27</v>
      </c>
      <c r="J12" s="80">
        <v>0.37618040000000003</v>
      </c>
      <c r="K12" s="80">
        <v>0.22907488000000001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6" t="s">
        <v>203</v>
      </c>
      <c r="F13" s="80">
        <v>0</v>
      </c>
      <c r="G13" s="80">
        <v>0.13183352400000001</v>
      </c>
      <c r="H13" s="80">
        <v>0.6</v>
      </c>
      <c r="I13" s="80">
        <v>4</v>
      </c>
      <c r="J13" s="80">
        <v>0.99</v>
      </c>
      <c r="K13" s="80">
        <v>0.15</v>
      </c>
      <c r="L13" s="80">
        <v>0</v>
      </c>
      <c r="M13" s="80">
        <v>0.112</v>
      </c>
      <c r="N13" s="80">
        <v>0</v>
      </c>
    </row>
    <row r="14" spans="1:46" ht="15" customHeight="1" x14ac:dyDescent="0.15">
      <c r="C14" s="80">
        <v>13</v>
      </c>
      <c r="D14"/>
      <c r="E14" s="176" t="s">
        <v>204</v>
      </c>
      <c r="F14" s="80">
        <v>0</v>
      </c>
      <c r="G14" s="80">
        <v>0.25353819999999999</v>
      </c>
      <c r="H14" s="80">
        <v>1.5</v>
      </c>
      <c r="I14" s="80">
        <v>3.5</v>
      </c>
      <c r="J14" s="80">
        <v>0.99</v>
      </c>
      <c r="K14" s="80">
        <v>0.428571433</v>
      </c>
      <c r="L14" s="80">
        <v>0</v>
      </c>
      <c r="M14" s="80">
        <v>0.112</v>
      </c>
      <c r="N14" s="80">
        <v>0</v>
      </c>
    </row>
    <row r="15" spans="1:46" ht="15" customHeight="1" x14ac:dyDescent="0.15">
      <c r="C15" s="80">
        <v>14</v>
      </c>
      <c r="D15"/>
      <c r="E15" s="176" t="s">
        <v>205</v>
      </c>
      <c r="F15" s="80">
        <v>0</v>
      </c>
      <c r="G15" s="80">
        <v>2.2964869999999998E-2</v>
      </c>
      <c r="H15" s="80">
        <v>0.45</v>
      </c>
      <c r="I15" s="80">
        <v>1.77</v>
      </c>
      <c r="J15" s="80">
        <v>0.95</v>
      </c>
      <c r="K15" s="80">
        <v>0.2542373</v>
      </c>
      <c r="L15" s="80">
        <v>0</v>
      </c>
      <c r="M15" s="80">
        <v>0.112</v>
      </c>
      <c r="N15" s="80">
        <v>0</v>
      </c>
    </row>
    <row r="16" spans="1:46" ht="15" customHeight="1" x14ac:dyDescent="0.15">
      <c r="C16" s="80">
        <v>15</v>
      </c>
      <c r="D16"/>
      <c r="E16" s="176" t="s">
        <v>206</v>
      </c>
      <c r="F16" s="80">
        <v>0</v>
      </c>
      <c r="G16" s="80">
        <v>8.5980000000000001E-2</v>
      </c>
      <c r="H16" s="80">
        <v>0.62</v>
      </c>
      <c r="I16" s="80">
        <v>2.3149999999999999</v>
      </c>
      <c r="J16" s="80">
        <v>0.47176370000000001</v>
      </c>
      <c r="K16" s="80">
        <v>0.26781856999999998</v>
      </c>
      <c r="L16" s="80">
        <v>0</v>
      </c>
      <c r="M16" s="80">
        <v>0.112</v>
      </c>
      <c r="N16" s="80">
        <v>0</v>
      </c>
    </row>
    <row r="17" spans="1:22" ht="15" customHeight="1" x14ac:dyDescent="0.15">
      <c r="C17" s="80">
        <v>16</v>
      </c>
      <c r="D17"/>
      <c r="E17" s="176" t="s">
        <v>207</v>
      </c>
      <c r="F17" s="80">
        <v>0</v>
      </c>
      <c r="G17" s="80">
        <v>0.15974780899999999</v>
      </c>
      <c r="H17" s="80">
        <v>1.5</v>
      </c>
      <c r="I17" s="80">
        <v>3.5</v>
      </c>
      <c r="J17" s="80">
        <v>0.99</v>
      </c>
      <c r="K17" s="80">
        <v>0.428571433</v>
      </c>
      <c r="L17" s="80">
        <v>0</v>
      </c>
      <c r="M17" s="80">
        <v>0.112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6" t="s">
        <v>208</v>
      </c>
      <c r="F18" s="80">
        <v>0</v>
      </c>
      <c r="G18" s="80">
        <v>0.53219085899999996</v>
      </c>
      <c r="H18" s="80">
        <v>0.7</v>
      </c>
      <c r="I18" s="80">
        <v>2.633</v>
      </c>
      <c r="J18" s="80">
        <v>0.99</v>
      </c>
      <c r="K18" s="80">
        <v>0.265856445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6" t="s">
        <v>209</v>
      </c>
      <c r="F19" s="80">
        <v>0</v>
      </c>
      <c r="G19" s="80">
        <v>0.35223612199999998</v>
      </c>
      <c r="H19" s="80">
        <v>0.5</v>
      </c>
      <c r="I19" s="80">
        <v>2</v>
      </c>
      <c r="J19" s="80">
        <v>0.99</v>
      </c>
      <c r="K19" s="80">
        <v>0.25</v>
      </c>
      <c r="L19" s="80">
        <v>0</v>
      </c>
      <c r="M19" s="80">
        <v>0.112</v>
      </c>
      <c r="N19" s="80">
        <v>0</v>
      </c>
    </row>
    <row r="20" spans="1:22" ht="15" customHeight="1" thickBot="1" x14ac:dyDescent="0.2">
      <c r="C20" s="80">
        <v>19</v>
      </c>
      <c r="D20"/>
      <c r="E20" s="176" t="s">
        <v>210</v>
      </c>
      <c r="F20" s="80">
        <v>0</v>
      </c>
      <c r="G20" s="80">
        <v>1.869</v>
      </c>
      <c r="H20" s="80">
        <v>1</v>
      </c>
      <c r="I20" s="80">
        <v>4.7</v>
      </c>
      <c r="J20" s="80">
        <v>0.79214660000000003</v>
      </c>
      <c r="K20" s="80">
        <v>0.212765962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5" t="s">
        <v>137</v>
      </c>
      <c r="B21" s="98"/>
      <c r="C21" s="80">
        <v>20</v>
      </c>
      <c r="D21"/>
      <c r="E21" s="176" t="s">
        <v>211</v>
      </c>
      <c r="F21" s="80">
        <v>0</v>
      </c>
      <c r="G21" s="80">
        <v>0.108768605</v>
      </c>
      <c r="H21" s="80">
        <v>1.4</v>
      </c>
      <c r="I21" s="80">
        <v>10</v>
      </c>
      <c r="J21" s="80">
        <v>0.99</v>
      </c>
      <c r="K21" s="80">
        <v>0.14000000000000001</v>
      </c>
      <c r="L21" s="80">
        <v>0</v>
      </c>
      <c r="M21" s="80">
        <v>0.112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6" t="s">
        <v>212</v>
      </c>
      <c r="F22" s="80">
        <v>0</v>
      </c>
      <c r="G22" s="80">
        <v>0.74271450000000006</v>
      </c>
      <c r="H22" s="80">
        <v>0.30969999999999998</v>
      </c>
      <c r="I22" s="80">
        <v>3.214</v>
      </c>
      <c r="J22" s="80">
        <v>0.95</v>
      </c>
      <c r="K22" s="80">
        <v>9.6359680000000003E-2</v>
      </c>
      <c r="L22" s="80">
        <v>0</v>
      </c>
      <c r="M22" s="80">
        <v>0.112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6" t="s">
        <v>213</v>
      </c>
      <c r="F23" s="80">
        <v>0</v>
      </c>
      <c r="G23" s="80">
        <v>0.10338681199999999</v>
      </c>
      <c r="H23" s="80">
        <v>2</v>
      </c>
      <c r="I23" s="80">
        <v>6</v>
      </c>
      <c r="J23" s="80">
        <v>0.95</v>
      </c>
      <c r="K23" s="80">
        <v>0.333333343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6" t="s">
        <v>214</v>
      </c>
      <c r="F24" s="80">
        <v>0</v>
      </c>
      <c r="G24" s="80">
        <v>1.09750247</v>
      </c>
      <c r="H24" s="80">
        <v>0.65700000000000003</v>
      </c>
      <c r="I24" s="80">
        <v>5.4649999999999999</v>
      </c>
      <c r="J24" s="80">
        <v>0.99</v>
      </c>
      <c r="K24" s="80">
        <v>0.120219573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6" t="s">
        <v>215</v>
      </c>
      <c r="F25" s="80">
        <v>0</v>
      </c>
      <c r="G25" s="80">
        <v>0.74439999999999995</v>
      </c>
      <c r="H25" s="80">
        <v>0.53</v>
      </c>
      <c r="I25" s="80">
        <v>4.84</v>
      </c>
      <c r="J25" s="80">
        <v>0.72848623999999995</v>
      </c>
      <c r="K25" s="80">
        <v>0.10950412599999999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6" t="s">
        <v>216</v>
      </c>
      <c r="F26" s="80">
        <v>0</v>
      </c>
      <c r="G26" s="80">
        <v>2.2959999999999998</v>
      </c>
      <c r="H26" s="80">
        <v>2</v>
      </c>
      <c r="I26" s="80">
        <v>9.4</v>
      </c>
      <c r="J26" s="80">
        <v>0.251675278</v>
      </c>
      <c r="K26" s="80">
        <v>0.212765962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6" t="s">
        <v>217</v>
      </c>
      <c r="F27" s="80">
        <v>0</v>
      </c>
      <c r="G27" s="80">
        <v>0.66862410000000005</v>
      </c>
      <c r="H27" s="80">
        <v>1.5</v>
      </c>
      <c r="I27" s="80">
        <v>9.6839999999999993</v>
      </c>
      <c r="J27" s="80">
        <v>0.99</v>
      </c>
      <c r="K27" s="80">
        <v>0.15489466499999999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6" t="s">
        <v>218</v>
      </c>
      <c r="F28" s="80">
        <v>0</v>
      </c>
      <c r="G28" s="80">
        <v>13.2352943</v>
      </c>
      <c r="H28" s="80">
        <v>2.5</v>
      </c>
      <c r="I28" s="80">
        <v>12.5</v>
      </c>
      <c r="J28" s="80">
        <v>0.53130924700000004</v>
      </c>
      <c r="K28" s="80">
        <v>0.2</v>
      </c>
      <c r="L28" s="80">
        <v>0</v>
      </c>
      <c r="M28" s="80">
        <v>0.35</v>
      </c>
      <c r="N28" s="80">
        <v>0</v>
      </c>
    </row>
    <row r="29" spans="1:22" customFormat="1" ht="15" customHeight="1" x14ac:dyDescent="0.15">
      <c r="C29" s="80">
        <v>28</v>
      </c>
      <c r="E29" s="176" t="s">
        <v>219</v>
      </c>
      <c r="F29" s="80">
        <v>0</v>
      </c>
      <c r="G29" s="80">
        <v>6</v>
      </c>
      <c r="H29" s="80">
        <v>8</v>
      </c>
      <c r="I29" s="80">
        <v>20</v>
      </c>
      <c r="J29" s="80">
        <v>0.49176692999999999</v>
      </c>
      <c r="K29" s="80">
        <v>0.4</v>
      </c>
      <c r="L29" s="80">
        <v>0</v>
      </c>
      <c r="M29" s="80">
        <v>0.18</v>
      </c>
      <c r="N29" s="80">
        <v>0</v>
      </c>
    </row>
    <row r="30" spans="1:22" customFormat="1" ht="15" customHeight="1" x14ac:dyDescent="0.15">
      <c r="C30" s="80">
        <v>29</v>
      </c>
      <c r="E30" s="176" t="s">
        <v>220</v>
      </c>
      <c r="F30" s="80">
        <v>0</v>
      </c>
      <c r="G30" s="80">
        <v>20</v>
      </c>
      <c r="H30" s="80">
        <v>1.58</v>
      </c>
      <c r="I30" s="80">
        <v>5.77</v>
      </c>
      <c r="J30" s="80">
        <v>0.29514434899999997</v>
      </c>
      <c r="K30" s="80">
        <v>0.27383017500000001</v>
      </c>
      <c r="L30" s="80">
        <v>0</v>
      </c>
      <c r="M30" s="80">
        <v>0.35</v>
      </c>
      <c r="N30" s="80">
        <v>0</v>
      </c>
    </row>
    <row r="31" spans="1:22" customFormat="1" ht="15" customHeight="1" x14ac:dyDescent="0.15">
      <c r="C31" s="80">
        <v>30</v>
      </c>
      <c r="E31" s="176" t="s">
        <v>221</v>
      </c>
      <c r="F31" s="80">
        <v>0</v>
      </c>
      <c r="G31" s="80">
        <v>0.99816970000000005</v>
      </c>
      <c r="H31" s="80">
        <v>1.48</v>
      </c>
      <c r="I31" s="80">
        <v>7.69</v>
      </c>
      <c r="J31" s="80">
        <v>0.95</v>
      </c>
      <c r="K31" s="80">
        <v>0.19245773599999999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76" t="s">
        <v>222</v>
      </c>
      <c r="F32" s="80">
        <v>0</v>
      </c>
      <c r="G32" s="80">
        <v>0.23426089999999999</v>
      </c>
      <c r="H32" s="80">
        <v>1.7</v>
      </c>
      <c r="I32" s="80">
        <v>9.67</v>
      </c>
      <c r="J32" s="80">
        <v>0.99</v>
      </c>
      <c r="K32" s="80">
        <v>0.17580145599999999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76" t="s">
        <v>223</v>
      </c>
      <c r="F33" s="80">
        <v>0</v>
      </c>
      <c r="G33" s="80">
        <v>20</v>
      </c>
      <c r="H33" s="80">
        <v>1.37</v>
      </c>
      <c r="I33" s="80">
        <v>11</v>
      </c>
      <c r="J33" s="80">
        <v>0.69710195100000005</v>
      </c>
      <c r="K33" s="80">
        <v>0.124545455</v>
      </c>
      <c r="L33" s="80">
        <v>0</v>
      </c>
      <c r="M33" s="80">
        <v>0.35</v>
      </c>
      <c r="N33" s="80">
        <v>0</v>
      </c>
    </row>
    <row r="34" spans="3:14" customFormat="1" ht="15" customHeight="1" x14ac:dyDescent="0.15">
      <c r="C34" s="80">
        <v>33</v>
      </c>
      <c r="E34" s="176" t="s">
        <v>224</v>
      </c>
      <c r="F34" s="80">
        <v>0</v>
      </c>
      <c r="G34" s="80">
        <v>9.733466</v>
      </c>
      <c r="H34" s="80">
        <v>19</v>
      </c>
      <c r="I34" s="80">
        <v>47.5</v>
      </c>
      <c r="J34" s="80">
        <v>0.99</v>
      </c>
      <c r="K34" s="80">
        <v>0.4</v>
      </c>
      <c r="L34" s="80">
        <v>0</v>
      </c>
      <c r="M34" s="80">
        <v>0.18</v>
      </c>
      <c r="N34" s="80">
        <v>0</v>
      </c>
    </row>
    <row r="35" spans="3:14" customFormat="1" ht="15" customHeight="1" x14ac:dyDescent="0.15">
      <c r="C35" s="80">
        <v>34</v>
      </c>
      <c r="E35" s="176" t="s">
        <v>225</v>
      </c>
      <c r="F35" s="80">
        <v>0</v>
      </c>
      <c r="G35" s="80">
        <v>15</v>
      </c>
      <c r="H35" s="80">
        <v>9</v>
      </c>
      <c r="I35" s="80">
        <v>25</v>
      </c>
      <c r="J35" s="80">
        <v>0.73531809999999997</v>
      </c>
      <c r="K35" s="80">
        <v>0.36</v>
      </c>
      <c r="L35" s="80">
        <v>0</v>
      </c>
      <c r="M35" s="80">
        <v>0.18</v>
      </c>
      <c r="N35" s="80">
        <v>0</v>
      </c>
    </row>
    <row r="36" spans="3:14" customFormat="1" ht="15" customHeight="1" x14ac:dyDescent="0.15">
      <c r="C36" s="80">
        <v>35</v>
      </c>
      <c r="E36" s="176" t="s">
        <v>226</v>
      </c>
      <c r="F36" s="80">
        <v>0</v>
      </c>
      <c r="G36" s="80">
        <v>1.1885303300000001</v>
      </c>
      <c r="H36" s="80">
        <v>150</v>
      </c>
      <c r="I36" s="80">
        <v>375</v>
      </c>
      <c r="J36" s="80">
        <v>0.99</v>
      </c>
      <c r="K36" s="80">
        <v>0.4</v>
      </c>
      <c r="L36" s="80">
        <v>0</v>
      </c>
      <c r="M36" s="80">
        <v>0.18</v>
      </c>
      <c r="N36" s="80">
        <v>0</v>
      </c>
    </row>
    <row r="37" spans="3:14" customFormat="1" ht="15" customHeight="1" x14ac:dyDescent="0.15">
      <c r="C37" s="80">
        <v>36</v>
      </c>
      <c r="E37" s="176" t="s">
        <v>227</v>
      </c>
      <c r="F37" s="80">
        <v>0</v>
      </c>
      <c r="G37" s="80">
        <v>1.1256823499999999</v>
      </c>
      <c r="H37" s="80">
        <v>150</v>
      </c>
      <c r="I37" s="80">
        <v>375</v>
      </c>
      <c r="J37" s="80">
        <v>0.99</v>
      </c>
      <c r="K37" s="80">
        <v>0.4</v>
      </c>
      <c r="L37" s="80">
        <v>0</v>
      </c>
      <c r="M37" s="80">
        <v>0.18</v>
      </c>
      <c r="N37" s="80">
        <v>0</v>
      </c>
    </row>
    <row r="38" spans="3:14" customFormat="1" ht="15" customHeight="1" x14ac:dyDescent="0.15">
      <c r="C38" s="80">
        <v>37</v>
      </c>
      <c r="E38" s="176" t="s">
        <v>228</v>
      </c>
      <c r="F38" s="80">
        <v>1</v>
      </c>
      <c r="G38" s="80">
        <v>20</v>
      </c>
      <c r="H38" s="80">
        <v>55</v>
      </c>
      <c r="I38" s="80">
        <v>0</v>
      </c>
      <c r="J38" s="80">
        <v>0.28839895100000001</v>
      </c>
      <c r="K38" s="80">
        <v>0</v>
      </c>
      <c r="L38" s="80">
        <v>0</v>
      </c>
      <c r="M38" s="80">
        <v>0</v>
      </c>
      <c r="N38" s="80">
        <v>0</v>
      </c>
    </row>
    <row r="39" spans="3:14" customFormat="1" ht="15" customHeight="1" x14ac:dyDescent="0.15">
      <c r="C39" s="80">
        <v>38</v>
      </c>
      <c r="E39" s="176" t="s">
        <v>229</v>
      </c>
      <c r="F39" s="80">
        <v>1</v>
      </c>
      <c r="G39" s="80">
        <v>1.8571429E-2</v>
      </c>
      <c r="H39" s="80">
        <v>2</v>
      </c>
      <c r="I39" s="80">
        <v>0</v>
      </c>
      <c r="J39" s="80">
        <v>0.227947131</v>
      </c>
      <c r="K39" s="80">
        <v>0</v>
      </c>
      <c r="L39" s="80">
        <v>0</v>
      </c>
      <c r="M39" s="80">
        <v>0</v>
      </c>
      <c r="N39" s="80">
        <v>0</v>
      </c>
    </row>
    <row r="40" spans="3:14" customFormat="1" ht="15" customHeight="1" x14ac:dyDescent="0.15">
      <c r="C40" s="80">
        <v>39</v>
      </c>
      <c r="E40" s="176" t="s">
        <v>230</v>
      </c>
      <c r="F40" s="80">
        <v>2</v>
      </c>
      <c r="G40" s="80">
        <v>0</v>
      </c>
      <c r="H40" s="80">
        <v>0</v>
      </c>
      <c r="I40" s="80">
        <v>0</v>
      </c>
      <c r="J40" s="80">
        <v>0.97484606500000004</v>
      </c>
      <c r="K40" s="80">
        <v>0</v>
      </c>
      <c r="L40" s="80">
        <v>0</v>
      </c>
      <c r="M40" s="80">
        <v>0.2</v>
      </c>
      <c r="N40" s="80">
        <v>0</v>
      </c>
    </row>
    <row r="41" spans="3:14" customFormat="1" ht="15" customHeight="1" x14ac:dyDescent="0.15">
      <c r="C41" s="80">
        <v>40</v>
      </c>
      <c r="E41" s="176" t="s">
        <v>231</v>
      </c>
      <c r="F41" s="80">
        <v>2</v>
      </c>
      <c r="G41" s="80">
        <v>50</v>
      </c>
      <c r="H41" s="80">
        <v>0</v>
      </c>
      <c r="I41" s="80">
        <v>0</v>
      </c>
      <c r="J41" s="80">
        <v>0.66900444000000003</v>
      </c>
      <c r="K41" s="80">
        <v>0</v>
      </c>
      <c r="L41" s="80">
        <v>0</v>
      </c>
      <c r="M41" s="80">
        <v>0.2</v>
      </c>
      <c r="N41" s="80">
        <v>0</v>
      </c>
    </row>
    <row r="42" spans="3:14" customFormat="1" ht="15" customHeight="1" x14ac:dyDescent="0.15">
      <c r="C42" s="80">
        <v>41</v>
      </c>
      <c r="E42" s="176" t="s">
        <v>232</v>
      </c>
      <c r="F42" s="80">
        <v>2</v>
      </c>
      <c r="G42" s="80">
        <v>50</v>
      </c>
      <c r="H42" s="80">
        <v>0</v>
      </c>
      <c r="I42" s="80">
        <v>0</v>
      </c>
      <c r="J42" s="80">
        <v>0.9547158</v>
      </c>
      <c r="K42" s="80">
        <v>0</v>
      </c>
      <c r="L42" s="80">
        <v>0</v>
      </c>
      <c r="M42" s="80">
        <v>0.2</v>
      </c>
      <c r="N42" s="80">
        <v>0</v>
      </c>
    </row>
    <row r="43" spans="3:14" customFormat="1" ht="15" customHeight="1" x14ac:dyDescent="0.15">
      <c r="C43" s="80">
        <v>42</v>
      </c>
      <c r="E43" s="176" t="s">
        <v>233</v>
      </c>
      <c r="F43" s="80">
        <v>3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</v>
      </c>
      <c r="N43" s="80">
        <v>0</v>
      </c>
    </row>
    <row r="44" spans="3:14" customFormat="1" ht="15" customHeight="1" x14ac:dyDescent="0.15">
      <c r="C44" s="80">
        <v>43</v>
      </c>
      <c r="E44" s="176" t="s">
        <v>234</v>
      </c>
      <c r="F44" s="80">
        <v>3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0</v>
      </c>
      <c r="M44" s="80">
        <v>0</v>
      </c>
      <c r="N44" s="80">
        <v>0</v>
      </c>
    </row>
    <row r="45" spans="3:14" customFormat="1" ht="15" customHeight="1" x14ac:dyDescent="0.15">
      <c r="C45" s="80">
        <v>44</v>
      </c>
      <c r="E45" s="176" t="s">
        <v>235</v>
      </c>
      <c r="F45" s="80">
        <v>3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0</v>
      </c>
      <c r="M45" s="80">
        <v>0</v>
      </c>
      <c r="N45" s="80">
        <v>0</v>
      </c>
    </row>
    <row r="46" spans="3:14" customFormat="1" ht="15" customHeight="1" x14ac:dyDescent="0.15">
      <c r="C46" s="80">
        <v>45</v>
      </c>
      <c r="E46" s="176" t="s">
        <v>236</v>
      </c>
      <c r="F46" s="80">
        <v>3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>
      <c r="C47" s="80">
        <v>46</v>
      </c>
      <c r="E47" s="176" t="s">
        <v>237</v>
      </c>
      <c r="F47" s="80">
        <v>3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0</v>
      </c>
      <c r="M47" s="80">
        <v>0</v>
      </c>
      <c r="N47" s="80">
        <v>0</v>
      </c>
    </row>
    <row r="48" spans="3:14" customFormat="1" ht="15" customHeight="1" x14ac:dyDescent="0.15">
      <c r="C48" s="80">
        <v>47</v>
      </c>
      <c r="E48" s="176" t="s">
        <v>238</v>
      </c>
      <c r="F48" s="80">
        <v>3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</row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P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2" style="141" bestFit="1" customWidth="1"/>
    <col min="2" max="4" width="14.83203125" style="141" bestFit="1" customWidth="1"/>
    <col min="5" max="5" width="13.83203125" style="141" bestFit="1" customWidth="1"/>
    <col min="6" max="6" width="14.83203125" style="141" bestFit="1" customWidth="1"/>
    <col min="7" max="7" width="15.83203125" style="141" bestFit="1" customWidth="1"/>
    <col min="8" max="8" width="13.83203125" style="141" bestFit="1" customWidth="1"/>
    <col min="9" max="9" width="15.83203125" style="141" bestFit="1" customWidth="1"/>
    <col min="10" max="10" width="5.83203125" style="141" bestFit="1" customWidth="1"/>
    <col min="11" max="11" width="14.83203125" style="141" bestFit="1" customWidth="1"/>
    <col min="12" max="12" width="13.83203125" style="141" bestFit="1" customWidth="1"/>
    <col min="13" max="13" width="4.83203125" style="141" bestFit="1" customWidth="1"/>
    <col min="14" max="17" width="14.83203125" style="141" bestFit="1" customWidth="1"/>
    <col min="18" max="18" width="6.83203125" style="141" bestFit="1" customWidth="1"/>
    <col min="19" max="19" width="14.83203125" style="141" bestFit="1" customWidth="1"/>
    <col min="20" max="20" width="12.83203125" style="141" bestFit="1" customWidth="1"/>
    <col min="21" max="23" width="4.83203125" style="141" bestFit="1" customWidth="1"/>
    <col min="24" max="24" width="13.83203125" style="141" bestFit="1" customWidth="1"/>
    <col min="25" max="25" width="4.83203125" style="141" bestFit="1" customWidth="1"/>
    <col min="26" max="26" width="13.83203125" style="141" bestFit="1" customWidth="1"/>
    <col min="27" max="28" width="4.83203125" style="141" bestFit="1" customWidth="1"/>
    <col min="29" max="29" width="13.83203125" style="141" bestFit="1" customWidth="1"/>
    <col min="30" max="31" width="4.83203125" style="141" customWidth="1"/>
    <col min="32" max="32" width="13.83203125" style="141" customWidth="1"/>
    <col min="33" max="33" width="3.83203125" style="141" customWidth="1"/>
    <col min="34" max="34" width="15.83203125" style="141" customWidth="1"/>
    <col min="35" max="35" width="4.83203125" style="141" customWidth="1"/>
    <col min="36" max="37" width="5.83203125" style="141" customWidth="1"/>
    <col min="38" max="42" width="2.33203125" style="141" customWidth="1"/>
    <col min="43" max="16384" width="8.83203125" style="141"/>
  </cols>
  <sheetData>
    <row r="1" spans="1:42" x14ac:dyDescent="0.15">
      <c r="A1" s="140" t="s">
        <v>19</v>
      </c>
      <c r="B1" s="178" t="s">
        <v>192</v>
      </c>
      <c r="C1" s="178" t="s">
        <v>193</v>
      </c>
      <c r="D1" s="178" t="s">
        <v>194</v>
      </c>
      <c r="E1" s="178" t="s">
        <v>195</v>
      </c>
      <c r="F1" s="178" t="s">
        <v>196</v>
      </c>
      <c r="G1" s="178" t="s">
        <v>197</v>
      </c>
      <c r="H1" s="178" t="s">
        <v>198</v>
      </c>
      <c r="I1" s="178" t="s">
        <v>199</v>
      </c>
      <c r="J1" s="178" t="s">
        <v>200</v>
      </c>
      <c r="K1" s="178" t="s">
        <v>201</v>
      </c>
      <c r="L1" s="178" t="s">
        <v>202</v>
      </c>
      <c r="M1" s="178" t="s">
        <v>203</v>
      </c>
      <c r="N1" s="178" t="s">
        <v>204</v>
      </c>
      <c r="O1" s="178" t="s">
        <v>205</v>
      </c>
      <c r="P1" s="178" t="s">
        <v>206</v>
      </c>
      <c r="Q1" s="178" t="s">
        <v>207</v>
      </c>
      <c r="R1" s="178" t="s">
        <v>208</v>
      </c>
      <c r="S1" s="178" t="s">
        <v>209</v>
      </c>
      <c r="T1" s="178" t="s">
        <v>210</v>
      </c>
      <c r="U1" s="178" t="s">
        <v>211</v>
      </c>
      <c r="V1" s="178" t="s">
        <v>212</v>
      </c>
      <c r="W1" s="178" t="s">
        <v>213</v>
      </c>
      <c r="X1" s="178" t="s">
        <v>214</v>
      </c>
      <c r="Y1" s="178" t="s">
        <v>215</v>
      </c>
      <c r="Z1" s="178" t="s">
        <v>216</v>
      </c>
      <c r="AA1" s="178" t="s">
        <v>217</v>
      </c>
      <c r="AB1" s="178" t="s">
        <v>218</v>
      </c>
      <c r="AC1" s="178" t="s">
        <v>219</v>
      </c>
      <c r="AD1" s="178" t="s">
        <v>220</v>
      </c>
      <c r="AE1" s="178" t="s">
        <v>221</v>
      </c>
      <c r="AF1" s="178" t="s">
        <v>222</v>
      </c>
      <c r="AG1" s="178" t="s">
        <v>223</v>
      </c>
      <c r="AH1" s="178" t="s">
        <v>224</v>
      </c>
      <c r="AI1" s="178" t="s">
        <v>225</v>
      </c>
      <c r="AJ1" s="178" t="s">
        <v>226</v>
      </c>
      <c r="AK1" s="178" t="s">
        <v>227</v>
      </c>
      <c r="AL1" s="178" t="s">
        <v>228</v>
      </c>
      <c r="AM1" s="178" t="s">
        <v>229</v>
      </c>
      <c r="AN1" s="178" t="s">
        <v>230</v>
      </c>
      <c r="AO1" s="178" t="s">
        <v>231</v>
      </c>
      <c r="AP1" s="178" t="s">
        <v>232</v>
      </c>
    </row>
    <row r="2" spans="1:42" customFormat="1" x14ac:dyDescent="0.15">
      <c r="A2" s="177" t="s">
        <v>192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  <c r="AJ2" s="141">
        <v>0</v>
      </c>
      <c r="AK2" s="141">
        <v>0</v>
      </c>
      <c r="AL2" s="141">
        <v>0</v>
      </c>
      <c r="AM2" s="141">
        <v>0</v>
      </c>
      <c r="AN2" s="141">
        <v>0</v>
      </c>
      <c r="AO2" s="141">
        <v>0</v>
      </c>
      <c r="AP2" s="141">
        <v>0</v>
      </c>
    </row>
    <row r="3" spans="1:42" customFormat="1" x14ac:dyDescent="0.15">
      <c r="A3" s="177" t="s">
        <v>193</v>
      </c>
      <c r="B3" s="141">
        <v>0</v>
      </c>
      <c r="C3" s="141">
        <v>5.0035024956469479E-3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9.997000626212121E-4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  <c r="AI3" s="141">
        <v>0</v>
      </c>
      <c r="AJ3" s="141">
        <v>0</v>
      </c>
      <c r="AK3" s="141">
        <v>0</v>
      </c>
      <c r="AL3" s="141">
        <v>0</v>
      </c>
      <c r="AM3" s="141">
        <v>0</v>
      </c>
      <c r="AN3" s="141">
        <v>0</v>
      </c>
      <c r="AO3" s="141">
        <v>0</v>
      </c>
      <c r="AP3" s="141">
        <v>0</v>
      </c>
    </row>
    <row r="4" spans="1:42" customFormat="1" x14ac:dyDescent="0.15">
      <c r="A4" s="177" t="s">
        <v>194</v>
      </c>
      <c r="B4" s="141">
        <v>0</v>
      </c>
      <c r="C4" s="141">
        <v>0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  <c r="AI4" s="141">
        <v>0</v>
      </c>
      <c r="AJ4" s="141">
        <v>0</v>
      </c>
      <c r="AK4" s="141">
        <v>0</v>
      </c>
      <c r="AL4" s="141">
        <v>0</v>
      </c>
      <c r="AM4" s="141">
        <v>0</v>
      </c>
      <c r="AN4" s="141">
        <v>0</v>
      </c>
      <c r="AO4" s="141">
        <v>0</v>
      </c>
      <c r="AP4" s="141">
        <v>0</v>
      </c>
    </row>
    <row r="5" spans="1:42" customFormat="1" x14ac:dyDescent="0.15">
      <c r="A5" s="177" t="s">
        <v>195</v>
      </c>
      <c r="B5" s="141">
        <v>0</v>
      </c>
      <c r="C5" s="141">
        <v>1.0007005091293885E-2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  <c r="AI5" s="141">
        <v>0</v>
      </c>
      <c r="AJ5" s="141">
        <v>0</v>
      </c>
      <c r="AK5" s="141">
        <v>0</v>
      </c>
      <c r="AL5" s="141">
        <v>0</v>
      </c>
      <c r="AM5" s="141">
        <v>0</v>
      </c>
      <c r="AN5" s="141">
        <v>0</v>
      </c>
      <c r="AO5" s="141">
        <v>0</v>
      </c>
      <c r="AP5" s="141">
        <v>0</v>
      </c>
    </row>
    <row r="6" spans="1:42" customFormat="1" x14ac:dyDescent="0.15">
      <c r="A6" s="177" t="s">
        <v>196</v>
      </c>
      <c r="B6" s="141">
        <v>6.000599879970013E-2</v>
      </c>
      <c r="C6" s="141">
        <v>1.0007005091293885E-2</v>
      </c>
      <c r="D6" s="141">
        <v>1.410423177222762E-2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  <c r="AI6" s="141">
        <v>0</v>
      </c>
      <c r="AJ6" s="141">
        <v>0</v>
      </c>
      <c r="AK6" s="141">
        <v>0</v>
      </c>
      <c r="AL6" s="141">
        <v>0</v>
      </c>
      <c r="AM6" s="141">
        <v>0</v>
      </c>
      <c r="AN6" s="141">
        <v>0</v>
      </c>
      <c r="AO6" s="141">
        <v>0</v>
      </c>
      <c r="AP6" s="141">
        <v>0</v>
      </c>
    </row>
    <row r="7" spans="1:42" customFormat="1" x14ac:dyDescent="0.15">
      <c r="A7" s="177" t="s">
        <v>197</v>
      </c>
      <c r="B7" s="141">
        <v>9.0709067741213401E-2</v>
      </c>
      <c r="C7" s="141">
        <v>5.1135794845511874E-2</v>
      </c>
      <c r="D7" s="141">
        <v>3.2109633777199074E-2</v>
      </c>
      <c r="E7" s="141">
        <v>0</v>
      </c>
      <c r="F7" s="141">
        <v>0</v>
      </c>
      <c r="G7" s="141">
        <v>0</v>
      </c>
      <c r="H7" s="141">
        <v>0</v>
      </c>
      <c r="I7" s="141">
        <v>0.10016994827464556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  <c r="AJ7" s="141">
        <v>0</v>
      </c>
      <c r="AK7" s="141">
        <v>0</v>
      </c>
      <c r="AL7" s="141">
        <v>0</v>
      </c>
      <c r="AM7" s="141">
        <v>0</v>
      </c>
      <c r="AN7" s="141">
        <v>0</v>
      </c>
      <c r="AO7" s="141">
        <v>0</v>
      </c>
      <c r="AP7" s="141">
        <v>0</v>
      </c>
    </row>
    <row r="8" spans="1:42" customFormat="1" x14ac:dyDescent="0.15">
      <c r="A8" s="177" t="s">
        <v>198</v>
      </c>
      <c r="B8" s="141">
        <v>0</v>
      </c>
      <c r="C8" s="141">
        <v>0</v>
      </c>
      <c r="D8" s="141">
        <v>0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  <c r="AJ8" s="141">
        <v>0</v>
      </c>
      <c r="AK8" s="141">
        <v>0</v>
      </c>
      <c r="AL8" s="141">
        <v>0</v>
      </c>
      <c r="AM8" s="141">
        <v>0</v>
      </c>
      <c r="AN8" s="141">
        <v>0</v>
      </c>
      <c r="AO8" s="141">
        <v>0</v>
      </c>
      <c r="AP8" s="141">
        <v>0</v>
      </c>
    </row>
    <row r="9" spans="1:42" customFormat="1" x14ac:dyDescent="0.15">
      <c r="A9" s="177" t="s">
        <v>199</v>
      </c>
      <c r="B9" s="141">
        <v>0.25682567859871624</v>
      </c>
      <c r="C9" s="141">
        <v>5.7340139320113954E-2</v>
      </c>
      <c r="D9" s="141">
        <v>9.6428930922180439E-2</v>
      </c>
      <c r="E9" s="141">
        <v>4.4776120243283667E-2</v>
      </c>
      <c r="F9" s="141">
        <v>0</v>
      </c>
      <c r="G9" s="141">
        <v>0.11708828932309767</v>
      </c>
      <c r="H9" s="141">
        <v>0</v>
      </c>
      <c r="I9" s="141">
        <v>9.997000626212121E-3</v>
      </c>
      <c r="J9" s="141">
        <v>0</v>
      </c>
      <c r="K9" s="141">
        <v>0</v>
      </c>
      <c r="L9" s="141">
        <v>0</v>
      </c>
      <c r="M9" s="141">
        <v>0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  <c r="AI9" s="141">
        <v>0</v>
      </c>
      <c r="AJ9" s="141">
        <v>0</v>
      </c>
      <c r="AK9" s="141">
        <v>0</v>
      </c>
      <c r="AL9" s="141">
        <v>0</v>
      </c>
      <c r="AM9" s="141">
        <v>0</v>
      </c>
      <c r="AN9" s="141">
        <v>0</v>
      </c>
      <c r="AO9" s="141">
        <v>0</v>
      </c>
      <c r="AP9" s="141">
        <v>0</v>
      </c>
    </row>
    <row r="10" spans="1:42" customFormat="1" x14ac:dyDescent="0.15">
      <c r="A10" s="177" t="s">
        <v>200</v>
      </c>
      <c r="B10" s="141">
        <v>0</v>
      </c>
      <c r="C10" s="141">
        <v>0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141">
        <v>0</v>
      </c>
      <c r="AJ10" s="141">
        <v>0</v>
      </c>
      <c r="AK10" s="141">
        <v>0</v>
      </c>
      <c r="AL10" s="141">
        <v>0</v>
      </c>
      <c r="AM10" s="141">
        <v>0</v>
      </c>
      <c r="AN10" s="141">
        <v>0</v>
      </c>
      <c r="AO10" s="141">
        <v>0</v>
      </c>
      <c r="AP10" s="141">
        <v>0</v>
      </c>
    </row>
    <row r="11" spans="1:42" customFormat="1" x14ac:dyDescent="0.15">
      <c r="A11" s="177" t="s">
        <v>201</v>
      </c>
      <c r="B11" s="141">
        <v>0</v>
      </c>
      <c r="C11" s="141">
        <v>2.001401018258777E-2</v>
      </c>
      <c r="D11" s="141">
        <v>5.1215365178585527E-2</v>
      </c>
      <c r="E11" s="141">
        <v>0</v>
      </c>
      <c r="F11" s="141">
        <v>0</v>
      </c>
      <c r="G11" s="141">
        <v>0</v>
      </c>
      <c r="H11" s="141">
        <v>2.3402339854905491E-2</v>
      </c>
      <c r="I11" s="141">
        <v>0</v>
      </c>
      <c r="J11" s="141">
        <v>2.9000000000000001E-2</v>
      </c>
      <c r="K11" s="141">
        <v>1.9992002309356299E-2</v>
      </c>
      <c r="L11" s="141">
        <v>4.0000000016000001E-2</v>
      </c>
      <c r="M11" s="141">
        <v>0</v>
      </c>
      <c r="N11" s="141">
        <v>4.8004803325862648E-2</v>
      </c>
      <c r="O11" s="141">
        <v>0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0.01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141">
        <v>0</v>
      </c>
      <c r="AJ11" s="141">
        <v>0</v>
      </c>
      <c r="AK11" s="141">
        <v>0</v>
      </c>
      <c r="AL11" s="141">
        <v>0</v>
      </c>
      <c r="AM11" s="141">
        <v>0</v>
      </c>
      <c r="AN11" s="141">
        <v>0</v>
      </c>
      <c r="AO11" s="141">
        <v>0</v>
      </c>
      <c r="AP11" s="141">
        <v>0</v>
      </c>
    </row>
    <row r="12" spans="1:42" customFormat="1" x14ac:dyDescent="0.15">
      <c r="A12" s="177" t="s">
        <v>202</v>
      </c>
      <c r="B12" s="141">
        <v>0</v>
      </c>
      <c r="C12" s="141">
        <v>4.1228860144130894E-2</v>
      </c>
      <c r="D12" s="141">
        <v>0</v>
      </c>
      <c r="E12" s="141">
        <v>0</v>
      </c>
      <c r="F12" s="141">
        <v>9.9860055255634725E-2</v>
      </c>
      <c r="G12" s="141">
        <v>0</v>
      </c>
      <c r="H12" s="141">
        <v>0</v>
      </c>
      <c r="I12" s="141">
        <v>0</v>
      </c>
      <c r="J12" s="141">
        <v>0</v>
      </c>
      <c r="K12" s="141">
        <v>0</v>
      </c>
      <c r="L12" s="141">
        <v>1.0000000154000018E-2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141">
        <v>0</v>
      </c>
      <c r="AJ12" s="141">
        <v>0</v>
      </c>
      <c r="AK12" s="141">
        <v>0</v>
      </c>
      <c r="AL12" s="141">
        <v>0</v>
      </c>
      <c r="AM12" s="141">
        <v>0</v>
      </c>
      <c r="AN12" s="141">
        <v>0</v>
      </c>
      <c r="AO12" s="141">
        <v>0</v>
      </c>
      <c r="AP12" s="141">
        <v>0</v>
      </c>
    </row>
    <row r="13" spans="1:42" customFormat="1" x14ac:dyDescent="0.15">
      <c r="A13" s="177" t="s">
        <v>203</v>
      </c>
      <c r="B13" s="141">
        <v>6.000599879970013E-2</v>
      </c>
      <c r="C13" s="141">
        <v>0</v>
      </c>
      <c r="D13" s="141">
        <v>0</v>
      </c>
      <c r="E13" s="141">
        <v>4.4776120243283667E-2</v>
      </c>
      <c r="F13" s="141">
        <v>0</v>
      </c>
      <c r="G13" s="141">
        <v>0</v>
      </c>
      <c r="H13" s="141">
        <v>0</v>
      </c>
      <c r="I13" s="141">
        <v>0</v>
      </c>
      <c r="J13" s="141">
        <v>0</v>
      </c>
      <c r="K13" s="141">
        <v>0</v>
      </c>
      <c r="L13" s="141">
        <v>0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  <c r="AJ13" s="141">
        <v>0</v>
      </c>
      <c r="AK13" s="141">
        <v>0</v>
      </c>
      <c r="AL13" s="141">
        <v>0</v>
      </c>
      <c r="AM13" s="141">
        <v>0</v>
      </c>
      <c r="AN13" s="141">
        <v>0</v>
      </c>
      <c r="AO13" s="141">
        <v>0</v>
      </c>
      <c r="AP13" s="141">
        <v>0</v>
      </c>
    </row>
    <row r="14" spans="1:42" customFormat="1" x14ac:dyDescent="0.15">
      <c r="A14" s="177" t="s">
        <v>204</v>
      </c>
      <c r="B14" s="141">
        <v>0</v>
      </c>
      <c r="C14" s="141">
        <v>0</v>
      </c>
      <c r="D14" s="141">
        <v>5.1215365178585527E-2</v>
      </c>
      <c r="E14" s="141">
        <v>5.0547262341751102E-2</v>
      </c>
      <c r="F14" s="141">
        <v>8.7964809429587933E-3</v>
      </c>
      <c r="G14" s="141">
        <v>5.1994800587541251E-3</v>
      </c>
      <c r="H14" s="141">
        <v>4.3004303933373317E-2</v>
      </c>
      <c r="I14" s="141">
        <v>5.0084973137322721E-2</v>
      </c>
      <c r="J14" s="141">
        <v>0.05</v>
      </c>
      <c r="K14" s="141">
        <v>8.7964806081167902E-3</v>
      </c>
      <c r="L14" s="141">
        <v>4.9999999069999891E-2</v>
      </c>
      <c r="M14" s="141">
        <v>0</v>
      </c>
      <c r="N14" s="141">
        <v>8.7008701859375946E-3</v>
      </c>
      <c r="O14" s="141">
        <v>5.0004998739874035E-3</v>
      </c>
      <c r="P14" s="141">
        <v>0</v>
      </c>
      <c r="Q14" s="141">
        <v>0</v>
      </c>
      <c r="R14" s="141">
        <v>0</v>
      </c>
      <c r="S14" s="141">
        <v>0</v>
      </c>
      <c r="T14" s="141">
        <v>0</v>
      </c>
      <c r="U14" s="141">
        <v>0.01</v>
      </c>
      <c r="V14" s="141">
        <v>0</v>
      </c>
      <c r="W14" s="141">
        <v>0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141">
        <v>0</v>
      </c>
      <c r="AJ14" s="141">
        <v>0</v>
      </c>
      <c r="AK14" s="141">
        <v>0</v>
      </c>
      <c r="AL14" s="141">
        <v>0</v>
      </c>
      <c r="AM14" s="141">
        <v>0</v>
      </c>
      <c r="AN14" s="141">
        <v>0</v>
      </c>
      <c r="AO14" s="141">
        <v>0</v>
      </c>
      <c r="AP14" s="141">
        <v>0</v>
      </c>
    </row>
    <row r="15" spans="1:42" customFormat="1" x14ac:dyDescent="0.15">
      <c r="A15" s="177" t="s">
        <v>205</v>
      </c>
      <c r="B15" s="141">
        <v>0</v>
      </c>
      <c r="C15" s="141">
        <v>5.0235164936295373E-2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9.9960015546781324E-3</v>
      </c>
      <c r="L15" s="141">
        <v>0</v>
      </c>
      <c r="M15" s="141">
        <v>0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  <c r="AI15" s="141">
        <v>0</v>
      </c>
      <c r="AJ15" s="141">
        <v>0</v>
      </c>
      <c r="AK15" s="141">
        <v>0</v>
      </c>
      <c r="AL15" s="141">
        <v>0</v>
      </c>
      <c r="AM15" s="141">
        <v>0</v>
      </c>
      <c r="AN15" s="141">
        <v>0</v>
      </c>
      <c r="AO15" s="141">
        <v>0</v>
      </c>
      <c r="AP15" s="141">
        <v>0</v>
      </c>
    </row>
    <row r="16" spans="1:42" customFormat="1" x14ac:dyDescent="0.15">
      <c r="A16" s="177" t="s">
        <v>206</v>
      </c>
      <c r="B16" s="141">
        <v>2.9002898783188451E-2</v>
      </c>
      <c r="C16" s="141">
        <v>6.0342238717502328E-2</v>
      </c>
      <c r="D16" s="141">
        <v>2.0006003816634798E-3</v>
      </c>
      <c r="E16" s="141">
        <v>0</v>
      </c>
      <c r="F16" s="141">
        <v>0</v>
      </c>
      <c r="G16" s="141">
        <v>2.0997900237276273E-3</v>
      </c>
      <c r="H16" s="141">
        <v>0</v>
      </c>
      <c r="I16" s="141">
        <v>0</v>
      </c>
      <c r="J16" s="141">
        <v>0</v>
      </c>
      <c r="K16" s="141">
        <v>0</v>
      </c>
      <c r="L16" s="141">
        <v>0</v>
      </c>
      <c r="M16" s="141">
        <v>0</v>
      </c>
      <c r="N16" s="141">
        <v>0</v>
      </c>
      <c r="O16" s="141">
        <v>0</v>
      </c>
      <c r="P16" s="141">
        <v>0</v>
      </c>
      <c r="Q16" s="141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  <c r="AJ16" s="141">
        <v>0</v>
      </c>
      <c r="AK16" s="141">
        <v>0</v>
      </c>
      <c r="AL16" s="141">
        <v>0</v>
      </c>
      <c r="AM16" s="141">
        <v>0</v>
      </c>
      <c r="AN16" s="141">
        <v>0</v>
      </c>
      <c r="AO16" s="141">
        <v>0</v>
      </c>
      <c r="AP16" s="141">
        <v>0</v>
      </c>
    </row>
    <row r="17" spans="1:42" customFormat="1" x14ac:dyDescent="0.15">
      <c r="A17" s="177" t="s">
        <v>207</v>
      </c>
      <c r="B17" s="141">
        <v>0</v>
      </c>
      <c r="C17" s="141">
        <v>5.0035024956469479E-3</v>
      </c>
      <c r="D17" s="141">
        <v>5.1215365178585527E-2</v>
      </c>
      <c r="E17" s="141">
        <v>0</v>
      </c>
      <c r="F17" s="141">
        <v>0</v>
      </c>
      <c r="G17" s="141">
        <v>2.0997900237276273E-3</v>
      </c>
      <c r="H17" s="141">
        <v>7.600759952875287E-2</v>
      </c>
      <c r="I17" s="141">
        <v>0</v>
      </c>
      <c r="J17" s="141">
        <v>0.04</v>
      </c>
      <c r="K17" s="141">
        <v>9.9960015546781324E-3</v>
      </c>
      <c r="L17" s="141">
        <v>4.9999999069999891E-2</v>
      </c>
      <c r="M17" s="141">
        <v>0</v>
      </c>
      <c r="N17" s="141">
        <v>0</v>
      </c>
      <c r="O17" s="141">
        <v>0</v>
      </c>
      <c r="P17" s="141">
        <v>0</v>
      </c>
      <c r="Q17" s="141">
        <v>2.7992984942673644E-3</v>
      </c>
      <c r="R17" s="141">
        <v>0</v>
      </c>
      <c r="S17" s="141">
        <v>0</v>
      </c>
      <c r="T17" s="141">
        <v>0</v>
      </c>
      <c r="U17" s="141">
        <v>0.01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  <c r="AI17" s="141">
        <v>0</v>
      </c>
      <c r="AJ17" s="141">
        <v>0</v>
      </c>
      <c r="AK17" s="141">
        <v>0</v>
      </c>
      <c r="AL17" s="141">
        <v>0</v>
      </c>
      <c r="AM17" s="141">
        <v>0</v>
      </c>
      <c r="AN17" s="141">
        <v>0</v>
      </c>
      <c r="AO17" s="141">
        <v>0</v>
      </c>
      <c r="AP17" s="141">
        <v>0</v>
      </c>
    </row>
    <row r="18" spans="1:42" customFormat="1" x14ac:dyDescent="0.15">
      <c r="A18" s="177" t="s">
        <v>208</v>
      </c>
      <c r="B18" s="141">
        <v>0</v>
      </c>
      <c r="C18" s="141">
        <v>4.0228157945001675E-2</v>
      </c>
      <c r="D18" s="141">
        <v>0</v>
      </c>
      <c r="E18" s="141">
        <v>0.16587065420078681</v>
      </c>
      <c r="F18" s="141">
        <v>4.9680127614665122E-2</v>
      </c>
      <c r="G18" s="141">
        <v>1.5998400180781923E-3</v>
      </c>
      <c r="H18" s="141">
        <v>0</v>
      </c>
      <c r="I18" s="141">
        <v>2.189343137140454E-2</v>
      </c>
      <c r="J18" s="141">
        <v>0</v>
      </c>
      <c r="K18" s="141">
        <v>4.9980007773390657E-2</v>
      </c>
      <c r="L18" s="141">
        <v>0</v>
      </c>
      <c r="M18" s="141">
        <v>0</v>
      </c>
      <c r="N18" s="141">
        <v>5.0005004868606956E-2</v>
      </c>
      <c r="O18" s="141">
        <v>0</v>
      </c>
      <c r="P18" s="141">
        <v>0</v>
      </c>
      <c r="Q18" s="141">
        <v>0</v>
      </c>
      <c r="R18" s="141">
        <v>0</v>
      </c>
      <c r="S18" s="141">
        <v>0</v>
      </c>
      <c r="T18" s="141">
        <v>0</v>
      </c>
      <c r="U18" s="141">
        <v>0.01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  <c r="AJ18" s="141">
        <v>0</v>
      </c>
      <c r="AK18" s="141">
        <v>0</v>
      </c>
      <c r="AL18" s="141">
        <v>0</v>
      </c>
      <c r="AM18" s="141">
        <v>0</v>
      </c>
      <c r="AN18" s="141">
        <v>0</v>
      </c>
      <c r="AO18" s="141">
        <v>0</v>
      </c>
      <c r="AP18" s="141">
        <v>0</v>
      </c>
    </row>
    <row r="19" spans="1:42" customFormat="1" x14ac:dyDescent="0.15">
      <c r="A19" s="177" t="s">
        <v>209</v>
      </c>
      <c r="B19" s="141">
        <v>0</v>
      </c>
      <c r="C19" s="141">
        <v>5.0235164936295373E-2</v>
      </c>
      <c r="D19" s="141">
        <v>0</v>
      </c>
      <c r="E19" s="141">
        <v>0</v>
      </c>
      <c r="F19" s="141">
        <v>0</v>
      </c>
      <c r="G19" s="141">
        <v>6.1693832997140319E-2</v>
      </c>
      <c r="H19" s="141">
        <v>0</v>
      </c>
      <c r="I19" s="141">
        <v>2.7391783715821336E-2</v>
      </c>
      <c r="J19" s="141">
        <v>0</v>
      </c>
      <c r="K19" s="141">
        <v>0</v>
      </c>
      <c r="L19" s="141">
        <v>0</v>
      </c>
      <c r="M19" s="141">
        <v>0</v>
      </c>
      <c r="N19" s="141">
        <v>1.0001000213721373E-2</v>
      </c>
      <c r="O19" s="141">
        <v>4.9004898765076556E-2</v>
      </c>
      <c r="P19" s="141">
        <v>3.9631797129468939E-2</v>
      </c>
      <c r="Q19" s="141">
        <v>5.2186908430269602E-2</v>
      </c>
      <c r="R19" s="141">
        <v>0</v>
      </c>
      <c r="S19" s="141">
        <v>2.0997220062991665E-3</v>
      </c>
      <c r="T19" s="141">
        <v>0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  <c r="AJ19" s="141">
        <v>0</v>
      </c>
      <c r="AK19" s="141">
        <v>0</v>
      </c>
      <c r="AL19" s="141">
        <v>0</v>
      </c>
      <c r="AM19" s="141">
        <v>0</v>
      </c>
      <c r="AN19" s="141">
        <v>0</v>
      </c>
      <c r="AO19" s="141">
        <v>0</v>
      </c>
      <c r="AP19" s="141">
        <v>0</v>
      </c>
    </row>
    <row r="20" spans="1:42" customFormat="1" x14ac:dyDescent="0.15">
      <c r="A20" s="177" t="s">
        <v>210</v>
      </c>
      <c r="B20" s="141">
        <v>0.14801480166592659</v>
      </c>
      <c r="C20" s="141">
        <v>5.0035024956469477E-2</v>
      </c>
      <c r="D20" s="141">
        <v>2.0006001016635064E-2</v>
      </c>
      <c r="E20" s="141">
        <v>0.32835820705074603</v>
      </c>
      <c r="F20" s="141">
        <v>0.1779288293643943</v>
      </c>
      <c r="G20" s="141">
        <v>0.20707929333999603</v>
      </c>
      <c r="H20" s="141">
        <v>0.1487148690779678</v>
      </c>
      <c r="I20" s="141">
        <v>5.9982003757272723E-2</v>
      </c>
      <c r="J20" s="141">
        <v>8.5000000000000006E-2</v>
      </c>
      <c r="K20" s="141">
        <v>9.9960015546781314E-2</v>
      </c>
      <c r="L20" s="141">
        <v>0.10000000154000017</v>
      </c>
      <c r="M20" s="141">
        <v>0.1</v>
      </c>
      <c r="N20" s="141">
        <v>8.7008701859375953E-2</v>
      </c>
      <c r="O20" s="141">
        <v>0</v>
      </c>
      <c r="P20" s="141">
        <v>5.6902072878582864E-2</v>
      </c>
      <c r="Q20" s="141">
        <v>2.8192927350835291E-2</v>
      </c>
      <c r="R20" s="141">
        <v>0</v>
      </c>
      <c r="S20" s="141">
        <v>0</v>
      </c>
      <c r="T20" s="141">
        <v>0</v>
      </c>
      <c r="U20" s="141">
        <v>0</v>
      </c>
      <c r="V20" s="141">
        <v>0</v>
      </c>
      <c r="W20" s="141">
        <v>0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  <c r="AI20" s="141">
        <v>0</v>
      </c>
      <c r="AJ20" s="141">
        <v>0</v>
      </c>
      <c r="AK20" s="141">
        <v>0</v>
      </c>
      <c r="AL20" s="141">
        <v>0</v>
      </c>
      <c r="AM20" s="141">
        <v>0</v>
      </c>
      <c r="AN20" s="141">
        <v>0</v>
      </c>
      <c r="AO20" s="141">
        <v>0</v>
      </c>
      <c r="AP20" s="141">
        <v>0</v>
      </c>
    </row>
    <row r="21" spans="1:42" customFormat="1" x14ac:dyDescent="0.15">
      <c r="A21" s="177" t="s">
        <v>211</v>
      </c>
      <c r="B21" s="141">
        <v>2.0002001633233207E-3</v>
      </c>
      <c r="C21" s="141">
        <v>0.12568797433065218</v>
      </c>
      <c r="D21" s="141">
        <v>0</v>
      </c>
      <c r="E21" s="141">
        <v>0</v>
      </c>
      <c r="F21" s="141">
        <v>9.9860055255634725E-2</v>
      </c>
      <c r="G21" s="141">
        <v>1.2498750141235877E-2</v>
      </c>
      <c r="H21" s="141">
        <v>0</v>
      </c>
      <c r="I21" s="141">
        <v>6.2081378088777527E-2</v>
      </c>
      <c r="J21" s="141">
        <v>0</v>
      </c>
      <c r="K21" s="141">
        <v>0</v>
      </c>
      <c r="L21" s="141">
        <v>0</v>
      </c>
      <c r="M21" s="141">
        <v>0</v>
      </c>
      <c r="N21" s="141">
        <v>1.1001100235093512E-3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0</v>
      </c>
      <c r="U21" s="141">
        <v>0</v>
      </c>
      <c r="V21" s="141">
        <v>0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</row>
    <row r="22" spans="1:42" customFormat="1" x14ac:dyDescent="0.15">
      <c r="A22" s="177" t="s">
        <v>212</v>
      </c>
      <c r="B22" s="141">
        <v>0</v>
      </c>
      <c r="C22" s="141">
        <v>5.0235164936295373E-2</v>
      </c>
      <c r="D22" s="141">
        <v>0.16464939649990581</v>
      </c>
      <c r="E22" s="141">
        <v>0</v>
      </c>
      <c r="F22" s="141">
        <v>0</v>
      </c>
      <c r="G22" s="141">
        <v>4.329567048924108E-2</v>
      </c>
      <c r="H22" s="141">
        <v>0</v>
      </c>
      <c r="I22" s="141">
        <v>2.9991001878636361E-2</v>
      </c>
      <c r="J22" s="141">
        <v>0</v>
      </c>
      <c r="K22" s="141">
        <v>0</v>
      </c>
      <c r="L22" s="141">
        <v>0</v>
      </c>
      <c r="M22" s="141">
        <v>0</v>
      </c>
      <c r="N22" s="141">
        <v>8.4008401795259546E-3</v>
      </c>
      <c r="O22" s="141">
        <v>4.000399899189923E-3</v>
      </c>
      <c r="P22" s="141">
        <v>8.1859124070943635E-3</v>
      </c>
      <c r="Q22" s="141">
        <v>3.1991971305912266E-3</v>
      </c>
      <c r="R22" s="141">
        <v>0</v>
      </c>
      <c r="S22" s="141">
        <v>0</v>
      </c>
      <c r="T22" s="141">
        <v>0</v>
      </c>
      <c r="U22" s="141">
        <v>0</v>
      </c>
      <c r="V22" s="141">
        <v>0</v>
      </c>
      <c r="W22" s="141">
        <v>0</v>
      </c>
      <c r="X22" s="141">
        <v>0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  <c r="AI22" s="141">
        <v>0</v>
      </c>
      <c r="AJ22" s="141">
        <v>0</v>
      </c>
      <c r="AK22" s="141">
        <v>0</v>
      </c>
      <c r="AL22" s="141">
        <v>0</v>
      </c>
      <c r="AM22" s="141">
        <v>0</v>
      </c>
      <c r="AN22" s="141">
        <v>0</v>
      </c>
      <c r="AO22" s="141">
        <v>0</v>
      </c>
      <c r="AP22" s="141">
        <v>0</v>
      </c>
    </row>
    <row r="23" spans="1:42" customFormat="1" x14ac:dyDescent="0.15">
      <c r="A23" s="177" t="s">
        <v>213</v>
      </c>
      <c r="B23" s="141">
        <v>0</v>
      </c>
      <c r="C23" s="141">
        <v>0.10057039986250368</v>
      </c>
      <c r="D23" s="141">
        <v>0</v>
      </c>
      <c r="E23" s="141">
        <v>0</v>
      </c>
      <c r="F23" s="141">
        <v>0</v>
      </c>
      <c r="G23" s="141">
        <v>0</v>
      </c>
      <c r="H23" s="141">
        <v>0</v>
      </c>
      <c r="I23" s="141">
        <v>0.10016994827464556</v>
      </c>
      <c r="J23" s="141">
        <v>0</v>
      </c>
      <c r="K23" s="141">
        <v>0</v>
      </c>
      <c r="L23" s="141">
        <v>0</v>
      </c>
      <c r="M23" s="141">
        <v>0</v>
      </c>
      <c r="N23" s="141">
        <v>0</v>
      </c>
      <c r="O23" s="141">
        <v>7.5007503809810916E-2</v>
      </c>
      <c r="P23" s="141">
        <v>0</v>
      </c>
      <c r="Q23" s="141">
        <v>0</v>
      </c>
      <c r="R23" s="141">
        <v>0</v>
      </c>
      <c r="S23" s="141">
        <v>0</v>
      </c>
      <c r="T23" s="141">
        <v>0</v>
      </c>
      <c r="U23" s="141">
        <v>0</v>
      </c>
      <c r="V23" s="141">
        <v>0</v>
      </c>
      <c r="W23" s="141">
        <v>0.05</v>
      </c>
      <c r="X23" s="141">
        <v>0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141">
        <v>0</v>
      </c>
      <c r="AJ23" s="141">
        <v>0</v>
      </c>
      <c r="AK23" s="141">
        <v>0</v>
      </c>
      <c r="AL23" s="141">
        <v>0</v>
      </c>
      <c r="AM23" s="141">
        <v>0</v>
      </c>
      <c r="AN23" s="141">
        <v>0</v>
      </c>
      <c r="AO23" s="141">
        <v>0</v>
      </c>
      <c r="AP23" s="141">
        <v>0</v>
      </c>
    </row>
    <row r="24" spans="1:42" customFormat="1" x14ac:dyDescent="0.15">
      <c r="A24" s="177" t="s">
        <v>214</v>
      </c>
      <c r="B24" s="141">
        <v>2.6402640799867948E-2</v>
      </c>
      <c r="C24" s="141">
        <v>0.10557390435815044</v>
      </c>
      <c r="D24" s="141">
        <v>0.46503950722118076</v>
      </c>
      <c r="E24" s="141">
        <v>0</v>
      </c>
      <c r="F24" s="141">
        <v>9.9860055255634725E-2</v>
      </c>
      <c r="G24" s="141">
        <v>0.1091890792338366</v>
      </c>
      <c r="H24" s="141">
        <v>2.2602261859865976E-2</v>
      </c>
      <c r="I24" s="141">
        <v>0</v>
      </c>
      <c r="J24" s="141">
        <v>7.1999999999999995E-2</v>
      </c>
      <c r="K24" s="141">
        <v>2.9988004464034403E-2</v>
      </c>
      <c r="L24" s="141">
        <v>4.9999999069999891E-2</v>
      </c>
      <c r="M24" s="141">
        <v>0.1</v>
      </c>
      <c r="N24" s="141">
        <v>2.1802181865912627E-2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0.01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</row>
    <row r="25" spans="1:42" customFormat="1" x14ac:dyDescent="0.15">
      <c r="A25" s="177" t="s">
        <v>215</v>
      </c>
      <c r="B25" s="141">
        <v>0.31703171458174728</v>
      </c>
      <c r="C25" s="141">
        <v>1.0007005091293885E-2</v>
      </c>
      <c r="D25" s="141">
        <v>2.0006001016635064E-2</v>
      </c>
      <c r="E25" s="141">
        <v>0</v>
      </c>
      <c r="F25" s="141">
        <v>9.9860055255634725E-2</v>
      </c>
      <c r="G25" s="141">
        <v>8.9991001016898314E-4</v>
      </c>
      <c r="H25" s="141">
        <v>0</v>
      </c>
      <c r="I25" s="141">
        <v>0</v>
      </c>
      <c r="J25" s="141">
        <v>8.4000000000000005E-2</v>
      </c>
      <c r="K25" s="141">
        <v>0</v>
      </c>
      <c r="L25" s="141">
        <v>0</v>
      </c>
      <c r="M25" s="141">
        <v>0.1</v>
      </c>
      <c r="N25" s="141">
        <v>0</v>
      </c>
      <c r="O25" s="141">
        <v>0</v>
      </c>
      <c r="P25" s="141">
        <v>0</v>
      </c>
      <c r="Q25" s="141">
        <v>0</v>
      </c>
      <c r="R25" s="141">
        <v>0</v>
      </c>
      <c r="S25" s="141">
        <v>0</v>
      </c>
      <c r="T25" s="141">
        <v>0</v>
      </c>
      <c r="U25" s="141">
        <v>0</v>
      </c>
      <c r="V25" s="141">
        <v>0</v>
      </c>
      <c r="W25" s="141">
        <v>0</v>
      </c>
      <c r="X25" s="141">
        <v>0</v>
      </c>
      <c r="Y25" s="141">
        <v>0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  <c r="AJ25" s="141">
        <v>0</v>
      </c>
      <c r="AK25" s="141">
        <v>0</v>
      </c>
      <c r="AL25" s="141">
        <v>0</v>
      </c>
      <c r="AM25" s="141">
        <v>0</v>
      </c>
      <c r="AN25" s="141">
        <v>0</v>
      </c>
      <c r="AO25" s="141">
        <v>0</v>
      </c>
      <c r="AP25" s="141">
        <v>0</v>
      </c>
    </row>
    <row r="26" spans="1:42" customFormat="1" x14ac:dyDescent="0.15">
      <c r="A26" s="177" t="s">
        <v>216</v>
      </c>
      <c r="B26" s="141">
        <v>1.0001000066616667E-2</v>
      </c>
      <c r="C26" s="141">
        <v>5.0035024956469477E-2</v>
      </c>
      <c r="D26" s="141">
        <v>2.0006001016635064E-2</v>
      </c>
      <c r="E26" s="141">
        <v>0</v>
      </c>
      <c r="F26" s="141">
        <v>0.13974409535473176</v>
      </c>
      <c r="G26" s="141">
        <v>0.20707929333999603</v>
      </c>
      <c r="H26" s="141">
        <v>6.3306329607500753E-2</v>
      </c>
      <c r="I26" s="141">
        <v>1.4995500939318181E-2</v>
      </c>
      <c r="J26" s="141">
        <v>0.105</v>
      </c>
      <c r="K26" s="141">
        <v>0.42962814486006617</v>
      </c>
      <c r="L26" s="141">
        <v>0.15000000831000096</v>
      </c>
      <c r="M26" s="141">
        <v>0.1</v>
      </c>
      <c r="N26" s="141">
        <v>5.0005004868606956E-2</v>
      </c>
      <c r="O26" s="141">
        <v>0</v>
      </c>
      <c r="P26" s="141">
        <v>0</v>
      </c>
      <c r="Q26" s="141">
        <v>0</v>
      </c>
      <c r="R26" s="141">
        <v>0</v>
      </c>
      <c r="S26" s="141">
        <v>4.9993380149980143E-2</v>
      </c>
      <c r="T26" s="141">
        <v>0</v>
      </c>
      <c r="U26" s="141">
        <v>0.01</v>
      </c>
      <c r="V26" s="141">
        <v>0</v>
      </c>
      <c r="W26" s="141">
        <v>0</v>
      </c>
      <c r="X26" s="141">
        <v>0</v>
      </c>
      <c r="Y26" s="141">
        <v>0</v>
      </c>
      <c r="Z26" s="141">
        <v>0</v>
      </c>
      <c r="AA26" s="141">
        <v>0.03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  <c r="AJ26" s="141">
        <v>0</v>
      </c>
      <c r="AK26" s="141">
        <v>0</v>
      </c>
      <c r="AL26" s="141">
        <v>0</v>
      </c>
      <c r="AM26" s="141">
        <v>0</v>
      </c>
      <c r="AN26" s="141">
        <v>0</v>
      </c>
      <c r="AO26" s="141">
        <v>0</v>
      </c>
      <c r="AP26" s="141">
        <v>0</v>
      </c>
    </row>
    <row r="27" spans="1:42" customFormat="1" x14ac:dyDescent="0.15">
      <c r="A27" s="177" t="s">
        <v>217</v>
      </c>
      <c r="B27" s="141">
        <v>0</v>
      </c>
      <c r="C27" s="141">
        <v>1.0007005091293885E-2</v>
      </c>
      <c r="D27" s="141">
        <v>1.0003000458317536E-2</v>
      </c>
      <c r="E27" s="141">
        <v>0.10119402749382064</v>
      </c>
      <c r="F27" s="141">
        <v>3.9984004804358181E-2</v>
      </c>
      <c r="G27" s="141">
        <v>8.9991001016898314E-4</v>
      </c>
      <c r="H27" s="141">
        <v>0.39903989752595259</v>
      </c>
      <c r="I27" s="141">
        <v>3.0990703541257671E-3</v>
      </c>
      <c r="J27" s="141">
        <v>0.15</v>
      </c>
      <c r="K27" s="141">
        <v>4.7980807862455011E-2</v>
      </c>
      <c r="L27" s="141">
        <v>4.9999999069999891E-2</v>
      </c>
      <c r="M27" s="141">
        <v>0.05</v>
      </c>
      <c r="N27" s="141">
        <v>1.0001000213721373E-2</v>
      </c>
      <c r="O27" s="141">
        <v>0</v>
      </c>
      <c r="P27" s="141">
        <v>3.9931281407777292E-3</v>
      </c>
      <c r="Q27" s="141">
        <v>0</v>
      </c>
      <c r="R27" s="141">
        <v>0</v>
      </c>
      <c r="S27" s="141">
        <v>0</v>
      </c>
      <c r="T27" s="141">
        <v>0</v>
      </c>
      <c r="U27" s="141">
        <v>0.01</v>
      </c>
      <c r="V27" s="141">
        <v>0</v>
      </c>
      <c r="W27" s="141">
        <v>0</v>
      </c>
      <c r="X27" s="141">
        <v>0</v>
      </c>
      <c r="Y27" s="141">
        <v>0</v>
      </c>
      <c r="Z27" s="141">
        <v>0</v>
      </c>
      <c r="AA27" s="141">
        <v>0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  <c r="AI27" s="141">
        <v>0</v>
      </c>
      <c r="AJ27" s="141">
        <v>0</v>
      </c>
      <c r="AK27" s="141">
        <v>0</v>
      </c>
      <c r="AL27" s="141">
        <v>0</v>
      </c>
      <c r="AM27" s="141">
        <v>0</v>
      </c>
      <c r="AN27" s="141">
        <v>0</v>
      </c>
      <c r="AO27" s="141">
        <v>0</v>
      </c>
      <c r="AP27" s="141">
        <v>0</v>
      </c>
    </row>
    <row r="28" spans="1:42" customFormat="1" x14ac:dyDescent="0.15">
      <c r="A28" s="177" t="s">
        <v>218</v>
      </c>
      <c r="B28" s="141">
        <v>0</v>
      </c>
      <c r="C28" s="141">
        <v>9.7067950215550605E-2</v>
      </c>
      <c r="D28" s="141">
        <v>0</v>
      </c>
      <c r="E28" s="141">
        <v>0</v>
      </c>
      <c r="F28" s="141">
        <v>0</v>
      </c>
      <c r="G28" s="141">
        <v>4.9995000564943511E-4</v>
      </c>
      <c r="H28" s="141">
        <v>0</v>
      </c>
      <c r="I28" s="141">
        <v>5.0084973137322721E-2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0.27312731011719182</v>
      </c>
      <c r="P28" s="141">
        <v>0.26649438069781201</v>
      </c>
      <c r="Q28" s="141">
        <v>4.5788524669087574E-2</v>
      </c>
      <c r="R28" s="141">
        <v>0</v>
      </c>
      <c r="S28" s="141">
        <v>0</v>
      </c>
      <c r="T28" s="141">
        <v>0</v>
      </c>
      <c r="U28" s="141">
        <v>0</v>
      </c>
      <c r="V28" s="141">
        <v>0.1</v>
      </c>
      <c r="W28" s="141">
        <v>0.2</v>
      </c>
      <c r="X28" s="141">
        <v>0</v>
      </c>
      <c r="Y28" s="141">
        <v>0</v>
      </c>
      <c r="Z28" s="141">
        <v>0</v>
      </c>
      <c r="AA28" s="141">
        <v>0</v>
      </c>
      <c r="AB28" s="141">
        <v>0.1</v>
      </c>
      <c r="AC28" s="141">
        <v>0</v>
      </c>
      <c r="AD28" s="141">
        <v>0</v>
      </c>
      <c r="AE28" s="141">
        <v>0</v>
      </c>
      <c r="AF28" s="141">
        <v>1.4998499920937897E-2</v>
      </c>
      <c r="AG28" s="141">
        <v>0</v>
      </c>
      <c r="AH28" s="141">
        <v>9.9800772165676752E-4</v>
      </c>
      <c r="AI28" s="141">
        <v>0</v>
      </c>
      <c r="AJ28" s="141">
        <v>0</v>
      </c>
      <c r="AK28" s="141">
        <v>0</v>
      </c>
      <c r="AL28" s="141">
        <v>0</v>
      </c>
      <c r="AM28" s="141">
        <v>0</v>
      </c>
      <c r="AN28" s="141">
        <v>0</v>
      </c>
      <c r="AO28" s="141">
        <v>0</v>
      </c>
      <c r="AP28" s="141">
        <v>0</v>
      </c>
    </row>
    <row r="29" spans="1:42" customFormat="1" x14ac:dyDescent="0.15">
      <c r="A29" s="177" t="s">
        <v>219</v>
      </c>
      <c r="B29" s="141">
        <v>0</v>
      </c>
      <c r="C29" s="141">
        <v>0</v>
      </c>
      <c r="D29" s="141">
        <v>0</v>
      </c>
      <c r="E29" s="141">
        <v>0.264477608426328</v>
      </c>
      <c r="F29" s="141">
        <v>0.18252700060639607</v>
      </c>
      <c r="G29" s="141">
        <v>6.0293970681321876E-2</v>
      </c>
      <c r="H29" s="141">
        <v>0.22392239861168112</v>
      </c>
      <c r="I29" s="141">
        <v>0.1876437117540021</v>
      </c>
      <c r="J29" s="141">
        <v>0.38500000000000001</v>
      </c>
      <c r="K29" s="141">
        <v>0.29168333300550753</v>
      </c>
      <c r="L29" s="141">
        <v>0.3999999921599991</v>
      </c>
      <c r="M29" s="141">
        <v>0.55000000000000004</v>
      </c>
      <c r="N29" s="141">
        <v>0.32753274499937474</v>
      </c>
      <c r="O29" s="141">
        <v>2.5002501269936972E-2</v>
      </c>
      <c r="P29" s="141">
        <v>3.9999157102861053E-2</v>
      </c>
      <c r="Q29" s="141">
        <v>0.44002159196168139</v>
      </c>
      <c r="R29" s="141">
        <v>0.8891</v>
      </c>
      <c r="S29" s="141">
        <v>0.62391740187175226</v>
      </c>
      <c r="T29" s="141">
        <v>0.75075073753753685</v>
      </c>
      <c r="U29" s="141">
        <v>0.53</v>
      </c>
      <c r="V29" s="141">
        <v>0</v>
      </c>
      <c r="W29" s="141">
        <v>0</v>
      </c>
      <c r="X29" s="141">
        <v>0.38813881601784178</v>
      </c>
      <c r="Y29" s="141">
        <v>0.35</v>
      </c>
      <c r="Z29" s="141">
        <v>5.9376249406237508E-2</v>
      </c>
      <c r="AA29" s="141">
        <v>0.13</v>
      </c>
      <c r="AB29" s="141">
        <v>0</v>
      </c>
      <c r="AC29" s="141">
        <v>4.9999998204999813E-2</v>
      </c>
      <c r="AD29" s="141">
        <v>0</v>
      </c>
      <c r="AE29" s="141">
        <v>0</v>
      </c>
      <c r="AF29" s="141">
        <v>0.11988801996336403</v>
      </c>
      <c r="AG29" s="141">
        <v>0</v>
      </c>
      <c r="AH29" s="141">
        <v>0</v>
      </c>
      <c r="AI29" s="141">
        <v>0</v>
      </c>
      <c r="AJ29" s="141">
        <v>0</v>
      </c>
      <c r="AK29" s="141">
        <v>0</v>
      </c>
      <c r="AL29" s="141">
        <v>0</v>
      </c>
      <c r="AM29" s="141">
        <v>0</v>
      </c>
      <c r="AN29" s="141">
        <v>0</v>
      </c>
      <c r="AO29" s="141">
        <v>0</v>
      </c>
      <c r="AP29" s="141">
        <v>0</v>
      </c>
    </row>
    <row r="30" spans="1:42" customFormat="1" x14ac:dyDescent="0.15">
      <c r="A30" s="177" t="s">
        <v>220</v>
      </c>
      <c r="B30" s="141">
        <v>0</v>
      </c>
      <c r="C30" s="141">
        <v>0</v>
      </c>
      <c r="D30" s="141">
        <v>0</v>
      </c>
      <c r="E30" s="141">
        <v>0</v>
      </c>
      <c r="F30" s="141">
        <v>0</v>
      </c>
      <c r="G30" s="141">
        <v>1.5798420178522149E-2</v>
      </c>
      <c r="H30" s="141">
        <v>0</v>
      </c>
      <c r="I30" s="141">
        <v>5.0084973137322721E-2</v>
      </c>
      <c r="J30" s="141">
        <v>0</v>
      </c>
      <c r="K30" s="141">
        <v>0</v>
      </c>
      <c r="L30" s="141">
        <v>0</v>
      </c>
      <c r="M30" s="141">
        <v>0</v>
      </c>
      <c r="N30" s="141">
        <v>8.0008001709770994E-3</v>
      </c>
      <c r="O30" s="141">
        <v>0.54885488616885703</v>
      </c>
      <c r="P30" s="141">
        <v>0.38234197230697098</v>
      </c>
      <c r="Q30" s="141">
        <v>0.2352409756025366</v>
      </c>
      <c r="R30" s="141">
        <v>0</v>
      </c>
      <c r="S30" s="141">
        <v>0</v>
      </c>
      <c r="T30" s="141">
        <v>0</v>
      </c>
      <c r="U30" s="141">
        <v>0</v>
      </c>
      <c r="V30" s="141">
        <v>0.25</v>
      </c>
      <c r="W30" s="141">
        <v>0.2</v>
      </c>
      <c r="X30" s="141">
        <v>0</v>
      </c>
      <c r="Y30" s="141">
        <v>0</v>
      </c>
      <c r="Z30" s="141">
        <v>0</v>
      </c>
      <c r="AA30" s="141">
        <v>0</v>
      </c>
      <c r="AB30" s="141">
        <v>0.05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  <c r="AI30" s="141">
        <v>0</v>
      </c>
      <c r="AJ30" s="141">
        <v>0</v>
      </c>
      <c r="AK30" s="141">
        <v>0</v>
      </c>
      <c r="AL30" s="141">
        <v>0</v>
      </c>
      <c r="AM30" s="141">
        <v>0</v>
      </c>
      <c r="AN30" s="141">
        <v>0</v>
      </c>
      <c r="AO30" s="141">
        <v>0</v>
      </c>
      <c r="AP30" s="141">
        <v>0</v>
      </c>
    </row>
    <row r="31" spans="1:42" customFormat="1" x14ac:dyDescent="0.15">
      <c r="A31" s="177" t="s">
        <v>221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5.9694030674542549E-2</v>
      </c>
      <c r="H31" s="141">
        <v>0</v>
      </c>
      <c r="I31" s="141">
        <v>5.0084973137322721E-2</v>
      </c>
      <c r="J31" s="141">
        <v>0</v>
      </c>
      <c r="K31" s="141">
        <v>0</v>
      </c>
      <c r="L31" s="141">
        <v>0</v>
      </c>
      <c r="M31" s="141">
        <v>0</v>
      </c>
      <c r="N31" s="141">
        <v>0.25102508636440607</v>
      </c>
      <c r="O31" s="141">
        <v>0</v>
      </c>
      <c r="P31" s="141">
        <v>5.3907226095499618E-2</v>
      </c>
      <c r="Q31" s="141">
        <v>6.2803107063622826E-2</v>
      </c>
      <c r="R31" s="141">
        <v>0</v>
      </c>
      <c r="S31" s="141">
        <v>0.17399434752198306</v>
      </c>
      <c r="T31" s="141">
        <v>0</v>
      </c>
      <c r="U31" s="141">
        <v>0</v>
      </c>
      <c r="V31" s="141">
        <v>0</v>
      </c>
      <c r="W31" s="141">
        <v>0.15</v>
      </c>
      <c r="X31" s="141">
        <v>0</v>
      </c>
      <c r="Y31" s="141">
        <v>0</v>
      </c>
      <c r="Z31" s="141">
        <v>0</v>
      </c>
      <c r="AA31" s="141">
        <v>0</v>
      </c>
      <c r="AB31" s="141">
        <v>0</v>
      </c>
      <c r="AC31" s="141">
        <v>0</v>
      </c>
      <c r="AD31" s="141">
        <v>0</v>
      </c>
      <c r="AE31" s="141">
        <v>0.1</v>
      </c>
      <c r="AF31" s="141">
        <v>0</v>
      </c>
      <c r="AG31" s="141">
        <v>0</v>
      </c>
      <c r="AH31" s="141">
        <v>0</v>
      </c>
      <c r="AI31" s="141">
        <v>0</v>
      </c>
      <c r="AJ31" s="141">
        <v>0</v>
      </c>
      <c r="AK31" s="141">
        <v>0</v>
      </c>
      <c r="AL31" s="141">
        <v>0</v>
      </c>
      <c r="AM31" s="141">
        <v>0</v>
      </c>
      <c r="AN31" s="141">
        <v>0</v>
      </c>
      <c r="AO31" s="141">
        <v>0</v>
      </c>
      <c r="AP31" s="141">
        <v>0</v>
      </c>
    </row>
    <row r="32" spans="1:42" customFormat="1" x14ac:dyDescent="0.15">
      <c r="A32" s="177" t="s">
        <v>222</v>
      </c>
      <c r="B32" s="141">
        <v>0</v>
      </c>
      <c r="C32" s="141">
        <v>0</v>
      </c>
      <c r="D32" s="141">
        <v>0</v>
      </c>
      <c r="E32" s="141">
        <v>0</v>
      </c>
      <c r="F32" s="141">
        <v>1.8992402899570167E-3</v>
      </c>
      <c r="G32" s="141">
        <v>4.9495050559294075E-2</v>
      </c>
      <c r="H32" s="141">
        <v>0</v>
      </c>
      <c r="I32" s="141">
        <v>5.0084973137322721E-2</v>
      </c>
      <c r="J32" s="141">
        <v>0</v>
      </c>
      <c r="K32" s="141">
        <v>1.9992004609356196E-3</v>
      </c>
      <c r="L32" s="141">
        <v>0</v>
      </c>
      <c r="M32" s="141">
        <v>0</v>
      </c>
      <c r="N32" s="141">
        <v>0.10001001013721392</v>
      </c>
      <c r="O32" s="141">
        <v>1.2001200297569754E-2</v>
      </c>
      <c r="P32" s="141">
        <v>5.9896915661666397E-2</v>
      </c>
      <c r="Q32" s="141">
        <v>5.2286882134350524E-2</v>
      </c>
      <c r="R32" s="141">
        <v>7.9000000000000008E-3</v>
      </c>
      <c r="S32" s="141">
        <v>0.14999514844998546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</row>
    <row r="33" spans="1:42" customFormat="1" x14ac:dyDescent="0.15">
      <c r="A33" s="177" t="s">
        <v>223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2.109789023840616E-2</v>
      </c>
      <c r="H33" s="141">
        <v>0</v>
      </c>
      <c r="I33" s="141">
        <v>0.13116065521590345</v>
      </c>
      <c r="J33" s="141">
        <v>0</v>
      </c>
      <c r="K33" s="141">
        <v>0</v>
      </c>
      <c r="L33" s="141">
        <v>0</v>
      </c>
      <c r="M33" s="141">
        <v>0</v>
      </c>
      <c r="N33" s="141">
        <v>1.1101110237230727E-2</v>
      </c>
      <c r="O33" s="141">
        <v>8.000799798379846E-3</v>
      </c>
      <c r="P33" s="141">
        <v>8.3855683926332816E-2</v>
      </c>
      <c r="Q33" s="141">
        <v>7.0482342877089238E-2</v>
      </c>
      <c r="R33" s="141">
        <v>0</v>
      </c>
      <c r="S33" s="141">
        <v>0</v>
      </c>
      <c r="T33" s="141">
        <v>0</v>
      </c>
      <c r="U33" s="141">
        <v>0</v>
      </c>
      <c r="V33" s="141">
        <v>0.65</v>
      </c>
      <c r="W33" s="141">
        <v>0.1</v>
      </c>
      <c r="X33" s="141">
        <v>0</v>
      </c>
      <c r="Y33" s="141">
        <v>0</v>
      </c>
      <c r="Z33" s="141">
        <v>0</v>
      </c>
      <c r="AA33" s="141">
        <v>0</v>
      </c>
      <c r="AB33" s="141">
        <v>0.1</v>
      </c>
      <c r="AC33" s="141">
        <v>0</v>
      </c>
      <c r="AD33" s="141">
        <v>0</v>
      </c>
      <c r="AE33" s="141">
        <v>0.02</v>
      </c>
      <c r="AF33" s="141">
        <v>1.4998499920937897E-2</v>
      </c>
      <c r="AG33" s="141">
        <v>0</v>
      </c>
      <c r="AH33" s="141">
        <v>9.9800772165676752E-4</v>
      </c>
      <c r="AI33" s="141">
        <v>0</v>
      </c>
      <c r="AJ33" s="141">
        <v>0</v>
      </c>
      <c r="AK33" s="141">
        <v>0</v>
      </c>
      <c r="AL33" s="141">
        <v>0</v>
      </c>
      <c r="AM33" s="141">
        <v>0</v>
      </c>
      <c r="AN33" s="141">
        <v>0</v>
      </c>
      <c r="AO33" s="141">
        <v>0</v>
      </c>
      <c r="AP33" s="141">
        <v>0</v>
      </c>
    </row>
    <row r="34" spans="1:42" customFormat="1" x14ac:dyDescent="0.15">
      <c r="A34" s="177" t="s">
        <v>224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1">
        <v>0</v>
      </c>
      <c r="Q34" s="141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0</v>
      </c>
      <c r="W34" s="141">
        <v>0.05</v>
      </c>
      <c r="X34" s="141">
        <v>0</v>
      </c>
      <c r="Y34" s="141">
        <v>0</v>
      </c>
      <c r="Z34" s="141">
        <v>0</v>
      </c>
      <c r="AA34" s="141">
        <v>0</v>
      </c>
      <c r="AB34" s="141">
        <v>0.25</v>
      </c>
      <c r="AC34" s="141">
        <v>4.9999998204999813E-2</v>
      </c>
      <c r="AD34" s="141">
        <v>0.4</v>
      </c>
      <c r="AE34" s="141">
        <v>0.2</v>
      </c>
      <c r="AF34" s="141">
        <v>0</v>
      </c>
      <c r="AG34" s="141">
        <v>0.4</v>
      </c>
      <c r="AH34" s="141">
        <v>0</v>
      </c>
      <c r="AI34" s="141">
        <v>0</v>
      </c>
      <c r="AJ34" s="141">
        <v>0</v>
      </c>
      <c r="AK34" s="141">
        <v>0</v>
      </c>
      <c r="AL34" s="141">
        <v>0</v>
      </c>
      <c r="AM34" s="141">
        <v>0</v>
      </c>
      <c r="AN34" s="141">
        <v>0</v>
      </c>
      <c r="AO34" s="141">
        <v>0</v>
      </c>
      <c r="AP34" s="141">
        <v>0</v>
      </c>
    </row>
    <row r="35" spans="1:42" customFormat="1" x14ac:dyDescent="0.15">
      <c r="A35" s="177" t="s">
        <v>225</v>
      </c>
      <c r="B35" s="141">
        <v>0</v>
      </c>
      <c r="C35" s="141">
        <v>0</v>
      </c>
      <c r="D35" s="141">
        <v>0</v>
      </c>
      <c r="E35" s="141">
        <v>0</v>
      </c>
      <c r="F35" s="141">
        <v>0</v>
      </c>
      <c r="G35" s="141">
        <v>2.2397758653094672E-2</v>
      </c>
      <c r="H35" s="141">
        <v>0</v>
      </c>
      <c r="I35" s="141">
        <v>0</v>
      </c>
      <c r="J35" s="141">
        <v>0</v>
      </c>
      <c r="K35" s="141">
        <v>0</v>
      </c>
      <c r="L35" s="141">
        <v>0.10000000154000017</v>
      </c>
      <c r="M35" s="141">
        <v>0</v>
      </c>
      <c r="N35" s="141">
        <v>7.3007304860166098E-3</v>
      </c>
      <c r="O35" s="141">
        <v>0</v>
      </c>
      <c r="P35" s="141">
        <v>0</v>
      </c>
      <c r="Q35" s="141">
        <v>0</v>
      </c>
      <c r="R35" s="141">
        <v>0.10299999999999999</v>
      </c>
      <c r="S35" s="141">
        <v>0</v>
      </c>
      <c r="T35" s="141">
        <v>0.24924926246246312</v>
      </c>
      <c r="U35" s="141">
        <v>0.4</v>
      </c>
      <c r="V35" s="141">
        <v>0</v>
      </c>
      <c r="W35" s="141">
        <v>0</v>
      </c>
      <c r="X35" s="141">
        <v>0.5118511802425445</v>
      </c>
      <c r="Y35" s="141">
        <v>0.55000000000000004</v>
      </c>
      <c r="Z35" s="141">
        <v>0.94062375059376258</v>
      </c>
      <c r="AA35" s="141">
        <v>0.64</v>
      </c>
      <c r="AB35" s="141">
        <v>0</v>
      </c>
      <c r="AC35" s="141">
        <v>0.55000000595500054</v>
      </c>
      <c r="AD35" s="141">
        <v>0</v>
      </c>
      <c r="AE35" s="141">
        <v>0.05</v>
      </c>
      <c r="AF35" s="141">
        <v>0.2398760099308668</v>
      </c>
      <c r="AG35" s="141">
        <v>0</v>
      </c>
      <c r="AH35" s="141">
        <v>0</v>
      </c>
      <c r="AI35" s="141">
        <v>0</v>
      </c>
      <c r="AJ35" s="141">
        <v>0</v>
      </c>
      <c r="AK35" s="141">
        <v>0</v>
      </c>
      <c r="AL35" s="141">
        <v>0</v>
      </c>
      <c r="AM35" s="141">
        <v>0</v>
      </c>
      <c r="AN35" s="141">
        <v>0</v>
      </c>
      <c r="AO35" s="141">
        <v>0</v>
      </c>
      <c r="AP35" s="141">
        <v>0</v>
      </c>
    </row>
    <row r="36" spans="1:42" customFormat="1" x14ac:dyDescent="0.15">
      <c r="A36" s="177" t="s">
        <v>226</v>
      </c>
      <c r="B36" s="141">
        <v>0</v>
      </c>
      <c r="C36" s="141">
        <v>0</v>
      </c>
      <c r="D36" s="141">
        <v>0</v>
      </c>
      <c r="E36" s="141">
        <v>0</v>
      </c>
      <c r="F36" s="141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141">
        <v>0</v>
      </c>
      <c r="M36" s="141">
        <v>0</v>
      </c>
      <c r="N36" s="141">
        <v>0</v>
      </c>
      <c r="O36" s="141">
        <v>0</v>
      </c>
      <c r="P36" s="141">
        <v>0</v>
      </c>
      <c r="Q36" s="141">
        <v>0</v>
      </c>
      <c r="R36" s="141">
        <v>0</v>
      </c>
      <c r="S36" s="141">
        <v>0</v>
      </c>
      <c r="T36" s="141">
        <v>0</v>
      </c>
      <c r="U36" s="141">
        <v>0</v>
      </c>
      <c r="V36" s="141">
        <v>0</v>
      </c>
      <c r="W36" s="141">
        <v>0</v>
      </c>
      <c r="X36" s="141">
        <v>5.0005001869806935E-2</v>
      </c>
      <c r="Y36" s="141">
        <v>0.05</v>
      </c>
      <c r="Z36" s="141">
        <v>0</v>
      </c>
      <c r="AA36" s="141">
        <v>0.1</v>
      </c>
      <c r="AB36" s="141">
        <v>0.1</v>
      </c>
      <c r="AC36" s="141">
        <v>9.9999999809999962E-2</v>
      </c>
      <c r="AD36" s="141">
        <v>0</v>
      </c>
      <c r="AE36" s="141">
        <v>0.05</v>
      </c>
      <c r="AF36" s="141">
        <v>0</v>
      </c>
      <c r="AG36" s="141">
        <v>0</v>
      </c>
      <c r="AH36" s="141">
        <v>0.14970116624851532</v>
      </c>
      <c r="AI36" s="141">
        <v>0.2</v>
      </c>
      <c r="AJ36" s="141">
        <v>5.0000000000000001E-3</v>
      </c>
      <c r="AK36" s="141">
        <v>0</v>
      </c>
      <c r="AL36" s="141">
        <v>0</v>
      </c>
      <c r="AM36" s="141">
        <v>0</v>
      </c>
      <c r="AN36" s="141">
        <v>0</v>
      </c>
      <c r="AO36" s="141">
        <v>0</v>
      </c>
      <c r="AP36" s="141">
        <v>0</v>
      </c>
    </row>
    <row r="37" spans="1:42" customFormat="1" x14ac:dyDescent="0.15">
      <c r="A37" s="177" t="s">
        <v>227</v>
      </c>
      <c r="B37" s="141">
        <v>0</v>
      </c>
      <c r="C37" s="141">
        <v>0</v>
      </c>
      <c r="D37" s="141">
        <v>0</v>
      </c>
      <c r="E37" s="141">
        <v>0</v>
      </c>
      <c r="F37" s="141">
        <v>0</v>
      </c>
      <c r="G37" s="141">
        <v>0</v>
      </c>
      <c r="H37" s="141">
        <v>0</v>
      </c>
      <c r="I37" s="141">
        <v>0</v>
      </c>
      <c r="J37" s="141">
        <v>0</v>
      </c>
      <c r="K37" s="141">
        <v>0</v>
      </c>
      <c r="L37" s="141">
        <v>0</v>
      </c>
      <c r="M37" s="141">
        <v>0</v>
      </c>
      <c r="N37" s="141">
        <v>0</v>
      </c>
      <c r="O37" s="141">
        <v>0</v>
      </c>
      <c r="P37" s="141">
        <v>0</v>
      </c>
      <c r="Q37" s="141">
        <v>0</v>
      </c>
      <c r="R37" s="141">
        <v>0</v>
      </c>
      <c r="S37" s="141">
        <v>0</v>
      </c>
      <c r="T37" s="141">
        <v>0</v>
      </c>
      <c r="U37" s="141">
        <v>0</v>
      </c>
      <c r="V37" s="141">
        <v>0</v>
      </c>
      <c r="W37" s="141">
        <v>0.05</v>
      </c>
      <c r="X37" s="141">
        <v>0</v>
      </c>
      <c r="Y37" s="141">
        <v>0</v>
      </c>
      <c r="Z37" s="141">
        <v>0</v>
      </c>
      <c r="AA37" s="141">
        <v>0</v>
      </c>
      <c r="AB37" s="141">
        <v>0.1</v>
      </c>
      <c r="AC37" s="141">
        <v>0</v>
      </c>
      <c r="AD37" s="141">
        <v>0.3</v>
      </c>
      <c r="AE37" s="141">
        <v>0.08</v>
      </c>
      <c r="AF37" s="141">
        <v>0</v>
      </c>
      <c r="AG37" s="141">
        <v>0</v>
      </c>
      <c r="AH37" s="141">
        <v>0.24950191941419164</v>
      </c>
      <c r="AI37" s="141">
        <v>0</v>
      </c>
      <c r="AJ37" s="141">
        <v>0</v>
      </c>
      <c r="AK37" s="141">
        <v>0</v>
      </c>
      <c r="AL37" s="141">
        <v>0</v>
      </c>
      <c r="AM37" s="141">
        <v>0</v>
      </c>
      <c r="AN37" s="141">
        <v>0</v>
      </c>
      <c r="AO37" s="141">
        <v>0</v>
      </c>
      <c r="AP37" s="141">
        <v>0</v>
      </c>
    </row>
    <row r="38" spans="1:42" customFormat="1" x14ac:dyDescent="0.15">
      <c r="A38" s="177" t="s">
        <v>228</v>
      </c>
      <c r="B38" s="141">
        <v>0</v>
      </c>
      <c r="C38" s="141">
        <v>0</v>
      </c>
      <c r="D38" s="141">
        <v>0</v>
      </c>
      <c r="E38" s="141">
        <v>0</v>
      </c>
      <c r="F38" s="141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141">
        <v>0</v>
      </c>
      <c r="M38" s="141">
        <v>0</v>
      </c>
      <c r="N38" s="141">
        <v>0</v>
      </c>
      <c r="O38" s="141">
        <v>0</v>
      </c>
      <c r="P38" s="141">
        <v>0</v>
      </c>
      <c r="Q38" s="141">
        <v>0</v>
      </c>
      <c r="R38" s="141">
        <v>0</v>
      </c>
      <c r="S38" s="141">
        <v>0</v>
      </c>
      <c r="T38" s="141">
        <v>0</v>
      </c>
      <c r="U38" s="141">
        <v>0</v>
      </c>
      <c r="V38" s="141">
        <v>0</v>
      </c>
      <c r="W38" s="141">
        <v>0</v>
      </c>
      <c r="X38" s="141">
        <v>5.0005001869806935E-2</v>
      </c>
      <c r="Y38" s="141">
        <v>0.05</v>
      </c>
      <c r="Z38" s="141">
        <v>0</v>
      </c>
      <c r="AA38" s="141">
        <v>0.1</v>
      </c>
      <c r="AB38" s="141">
        <v>0</v>
      </c>
      <c r="AC38" s="141">
        <v>9.9999999809999962E-2</v>
      </c>
      <c r="AD38" s="141">
        <v>0</v>
      </c>
      <c r="AE38" s="141">
        <v>0.05</v>
      </c>
      <c r="AF38" s="141">
        <v>8.4991503518648245E-2</v>
      </c>
      <c r="AG38" s="141">
        <v>0</v>
      </c>
      <c r="AH38" s="141">
        <v>0</v>
      </c>
      <c r="AI38" s="141">
        <v>0.75</v>
      </c>
      <c r="AJ38" s="141">
        <v>0.05</v>
      </c>
      <c r="AK38" s="141">
        <v>0</v>
      </c>
      <c r="AL38" s="141">
        <v>0</v>
      </c>
      <c r="AM38" s="141">
        <v>0</v>
      </c>
      <c r="AN38" s="141">
        <v>0</v>
      </c>
      <c r="AO38" s="141">
        <v>0</v>
      </c>
      <c r="AP38" s="141">
        <v>0</v>
      </c>
    </row>
    <row r="39" spans="1:42" x14ac:dyDescent="0.15">
      <c r="A39" s="177" t="s">
        <v>229</v>
      </c>
      <c r="B39" s="141">
        <v>0</v>
      </c>
      <c r="C39" s="141">
        <v>0</v>
      </c>
      <c r="D39" s="141">
        <v>0</v>
      </c>
      <c r="E39" s="141">
        <v>0</v>
      </c>
      <c r="F39" s="141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1">
        <v>4.7917536529332823E-3</v>
      </c>
      <c r="Q39" s="141">
        <v>6.9982442856683308E-3</v>
      </c>
      <c r="R39" s="141">
        <v>0</v>
      </c>
      <c r="S39" s="141">
        <v>0</v>
      </c>
      <c r="T39" s="141">
        <v>0</v>
      </c>
      <c r="U39" s="141">
        <v>0</v>
      </c>
      <c r="V39" s="141">
        <v>0</v>
      </c>
      <c r="W39" s="141">
        <v>0</v>
      </c>
      <c r="X39" s="141">
        <v>0</v>
      </c>
      <c r="Y39" s="141">
        <v>0</v>
      </c>
      <c r="Z39" s="141">
        <v>0</v>
      </c>
      <c r="AA39" s="141">
        <v>0</v>
      </c>
      <c r="AB39" s="141">
        <v>0</v>
      </c>
      <c r="AC39" s="141">
        <v>0</v>
      </c>
      <c r="AD39" s="141">
        <v>0</v>
      </c>
      <c r="AE39" s="141">
        <v>0</v>
      </c>
      <c r="AF39" s="141">
        <v>0</v>
      </c>
      <c r="AG39" s="141">
        <v>0</v>
      </c>
      <c r="AH39" s="141">
        <v>0</v>
      </c>
      <c r="AI39" s="141">
        <v>0</v>
      </c>
      <c r="AJ39" s="141">
        <v>0</v>
      </c>
      <c r="AK39" s="141">
        <v>0</v>
      </c>
      <c r="AL39" s="141">
        <v>0</v>
      </c>
      <c r="AM39" s="141">
        <v>0</v>
      </c>
      <c r="AN39" s="141">
        <v>0</v>
      </c>
      <c r="AO39" s="141">
        <v>0</v>
      </c>
      <c r="AP39" s="141">
        <v>0</v>
      </c>
    </row>
    <row r="40" spans="1:42" x14ac:dyDescent="0.15">
      <c r="A40" s="177" t="s">
        <v>230</v>
      </c>
      <c r="B40" s="141">
        <v>0</v>
      </c>
      <c r="C40" s="141">
        <v>0</v>
      </c>
      <c r="D40" s="141">
        <v>2.0006003816634798E-3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1">
        <v>0</v>
      </c>
      <c r="Q40" s="141">
        <v>0</v>
      </c>
      <c r="R40" s="141">
        <v>0</v>
      </c>
      <c r="S40" s="141">
        <v>0</v>
      </c>
      <c r="T40" s="141">
        <v>0</v>
      </c>
      <c r="U40" s="141">
        <v>0</v>
      </c>
      <c r="V40" s="141">
        <v>0</v>
      </c>
      <c r="W40" s="141">
        <v>0.1</v>
      </c>
      <c r="X40" s="141">
        <v>0</v>
      </c>
      <c r="Y40" s="141">
        <v>0</v>
      </c>
      <c r="Z40" s="141">
        <v>0</v>
      </c>
      <c r="AA40" s="141">
        <v>0</v>
      </c>
      <c r="AB40" s="141">
        <v>0</v>
      </c>
      <c r="AC40" s="141">
        <v>0</v>
      </c>
      <c r="AD40" s="141">
        <v>0</v>
      </c>
      <c r="AE40" s="141">
        <v>0.05</v>
      </c>
      <c r="AF40" s="141">
        <v>4.9995002069793085E-2</v>
      </c>
      <c r="AG40" s="141">
        <v>0</v>
      </c>
      <c r="AH40" s="141">
        <v>1.5000003725500081E-2</v>
      </c>
      <c r="AI40" s="141">
        <v>0</v>
      </c>
      <c r="AJ40" s="141">
        <v>0</v>
      </c>
      <c r="AK40" s="141">
        <v>1.4999999999999999E-2</v>
      </c>
      <c r="AL40" s="141">
        <v>0</v>
      </c>
      <c r="AM40" s="141">
        <v>0</v>
      </c>
      <c r="AN40" s="141">
        <v>0</v>
      </c>
      <c r="AO40" s="141">
        <v>0</v>
      </c>
      <c r="AP40" s="141">
        <v>0</v>
      </c>
    </row>
    <row r="41" spans="1:42" x14ac:dyDescent="0.15">
      <c r="A41" s="177" t="s">
        <v>231</v>
      </c>
      <c r="B41" s="141">
        <v>0</v>
      </c>
      <c r="C41" s="141">
        <v>0</v>
      </c>
      <c r="D41" s="141">
        <v>0</v>
      </c>
      <c r="E41" s="141">
        <v>0</v>
      </c>
      <c r="F41" s="141">
        <v>0</v>
      </c>
      <c r="G41" s="141">
        <v>0</v>
      </c>
      <c r="H41" s="141">
        <v>0</v>
      </c>
      <c r="I41" s="141">
        <v>0</v>
      </c>
      <c r="J41" s="141">
        <v>0</v>
      </c>
      <c r="K41" s="141">
        <v>0</v>
      </c>
      <c r="L41" s="141">
        <v>0</v>
      </c>
      <c r="M41" s="141">
        <v>0</v>
      </c>
      <c r="N41" s="141">
        <v>0</v>
      </c>
      <c r="O41" s="141">
        <v>0</v>
      </c>
      <c r="P41" s="141">
        <v>0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  <c r="Z41" s="141">
        <v>0</v>
      </c>
      <c r="AA41" s="141">
        <v>0</v>
      </c>
      <c r="AB41" s="141">
        <v>0</v>
      </c>
      <c r="AC41" s="141">
        <v>4.9999998204999813E-2</v>
      </c>
      <c r="AD41" s="141">
        <v>0.15</v>
      </c>
      <c r="AE41" s="141">
        <v>0.05</v>
      </c>
      <c r="AF41" s="141">
        <v>0.21287870881317855</v>
      </c>
      <c r="AG41" s="141">
        <v>0.4</v>
      </c>
      <c r="AH41" s="141">
        <v>9.9800767665676665E-2</v>
      </c>
      <c r="AI41" s="141">
        <v>0.01</v>
      </c>
      <c r="AJ41" s="141">
        <v>0.85</v>
      </c>
      <c r="AK41" s="141">
        <v>5.5E-2</v>
      </c>
      <c r="AL41" s="141">
        <v>0</v>
      </c>
      <c r="AM41" s="141">
        <v>0</v>
      </c>
      <c r="AN41" s="141">
        <v>0</v>
      </c>
      <c r="AO41" s="141">
        <v>0</v>
      </c>
      <c r="AP41" s="141">
        <v>0</v>
      </c>
    </row>
    <row r="42" spans="1:42" x14ac:dyDescent="0.15">
      <c r="A42" s="177" t="s">
        <v>232</v>
      </c>
      <c r="B42" s="141">
        <v>0</v>
      </c>
      <c r="C42" s="141">
        <v>0</v>
      </c>
      <c r="D42" s="141">
        <v>0</v>
      </c>
      <c r="E42" s="141">
        <v>0</v>
      </c>
      <c r="F42" s="141">
        <v>0</v>
      </c>
      <c r="G42" s="141">
        <v>0</v>
      </c>
      <c r="H42" s="141">
        <v>0</v>
      </c>
      <c r="I42" s="141">
        <v>0</v>
      </c>
      <c r="J42" s="141">
        <v>0</v>
      </c>
      <c r="K42" s="141">
        <v>0</v>
      </c>
      <c r="L42" s="141">
        <v>0</v>
      </c>
      <c r="M42" s="141">
        <v>0</v>
      </c>
      <c r="N42" s="141">
        <v>0</v>
      </c>
      <c r="O42" s="141">
        <v>0</v>
      </c>
      <c r="P42" s="141">
        <v>0</v>
      </c>
      <c r="Q42" s="141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141">
        <v>0.1</v>
      </c>
      <c r="X42" s="141">
        <v>0</v>
      </c>
      <c r="Y42" s="141">
        <v>0</v>
      </c>
      <c r="Z42" s="141">
        <v>0</v>
      </c>
      <c r="AA42" s="141">
        <v>0</v>
      </c>
      <c r="AB42" s="141">
        <v>0.3</v>
      </c>
      <c r="AC42" s="141">
        <v>9.9999999809999962E-2</v>
      </c>
      <c r="AD42" s="141">
        <v>0.15</v>
      </c>
      <c r="AE42" s="141">
        <v>0.35</v>
      </c>
      <c r="AF42" s="141">
        <v>0.26237375586227346</v>
      </c>
      <c r="AG42" s="141">
        <v>0.2</v>
      </c>
      <c r="AH42" s="141">
        <v>0.4840001275028028</v>
      </c>
      <c r="AI42" s="141">
        <v>0.04</v>
      </c>
      <c r="AJ42" s="141">
        <v>9.5000000000000001E-2</v>
      </c>
      <c r="AK42" s="141">
        <v>0.93</v>
      </c>
      <c r="AL42" s="141">
        <v>0</v>
      </c>
      <c r="AM42" s="141">
        <v>0</v>
      </c>
      <c r="AN42" s="141">
        <v>0</v>
      </c>
      <c r="AO42" s="141">
        <v>0</v>
      </c>
      <c r="AP42" s="141">
        <v>0</v>
      </c>
    </row>
    <row r="43" spans="1:42" x14ac:dyDescent="0.15">
      <c r="A43" s="177" t="s">
        <v>239</v>
      </c>
      <c r="B43" s="141">
        <v>0</v>
      </c>
      <c r="C43" s="141">
        <v>0</v>
      </c>
      <c r="D43" s="141">
        <v>0</v>
      </c>
      <c r="E43" s="141">
        <v>0</v>
      </c>
      <c r="F43" s="141">
        <v>0</v>
      </c>
      <c r="G43" s="141">
        <v>0</v>
      </c>
      <c r="H43" s="141">
        <v>0</v>
      </c>
      <c r="I43" s="141">
        <v>0</v>
      </c>
      <c r="J43" s="141">
        <v>0</v>
      </c>
      <c r="K43" s="141">
        <v>0</v>
      </c>
      <c r="L43" s="141">
        <v>0</v>
      </c>
      <c r="M43" s="141">
        <v>0</v>
      </c>
      <c r="N43" s="141">
        <v>0</v>
      </c>
      <c r="O43" s="141">
        <v>0</v>
      </c>
      <c r="P43" s="141">
        <v>0</v>
      </c>
      <c r="Q43" s="141">
        <v>0</v>
      </c>
      <c r="R43" s="141">
        <v>0</v>
      </c>
      <c r="S43" s="141">
        <v>0</v>
      </c>
      <c r="T43" s="141">
        <v>0</v>
      </c>
      <c r="U43" s="141">
        <v>0</v>
      </c>
      <c r="V43" s="141">
        <v>0</v>
      </c>
      <c r="W43" s="141">
        <v>0</v>
      </c>
      <c r="X43" s="141">
        <v>0</v>
      </c>
      <c r="Y43" s="141">
        <v>0</v>
      </c>
      <c r="Z43" s="141">
        <v>0</v>
      </c>
      <c r="AA43" s="141">
        <v>0</v>
      </c>
      <c r="AB43" s="141">
        <v>0</v>
      </c>
      <c r="AC43" s="141">
        <v>0</v>
      </c>
      <c r="AD43" s="141">
        <v>0</v>
      </c>
      <c r="AE43" s="141">
        <v>0</v>
      </c>
      <c r="AF43" s="141">
        <v>0</v>
      </c>
      <c r="AG43" s="141">
        <v>0</v>
      </c>
      <c r="AH43" s="141">
        <v>0</v>
      </c>
      <c r="AI43" s="141">
        <v>0</v>
      </c>
      <c r="AJ43" s="141">
        <v>0</v>
      </c>
      <c r="AK43" s="141">
        <v>0</v>
      </c>
      <c r="AL43" s="141">
        <v>0</v>
      </c>
      <c r="AM43" s="141">
        <v>0</v>
      </c>
      <c r="AN43" s="141">
        <v>0</v>
      </c>
      <c r="AO43" s="141">
        <v>0</v>
      </c>
      <c r="AP43" s="14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0" activePane="bottomRight" state="frozen"/>
      <selection pane="topRight" activeCell="C1" sqref="C1"/>
      <selection pane="bottomLeft" activeCell="A2" sqref="A2"/>
      <selection pane="bottomRight" activeCell="I50" sqref="I50"/>
    </sheetView>
  </sheetViews>
  <sheetFormatPr baseColWidth="10" defaultColWidth="8.83203125" defaultRowHeight="13" x14ac:dyDescent="0.15"/>
  <cols>
    <col min="1" max="1" width="3.33203125" customWidth="1"/>
    <col min="2" max="2" width="32" customWidth="1"/>
    <col min="3" max="4" width="17.83203125" style="110" customWidth="1"/>
    <col min="5" max="6" width="17.83203125" style="109" customWidth="1"/>
    <col min="7" max="7" width="17.83203125" style="110" customWidth="1"/>
    <col min="8" max="8" width="8.83203125" style="110"/>
  </cols>
  <sheetData>
    <row r="1" spans="1:8" ht="70" x14ac:dyDescent="0.15">
      <c r="A1" s="5" t="s">
        <v>20</v>
      </c>
      <c r="B1" s="1" t="s">
        <v>0</v>
      </c>
      <c r="C1" s="180" t="s">
        <v>230</v>
      </c>
      <c r="D1" s="180" t="s">
        <v>231</v>
      </c>
      <c r="E1" s="180" t="s">
        <v>232</v>
      </c>
      <c r="F1" s="180" t="s">
        <v>240</v>
      </c>
      <c r="G1" s="180" t="s">
        <v>241</v>
      </c>
      <c r="H1"/>
    </row>
    <row r="2" spans="1:8" x14ac:dyDescent="0.15">
      <c r="A2">
        <v>1</v>
      </c>
      <c r="B2" s="179" t="s">
        <v>192</v>
      </c>
      <c r="C2" s="110">
        <v>0.01</v>
      </c>
      <c r="D2" s="110">
        <v>0.7</v>
      </c>
      <c r="E2" s="109">
        <v>0.28999999999999998</v>
      </c>
      <c r="F2" s="109">
        <v>0</v>
      </c>
      <c r="G2" s="110">
        <v>1</v>
      </c>
      <c r="H2"/>
    </row>
    <row r="3" spans="1:8" x14ac:dyDescent="0.15">
      <c r="A3">
        <v>2</v>
      </c>
      <c r="B3" s="179" t="s">
        <v>193</v>
      </c>
      <c r="C3" s="110">
        <v>0.01</v>
      </c>
      <c r="D3" s="110">
        <v>0.7</v>
      </c>
      <c r="E3" s="109">
        <v>0.28999999999999998</v>
      </c>
      <c r="F3" s="109">
        <v>0</v>
      </c>
      <c r="G3" s="110">
        <v>1</v>
      </c>
      <c r="H3"/>
    </row>
    <row r="4" spans="1:8" x14ac:dyDescent="0.15">
      <c r="A4">
        <v>3</v>
      </c>
      <c r="B4" s="179" t="s">
        <v>194</v>
      </c>
      <c r="C4" s="110">
        <v>0.01</v>
      </c>
      <c r="D4" s="110">
        <v>0.5</v>
      </c>
      <c r="E4" s="109">
        <v>0</v>
      </c>
      <c r="F4" s="109">
        <v>0.49</v>
      </c>
      <c r="G4" s="110">
        <v>1</v>
      </c>
      <c r="H4"/>
    </row>
    <row r="5" spans="1:8" x14ac:dyDescent="0.15">
      <c r="A5">
        <v>4</v>
      </c>
      <c r="B5" s="179" t="s">
        <v>195</v>
      </c>
      <c r="C5" s="110">
        <v>0.01</v>
      </c>
      <c r="D5" s="110">
        <v>0.7</v>
      </c>
      <c r="E5" s="109">
        <v>0.28999999999999998</v>
      </c>
      <c r="F5" s="109">
        <v>0</v>
      </c>
      <c r="G5" s="110">
        <v>1</v>
      </c>
      <c r="H5"/>
    </row>
    <row r="6" spans="1:8" x14ac:dyDescent="0.15">
      <c r="A6">
        <v>5</v>
      </c>
      <c r="B6" s="179" t="s">
        <v>196</v>
      </c>
      <c r="C6" s="110">
        <v>0.01</v>
      </c>
      <c r="D6" s="110">
        <v>0.7</v>
      </c>
      <c r="E6" s="109">
        <v>0.28999999999999998</v>
      </c>
      <c r="F6" s="109">
        <v>0</v>
      </c>
      <c r="G6" s="110">
        <v>1</v>
      </c>
      <c r="H6"/>
    </row>
    <row r="7" spans="1:8" x14ac:dyDescent="0.15">
      <c r="A7">
        <v>6</v>
      </c>
      <c r="B7" s="179" t="s">
        <v>197</v>
      </c>
      <c r="C7" s="110">
        <v>0.01</v>
      </c>
      <c r="D7" s="110">
        <v>0.19</v>
      </c>
      <c r="E7" s="109">
        <v>0.8</v>
      </c>
      <c r="F7" s="109">
        <v>0</v>
      </c>
      <c r="G7" s="110">
        <v>1</v>
      </c>
      <c r="H7"/>
    </row>
    <row r="8" spans="1:8" x14ac:dyDescent="0.15">
      <c r="A8">
        <v>7</v>
      </c>
      <c r="B8" s="179" t="s">
        <v>198</v>
      </c>
      <c r="C8" s="110">
        <v>0.01</v>
      </c>
      <c r="D8" s="110">
        <v>0.7</v>
      </c>
      <c r="E8" s="109">
        <v>0.28999999999999998</v>
      </c>
      <c r="F8" s="109">
        <v>0</v>
      </c>
      <c r="G8" s="110">
        <v>1</v>
      </c>
      <c r="H8"/>
    </row>
    <row r="9" spans="1:8" x14ac:dyDescent="0.15">
      <c r="A9">
        <v>8</v>
      </c>
      <c r="B9" s="179" t="s">
        <v>199</v>
      </c>
      <c r="C9" s="110">
        <v>0.01</v>
      </c>
      <c r="D9" s="110">
        <v>0.19</v>
      </c>
      <c r="E9" s="109">
        <v>0.8</v>
      </c>
      <c r="F9" s="109">
        <v>0</v>
      </c>
      <c r="G9" s="110">
        <v>1</v>
      </c>
      <c r="H9"/>
    </row>
    <row r="10" spans="1:8" x14ac:dyDescent="0.15">
      <c r="A10">
        <v>9</v>
      </c>
      <c r="B10" s="179" t="s">
        <v>200</v>
      </c>
      <c r="C10" s="110">
        <v>0.01</v>
      </c>
      <c r="D10" s="110">
        <v>0.7</v>
      </c>
      <c r="E10" s="109">
        <v>0.28999999999999998</v>
      </c>
      <c r="F10" s="109">
        <v>0</v>
      </c>
      <c r="G10" s="110">
        <v>1</v>
      </c>
      <c r="H10"/>
    </row>
    <row r="11" spans="1:8" x14ac:dyDescent="0.15">
      <c r="A11">
        <v>10</v>
      </c>
      <c r="B11" s="179" t="s">
        <v>201</v>
      </c>
      <c r="C11" s="110">
        <v>0.01</v>
      </c>
      <c r="D11" s="110">
        <v>0.7</v>
      </c>
      <c r="E11" s="109">
        <v>0.28999999999999998</v>
      </c>
      <c r="F11" s="109">
        <v>0</v>
      </c>
      <c r="G11" s="110">
        <v>1</v>
      </c>
      <c r="H11"/>
    </row>
    <row r="12" spans="1:8" x14ac:dyDescent="0.15">
      <c r="A12">
        <v>11</v>
      </c>
      <c r="B12" s="179" t="s">
        <v>202</v>
      </c>
      <c r="C12" s="110">
        <v>0.01</v>
      </c>
      <c r="D12" s="110">
        <v>0.7</v>
      </c>
      <c r="E12" s="109">
        <v>0.28999999999999998</v>
      </c>
      <c r="F12" s="109">
        <v>0</v>
      </c>
      <c r="G12" s="110">
        <v>1</v>
      </c>
      <c r="H12"/>
    </row>
    <row r="13" spans="1:8" x14ac:dyDescent="0.15">
      <c r="A13">
        <v>12</v>
      </c>
      <c r="B13" s="179" t="s">
        <v>203</v>
      </c>
      <c r="C13" s="110">
        <v>0.01</v>
      </c>
      <c r="D13" s="110">
        <v>0.19</v>
      </c>
      <c r="E13" s="109">
        <v>0.8</v>
      </c>
      <c r="F13" s="109">
        <v>0</v>
      </c>
      <c r="G13" s="110">
        <v>1</v>
      </c>
      <c r="H13"/>
    </row>
    <row r="14" spans="1:8" x14ac:dyDescent="0.15">
      <c r="A14">
        <v>13</v>
      </c>
      <c r="B14" s="179" t="s">
        <v>204</v>
      </c>
      <c r="C14" s="110">
        <v>0.01</v>
      </c>
      <c r="D14" s="110">
        <v>0.19</v>
      </c>
      <c r="E14" s="109">
        <v>0.8</v>
      </c>
      <c r="F14" s="109">
        <v>0</v>
      </c>
      <c r="G14" s="110">
        <v>1</v>
      </c>
      <c r="H14"/>
    </row>
    <row r="15" spans="1:8" x14ac:dyDescent="0.15">
      <c r="A15">
        <v>14</v>
      </c>
      <c r="B15" s="179" t="s">
        <v>205</v>
      </c>
      <c r="C15" s="110">
        <v>0.01</v>
      </c>
      <c r="D15" s="110">
        <v>0.19</v>
      </c>
      <c r="E15" s="109">
        <v>0.8</v>
      </c>
      <c r="F15" s="109">
        <v>0</v>
      </c>
      <c r="G15" s="110">
        <v>1</v>
      </c>
      <c r="H15"/>
    </row>
    <row r="16" spans="1:8" x14ac:dyDescent="0.15">
      <c r="A16">
        <v>15</v>
      </c>
      <c r="B16" s="179" t="s">
        <v>206</v>
      </c>
      <c r="C16" s="110">
        <v>0.01</v>
      </c>
      <c r="D16" s="110">
        <v>0.19</v>
      </c>
      <c r="E16" s="109">
        <v>0.8</v>
      </c>
      <c r="F16" s="109">
        <v>0</v>
      </c>
      <c r="G16" s="110">
        <v>1</v>
      </c>
      <c r="H16"/>
    </row>
    <row r="17" spans="1:8" ht="15" customHeight="1" x14ac:dyDescent="0.15">
      <c r="A17">
        <v>16</v>
      </c>
      <c r="B17" s="179" t="s">
        <v>207</v>
      </c>
      <c r="C17" s="110">
        <v>0.01</v>
      </c>
      <c r="D17" s="110">
        <v>0.19</v>
      </c>
      <c r="E17" s="109">
        <v>0.8</v>
      </c>
      <c r="F17" s="109">
        <v>0</v>
      </c>
      <c r="G17" s="110">
        <v>1</v>
      </c>
      <c r="H17"/>
    </row>
    <row r="18" spans="1:8" ht="15" customHeight="1" x14ac:dyDescent="0.15">
      <c r="A18">
        <v>17</v>
      </c>
      <c r="B18" s="179" t="s">
        <v>208</v>
      </c>
      <c r="C18" s="110">
        <v>0.01</v>
      </c>
      <c r="D18" s="110">
        <v>0.19</v>
      </c>
      <c r="E18" s="109">
        <v>0.8</v>
      </c>
      <c r="F18" s="109">
        <v>0</v>
      </c>
      <c r="G18" s="110">
        <v>1</v>
      </c>
      <c r="H18"/>
    </row>
    <row r="19" spans="1:8" ht="15" customHeight="1" x14ac:dyDescent="0.15">
      <c r="A19">
        <v>18</v>
      </c>
      <c r="B19" s="179" t="s">
        <v>209</v>
      </c>
      <c r="C19" s="110">
        <v>0.01</v>
      </c>
      <c r="D19" s="110">
        <v>0.19</v>
      </c>
      <c r="E19" s="109">
        <v>0.8</v>
      </c>
      <c r="F19" s="109">
        <v>0</v>
      </c>
      <c r="G19" s="110">
        <v>1</v>
      </c>
      <c r="H19"/>
    </row>
    <row r="20" spans="1:8" ht="15" customHeight="1" x14ac:dyDescent="0.15">
      <c r="A20">
        <v>19</v>
      </c>
      <c r="B20" s="179" t="s">
        <v>210</v>
      </c>
      <c r="C20" s="110">
        <v>0.01</v>
      </c>
      <c r="D20" s="110">
        <v>0.7</v>
      </c>
      <c r="E20" s="109">
        <v>0.28999999999999998</v>
      </c>
      <c r="F20" s="109">
        <v>0</v>
      </c>
      <c r="G20" s="110">
        <v>1</v>
      </c>
      <c r="H20"/>
    </row>
    <row r="21" spans="1:8" ht="15" customHeight="1" x14ac:dyDescent="0.15">
      <c r="A21">
        <v>20</v>
      </c>
      <c r="B21" s="179" t="s">
        <v>211</v>
      </c>
      <c r="C21" s="110">
        <v>0.01</v>
      </c>
      <c r="D21" s="110">
        <v>0.8</v>
      </c>
      <c r="E21" s="109">
        <v>0.19</v>
      </c>
      <c r="F21" s="109">
        <v>0</v>
      </c>
      <c r="G21" s="110">
        <v>1</v>
      </c>
      <c r="H21"/>
    </row>
    <row r="22" spans="1:8" ht="15" customHeight="1" x14ac:dyDescent="0.15">
      <c r="A22">
        <v>21</v>
      </c>
      <c r="B22" s="179" t="s">
        <v>212</v>
      </c>
      <c r="C22" s="110">
        <v>0.01</v>
      </c>
      <c r="D22" s="110">
        <v>0.19</v>
      </c>
      <c r="E22" s="109">
        <v>0.8</v>
      </c>
      <c r="F22" s="109">
        <v>0</v>
      </c>
      <c r="G22" s="110">
        <v>1</v>
      </c>
      <c r="H22"/>
    </row>
    <row r="23" spans="1:8" ht="15" customHeight="1" x14ac:dyDescent="0.15">
      <c r="A23">
        <v>22</v>
      </c>
      <c r="B23" s="179" t="s">
        <v>213</v>
      </c>
      <c r="C23" s="110">
        <v>0.01</v>
      </c>
      <c r="D23" s="110">
        <v>0.09</v>
      </c>
      <c r="E23" s="109">
        <v>0.9</v>
      </c>
      <c r="F23" s="109">
        <v>0</v>
      </c>
      <c r="G23" s="110">
        <v>1</v>
      </c>
      <c r="H23"/>
    </row>
    <row r="24" spans="1:8" ht="15" customHeight="1" x14ac:dyDescent="0.15">
      <c r="A24">
        <v>23</v>
      </c>
      <c r="B24" s="179" t="s">
        <v>214</v>
      </c>
      <c r="C24" s="110">
        <v>0.01</v>
      </c>
      <c r="D24" s="110">
        <v>0.7</v>
      </c>
      <c r="E24" s="109">
        <v>0.28999999999999998</v>
      </c>
      <c r="F24" s="109">
        <v>0</v>
      </c>
      <c r="G24" s="110">
        <v>1</v>
      </c>
      <c r="H24"/>
    </row>
    <row r="25" spans="1:8" ht="15" customHeight="1" x14ac:dyDescent="0.15">
      <c r="A25">
        <v>24</v>
      </c>
      <c r="B25" s="179" t="s">
        <v>215</v>
      </c>
      <c r="C25" s="110">
        <v>0.01</v>
      </c>
      <c r="D25" s="110">
        <v>0.7</v>
      </c>
      <c r="E25" s="109">
        <v>0.28999999999999998</v>
      </c>
      <c r="F25" s="109">
        <v>0</v>
      </c>
      <c r="G25" s="110">
        <v>1</v>
      </c>
      <c r="H25"/>
    </row>
    <row r="26" spans="1:8" ht="15" customHeight="1" x14ac:dyDescent="0.15">
      <c r="A26">
        <v>25</v>
      </c>
      <c r="B26" s="179" t="s">
        <v>216</v>
      </c>
      <c r="C26" s="110">
        <v>0.01</v>
      </c>
      <c r="D26" s="110">
        <v>0.7</v>
      </c>
      <c r="E26" s="109">
        <v>0.28999999999999998</v>
      </c>
      <c r="F26" s="109">
        <v>0</v>
      </c>
      <c r="G26" s="110">
        <v>1</v>
      </c>
      <c r="H26"/>
    </row>
    <row r="27" spans="1:8" ht="15" customHeight="1" x14ac:dyDescent="0.15">
      <c r="A27">
        <v>26</v>
      </c>
      <c r="B27" s="179" t="s">
        <v>217</v>
      </c>
      <c r="C27" s="110">
        <v>0.01</v>
      </c>
      <c r="D27" s="110">
        <v>0.7</v>
      </c>
      <c r="E27" s="109">
        <v>0.28999999999999998</v>
      </c>
      <c r="F27" s="109">
        <v>0</v>
      </c>
      <c r="G27" s="110">
        <v>1</v>
      </c>
      <c r="H27"/>
    </row>
    <row r="28" spans="1:8" ht="15" customHeight="1" x14ac:dyDescent="0.15">
      <c r="A28">
        <v>27</v>
      </c>
      <c r="B28" s="179" t="s">
        <v>218</v>
      </c>
      <c r="C28" s="110">
        <v>0.01</v>
      </c>
      <c r="D28" s="110">
        <v>0.09</v>
      </c>
      <c r="E28" s="109">
        <v>0.9</v>
      </c>
      <c r="F28" s="109">
        <v>0</v>
      </c>
      <c r="G28" s="110">
        <v>1</v>
      </c>
      <c r="H28"/>
    </row>
    <row r="29" spans="1:8" ht="15" customHeight="1" x14ac:dyDescent="0.15">
      <c r="A29">
        <v>28</v>
      </c>
      <c r="B29" s="179" t="s">
        <v>219</v>
      </c>
      <c r="C29" s="110">
        <v>0.01</v>
      </c>
      <c r="D29" s="110">
        <v>0.8</v>
      </c>
      <c r="E29" s="109">
        <v>0.19</v>
      </c>
      <c r="F29" s="109">
        <v>0</v>
      </c>
      <c r="G29" s="110">
        <v>1</v>
      </c>
      <c r="H29"/>
    </row>
    <row r="30" spans="1:8" ht="15" customHeight="1" x14ac:dyDescent="0.15">
      <c r="A30">
        <v>29</v>
      </c>
      <c r="B30" s="179" t="s">
        <v>220</v>
      </c>
      <c r="C30" s="110">
        <v>0.01</v>
      </c>
      <c r="D30" s="110">
        <v>0.09</v>
      </c>
      <c r="E30" s="109">
        <v>0.9</v>
      </c>
      <c r="F30" s="109">
        <v>0</v>
      </c>
      <c r="G30" s="110">
        <v>1</v>
      </c>
      <c r="H30"/>
    </row>
    <row r="31" spans="1:8" ht="15" customHeight="1" x14ac:dyDescent="0.15">
      <c r="A31">
        <v>30</v>
      </c>
      <c r="B31" s="179" t="s">
        <v>221</v>
      </c>
      <c r="C31" s="110">
        <v>0.01</v>
      </c>
      <c r="D31" s="110">
        <v>0.09</v>
      </c>
      <c r="E31" s="109">
        <v>0.9</v>
      </c>
      <c r="F31" s="109">
        <v>0</v>
      </c>
      <c r="G31" s="110">
        <v>1</v>
      </c>
      <c r="H31"/>
    </row>
    <row r="32" spans="1:8" ht="15" customHeight="1" x14ac:dyDescent="0.15">
      <c r="A32">
        <v>31</v>
      </c>
      <c r="B32" s="179" t="s">
        <v>222</v>
      </c>
      <c r="C32" s="110">
        <v>0.01</v>
      </c>
      <c r="D32" s="110">
        <v>0.09</v>
      </c>
      <c r="E32" s="109">
        <v>0.9</v>
      </c>
      <c r="F32" s="109">
        <v>0</v>
      </c>
      <c r="G32" s="110">
        <v>1</v>
      </c>
    </row>
    <row r="33" spans="1:8" ht="15" customHeight="1" x14ac:dyDescent="0.15">
      <c r="A33">
        <v>32</v>
      </c>
      <c r="B33" s="179" t="s">
        <v>223</v>
      </c>
      <c r="C33" s="110">
        <v>0.01</v>
      </c>
      <c r="D33" s="110">
        <v>0.09</v>
      </c>
      <c r="E33" s="109">
        <v>0.9</v>
      </c>
      <c r="F33" s="109">
        <v>0</v>
      </c>
      <c r="G33" s="110">
        <v>1</v>
      </c>
    </row>
    <row r="34" spans="1:8" ht="15" customHeight="1" x14ac:dyDescent="0.15">
      <c r="A34">
        <v>33</v>
      </c>
      <c r="B34" s="179" t="s">
        <v>224</v>
      </c>
      <c r="C34" s="110">
        <v>0.01</v>
      </c>
      <c r="D34" s="110">
        <v>0.01</v>
      </c>
      <c r="E34" s="109">
        <v>0.98</v>
      </c>
      <c r="F34" s="109">
        <v>0</v>
      </c>
      <c r="G34" s="110">
        <v>1</v>
      </c>
    </row>
    <row r="35" spans="1:8" ht="15" customHeight="1" x14ac:dyDescent="0.15">
      <c r="A35">
        <v>34</v>
      </c>
      <c r="B35" s="179" t="s">
        <v>225</v>
      </c>
      <c r="C35" s="110">
        <v>0.01</v>
      </c>
      <c r="D35" s="110">
        <v>0.8</v>
      </c>
      <c r="E35" s="109">
        <v>0.19</v>
      </c>
      <c r="F35" s="109">
        <v>0</v>
      </c>
      <c r="G35" s="110">
        <v>1</v>
      </c>
    </row>
    <row r="36" spans="1:8" ht="15" customHeight="1" x14ac:dyDescent="0.15">
      <c r="A36">
        <v>35</v>
      </c>
      <c r="B36" s="179" t="s">
        <v>226</v>
      </c>
      <c r="C36" s="110">
        <v>0.01</v>
      </c>
      <c r="D36" s="110">
        <v>0.8</v>
      </c>
      <c r="E36" s="110">
        <v>0.19</v>
      </c>
      <c r="F36" s="110">
        <v>0</v>
      </c>
      <c r="G36" s="110">
        <v>1</v>
      </c>
      <c r="H36"/>
    </row>
    <row r="37" spans="1:8" ht="15" customHeight="1" x14ac:dyDescent="0.15">
      <c r="A37">
        <v>36</v>
      </c>
      <c r="B37" s="179" t="s">
        <v>227</v>
      </c>
      <c r="C37" s="110">
        <v>0.01</v>
      </c>
      <c r="D37" s="110">
        <v>0.01</v>
      </c>
      <c r="E37" s="110">
        <v>0.98</v>
      </c>
      <c r="F37" s="110">
        <v>0</v>
      </c>
      <c r="G37" s="110">
        <v>1</v>
      </c>
      <c r="H37"/>
    </row>
    <row r="38" spans="1:8" ht="15" customHeight="1" x14ac:dyDescent="0.15">
      <c r="A38">
        <v>37</v>
      </c>
      <c r="B38" s="179" t="s">
        <v>228</v>
      </c>
      <c r="C38" s="110">
        <v>0.01</v>
      </c>
      <c r="D38" s="110">
        <v>0.8</v>
      </c>
      <c r="E38" s="110">
        <v>0.19</v>
      </c>
      <c r="F38" s="110">
        <v>0</v>
      </c>
      <c r="G38" s="110">
        <v>1</v>
      </c>
      <c r="H38"/>
    </row>
    <row r="39" spans="1:8" ht="15" customHeight="1" x14ac:dyDescent="0.15">
      <c r="A39">
        <v>38</v>
      </c>
      <c r="B39" s="179" t="s">
        <v>229</v>
      </c>
      <c r="C39" s="110">
        <v>0.01</v>
      </c>
      <c r="D39" s="110">
        <v>0.09</v>
      </c>
      <c r="E39" s="110">
        <v>0.9</v>
      </c>
      <c r="F39" s="110">
        <v>0</v>
      </c>
      <c r="G39" s="110">
        <v>1</v>
      </c>
      <c r="H39"/>
    </row>
    <row r="40" spans="1:8" ht="15" customHeight="1" x14ac:dyDescent="0.15">
      <c r="A40">
        <v>39</v>
      </c>
      <c r="B40" s="179" t="s">
        <v>230</v>
      </c>
      <c r="C40" s="110">
        <v>0</v>
      </c>
      <c r="D40" s="110">
        <v>0.2</v>
      </c>
      <c r="E40" s="110">
        <v>0.8</v>
      </c>
      <c r="F40" s="110">
        <v>0</v>
      </c>
      <c r="G40" s="110">
        <v>1</v>
      </c>
      <c r="H40"/>
    </row>
    <row r="41" spans="1:8" ht="15" customHeight="1" x14ac:dyDescent="0.15">
      <c r="A41">
        <v>40</v>
      </c>
      <c r="B41" s="179" t="s">
        <v>231</v>
      </c>
      <c r="C41" s="110">
        <v>0</v>
      </c>
      <c r="D41" s="110">
        <v>0</v>
      </c>
      <c r="E41" s="110">
        <v>1</v>
      </c>
      <c r="F41" s="110">
        <v>0</v>
      </c>
      <c r="G41" s="110">
        <v>1</v>
      </c>
      <c r="H41"/>
    </row>
    <row r="42" spans="1:8" ht="15" customHeight="1" x14ac:dyDescent="0.15">
      <c r="A42">
        <v>41</v>
      </c>
      <c r="B42" s="179" t="s">
        <v>232</v>
      </c>
      <c r="C42" s="110">
        <v>0</v>
      </c>
      <c r="D42" s="110">
        <v>0</v>
      </c>
      <c r="E42" s="110">
        <v>0</v>
      </c>
      <c r="F42" s="110">
        <v>1</v>
      </c>
      <c r="G42" s="110">
        <v>1</v>
      </c>
      <c r="H42"/>
    </row>
    <row r="43" spans="1:8" ht="15" customHeight="1" x14ac:dyDescent="0.15">
      <c r="A43">
        <v>42</v>
      </c>
      <c r="B43" s="179" t="s">
        <v>233</v>
      </c>
      <c r="C43" s="110">
        <v>1</v>
      </c>
      <c r="D43" s="110">
        <v>0</v>
      </c>
      <c r="E43" s="110">
        <v>0</v>
      </c>
      <c r="F43" s="110">
        <v>0</v>
      </c>
      <c r="G43" s="110">
        <v>1</v>
      </c>
      <c r="H43"/>
    </row>
    <row r="44" spans="1:8" ht="15" customHeight="1" x14ac:dyDescent="0.15">
      <c r="A44">
        <v>43</v>
      </c>
      <c r="B44" s="179" t="s">
        <v>234</v>
      </c>
      <c r="C44" s="110">
        <v>1</v>
      </c>
      <c r="D44" s="110">
        <v>0</v>
      </c>
      <c r="E44" s="109">
        <v>0</v>
      </c>
      <c r="F44" s="109">
        <v>0</v>
      </c>
      <c r="G44" s="110">
        <v>1</v>
      </c>
      <c r="H44"/>
    </row>
    <row r="45" spans="1:8" ht="15" customHeight="1" x14ac:dyDescent="0.15">
      <c r="A45">
        <v>44</v>
      </c>
      <c r="B45" s="179" t="s">
        <v>235</v>
      </c>
      <c r="C45" s="110">
        <v>1</v>
      </c>
      <c r="D45" s="110">
        <v>0</v>
      </c>
      <c r="E45" s="109">
        <v>0</v>
      </c>
      <c r="F45" s="109">
        <v>0</v>
      </c>
      <c r="G45" s="110">
        <v>1</v>
      </c>
      <c r="H45"/>
    </row>
    <row r="46" spans="1:8" ht="15" customHeight="1" x14ac:dyDescent="0.15">
      <c r="A46">
        <v>45</v>
      </c>
      <c r="B46" s="179" t="s">
        <v>236</v>
      </c>
      <c r="C46" s="110">
        <v>1</v>
      </c>
      <c r="D46" s="110">
        <v>0</v>
      </c>
      <c r="E46" s="110">
        <v>0</v>
      </c>
      <c r="F46" s="110">
        <v>0</v>
      </c>
      <c r="G46" s="110">
        <v>1</v>
      </c>
      <c r="H46"/>
    </row>
    <row r="47" spans="1:8" ht="15" customHeight="1" x14ac:dyDescent="0.15">
      <c r="A47">
        <v>46</v>
      </c>
      <c r="B47" s="179" t="s">
        <v>237</v>
      </c>
      <c r="C47" s="110">
        <v>1</v>
      </c>
      <c r="D47" s="110">
        <v>0</v>
      </c>
      <c r="E47" s="109">
        <v>0</v>
      </c>
      <c r="F47" s="109">
        <v>0</v>
      </c>
      <c r="G47" s="110">
        <v>1</v>
      </c>
      <c r="H47"/>
    </row>
    <row r="48" spans="1:8" ht="15" customHeight="1" x14ac:dyDescent="0.15">
      <c r="A48">
        <v>47</v>
      </c>
      <c r="B48" s="179" t="s">
        <v>238</v>
      </c>
      <c r="C48" s="110">
        <v>1</v>
      </c>
      <c r="D48" s="110">
        <v>0</v>
      </c>
      <c r="E48" s="109">
        <v>0</v>
      </c>
      <c r="F48" s="109">
        <v>0</v>
      </c>
      <c r="G48" s="110">
        <v>1</v>
      </c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I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2" bestFit="1" customWidth="1"/>
    <col min="3" max="3" width="8.83203125" bestFit="1" customWidth="1"/>
    <col min="4" max="4" width="5.83203125" bestFit="1" customWidth="1"/>
    <col min="5" max="5" width="6.83203125" bestFit="1" customWidth="1"/>
    <col min="6" max="6" width="8.5" customWidth="1"/>
    <col min="7" max="7" width="6.83203125" customWidth="1"/>
    <col min="8" max="8" width="8.83203125" customWidth="1"/>
    <col min="9" max="9" width="9.5" customWidth="1"/>
  </cols>
  <sheetData>
    <row r="1" spans="1:9" s="111" customFormat="1" ht="112" x14ac:dyDescent="0.15">
      <c r="A1" s="5" t="s">
        <v>21</v>
      </c>
      <c r="B1" s="3" t="s">
        <v>0</v>
      </c>
      <c r="C1" s="182" t="s">
        <v>233</v>
      </c>
      <c r="D1" s="182" t="s">
        <v>234</v>
      </c>
      <c r="E1" s="182" t="s">
        <v>235</v>
      </c>
      <c r="F1" s="182" t="s">
        <v>236</v>
      </c>
      <c r="G1" s="182" t="s">
        <v>237</v>
      </c>
      <c r="H1" s="182" t="s">
        <v>238</v>
      </c>
      <c r="I1" s="182" t="s">
        <v>242</v>
      </c>
    </row>
    <row r="2" spans="1:9" ht="15" customHeight="1" x14ac:dyDescent="0.15">
      <c r="A2">
        <v>1</v>
      </c>
      <c r="B2" s="18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ht="15" customHeight="1" x14ac:dyDescent="0.15">
      <c r="A3">
        <v>2</v>
      </c>
      <c r="B3" s="181" t="s">
        <v>193</v>
      </c>
      <c r="C3">
        <v>0</v>
      </c>
      <c r="D3">
        <v>0</v>
      </c>
      <c r="E3">
        <v>0</v>
      </c>
      <c r="F3">
        <v>2.1399999999999998E-6</v>
      </c>
      <c r="G3">
        <v>6.9999999999999994E-5</v>
      </c>
      <c r="H3">
        <v>0</v>
      </c>
      <c r="I3">
        <v>7.2139999999999997E-5</v>
      </c>
    </row>
    <row r="4" spans="1:9" ht="15" customHeight="1" x14ac:dyDescent="0.15">
      <c r="A4">
        <v>3</v>
      </c>
      <c r="B4" s="18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ht="15" customHeight="1" x14ac:dyDescent="0.15">
      <c r="A5">
        <v>4</v>
      </c>
      <c r="B5" s="181" t="s">
        <v>195</v>
      </c>
      <c r="C5">
        <v>0</v>
      </c>
      <c r="D5">
        <v>4.0000000000000003E-5</v>
      </c>
      <c r="E5">
        <v>0</v>
      </c>
      <c r="F5">
        <v>0</v>
      </c>
      <c r="G5">
        <v>0</v>
      </c>
      <c r="H5">
        <v>0</v>
      </c>
      <c r="I5">
        <v>4.0000000000000003E-5</v>
      </c>
    </row>
    <row r="6" spans="1:9" ht="15" customHeight="1" x14ac:dyDescent="0.15">
      <c r="A6">
        <v>5</v>
      </c>
      <c r="B6" s="181" t="s">
        <v>196</v>
      </c>
      <c r="C6">
        <v>0</v>
      </c>
      <c r="D6">
        <v>0</v>
      </c>
      <c r="E6">
        <v>0</v>
      </c>
      <c r="F6">
        <v>4.7000000000000002E-3</v>
      </c>
      <c r="G6">
        <v>0</v>
      </c>
      <c r="H6">
        <v>0</v>
      </c>
      <c r="I6">
        <v>4.7000000000000002E-3</v>
      </c>
    </row>
    <row r="7" spans="1:9" ht="15" customHeight="1" x14ac:dyDescent="0.15">
      <c r="A7">
        <v>6</v>
      </c>
      <c r="B7" s="181" t="s">
        <v>197</v>
      </c>
      <c r="C7">
        <v>0</v>
      </c>
      <c r="D7">
        <v>0</v>
      </c>
      <c r="E7">
        <v>0</v>
      </c>
      <c r="F7">
        <v>4.4999999999999998E-2</v>
      </c>
      <c r="G7">
        <v>0</v>
      </c>
      <c r="H7">
        <v>0</v>
      </c>
      <c r="I7">
        <v>4.4999999999999998E-2</v>
      </c>
    </row>
    <row r="8" spans="1:9" ht="15" customHeight="1" x14ac:dyDescent="0.15">
      <c r="A8">
        <v>7</v>
      </c>
      <c r="B8" s="181" t="s">
        <v>198</v>
      </c>
      <c r="C8">
        <v>3.2600000000000001E-4</v>
      </c>
      <c r="D8">
        <v>0</v>
      </c>
      <c r="E8">
        <v>0</v>
      </c>
      <c r="F8">
        <v>0</v>
      </c>
      <c r="G8">
        <v>0</v>
      </c>
      <c r="H8">
        <v>0</v>
      </c>
      <c r="I8">
        <v>3.2600000000000001E-4</v>
      </c>
    </row>
    <row r="9" spans="1:9" ht="15" customHeight="1" x14ac:dyDescent="0.15">
      <c r="A9">
        <v>8</v>
      </c>
      <c r="B9" s="181" t="s">
        <v>199</v>
      </c>
      <c r="C9">
        <v>0</v>
      </c>
      <c r="D9">
        <v>0</v>
      </c>
      <c r="E9">
        <v>0</v>
      </c>
      <c r="F9">
        <v>3.5000000000000001E-3</v>
      </c>
      <c r="G9">
        <v>2.2000000000000001E-3</v>
      </c>
      <c r="H9">
        <v>0</v>
      </c>
      <c r="I9">
        <v>5.7000000000000002E-3</v>
      </c>
    </row>
    <row r="10" spans="1:9" ht="15" customHeight="1" x14ac:dyDescent="0.15">
      <c r="A10">
        <v>9</v>
      </c>
      <c r="B10" s="18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ht="15" customHeight="1" x14ac:dyDescent="0.15">
      <c r="A11">
        <v>10</v>
      </c>
      <c r="B11" s="18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ht="15" customHeight="1" x14ac:dyDescent="0.15">
      <c r="A12">
        <v>11</v>
      </c>
      <c r="B12" s="18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ht="15" customHeight="1" x14ac:dyDescent="0.15">
      <c r="A13">
        <v>12</v>
      </c>
      <c r="B13" s="181" t="s">
        <v>203</v>
      </c>
      <c r="C13">
        <v>0</v>
      </c>
      <c r="D13">
        <v>0</v>
      </c>
      <c r="E13">
        <v>0</v>
      </c>
      <c r="F13">
        <v>8.8599999999999999E-5</v>
      </c>
      <c r="G13">
        <v>0</v>
      </c>
      <c r="H13">
        <v>0</v>
      </c>
      <c r="I13">
        <v>8.8599999999999999E-5</v>
      </c>
    </row>
    <row r="14" spans="1:9" ht="15" customHeight="1" x14ac:dyDescent="0.15">
      <c r="A14">
        <v>13</v>
      </c>
      <c r="B14" s="18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ht="15" customHeight="1" x14ac:dyDescent="0.15">
      <c r="A15">
        <v>14</v>
      </c>
      <c r="B15" s="181" t="s">
        <v>205</v>
      </c>
      <c r="C15">
        <v>0</v>
      </c>
      <c r="D15">
        <v>0</v>
      </c>
      <c r="E15">
        <v>0</v>
      </c>
      <c r="F15">
        <v>1.1999999999999999E-3</v>
      </c>
      <c r="G15">
        <v>0</v>
      </c>
      <c r="H15">
        <v>0</v>
      </c>
      <c r="I15">
        <v>1.1999999999999999E-3</v>
      </c>
    </row>
    <row r="16" spans="1:9" ht="15" customHeight="1" x14ac:dyDescent="0.15">
      <c r="A16">
        <v>15</v>
      </c>
      <c r="B16" s="181" t="s">
        <v>206</v>
      </c>
      <c r="C16">
        <v>0</v>
      </c>
      <c r="D16">
        <v>0</v>
      </c>
      <c r="E16">
        <v>0</v>
      </c>
      <c r="F16">
        <v>9.4999999999999998E-3</v>
      </c>
      <c r="G16">
        <v>0</v>
      </c>
      <c r="H16">
        <v>0</v>
      </c>
      <c r="I16">
        <v>9.4999999999999998E-3</v>
      </c>
    </row>
    <row r="17" spans="1:9" ht="15" customHeight="1" x14ac:dyDescent="0.15">
      <c r="A17">
        <v>16</v>
      </c>
      <c r="B17" s="181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ht="15" customHeight="1" x14ac:dyDescent="0.15">
      <c r="A18">
        <v>17</v>
      </c>
      <c r="B18" s="181" t="s">
        <v>208</v>
      </c>
      <c r="C18">
        <v>0</v>
      </c>
      <c r="D18">
        <v>0</v>
      </c>
      <c r="E18">
        <v>0</v>
      </c>
      <c r="F18">
        <v>4.5000000000000003E-5</v>
      </c>
      <c r="G18">
        <v>0</v>
      </c>
      <c r="H18">
        <v>0</v>
      </c>
      <c r="I18">
        <v>4.5000000000000003E-5</v>
      </c>
    </row>
    <row r="19" spans="1:9" ht="15" customHeight="1" x14ac:dyDescent="0.15">
      <c r="A19">
        <v>18</v>
      </c>
      <c r="B19" s="181" t="s">
        <v>209</v>
      </c>
      <c r="C19">
        <v>0</v>
      </c>
      <c r="D19">
        <v>0</v>
      </c>
      <c r="E19">
        <v>0</v>
      </c>
      <c r="F19">
        <v>1.2999999999999999E-3</v>
      </c>
      <c r="G19">
        <v>0</v>
      </c>
      <c r="H19">
        <v>0</v>
      </c>
      <c r="I19">
        <v>1.2999999999999999E-3</v>
      </c>
    </row>
    <row r="20" spans="1:9" ht="15" customHeight="1" x14ac:dyDescent="0.15">
      <c r="A20">
        <v>19</v>
      </c>
      <c r="B20" s="18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ht="15" customHeight="1" x14ac:dyDescent="0.15">
      <c r="A21">
        <v>20</v>
      </c>
      <c r="B21" s="181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ht="15" customHeight="1" x14ac:dyDescent="0.15">
      <c r="A22">
        <v>21</v>
      </c>
      <c r="B22" s="181" t="s">
        <v>212</v>
      </c>
      <c r="C22">
        <v>0</v>
      </c>
      <c r="D22">
        <v>0</v>
      </c>
      <c r="E22">
        <v>0</v>
      </c>
      <c r="F22">
        <v>2E-3</v>
      </c>
      <c r="G22">
        <v>0</v>
      </c>
      <c r="H22">
        <v>0</v>
      </c>
      <c r="I22">
        <v>2E-3</v>
      </c>
    </row>
    <row r="23" spans="1:9" ht="15" customHeight="1" x14ac:dyDescent="0.15">
      <c r="A23">
        <v>22</v>
      </c>
      <c r="B23" s="181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ht="15" customHeight="1" x14ac:dyDescent="0.15">
      <c r="A24">
        <v>23</v>
      </c>
      <c r="B24" s="181" t="s">
        <v>214</v>
      </c>
      <c r="C24">
        <v>0</v>
      </c>
      <c r="D24">
        <v>0</v>
      </c>
      <c r="E24">
        <v>2.0000000000000001E-4</v>
      </c>
      <c r="F24">
        <v>0</v>
      </c>
      <c r="G24">
        <v>0</v>
      </c>
      <c r="H24">
        <v>0</v>
      </c>
      <c r="I24">
        <v>2.0000000000000001E-4</v>
      </c>
    </row>
    <row r="25" spans="1:9" ht="15" customHeight="1" x14ac:dyDescent="0.15">
      <c r="A25">
        <v>24</v>
      </c>
      <c r="B25" s="181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ht="15" customHeight="1" x14ac:dyDescent="0.15">
      <c r="A26">
        <v>25</v>
      </c>
      <c r="B26" s="18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ht="15" customHeight="1" x14ac:dyDescent="0.15">
      <c r="A27">
        <v>26</v>
      </c>
      <c r="B27" s="181" t="s">
        <v>217</v>
      </c>
      <c r="C27">
        <v>0</v>
      </c>
      <c r="D27">
        <v>0</v>
      </c>
      <c r="E27">
        <v>1.2999999999999999E-3</v>
      </c>
      <c r="F27">
        <v>0</v>
      </c>
      <c r="G27">
        <v>0</v>
      </c>
      <c r="H27">
        <v>0</v>
      </c>
      <c r="I27">
        <v>1.2999999999999999E-3</v>
      </c>
    </row>
    <row r="28" spans="1:9" ht="15" customHeight="1" x14ac:dyDescent="0.15">
      <c r="A28">
        <v>27</v>
      </c>
      <c r="B28" s="181" t="s">
        <v>218</v>
      </c>
      <c r="C28">
        <v>0</v>
      </c>
      <c r="D28">
        <v>0</v>
      </c>
      <c r="E28">
        <v>0</v>
      </c>
      <c r="F28">
        <v>2.2000000000000001E-3</v>
      </c>
      <c r="G28">
        <v>0</v>
      </c>
      <c r="H28">
        <v>0</v>
      </c>
      <c r="I28">
        <v>2.2000000000000001E-3</v>
      </c>
    </row>
    <row r="29" spans="1:9" ht="15" customHeight="1" x14ac:dyDescent="0.15">
      <c r="A29">
        <v>28</v>
      </c>
      <c r="B29" s="18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ht="15" customHeight="1" x14ac:dyDescent="0.15">
      <c r="A30">
        <v>29</v>
      </c>
      <c r="B30" s="18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ht="15" customHeight="1" x14ac:dyDescent="0.15">
      <c r="A31">
        <v>30</v>
      </c>
      <c r="B31" s="18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ht="15" customHeight="1" x14ac:dyDescent="0.15">
      <c r="A32">
        <v>31</v>
      </c>
      <c r="B32" s="18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6.9160000000000003E-3</v>
      </c>
      <c r="I32">
        <v>6.9160000000000003E-3</v>
      </c>
    </row>
    <row r="33" spans="1:9" ht="15" customHeight="1" x14ac:dyDescent="0.15">
      <c r="A33">
        <v>32</v>
      </c>
      <c r="B33" s="18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ht="15" customHeight="1" x14ac:dyDescent="0.15">
      <c r="A34">
        <v>33</v>
      </c>
      <c r="B34" s="18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ht="15" customHeight="1" x14ac:dyDescent="0.15">
      <c r="A35">
        <v>34</v>
      </c>
      <c r="B35" s="18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ht="15" customHeight="1" x14ac:dyDescent="0.15">
      <c r="A36">
        <v>35</v>
      </c>
      <c r="B36" s="18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ht="15" customHeight="1" x14ac:dyDescent="0.15">
      <c r="A37">
        <v>36</v>
      </c>
      <c r="B37" s="18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ht="15" customHeight="1" x14ac:dyDescent="0.15">
      <c r="A38">
        <v>37</v>
      </c>
      <c r="B38" s="18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ht="15" customHeight="1" x14ac:dyDescent="0.15">
      <c r="A39">
        <v>38</v>
      </c>
      <c r="B39" s="181" t="s">
        <v>229</v>
      </c>
      <c r="C39">
        <v>0</v>
      </c>
      <c r="D39">
        <v>0</v>
      </c>
      <c r="E39">
        <v>0</v>
      </c>
      <c r="F39">
        <v>0</v>
      </c>
      <c r="G39">
        <v>3.5999999999999999E-3</v>
      </c>
      <c r="H39">
        <v>0</v>
      </c>
      <c r="I39">
        <v>3.5999999999999999E-3</v>
      </c>
    </row>
    <row r="40" spans="1:9" ht="15" customHeight="1" x14ac:dyDescent="0.15">
      <c r="A40">
        <v>39</v>
      </c>
      <c r="B40" s="181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ht="15" customHeight="1" x14ac:dyDescent="0.15">
      <c r="A41">
        <v>40</v>
      </c>
      <c r="B41" s="181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ht="15" customHeight="1" x14ac:dyDescent="0.15">
      <c r="A42">
        <v>41</v>
      </c>
      <c r="B42" s="181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ht="15" customHeight="1" x14ac:dyDescent="0.15"/>
    <row r="44" spans="1:9" ht="15" customHeight="1" x14ac:dyDescent="0.15"/>
    <row r="45" spans="1:9" ht="15" customHeight="1" x14ac:dyDescent="0.15"/>
    <row r="46" spans="1:9" ht="15" customHeight="1" x14ac:dyDescent="0.15"/>
    <row r="47" spans="1:9" ht="15" customHeight="1" x14ac:dyDescent="0.15"/>
    <row r="48" spans="1:9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I4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2" bestFit="1" customWidth="1"/>
    <col min="3" max="5" width="2.33203125" bestFit="1" customWidth="1"/>
    <col min="6" max="6" width="8.5" customWidth="1"/>
    <col min="7" max="7" width="2.33203125" customWidth="1"/>
    <col min="8" max="8" width="8.83203125" customWidth="1"/>
    <col min="9" max="9" width="9.83203125" customWidth="1"/>
  </cols>
  <sheetData>
    <row r="1" spans="1:9" s="111" customFormat="1" ht="112" x14ac:dyDescent="0.15">
      <c r="A1" s="5" t="s">
        <v>22</v>
      </c>
      <c r="B1" s="3" t="s">
        <v>0</v>
      </c>
      <c r="C1" s="184" t="s">
        <v>233</v>
      </c>
      <c r="D1" s="184" t="s">
        <v>234</v>
      </c>
      <c r="E1" s="184" t="s">
        <v>235</v>
      </c>
      <c r="F1" s="184" t="s">
        <v>236</v>
      </c>
      <c r="G1" s="184" t="s">
        <v>237</v>
      </c>
      <c r="H1" s="184" t="s">
        <v>238</v>
      </c>
      <c r="I1" s="184" t="s">
        <v>242</v>
      </c>
    </row>
    <row r="2" spans="1:9" x14ac:dyDescent="0.15">
      <c r="A2">
        <v>1</v>
      </c>
      <c r="B2" s="18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15">
      <c r="A3">
        <v>2</v>
      </c>
      <c r="B3" s="18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15">
      <c r="A4">
        <v>3</v>
      </c>
      <c r="B4" s="18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15">
      <c r="A5">
        <v>4</v>
      </c>
      <c r="B5" s="183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15">
      <c r="A6">
        <v>5</v>
      </c>
      <c r="B6" s="183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15">
      <c r="A7">
        <v>6</v>
      </c>
      <c r="B7" s="183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15">
      <c r="A8">
        <v>7</v>
      </c>
      <c r="B8" s="183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15">
      <c r="A9">
        <v>8</v>
      </c>
      <c r="B9" s="183" t="s">
        <v>199</v>
      </c>
      <c r="C9">
        <v>0</v>
      </c>
      <c r="D9">
        <v>0</v>
      </c>
      <c r="E9">
        <v>0</v>
      </c>
      <c r="F9">
        <v>5.6900000000000001E-5</v>
      </c>
      <c r="G9">
        <v>0</v>
      </c>
      <c r="H9">
        <v>1.5200000000000001E-4</v>
      </c>
      <c r="I9">
        <v>2.0890000000000001E-4</v>
      </c>
    </row>
    <row r="10" spans="1:9" x14ac:dyDescent="0.15">
      <c r="A10">
        <v>9</v>
      </c>
      <c r="B10" s="183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15">
      <c r="A11">
        <v>10</v>
      </c>
      <c r="B11" s="183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15">
      <c r="A12">
        <v>11</v>
      </c>
      <c r="B12" s="183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15">
      <c r="A13">
        <v>12</v>
      </c>
      <c r="B13" s="18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15">
      <c r="A14">
        <v>13</v>
      </c>
      <c r="B14" s="183" t="s">
        <v>204</v>
      </c>
      <c r="C14">
        <v>0</v>
      </c>
      <c r="D14">
        <v>0</v>
      </c>
      <c r="E14">
        <v>0</v>
      </c>
      <c r="F14">
        <v>1.5599999999999999E-2</v>
      </c>
      <c r="G14">
        <v>0</v>
      </c>
      <c r="H14">
        <v>0</v>
      </c>
      <c r="I14">
        <v>1.5599999999999999E-2</v>
      </c>
    </row>
    <row r="15" spans="1:9" x14ac:dyDescent="0.15">
      <c r="A15">
        <v>14</v>
      </c>
      <c r="B15" s="183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15">
      <c r="A16">
        <v>15</v>
      </c>
      <c r="B16" s="183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15">
      <c r="A17">
        <v>16</v>
      </c>
      <c r="B17" s="183" t="s">
        <v>207</v>
      </c>
      <c r="C17">
        <v>0</v>
      </c>
      <c r="D17">
        <v>0</v>
      </c>
      <c r="E17">
        <v>0</v>
      </c>
      <c r="F17">
        <v>9.4000000000000004E-3</v>
      </c>
      <c r="G17">
        <v>0</v>
      </c>
      <c r="H17">
        <v>0</v>
      </c>
      <c r="I17">
        <v>9.4000000000000004E-3</v>
      </c>
    </row>
    <row r="18" spans="1:9" x14ac:dyDescent="0.15">
      <c r="A18">
        <v>17</v>
      </c>
      <c r="B18" s="183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6.9699999999999995E-7</v>
      </c>
      <c r="I18">
        <v>6.9699999999999995E-7</v>
      </c>
    </row>
    <row r="19" spans="1:9" x14ac:dyDescent="0.15">
      <c r="A19">
        <v>18</v>
      </c>
      <c r="B19" s="183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9.6299999999999993E-7</v>
      </c>
      <c r="I19">
        <v>9.6299999999999993E-7</v>
      </c>
    </row>
    <row r="20" spans="1:9" x14ac:dyDescent="0.15">
      <c r="A20">
        <v>19</v>
      </c>
      <c r="B20" s="183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3.6300000000000001E-9</v>
      </c>
      <c r="I20">
        <v>3.6300000000000001E-9</v>
      </c>
    </row>
    <row r="21" spans="1:9" x14ac:dyDescent="0.15">
      <c r="A21">
        <v>20</v>
      </c>
      <c r="B21" s="183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15">
      <c r="A22">
        <v>21</v>
      </c>
      <c r="B22" s="183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15">
      <c r="A23">
        <v>22</v>
      </c>
      <c r="B23" s="183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15">
      <c r="A24">
        <v>23</v>
      </c>
      <c r="B24" s="183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15">
      <c r="A25">
        <v>24</v>
      </c>
      <c r="B25" s="183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15">
      <c r="A26">
        <v>25</v>
      </c>
      <c r="B26" s="183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15">
      <c r="A27">
        <v>26</v>
      </c>
      <c r="B27" s="183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15">
      <c r="A28">
        <v>27</v>
      </c>
      <c r="B28" s="18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15">
      <c r="A29">
        <v>28</v>
      </c>
      <c r="B29" s="18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15">
      <c r="A30">
        <v>29</v>
      </c>
      <c r="B30" s="18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15">
      <c r="A31">
        <v>30</v>
      </c>
      <c r="B31" s="183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15">
      <c r="A32">
        <v>31</v>
      </c>
      <c r="B32" s="183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15">
      <c r="A33">
        <v>32</v>
      </c>
      <c r="B33" s="183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15">
      <c r="A34">
        <v>33</v>
      </c>
      <c r="B34" s="18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15">
      <c r="A35">
        <v>34</v>
      </c>
      <c r="B35" s="18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15">
      <c r="A36">
        <v>35</v>
      </c>
      <c r="B36" s="18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15">
      <c r="A37">
        <v>36</v>
      </c>
      <c r="B37" s="18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15">
      <c r="A38">
        <v>37</v>
      </c>
      <c r="B38" s="18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15">
      <c r="A39">
        <v>38</v>
      </c>
      <c r="B39" s="183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15">
      <c r="A40">
        <v>39</v>
      </c>
      <c r="B40" s="183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15">
      <c r="A41">
        <v>40</v>
      </c>
      <c r="B41" s="183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15">
      <c r="A42">
        <v>41</v>
      </c>
      <c r="B42" s="183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2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5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5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5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5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5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5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5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59" t="s">
        <v>150</v>
      </c>
      <c r="D9">
        <v>8</v>
      </c>
      <c r="E9" s="185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59" t="s">
        <v>150</v>
      </c>
      <c r="D10">
        <v>9</v>
      </c>
      <c r="E10" s="185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5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5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5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5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5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5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5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5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5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5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5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5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5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5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5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5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5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5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5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5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5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5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5" t="s">
        <v>223</v>
      </c>
      <c r="F33">
        <v>0.98</v>
      </c>
      <c r="G33">
        <v>0.8</v>
      </c>
      <c r="H33">
        <v>0.8</v>
      </c>
      <c r="I33">
        <v>0.8</v>
      </c>
      <c r="J33" s="110">
        <v>0.25</v>
      </c>
      <c r="K33" s="110">
        <v>0.05</v>
      </c>
      <c r="Y33"/>
      <c r="AC33"/>
      <c r="AG33"/>
    </row>
    <row r="34" spans="4:33" ht="15" customHeight="1" x14ac:dyDescent="0.15">
      <c r="D34">
        <v>33</v>
      </c>
      <c r="E34" s="185" t="s">
        <v>224</v>
      </c>
      <c r="F34">
        <v>0.98</v>
      </c>
      <c r="G34">
        <v>0.8</v>
      </c>
      <c r="H34">
        <v>0.8</v>
      </c>
      <c r="I34">
        <v>0.8</v>
      </c>
      <c r="J34" s="110">
        <v>0.25</v>
      </c>
      <c r="K34" s="110">
        <v>0.05</v>
      </c>
      <c r="Y34"/>
      <c r="AC34"/>
      <c r="AG34"/>
    </row>
    <row r="35" spans="4:33" ht="15" customHeight="1" x14ac:dyDescent="0.15">
      <c r="D35">
        <v>34</v>
      </c>
      <c r="E35" s="185" t="s">
        <v>225</v>
      </c>
      <c r="F35">
        <v>0.98</v>
      </c>
      <c r="G35">
        <v>0.8</v>
      </c>
      <c r="H35">
        <v>0.8</v>
      </c>
      <c r="I35">
        <v>0.8</v>
      </c>
      <c r="J35" s="110">
        <v>0.25</v>
      </c>
      <c r="K35" s="110">
        <v>0.05</v>
      </c>
      <c r="Y35"/>
      <c r="AC35"/>
      <c r="AG35"/>
    </row>
    <row r="36" spans="4:33" ht="15" customHeight="1" x14ac:dyDescent="0.15">
      <c r="D36">
        <v>35</v>
      </c>
      <c r="E36" s="185" t="s">
        <v>226</v>
      </c>
      <c r="F36">
        <v>0.98</v>
      </c>
      <c r="G36">
        <v>0.8</v>
      </c>
      <c r="H36">
        <v>0.8</v>
      </c>
      <c r="I36">
        <v>0.8</v>
      </c>
      <c r="J36" s="110">
        <v>0.25</v>
      </c>
      <c r="K36" s="110">
        <v>0.05</v>
      </c>
      <c r="Y36"/>
      <c r="AC36"/>
      <c r="AG36"/>
    </row>
    <row r="37" spans="4:33" ht="15" customHeight="1" x14ac:dyDescent="0.15">
      <c r="D37">
        <v>36</v>
      </c>
      <c r="E37" s="185" t="s">
        <v>227</v>
      </c>
      <c r="F37">
        <v>0.98</v>
      </c>
      <c r="G37">
        <v>0.8</v>
      </c>
      <c r="H37">
        <v>0.8</v>
      </c>
      <c r="I37">
        <v>0.8</v>
      </c>
      <c r="J37" s="110">
        <v>0.25</v>
      </c>
      <c r="K37" s="110">
        <v>0.05</v>
      </c>
      <c r="Y37"/>
      <c r="AC37"/>
      <c r="AG37"/>
    </row>
    <row r="38" spans="4:33" ht="15" customHeight="1" x14ac:dyDescent="0.15">
      <c r="D38">
        <v>37</v>
      </c>
      <c r="E38" s="185" t="s">
        <v>228</v>
      </c>
      <c r="F38">
        <v>0.98</v>
      </c>
      <c r="G38">
        <v>0.8</v>
      </c>
      <c r="H38">
        <v>0.8</v>
      </c>
      <c r="I38">
        <v>0</v>
      </c>
      <c r="J38" s="110">
        <v>0</v>
      </c>
      <c r="K38" s="110">
        <v>0</v>
      </c>
      <c r="Y38"/>
      <c r="AC38"/>
      <c r="AG38"/>
    </row>
    <row r="39" spans="4:33" ht="15" customHeight="1" x14ac:dyDescent="0.15">
      <c r="D39">
        <v>38</v>
      </c>
      <c r="E39" s="185" t="s">
        <v>229</v>
      </c>
      <c r="F39">
        <v>0.98</v>
      </c>
      <c r="G39">
        <v>0.8</v>
      </c>
      <c r="H39">
        <v>0.8</v>
      </c>
      <c r="I39">
        <v>0</v>
      </c>
      <c r="J39" s="110">
        <v>0</v>
      </c>
      <c r="K39" s="110">
        <v>0</v>
      </c>
    </row>
    <row r="40" spans="4:33" ht="15" customHeight="1" x14ac:dyDescent="0.15">
      <c r="D40">
        <v>39</v>
      </c>
      <c r="E40" s="185" t="s">
        <v>230</v>
      </c>
      <c r="F40">
        <v>0.98</v>
      </c>
      <c r="G40">
        <v>0.8</v>
      </c>
      <c r="H40">
        <v>0</v>
      </c>
      <c r="I40">
        <v>0</v>
      </c>
      <c r="J40" s="110">
        <v>0</v>
      </c>
      <c r="K40" s="110">
        <v>0</v>
      </c>
      <c r="Y40"/>
      <c r="AC40"/>
      <c r="AG40"/>
    </row>
    <row r="41" spans="4:33" ht="15" customHeight="1" x14ac:dyDescent="0.15">
      <c r="D41">
        <v>40</v>
      </c>
      <c r="E41" s="185" t="s">
        <v>231</v>
      </c>
      <c r="F41">
        <v>0.98</v>
      </c>
      <c r="G41">
        <v>0.8</v>
      </c>
      <c r="H41">
        <v>0</v>
      </c>
      <c r="I41">
        <v>0</v>
      </c>
      <c r="J41" s="110">
        <v>0</v>
      </c>
      <c r="K41" s="110">
        <v>0</v>
      </c>
      <c r="Y41"/>
      <c r="AC41"/>
      <c r="AG41"/>
    </row>
    <row r="42" spans="4:33" ht="15" customHeight="1" x14ac:dyDescent="0.15">
      <c r="D42">
        <v>41</v>
      </c>
      <c r="E42" s="185" t="s">
        <v>232</v>
      </c>
      <c r="F42">
        <v>0.98</v>
      </c>
      <c r="G42">
        <v>0.8</v>
      </c>
      <c r="H42">
        <v>0</v>
      </c>
      <c r="I42">
        <v>0</v>
      </c>
      <c r="J42" s="110">
        <v>0</v>
      </c>
      <c r="K42" s="110">
        <v>0</v>
      </c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P43"/>
  <sheetViews>
    <sheetView workbookViewId="0">
      <selection activeCell="A3" sqref="A3"/>
    </sheetView>
  </sheetViews>
  <sheetFormatPr baseColWidth="10" defaultRowHeight="13" x14ac:dyDescent="0.15"/>
  <cols>
    <col min="1" max="1" width="32" style="108" bestFit="1" customWidth="1"/>
    <col min="2" max="37" width="3.83203125" style="108" customWidth="1"/>
    <col min="38" max="42" width="2.33203125" style="108" customWidth="1"/>
    <col min="43" max="16384" width="10.83203125" style="108"/>
  </cols>
  <sheetData>
    <row r="1" spans="1:42" x14ac:dyDescent="0.15">
      <c r="A1" s="61" t="s">
        <v>118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  <c r="AK1" s="187" t="s">
        <v>227</v>
      </c>
      <c r="AL1" s="187" t="s">
        <v>228</v>
      </c>
      <c r="AM1" s="187" t="s">
        <v>229</v>
      </c>
      <c r="AN1" s="187" t="s">
        <v>230</v>
      </c>
      <c r="AO1" s="187" t="s">
        <v>231</v>
      </c>
      <c r="AP1" s="187" t="s">
        <v>232</v>
      </c>
    </row>
    <row r="2" spans="1:42" customFormat="1" x14ac:dyDescent="0.15">
      <c r="A2" s="186" t="s">
        <v>192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0</v>
      </c>
      <c r="AP2" s="108">
        <v>0</v>
      </c>
    </row>
    <row r="3" spans="1:42" customFormat="1" x14ac:dyDescent="0.15">
      <c r="A3" s="186" t="s">
        <v>193</v>
      </c>
      <c r="B3" s="108">
        <v>0</v>
      </c>
      <c r="C3" s="108">
        <v>0.8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0.8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0</v>
      </c>
      <c r="AO3" s="108">
        <v>0</v>
      </c>
      <c r="AP3" s="108">
        <v>0</v>
      </c>
    </row>
    <row r="4" spans="1:42" customFormat="1" x14ac:dyDescent="0.15">
      <c r="A4" s="186" t="s">
        <v>194</v>
      </c>
      <c r="B4" s="108">
        <v>0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0</v>
      </c>
      <c r="AP4" s="108">
        <v>0</v>
      </c>
    </row>
    <row r="5" spans="1:42" customFormat="1" x14ac:dyDescent="0.15">
      <c r="A5" s="186" t="s">
        <v>195</v>
      </c>
      <c r="B5" s="108">
        <v>0</v>
      </c>
      <c r="C5" s="108">
        <v>0.8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0</v>
      </c>
      <c r="AP5" s="108">
        <v>0</v>
      </c>
    </row>
    <row r="6" spans="1:42" customFormat="1" x14ac:dyDescent="0.15">
      <c r="A6" s="186" t="s">
        <v>196</v>
      </c>
      <c r="B6" s="108">
        <v>0.8</v>
      </c>
      <c r="C6" s="108">
        <v>0.8</v>
      </c>
      <c r="D6" s="108">
        <v>0.8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0</v>
      </c>
      <c r="AP6" s="108">
        <v>0</v>
      </c>
    </row>
    <row r="7" spans="1:42" customFormat="1" x14ac:dyDescent="0.15">
      <c r="A7" s="186" t="s">
        <v>197</v>
      </c>
      <c r="B7" s="108">
        <v>0.8</v>
      </c>
      <c r="C7" s="108">
        <v>0.8</v>
      </c>
      <c r="D7" s="108">
        <v>0.8</v>
      </c>
      <c r="E7" s="108">
        <v>0</v>
      </c>
      <c r="F7" s="108">
        <v>0</v>
      </c>
      <c r="G7" s="108">
        <v>0</v>
      </c>
      <c r="H7" s="108">
        <v>0</v>
      </c>
      <c r="I7" s="108">
        <v>0.8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</v>
      </c>
      <c r="AO7" s="108">
        <v>0</v>
      </c>
      <c r="AP7" s="108">
        <v>0</v>
      </c>
    </row>
    <row r="8" spans="1:42" customFormat="1" x14ac:dyDescent="0.15">
      <c r="A8" s="186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0</v>
      </c>
      <c r="AP8" s="108">
        <v>0</v>
      </c>
    </row>
    <row r="9" spans="1:42" customFormat="1" x14ac:dyDescent="0.15">
      <c r="A9" s="186" t="s">
        <v>199</v>
      </c>
      <c r="B9" s="108">
        <v>0.8</v>
      </c>
      <c r="C9" s="108">
        <v>0.8</v>
      </c>
      <c r="D9" s="108">
        <v>0.8</v>
      </c>
      <c r="E9" s="108">
        <v>0.8</v>
      </c>
      <c r="F9" s="108">
        <v>0</v>
      </c>
      <c r="G9" s="108">
        <v>0.8</v>
      </c>
      <c r="H9" s="108">
        <v>0</v>
      </c>
      <c r="I9" s="108">
        <v>0.8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0</v>
      </c>
      <c r="AP9" s="108">
        <v>0</v>
      </c>
    </row>
    <row r="10" spans="1:42" customFormat="1" x14ac:dyDescent="0.15">
      <c r="A10" s="186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0</v>
      </c>
      <c r="AN10" s="108">
        <v>0</v>
      </c>
      <c r="AO10" s="108">
        <v>0</v>
      </c>
      <c r="AP10" s="108">
        <v>0</v>
      </c>
    </row>
    <row r="11" spans="1:42" customFormat="1" x14ac:dyDescent="0.15">
      <c r="A11" s="186" t="s">
        <v>201</v>
      </c>
      <c r="B11" s="108">
        <v>0</v>
      </c>
      <c r="C11" s="108">
        <v>0.8</v>
      </c>
      <c r="D11" s="108">
        <v>0.8</v>
      </c>
      <c r="E11" s="108">
        <v>0</v>
      </c>
      <c r="F11" s="108">
        <v>0</v>
      </c>
      <c r="G11" s="108">
        <v>0</v>
      </c>
      <c r="H11" s="108">
        <v>0.8</v>
      </c>
      <c r="I11" s="108">
        <v>0</v>
      </c>
      <c r="J11" s="108">
        <v>0.8</v>
      </c>
      <c r="K11" s="108">
        <v>0.8</v>
      </c>
      <c r="L11" s="108">
        <v>0.8</v>
      </c>
      <c r="M11" s="108">
        <v>0</v>
      </c>
      <c r="N11" s="108">
        <v>0.8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0.8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0</v>
      </c>
      <c r="AN11" s="108">
        <v>0</v>
      </c>
      <c r="AO11" s="108">
        <v>0</v>
      </c>
      <c r="AP11" s="108">
        <v>0</v>
      </c>
    </row>
    <row r="12" spans="1:42" customFormat="1" x14ac:dyDescent="0.15">
      <c r="A12" s="186" t="s">
        <v>202</v>
      </c>
      <c r="B12" s="108">
        <v>0</v>
      </c>
      <c r="C12" s="108">
        <v>0.8</v>
      </c>
      <c r="D12" s="108">
        <v>0</v>
      </c>
      <c r="E12" s="108">
        <v>0</v>
      </c>
      <c r="F12" s="108">
        <v>0.8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0.8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0</v>
      </c>
      <c r="AN12" s="108">
        <v>0</v>
      </c>
      <c r="AO12" s="108">
        <v>0</v>
      </c>
      <c r="AP12" s="108">
        <v>0</v>
      </c>
    </row>
    <row r="13" spans="1:42" customFormat="1" x14ac:dyDescent="0.15">
      <c r="A13" s="186" t="s">
        <v>203</v>
      </c>
      <c r="B13" s="108">
        <v>0.8</v>
      </c>
      <c r="C13" s="108">
        <v>0</v>
      </c>
      <c r="D13" s="108">
        <v>0</v>
      </c>
      <c r="E13" s="108">
        <v>0.8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0</v>
      </c>
      <c r="AN13" s="108">
        <v>0</v>
      </c>
      <c r="AO13" s="108">
        <v>0</v>
      </c>
      <c r="AP13" s="108">
        <v>0</v>
      </c>
    </row>
    <row r="14" spans="1:42" customFormat="1" x14ac:dyDescent="0.15">
      <c r="A14" s="186" t="s">
        <v>204</v>
      </c>
      <c r="B14" s="108">
        <v>0</v>
      </c>
      <c r="C14" s="108">
        <v>0</v>
      </c>
      <c r="D14" s="108">
        <v>0.8</v>
      </c>
      <c r="E14" s="108">
        <v>0.8</v>
      </c>
      <c r="F14" s="108">
        <v>0.8</v>
      </c>
      <c r="G14" s="108">
        <v>0.8</v>
      </c>
      <c r="H14" s="108">
        <v>0.8</v>
      </c>
      <c r="I14" s="108">
        <v>0.8</v>
      </c>
      <c r="J14" s="108">
        <v>0.8</v>
      </c>
      <c r="K14" s="108">
        <v>0.8</v>
      </c>
      <c r="L14" s="108">
        <v>0.8</v>
      </c>
      <c r="M14" s="108">
        <v>0</v>
      </c>
      <c r="N14" s="108">
        <v>0.8</v>
      </c>
      <c r="O14" s="108">
        <v>0.8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0.8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0</v>
      </c>
      <c r="AN14" s="108">
        <v>0</v>
      </c>
      <c r="AO14" s="108">
        <v>0</v>
      </c>
      <c r="AP14" s="108">
        <v>0</v>
      </c>
    </row>
    <row r="15" spans="1:42" customFormat="1" x14ac:dyDescent="0.15">
      <c r="A15" s="186" t="s">
        <v>205</v>
      </c>
      <c r="B15" s="108">
        <v>0</v>
      </c>
      <c r="C15" s="108">
        <v>0.8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0.8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</v>
      </c>
      <c r="AO15" s="108">
        <v>0</v>
      </c>
      <c r="AP15" s="108">
        <v>0</v>
      </c>
    </row>
    <row r="16" spans="1:42" customFormat="1" x14ac:dyDescent="0.15">
      <c r="A16" s="186" t="s">
        <v>206</v>
      </c>
      <c r="B16" s="108">
        <v>0.8</v>
      </c>
      <c r="C16" s="108">
        <v>0.8</v>
      </c>
      <c r="D16" s="108">
        <v>0.8</v>
      </c>
      <c r="E16" s="108">
        <v>0</v>
      </c>
      <c r="F16" s="108">
        <v>0</v>
      </c>
      <c r="G16" s="108">
        <v>0.8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  <c r="AP16" s="108">
        <v>0</v>
      </c>
    </row>
    <row r="17" spans="1:42" customFormat="1" x14ac:dyDescent="0.15">
      <c r="A17" s="186" t="s">
        <v>207</v>
      </c>
      <c r="B17" s="108">
        <v>0</v>
      </c>
      <c r="C17" s="108">
        <v>0.8</v>
      </c>
      <c r="D17" s="108">
        <v>0.8</v>
      </c>
      <c r="E17" s="108">
        <v>0</v>
      </c>
      <c r="F17" s="108">
        <v>0</v>
      </c>
      <c r="G17" s="108">
        <v>0.8</v>
      </c>
      <c r="H17" s="108">
        <v>0.8</v>
      </c>
      <c r="I17" s="108">
        <v>0</v>
      </c>
      <c r="J17" s="108">
        <v>0.8</v>
      </c>
      <c r="K17" s="108">
        <v>0.8</v>
      </c>
      <c r="L17" s="108">
        <v>0.8</v>
      </c>
      <c r="M17" s="108">
        <v>0</v>
      </c>
      <c r="N17" s="108">
        <v>0</v>
      </c>
      <c r="O17" s="108">
        <v>0</v>
      </c>
      <c r="P17" s="108">
        <v>0</v>
      </c>
      <c r="Q17" s="108">
        <v>0.8</v>
      </c>
      <c r="R17" s="108">
        <v>0</v>
      </c>
      <c r="S17" s="108">
        <v>0</v>
      </c>
      <c r="T17" s="108">
        <v>0</v>
      </c>
      <c r="U17" s="108">
        <v>0.8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</v>
      </c>
      <c r="AO17" s="108">
        <v>0</v>
      </c>
      <c r="AP17" s="108">
        <v>0</v>
      </c>
    </row>
    <row r="18" spans="1:42" customFormat="1" x14ac:dyDescent="0.15">
      <c r="A18" s="186" t="s">
        <v>208</v>
      </c>
      <c r="B18" s="108">
        <v>0</v>
      </c>
      <c r="C18" s="108">
        <v>0.8</v>
      </c>
      <c r="D18" s="108">
        <v>0</v>
      </c>
      <c r="E18" s="108">
        <v>0.8</v>
      </c>
      <c r="F18" s="108">
        <v>0.8</v>
      </c>
      <c r="G18" s="108">
        <v>0.8</v>
      </c>
      <c r="H18" s="108">
        <v>0</v>
      </c>
      <c r="I18" s="108">
        <v>0.8</v>
      </c>
      <c r="J18" s="108">
        <v>0</v>
      </c>
      <c r="K18" s="108">
        <v>0.8</v>
      </c>
      <c r="L18" s="108">
        <v>0</v>
      </c>
      <c r="M18" s="108">
        <v>0</v>
      </c>
      <c r="N18" s="108">
        <v>0.8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0.8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0</v>
      </c>
      <c r="AN18" s="108">
        <v>0</v>
      </c>
      <c r="AO18" s="108">
        <v>0</v>
      </c>
      <c r="AP18" s="108">
        <v>0</v>
      </c>
    </row>
    <row r="19" spans="1:42" customFormat="1" x14ac:dyDescent="0.15">
      <c r="A19" s="186" t="s">
        <v>209</v>
      </c>
      <c r="B19" s="108">
        <v>0</v>
      </c>
      <c r="C19" s="108">
        <v>0.8</v>
      </c>
      <c r="D19" s="108">
        <v>0</v>
      </c>
      <c r="E19" s="108">
        <v>0</v>
      </c>
      <c r="F19" s="108">
        <v>0</v>
      </c>
      <c r="G19" s="108">
        <v>0.8</v>
      </c>
      <c r="H19" s="108">
        <v>0</v>
      </c>
      <c r="I19" s="108">
        <v>0.8</v>
      </c>
      <c r="J19" s="108">
        <v>0</v>
      </c>
      <c r="K19" s="108">
        <v>0</v>
      </c>
      <c r="L19" s="108">
        <v>0</v>
      </c>
      <c r="M19" s="108">
        <v>0</v>
      </c>
      <c r="N19" s="108">
        <v>0.8</v>
      </c>
      <c r="O19" s="108">
        <v>0.8</v>
      </c>
      <c r="P19" s="108">
        <v>0.8</v>
      </c>
      <c r="Q19" s="108">
        <v>0.8</v>
      </c>
      <c r="R19" s="108">
        <v>0</v>
      </c>
      <c r="S19" s="108">
        <v>0.8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0</v>
      </c>
      <c r="AN19" s="108">
        <v>0</v>
      </c>
      <c r="AO19" s="108">
        <v>0</v>
      </c>
      <c r="AP19" s="108">
        <v>0</v>
      </c>
    </row>
    <row r="20" spans="1:42" customFormat="1" x14ac:dyDescent="0.15">
      <c r="A20" s="186" t="s">
        <v>210</v>
      </c>
      <c r="B20" s="108">
        <v>0.8</v>
      </c>
      <c r="C20" s="108">
        <v>0.8</v>
      </c>
      <c r="D20" s="108">
        <v>0.8</v>
      </c>
      <c r="E20" s="108">
        <v>0.8</v>
      </c>
      <c r="F20" s="108">
        <v>0.8</v>
      </c>
      <c r="G20" s="108">
        <v>0.8</v>
      </c>
      <c r="H20" s="108">
        <v>0.8</v>
      </c>
      <c r="I20" s="108">
        <v>0.8</v>
      </c>
      <c r="J20" s="108">
        <v>0.8</v>
      </c>
      <c r="K20" s="108">
        <v>0.8</v>
      </c>
      <c r="L20" s="108">
        <v>0.8</v>
      </c>
      <c r="M20" s="108">
        <v>0.8</v>
      </c>
      <c r="N20" s="108">
        <v>0.8</v>
      </c>
      <c r="O20" s="108">
        <v>0</v>
      </c>
      <c r="P20" s="108">
        <v>0.8</v>
      </c>
      <c r="Q20" s="108">
        <v>0.8</v>
      </c>
      <c r="R20" s="108">
        <v>0</v>
      </c>
      <c r="S20" s="108">
        <v>0</v>
      </c>
      <c r="T20" s="108">
        <v>0</v>
      </c>
      <c r="U20" s="108">
        <v>0</v>
      </c>
      <c r="V20" s="108">
        <v>0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0</v>
      </c>
      <c r="AN20" s="108">
        <v>0</v>
      </c>
      <c r="AO20" s="108">
        <v>0</v>
      </c>
      <c r="AP20" s="108">
        <v>0</v>
      </c>
    </row>
    <row r="21" spans="1:42" customFormat="1" x14ac:dyDescent="0.15">
      <c r="A21" s="186" t="s">
        <v>211</v>
      </c>
      <c r="B21" s="108">
        <v>0.8</v>
      </c>
      <c r="C21" s="108">
        <v>0.8</v>
      </c>
      <c r="D21" s="108">
        <v>0</v>
      </c>
      <c r="E21" s="108">
        <v>0</v>
      </c>
      <c r="F21" s="108">
        <v>0.8</v>
      </c>
      <c r="G21" s="108">
        <v>0.8</v>
      </c>
      <c r="H21" s="108">
        <v>0</v>
      </c>
      <c r="I21" s="108">
        <v>0.8</v>
      </c>
      <c r="J21" s="108">
        <v>0</v>
      </c>
      <c r="K21" s="108">
        <v>0</v>
      </c>
      <c r="L21" s="108">
        <v>0</v>
      </c>
      <c r="M21" s="108">
        <v>0</v>
      </c>
      <c r="N21" s="108">
        <v>0.8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</v>
      </c>
      <c r="U21" s="108">
        <v>0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0</v>
      </c>
      <c r="AN21" s="108">
        <v>0</v>
      </c>
      <c r="AO21" s="108">
        <v>0</v>
      </c>
      <c r="AP21" s="108">
        <v>0</v>
      </c>
    </row>
    <row r="22" spans="1:42" customFormat="1" x14ac:dyDescent="0.15">
      <c r="A22" s="186" t="s">
        <v>212</v>
      </c>
      <c r="B22" s="108">
        <v>0</v>
      </c>
      <c r="C22" s="108">
        <v>0.8</v>
      </c>
      <c r="D22" s="108">
        <v>0.8</v>
      </c>
      <c r="E22" s="108">
        <v>0</v>
      </c>
      <c r="F22" s="108">
        <v>0</v>
      </c>
      <c r="G22" s="108">
        <v>0.8</v>
      </c>
      <c r="H22" s="108">
        <v>0</v>
      </c>
      <c r="I22" s="108">
        <v>0.8</v>
      </c>
      <c r="J22" s="108">
        <v>0</v>
      </c>
      <c r="K22" s="108">
        <v>0</v>
      </c>
      <c r="L22" s="108">
        <v>0</v>
      </c>
      <c r="M22" s="108">
        <v>0</v>
      </c>
      <c r="N22" s="108">
        <v>0.8</v>
      </c>
      <c r="O22" s="108">
        <v>0.8</v>
      </c>
      <c r="P22" s="108">
        <v>0.8</v>
      </c>
      <c r="Q22" s="108">
        <v>0.8</v>
      </c>
      <c r="R22" s="108">
        <v>0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0</v>
      </c>
      <c r="AP22" s="108">
        <v>0</v>
      </c>
    </row>
    <row r="23" spans="1:42" customFormat="1" x14ac:dyDescent="0.15">
      <c r="A23" s="186" t="s">
        <v>213</v>
      </c>
      <c r="B23" s="108">
        <v>0</v>
      </c>
      <c r="C23" s="108">
        <v>0.8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0.8</v>
      </c>
      <c r="J23" s="108">
        <v>0</v>
      </c>
      <c r="K23" s="108">
        <v>0</v>
      </c>
      <c r="L23" s="108">
        <v>0</v>
      </c>
      <c r="M23" s="108">
        <v>0</v>
      </c>
      <c r="N23" s="108">
        <v>0</v>
      </c>
      <c r="O23" s="108">
        <v>0.8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</v>
      </c>
      <c r="V23" s="108">
        <v>0</v>
      </c>
      <c r="W23" s="108">
        <v>0.8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</v>
      </c>
      <c r="AO23" s="108">
        <v>0</v>
      </c>
      <c r="AP23" s="108">
        <v>0</v>
      </c>
    </row>
    <row r="24" spans="1:42" customFormat="1" x14ac:dyDescent="0.15">
      <c r="A24" s="186" t="s">
        <v>214</v>
      </c>
      <c r="B24" s="108">
        <v>0.8</v>
      </c>
      <c r="C24" s="108">
        <v>0.8</v>
      </c>
      <c r="D24" s="108">
        <v>0.8</v>
      </c>
      <c r="E24" s="108">
        <v>0</v>
      </c>
      <c r="F24" s="108">
        <v>0.8</v>
      </c>
      <c r="G24" s="108">
        <v>0.8</v>
      </c>
      <c r="H24" s="108">
        <v>0.8</v>
      </c>
      <c r="I24" s="108">
        <v>0</v>
      </c>
      <c r="J24" s="108">
        <v>0.8</v>
      </c>
      <c r="K24" s="108">
        <v>0.8</v>
      </c>
      <c r="L24" s="108">
        <v>0.8</v>
      </c>
      <c r="M24" s="108">
        <v>0.8</v>
      </c>
      <c r="N24" s="108">
        <v>0.8</v>
      </c>
      <c r="O24" s="108">
        <v>0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0.8</v>
      </c>
      <c r="V24" s="108">
        <v>0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0</v>
      </c>
      <c r="AN24" s="108">
        <v>0</v>
      </c>
      <c r="AO24" s="108">
        <v>0</v>
      </c>
      <c r="AP24" s="108">
        <v>0</v>
      </c>
    </row>
    <row r="25" spans="1:42" customFormat="1" x14ac:dyDescent="0.15">
      <c r="A25" s="186" t="s">
        <v>215</v>
      </c>
      <c r="B25" s="108">
        <v>0.8</v>
      </c>
      <c r="C25" s="108">
        <v>0.8</v>
      </c>
      <c r="D25" s="108">
        <v>0.8</v>
      </c>
      <c r="E25" s="108">
        <v>0</v>
      </c>
      <c r="F25" s="108">
        <v>0.8</v>
      </c>
      <c r="G25" s="108">
        <v>0.8</v>
      </c>
      <c r="H25" s="108">
        <v>0</v>
      </c>
      <c r="I25" s="108">
        <v>0</v>
      </c>
      <c r="J25" s="108">
        <v>0.8</v>
      </c>
      <c r="K25" s="108">
        <v>0</v>
      </c>
      <c r="L25" s="108">
        <v>0</v>
      </c>
      <c r="M25" s="108">
        <v>0.8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0</v>
      </c>
      <c r="AN25" s="108">
        <v>0</v>
      </c>
      <c r="AO25" s="108">
        <v>0</v>
      </c>
      <c r="AP25" s="108">
        <v>0</v>
      </c>
    </row>
    <row r="26" spans="1:42" customFormat="1" x14ac:dyDescent="0.15">
      <c r="A26" s="186" t="s">
        <v>216</v>
      </c>
      <c r="B26" s="108">
        <v>0.8</v>
      </c>
      <c r="C26" s="108">
        <v>0.8</v>
      </c>
      <c r="D26" s="108">
        <v>0.8</v>
      </c>
      <c r="E26" s="108">
        <v>0</v>
      </c>
      <c r="F26" s="108">
        <v>0.8</v>
      </c>
      <c r="G26" s="108">
        <v>0.8</v>
      </c>
      <c r="H26" s="108">
        <v>0.8</v>
      </c>
      <c r="I26" s="108">
        <v>0.8</v>
      </c>
      <c r="J26" s="108">
        <v>0.8</v>
      </c>
      <c r="K26" s="108">
        <v>0.8</v>
      </c>
      <c r="L26" s="108">
        <v>0.8</v>
      </c>
      <c r="M26" s="108">
        <v>0.8</v>
      </c>
      <c r="N26" s="108">
        <v>0.8</v>
      </c>
      <c r="O26" s="108">
        <v>0</v>
      </c>
      <c r="P26" s="108">
        <v>0</v>
      </c>
      <c r="Q26" s="108">
        <v>0</v>
      </c>
      <c r="R26" s="108">
        <v>0</v>
      </c>
      <c r="S26" s="108">
        <v>0.8</v>
      </c>
      <c r="T26" s="108">
        <v>0</v>
      </c>
      <c r="U26" s="108">
        <v>0.8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0.8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  <c r="AO26" s="108">
        <v>0</v>
      </c>
      <c r="AP26" s="108">
        <v>0</v>
      </c>
    </row>
    <row r="27" spans="1:42" customFormat="1" x14ac:dyDescent="0.15">
      <c r="A27" s="186" t="s">
        <v>217</v>
      </c>
      <c r="B27" s="108">
        <v>0</v>
      </c>
      <c r="C27" s="108">
        <v>0.8</v>
      </c>
      <c r="D27" s="108">
        <v>0.8</v>
      </c>
      <c r="E27" s="108">
        <v>0.8</v>
      </c>
      <c r="F27" s="108">
        <v>0.8</v>
      </c>
      <c r="G27" s="108">
        <v>0.8</v>
      </c>
      <c r="H27" s="108">
        <v>0.8</v>
      </c>
      <c r="I27" s="108">
        <v>0.8</v>
      </c>
      <c r="J27" s="108">
        <v>0.8</v>
      </c>
      <c r="K27" s="108">
        <v>0.8</v>
      </c>
      <c r="L27" s="108">
        <v>0.8</v>
      </c>
      <c r="M27" s="108">
        <v>0.8</v>
      </c>
      <c r="N27" s="108">
        <v>0.8</v>
      </c>
      <c r="O27" s="108">
        <v>0</v>
      </c>
      <c r="P27" s="108">
        <v>0.8</v>
      </c>
      <c r="Q27" s="108">
        <v>0</v>
      </c>
      <c r="R27" s="108">
        <v>0</v>
      </c>
      <c r="S27" s="108">
        <v>0</v>
      </c>
      <c r="T27" s="108">
        <v>0</v>
      </c>
      <c r="U27" s="108">
        <v>0.8</v>
      </c>
      <c r="V27" s="108">
        <v>0</v>
      </c>
      <c r="W27" s="108">
        <v>0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0</v>
      </c>
      <c r="AN27" s="108">
        <v>0</v>
      </c>
      <c r="AO27" s="108">
        <v>0</v>
      </c>
      <c r="AP27" s="108">
        <v>0</v>
      </c>
    </row>
    <row r="28" spans="1:42" customFormat="1" x14ac:dyDescent="0.15">
      <c r="A28" s="186" t="s">
        <v>218</v>
      </c>
      <c r="B28" s="108">
        <v>0</v>
      </c>
      <c r="C28" s="108">
        <v>0.8</v>
      </c>
      <c r="D28" s="108">
        <v>0</v>
      </c>
      <c r="E28" s="108">
        <v>0</v>
      </c>
      <c r="F28" s="108">
        <v>0</v>
      </c>
      <c r="G28" s="108">
        <v>0.8</v>
      </c>
      <c r="H28" s="108">
        <v>0</v>
      </c>
      <c r="I28" s="108">
        <v>0.8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0.8</v>
      </c>
      <c r="P28" s="108">
        <v>0.8</v>
      </c>
      <c r="Q28" s="108">
        <v>0.8</v>
      </c>
      <c r="R28" s="108">
        <v>0</v>
      </c>
      <c r="S28" s="108">
        <v>0</v>
      </c>
      <c r="T28" s="108">
        <v>0</v>
      </c>
      <c r="U28" s="108">
        <v>0</v>
      </c>
      <c r="V28" s="108">
        <v>0.8</v>
      </c>
      <c r="W28" s="108">
        <v>0.8</v>
      </c>
      <c r="X28" s="108">
        <v>0</v>
      </c>
      <c r="Y28" s="108">
        <v>0</v>
      </c>
      <c r="Z28" s="108">
        <v>0</v>
      </c>
      <c r="AA28" s="108">
        <v>0</v>
      </c>
      <c r="AB28" s="108">
        <v>0.8</v>
      </c>
      <c r="AC28" s="108">
        <v>0</v>
      </c>
      <c r="AD28" s="108">
        <v>0</v>
      </c>
      <c r="AE28" s="108">
        <v>0</v>
      </c>
      <c r="AF28" s="108">
        <v>0.8</v>
      </c>
      <c r="AG28" s="108">
        <v>0</v>
      </c>
      <c r="AH28" s="108">
        <v>0.8</v>
      </c>
      <c r="AI28" s="108">
        <v>0</v>
      </c>
      <c r="AJ28" s="108">
        <v>0</v>
      </c>
      <c r="AK28" s="108">
        <v>0</v>
      </c>
      <c r="AL28" s="108">
        <v>0</v>
      </c>
      <c r="AM28" s="108">
        <v>0</v>
      </c>
      <c r="AN28" s="108">
        <v>0</v>
      </c>
      <c r="AO28" s="108">
        <v>0</v>
      </c>
      <c r="AP28" s="108">
        <v>0</v>
      </c>
    </row>
    <row r="29" spans="1:42" customFormat="1" x14ac:dyDescent="0.15">
      <c r="A29" s="186" t="s">
        <v>219</v>
      </c>
      <c r="B29" s="108">
        <v>0</v>
      </c>
      <c r="C29" s="108">
        <v>0</v>
      </c>
      <c r="D29" s="108">
        <v>0</v>
      </c>
      <c r="E29" s="108">
        <v>0.8</v>
      </c>
      <c r="F29" s="108">
        <v>0.8</v>
      </c>
      <c r="G29" s="108">
        <v>0.8</v>
      </c>
      <c r="H29" s="108">
        <v>0.8</v>
      </c>
      <c r="I29" s="108">
        <v>0.8</v>
      </c>
      <c r="J29" s="108">
        <v>0.8</v>
      </c>
      <c r="K29" s="108">
        <v>0.8</v>
      </c>
      <c r="L29" s="108">
        <v>0.8</v>
      </c>
      <c r="M29" s="108">
        <v>0.8</v>
      </c>
      <c r="N29" s="108">
        <v>0.8</v>
      </c>
      <c r="O29" s="108">
        <v>0.8</v>
      </c>
      <c r="P29" s="108">
        <v>0.8</v>
      </c>
      <c r="Q29" s="108">
        <v>0.8</v>
      </c>
      <c r="R29" s="108">
        <v>0.8</v>
      </c>
      <c r="S29" s="108">
        <v>0.8</v>
      </c>
      <c r="T29" s="108">
        <v>0.8</v>
      </c>
      <c r="U29" s="108">
        <v>0.8</v>
      </c>
      <c r="V29" s="108">
        <v>0</v>
      </c>
      <c r="W29" s="108">
        <v>0</v>
      </c>
      <c r="X29" s="108">
        <v>0.8</v>
      </c>
      <c r="Y29" s="108">
        <v>0.8</v>
      </c>
      <c r="Z29" s="108">
        <v>0.8</v>
      </c>
      <c r="AA29" s="108">
        <v>0.8</v>
      </c>
      <c r="AB29" s="108">
        <v>0</v>
      </c>
      <c r="AC29" s="108">
        <v>0.8</v>
      </c>
      <c r="AD29" s="108">
        <v>0</v>
      </c>
      <c r="AE29" s="108">
        <v>0</v>
      </c>
      <c r="AF29" s="108">
        <v>0.8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0</v>
      </c>
      <c r="AM29" s="108">
        <v>0</v>
      </c>
      <c r="AN29" s="108">
        <v>0</v>
      </c>
      <c r="AO29" s="108">
        <v>0</v>
      </c>
      <c r="AP29" s="108">
        <v>0</v>
      </c>
    </row>
    <row r="30" spans="1:42" customFormat="1" x14ac:dyDescent="0.15">
      <c r="A30" s="186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0.8</v>
      </c>
      <c r="H30" s="108">
        <v>0</v>
      </c>
      <c r="I30" s="108">
        <v>0.8</v>
      </c>
      <c r="J30" s="108">
        <v>0</v>
      </c>
      <c r="K30" s="108">
        <v>0</v>
      </c>
      <c r="L30" s="108">
        <v>0</v>
      </c>
      <c r="M30" s="108">
        <v>0</v>
      </c>
      <c r="N30" s="108">
        <v>0.8</v>
      </c>
      <c r="O30" s="108">
        <v>0.8</v>
      </c>
      <c r="P30" s="108">
        <v>0.8</v>
      </c>
      <c r="Q30" s="108">
        <v>0.8</v>
      </c>
      <c r="R30" s="108">
        <v>0</v>
      </c>
      <c r="S30" s="108">
        <v>0</v>
      </c>
      <c r="T30" s="108">
        <v>0</v>
      </c>
      <c r="U30" s="108">
        <v>0</v>
      </c>
      <c r="V30" s="108">
        <v>0.8</v>
      </c>
      <c r="W30" s="108">
        <v>0.8</v>
      </c>
      <c r="X30" s="108">
        <v>0</v>
      </c>
      <c r="Y30" s="108">
        <v>0</v>
      </c>
      <c r="Z30" s="108">
        <v>0</v>
      </c>
      <c r="AA30" s="108">
        <v>0</v>
      </c>
      <c r="AB30" s="108">
        <v>0.8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</v>
      </c>
      <c r="AO30" s="108">
        <v>0</v>
      </c>
      <c r="AP30" s="108">
        <v>0</v>
      </c>
    </row>
    <row r="31" spans="1:42" customFormat="1" x14ac:dyDescent="0.15">
      <c r="A31" s="186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0.8</v>
      </c>
      <c r="H31" s="108">
        <v>0</v>
      </c>
      <c r="I31" s="108">
        <v>0.8</v>
      </c>
      <c r="J31" s="108">
        <v>0</v>
      </c>
      <c r="K31" s="108">
        <v>0</v>
      </c>
      <c r="L31" s="108">
        <v>0</v>
      </c>
      <c r="M31" s="108">
        <v>0</v>
      </c>
      <c r="N31" s="108">
        <v>0.8</v>
      </c>
      <c r="O31" s="108">
        <v>0</v>
      </c>
      <c r="P31" s="108">
        <v>0.8</v>
      </c>
      <c r="Q31" s="108">
        <v>0.8</v>
      </c>
      <c r="R31" s="108">
        <v>0</v>
      </c>
      <c r="S31" s="108">
        <v>0.8</v>
      </c>
      <c r="T31" s="108">
        <v>0</v>
      </c>
      <c r="U31" s="108">
        <v>0</v>
      </c>
      <c r="V31" s="108">
        <v>0</v>
      </c>
      <c r="W31" s="108">
        <v>0.8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0.8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  <c r="AO31" s="108">
        <v>0</v>
      </c>
      <c r="AP31" s="108">
        <v>0</v>
      </c>
    </row>
    <row r="32" spans="1:42" customFormat="1" x14ac:dyDescent="0.15">
      <c r="A32" s="186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0.8</v>
      </c>
      <c r="G32" s="108">
        <v>0.8</v>
      </c>
      <c r="H32" s="108">
        <v>0</v>
      </c>
      <c r="I32" s="108">
        <v>0.8</v>
      </c>
      <c r="J32" s="108">
        <v>0</v>
      </c>
      <c r="K32" s="108">
        <v>0.8</v>
      </c>
      <c r="L32" s="108">
        <v>0</v>
      </c>
      <c r="M32" s="108">
        <v>0</v>
      </c>
      <c r="N32" s="108">
        <v>0.8</v>
      </c>
      <c r="O32" s="108">
        <v>0.8</v>
      </c>
      <c r="P32" s="108">
        <v>0.8</v>
      </c>
      <c r="Q32" s="108">
        <v>0.8</v>
      </c>
      <c r="R32" s="108">
        <v>0.8</v>
      </c>
      <c r="S32" s="108">
        <v>0.8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  <c r="AJ32" s="108">
        <v>0</v>
      </c>
      <c r="AK32" s="108">
        <v>0</v>
      </c>
      <c r="AL32" s="108">
        <v>0</v>
      </c>
      <c r="AM32" s="108">
        <v>0</v>
      </c>
      <c r="AN32" s="108">
        <v>0</v>
      </c>
      <c r="AO32" s="108">
        <v>0</v>
      </c>
      <c r="AP32" s="108">
        <v>0</v>
      </c>
    </row>
    <row r="33" spans="1:42" x14ac:dyDescent="0.15">
      <c r="A33" s="186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0.8</v>
      </c>
      <c r="H33" s="108">
        <v>0</v>
      </c>
      <c r="I33" s="108">
        <v>0.8</v>
      </c>
      <c r="J33" s="108">
        <v>0</v>
      </c>
      <c r="K33" s="108">
        <v>0</v>
      </c>
      <c r="L33" s="108">
        <v>0</v>
      </c>
      <c r="M33" s="108">
        <v>0</v>
      </c>
      <c r="N33" s="108">
        <v>0.8</v>
      </c>
      <c r="O33" s="108">
        <v>0.8</v>
      </c>
      <c r="P33" s="108">
        <v>0.8</v>
      </c>
      <c r="Q33" s="108">
        <v>0.8</v>
      </c>
      <c r="R33" s="108">
        <v>0</v>
      </c>
      <c r="S33" s="108">
        <v>0</v>
      </c>
      <c r="T33" s="108">
        <v>0</v>
      </c>
      <c r="U33" s="108">
        <v>0</v>
      </c>
      <c r="V33" s="108">
        <v>0.8</v>
      </c>
      <c r="W33" s="108">
        <v>0.8</v>
      </c>
      <c r="X33" s="108">
        <v>0</v>
      </c>
      <c r="Y33" s="108">
        <v>0</v>
      </c>
      <c r="Z33" s="108">
        <v>0</v>
      </c>
      <c r="AA33" s="108">
        <v>0</v>
      </c>
      <c r="AB33" s="108">
        <v>0.8</v>
      </c>
      <c r="AC33" s="108">
        <v>0</v>
      </c>
      <c r="AD33" s="108">
        <v>0</v>
      </c>
      <c r="AE33" s="108">
        <v>0.8</v>
      </c>
      <c r="AF33" s="108">
        <v>0.8</v>
      </c>
      <c r="AG33" s="108">
        <v>0</v>
      </c>
      <c r="AH33" s="108">
        <v>0.8</v>
      </c>
      <c r="AI33" s="108">
        <v>0</v>
      </c>
      <c r="AJ33" s="108">
        <v>0</v>
      </c>
      <c r="AK33" s="108">
        <v>0</v>
      </c>
      <c r="AL33" s="108">
        <v>0</v>
      </c>
      <c r="AM33" s="108">
        <v>0</v>
      </c>
      <c r="AN33" s="108">
        <v>0</v>
      </c>
      <c r="AO33" s="108">
        <v>0</v>
      </c>
      <c r="AP33" s="108">
        <v>0</v>
      </c>
    </row>
    <row r="34" spans="1:42" x14ac:dyDescent="0.15">
      <c r="A34" s="186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0.8</v>
      </c>
      <c r="X34" s="108">
        <v>0</v>
      </c>
      <c r="Y34" s="108">
        <v>0</v>
      </c>
      <c r="Z34" s="108">
        <v>0</v>
      </c>
      <c r="AA34" s="108">
        <v>0</v>
      </c>
      <c r="AB34" s="108">
        <v>0.8</v>
      </c>
      <c r="AC34" s="108">
        <v>0.8</v>
      </c>
      <c r="AD34" s="108">
        <v>0.8</v>
      </c>
      <c r="AE34" s="108">
        <v>0.8</v>
      </c>
      <c r="AF34" s="108">
        <v>0</v>
      </c>
      <c r="AG34" s="108">
        <v>0.8</v>
      </c>
      <c r="AH34" s="108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0</v>
      </c>
      <c r="AN34" s="108">
        <v>0</v>
      </c>
      <c r="AO34" s="108">
        <v>0</v>
      </c>
      <c r="AP34" s="108">
        <v>0</v>
      </c>
    </row>
    <row r="35" spans="1:42" x14ac:dyDescent="0.15">
      <c r="A35" s="186" t="s">
        <v>225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0.8</v>
      </c>
      <c r="H35" s="108">
        <v>0</v>
      </c>
      <c r="I35" s="108">
        <v>0</v>
      </c>
      <c r="J35" s="108">
        <v>0</v>
      </c>
      <c r="K35" s="108">
        <v>0</v>
      </c>
      <c r="L35" s="108">
        <v>0.8</v>
      </c>
      <c r="M35" s="108">
        <v>0</v>
      </c>
      <c r="N35" s="108">
        <v>0.8</v>
      </c>
      <c r="O35" s="108">
        <v>0</v>
      </c>
      <c r="P35" s="108">
        <v>0</v>
      </c>
      <c r="Q35" s="108">
        <v>0</v>
      </c>
      <c r="R35" s="108">
        <v>0.8</v>
      </c>
      <c r="S35" s="108">
        <v>0</v>
      </c>
      <c r="T35" s="108">
        <v>0.8</v>
      </c>
      <c r="U35" s="108">
        <v>0.8</v>
      </c>
      <c r="V35" s="108">
        <v>0</v>
      </c>
      <c r="W35" s="108">
        <v>0</v>
      </c>
      <c r="X35" s="108">
        <v>0.8</v>
      </c>
      <c r="Y35" s="108">
        <v>0.8</v>
      </c>
      <c r="Z35" s="108">
        <v>0.8</v>
      </c>
      <c r="AA35" s="108">
        <v>0.8</v>
      </c>
      <c r="AB35" s="108">
        <v>0</v>
      </c>
      <c r="AC35" s="108">
        <v>0.8</v>
      </c>
      <c r="AD35" s="108">
        <v>0</v>
      </c>
      <c r="AE35" s="108">
        <v>0.8</v>
      </c>
      <c r="AF35" s="108">
        <v>0.8</v>
      </c>
      <c r="AG35" s="108">
        <v>0</v>
      </c>
      <c r="AH35" s="108">
        <v>0</v>
      </c>
      <c r="AI35" s="108">
        <v>0</v>
      </c>
      <c r="AJ35" s="108">
        <v>0</v>
      </c>
      <c r="AK35" s="108">
        <v>0</v>
      </c>
      <c r="AL35" s="108">
        <v>0</v>
      </c>
      <c r="AM35" s="108">
        <v>0</v>
      </c>
      <c r="AN35" s="108">
        <v>0</v>
      </c>
      <c r="AO35" s="108">
        <v>0</v>
      </c>
      <c r="AP35" s="108">
        <v>0</v>
      </c>
    </row>
    <row r="36" spans="1:42" x14ac:dyDescent="0.15">
      <c r="A36" s="186" t="s">
        <v>226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</v>
      </c>
      <c r="T36" s="108">
        <v>0</v>
      </c>
      <c r="U36" s="108">
        <v>0</v>
      </c>
      <c r="V36" s="108">
        <v>0</v>
      </c>
      <c r="W36" s="108">
        <v>0</v>
      </c>
      <c r="X36" s="108">
        <v>0.8</v>
      </c>
      <c r="Y36" s="108">
        <v>0.8</v>
      </c>
      <c r="Z36" s="108">
        <v>0</v>
      </c>
      <c r="AA36" s="108">
        <v>0.8</v>
      </c>
      <c r="AB36" s="108">
        <v>0.8</v>
      </c>
      <c r="AC36" s="108">
        <v>0.8</v>
      </c>
      <c r="AD36" s="108">
        <v>0</v>
      </c>
      <c r="AE36" s="108">
        <v>0.8</v>
      </c>
      <c r="AF36" s="108">
        <v>0</v>
      </c>
      <c r="AG36" s="108">
        <v>0</v>
      </c>
      <c r="AH36" s="108">
        <v>0.8</v>
      </c>
      <c r="AI36" s="108">
        <v>0.8</v>
      </c>
      <c r="AJ36" s="108">
        <v>0.8</v>
      </c>
      <c r="AK36" s="108">
        <v>0</v>
      </c>
      <c r="AL36" s="108">
        <v>0</v>
      </c>
      <c r="AM36" s="108">
        <v>0</v>
      </c>
      <c r="AN36" s="108">
        <v>0</v>
      </c>
      <c r="AO36" s="108">
        <v>0</v>
      </c>
      <c r="AP36" s="108">
        <v>0</v>
      </c>
    </row>
    <row r="37" spans="1:42" x14ac:dyDescent="0.15">
      <c r="A37" s="186" t="s">
        <v>227</v>
      </c>
      <c r="B37" s="108">
        <v>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0.8</v>
      </c>
      <c r="X37" s="108">
        <v>0</v>
      </c>
      <c r="Y37" s="108">
        <v>0</v>
      </c>
      <c r="Z37" s="108">
        <v>0</v>
      </c>
      <c r="AA37" s="108">
        <v>0</v>
      </c>
      <c r="AB37" s="108">
        <v>0.8</v>
      </c>
      <c r="AC37" s="108">
        <v>0</v>
      </c>
      <c r="AD37" s="108">
        <v>0.8</v>
      </c>
      <c r="AE37" s="108">
        <v>0.8</v>
      </c>
      <c r="AF37" s="108">
        <v>0</v>
      </c>
      <c r="AG37" s="108">
        <v>0</v>
      </c>
      <c r="AH37" s="108">
        <v>0.8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  <c r="AP37" s="108">
        <v>0</v>
      </c>
    </row>
    <row r="38" spans="1:42" x14ac:dyDescent="0.15">
      <c r="A38" s="186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0</v>
      </c>
      <c r="O38" s="108">
        <v>0</v>
      </c>
      <c r="P38" s="108">
        <v>0</v>
      </c>
      <c r="Q38" s="108">
        <v>0</v>
      </c>
      <c r="R38" s="108">
        <v>0</v>
      </c>
      <c r="S38" s="108">
        <v>0</v>
      </c>
      <c r="T38" s="108">
        <v>0</v>
      </c>
      <c r="U38" s="108">
        <v>0</v>
      </c>
      <c r="V38" s="108">
        <v>0</v>
      </c>
      <c r="W38" s="108">
        <v>0</v>
      </c>
      <c r="X38" s="108">
        <v>0.8</v>
      </c>
      <c r="Y38" s="108">
        <v>0.8</v>
      </c>
      <c r="Z38" s="108">
        <v>0</v>
      </c>
      <c r="AA38" s="108">
        <v>0.8</v>
      </c>
      <c r="AB38" s="108">
        <v>0</v>
      </c>
      <c r="AC38" s="108">
        <v>0.8</v>
      </c>
      <c r="AD38" s="108">
        <v>0</v>
      </c>
      <c r="AE38" s="108">
        <v>0.8</v>
      </c>
      <c r="AF38" s="108">
        <v>0.8</v>
      </c>
      <c r="AG38" s="108">
        <v>0</v>
      </c>
      <c r="AH38" s="108">
        <v>0</v>
      </c>
      <c r="AI38" s="108">
        <v>0.8</v>
      </c>
      <c r="AJ38" s="108">
        <v>0.8</v>
      </c>
      <c r="AK38" s="108">
        <v>0</v>
      </c>
      <c r="AL38" s="108">
        <v>0</v>
      </c>
      <c r="AM38" s="108">
        <v>0</v>
      </c>
      <c r="AN38" s="108">
        <v>0</v>
      </c>
      <c r="AO38" s="108">
        <v>0</v>
      </c>
      <c r="AP38" s="108">
        <v>0</v>
      </c>
    </row>
    <row r="39" spans="1:42" x14ac:dyDescent="0.15">
      <c r="A39" s="186" t="s">
        <v>229</v>
      </c>
      <c r="B39" s="108">
        <v>0</v>
      </c>
      <c r="C39" s="108">
        <v>0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</v>
      </c>
      <c r="P39" s="108">
        <v>0.8</v>
      </c>
      <c r="Q39" s="108">
        <v>0.8</v>
      </c>
      <c r="R39" s="108">
        <v>0</v>
      </c>
      <c r="S39" s="108">
        <v>0</v>
      </c>
      <c r="T39" s="108">
        <v>0</v>
      </c>
      <c r="U39" s="108">
        <v>0</v>
      </c>
      <c r="V39" s="108">
        <v>0</v>
      </c>
      <c r="W39" s="108">
        <v>0</v>
      </c>
      <c r="X39" s="108">
        <v>0</v>
      </c>
      <c r="Y39" s="108">
        <v>0</v>
      </c>
      <c r="Z39" s="108">
        <v>0</v>
      </c>
      <c r="AA39" s="108">
        <v>0</v>
      </c>
      <c r="AB39" s="108">
        <v>0</v>
      </c>
      <c r="AC39" s="108">
        <v>0</v>
      </c>
      <c r="AD39" s="108">
        <v>0</v>
      </c>
      <c r="AE39" s="108">
        <v>0</v>
      </c>
      <c r="AF39" s="108">
        <v>0</v>
      </c>
      <c r="AG39" s="108">
        <v>0</v>
      </c>
      <c r="AH39" s="108">
        <v>0</v>
      </c>
      <c r="AI39" s="108">
        <v>0</v>
      </c>
      <c r="AJ39" s="108">
        <v>0</v>
      </c>
      <c r="AK39" s="108">
        <v>0</v>
      </c>
      <c r="AL39" s="108">
        <v>0</v>
      </c>
      <c r="AM39" s="108">
        <v>0</v>
      </c>
      <c r="AN39" s="108">
        <v>0</v>
      </c>
      <c r="AO39" s="108">
        <v>0</v>
      </c>
      <c r="AP39" s="108">
        <v>0</v>
      </c>
    </row>
    <row r="40" spans="1:42" x14ac:dyDescent="0.15">
      <c r="A40" s="186" t="s">
        <v>230</v>
      </c>
      <c r="B40" s="108">
        <v>0</v>
      </c>
      <c r="C40" s="108">
        <v>0</v>
      </c>
      <c r="D40" s="108">
        <v>0.8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</v>
      </c>
      <c r="P40" s="108">
        <v>0</v>
      </c>
      <c r="Q40" s="108">
        <v>0</v>
      </c>
      <c r="R40" s="108">
        <v>0</v>
      </c>
      <c r="S40" s="108">
        <v>0</v>
      </c>
      <c r="T40" s="108">
        <v>0</v>
      </c>
      <c r="U40" s="108">
        <v>0</v>
      </c>
      <c r="V40" s="108">
        <v>0</v>
      </c>
      <c r="W40" s="108">
        <v>0.8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108">
        <v>0</v>
      </c>
      <c r="AE40" s="108">
        <v>0.8</v>
      </c>
      <c r="AF40" s="108">
        <v>0.8</v>
      </c>
      <c r="AG40" s="108">
        <v>0</v>
      </c>
      <c r="AH40" s="108">
        <v>0.8</v>
      </c>
      <c r="AI40" s="108">
        <v>0</v>
      </c>
      <c r="AJ40" s="108">
        <v>0</v>
      </c>
      <c r="AK40" s="108">
        <v>0.8</v>
      </c>
      <c r="AL40" s="108">
        <v>0</v>
      </c>
      <c r="AM40" s="108">
        <v>0</v>
      </c>
      <c r="AN40" s="108">
        <v>0</v>
      </c>
      <c r="AO40" s="108">
        <v>0</v>
      </c>
      <c r="AP40" s="108">
        <v>0</v>
      </c>
    </row>
    <row r="41" spans="1:42" x14ac:dyDescent="0.15">
      <c r="A41" s="186" t="s">
        <v>231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0.8</v>
      </c>
      <c r="AD41" s="108">
        <v>0.8</v>
      </c>
      <c r="AE41" s="108">
        <v>0.8</v>
      </c>
      <c r="AF41" s="108">
        <v>0.8</v>
      </c>
      <c r="AG41" s="108">
        <v>0.8</v>
      </c>
      <c r="AH41" s="108">
        <v>0.8</v>
      </c>
      <c r="AI41" s="108">
        <v>0.8</v>
      </c>
      <c r="AJ41" s="108">
        <v>0.8</v>
      </c>
      <c r="AK41" s="108">
        <v>0.8</v>
      </c>
      <c r="AL41" s="108">
        <v>0</v>
      </c>
      <c r="AM41" s="108">
        <v>0</v>
      </c>
      <c r="AN41" s="108">
        <v>0</v>
      </c>
      <c r="AO41" s="108">
        <v>0</v>
      </c>
      <c r="AP41" s="108">
        <v>0</v>
      </c>
    </row>
    <row r="42" spans="1:42" x14ac:dyDescent="0.15">
      <c r="A42" s="186" t="s">
        <v>232</v>
      </c>
      <c r="B42" s="108">
        <v>0</v>
      </c>
      <c r="C42" s="108">
        <v>0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0.8</v>
      </c>
      <c r="X42" s="108">
        <v>0</v>
      </c>
      <c r="Y42" s="108">
        <v>0</v>
      </c>
      <c r="Z42" s="108">
        <v>0</v>
      </c>
      <c r="AA42" s="108">
        <v>0</v>
      </c>
      <c r="AB42" s="108">
        <v>0.8</v>
      </c>
      <c r="AC42" s="108">
        <v>0.8</v>
      </c>
      <c r="AD42" s="108">
        <v>0.8</v>
      </c>
      <c r="AE42" s="108">
        <v>0.8</v>
      </c>
      <c r="AF42" s="108">
        <v>0.8</v>
      </c>
      <c r="AG42" s="108">
        <v>0.8</v>
      </c>
      <c r="AH42" s="108">
        <v>0.8</v>
      </c>
      <c r="AI42" s="108">
        <v>0.8</v>
      </c>
      <c r="AJ42" s="108">
        <v>0.8</v>
      </c>
      <c r="AK42" s="108">
        <v>0.8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</row>
    <row r="43" spans="1:42" x14ac:dyDescent="0.15">
      <c r="A43" s="186" t="s">
        <v>239</v>
      </c>
      <c r="B43" s="108">
        <v>0</v>
      </c>
      <c r="C43" s="108">
        <v>0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</v>
      </c>
      <c r="AP43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P43"/>
  <sheetViews>
    <sheetView workbookViewId="0">
      <selection activeCell="A3" sqref="A3"/>
    </sheetView>
  </sheetViews>
  <sheetFormatPr baseColWidth="10" defaultRowHeight="13" x14ac:dyDescent="0.15"/>
  <cols>
    <col min="1" max="1" width="32" style="108" bestFit="1" customWidth="1"/>
    <col min="2" max="42" width="2.33203125" style="108" customWidth="1"/>
    <col min="43" max="16384" width="10.83203125" style="108"/>
  </cols>
  <sheetData>
    <row r="1" spans="1:42" x14ac:dyDescent="0.15">
      <c r="A1" s="61" t="s">
        <v>139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  <c r="AL1" s="189" t="s">
        <v>228</v>
      </c>
      <c r="AM1" s="189" t="s">
        <v>229</v>
      </c>
      <c r="AN1" s="189" t="s">
        <v>230</v>
      </c>
      <c r="AO1" s="189" t="s">
        <v>231</v>
      </c>
      <c r="AP1" s="189" t="s">
        <v>232</v>
      </c>
    </row>
    <row r="2" spans="1:42" customFormat="1" x14ac:dyDescent="0.15">
      <c r="A2" s="188" t="s">
        <v>192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  <c r="AJ2" s="10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0</v>
      </c>
      <c r="AP2" s="108">
        <v>0</v>
      </c>
    </row>
    <row r="3" spans="1:42" customFormat="1" x14ac:dyDescent="0.15">
      <c r="A3" s="188" t="s">
        <v>193</v>
      </c>
      <c r="B3" s="108">
        <v>0</v>
      </c>
      <c r="C3" s="108">
        <v>1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1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  <c r="AJ3" s="108">
        <v>0</v>
      </c>
      <c r="AK3" s="108">
        <v>0</v>
      </c>
      <c r="AL3" s="108">
        <v>0</v>
      </c>
      <c r="AM3" s="108">
        <v>0</v>
      </c>
      <c r="AN3" s="108">
        <v>0</v>
      </c>
      <c r="AO3" s="108">
        <v>0</v>
      </c>
      <c r="AP3" s="108">
        <v>0</v>
      </c>
    </row>
    <row r="4" spans="1:42" customFormat="1" x14ac:dyDescent="0.15">
      <c r="A4" s="188" t="s">
        <v>194</v>
      </c>
      <c r="B4" s="108">
        <v>0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  <c r="AJ4" s="108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0</v>
      </c>
      <c r="AP4" s="108">
        <v>0</v>
      </c>
    </row>
    <row r="5" spans="1:42" customFormat="1" x14ac:dyDescent="0.15">
      <c r="A5" s="188" t="s">
        <v>195</v>
      </c>
      <c r="B5" s="108">
        <v>0</v>
      </c>
      <c r="C5" s="108">
        <v>1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08">
        <v>0</v>
      </c>
      <c r="J5" s="108">
        <v>0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  <c r="AJ5" s="108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0</v>
      </c>
      <c r="AP5" s="108">
        <v>0</v>
      </c>
    </row>
    <row r="6" spans="1:42" customFormat="1" x14ac:dyDescent="0.15">
      <c r="A6" s="188" t="s">
        <v>196</v>
      </c>
      <c r="B6" s="108">
        <v>1</v>
      </c>
      <c r="C6" s="108">
        <v>1</v>
      </c>
      <c r="D6" s="108">
        <v>1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  <c r="AF6" s="108">
        <v>0</v>
      </c>
      <c r="AG6" s="108">
        <v>0</v>
      </c>
      <c r="AH6" s="108">
        <v>0</v>
      </c>
      <c r="AI6" s="108">
        <v>0</v>
      </c>
      <c r="AJ6" s="108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0</v>
      </c>
      <c r="AP6" s="108">
        <v>0</v>
      </c>
    </row>
    <row r="7" spans="1:42" customFormat="1" x14ac:dyDescent="0.15">
      <c r="A7" s="188" t="s">
        <v>197</v>
      </c>
      <c r="B7" s="108">
        <v>1</v>
      </c>
      <c r="C7" s="108">
        <v>1</v>
      </c>
      <c r="D7" s="108">
        <v>1</v>
      </c>
      <c r="E7" s="108">
        <v>0</v>
      </c>
      <c r="F7" s="108">
        <v>0</v>
      </c>
      <c r="G7" s="108">
        <v>0</v>
      </c>
      <c r="H7" s="108">
        <v>0</v>
      </c>
      <c r="I7" s="108">
        <v>1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  <c r="AF7" s="108">
        <v>0</v>
      </c>
      <c r="AG7" s="108">
        <v>0</v>
      </c>
      <c r="AH7" s="108">
        <v>0</v>
      </c>
      <c r="AI7" s="108">
        <v>0</v>
      </c>
      <c r="AJ7" s="108">
        <v>0</v>
      </c>
      <c r="AK7" s="108">
        <v>0</v>
      </c>
      <c r="AL7" s="108">
        <v>0</v>
      </c>
      <c r="AM7" s="108">
        <v>0</v>
      </c>
      <c r="AN7" s="108">
        <v>0</v>
      </c>
      <c r="AO7" s="108">
        <v>0</v>
      </c>
      <c r="AP7" s="108">
        <v>0</v>
      </c>
    </row>
    <row r="8" spans="1:42" customFormat="1" x14ac:dyDescent="0.15">
      <c r="A8" s="188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  <c r="AF8" s="108">
        <v>0</v>
      </c>
      <c r="AG8" s="108">
        <v>0</v>
      </c>
      <c r="AH8" s="108">
        <v>0</v>
      </c>
      <c r="AI8" s="108">
        <v>0</v>
      </c>
      <c r="AJ8" s="108">
        <v>0</v>
      </c>
      <c r="AK8" s="108">
        <v>0</v>
      </c>
      <c r="AL8" s="108">
        <v>0</v>
      </c>
      <c r="AM8" s="108">
        <v>0</v>
      </c>
      <c r="AN8" s="108">
        <v>0</v>
      </c>
      <c r="AO8" s="108">
        <v>0</v>
      </c>
      <c r="AP8" s="108">
        <v>0</v>
      </c>
    </row>
    <row r="9" spans="1:42" customFormat="1" x14ac:dyDescent="0.15">
      <c r="A9" s="188" t="s">
        <v>199</v>
      </c>
      <c r="B9" s="108">
        <v>1</v>
      </c>
      <c r="C9" s="108">
        <v>1</v>
      </c>
      <c r="D9" s="108">
        <v>1</v>
      </c>
      <c r="E9" s="108">
        <v>1</v>
      </c>
      <c r="F9" s="108">
        <v>0</v>
      </c>
      <c r="G9" s="108">
        <v>1</v>
      </c>
      <c r="H9" s="108">
        <v>0</v>
      </c>
      <c r="I9" s="108">
        <v>1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  <c r="AF9" s="108">
        <v>0</v>
      </c>
      <c r="AG9" s="108">
        <v>0</v>
      </c>
      <c r="AH9" s="108">
        <v>0</v>
      </c>
      <c r="AI9" s="108">
        <v>0</v>
      </c>
      <c r="AJ9" s="108">
        <v>0</v>
      </c>
      <c r="AK9" s="108">
        <v>0</v>
      </c>
      <c r="AL9" s="108">
        <v>0</v>
      </c>
      <c r="AM9" s="108">
        <v>0</v>
      </c>
      <c r="AN9" s="108">
        <v>0</v>
      </c>
      <c r="AO9" s="108">
        <v>0</v>
      </c>
      <c r="AP9" s="108">
        <v>0</v>
      </c>
    </row>
    <row r="10" spans="1:42" customFormat="1" x14ac:dyDescent="0.15">
      <c r="A10" s="188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  <c r="AJ10" s="108">
        <v>0</v>
      </c>
      <c r="AK10" s="108">
        <v>0</v>
      </c>
      <c r="AL10" s="108">
        <v>0</v>
      </c>
      <c r="AM10" s="108">
        <v>0</v>
      </c>
      <c r="AN10" s="108">
        <v>0</v>
      </c>
      <c r="AO10" s="108">
        <v>0</v>
      </c>
      <c r="AP10" s="108">
        <v>0</v>
      </c>
    </row>
    <row r="11" spans="1:42" customFormat="1" x14ac:dyDescent="0.15">
      <c r="A11" s="188" t="s">
        <v>201</v>
      </c>
      <c r="B11" s="108">
        <v>0</v>
      </c>
      <c r="C11" s="108">
        <v>1</v>
      </c>
      <c r="D11" s="108">
        <v>1</v>
      </c>
      <c r="E11" s="108">
        <v>0</v>
      </c>
      <c r="F11" s="108">
        <v>0</v>
      </c>
      <c r="G11" s="108">
        <v>0</v>
      </c>
      <c r="H11" s="108">
        <v>1</v>
      </c>
      <c r="I11" s="108">
        <v>0</v>
      </c>
      <c r="J11" s="108">
        <v>1</v>
      </c>
      <c r="K11" s="108">
        <v>1</v>
      </c>
      <c r="L11" s="108">
        <v>1</v>
      </c>
      <c r="M11" s="108">
        <v>0</v>
      </c>
      <c r="N11" s="108">
        <v>1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1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  <c r="AJ11" s="108">
        <v>0</v>
      </c>
      <c r="AK11" s="108">
        <v>0</v>
      </c>
      <c r="AL11" s="108">
        <v>0</v>
      </c>
      <c r="AM11" s="108">
        <v>0</v>
      </c>
      <c r="AN11" s="108">
        <v>0</v>
      </c>
      <c r="AO11" s="108">
        <v>0</v>
      </c>
      <c r="AP11" s="108">
        <v>0</v>
      </c>
    </row>
    <row r="12" spans="1:42" customFormat="1" x14ac:dyDescent="0.15">
      <c r="A12" s="188" t="s">
        <v>202</v>
      </c>
      <c r="B12" s="108">
        <v>0</v>
      </c>
      <c r="C12" s="108">
        <v>1</v>
      </c>
      <c r="D12" s="108">
        <v>0</v>
      </c>
      <c r="E12" s="108">
        <v>0</v>
      </c>
      <c r="F12" s="108">
        <v>1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1</v>
      </c>
      <c r="M12" s="108">
        <v>0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  <c r="AJ12" s="108">
        <v>0</v>
      </c>
      <c r="AK12" s="108">
        <v>0</v>
      </c>
      <c r="AL12" s="108">
        <v>0</v>
      </c>
      <c r="AM12" s="108">
        <v>0</v>
      </c>
      <c r="AN12" s="108">
        <v>0</v>
      </c>
      <c r="AO12" s="108">
        <v>0</v>
      </c>
      <c r="AP12" s="108">
        <v>0</v>
      </c>
    </row>
    <row r="13" spans="1:42" customFormat="1" x14ac:dyDescent="0.15">
      <c r="A13" s="188" t="s">
        <v>203</v>
      </c>
      <c r="B13" s="108">
        <v>1</v>
      </c>
      <c r="C13" s="108">
        <v>0</v>
      </c>
      <c r="D13" s="108">
        <v>0</v>
      </c>
      <c r="E13" s="108">
        <v>1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  <c r="AJ13" s="108">
        <v>0</v>
      </c>
      <c r="AK13" s="108">
        <v>0</v>
      </c>
      <c r="AL13" s="108">
        <v>0</v>
      </c>
      <c r="AM13" s="108">
        <v>0</v>
      </c>
      <c r="AN13" s="108">
        <v>0</v>
      </c>
      <c r="AO13" s="108">
        <v>0</v>
      </c>
      <c r="AP13" s="108">
        <v>0</v>
      </c>
    </row>
    <row r="14" spans="1:42" customFormat="1" x14ac:dyDescent="0.15">
      <c r="A14" s="188" t="s">
        <v>204</v>
      </c>
      <c r="B14" s="108">
        <v>0</v>
      </c>
      <c r="C14" s="108">
        <v>0</v>
      </c>
      <c r="D14" s="108">
        <v>1</v>
      </c>
      <c r="E14" s="108">
        <v>1</v>
      </c>
      <c r="F14" s="108">
        <v>1</v>
      </c>
      <c r="G14" s="108">
        <v>1</v>
      </c>
      <c r="H14" s="108">
        <v>1</v>
      </c>
      <c r="I14" s="108">
        <v>1</v>
      </c>
      <c r="J14" s="108">
        <v>1</v>
      </c>
      <c r="K14" s="108">
        <v>1</v>
      </c>
      <c r="L14" s="108">
        <v>1</v>
      </c>
      <c r="M14" s="108">
        <v>0</v>
      </c>
      <c r="N14" s="108">
        <v>1</v>
      </c>
      <c r="O14" s="108">
        <v>1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1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  <c r="AJ14" s="108">
        <v>0</v>
      </c>
      <c r="AK14" s="108">
        <v>0</v>
      </c>
      <c r="AL14" s="108">
        <v>0</v>
      </c>
      <c r="AM14" s="108">
        <v>0</v>
      </c>
      <c r="AN14" s="108">
        <v>0</v>
      </c>
      <c r="AO14" s="108">
        <v>0</v>
      </c>
      <c r="AP14" s="108">
        <v>0</v>
      </c>
    </row>
    <row r="15" spans="1:42" customFormat="1" x14ac:dyDescent="0.15">
      <c r="A15" s="188" t="s">
        <v>205</v>
      </c>
      <c r="B15" s="108">
        <v>0</v>
      </c>
      <c r="C15" s="108">
        <v>1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1</v>
      </c>
      <c r="L15" s="108">
        <v>0</v>
      </c>
      <c r="M15" s="108">
        <v>0</v>
      </c>
      <c r="N15" s="108">
        <v>0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  <c r="AJ15" s="108">
        <v>0</v>
      </c>
      <c r="AK15" s="108">
        <v>0</v>
      </c>
      <c r="AL15" s="108">
        <v>0</v>
      </c>
      <c r="AM15" s="108">
        <v>0</v>
      </c>
      <c r="AN15" s="108">
        <v>0</v>
      </c>
      <c r="AO15" s="108">
        <v>0</v>
      </c>
      <c r="AP15" s="108">
        <v>0</v>
      </c>
    </row>
    <row r="16" spans="1:42" customFormat="1" x14ac:dyDescent="0.15">
      <c r="A16" s="188" t="s">
        <v>206</v>
      </c>
      <c r="B16" s="108">
        <v>1</v>
      </c>
      <c r="C16" s="108">
        <v>1</v>
      </c>
      <c r="D16" s="108">
        <v>1</v>
      </c>
      <c r="E16" s="108">
        <v>0</v>
      </c>
      <c r="F16" s="108">
        <v>0</v>
      </c>
      <c r="G16" s="108">
        <v>1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0</v>
      </c>
      <c r="AN16" s="108">
        <v>0</v>
      </c>
      <c r="AO16" s="108">
        <v>0</v>
      </c>
      <c r="AP16" s="108">
        <v>0</v>
      </c>
    </row>
    <row r="17" spans="1:42" customFormat="1" x14ac:dyDescent="0.15">
      <c r="A17" s="188" t="s">
        <v>207</v>
      </c>
      <c r="B17" s="108">
        <v>0</v>
      </c>
      <c r="C17" s="108">
        <v>1</v>
      </c>
      <c r="D17" s="108">
        <v>1</v>
      </c>
      <c r="E17" s="108">
        <v>0</v>
      </c>
      <c r="F17" s="108">
        <v>0</v>
      </c>
      <c r="G17" s="108">
        <v>1</v>
      </c>
      <c r="H17" s="108">
        <v>1</v>
      </c>
      <c r="I17" s="108">
        <v>0</v>
      </c>
      <c r="J17" s="108">
        <v>1</v>
      </c>
      <c r="K17" s="108">
        <v>1</v>
      </c>
      <c r="L17" s="108">
        <v>1</v>
      </c>
      <c r="M17" s="108">
        <v>0</v>
      </c>
      <c r="N17" s="108">
        <v>0</v>
      </c>
      <c r="O17" s="108">
        <v>0</v>
      </c>
      <c r="P17" s="108">
        <v>0</v>
      </c>
      <c r="Q17" s="108">
        <v>1</v>
      </c>
      <c r="R17" s="108">
        <v>0</v>
      </c>
      <c r="S17" s="108">
        <v>0</v>
      </c>
      <c r="T17" s="108">
        <v>0</v>
      </c>
      <c r="U17" s="108">
        <v>1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  <c r="AJ17" s="108">
        <v>0</v>
      </c>
      <c r="AK17" s="108">
        <v>0</v>
      </c>
      <c r="AL17" s="108">
        <v>0</v>
      </c>
      <c r="AM17" s="108">
        <v>0</v>
      </c>
      <c r="AN17" s="108">
        <v>0</v>
      </c>
      <c r="AO17" s="108">
        <v>0</v>
      </c>
      <c r="AP17" s="108">
        <v>0</v>
      </c>
    </row>
    <row r="18" spans="1:42" customFormat="1" x14ac:dyDescent="0.15">
      <c r="A18" s="188" t="s">
        <v>208</v>
      </c>
      <c r="B18" s="108">
        <v>0</v>
      </c>
      <c r="C18" s="108">
        <v>1</v>
      </c>
      <c r="D18" s="108">
        <v>0</v>
      </c>
      <c r="E18" s="108">
        <v>1</v>
      </c>
      <c r="F18" s="108">
        <v>1</v>
      </c>
      <c r="G18" s="108">
        <v>1</v>
      </c>
      <c r="H18" s="108">
        <v>0</v>
      </c>
      <c r="I18" s="108">
        <v>1</v>
      </c>
      <c r="J18" s="108">
        <v>0</v>
      </c>
      <c r="K18" s="108">
        <v>1</v>
      </c>
      <c r="L18" s="108">
        <v>0</v>
      </c>
      <c r="M18" s="108">
        <v>0</v>
      </c>
      <c r="N18" s="108">
        <v>1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1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  <c r="AF18" s="108">
        <v>0</v>
      </c>
      <c r="AG18" s="108">
        <v>0</v>
      </c>
      <c r="AH18" s="108">
        <v>0</v>
      </c>
      <c r="AI18" s="108">
        <v>0</v>
      </c>
      <c r="AJ18" s="108">
        <v>0</v>
      </c>
      <c r="AK18" s="108">
        <v>0</v>
      </c>
      <c r="AL18" s="108">
        <v>0</v>
      </c>
      <c r="AM18" s="108">
        <v>0</v>
      </c>
      <c r="AN18" s="108">
        <v>0</v>
      </c>
      <c r="AO18" s="108">
        <v>0</v>
      </c>
      <c r="AP18" s="108">
        <v>0</v>
      </c>
    </row>
    <row r="19" spans="1:42" customFormat="1" x14ac:dyDescent="0.15">
      <c r="A19" s="188" t="s">
        <v>209</v>
      </c>
      <c r="B19" s="108">
        <v>0</v>
      </c>
      <c r="C19" s="108">
        <v>1</v>
      </c>
      <c r="D19" s="108">
        <v>0</v>
      </c>
      <c r="E19" s="108">
        <v>0</v>
      </c>
      <c r="F19" s="108">
        <v>0</v>
      </c>
      <c r="G19" s="108">
        <v>1</v>
      </c>
      <c r="H19" s="108">
        <v>0</v>
      </c>
      <c r="I19" s="108">
        <v>1</v>
      </c>
      <c r="J19" s="108">
        <v>0</v>
      </c>
      <c r="K19" s="108">
        <v>0</v>
      </c>
      <c r="L19" s="108">
        <v>0</v>
      </c>
      <c r="M19" s="108">
        <v>0</v>
      </c>
      <c r="N19" s="108">
        <v>1</v>
      </c>
      <c r="O19" s="108">
        <v>1</v>
      </c>
      <c r="P19" s="108">
        <v>1</v>
      </c>
      <c r="Q19" s="108">
        <v>1</v>
      </c>
      <c r="R19" s="108">
        <v>0</v>
      </c>
      <c r="S19" s="108">
        <v>1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  <c r="AF19" s="108">
        <v>0</v>
      </c>
      <c r="AG19" s="108">
        <v>0</v>
      </c>
      <c r="AH19" s="108">
        <v>0</v>
      </c>
      <c r="AI19" s="108">
        <v>0</v>
      </c>
      <c r="AJ19" s="108">
        <v>0</v>
      </c>
      <c r="AK19" s="108">
        <v>0</v>
      </c>
      <c r="AL19" s="108">
        <v>0</v>
      </c>
      <c r="AM19" s="108">
        <v>0</v>
      </c>
      <c r="AN19" s="108">
        <v>0</v>
      </c>
      <c r="AO19" s="108">
        <v>0</v>
      </c>
      <c r="AP19" s="108">
        <v>0</v>
      </c>
    </row>
    <row r="20" spans="1:42" customFormat="1" x14ac:dyDescent="0.15">
      <c r="A20" s="188" t="s">
        <v>210</v>
      </c>
      <c r="B20" s="108">
        <v>1</v>
      </c>
      <c r="C20" s="108">
        <v>1</v>
      </c>
      <c r="D20" s="108">
        <v>1</v>
      </c>
      <c r="E20" s="108">
        <v>1</v>
      </c>
      <c r="F20" s="108">
        <v>1</v>
      </c>
      <c r="G20" s="108">
        <v>1</v>
      </c>
      <c r="H20" s="108">
        <v>1</v>
      </c>
      <c r="I20" s="108">
        <v>1</v>
      </c>
      <c r="J20" s="108">
        <v>1</v>
      </c>
      <c r="K20" s="108">
        <v>1</v>
      </c>
      <c r="L20" s="108">
        <v>1</v>
      </c>
      <c r="M20" s="108">
        <v>1</v>
      </c>
      <c r="N20" s="108">
        <v>1</v>
      </c>
      <c r="O20" s="108">
        <v>0</v>
      </c>
      <c r="P20" s="108">
        <v>1</v>
      </c>
      <c r="Q20" s="108">
        <v>1</v>
      </c>
      <c r="R20" s="108">
        <v>0</v>
      </c>
      <c r="S20" s="108">
        <v>0</v>
      </c>
      <c r="T20" s="108">
        <v>0</v>
      </c>
      <c r="U20" s="108">
        <v>0</v>
      </c>
      <c r="V20" s="108">
        <v>0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  <c r="AF20" s="108">
        <v>0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8">
        <v>0</v>
      </c>
      <c r="AM20" s="108">
        <v>0</v>
      </c>
      <c r="AN20" s="108">
        <v>0</v>
      </c>
      <c r="AO20" s="108">
        <v>0</v>
      </c>
      <c r="AP20" s="108">
        <v>0</v>
      </c>
    </row>
    <row r="21" spans="1:42" customFormat="1" x14ac:dyDescent="0.15">
      <c r="A21" s="188" t="s">
        <v>211</v>
      </c>
      <c r="B21" s="108">
        <v>1</v>
      </c>
      <c r="C21" s="108">
        <v>1</v>
      </c>
      <c r="D21" s="108">
        <v>0</v>
      </c>
      <c r="E21" s="108">
        <v>0</v>
      </c>
      <c r="F21" s="108">
        <v>1</v>
      </c>
      <c r="G21" s="108">
        <v>1</v>
      </c>
      <c r="H21" s="108">
        <v>0</v>
      </c>
      <c r="I21" s="108">
        <v>1</v>
      </c>
      <c r="J21" s="108">
        <v>0</v>
      </c>
      <c r="K21" s="108">
        <v>0</v>
      </c>
      <c r="L21" s="108">
        <v>0</v>
      </c>
      <c r="M21" s="108">
        <v>0</v>
      </c>
      <c r="N21" s="108">
        <v>1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</v>
      </c>
      <c r="U21" s="108">
        <v>0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  <c r="AF21" s="108">
        <v>0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8">
        <v>0</v>
      </c>
      <c r="AM21" s="108">
        <v>0</v>
      </c>
      <c r="AN21" s="108">
        <v>0</v>
      </c>
      <c r="AO21" s="108">
        <v>0</v>
      </c>
      <c r="AP21" s="108">
        <v>0</v>
      </c>
    </row>
    <row r="22" spans="1:42" customFormat="1" x14ac:dyDescent="0.15">
      <c r="A22" s="188" t="s">
        <v>212</v>
      </c>
      <c r="B22" s="108">
        <v>0</v>
      </c>
      <c r="C22" s="108">
        <v>1</v>
      </c>
      <c r="D22" s="108">
        <v>1</v>
      </c>
      <c r="E22" s="108">
        <v>0</v>
      </c>
      <c r="F22" s="108">
        <v>0</v>
      </c>
      <c r="G22" s="108">
        <v>1</v>
      </c>
      <c r="H22" s="108">
        <v>0</v>
      </c>
      <c r="I22" s="108">
        <v>1</v>
      </c>
      <c r="J22" s="108">
        <v>0</v>
      </c>
      <c r="K22" s="108">
        <v>0</v>
      </c>
      <c r="L22" s="108">
        <v>0</v>
      </c>
      <c r="M22" s="108">
        <v>0</v>
      </c>
      <c r="N22" s="108">
        <v>1</v>
      </c>
      <c r="O22" s="108">
        <v>1</v>
      </c>
      <c r="P22" s="108">
        <v>1</v>
      </c>
      <c r="Q22" s="108">
        <v>1</v>
      </c>
      <c r="R22" s="108">
        <v>0</v>
      </c>
      <c r="S22" s="108">
        <v>0</v>
      </c>
      <c r="T22" s="108">
        <v>0</v>
      </c>
      <c r="U22" s="108">
        <v>0</v>
      </c>
      <c r="V22" s="108">
        <v>0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  <c r="AF22" s="108">
        <v>0</v>
      </c>
      <c r="AG22" s="108">
        <v>0</v>
      </c>
      <c r="AH22" s="108">
        <v>0</v>
      </c>
      <c r="AI22" s="108">
        <v>0</v>
      </c>
      <c r="AJ22" s="108">
        <v>0</v>
      </c>
      <c r="AK22" s="108">
        <v>0</v>
      </c>
      <c r="AL22" s="108">
        <v>0</v>
      </c>
      <c r="AM22" s="108">
        <v>0</v>
      </c>
      <c r="AN22" s="108">
        <v>0</v>
      </c>
      <c r="AO22" s="108">
        <v>0</v>
      </c>
      <c r="AP22" s="108">
        <v>0</v>
      </c>
    </row>
    <row r="23" spans="1:42" customFormat="1" x14ac:dyDescent="0.15">
      <c r="A23" s="188" t="s">
        <v>213</v>
      </c>
      <c r="B23" s="108">
        <v>0</v>
      </c>
      <c r="C23" s="108">
        <v>1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1</v>
      </c>
      <c r="J23" s="108">
        <v>0</v>
      </c>
      <c r="K23" s="108">
        <v>0</v>
      </c>
      <c r="L23" s="108">
        <v>0</v>
      </c>
      <c r="M23" s="108">
        <v>0</v>
      </c>
      <c r="N23" s="108">
        <v>0</v>
      </c>
      <c r="O23" s="108">
        <v>1</v>
      </c>
      <c r="P23" s="108">
        <v>0</v>
      </c>
      <c r="Q23" s="108">
        <v>0</v>
      </c>
      <c r="R23" s="108">
        <v>0</v>
      </c>
      <c r="S23" s="108">
        <v>0</v>
      </c>
      <c r="T23" s="108">
        <v>0</v>
      </c>
      <c r="U23" s="108">
        <v>0</v>
      </c>
      <c r="V23" s="108">
        <v>0</v>
      </c>
      <c r="W23" s="108">
        <v>1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  <c r="AJ23" s="108">
        <v>0</v>
      </c>
      <c r="AK23" s="108">
        <v>0</v>
      </c>
      <c r="AL23" s="108">
        <v>0</v>
      </c>
      <c r="AM23" s="108">
        <v>0</v>
      </c>
      <c r="AN23" s="108">
        <v>0</v>
      </c>
      <c r="AO23" s="108">
        <v>0</v>
      </c>
      <c r="AP23" s="108">
        <v>0</v>
      </c>
    </row>
    <row r="24" spans="1:42" customFormat="1" x14ac:dyDescent="0.15">
      <c r="A24" s="188" t="s">
        <v>214</v>
      </c>
      <c r="B24" s="108">
        <v>1</v>
      </c>
      <c r="C24" s="108">
        <v>1</v>
      </c>
      <c r="D24" s="108">
        <v>1</v>
      </c>
      <c r="E24" s="108">
        <v>0</v>
      </c>
      <c r="F24" s="108">
        <v>1</v>
      </c>
      <c r="G24" s="108">
        <v>1</v>
      </c>
      <c r="H24" s="108">
        <v>1</v>
      </c>
      <c r="I24" s="108">
        <v>0</v>
      </c>
      <c r="J24" s="108">
        <v>1</v>
      </c>
      <c r="K24" s="108">
        <v>1</v>
      </c>
      <c r="L24" s="108">
        <v>1</v>
      </c>
      <c r="M24" s="108">
        <v>1</v>
      </c>
      <c r="N24" s="108">
        <v>1</v>
      </c>
      <c r="O24" s="108">
        <v>0</v>
      </c>
      <c r="P24" s="108">
        <v>0</v>
      </c>
      <c r="Q24" s="108">
        <v>0</v>
      </c>
      <c r="R24" s="108">
        <v>0</v>
      </c>
      <c r="S24" s="108">
        <v>0</v>
      </c>
      <c r="T24" s="108">
        <v>0</v>
      </c>
      <c r="U24" s="108">
        <v>1</v>
      </c>
      <c r="V24" s="108">
        <v>0</v>
      </c>
      <c r="W24" s="108">
        <v>0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  <c r="AF24" s="108">
        <v>0</v>
      </c>
      <c r="AG24" s="108">
        <v>0</v>
      </c>
      <c r="AH24" s="108">
        <v>0</v>
      </c>
      <c r="AI24" s="108">
        <v>0</v>
      </c>
      <c r="AJ24" s="108">
        <v>0</v>
      </c>
      <c r="AK24" s="108">
        <v>0</v>
      </c>
      <c r="AL24" s="108">
        <v>0</v>
      </c>
      <c r="AM24" s="108">
        <v>0</v>
      </c>
      <c r="AN24" s="108">
        <v>0</v>
      </c>
      <c r="AO24" s="108">
        <v>0</v>
      </c>
      <c r="AP24" s="108">
        <v>0</v>
      </c>
    </row>
    <row r="25" spans="1:42" customFormat="1" x14ac:dyDescent="0.15">
      <c r="A25" s="188" t="s">
        <v>215</v>
      </c>
      <c r="B25" s="108">
        <v>1</v>
      </c>
      <c r="C25" s="108">
        <v>1</v>
      </c>
      <c r="D25" s="108">
        <v>1</v>
      </c>
      <c r="E25" s="108">
        <v>0</v>
      </c>
      <c r="F25" s="108">
        <v>1</v>
      </c>
      <c r="G25" s="108">
        <v>1</v>
      </c>
      <c r="H25" s="108">
        <v>0</v>
      </c>
      <c r="I25" s="108">
        <v>0</v>
      </c>
      <c r="J25" s="108">
        <v>1</v>
      </c>
      <c r="K25" s="108">
        <v>0</v>
      </c>
      <c r="L25" s="108">
        <v>0</v>
      </c>
      <c r="M25" s="108">
        <v>1</v>
      </c>
      <c r="N25" s="108">
        <v>0</v>
      </c>
      <c r="O25" s="108">
        <v>0</v>
      </c>
      <c r="P25" s="108">
        <v>0</v>
      </c>
      <c r="Q25" s="108">
        <v>0</v>
      </c>
      <c r="R25" s="108">
        <v>0</v>
      </c>
      <c r="S25" s="108">
        <v>0</v>
      </c>
      <c r="T25" s="108">
        <v>0</v>
      </c>
      <c r="U25" s="108">
        <v>0</v>
      </c>
      <c r="V25" s="108">
        <v>0</v>
      </c>
      <c r="W25" s="108">
        <v>0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  <c r="AF25" s="108">
        <v>0</v>
      </c>
      <c r="AG25" s="108">
        <v>0</v>
      </c>
      <c r="AH25" s="108">
        <v>0</v>
      </c>
      <c r="AI25" s="108">
        <v>0</v>
      </c>
      <c r="AJ25" s="108">
        <v>0</v>
      </c>
      <c r="AK25" s="108">
        <v>0</v>
      </c>
      <c r="AL25" s="108">
        <v>0</v>
      </c>
      <c r="AM25" s="108">
        <v>0</v>
      </c>
      <c r="AN25" s="108">
        <v>0</v>
      </c>
      <c r="AO25" s="108">
        <v>0</v>
      </c>
      <c r="AP25" s="108">
        <v>0</v>
      </c>
    </row>
    <row r="26" spans="1:42" customFormat="1" x14ac:dyDescent="0.15">
      <c r="A26" s="188" t="s">
        <v>216</v>
      </c>
      <c r="B26" s="108">
        <v>1</v>
      </c>
      <c r="C26" s="108">
        <v>1</v>
      </c>
      <c r="D26" s="108">
        <v>1</v>
      </c>
      <c r="E26" s="108">
        <v>0</v>
      </c>
      <c r="F26" s="108">
        <v>1</v>
      </c>
      <c r="G26" s="108">
        <v>1</v>
      </c>
      <c r="H26" s="108">
        <v>1</v>
      </c>
      <c r="I26" s="108">
        <v>1</v>
      </c>
      <c r="J26" s="108">
        <v>1</v>
      </c>
      <c r="K26" s="108">
        <v>1</v>
      </c>
      <c r="L26" s="108">
        <v>1</v>
      </c>
      <c r="M26" s="108">
        <v>1</v>
      </c>
      <c r="N26" s="108">
        <v>1</v>
      </c>
      <c r="O26" s="108">
        <v>0</v>
      </c>
      <c r="P26" s="108">
        <v>0</v>
      </c>
      <c r="Q26" s="108">
        <v>0</v>
      </c>
      <c r="R26" s="108">
        <v>0</v>
      </c>
      <c r="S26" s="108">
        <v>1</v>
      </c>
      <c r="T26" s="108">
        <v>0</v>
      </c>
      <c r="U26" s="108">
        <v>1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1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  <c r="AJ26" s="108">
        <v>0</v>
      </c>
      <c r="AK26" s="108">
        <v>0</v>
      </c>
      <c r="AL26" s="108">
        <v>0</v>
      </c>
      <c r="AM26" s="108">
        <v>0</v>
      </c>
      <c r="AN26" s="108">
        <v>0</v>
      </c>
      <c r="AO26" s="108">
        <v>0</v>
      </c>
      <c r="AP26" s="108">
        <v>0</v>
      </c>
    </row>
    <row r="27" spans="1:42" customFormat="1" x14ac:dyDescent="0.15">
      <c r="A27" s="188" t="s">
        <v>217</v>
      </c>
      <c r="B27" s="108">
        <v>0</v>
      </c>
      <c r="C27" s="108">
        <v>1</v>
      </c>
      <c r="D27" s="108">
        <v>1</v>
      </c>
      <c r="E27" s="108">
        <v>1</v>
      </c>
      <c r="F27" s="108">
        <v>1</v>
      </c>
      <c r="G27" s="108">
        <v>1</v>
      </c>
      <c r="H27" s="108">
        <v>1</v>
      </c>
      <c r="I27" s="108">
        <v>1</v>
      </c>
      <c r="J27" s="108">
        <v>1</v>
      </c>
      <c r="K27" s="108">
        <v>1</v>
      </c>
      <c r="L27" s="108">
        <v>1</v>
      </c>
      <c r="M27" s="108">
        <v>1</v>
      </c>
      <c r="N27" s="108">
        <v>1</v>
      </c>
      <c r="O27" s="108">
        <v>0</v>
      </c>
      <c r="P27" s="108">
        <v>1</v>
      </c>
      <c r="Q27" s="108">
        <v>0</v>
      </c>
      <c r="R27" s="108">
        <v>0</v>
      </c>
      <c r="S27" s="108">
        <v>0</v>
      </c>
      <c r="T27" s="108">
        <v>0</v>
      </c>
      <c r="U27" s="108">
        <v>1</v>
      </c>
      <c r="V27" s="108">
        <v>0</v>
      </c>
      <c r="W27" s="108">
        <v>0</v>
      </c>
      <c r="X27" s="108">
        <v>0</v>
      </c>
      <c r="Y27" s="108">
        <v>0</v>
      </c>
      <c r="Z27" s="108">
        <v>0</v>
      </c>
      <c r="AA27" s="108">
        <v>0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  <c r="AJ27" s="108">
        <v>0</v>
      </c>
      <c r="AK27" s="108">
        <v>0</v>
      </c>
      <c r="AL27" s="108">
        <v>0</v>
      </c>
      <c r="AM27" s="108">
        <v>0</v>
      </c>
      <c r="AN27" s="108">
        <v>0</v>
      </c>
      <c r="AO27" s="108">
        <v>0</v>
      </c>
      <c r="AP27" s="108">
        <v>0</v>
      </c>
    </row>
    <row r="28" spans="1:42" customFormat="1" x14ac:dyDescent="0.15">
      <c r="A28" s="188" t="s">
        <v>218</v>
      </c>
      <c r="B28" s="108">
        <v>0</v>
      </c>
      <c r="C28" s="108">
        <v>1</v>
      </c>
      <c r="D28" s="108">
        <v>0</v>
      </c>
      <c r="E28" s="108">
        <v>0</v>
      </c>
      <c r="F28" s="108">
        <v>0</v>
      </c>
      <c r="G28" s="108">
        <v>1</v>
      </c>
      <c r="H28" s="108">
        <v>0</v>
      </c>
      <c r="I28" s="108">
        <v>1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1</v>
      </c>
      <c r="P28" s="108">
        <v>1</v>
      </c>
      <c r="Q28" s="108">
        <v>1</v>
      </c>
      <c r="R28" s="108">
        <v>0</v>
      </c>
      <c r="S28" s="108">
        <v>0</v>
      </c>
      <c r="T28" s="108">
        <v>0</v>
      </c>
      <c r="U28" s="108">
        <v>0</v>
      </c>
      <c r="V28" s="108">
        <v>1</v>
      </c>
      <c r="W28" s="108">
        <v>1</v>
      </c>
      <c r="X28" s="108">
        <v>0</v>
      </c>
      <c r="Y28" s="108">
        <v>0</v>
      </c>
      <c r="Z28" s="108">
        <v>0</v>
      </c>
      <c r="AA28" s="108">
        <v>0</v>
      </c>
      <c r="AB28" s="108">
        <v>1</v>
      </c>
      <c r="AC28" s="108">
        <v>0</v>
      </c>
      <c r="AD28" s="108">
        <v>0</v>
      </c>
      <c r="AE28" s="108">
        <v>0</v>
      </c>
      <c r="AF28" s="108">
        <v>1</v>
      </c>
      <c r="AG28" s="108">
        <v>0</v>
      </c>
      <c r="AH28" s="108">
        <v>1</v>
      </c>
      <c r="AI28" s="108">
        <v>0</v>
      </c>
      <c r="AJ28" s="108">
        <v>0</v>
      </c>
      <c r="AK28" s="108">
        <v>0</v>
      </c>
      <c r="AL28" s="108">
        <v>0</v>
      </c>
      <c r="AM28" s="108">
        <v>0</v>
      </c>
      <c r="AN28" s="108">
        <v>0</v>
      </c>
      <c r="AO28" s="108">
        <v>0</v>
      </c>
      <c r="AP28" s="108">
        <v>0</v>
      </c>
    </row>
    <row r="29" spans="1:42" customFormat="1" x14ac:dyDescent="0.15">
      <c r="A29" s="188" t="s">
        <v>219</v>
      </c>
      <c r="B29" s="108">
        <v>0</v>
      </c>
      <c r="C29" s="108">
        <v>0</v>
      </c>
      <c r="D29" s="108">
        <v>0</v>
      </c>
      <c r="E29" s="108">
        <v>1</v>
      </c>
      <c r="F29" s="108">
        <v>1</v>
      </c>
      <c r="G29" s="108">
        <v>1</v>
      </c>
      <c r="H29" s="108">
        <v>1</v>
      </c>
      <c r="I29" s="108">
        <v>1</v>
      </c>
      <c r="J29" s="108">
        <v>1</v>
      </c>
      <c r="K29" s="108">
        <v>1</v>
      </c>
      <c r="L29" s="108">
        <v>1</v>
      </c>
      <c r="M29" s="108">
        <v>1</v>
      </c>
      <c r="N29" s="108">
        <v>1</v>
      </c>
      <c r="O29" s="108">
        <v>1</v>
      </c>
      <c r="P29" s="108">
        <v>1</v>
      </c>
      <c r="Q29" s="108">
        <v>1</v>
      </c>
      <c r="R29" s="108">
        <v>1</v>
      </c>
      <c r="S29" s="108">
        <v>1</v>
      </c>
      <c r="T29" s="108">
        <v>1</v>
      </c>
      <c r="U29" s="108">
        <v>1</v>
      </c>
      <c r="V29" s="108">
        <v>0</v>
      </c>
      <c r="W29" s="108">
        <v>0</v>
      </c>
      <c r="X29" s="108">
        <v>1</v>
      </c>
      <c r="Y29" s="108">
        <v>1</v>
      </c>
      <c r="Z29" s="108">
        <v>1</v>
      </c>
      <c r="AA29" s="108">
        <v>1</v>
      </c>
      <c r="AB29" s="108">
        <v>0</v>
      </c>
      <c r="AC29" s="108">
        <v>1</v>
      </c>
      <c r="AD29" s="108">
        <v>0</v>
      </c>
      <c r="AE29" s="108">
        <v>0</v>
      </c>
      <c r="AF29" s="108">
        <v>1</v>
      </c>
      <c r="AG29" s="108">
        <v>0</v>
      </c>
      <c r="AH29" s="108">
        <v>0</v>
      </c>
      <c r="AI29" s="108">
        <v>0</v>
      </c>
      <c r="AJ29" s="108">
        <v>0</v>
      </c>
      <c r="AK29" s="108">
        <v>0</v>
      </c>
      <c r="AL29" s="108">
        <v>0</v>
      </c>
      <c r="AM29" s="108">
        <v>0</v>
      </c>
      <c r="AN29" s="108">
        <v>0</v>
      </c>
      <c r="AO29" s="108">
        <v>0</v>
      </c>
      <c r="AP29" s="108">
        <v>0</v>
      </c>
    </row>
    <row r="30" spans="1:42" customFormat="1" x14ac:dyDescent="0.15">
      <c r="A30" s="188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1</v>
      </c>
      <c r="H30" s="108">
        <v>0</v>
      </c>
      <c r="I30" s="108">
        <v>1</v>
      </c>
      <c r="J30" s="108">
        <v>0</v>
      </c>
      <c r="K30" s="108">
        <v>0</v>
      </c>
      <c r="L30" s="108">
        <v>0</v>
      </c>
      <c r="M30" s="108">
        <v>0</v>
      </c>
      <c r="N30" s="108">
        <v>1</v>
      </c>
      <c r="O30" s="108">
        <v>1</v>
      </c>
      <c r="P30" s="108">
        <v>1</v>
      </c>
      <c r="Q30" s="108">
        <v>1</v>
      </c>
      <c r="R30" s="108">
        <v>0</v>
      </c>
      <c r="S30" s="108">
        <v>0</v>
      </c>
      <c r="T30" s="108">
        <v>0</v>
      </c>
      <c r="U30" s="108">
        <v>0</v>
      </c>
      <c r="V30" s="108">
        <v>1</v>
      </c>
      <c r="W30" s="108">
        <v>1</v>
      </c>
      <c r="X30" s="108">
        <v>0</v>
      </c>
      <c r="Y30" s="108">
        <v>0</v>
      </c>
      <c r="Z30" s="108">
        <v>0</v>
      </c>
      <c r="AA30" s="108">
        <v>0</v>
      </c>
      <c r="AB30" s="108">
        <v>1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  <c r="AJ30" s="108">
        <v>0</v>
      </c>
      <c r="AK30" s="108">
        <v>0</v>
      </c>
      <c r="AL30" s="108">
        <v>0</v>
      </c>
      <c r="AM30" s="108">
        <v>0</v>
      </c>
      <c r="AN30" s="108">
        <v>0</v>
      </c>
      <c r="AO30" s="108">
        <v>0</v>
      </c>
      <c r="AP30" s="108">
        <v>0</v>
      </c>
    </row>
    <row r="31" spans="1:42" customFormat="1" x14ac:dyDescent="0.15">
      <c r="A31" s="188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1</v>
      </c>
      <c r="H31" s="108">
        <v>0</v>
      </c>
      <c r="I31" s="108">
        <v>1</v>
      </c>
      <c r="J31" s="108">
        <v>0</v>
      </c>
      <c r="K31" s="108">
        <v>0</v>
      </c>
      <c r="L31" s="108">
        <v>0</v>
      </c>
      <c r="M31" s="108">
        <v>0</v>
      </c>
      <c r="N31" s="108">
        <v>1</v>
      </c>
      <c r="O31" s="108">
        <v>0</v>
      </c>
      <c r="P31" s="108">
        <v>1</v>
      </c>
      <c r="Q31" s="108">
        <v>1</v>
      </c>
      <c r="R31" s="108">
        <v>0</v>
      </c>
      <c r="S31" s="108">
        <v>1</v>
      </c>
      <c r="T31" s="108">
        <v>0</v>
      </c>
      <c r="U31" s="108">
        <v>0</v>
      </c>
      <c r="V31" s="108">
        <v>0</v>
      </c>
      <c r="W31" s="108">
        <v>1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1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  <c r="AO31" s="108">
        <v>0</v>
      </c>
      <c r="AP31" s="108">
        <v>0</v>
      </c>
    </row>
    <row r="32" spans="1:42" x14ac:dyDescent="0.15">
      <c r="A32" s="188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1</v>
      </c>
      <c r="G32" s="108">
        <v>1</v>
      </c>
      <c r="H32" s="108">
        <v>0</v>
      </c>
      <c r="I32" s="108">
        <v>1</v>
      </c>
      <c r="J32" s="108">
        <v>0</v>
      </c>
      <c r="K32" s="108">
        <v>1</v>
      </c>
      <c r="L32" s="108">
        <v>0</v>
      </c>
      <c r="M32" s="108">
        <v>0</v>
      </c>
      <c r="N32" s="108">
        <v>1</v>
      </c>
      <c r="O32" s="108">
        <v>1</v>
      </c>
      <c r="P32" s="108">
        <v>1</v>
      </c>
      <c r="Q32" s="108">
        <v>1</v>
      </c>
      <c r="R32" s="108">
        <v>1</v>
      </c>
      <c r="S32" s="108">
        <v>1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  <c r="AJ32" s="108">
        <v>0</v>
      </c>
      <c r="AK32" s="108">
        <v>0</v>
      </c>
      <c r="AL32" s="108">
        <v>0</v>
      </c>
      <c r="AM32" s="108">
        <v>0</v>
      </c>
      <c r="AN32" s="108">
        <v>0</v>
      </c>
      <c r="AO32" s="108">
        <v>0</v>
      </c>
      <c r="AP32" s="108">
        <v>0</v>
      </c>
    </row>
    <row r="33" spans="1:42" x14ac:dyDescent="0.15">
      <c r="A33" s="188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1</v>
      </c>
      <c r="H33" s="108">
        <v>0</v>
      </c>
      <c r="I33" s="108">
        <v>1</v>
      </c>
      <c r="J33" s="108">
        <v>0</v>
      </c>
      <c r="K33" s="108">
        <v>0</v>
      </c>
      <c r="L33" s="108">
        <v>0</v>
      </c>
      <c r="M33" s="108">
        <v>0</v>
      </c>
      <c r="N33" s="108">
        <v>1</v>
      </c>
      <c r="O33" s="108">
        <v>1</v>
      </c>
      <c r="P33" s="108">
        <v>1</v>
      </c>
      <c r="Q33" s="108">
        <v>1</v>
      </c>
      <c r="R33" s="108">
        <v>0</v>
      </c>
      <c r="S33" s="108">
        <v>0</v>
      </c>
      <c r="T33" s="108">
        <v>0</v>
      </c>
      <c r="U33" s="108">
        <v>0</v>
      </c>
      <c r="V33" s="108">
        <v>1</v>
      </c>
      <c r="W33" s="108">
        <v>1</v>
      </c>
      <c r="X33" s="108">
        <v>0</v>
      </c>
      <c r="Y33" s="108">
        <v>0</v>
      </c>
      <c r="Z33" s="108">
        <v>0</v>
      </c>
      <c r="AA33" s="108">
        <v>0</v>
      </c>
      <c r="AB33" s="108">
        <v>1</v>
      </c>
      <c r="AC33" s="108">
        <v>0</v>
      </c>
      <c r="AD33" s="108">
        <v>0</v>
      </c>
      <c r="AE33" s="108">
        <v>1</v>
      </c>
      <c r="AF33" s="108">
        <v>1</v>
      </c>
      <c r="AG33" s="108">
        <v>0</v>
      </c>
      <c r="AH33" s="108">
        <v>1</v>
      </c>
      <c r="AI33" s="108">
        <v>0</v>
      </c>
      <c r="AJ33" s="108">
        <v>0</v>
      </c>
      <c r="AK33" s="108">
        <v>0</v>
      </c>
      <c r="AL33" s="108">
        <v>0</v>
      </c>
      <c r="AM33" s="108">
        <v>0</v>
      </c>
      <c r="AN33" s="108">
        <v>0</v>
      </c>
      <c r="AO33" s="108">
        <v>0</v>
      </c>
      <c r="AP33" s="108">
        <v>0</v>
      </c>
    </row>
    <row r="34" spans="1:42" x14ac:dyDescent="0.15">
      <c r="A34" s="188" t="s">
        <v>224</v>
      </c>
      <c r="B34" s="108">
        <v>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0</v>
      </c>
      <c r="O34" s="108">
        <v>0</v>
      </c>
      <c r="P34" s="108">
        <v>0</v>
      </c>
      <c r="Q34" s="108">
        <v>0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1</v>
      </c>
      <c r="X34" s="108">
        <v>0</v>
      </c>
      <c r="Y34" s="108">
        <v>0</v>
      </c>
      <c r="Z34" s="108">
        <v>0</v>
      </c>
      <c r="AA34" s="108">
        <v>0</v>
      </c>
      <c r="AB34" s="108">
        <v>1</v>
      </c>
      <c r="AC34" s="108">
        <v>1</v>
      </c>
      <c r="AD34" s="108">
        <v>1</v>
      </c>
      <c r="AE34" s="108">
        <v>1</v>
      </c>
      <c r="AF34" s="108">
        <v>0</v>
      </c>
      <c r="AG34" s="108">
        <v>1</v>
      </c>
      <c r="AH34" s="108">
        <v>0</v>
      </c>
      <c r="AI34" s="108">
        <v>0</v>
      </c>
      <c r="AJ34" s="108">
        <v>0</v>
      </c>
      <c r="AK34" s="108">
        <v>0</v>
      </c>
      <c r="AL34" s="108">
        <v>0</v>
      </c>
      <c r="AM34" s="108">
        <v>0</v>
      </c>
      <c r="AN34" s="108">
        <v>0</v>
      </c>
      <c r="AO34" s="108">
        <v>0</v>
      </c>
      <c r="AP34" s="108">
        <v>0</v>
      </c>
    </row>
    <row r="35" spans="1:42" x14ac:dyDescent="0.15">
      <c r="A35" s="188" t="s">
        <v>225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1</v>
      </c>
      <c r="H35" s="108">
        <v>0</v>
      </c>
      <c r="I35" s="108">
        <v>0</v>
      </c>
      <c r="J35" s="108">
        <v>0</v>
      </c>
      <c r="K35" s="108">
        <v>0</v>
      </c>
      <c r="L35" s="108">
        <v>1</v>
      </c>
      <c r="M35" s="108">
        <v>0</v>
      </c>
      <c r="N35" s="108">
        <v>1</v>
      </c>
      <c r="O35" s="108">
        <v>0</v>
      </c>
      <c r="P35" s="108">
        <v>0</v>
      </c>
      <c r="Q35" s="108">
        <v>0</v>
      </c>
      <c r="R35" s="108">
        <v>1</v>
      </c>
      <c r="S35" s="108">
        <v>0</v>
      </c>
      <c r="T35" s="108">
        <v>1</v>
      </c>
      <c r="U35" s="108">
        <v>1</v>
      </c>
      <c r="V35" s="108">
        <v>0</v>
      </c>
      <c r="W35" s="108">
        <v>0</v>
      </c>
      <c r="X35" s="108">
        <v>1</v>
      </c>
      <c r="Y35" s="108">
        <v>1</v>
      </c>
      <c r="Z35" s="108">
        <v>1</v>
      </c>
      <c r="AA35" s="108">
        <v>1</v>
      </c>
      <c r="AB35" s="108">
        <v>0</v>
      </c>
      <c r="AC35" s="108">
        <v>1</v>
      </c>
      <c r="AD35" s="108">
        <v>0</v>
      </c>
      <c r="AE35" s="108">
        <v>1</v>
      </c>
      <c r="AF35" s="108">
        <v>1</v>
      </c>
      <c r="AG35" s="108">
        <v>0</v>
      </c>
      <c r="AH35" s="108">
        <v>0</v>
      </c>
      <c r="AI35" s="108">
        <v>0</v>
      </c>
      <c r="AJ35" s="108">
        <v>0</v>
      </c>
      <c r="AK35" s="108">
        <v>0</v>
      </c>
      <c r="AL35" s="108">
        <v>0</v>
      </c>
      <c r="AM35" s="108">
        <v>0</v>
      </c>
      <c r="AN35" s="108">
        <v>0</v>
      </c>
      <c r="AO35" s="108">
        <v>0</v>
      </c>
      <c r="AP35" s="108">
        <v>0</v>
      </c>
    </row>
    <row r="36" spans="1:42" x14ac:dyDescent="0.15">
      <c r="A36" s="188" t="s">
        <v>226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</v>
      </c>
      <c r="T36" s="108">
        <v>0</v>
      </c>
      <c r="U36" s="108">
        <v>0</v>
      </c>
      <c r="V36" s="108">
        <v>0</v>
      </c>
      <c r="W36" s="108">
        <v>0</v>
      </c>
      <c r="X36" s="108">
        <v>1</v>
      </c>
      <c r="Y36" s="108">
        <v>1</v>
      </c>
      <c r="Z36" s="108">
        <v>0</v>
      </c>
      <c r="AA36" s="108">
        <v>1</v>
      </c>
      <c r="AB36" s="108">
        <v>1</v>
      </c>
      <c r="AC36" s="108">
        <v>1</v>
      </c>
      <c r="AD36" s="108">
        <v>0</v>
      </c>
      <c r="AE36" s="108">
        <v>1</v>
      </c>
      <c r="AF36" s="108">
        <v>0</v>
      </c>
      <c r="AG36" s="108">
        <v>0</v>
      </c>
      <c r="AH36" s="108">
        <v>1</v>
      </c>
      <c r="AI36" s="108">
        <v>1</v>
      </c>
      <c r="AJ36" s="108">
        <v>1</v>
      </c>
      <c r="AK36" s="108">
        <v>0</v>
      </c>
      <c r="AL36" s="108">
        <v>0</v>
      </c>
      <c r="AM36" s="108">
        <v>0</v>
      </c>
      <c r="AN36" s="108">
        <v>0</v>
      </c>
      <c r="AO36" s="108">
        <v>0</v>
      </c>
      <c r="AP36" s="108">
        <v>0</v>
      </c>
    </row>
    <row r="37" spans="1:42" x14ac:dyDescent="0.15">
      <c r="A37" s="188" t="s">
        <v>227</v>
      </c>
      <c r="B37" s="108">
        <v>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0</v>
      </c>
      <c r="O37" s="108">
        <v>0</v>
      </c>
      <c r="P37" s="108">
        <v>0</v>
      </c>
      <c r="Q37" s="108">
        <v>0</v>
      </c>
      <c r="R37" s="108">
        <v>0</v>
      </c>
      <c r="S37" s="108">
        <v>0</v>
      </c>
      <c r="T37" s="108">
        <v>0</v>
      </c>
      <c r="U37" s="108">
        <v>0</v>
      </c>
      <c r="V37" s="108">
        <v>0</v>
      </c>
      <c r="W37" s="108">
        <v>1</v>
      </c>
      <c r="X37" s="108">
        <v>0</v>
      </c>
      <c r="Y37" s="108">
        <v>0</v>
      </c>
      <c r="Z37" s="108">
        <v>0</v>
      </c>
      <c r="AA37" s="108">
        <v>0</v>
      </c>
      <c r="AB37" s="108">
        <v>1</v>
      </c>
      <c r="AC37" s="108">
        <v>0</v>
      </c>
      <c r="AD37" s="108">
        <v>1</v>
      </c>
      <c r="AE37" s="108">
        <v>1</v>
      </c>
      <c r="AF37" s="108">
        <v>0</v>
      </c>
      <c r="AG37" s="108">
        <v>0</v>
      </c>
      <c r="AH37" s="108">
        <v>1</v>
      </c>
      <c r="AI37" s="108">
        <v>0</v>
      </c>
      <c r="AJ37" s="108">
        <v>0</v>
      </c>
      <c r="AK37" s="108">
        <v>0</v>
      </c>
      <c r="AL37" s="108">
        <v>0</v>
      </c>
      <c r="AM37" s="108">
        <v>0</v>
      </c>
      <c r="AN37" s="108">
        <v>0</v>
      </c>
      <c r="AO37" s="108">
        <v>0</v>
      </c>
      <c r="AP37" s="108">
        <v>0</v>
      </c>
    </row>
    <row r="38" spans="1:42" x14ac:dyDescent="0.15">
      <c r="A38" s="188" t="s">
        <v>228</v>
      </c>
      <c r="B38" s="108">
        <v>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0</v>
      </c>
      <c r="O38" s="108">
        <v>0</v>
      </c>
      <c r="P38" s="108">
        <v>0</v>
      </c>
      <c r="Q38" s="108">
        <v>0</v>
      </c>
      <c r="R38" s="108">
        <v>0</v>
      </c>
      <c r="S38" s="108">
        <v>0</v>
      </c>
      <c r="T38" s="108">
        <v>0</v>
      </c>
      <c r="U38" s="108">
        <v>0</v>
      </c>
      <c r="V38" s="108">
        <v>0</v>
      </c>
      <c r="W38" s="108">
        <v>0</v>
      </c>
      <c r="X38" s="108">
        <v>1</v>
      </c>
      <c r="Y38" s="108">
        <v>1</v>
      </c>
      <c r="Z38" s="108">
        <v>0</v>
      </c>
      <c r="AA38" s="108">
        <v>1</v>
      </c>
      <c r="AB38" s="108">
        <v>0</v>
      </c>
      <c r="AC38" s="108">
        <v>1</v>
      </c>
      <c r="AD38" s="108">
        <v>0</v>
      </c>
      <c r="AE38" s="108">
        <v>1</v>
      </c>
      <c r="AF38" s="108">
        <v>1</v>
      </c>
      <c r="AG38" s="108">
        <v>0</v>
      </c>
      <c r="AH38" s="108">
        <v>0</v>
      </c>
      <c r="AI38" s="108">
        <v>1</v>
      </c>
      <c r="AJ38" s="108">
        <v>1</v>
      </c>
      <c r="AK38" s="108">
        <v>0</v>
      </c>
      <c r="AL38" s="108">
        <v>0</v>
      </c>
      <c r="AM38" s="108">
        <v>0</v>
      </c>
      <c r="AN38" s="108">
        <v>0</v>
      </c>
      <c r="AO38" s="108">
        <v>0</v>
      </c>
      <c r="AP38" s="108">
        <v>0</v>
      </c>
    </row>
    <row r="39" spans="1:42" x14ac:dyDescent="0.15">
      <c r="A39" s="188" t="s">
        <v>229</v>
      </c>
      <c r="B39" s="108">
        <v>0</v>
      </c>
      <c r="C39" s="108">
        <v>0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0</v>
      </c>
      <c r="O39" s="108">
        <v>0</v>
      </c>
      <c r="P39" s="108">
        <v>1</v>
      </c>
      <c r="Q39" s="108">
        <v>1</v>
      </c>
      <c r="R39" s="108">
        <v>0</v>
      </c>
      <c r="S39" s="108">
        <v>0</v>
      </c>
      <c r="T39" s="108">
        <v>0</v>
      </c>
      <c r="U39" s="108">
        <v>0</v>
      </c>
      <c r="V39" s="108">
        <v>0</v>
      </c>
      <c r="W39" s="108">
        <v>0</v>
      </c>
      <c r="X39" s="108">
        <v>0</v>
      </c>
      <c r="Y39" s="108">
        <v>0</v>
      </c>
      <c r="Z39" s="108">
        <v>0</v>
      </c>
      <c r="AA39" s="108">
        <v>0</v>
      </c>
      <c r="AB39" s="108">
        <v>0</v>
      </c>
      <c r="AC39" s="108">
        <v>0</v>
      </c>
      <c r="AD39" s="108">
        <v>0</v>
      </c>
      <c r="AE39" s="108">
        <v>0</v>
      </c>
      <c r="AF39" s="108">
        <v>0</v>
      </c>
      <c r="AG39" s="108">
        <v>0</v>
      </c>
      <c r="AH39" s="108">
        <v>0</v>
      </c>
      <c r="AI39" s="108">
        <v>0</v>
      </c>
      <c r="AJ39" s="108">
        <v>0</v>
      </c>
      <c r="AK39" s="108">
        <v>0</v>
      </c>
      <c r="AL39" s="108">
        <v>0</v>
      </c>
      <c r="AM39" s="108">
        <v>0</v>
      </c>
      <c r="AN39" s="108">
        <v>0</v>
      </c>
      <c r="AO39" s="108">
        <v>0</v>
      </c>
      <c r="AP39" s="108">
        <v>0</v>
      </c>
    </row>
    <row r="40" spans="1:42" x14ac:dyDescent="0.15">
      <c r="A40" s="188" t="s">
        <v>230</v>
      </c>
      <c r="B40" s="108">
        <v>0</v>
      </c>
      <c r="C40" s="108">
        <v>0</v>
      </c>
      <c r="D40" s="108">
        <v>1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0</v>
      </c>
      <c r="O40" s="108">
        <v>0</v>
      </c>
      <c r="P40" s="108">
        <v>0</v>
      </c>
      <c r="Q40" s="108">
        <v>0</v>
      </c>
      <c r="R40" s="108">
        <v>0</v>
      </c>
      <c r="S40" s="108">
        <v>0</v>
      </c>
      <c r="T40" s="108">
        <v>0</v>
      </c>
      <c r="U40" s="108">
        <v>0</v>
      </c>
      <c r="V40" s="108">
        <v>0</v>
      </c>
      <c r="W40" s="108">
        <v>1</v>
      </c>
      <c r="X40" s="108">
        <v>0</v>
      </c>
      <c r="Y40" s="108">
        <v>0</v>
      </c>
      <c r="Z40" s="108">
        <v>0</v>
      </c>
      <c r="AA40" s="108">
        <v>0</v>
      </c>
      <c r="AB40" s="108">
        <v>0</v>
      </c>
      <c r="AC40" s="108">
        <v>0</v>
      </c>
      <c r="AD40" s="108">
        <v>0</v>
      </c>
      <c r="AE40" s="108">
        <v>1</v>
      </c>
      <c r="AF40" s="108">
        <v>1</v>
      </c>
      <c r="AG40" s="108">
        <v>0</v>
      </c>
      <c r="AH40" s="108">
        <v>1</v>
      </c>
      <c r="AI40" s="108">
        <v>0</v>
      </c>
      <c r="AJ40" s="108">
        <v>0</v>
      </c>
      <c r="AK40" s="108">
        <v>1</v>
      </c>
      <c r="AL40" s="108">
        <v>0</v>
      </c>
      <c r="AM40" s="108">
        <v>0</v>
      </c>
      <c r="AN40" s="108">
        <v>0</v>
      </c>
      <c r="AO40" s="108">
        <v>0</v>
      </c>
      <c r="AP40" s="108">
        <v>0</v>
      </c>
    </row>
    <row r="41" spans="1:42" x14ac:dyDescent="0.15">
      <c r="A41" s="188" t="s">
        <v>231</v>
      </c>
      <c r="B41" s="108">
        <v>0</v>
      </c>
      <c r="C41" s="108">
        <v>0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0</v>
      </c>
      <c r="O41" s="108">
        <v>0</v>
      </c>
      <c r="P41" s="108">
        <v>0</v>
      </c>
      <c r="Q41" s="108">
        <v>0</v>
      </c>
      <c r="R41" s="108">
        <v>0</v>
      </c>
      <c r="S41" s="108">
        <v>0</v>
      </c>
      <c r="T41" s="108">
        <v>0</v>
      </c>
      <c r="U41" s="108">
        <v>0</v>
      </c>
      <c r="V41" s="108">
        <v>0</v>
      </c>
      <c r="W41" s="108">
        <v>0</v>
      </c>
      <c r="X41" s="108">
        <v>0</v>
      </c>
      <c r="Y41" s="108">
        <v>0</v>
      </c>
      <c r="Z41" s="108">
        <v>0</v>
      </c>
      <c r="AA41" s="108">
        <v>0</v>
      </c>
      <c r="AB41" s="108">
        <v>0</v>
      </c>
      <c r="AC41" s="108">
        <v>1</v>
      </c>
      <c r="AD41" s="108">
        <v>1</v>
      </c>
      <c r="AE41" s="108">
        <v>1</v>
      </c>
      <c r="AF41" s="108">
        <v>1</v>
      </c>
      <c r="AG41" s="108">
        <v>1</v>
      </c>
      <c r="AH41" s="108">
        <v>1</v>
      </c>
      <c r="AI41" s="108">
        <v>1</v>
      </c>
      <c r="AJ41" s="108">
        <v>1</v>
      </c>
      <c r="AK41" s="108">
        <v>1</v>
      </c>
      <c r="AL41" s="108">
        <v>0</v>
      </c>
      <c r="AM41" s="108">
        <v>0</v>
      </c>
      <c r="AN41" s="108">
        <v>0</v>
      </c>
      <c r="AO41" s="108">
        <v>0</v>
      </c>
      <c r="AP41" s="108">
        <v>0</v>
      </c>
    </row>
    <row r="42" spans="1:42" x14ac:dyDescent="0.15">
      <c r="A42" s="188" t="s">
        <v>232</v>
      </c>
      <c r="B42" s="108">
        <v>0</v>
      </c>
      <c r="C42" s="108">
        <v>0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1</v>
      </c>
      <c r="X42" s="108">
        <v>0</v>
      </c>
      <c r="Y42" s="108">
        <v>0</v>
      </c>
      <c r="Z42" s="108">
        <v>0</v>
      </c>
      <c r="AA42" s="108">
        <v>0</v>
      </c>
      <c r="AB42" s="108">
        <v>1</v>
      </c>
      <c r="AC42" s="108">
        <v>1</v>
      </c>
      <c r="AD42" s="108">
        <v>1</v>
      </c>
      <c r="AE42" s="108">
        <v>1</v>
      </c>
      <c r="AF42" s="108">
        <v>1</v>
      </c>
      <c r="AG42" s="108">
        <v>1</v>
      </c>
      <c r="AH42" s="108">
        <v>1</v>
      </c>
      <c r="AI42" s="108">
        <v>1</v>
      </c>
      <c r="AJ42" s="108">
        <v>1</v>
      </c>
      <c r="AK42" s="108">
        <v>1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</row>
    <row r="43" spans="1:42" x14ac:dyDescent="0.15">
      <c r="A43" s="188" t="s">
        <v>239</v>
      </c>
      <c r="B43" s="108">
        <v>0</v>
      </c>
      <c r="C43" s="108">
        <v>0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0</v>
      </c>
      <c r="O43" s="108">
        <v>0</v>
      </c>
      <c r="P43" s="108">
        <v>0</v>
      </c>
      <c r="Q43" s="108">
        <v>0</v>
      </c>
      <c r="R43" s="108">
        <v>0</v>
      </c>
      <c r="S43" s="108">
        <v>0</v>
      </c>
      <c r="T43" s="108">
        <v>0</v>
      </c>
      <c r="U43" s="108">
        <v>0</v>
      </c>
      <c r="V43" s="108">
        <v>0</v>
      </c>
      <c r="W43" s="108">
        <v>0</v>
      </c>
      <c r="X43" s="108">
        <v>0</v>
      </c>
      <c r="Y43" s="108">
        <v>0</v>
      </c>
      <c r="Z43" s="108">
        <v>0</v>
      </c>
      <c r="AA43" s="108">
        <v>0</v>
      </c>
      <c r="AB43" s="108">
        <v>0</v>
      </c>
      <c r="AC43" s="108">
        <v>0</v>
      </c>
      <c r="AD43" s="108">
        <v>0</v>
      </c>
      <c r="AE43" s="108">
        <v>0</v>
      </c>
      <c r="AF43" s="108">
        <v>0</v>
      </c>
      <c r="AG43" s="108">
        <v>0</v>
      </c>
      <c r="AH43" s="108">
        <v>0</v>
      </c>
      <c r="AI43" s="108">
        <v>0</v>
      </c>
      <c r="AJ43" s="108">
        <v>0</v>
      </c>
      <c r="AK43" s="108">
        <v>0</v>
      </c>
      <c r="AL43" s="108">
        <v>0</v>
      </c>
      <c r="AM43" s="108">
        <v>0</v>
      </c>
      <c r="AN43" s="108">
        <v>0</v>
      </c>
      <c r="AO43" s="108">
        <v>0</v>
      </c>
      <c r="AP43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H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2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83</v>
      </c>
      <c r="B1" s="3" t="s">
        <v>0</v>
      </c>
      <c r="C1" s="191" t="s">
        <v>233</v>
      </c>
      <c r="D1" s="191" t="s">
        <v>234</v>
      </c>
      <c r="E1" s="191" t="s">
        <v>235</v>
      </c>
      <c r="F1" s="191" t="s">
        <v>236</v>
      </c>
      <c r="G1" s="191" t="s">
        <v>237</v>
      </c>
      <c r="H1" s="191" t="s">
        <v>238</v>
      </c>
    </row>
    <row r="2" spans="1:8" x14ac:dyDescent="0.15">
      <c r="A2">
        <v>1</v>
      </c>
      <c r="B2" s="19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90" t="s">
        <v>193</v>
      </c>
      <c r="C3">
        <v>0</v>
      </c>
      <c r="D3">
        <v>0</v>
      </c>
      <c r="E3">
        <v>0</v>
      </c>
      <c r="F3">
        <v>0.8</v>
      </c>
      <c r="G3">
        <v>0.8</v>
      </c>
      <c r="H3">
        <v>0</v>
      </c>
    </row>
    <row r="4" spans="1:8" x14ac:dyDescent="0.15">
      <c r="A4">
        <v>3</v>
      </c>
      <c r="B4" s="19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90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90" t="s">
        <v>196</v>
      </c>
      <c r="C6">
        <v>0</v>
      </c>
      <c r="D6">
        <v>0</v>
      </c>
      <c r="E6">
        <v>0</v>
      </c>
      <c r="F6">
        <v>0.8</v>
      </c>
      <c r="G6">
        <v>0</v>
      </c>
      <c r="H6">
        <v>0</v>
      </c>
    </row>
    <row r="7" spans="1:8" x14ac:dyDescent="0.15">
      <c r="A7">
        <v>6</v>
      </c>
      <c r="B7" s="190" t="s">
        <v>197</v>
      </c>
      <c r="C7">
        <v>0</v>
      </c>
      <c r="D7">
        <v>0</v>
      </c>
      <c r="E7">
        <v>0</v>
      </c>
      <c r="F7">
        <v>0.8</v>
      </c>
      <c r="G7">
        <v>0</v>
      </c>
      <c r="H7">
        <v>0</v>
      </c>
    </row>
    <row r="8" spans="1:8" x14ac:dyDescent="0.15">
      <c r="A8">
        <v>7</v>
      </c>
      <c r="B8" s="190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90" t="s">
        <v>199</v>
      </c>
      <c r="C9">
        <v>0</v>
      </c>
      <c r="D9">
        <v>0</v>
      </c>
      <c r="E9">
        <v>0</v>
      </c>
      <c r="F9">
        <v>0.8</v>
      </c>
      <c r="G9">
        <v>0.8</v>
      </c>
      <c r="H9">
        <v>0.8</v>
      </c>
    </row>
    <row r="10" spans="1:8" x14ac:dyDescent="0.15">
      <c r="A10">
        <v>9</v>
      </c>
      <c r="B10" s="19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9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90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90" t="s">
        <v>203</v>
      </c>
      <c r="C13">
        <v>0</v>
      </c>
      <c r="D13">
        <v>0</v>
      </c>
      <c r="E13">
        <v>0</v>
      </c>
      <c r="F13">
        <v>0.8</v>
      </c>
      <c r="G13">
        <v>0</v>
      </c>
      <c r="H13">
        <v>0</v>
      </c>
    </row>
    <row r="14" spans="1:8" x14ac:dyDescent="0.15">
      <c r="A14">
        <v>13</v>
      </c>
      <c r="B14" s="190" t="s">
        <v>204</v>
      </c>
      <c r="C14">
        <v>0</v>
      </c>
      <c r="D14">
        <v>0</v>
      </c>
      <c r="E14">
        <v>0</v>
      </c>
      <c r="F14">
        <v>0.8</v>
      </c>
      <c r="G14">
        <v>0</v>
      </c>
      <c r="H14">
        <v>0</v>
      </c>
    </row>
    <row r="15" spans="1:8" x14ac:dyDescent="0.15">
      <c r="A15">
        <v>14</v>
      </c>
      <c r="B15" s="190" t="s">
        <v>205</v>
      </c>
      <c r="C15">
        <v>0</v>
      </c>
      <c r="D15">
        <v>0</v>
      </c>
      <c r="E15">
        <v>0</v>
      </c>
      <c r="F15">
        <v>0.8</v>
      </c>
      <c r="G15">
        <v>0</v>
      </c>
      <c r="H15">
        <v>0</v>
      </c>
    </row>
    <row r="16" spans="1:8" x14ac:dyDescent="0.15">
      <c r="A16">
        <v>15</v>
      </c>
      <c r="B16" s="190" t="s">
        <v>206</v>
      </c>
      <c r="C16">
        <v>0</v>
      </c>
      <c r="D16">
        <v>0</v>
      </c>
      <c r="E16">
        <v>0</v>
      </c>
      <c r="F16">
        <v>0.8</v>
      </c>
      <c r="G16">
        <v>0</v>
      </c>
      <c r="H16">
        <v>0</v>
      </c>
    </row>
    <row r="17" spans="1:8" x14ac:dyDescent="0.15">
      <c r="A17">
        <v>16</v>
      </c>
      <c r="B17" s="190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</row>
    <row r="18" spans="1:8" x14ac:dyDescent="0.15">
      <c r="A18">
        <v>17</v>
      </c>
      <c r="B18" s="190" t="s">
        <v>208</v>
      </c>
      <c r="C18">
        <v>0</v>
      </c>
      <c r="D18">
        <v>0</v>
      </c>
      <c r="E18">
        <v>0</v>
      </c>
      <c r="F18">
        <v>0.8</v>
      </c>
      <c r="G18">
        <v>0</v>
      </c>
      <c r="H18">
        <v>0.8</v>
      </c>
    </row>
    <row r="19" spans="1:8" x14ac:dyDescent="0.15">
      <c r="A19">
        <v>18</v>
      </c>
      <c r="B19" s="190" t="s">
        <v>209</v>
      </c>
      <c r="C19">
        <v>0</v>
      </c>
      <c r="D19">
        <v>0</v>
      </c>
      <c r="E19">
        <v>0</v>
      </c>
      <c r="F19">
        <v>0.8</v>
      </c>
      <c r="G19">
        <v>0</v>
      </c>
      <c r="H19">
        <v>0.8</v>
      </c>
    </row>
    <row r="20" spans="1:8" x14ac:dyDescent="0.15">
      <c r="A20">
        <v>19</v>
      </c>
      <c r="B20" s="19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0.8</v>
      </c>
    </row>
    <row r="21" spans="1:8" x14ac:dyDescent="0.15">
      <c r="A21">
        <v>20</v>
      </c>
      <c r="B21" s="19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90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</row>
    <row r="23" spans="1:8" x14ac:dyDescent="0.15">
      <c r="A23">
        <v>22</v>
      </c>
      <c r="B23" s="190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90" t="s">
        <v>214</v>
      </c>
      <c r="C24">
        <v>0</v>
      </c>
      <c r="D24">
        <v>0</v>
      </c>
      <c r="E24">
        <v>0.8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90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9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90" t="s">
        <v>217</v>
      </c>
      <c r="C27">
        <v>0</v>
      </c>
      <c r="D27">
        <v>0</v>
      </c>
      <c r="E27">
        <v>0.8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90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</row>
    <row r="29" spans="1:8" x14ac:dyDescent="0.15">
      <c r="A29">
        <v>28</v>
      </c>
      <c r="B29" s="19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9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9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9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0.8</v>
      </c>
    </row>
    <row r="33" spans="1:8" x14ac:dyDescent="0.15">
      <c r="A33">
        <v>32</v>
      </c>
      <c r="B33" s="19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15">
      <c r="A34">
        <v>33</v>
      </c>
      <c r="B34" s="19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9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90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90" t="s">
        <v>229</v>
      </c>
      <c r="C39">
        <v>0</v>
      </c>
      <c r="D39">
        <v>0</v>
      </c>
      <c r="E39">
        <v>0</v>
      </c>
      <c r="F39">
        <v>0</v>
      </c>
      <c r="G39">
        <v>0.8</v>
      </c>
      <c r="H39">
        <v>0</v>
      </c>
    </row>
    <row r="40" spans="1:8" x14ac:dyDescent="0.15">
      <c r="A40">
        <v>39</v>
      </c>
      <c r="B40" s="190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90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15">
      <c r="A42">
        <v>41</v>
      </c>
      <c r="B42" s="190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H4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2" bestFit="1" customWidth="1"/>
    <col min="3" max="4" width="3.83203125" bestFit="1" customWidth="1"/>
    <col min="5" max="8" width="3.83203125" customWidth="1"/>
  </cols>
  <sheetData>
    <row r="1" spans="1:8" ht="112" x14ac:dyDescent="0.15">
      <c r="A1" s="5" t="s">
        <v>82</v>
      </c>
      <c r="B1" s="3" t="s">
        <v>0</v>
      </c>
      <c r="C1" s="193" t="s">
        <v>233</v>
      </c>
      <c r="D1" s="193" t="s">
        <v>234</v>
      </c>
      <c r="E1" s="193" t="s">
        <v>235</v>
      </c>
      <c r="F1" s="193" t="s">
        <v>236</v>
      </c>
      <c r="G1" s="193" t="s">
        <v>237</v>
      </c>
      <c r="H1" s="193" t="s">
        <v>238</v>
      </c>
    </row>
    <row r="2" spans="1:8" x14ac:dyDescent="0.15">
      <c r="A2">
        <v>1</v>
      </c>
      <c r="B2" s="19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92" t="s">
        <v>193</v>
      </c>
      <c r="C3">
        <v>0</v>
      </c>
      <c r="D3">
        <v>0</v>
      </c>
      <c r="E3">
        <v>0</v>
      </c>
      <c r="F3">
        <v>0.8</v>
      </c>
      <c r="G3">
        <v>0.8</v>
      </c>
      <c r="H3">
        <v>0</v>
      </c>
    </row>
    <row r="4" spans="1:8" x14ac:dyDescent="0.15">
      <c r="A4">
        <v>3</v>
      </c>
      <c r="B4" s="192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92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</row>
    <row r="6" spans="1:8" x14ac:dyDescent="0.15">
      <c r="A6">
        <v>5</v>
      </c>
      <c r="B6" s="192" t="s">
        <v>196</v>
      </c>
      <c r="C6">
        <v>0</v>
      </c>
      <c r="D6">
        <v>0</v>
      </c>
      <c r="E6">
        <v>0</v>
      </c>
      <c r="F6">
        <v>0.8</v>
      </c>
      <c r="G6">
        <v>0</v>
      </c>
      <c r="H6">
        <v>0</v>
      </c>
    </row>
    <row r="7" spans="1:8" x14ac:dyDescent="0.15">
      <c r="A7">
        <v>6</v>
      </c>
      <c r="B7" s="192" t="s">
        <v>197</v>
      </c>
      <c r="C7">
        <v>0</v>
      </c>
      <c r="D7">
        <v>0</v>
      </c>
      <c r="E7">
        <v>0</v>
      </c>
      <c r="F7">
        <v>0.8</v>
      </c>
      <c r="G7">
        <v>0</v>
      </c>
      <c r="H7">
        <v>0</v>
      </c>
    </row>
    <row r="8" spans="1:8" x14ac:dyDescent="0.15">
      <c r="A8">
        <v>7</v>
      </c>
      <c r="B8" s="192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15">
      <c r="A9">
        <v>8</v>
      </c>
      <c r="B9" s="192" t="s">
        <v>199</v>
      </c>
      <c r="C9">
        <v>0</v>
      </c>
      <c r="D9">
        <v>0</v>
      </c>
      <c r="E9">
        <v>0</v>
      </c>
      <c r="F9">
        <v>0.8</v>
      </c>
      <c r="G9">
        <v>0.8</v>
      </c>
      <c r="H9">
        <v>0.8</v>
      </c>
    </row>
    <row r="10" spans="1:8" x14ac:dyDescent="0.15">
      <c r="A10">
        <v>9</v>
      </c>
      <c r="B10" s="192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92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15">
      <c r="A12">
        <v>11</v>
      </c>
      <c r="B12" s="192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15">
      <c r="A13">
        <v>12</v>
      </c>
      <c r="B13" s="192" t="s">
        <v>203</v>
      </c>
      <c r="C13">
        <v>0</v>
      </c>
      <c r="D13">
        <v>0</v>
      </c>
      <c r="E13">
        <v>0</v>
      </c>
      <c r="F13">
        <v>0.8</v>
      </c>
      <c r="G13">
        <v>0</v>
      </c>
      <c r="H13">
        <v>0</v>
      </c>
    </row>
    <row r="14" spans="1:8" x14ac:dyDescent="0.15">
      <c r="A14">
        <v>13</v>
      </c>
      <c r="B14" s="192" t="s">
        <v>204</v>
      </c>
      <c r="C14">
        <v>0</v>
      </c>
      <c r="D14">
        <v>0</v>
      </c>
      <c r="E14">
        <v>0</v>
      </c>
      <c r="F14">
        <v>0.8</v>
      </c>
      <c r="G14">
        <v>0</v>
      </c>
      <c r="H14">
        <v>0</v>
      </c>
    </row>
    <row r="15" spans="1:8" x14ac:dyDescent="0.15">
      <c r="A15">
        <v>14</v>
      </c>
      <c r="B15" s="192" t="s">
        <v>205</v>
      </c>
      <c r="C15">
        <v>0</v>
      </c>
      <c r="D15">
        <v>0</v>
      </c>
      <c r="E15">
        <v>0</v>
      </c>
      <c r="F15">
        <v>0.8</v>
      </c>
      <c r="G15">
        <v>0</v>
      </c>
      <c r="H15">
        <v>0</v>
      </c>
    </row>
    <row r="16" spans="1:8" x14ac:dyDescent="0.15">
      <c r="A16">
        <v>15</v>
      </c>
      <c r="B16" s="192" t="s">
        <v>206</v>
      </c>
      <c r="C16">
        <v>0</v>
      </c>
      <c r="D16">
        <v>0</v>
      </c>
      <c r="E16">
        <v>0</v>
      </c>
      <c r="F16">
        <v>0.8</v>
      </c>
      <c r="G16">
        <v>0</v>
      </c>
      <c r="H16">
        <v>0</v>
      </c>
    </row>
    <row r="17" spans="1:8" x14ac:dyDescent="0.15">
      <c r="A17">
        <v>16</v>
      </c>
      <c r="B17" s="192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</row>
    <row r="18" spans="1:8" x14ac:dyDescent="0.15">
      <c r="A18">
        <v>17</v>
      </c>
      <c r="B18" s="192" t="s">
        <v>208</v>
      </c>
      <c r="C18">
        <v>0</v>
      </c>
      <c r="D18">
        <v>0</v>
      </c>
      <c r="E18">
        <v>0</v>
      </c>
      <c r="F18">
        <v>0.8</v>
      </c>
      <c r="G18">
        <v>0</v>
      </c>
      <c r="H18">
        <v>0.8</v>
      </c>
    </row>
    <row r="19" spans="1:8" x14ac:dyDescent="0.15">
      <c r="A19">
        <v>18</v>
      </c>
      <c r="B19" s="192" t="s">
        <v>209</v>
      </c>
      <c r="C19">
        <v>0</v>
      </c>
      <c r="D19">
        <v>0</v>
      </c>
      <c r="E19">
        <v>0</v>
      </c>
      <c r="F19">
        <v>0.8</v>
      </c>
      <c r="G19">
        <v>0</v>
      </c>
      <c r="H19">
        <v>0.8</v>
      </c>
    </row>
    <row r="20" spans="1:8" x14ac:dyDescent="0.15">
      <c r="A20">
        <v>19</v>
      </c>
      <c r="B20" s="192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0.8</v>
      </c>
    </row>
    <row r="21" spans="1:8" x14ac:dyDescent="0.15">
      <c r="A21">
        <v>20</v>
      </c>
      <c r="B21" s="192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92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</row>
    <row r="23" spans="1:8" x14ac:dyDescent="0.15">
      <c r="A23">
        <v>22</v>
      </c>
      <c r="B23" s="192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15">
      <c r="A24">
        <v>23</v>
      </c>
      <c r="B24" s="192" t="s">
        <v>214</v>
      </c>
      <c r="C24">
        <v>0</v>
      </c>
      <c r="D24">
        <v>0</v>
      </c>
      <c r="E24">
        <v>0.8</v>
      </c>
      <c r="F24">
        <v>0</v>
      </c>
      <c r="G24">
        <v>0</v>
      </c>
      <c r="H24">
        <v>0</v>
      </c>
    </row>
    <row r="25" spans="1:8" x14ac:dyDescent="0.15">
      <c r="A25">
        <v>24</v>
      </c>
      <c r="B25" s="192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15">
      <c r="A26">
        <v>25</v>
      </c>
      <c r="B26" s="192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92" t="s">
        <v>217</v>
      </c>
      <c r="C27">
        <v>0</v>
      </c>
      <c r="D27">
        <v>0</v>
      </c>
      <c r="E27">
        <v>0.8</v>
      </c>
      <c r="F27">
        <v>0</v>
      </c>
      <c r="G27">
        <v>0</v>
      </c>
      <c r="H27">
        <v>0</v>
      </c>
    </row>
    <row r="28" spans="1:8" x14ac:dyDescent="0.15">
      <c r="A28">
        <v>27</v>
      </c>
      <c r="B28" s="192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</row>
    <row r="29" spans="1:8" x14ac:dyDescent="0.15">
      <c r="A29">
        <v>28</v>
      </c>
      <c r="B29" s="19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15">
      <c r="A30">
        <v>29</v>
      </c>
      <c r="B30" s="192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15">
      <c r="A31">
        <v>30</v>
      </c>
      <c r="B31" s="192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9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0.8</v>
      </c>
    </row>
    <row r="33" spans="1:8" x14ac:dyDescent="0.15">
      <c r="A33">
        <v>32</v>
      </c>
      <c r="B33" s="192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15">
      <c r="A34">
        <v>33</v>
      </c>
      <c r="B34" s="192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92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92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92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92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92" t="s">
        <v>229</v>
      </c>
      <c r="C39">
        <v>0</v>
      </c>
      <c r="D39">
        <v>0</v>
      </c>
      <c r="E39">
        <v>0</v>
      </c>
      <c r="F39">
        <v>0</v>
      </c>
      <c r="G39">
        <v>0.8</v>
      </c>
      <c r="H39">
        <v>0</v>
      </c>
    </row>
    <row r="40" spans="1:8" x14ac:dyDescent="0.15">
      <c r="A40">
        <v>39</v>
      </c>
      <c r="B40" s="192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92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15">
      <c r="A42">
        <v>41</v>
      </c>
      <c r="B42" s="192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192</v>
      </c>
      <c r="C2" s="8">
        <v>4.8933944702148438</v>
      </c>
      <c r="D2" s="9">
        <v>1.7790000885725021E-2</v>
      </c>
      <c r="E2" s="9">
        <v>1.9999999552965164E-2</v>
      </c>
      <c r="F2" s="9">
        <v>12.748000144958496</v>
      </c>
      <c r="G2" s="7">
        <v>0</v>
      </c>
      <c r="H2" s="9">
        <v>1.5688735293224454E-3</v>
      </c>
      <c r="I2">
        <v>0</v>
      </c>
      <c r="J2"/>
    </row>
    <row r="3" spans="1:10" ht="15" customHeight="1" x14ac:dyDescent="0.15">
      <c r="A3" s="146">
        <v>2</v>
      </c>
      <c r="B3" s="146" t="s">
        <v>193</v>
      </c>
      <c r="C3" s="8">
        <v>4.7108244895935059</v>
      </c>
      <c r="D3" s="9">
        <v>1.8117988482117653E-2</v>
      </c>
      <c r="E3" s="9">
        <v>0.15000000596046448</v>
      </c>
      <c r="F3" s="9">
        <v>4.7699999809265137</v>
      </c>
      <c r="G3" s="9">
        <v>0.75000005960464478</v>
      </c>
      <c r="H3" s="9">
        <v>3.1446542590856552E-2</v>
      </c>
      <c r="I3">
        <v>7.2139999247156084E-5</v>
      </c>
      <c r="J3"/>
    </row>
    <row r="4" spans="1:10" ht="15" customHeight="1" x14ac:dyDescent="0.15">
      <c r="A4" s="147">
        <v>3</v>
      </c>
      <c r="B4" s="147" t="s">
        <v>194</v>
      </c>
      <c r="C4" s="8">
        <v>4.6889533996582031</v>
      </c>
      <c r="D4" s="9">
        <v>7.6600001193583012E-3</v>
      </c>
      <c r="E4" s="9">
        <v>1</v>
      </c>
      <c r="F4" s="9">
        <v>80</v>
      </c>
      <c r="G4" s="7">
        <v>0</v>
      </c>
      <c r="H4" s="9">
        <v>1.2500000186264515E-2</v>
      </c>
      <c r="I4">
        <v>0</v>
      </c>
      <c r="J4"/>
    </row>
    <row r="5" spans="1:10" ht="15" customHeight="1" x14ac:dyDescent="0.15">
      <c r="A5" s="148">
        <v>4</v>
      </c>
      <c r="B5" s="148" t="s">
        <v>195</v>
      </c>
      <c r="C5" s="8">
        <v>4.5484151840209961</v>
      </c>
      <c r="D5" s="9">
        <v>0.11100000143051147</v>
      </c>
      <c r="E5" s="9">
        <v>5.6000001728534698E-2</v>
      </c>
      <c r="F5" s="9">
        <v>13</v>
      </c>
      <c r="G5" s="9">
        <v>0.1455652266740799</v>
      </c>
      <c r="H5" s="9">
        <v>4.3076924048364162E-3</v>
      </c>
      <c r="I5">
        <v>3.9999998989515007E-5</v>
      </c>
      <c r="J5"/>
    </row>
    <row r="6" spans="1:10" ht="15" customHeight="1" x14ac:dyDescent="0.15">
      <c r="A6" s="149">
        <v>5</v>
      </c>
      <c r="B6" s="149" t="s">
        <v>196</v>
      </c>
      <c r="C6" s="8">
        <v>4.4799327850341797</v>
      </c>
      <c r="D6" s="9">
        <v>0.1379999965429306</v>
      </c>
      <c r="E6" s="9">
        <v>0.69999998807907104</v>
      </c>
      <c r="F6" s="9">
        <v>2</v>
      </c>
      <c r="G6" s="9">
        <v>0.28795534372329712</v>
      </c>
      <c r="H6" s="9">
        <v>0.34999999403953552</v>
      </c>
      <c r="I6">
        <v>4.6999999321997166E-3</v>
      </c>
      <c r="J6"/>
    </row>
    <row r="7" spans="1:10" ht="15" customHeight="1" x14ac:dyDescent="0.15">
      <c r="A7" s="150">
        <v>6</v>
      </c>
      <c r="B7" s="150" t="s">
        <v>197</v>
      </c>
      <c r="C7" s="8">
        <v>4.4283971786499023</v>
      </c>
      <c r="D7" s="9">
        <v>0.62629997730255127</v>
      </c>
      <c r="E7" s="9">
        <v>0.49000000953674316</v>
      </c>
      <c r="F7" s="9">
        <v>2</v>
      </c>
      <c r="G7" s="9">
        <v>0.79295045137405396</v>
      </c>
      <c r="H7" s="9">
        <v>0.24500000476837158</v>
      </c>
      <c r="I7">
        <v>4.5000001788139343E-2</v>
      </c>
      <c r="J7"/>
    </row>
    <row r="8" spans="1:10" ht="15" customHeight="1" x14ac:dyDescent="0.15">
      <c r="A8" s="151">
        <v>7</v>
      </c>
      <c r="B8" s="151" t="s">
        <v>198</v>
      </c>
      <c r="C8" s="8">
        <v>4.3391814231872559</v>
      </c>
      <c r="D8" s="9">
        <v>0.15940999984741211</v>
      </c>
      <c r="E8" s="9">
        <v>3.5000000149011612E-2</v>
      </c>
      <c r="F8" s="9">
        <v>8.1400003433227539</v>
      </c>
      <c r="G8" s="9">
        <v>5.8429747819900513E-2</v>
      </c>
      <c r="H8" s="9">
        <v>4.2997542768716812E-3</v>
      </c>
      <c r="I8">
        <v>3.2600000849924982E-4</v>
      </c>
      <c r="J8"/>
    </row>
    <row r="9" spans="1:10" ht="15" customHeight="1" x14ac:dyDescent="0.15">
      <c r="A9" s="152">
        <v>8</v>
      </c>
      <c r="B9" s="152" t="s">
        <v>199</v>
      </c>
      <c r="C9" s="8">
        <v>4.2907633781433105</v>
      </c>
      <c r="D9" s="9">
        <v>0.57806223630905151</v>
      </c>
      <c r="E9" s="9">
        <v>0.62000000476837158</v>
      </c>
      <c r="F9" s="9">
        <v>2.6540000438690186</v>
      </c>
      <c r="G9" s="9">
        <v>0.99000012874603271</v>
      </c>
      <c r="H9" s="9">
        <v>0.2336096465587616</v>
      </c>
      <c r="I9">
        <v>5.9088999405503273E-3</v>
      </c>
      <c r="J9"/>
    </row>
    <row r="10" spans="1:10" ht="15" customHeight="1" x14ac:dyDescent="0.15">
      <c r="A10" s="153">
        <v>9</v>
      </c>
      <c r="B10" s="153" t="s">
        <v>200</v>
      </c>
      <c r="C10" s="8">
        <v>4.2778196334838867</v>
      </c>
      <c r="D10" s="9">
        <v>0.1117200031876564</v>
      </c>
      <c r="E10" s="9">
        <v>1.9999999552965164E-2</v>
      </c>
      <c r="F10" s="9">
        <v>12.890000343322754</v>
      </c>
      <c r="G10" s="7">
        <v>0</v>
      </c>
      <c r="H10" s="9">
        <v>1.551590277813375E-3</v>
      </c>
      <c r="I10">
        <v>0</v>
      </c>
      <c r="J10"/>
    </row>
    <row r="11" spans="1:10" ht="15" customHeight="1" x14ac:dyDescent="0.15">
      <c r="A11" s="154">
        <v>10</v>
      </c>
      <c r="B11" s="154" t="s">
        <v>201</v>
      </c>
      <c r="C11" s="8">
        <v>4.2752785682678223</v>
      </c>
      <c r="D11" s="9">
        <v>0.14560000598430634</v>
      </c>
      <c r="E11" s="9">
        <v>1.273829460144043</v>
      </c>
      <c r="F11" s="9">
        <v>2.937999963760376</v>
      </c>
      <c r="G11" s="9">
        <v>0.99000006914138794</v>
      </c>
      <c r="H11" s="9">
        <v>0.4335702657699585</v>
      </c>
      <c r="I11">
        <v>0</v>
      </c>
      <c r="J11"/>
    </row>
    <row r="12" spans="1:10" ht="15" customHeight="1" x14ac:dyDescent="0.15">
      <c r="A12" s="155">
        <v>11</v>
      </c>
      <c r="B12" s="155" t="s">
        <v>202</v>
      </c>
      <c r="C12" s="8">
        <v>4.1939859390258789</v>
      </c>
      <c r="D12" s="9">
        <v>0.18000000715255737</v>
      </c>
      <c r="E12" s="9">
        <v>0.51999998092651367</v>
      </c>
      <c r="F12" s="9">
        <v>2.2699999809265137</v>
      </c>
      <c r="G12" s="9">
        <v>0.37618044018745422</v>
      </c>
      <c r="H12" s="9">
        <v>0.2290748804807663</v>
      </c>
      <c r="I12">
        <v>0</v>
      </c>
      <c r="J12"/>
    </row>
    <row r="13" spans="1:10" ht="15" customHeight="1" x14ac:dyDescent="0.15">
      <c r="A13" s="156">
        <v>12</v>
      </c>
      <c r="B13" s="156" t="s">
        <v>203</v>
      </c>
      <c r="C13" s="8">
        <v>4.1484694480895996</v>
      </c>
      <c r="D13" s="9">
        <v>0.1318335235118866</v>
      </c>
      <c r="E13" s="9">
        <v>0.60000002384185791</v>
      </c>
      <c r="F13" s="9">
        <v>4</v>
      </c>
      <c r="G13" s="9">
        <v>0.99000000953674316</v>
      </c>
      <c r="H13" s="9">
        <v>0.15000000596046448</v>
      </c>
      <c r="I13">
        <v>8.8599997980054468E-5</v>
      </c>
      <c r="J13"/>
    </row>
    <row r="14" spans="1:10" ht="15" customHeight="1" x14ac:dyDescent="0.15">
      <c r="A14" s="157">
        <v>13</v>
      </c>
      <c r="B14" s="157" t="s">
        <v>204</v>
      </c>
      <c r="C14" s="8">
        <v>4.0545697212219238</v>
      </c>
      <c r="D14" s="9">
        <v>0.25353819131851196</v>
      </c>
      <c r="E14" s="9">
        <v>1.5</v>
      </c>
      <c r="F14" s="9">
        <v>3.5</v>
      </c>
      <c r="G14" s="9">
        <v>0.99000006914138794</v>
      </c>
      <c r="H14" s="9">
        <v>0.4285714328289032</v>
      </c>
      <c r="I14">
        <v>1.5599999576807022E-2</v>
      </c>
      <c r="J14"/>
    </row>
    <row r="15" spans="1:10" ht="15" customHeight="1" x14ac:dyDescent="0.15">
      <c r="A15" s="158">
        <v>14</v>
      </c>
      <c r="B15" s="158" t="s">
        <v>205</v>
      </c>
      <c r="C15" s="8">
        <v>3.994682788848877</v>
      </c>
      <c r="D15" s="9">
        <v>2.2964870557188988E-2</v>
      </c>
      <c r="E15" s="9">
        <v>0.44999998807907104</v>
      </c>
      <c r="F15" s="9">
        <v>1.7699999809265137</v>
      </c>
      <c r="G15" s="9">
        <v>0.94999992847442627</v>
      </c>
      <c r="H15" s="9">
        <v>0.25423729419708252</v>
      </c>
      <c r="I15">
        <v>1.2000000569969416E-3</v>
      </c>
      <c r="J15"/>
    </row>
    <row r="16" spans="1:10" ht="15" customHeight="1" x14ac:dyDescent="0.15">
      <c r="A16" s="159">
        <v>15</v>
      </c>
      <c r="B16" s="159" t="s">
        <v>206</v>
      </c>
      <c r="C16" s="8">
        <v>3.9368596076965332</v>
      </c>
      <c r="D16" s="9">
        <v>8.5979998111724854E-2</v>
      </c>
      <c r="E16" s="9">
        <v>0.62000000476837158</v>
      </c>
      <c r="F16" s="9">
        <v>2.315000057220459</v>
      </c>
      <c r="G16" s="9">
        <v>0.47176367044448853</v>
      </c>
      <c r="H16" s="9">
        <v>0.26781857013702393</v>
      </c>
      <c r="I16">
        <v>9.4999996945261955E-3</v>
      </c>
      <c r="J16"/>
    </row>
    <row r="17" spans="1:10" ht="15" customHeight="1" x14ac:dyDescent="0.15">
      <c r="A17" s="160">
        <v>16</v>
      </c>
      <c r="B17" s="160" t="s">
        <v>207</v>
      </c>
      <c r="C17" s="8">
        <v>3.9175403118133545</v>
      </c>
      <c r="D17" s="9">
        <v>0.15974780917167664</v>
      </c>
      <c r="E17" s="9">
        <v>1.5</v>
      </c>
      <c r="F17" s="9">
        <v>3.5</v>
      </c>
      <c r="G17" s="9">
        <v>0.99000012874603271</v>
      </c>
      <c r="H17" s="9">
        <v>0.4285714328289032</v>
      </c>
      <c r="I17">
        <v>9.3999998643994331E-3</v>
      </c>
      <c r="J17"/>
    </row>
    <row r="18" spans="1:10" ht="15" customHeight="1" x14ac:dyDescent="0.15">
      <c r="A18" s="161">
        <v>17</v>
      </c>
      <c r="B18" s="161" t="s">
        <v>208</v>
      </c>
      <c r="C18" s="8">
        <v>3.8499665260314941</v>
      </c>
      <c r="D18" s="9">
        <v>0.53219085931777954</v>
      </c>
      <c r="E18" s="9">
        <v>0.69999998807907104</v>
      </c>
      <c r="F18" s="9">
        <v>2.6329998970031738</v>
      </c>
      <c r="G18" s="9">
        <v>0.99000030755996704</v>
      </c>
      <c r="H18" s="9">
        <v>0.26585644483566284</v>
      </c>
      <c r="I18">
        <v>4.5697001041844487E-5</v>
      </c>
      <c r="J18"/>
    </row>
    <row r="19" spans="1:10" ht="15" customHeight="1" x14ac:dyDescent="0.15">
      <c r="A19" s="162">
        <v>18</v>
      </c>
      <c r="B19" s="162" t="s">
        <v>209</v>
      </c>
      <c r="C19" s="8">
        <v>3.8471474647521973</v>
      </c>
      <c r="D19" s="9">
        <v>0.35223612189292908</v>
      </c>
      <c r="E19" s="9">
        <v>0.5</v>
      </c>
      <c r="F19" s="9">
        <v>2</v>
      </c>
      <c r="G19" s="9">
        <v>0.99000006914138794</v>
      </c>
      <c r="H19" s="9">
        <v>0.25</v>
      </c>
      <c r="I19">
        <v>1.3009629910811782E-3</v>
      </c>
      <c r="J19"/>
    </row>
    <row r="20" spans="1:10" ht="15" customHeight="1" x14ac:dyDescent="0.15">
      <c r="A20" s="163">
        <v>19</v>
      </c>
      <c r="B20" s="163" t="s">
        <v>210</v>
      </c>
      <c r="C20" s="8">
        <v>3.7465050220489502</v>
      </c>
      <c r="D20" s="9">
        <v>1.8689999580383301</v>
      </c>
      <c r="E20" s="9">
        <v>1</v>
      </c>
      <c r="F20" s="9">
        <v>4.6999998092651367</v>
      </c>
      <c r="G20" s="9">
        <v>0.79214674234390259</v>
      </c>
      <c r="H20" s="9">
        <v>0.21276596188545227</v>
      </c>
      <c r="I20">
        <v>3.6300000783029418E-9</v>
      </c>
      <c r="J20"/>
    </row>
    <row r="21" spans="1:10" ht="15" customHeight="1" x14ac:dyDescent="0.15">
      <c r="A21" s="164">
        <v>20</v>
      </c>
      <c r="B21" s="164" t="s">
        <v>211</v>
      </c>
      <c r="C21" s="8">
        <v>3.691453218460083</v>
      </c>
      <c r="D21" s="9">
        <v>0.10876860469579697</v>
      </c>
      <c r="E21" s="9">
        <v>1.3999999761581421</v>
      </c>
      <c r="F21" s="9">
        <v>10</v>
      </c>
      <c r="G21" s="9">
        <v>0.99000000953674316</v>
      </c>
      <c r="H21" s="9">
        <v>0.14000000059604645</v>
      </c>
      <c r="I21">
        <v>0</v>
      </c>
      <c r="J21"/>
    </row>
    <row r="22" spans="1:10" ht="15" customHeight="1" x14ac:dyDescent="0.15">
      <c r="A22" s="165">
        <v>21</v>
      </c>
      <c r="B22" s="165" t="s">
        <v>212</v>
      </c>
      <c r="C22" s="8">
        <v>3.6803290843963623</v>
      </c>
      <c r="D22" s="9">
        <v>0.742714524269104</v>
      </c>
      <c r="E22" s="9">
        <v>0.30970001220703125</v>
      </c>
      <c r="F22" s="9">
        <v>3.2139999866485596</v>
      </c>
      <c r="G22" s="9">
        <v>0.94999986886978149</v>
      </c>
      <c r="H22" s="9">
        <v>9.6359677612781525E-2</v>
      </c>
      <c r="I22">
        <v>2.0000000949949026E-3</v>
      </c>
      <c r="J22"/>
    </row>
    <row r="23" spans="1:10" ht="15" customHeight="1" x14ac:dyDescent="0.15">
      <c r="A23" s="166">
        <v>22</v>
      </c>
      <c r="B23" s="166" t="s">
        <v>213</v>
      </c>
      <c r="C23" s="8">
        <v>3.42010498046875</v>
      </c>
      <c r="D23" s="9">
        <v>0.10338681191205978</v>
      </c>
      <c r="E23" s="9">
        <v>2</v>
      </c>
      <c r="F23" s="9">
        <v>6</v>
      </c>
      <c r="G23" s="9">
        <v>0.95000016689300537</v>
      </c>
      <c r="H23" s="9">
        <v>0.3333333432674408</v>
      </c>
      <c r="I23">
        <v>0</v>
      </c>
      <c r="J23"/>
    </row>
    <row r="24" spans="1:10" ht="15" customHeight="1" x14ac:dyDescent="0.15">
      <c r="A24" s="167">
        <v>23</v>
      </c>
      <c r="B24" s="167" t="s">
        <v>214</v>
      </c>
      <c r="C24" s="8">
        <v>3.413172721862793</v>
      </c>
      <c r="D24" s="9">
        <v>1.0975024700164795</v>
      </c>
      <c r="E24" s="9">
        <v>0.65700000524520874</v>
      </c>
      <c r="F24" s="9">
        <v>5.4650001525878906</v>
      </c>
      <c r="G24" s="9">
        <v>0.99000000953674316</v>
      </c>
      <c r="H24" s="9">
        <v>0.12021957337856293</v>
      </c>
      <c r="I24">
        <v>1.9999999494757503E-4</v>
      </c>
      <c r="J24"/>
    </row>
    <row r="25" spans="1:10" ht="15" customHeight="1" x14ac:dyDescent="0.15">
      <c r="A25" s="168">
        <v>24</v>
      </c>
      <c r="B25" s="168" t="s">
        <v>215</v>
      </c>
      <c r="C25" s="8">
        <v>3.3854677677154541</v>
      </c>
      <c r="D25" s="9">
        <v>0.7444000244140625</v>
      </c>
      <c r="E25" s="9">
        <v>0.52999997138977051</v>
      </c>
      <c r="F25" s="9">
        <v>4.8400001525878906</v>
      </c>
      <c r="G25" s="9">
        <v>0.72848623991012573</v>
      </c>
      <c r="H25" s="9">
        <v>0.10950412601232529</v>
      </c>
      <c r="I25">
        <v>0</v>
      </c>
      <c r="J25"/>
    </row>
    <row r="26" spans="1:10" ht="15" customHeight="1" x14ac:dyDescent="0.15">
      <c r="A26" s="169">
        <v>25</v>
      </c>
      <c r="B26" s="169" t="s">
        <v>216</v>
      </c>
      <c r="C26" s="8">
        <v>3.2441482543945312</v>
      </c>
      <c r="D26" s="9">
        <v>2.2960000038146973</v>
      </c>
      <c r="E26" s="9">
        <v>2</v>
      </c>
      <c r="F26" s="9">
        <v>9.3999996185302734</v>
      </c>
      <c r="G26" s="9">
        <v>0.25167527794837952</v>
      </c>
      <c r="H26" s="9">
        <v>0.21276596188545227</v>
      </c>
      <c r="I26">
        <v>0</v>
      </c>
      <c r="J26"/>
    </row>
    <row r="27" spans="1:10" ht="15" customHeight="1" x14ac:dyDescent="0.15">
      <c r="A27" s="170">
        <v>26</v>
      </c>
      <c r="B27" s="170" t="s">
        <v>217</v>
      </c>
      <c r="C27" s="8">
        <v>3.1870596408843994</v>
      </c>
      <c r="D27" s="9">
        <v>0.66862410306930542</v>
      </c>
      <c r="E27" s="9">
        <v>1.5</v>
      </c>
      <c r="F27" s="9">
        <v>9.6840000152587891</v>
      </c>
      <c r="G27" s="9">
        <v>0.98999994993209839</v>
      </c>
      <c r="H27" s="9">
        <v>0.15489466488361359</v>
      </c>
      <c r="I27">
        <v>1.3000000035390258E-3</v>
      </c>
      <c r="J27"/>
    </row>
    <row r="28" spans="1:10" ht="15" customHeight="1" x14ac:dyDescent="0.15">
      <c r="A28" s="171">
        <v>27</v>
      </c>
      <c r="B28" s="171" t="s">
        <v>218</v>
      </c>
      <c r="C28" s="8">
        <v>3.0006563663482666</v>
      </c>
      <c r="D28" s="9">
        <v>13.235294342041016</v>
      </c>
      <c r="E28" s="9">
        <v>2.5</v>
      </c>
      <c r="F28" s="9">
        <v>12.5</v>
      </c>
      <c r="G28" s="9">
        <v>0.53130924701690674</v>
      </c>
      <c r="H28" s="9">
        <v>0.20000000298023224</v>
      </c>
      <c r="I28">
        <v>2.199999988079071E-3</v>
      </c>
      <c r="J28"/>
    </row>
    <row r="29" spans="1:10" ht="15" customHeight="1" x14ac:dyDescent="0.15">
      <c r="A29" s="172">
        <v>28</v>
      </c>
      <c r="B29" s="172" t="s">
        <v>219</v>
      </c>
      <c r="C29" s="8">
        <v>2.9276113510131836</v>
      </c>
      <c r="D29" s="9">
        <v>6</v>
      </c>
      <c r="E29" s="9">
        <v>8</v>
      </c>
      <c r="F29" s="9">
        <v>20</v>
      </c>
      <c r="G29" s="9">
        <v>0.49176692962646484</v>
      </c>
      <c r="H29" s="9">
        <v>0.40000000596046448</v>
      </c>
      <c r="I29">
        <v>0</v>
      </c>
      <c r="J29"/>
    </row>
    <row r="30" spans="1:10" ht="15" customHeight="1" x14ac:dyDescent="0.15">
      <c r="A30" s="173">
        <v>29</v>
      </c>
      <c r="B30" s="173" t="s">
        <v>220</v>
      </c>
      <c r="C30" s="8">
        <v>2.8614039421081543</v>
      </c>
      <c r="D30" s="9">
        <v>20</v>
      </c>
      <c r="E30" s="9">
        <v>1.5800000429153442</v>
      </c>
      <c r="F30" s="9">
        <v>5.7699999809265137</v>
      </c>
      <c r="G30" s="9">
        <v>0.29514434933662415</v>
      </c>
      <c r="H30" s="9">
        <v>0.27383017539978027</v>
      </c>
      <c r="I30">
        <v>0</v>
      </c>
      <c r="J30"/>
    </row>
    <row r="31" spans="1:10" ht="15" customHeight="1" x14ac:dyDescent="0.15">
      <c r="A31" s="174">
        <v>30</v>
      </c>
      <c r="B31" s="174" t="s">
        <v>221</v>
      </c>
      <c r="C31" s="8">
        <v>2.6691460609436035</v>
      </c>
      <c r="D31" s="9">
        <v>0.99816972017288208</v>
      </c>
      <c r="E31" s="9">
        <v>1.4800000190734863</v>
      </c>
      <c r="F31" s="9">
        <v>7.690000057220459</v>
      </c>
      <c r="G31" s="9">
        <v>0.94999998807907104</v>
      </c>
      <c r="H31" s="9">
        <v>0.19245773553848267</v>
      </c>
      <c r="I31">
        <v>0</v>
      </c>
      <c r="J31"/>
    </row>
    <row r="32" spans="1:10" ht="15" customHeight="1" x14ac:dyDescent="0.15">
      <c r="A32" s="202">
        <v>31</v>
      </c>
      <c r="B32" s="202" t="s">
        <v>222</v>
      </c>
      <c r="C32" s="8">
        <v>2.5726149082183838</v>
      </c>
      <c r="D32" s="9">
        <v>0.23426090180873871</v>
      </c>
      <c r="E32" s="9">
        <v>1.7000000476837158</v>
      </c>
      <c r="F32" s="9">
        <v>9.6700000762939453</v>
      </c>
      <c r="G32" s="9">
        <v>0.99000012874603271</v>
      </c>
      <c r="H32" s="9">
        <v>0.17580145597457886</v>
      </c>
      <c r="I32">
        <v>6.9160000421106815E-3</v>
      </c>
      <c r="J32"/>
    </row>
    <row r="33" spans="1:10" ht="15" customHeight="1" x14ac:dyDescent="0.15">
      <c r="A33" s="203">
        <v>32</v>
      </c>
      <c r="B33" s="203" t="s">
        <v>223</v>
      </c>
      <c r="C33" s="8">
        <v>2.5614039897918701</v>
      </c>
      <c r="D33" s="9">
        <v>20</v>
      </c>
      <c r="E33" s="9">
        <v>1.3700000047683716</v>
      </c>
      <c r="F33" s="9">
        <v>11</v>
      </c>
      <c r="G33" s="9">
        <v>0.69710195064544678</v>
      </c>
      <c r="H33" s="9">
        <v>0.12454545497894287</v>
      </c>
      <c r="I33">
        <v>0</v>
      </c>
      <c r="J33"/>
    </row>
    <row r="34" spans="1:10" ht="15" customHeight="1" x14ac:dyDescent="0.15">
      <c r="A34" s="204">
        <v>33</v>
      </c>
      <c r="B34" s="204" t="s">
        <v>224</v>
      </c>
      <c r="C34" s="8">
        <v>2.4035103321075439</v>
      </c>
      <c r="D34" s="9">
        <v>9.7334661483764648</v>
      </c>
      <c r="E34" s="9">
        <v>19</v>
      </c>
      <c r="F34" s="9">
        <v>47.5</v>
      </c>
      <c r="G34" s="9">
        <v>0.99000000953674316</v>
      </c>
      <c r="H34" s="9">
        <v>0.40000000596046448</v>
      </c>
      <c r="I34">
        <v>0</v>
      </c>
      <c r="J34"/>
    </row>
    <row r="35" spans="1:10" ht="15" customHeight="1" x14ac:dyDescent="0.15">
      <c r="A35" s="205">
        <v>34</v>
      </c>
      <c r="B35" s="205" t="s">
        <v>225</v>
      </c>
      <c r="C35" s="8">
        <v>2.2010049819946289</v>
      </c>
      <c r="D35" s="9">
        <v>15</v>
      </c>
      <c r="E35" s="9">
        <v>9</v>
      </c>
      <c r="F35" s="9">
        <v>25</v>
      </c>
      <c r="G35" s="9">
        <v>0.73531818389892578</v>
      </c>
      <c r="H35" s="9">
        <v>0.36000001430511475</v>
      </c>
      <c r="I35">
        <v>0</v>
      </c>
      <c r="J35"/>
    </row>
    <row r="36" spans="1:10" ht="15" customHeight="1" x14ac:dyDescent="0.15">
      <c r="A36" s="206">
        <v>35</v>
      </c>
      <c r="B36" s="206" t="s">
        <v>226</v>
      </c>
      <c r="C36" s="8">
        <v>2.0050251483917236</v>
      </c>
      <c r="D36" s="9">
        <v>1.1885303258895874</v>
      </c>
      <c r="E36" s="9">
        <v>150</v>
      </c>
      <c r="F36" s="9">
        <v>375</v>
      </c>
      <c r="G36" s="9">
        <v>0.99000006914138794</v>
      </c>
      <c r="H36" s="9">
        <v>0.40000000596046448</v>
      </c>
      <c r="I36">
        <v>0</v>
      </c>
      <c r="J36"/>
    </row>
    <row r="37" spans="1:10" ht="15" customHeight="1" x14ac:dyDescent="0.15">
      <c r="A37" s="207">
        <v>36</v>
      </c>
      <c r="B37" s="207" t="s">
        <v>227</v>
      </c>
      <c r="C37" s="8">
        <v>2</v>
      </c>
      <c r="D37" s="9">
        <v>1.1256823539733887</v>
      </c>
      <c r="E37" s="9">
        <v>150</v>
      </c>
      <c r="F37" s="9">
        <v>375</v>
      </c>
      <c r="G37" s="9">
        <v>0.99000000953674316</v>
      </c>
      <c r="H37" s="9">
        <v>0.40000000596046448</v>
      </c>
      <c r="I37">
        <v>0</v>
      </c>
      <c r="J37"/>
    </row>
    <row r="38" spans="1:10" ht="15" customHeight="1" x14ac:dyDescent="0.15">
      <c r="A38" s="208">
        <v>37</v>
      </c>
      <c r="B38" s="208" t="s">
        <v>228</v>
      </c>
      <c r="C38" s="8">
        <v>1</v>
      </c>
      <c r="D38" s="9">
        <v>20</v>
      </c>
      <c r="E38" s="9">
        <v>55</v>
      </c>
      <c r="F38" s="10"/>
      <c r="G38" s="9">
        <v>0.28839895129203796</v>
      </c>
      <c r="H38" s="10"/>
      <c r="I38">
        <v>0</v>
      </c>
      <c r="J38"/>
    </row>
    <row r="39" spans="1:10" ht="15" customHeight="1" x14ac:dyDescent="0.15">
      <c r="A39" s="209">
        <v>38</v>
      </c>
      <c r="B39" s="209" t="s">
        <v>229</v>
      </c>
      <c r="C39" s="8">
        <v>1</v>
      </c>
      <c r="D39" s="9">
        <v>1.8571428954601288E-2</v>
      </c>
      <c r="E39" s="9">
        <v>2</v>
      </c>
      <c r="F39" s="10"/>
      <c r="G39" s="9">
        <v>0.22794714570045471</v>
      </c>
      <c r="H39" s="10"/>
      <c r="I39">
        <v>3.599999938160181E-3</v>
      </c>
      <c r="J39"/>
    </row>
    <row r="40" spans="1:10" ht="15" customHeight="1" x14ac:dyDescent="0.15">
      <c r="A40" s="210">
        <v>39</v>
      </c>
      <c r="B40" s="210" t="s">
        <v>230</v>
      </c>
      <c r="C40" s="8">
        <v>1</v>
      </c>
      <c r="D40" s="10"/>
      <c r="E40" s="10"/>
      <c r="F40" s="10"/>
      <c r="G40" s="9">
        <v>0.97484606504440308</v>
      </c>
      <c r="H40" s="10"/>
      <c r="I40">
        <v>0</v>
      </c>
      <c r="J40"/>
    </row>
    <row r="41" spans="1:10" ht="15" customHeight="1" x14ac:dyDescent="0.15">
      <c r="A41" s="211">
        <v>40</v>
      </c>
      <c r="B41" s="211" t="s">
        <v>231</v>
      </c>
      <c r="C41" s="8">
        <v>1</v>
      </c>
      <c r="D41" s="9">
        <v>50</v>
      </c>
      <c r="E41" s="10"/>
      <c r="F41" s="10"/>
      <c r="G41" s="9">
        <v>0.66900444030761719</v>
      </c>
      <c r="H41" s="10"/>
      <c r="I41">
        <v>0</v>
      </c>
      <c r="J41"/>
    </row>
    <row r="42" spans="1:10" ht="15" customHeight="1" x14ac:dyDescent="0.15">
      <c r="A42" s="212">
        <v>41</v>
      </c>
      <c r="B42" s="212" t="s">
        <v>232</v>
      </c>
      <c r="C42" s="8">
        <v>1</v>
      </c>
      <c r="D42" s="9">
        <v>50</v>
      </c>
      <c r="E42" s="10"/>
      <c r="F42" s="10"/>
      <c r="G42" s="9">
        <v>0.95479708909988403</v>
      </c>
      <c r="H42" s="10"/>
      <c r="I42">
        <v>0</v>
      </c>
      <c r="J42"/>
    </row>
    <row r="43" spans="1:10" ht="15" customHeight="1" x14ac:dyDescent="0.15">
      <c r="A43" s="213">
        <v>42</v>
      </c>
      <c r="B43" s="213" t="s">
        <v>233</v>
      </c>
      <c r="C43" s="8">
        <v>5.3391814231872559</v>
      </c>
      <c r="D43" s="10"/>
      <c r="E43" s="10"/>
      <c r="F43" s="10"/>
      <c r="G43" s="10"/>
      <c r="H43" s="10"/>
      <c r="I43">
        <v>3.2600000849924982E-4</v>
      </c>
      <c r="J43"/>
    </row>
    <row r="44" spans="1:10" ht="15" customHeight="1" x14ac:dyDescent="0.15">
      <c r="A44" s="214">
        <v>43</v>
      </c>
      <c r="B44" s="214" t="s">
        <v>234</v>
      </c>
      <c r="C44" s="8">
        <v>5.5484156608581543</v>
      </c>
      <c r="D44" s="10"/>
      <c r="E44" s="10"/>
      <c r="F44" s="10"/>
      <c r="G44" s="10"/>
      <c r="H44" s="10"/>
      <c r="I44">
        <v>3.9999998989515007E-5</v>
      </c>
      <c r="J44"/>
    </row>
    <row r="45" spans="1:10" ht="15" customHeight="1" x14ac:dyDescent="0.15">
      <c r="A45" s="215">
        <v>44</v>
      </c>
      <c r="B45" s="215" t="s">
        <v>235</v>
      </c>
      <c r="C45" s="8">
        <v>4.2172083854675293</v>
      </c>
      <c r="D45" s="10"/>
      <c r="E45" s="10"/>
      <c r="F45" s="10"/>
      <c r="G45" s="10"/>
      <c r="H45" s="10"/>
      <c r="I45">
        <v>1.500000013038516E-3</v>
      </c>
      <c r="J45"/>
    </row>
    <row r="46" spans="1:10" ht="15" customHeight="1" x14ac:dyDescent="0.15">
      <c r="A46" s="216">
        <v>45</v>
      </c>
      <c r="B46" s="216" t="s">
        <v>236</v>
      </c>
      <c r="C46" s="8">
        <v>5.2009568214416504</v>
      </c>
      <c r="D46" s="10"/>
      <c r="E46" s="10"/>
      <c r="F46" s="10"/>
      <c r="G46" s="10"/>
      <c r="H46" s="10"/>
      <c r="I46">
        <v>9.4592638313770294E-2</v>
      </c>
      <c r="J46"/>
    </row>
    <row r="47" spans="1:10" ht="15" customHeight="1" x14ac:dyDescent="0.15">
      <c r="A47" s="217">
        <v>46</v>
      </c>
      <c r="B47" s="217" t="s">
        <v>237</v>
      </c>
      <c r="C47" s="8">
        <v>3.2775871753692627</v>
      </c>
      <c r="D47" s="10"/>
      <c r="E47" s="10"/>
      <c r="F47" s="10"/>
      <c r="G47" s="10"/>
      <c r="H47" s="10"/>
      <c r="I47">
        <v>5.8699999935925007E-3</v>
      </c>
      <c r="J47"/>
    </row>
    <row r="48" spans="1:10" ht="15" customHeight="1" x14ac:dyDescent="0.15">
      <c r="A48" s="218">
        <v>47</v>
      </c>
      <c r="B48" s="218" t="s">
        <v>238</v>
      </c>
      <c r="C48" s="8">
        <v>3.6098563671112061</v>
      </c>
      <c r="D48" s="10"/>
      <c r="E48" s="10"/>
      <c r="F48" s="10"/>
      <c r="G48" s="10"/>
      <c r="H48" s="10"/>
      <c r="I48">
        <v>7.0696636103093624E-3</v>
      </c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243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192</v>
      </c>
      <c r="K1" t="s">
        <v>193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199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206</v>
      </c>
      <c r="Y1" t="s">
        <v>207</v>
      </c>
      <c r="Z1" t="s">
        <v>208</v>
      </c>
      <c r="AA1" t="s">
        <v>209</v>
      </c>
      <c r="AB1" t="s">
        <v>210</v>
      </c>
      <c r="AC1" t="s">
        <v>211</v>
      </c>
      <c r="AD1" t="s">
        <v>212</v>
      </c>
      <c r="AE1" t="s">
        <v>213</v>
      </c>
      <c r="AF1" t="s">
        <v>214</v>
      </c>
      <c r="AG1" t="s">
        <v>215</v>
      </c>
      <c r="AH1" t="s">
        <v>216</v>
      </c>
      <c r="AI1" t="s">
        <v>217</v>
      </c>
      <c r="AJ1" t="s">
        <v>218</v>
      </c>
      <c r="AK1" t="s">
        <v>219</v>
      </c>
      <c r="AL1" t="s">
        <v>220</v>
      </c>
      <c r="AM1" t="s">
        <v>221</v>
      </c>
      <c r="AN1" t="s">
        <v>222</v>
      </c>
      <c r="AO1" t="s">
        <v>223</v>
      </c>
      <c r="AP1" t="s">
        <v>224</v>
      </c>
      <c r="AQ1" t="s">
        <v>225</v>
      </c>
      <c r="AR1" t="s">
        <v>226</v>
      </c>
      <c r="AS1" t="s">
        <v>227</v>
      </c>
      <c r="AT1" t="s">
        <v>228</v>
      </c>
      <c r="AU1" t="s">
        <v>229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0.15000000596046448</v>
      </c>
      <c r="C3">
        <v>3.7499994039535522E-2</v>
      </c>
      <c r="D3"/>
      <c r="E3"/>
      <c r="F3"/>
      <c r="G3" s="11">
        <v>1.1811466538347304E-4</v>
      </c>
      <c r="H3" s="26">
        <v>3.8635637611150742E-3</v>
      </c>
      <c r="I3"/>
      <c r="J3"/>
      <c r="K3" s="225">
        <v>2.386670745909214E-2</v>
      </c>
      <c r="L3"/>
      <c r="M3"/>
      <c r="N3"/>
      <c r="O3"/>
      <c r="P3"/>
      <c r="Q3" s="228">
        <v>8.4651626646518707E-2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</v>
      </c>
      <c r="C4">
        <v>1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5.6000001728534698E-2</v>
      </c>
      <c r="C5">
        <v>4.7848347574472427E-2</v>
      </c>
      <c r="D5"/>
      <c r="E5" s="23">
        <v>3.6036033998243511E-4</v>
      </c>
      <c r="F5"/>
      <c r="G5"/>
      <c r="H5"/>
      <c r="I5"/>
      <c r="J5"/>
      <c r="K5" s="226">
        <v>7.7912923879921436E-3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0.69999998807907104</v>
      </c>
      <c r="C6">
        <v>0.49843126535415649</v>
      </c>
      <c r="D6"/>
      <c r="E6"/>
      <c r="F6"/>
      <c r="G6" s="219">
        <v>3.4057971090078354E-2</v>
      </c>
      <c r="H6"/>
      <c r="I6"/>
      <c r="J6" s="74">
        <v>9.8612874746322632E-2</v>
      </c>
      <c r="K6" s="15">
        <v>6.2669091857969761E-3</v>
      </c>
      <c r="L6" s="235">
        <v>6.2630973756313324E-2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0.49000000953674316</v>
      </c>
      <c r="C7">
        <v>0.10145428031682968</v>
      </c>
      <c r="D7"/>
      <c r="E7"/>
      <c r="F7"/>
      <c r="G7" s="220">
        <v>7.1850553154945374E-2</v>
      </c>
      <c r="H7"/>
      <c r="I7"/>
      <c r="J7" s="105">
        <v>3.2846290618181229E-2</v>
      </c>
      <c r="K7" s="17">
        <v>7.0562013424932957E-3</v>
      </c>
      <c r="L7" s="73">
        <v>3.141750767827034E-2</v>
      </c>
      <c r="M7"/>
      <c r="N7"/>
      <c r="O7"/>
      <c r="P7"/>
      <c r="Q7" s="270">
        <v>0.24537517130374908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3.5000000149011612E-2</v>
      </c>
      <c r="C8">
        <v>3.2954957336187363E-2</v>
      </c>
      <c r="D8" s="64">
        <v>2.0450411830097437E-3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0.62000000476837158</v>
      </c>
      <c r="C9">
        <v>6.1999200843274593E-3</v>
      </c>
      <c r="D9"/>
      <c r="E9"/>
      <c r="F9"/>
      <c r="G9" s="15">
        <v>6.1531439423561096E-3</v>
      </c>
      <c r="H9" s="23">
        <v>3.8058185018599033E-3</v>
      </c>
      <c r="I9" s="11">
        <v>2.6294746203348041E-4</v>
      </c>
      <c r="J9" s="255">
        <v>0.10075854510068893</v>
      </c>
      <c r="K9" s="17">
        <v>8.5725989192724228E-3</v>
      </c>
      <c r="L9" s="243">
        <v>0.10222367942333221</v>
      </c>
      <c r="M9" s="241">
        <v>0.11177333444356918</v>
      </c>
      <c r="N9"/>
      <c r="O9" s="269">
        <v>0.25371795892715454</v>
      </c>
      <c r="P9"/>
      <c r="Q9" s="20">
        <v>2.6532042771577835E-2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1.9999999552965164E-2</v>
      </c>
      <c r="C10">
        <v>1.9999999552965164E-2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1.273829460144043</v>
      </c>
      <c r="C11">
        <v>1.2738206423819065E-2</v>
      </c>
      <c r="D11"/>
      <c r="E11"/>
      <c r="F11"/>
      <c r="G11"/>
      <c r="H11"/>
      <c r="I11"/>
      <c r="J11"/>
      <c r="K11" s="15">
        <v>1.1879580095410347E-2</v>
      </c>
      <c r="L11" s="75">
        <v>0.21555477380752563</v>
      </c>
      <c r="M11"/>
      <c r="N11"/>
      <c r="O11"/>
      <c r="P11" s="243">
        <v>0.20856329798698425</v>
      </c>
      <c r="Q11"/>
      <c r="R11" s="248">
        <v>0.28682729601860046</v>
      </c>
      <c r="S11" s="27">
        <v>5.8736503124237061E-2</v>
      </c>
      <c r="T11" s="237">
        <v>0.11225274205207825</v>
      </c>
      <c r="U11"/>
      <c r="V11" s="250">
        <v>0.29257330298423767</v>
      </c>
      <c r="W11"/>
      <c r="X11"/>
      <c r="Y11"/>
      <c r="Z11"/>
      <c r="AA11"/>
      <c r="AB11"/>
      <c r="AC11" s="64">
        <v>7.4703708291053772E-2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0.51999998092651367</v>
      </c>
      <c r="C12">
        <v>0.32438614964485168</v>
      </c>
      <c r="D12"/>
      <c r="E12"/>
      <c r="F12"/>
      <c r="G12"/>
      <c r="H12"/>
      <c r="I12"/>
      <c r="J12"/>
      <c r="K12" s="13">
        <v>1.9795075058937073E-2</v>
      </c>
      <c r="L12"/>
      <c r="M12"/>
      <c r="N12" s="242">
        <v>0.15311874449253082</v>
      </c>
      <c r="O12"/>
      <c r="P12"/>
      <c r="Q12"/>
      <c r="R12"/>
      <c r="S12"/>
      <c r="T12" s="20">
        <v>2.2699998691678047E-2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0.60000002384185791</v>
      </c>
      <c r="C13">
        <v>5.9999944642186165E-3</v>
      </c>
      <c r="D13"/>
      <c r="E13"/>
      <c r="F13"/>
      <c r="G13" s="14">
        <v>6.7205971572548151E-4</v>
      </c>
      <c r="H13"/>
      <c r="I13"/>
      <c r="J13" s="106">
        <v>0.1032254621386528</v>
      </c>
      <c r="K13"/>
      <c r="L13"/>
      <c r="M13" s="257">
        <v>0.49010252952575684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1.5</v>
      </c>
      <c r="C14">
        <v>1.4999896287918091E-2</v>
      </c>
      <c r="D14"/>
      <c r="E14"/>
      <c r="F14"/>
      <c r="G14" s="63">
        <v>6.1529189348220825E-2</v>
      </c>
      <c r="H14"/>
      <c r="I14"/>
      <c r="J14"/>
      <c r="K14"/>
      <c r="L14" s="246">
        <v>0.12378717958927155</v>
      </c>
      <c r="M14" s="259">
        <v>0.28768724203109741</v>
      </c>
      <c r="N14" s="23">
        <v>9.5757897943258286E-3</v>
      </c>
      <c r="O14" s="19">
        <v>2.5687918066978455E-2</v>
      </c>
      <c r="P14" s="220">
        <v>0.22009415924549103</v>
      </c>
      <c r="Q14" s="260">
        <v>0.30306768417358398</v>
      </c>
      <c r="R14" s="258">
        <v>0.28399485349655151</v>
      </c>
      <c r="S14" s="15">
        <v>1.4841532334685326E-2</v>
      </c>
      <c r="T14" s="239">
        <v>8.0579578876495361E-2</v>
      </c>
      <c r="U14"/>
      <c r="V14" s="21">
        <v>3.0453044921159744E-2</v>
      </c>
      <c r="W14" s="11">
        <v>8.0169155262410641E-4</v>
      </c>
      <c r="X14"/>
      <c r="Y14"/>
      <c r="Z14"/>
      <c r="AA14"/>
      <c r="AB14"/>
      <c r="AC14" s="142">
        <v>4.2900282889604568E-2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0.44999998807907104</v>
      </c>
      <c r="C15">
        <v>2.2500030696392059E-2</v>
      </c>
      <c r="D15"/>
      <c r="E15"/>
      <c r="F15"/>
      <c r="G15" s="221">
        <v>5.2253726869821548E-2</v>
      </c>
      <c r="H15"/>
      <c r="I15"/>
      <c r="J15"/>
      <c r="K15" s="231">
        <v>0.18904803693294525</v>
      </c>
      <c r="L15"/>
      <c r="M15"/>
      <c r="N15"/>
      <c r="O15"/>
      <c r="P15"/>
      <c r="Q15"/>
      <c r="R15"/>
      <c r="S15" s="230">
        <v>0.18619820475578308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0.62000000476837158</v>
      </c>
      <c r="C16">
        <v>0.32750651240348816</v>
      </c>
      <c r="D16"/>
      <c r="E16"/>
      <c r="F16"/>
      <c r="G16" s="222">
        <v>0.11049081385135651</v>
      </c>
      <c r="H16"/>
      <c r="I16"/>
      <c r="J16" s="104">
        <v>7.6500102877616882E-2</v>
      </c>
      <c r="K16" s="232">
        <v>6.065300852060318E-2</v>
      </c>
      <c r="L16" s="227">
        <v>1.425875723361969E-2</v>
      </c>
      <c r="M16"/>
      <c r="N16"/>
      <c r="O16" s="219">
        <v>3.0590798705816269E-2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1.5</v>
      </c>
      <c r="C17">
        <v>1.4999806880950928E-2</v>
      </c>
      <c r="D17"/>
      <c r="E17"/>
      <c r="F17"/>
      <c r="G17" s="223">
        <v>5.8842748403549194E-2</v>
      </c>
      <c r="H17"/>
      <c r="I17"/>
      <c r="J17"/>
      <c r="K17" s="14">
        <v>2.706871135160327E-3</v>
      </c>
      <c r="L17" s="247">
        <v>0.19646452367305756</v>
      </c>
      <c r="M17"/>
      <c r="N17"/>
      <c r="O17" s="18">
        <v>1.6464680433273315E-2</v>
      </c>
      <c r="P17" s="264">
        <v>0.61739349365234375</v>
      </c>
      <c r="Q17"/>
      <c r="R17" s="254">
        <v>0.36058607697486877</v>
      </c>
      <c r="S17" s="19">
        <v>2.6767300441861153E-2</v>
      </c>
      <c r="T17" s="238">
        <v>0.12788908183574677</v>
      </c>
      <c r="U17"/>
      <c r="V17"/>
      <c r="W17"/>
      <c r="X17"/>
      <c r="Y17" s="23">
        <v>9.7975451499223709E-3</v>
      </c>
      <c r="Z17"/>
      <c r="AA17"/>
      <c r="AB17"/>
      <c r="AC17" s="234">
        <v>6.808769702911377E-2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0.69999998807907104</v>
      </c>
      <c r="C18">
        <v>6.9997846148908138E-3</v>
      </c>
      <c r="D18"/>
      <c r="E18"/>
      <c r="F18"/>
      <c r="G18" s="11">
        <v>8.4556129877455533E-5</v>
      </c>
      <c r="H18"/>
      <c r="I18" s="11">
        <v>1.3096805560053326E-6</v>
      </c>
      <c r="J18"/>
      <c r="K18" s="15">
        <v>6.5326755866408348E-3</v>
      </c>
      <c r="L18"/>
      <c r="M18" s="139">
        <v>0.44974720478057861</v>
      </c>
      <c r="N18" s="13">
        <v>2.5764657184481621E-2</v>
      </c>
      <c r="O18" s="23">
        <v>3.7654901389032602E-3</v>
      </c>
      <c r="P18"/>
      <c r="Q18" s="235">
        <v>6.3113458454608917E-2</v>
      </c>
      <c r="R18"/>
      <c r="S18" s="240">
        <v>4.0173720568418503E-2</v>
      </c>
      <c r="T18"/>
      <c r="U18"/>
      <c r="V18" s="137">
        <v>8.3379156887531281E-2</v>
      </c>
      <c r="W18"/>
      <c r="X18"/>
      <c r="Y18"/>
      <c r="Z18"/>
      <c r="AA18"/>
      <c r="AB18"/>
      <c r="AC18" s="142">
        <v>2.0437894389033318E-2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0.5</v>
      </c>
      <c r="C19">
        <v>4.9999654293060303E-3</v>
      </c>
      <c r="D19"/>
      <c r="E19"/>
      <c r="F19"/>
      <c r="G19" s="22">
        <v>3.6907061003148556E-3</v>
      </c>
      <c r="H19"/>
      <c r="I19" s="11">
        <v>2.7339615371602122E-6</v>
      </c>
      <c r="J19"/>
      <c r="K19" s="26">
        <v>1.2325434945523739E-2</v>
      </c>
      <c r="L19"/>
      <c r="M19"/>
      <c r="N19"/>
      <c r="O19" s="261">
        <v>0.21939171850681305</v>
      </c>
      <c r="P19"/>
      <c r="Q19" s="249">
        <v>0.11930591613054276</v>
      </c>
      <c r="R19"/>
      <c r="S19"/>
      <c r="T19"/>
      <c r="U19"/>
      <c r="V19" s="67">
        <v>2.5195382535457611E-2</v>
      </c>
      <c r="W19" s="18">
        <v>5.655133631080389E-3</v>
      </c>
      <c r="X19" s="234">
        <v>2.239537425339222E-2</v>
      </c>
      <c r="Y19" s="243">
        <v>8.2838207483291626E-2</v>
      </c>
      <c r="Z19"/>
      <c r="AA19" s="22">
        <v>4.1994438506662846E-3</v>
      </c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</v>
      </c>
      <c r="C20">
        <v>0.20785325765609741</v>
      </c>
      <c r="D20"/>
      <c r="E20"/>
      <c r="F20"/>
      <c r="G20"/>
      <c r="H20"/>
      <c r="I20" s="11">
        <v>1.9422152774950519E-9</v>
      </c>
      <c r="J20" s="19">
        <v>1.7960311844944954E-2</v>
      </c>
      <c r="K20" s="14">
        <v>2.3136262316256762E-3</v>
      </c>
      <c r="L20" s="23">
        <v>6.5594855695962906E-3</v>
      </c>
      <c r="M20" s="143">
        <v>0.25351572036743164</v>
      </c>
      <c r="N20" s="26">
        <v>2.6275204494595528E-2</v>
      </c>
      <c r="O20" s="226">
        <v>0.13878411054611206</v>
      </c>
      <c r="P20" s="272">
        <v>0.10324881970882416</v>
      </c>
      <c r="Q20" s="219">
        <v>4.9236506223678589E-2</v>
      </c>
      <c r="R20" s="73">
        <v>6.5492793917655945E-2</v>
      </c>
      <c r="S20" s="227">
        <v>2.2878639400005341E-2</v>
      </c>
      <c r="T20" s="62">
        <v>2.1861959248781204E-2</v>
      </c>
      <c r="U20" s="24">
        <v>2.8214773163199425E-2</v>
      </c>
      <c r="V20" s="63">
        <v>4.1310913860797882E-2</v>
      </c>
      <c r="W20"/>
      <c r="X20" s="23">
        <v>6.0599241405725479E-3</v>
      </c>
      <c r="Y20" s="22">
        <v>8.4340060129761696E-3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1.3999999761581421</v>
      </c>
      <c r="C21">
        <v>1.3999986462295055E-2</v>
      </c>
      <c r="D21"/>
      <c r="E21"/>
      <c r="F21"/>
      <c r="G21"/>
      <c r="H21"/>
      <c r="I21"/>
      <c r="J21" s="12">
        <v>4.1704978793859482E-3</v>
      </c>
      <c r="K21" s="69">
        <v>9.9866196513175964E-2</v>
      </c>
      <c r="L21"/>
      <c r="M21"/>
      <c r="N21" s="241">
        <v>0.25339460372924805</v>
      </c>
      <c r="O21" s="236">
        <v>0.14393797516822815</v>
      </c>
      <c r="P21"/>
      <c r="Q21" s="263">
        <v>0.8756556510925293</v>
      </c>
      <c r="R21"/>
      <c r="S21"/>
      <c r="T21"/>
      <c r="U21"/>
      <c r="V21" s="23">
        <v>8.9751966297626495E-3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0.30970001220703125</v>
      </c>
      <c r="C22">
        <v>1.5485040843486786E-2</v>
      </c>
      <c r="D22"/>
      <c r="E22"/>
      <c r="F22"/>
      <c r="G22" s="22">
        <v>2.6928246952593327E-3</v>
      </c>
      <c r="H22"/>
      <c r="I22"/>
      <c r="J22"/>
      <c r="K22" s="21">
        <v>5.8454000391066074E-3</v>
      </c>
      <c r="L22" s="261">
        <v>0.13584917783737183</v>
      </c>
      <c r="M22"/>
      <c r="N22"/>
      <c r="O22" s="253">
        <v>7.3018841445446014E-2</v>
      </c>
      <c r="P22"/>
      <c r="Q22" s="251">
        <v>6.1950471252202988E-2</v>
      </c>
      <c r="R22"/>
      <c r="S22"/>
      <c r="T22"/>
      <c r="U22"/>
      <c r="V22" s="233">
        <v>1.0037191212177277E-2</v>
      </c>
      <c r="W22" s="11">
        <v>2.1893678058404475E-4</v>
      </c>
      <c r="X22" s="22">
        <v>2.1937829442322254E-3</v>
      </c>
      <c r="Y22" s="22">
        <v>2.4083633907139301E-3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</v>
      </c>
      <c r="C23">
        <v>9.9999666213989258E-2</v>
      </c>
      <c r="D23"/>
      <c r="E23"/>
      <c r="F23"/>
      <c r="G23"/>
      <c r="H23"/>
      <c r="I23"/>
      <c r="J23"/>
      <c r="K23" s="63">
        <v>8.4068521857261658E-2</v>
      </c>
      <c r="L23"/>
      <c r="M23"/>
      <c r="N23"/>
      <c r="O23"/>
      <c r="P23"/>
      <c r="Q23" s="271">
        <v>1.4864416122436523</v>
      </c>
      <c r="R23"/>
      <c r="S23"/>
      <c r="T23"/>
      <c r="U23"/>
      <c r="V23"/>
      <c r="W23" s="16">
        <v>2.9490141198039055E-2</v>
      </c>
      <c r="X23"/>
      <c r="Y23"/>
      <c r="Z23"/>
      <c r="AA23"/>
      <c r="AB23"/>
      <c r="AC23"/>
      <c r="AD23"/>
      <c r="AE23" s="245">
        <v>0.30000001192092896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0.65700000524520874</v>
      </c>
      <c r="C24">
        <v>6.569993682205677E-3</v>
      </c>
      <c r="D24"/>
      <c r="E24"/>
      <c r="F24" s="11">
        <v>1.8223193183075637E-4</v>
      </c>
      <c r="G24"/>
      <c r="H24"/>
      <c r="I24"/>
      <c r="J24" s="22">
        <v>5.4558184929192066E-3</v>
      </c>
      <c r="K24" s="18">
        <v>8.313414640724659E-3</v>
      </c>
      <c r="L24" s="273">
        <v>0.25965884327888489</v>
      </c>
      <c r="M24"/>
      <c r="N24" s="13">
        <v>2.5112815201282501E-2</v>
      </c>
      <c r="O24" s="258">
        <v>0.1246195062994957</v>
      </c>
      <c r="P24" s="63">
        <v>2.6723071932792664E-2</v>
      </c>
      <c r="Q24"/>
      <c r="R24" s="265">
        <v>9.4473682343959808E-2</v>
      </c>
      <c r="S24" s="19">
        <v>1.1688403785228729E-2</v>
      </c>
      <c r="T24" s="24">
        <v>1.8614992499351501E-2</v>
      </c>
      <c r="U24" s="244">
        <v>4.8048555850982666E-2</v>
      </c>
      <c r="V24" s="24">
        <v>1.762811467051506E-2</v>
      </c>
      <c r="W24"/>
      <c r="X24"/>
      <c r="Y24"/>
      <c r="Z24"/>
      <c r="AA24"/>
      <c r="AB24"/>
      <c r="AC24" s="16">
        <v>9.9105564877390862E-3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0.52999997138977051</v>
      </c>
      <c r="C25">
        <v>0.14390228688716888</v>
      </c>
      <c r="D25"/>
      <c r="E25"/>
      <c r="F25"/>
      <c r="G25"/>
      <c r="H25"/>
      <c r="I25"/>
      <c r="J25" s="107">
        <v>9.6586033701896667E-2</v>
      </c>
      <c r="K25" s="14">
        <v>1.1617859126999974E-3</v>
      </c>
      <c r="L25" s="25">
        <v>1.6469206660985947E-2</v>
      </c>
      <c r="M25"/>
      <c r="N25" s="69">
        <v>3.7024952471256256E-2</v>
      </c>
      <c r="O25" s="14">
        <v>1.5142760239541531E-3</v>
      </c>
      <c r="P25"/>
      <c r="Q25"/>
      <c r="R25" s="267">
        <v>0.16250127553939819</v>
      </c>
      <c r="S25"/>
      <c r="T25"/>
      <c r="U25" s="252">
        <v>7.0840150117874146E-2</v>
      </c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</v>
      </c>
      <c r="C26">
        <v>1.4966495037078857</v>
      </c>
      <c r="D26"/>
      <c r="E26"/>
      <c r="F26"/>
      <c r="G26"/>
      <c r="H26"/>
      <c r="I26"/>
      <c r="J26" s="11">
        <v>9.8784675356000662E-4</v>
      </c>
      <c r="K26" s="11">
        <v>1.8833482172340155E-3</v>
      </c>
      <c r="L26" s="14">
        <v>5.3395810537040234E-3</v>
      </c>
      <c r="M26"/>
      <c r="N26" s="22">
        <v>1.6798505559563637E-2</v>
      </c>
      <c r="O26" s="240">
        <v>0.1129736453294754</v>
      </c>
      <c r="P26" s="19">
        <v>3.5777933895587921E-2</v>
      </c>
      <c r="Q26" s="23">
        <v>1.0019929148256779E-2</v>
      </c>
      <c r="R26" s="233">
        <v>6.5856896340847015E-2</v>
      </c>
      <c r="S26" s="223">
        <v>8.0044955015182495E-2</v>
      </c>
      <c r="T26" s="17">
        <v>2.6694253087043762E-2</v>
      </c>
      <c r="U26" s="18">
        <v>2.2967513650655746E-2</v>
      </c>
      <c r="V26" s="15">
        <v>1.932649128139019E-2</v>
      </c>
      <c r="W26"/>
      <c r="X26"/>
      <c r="Y26"/>
      <c r="Z26"/>
      <c r="AA26" s="22">
        <v>1.5339263714849949E-2</v>
      </c>
      <c r="AB26"/>
      <c r="AC26" s="14">
        <v>4.7373087145388126E-3</v>
      </c>
      <c r="AD26"/>
      <c r="AE26"/>
      <c r="AF26"/>
      <c r="AG26"/>
      <c r="AH26"/>
      <c r="AI26" s="20">
        <v>8.4603078663349152E-2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1.5</v>
      </c>
      <c r="C27">
        <v>1.5000075101852417E-2</v>
      </c>
      <c r="D27"/>
      <c r="E27"/>
      <c r="F27" s="14">
        <v>1.9442912889644504E-3</v>
      </c>
      <c r="G27"/>
      <c r="H27"/>
      <c r="I27"/>
      <c r="J27"/>
      <c r="K27" s="11">
        <v>1.2934524565935135E-3</v>
      </c>
      <c r="L27" s="23">
        <v>9.1678407043218613E-3</v>
      </c>
      <c r="M27" s="268">
        <v>0.21839322149753571</v>
      </c>
      <c r="N27" s="18">
        <v>1.6504917293787003E-2</v>
      </c>
      <c r="O27" s="14">
        <v>1.6858906019479036E-3</v>
      </c>
      <c r="P27" s="274">
        <v>0.77441596984863281</v>
      </c>
      <c r="Q27" s="12">
        <v>7.1109062992036343E-3</v>
      </c>
      <c r="R27" s="138">
        <v>0.32306739687919617</v>
      </c>
      <c r="S27" s="21">
        <v>3.0697192996740341E-2</v>
      </c>
      <c r="T27" s="21">
        <v>3.0555285513401031E-2</v>
      </c>
      <c r="U27" s="26">
        <v>3.9434272795915604E-2</v>
      </c>
      <c r="V27" s="15">
        <v>1.3273113407194614E-2</v>
      </c>
      <c r="W27"/>
      <c r="X27" s="11">
        <v>1.1887202272191644E-3</v>
      </c>
      <c r="Y27"/>
      <c r="Z27"/>
      <c r="AA27"/>
      <c r="AB27"/>
      <c r="AC27" s="18">
        <v>1.6267526894807816E-2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2.5</v>
      </c>
      <c r="C28">
        <v>1.1717269420623779</v>
      </c>
      <c r="D28"/>
      <c r="E28"/>
      <c r="F28"/>
      <c r="G28" s="11">
        <v>1.6622222028672695E-4</v>
      </c>
      <c r="H28"/>
      <c r="I28"/>
      <c r="J28"/>
      <c r="K28" s="11">
        <v>6.3382682856172323E-4</v>
      </c>
      <c r="L28"/>
      <c r="M28"/>
      <c r="N28"/>
      <c r="O28" s="11">
        <v>4.7315712436102331E-5</v>
      </c>
      <c r="P28"/>
      <c r="Q28" s="14">
        <v>5.8056307025253773E-3</v>
      </c>
      <c r="R28"/>
      <c r="S28"/>
      <c r="T28"/>
      <c r="U28"/>
      <c r="V28"/>
      <c r="W28" s="11">
        <v>8.3882000762969255E-4</v>
      </c>
      <c r="X28" s="14">
        <v>4.0077711455523968E-3</v>
      </c>
      <c r="Y28" s="11">
        <v>1.9343097228556871E-3</v>
      </c>
      <c r="Z28"/>
      <c r="AA28"/>
      <c r="AB28"/>
      <c r="AC28"/>
      <c r="AD28" s="22">
        <v>1.8035748973488808E-2</v>
      </c>
      <c r="AE28" s="12">
        <v>9.3737374991178513E-3</v>
      </c>
      <c r="AF28"/>
      <c r="AG28"/>
      <c r="AH28"/>
      <c r="AI28"/>
      <c r="AJ28" s="270">
        <v>1.2500001192092896</v>
      </c>
      <c r="AK28"/>
      <c r="AL28"/>
      <c r="AM28"/>
      <c r="AN28" s="14">
        <v>2.5670863687992096E-3</v>
      </c>
      <c r="AO28"/>
      <c r="AP28" s="17">
        <v>3.4862734377384186E-2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8</v>
      </c>
      <c r="C29">
        <v>4.0658645629882812</v>
      </c>
      <c r="D29"/>
      <c r="E29"/>
      <c r="F29"/>
      <c r="G29"/>
      <c r="H29"/>
      <c r="I29"/>
      <c r="J29"/>
      <c r="K29"/>
      <c r="L29"/>
      <c r="M29" s="22">
        <v>6.3606865704059601E-2</v>
      </c>
      <c r="N29" s="14">
        <v>8.3962418138980865E-3</v>
      </c>
      <c r="O29" s="14">
        <v>1.2587371282279491E-2</v>
      </c>
      <c r="P29" s="23">
        <v>4.8426855355501175E-2</v>
      </c>
      <c r="Q29" s="23">
        <v>4.7979786992073059E-2</v>
      </c>
      <c r="R29" s="18">
        <v>9.2404544353485107E-2</v>
      </c>
      <c r="S29" s="14">
        <v>2.0795701071619987E-2</v>
      </c>
      <c r="T29" s="12">
        <v>2.7240000665187836E-2</v>
      </c>
      <c r="U29" s="23">
        <v>4.8338960856199265E-2</v>
      </c>
      <c r="V29" s="23">
        <v>4.8441201448440552E-2</v>
      </c>
      <c r="W29" s="11">
        <v>1.69382881722413E-4</v>
      </c>
      <c r="X29" s="11">
        <v>1.326930127106607E-3</v>
      </c>
      <c r="Y29" s="23">
        <v>4.1003953665494919E-2</v>
      </c>
      <c r="Z29" s="26">
        <v>0.20764315128326416</v>
      </c>
      <c r="AA29" s="15">
        <v>7.325541228055954E-2</v>
      </c>
      <c r="AB29" s="277">
        <v>1.0991364717483521</v>
      </c>
      <c r="AC29" s="18">
        <v>9.6078932285308838E-2</v>
      </c>
      <c r="AD29"/>
      <c r="AE29"/>
      <c r="AF29" s="219">
        <v>0.38799980282783508</v>
      </c>
      <c r="AG29" s="26">
        <v>0.21016894280910492</v>
      </c>
      <c r="AH29" s="24">
        <v>0.21358032524585724</v>
      </c>
      <c r="AI29" s="19">
        <v>0.14029070734977722</v>
      </c>
      <c r="AJ29"/>
      <c r="AK29" s="276">
        <v>0.99999994039535522</v>
      </c>
      <c r="AL29"/>
      <c r="AM29"/>
      <c r="AN29" s="23">
        <v>4.5263782143592834E-2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1.5800000429153442</v>
      </c>
      <c r="C30">
        <v>1.1136718988418579</v>
      </c>
      <c r="D30"/>
      <c r="E30"/>
      <c r="F30"/>
      <c r="G30"/>
      <c r="H30"/>
      <c r="I30"/>
      <c r="J30"/>
      <c r="K30"/>
      <c r="L30"/>
      <c r="M30"/>
      <c r="N30"/>
      <c r="O30" s="11">
        <v>9.8945503123104572E-4</v>
      </c>
      <c r="P30"/>
      <c r="Q30" s="14">
        <v>3.8419615011662245E-3</v>
      </c>
      <c r="R30"/>
      <c r="S30"/>
      <c r="T30"/>
      <c r="U30"/>
      <c r="V30" s="11">
        <v>3.5498899524100125E-4</v>
      </c>
      <c r="W30" s="11">
        <v>1.1154876556247473E-3</v>
      </c>
      <c r="X30" s="14">
        <v>3.8051377050578594E-3</v>
      </c>
      <c r="Y30" s="12">
        <v>6.5763657912611961E-3</v>
      </c>
      <c r="Z30"/>
      <c r="AA30"/>
      <c r="AB30"/>
      <c r="AC30"/>
      <c r="AD30" s="21">
        <v>2.9838556423783302E-2</v>
      </c>
      <c r="AE30" s="12">
        <v>6.2032090499997139E-3</v>
      </c>
      <c r="AF30"/>
      <c r="AG30"/>
      <c r="AH30"/>
      <c r="AI30"/>
      <c r="AJ30" s="278">
        <v>0.41360297799110413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1.4800000190734863</v>
      </c>
      <c r="C31">
        <v>7.400001585483551E-2</v>
      </c>
      <c r="D31"/>
      <c r="E31"/>
      <c r="F31"/>
      <c r="G31"/>
      <c r="H31"/>
      <c r="I31"/>
      <c r="J31"/>
      <c r="K31"/>
      <c r="L31"/>
      <c r="M31"/>
      <c r="N31"/>
      <c r="O31" s="67">
        <v>7.4909836053848267E-2</v>
      </c>
      <c r="P31"/>
      <c r="Q31" s="239">
        <v>7.6980128884315491E-2</v>
      </c>
      <c r="R31"/>
      <c r="S31"/>
      <c r="T31"/>
      <c r="U31"/>
      <c r="V31" s="245">
        <v>0.22316400706768036</v>
      </c>
      <c r="W31"/>
      <c r="X31" s="22">
        <v>1.0749568231403828E-2</v>
      </c>
      <c r="Y31" s="227">
        <v>3.5178694874048233E-2</v>
      </c>
      <c r="Z31"/>
      <c r="AA31" s="246">
        <v>0.12279894202947617</v>
      </c>
      <c r="AB31"/>
      <c r="AC31"/>
      <c r="AD31"/>
      <c r="AE31" s="65">
        <v>9.3218758702278137E-2</v>
      </c>
      <c r="AF31"/>
      <c r="AG31"/>
      <c r="AH31"/>
      <c r="AI31"/>
      <c r="AJ31"/>
      <c r="AK31"/>
      <c r="AL31"/>
      <c r="AM31" s="275">
        <v>0.76900005340576172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1.7000000476837158</v>
      </c>
      <c r="C32">
        <v>1.6999781131744385E-2</v>
      </c>
      <c r="D32"/>
      <c r="E32"/>
      <c r="F32"/>
      <c r="G32"/>
      <c r="H32"/>
      <c r="I32" s="19">
        <v>2.9522638767957687E-2</v>
      </c>
      <c r="J32"/>
      <c r="K32"/>
      <c r="L32"/>
      <c r="M32"/>
      <c r="N32" s="14">
        <v>2.2376347333192825E-3</v>
      </c>
      <c r="O32" s="256">
        <v>0.26465147733688354</v>
      </c>
      <c r="P32"/>
      <c r="Q32" s="259">
        <v>0.32800707221031189</v>
      </c>
      <c r="R32"/>
      <c r="S32" s="14">
        <v>3.6506461910903454E-3</v>
      </c>
      <c r="T32"/>
      <c r="U32"/>
      <c r="V32" s="262">
        <v>0.37883934378623962</v>
      </c>
      <c r="W32" s="14">
        <v>2.0823902450501919E-3</v>
      </c>
      <c r="X32" s="142">
        <v>5.0892416387796402E-2</v>
      </c>
      <c r="Y32" s="244">
        <v>0.12479463964700699</v>
      </c>
      <c r="Z32" s="24">
        <v>4.7254752367734909E-2</v>
      </c>
      <c r="AA32" s="266">
        <v>0.4510672390460968</v>
      </c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1.3700000047683716</v>
      </c>
      <c r="C33">
        <v>0.41497033834457397</v>
      </c>
      <c r="D33"/>
      <c r="E33"/>
      <c r="F33"/>
      <c r="G33"/>
      <c r="H33"/>
      <c r="I33"/>
      <c r="J33"/>
      <c r="K33"/>
      <c r="L33"/>
      <c r="M33"/>
      <c r="N33"/>
      <c r="O33" s="11">
        <v>1.3213608181104064E-3</v>
      </c>
      <c r="P33"/>
      <c r="Q33" s="22">
        <v>1.006118580698967E-2</v>
      </c>
      <c r="R33"/>
      <c r="S33"/>
      <c r="T33"/>
      <c r="U33"/>
      <c r="V33" s="11">
        <v>4.925471730530262E-4</v>
      </c>
      <c r="W33" s="11">
        <v>1.6260752090602182E-5</v>
      </c>
      <c r="X33" s="11">
        <v>8.3454727428033948E-4</v>
      </c>
      <c r="Y33" s="14">
        <v>1.9703952129930258E-3</v>
      </c>
      <c r="Z33"/>
      <c r="AA33"/>
      <c r="AB33"/>
      <c r="AC33"/>
      <c r="AD33" s="240">
        <v>7.7580243349075317E-2</v>
      </c>
      <c r="AE33" s="14">
        <v>3.1016045249998569E-3</v>
      </c>
      <c r="AF33"/>
      <c r="AG33"/>
      <c r="AH33"/>
      <c r="AI33"/>
      <c r="AJ33" s="279">
        <v>0.82720595598220825</v>
      </c>
      <c r="AK33"/>
      <c r="AL33"/>
      <c r="AM33" s="23">
        <v>7.6759248040616512E-3</v>
      </c>
      <c r="AN33" s="14">
        <v>1.6988072311505675E-3</v>
      </c>
      <c r="AO33"/>
      <c r="AP33" s="19">
        <v>2.3070927709341049E-2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19</v>
      </c>
      <c r="C34">
        <v>0.18999981880187988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 s="11">
        <v>3.1865364871919155E-3</v>
      </c>
      <c r="AF34"/>
      <c r="AG34"/>
      <c r="AH34"/>
      <c r="AI34"/>
      <c r="AJ34" s="262">
        <v>4.2492871284484863</v>
      </c>
      <c r="AK34" s="233">
        <v>0.61642992496490479</v>
      </c>
      <c r="AL34" s="281">
        <v>4.742401123046875</v>
      </c>
      <c r="AM34" s="22">
        <v>0.15772233903408051</v>
      </c>
      <c r="AN34"/>
      <c r="AO34" s="285">
        <v>9.0409727096557617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9</v>
      </c>
      <c r="C35">
        <v>2.382136344909668</v>
      </c>
      <c r="D35"/>
      <c r="E35"/>
      <c r="F35"/>
      <c r="G35"/>
      <c r="H35"/>
      <c r="I35"/>
      <c r="J35"/>
      <c r="K35"/>
      <c r="L35"/>
      <c r="M35"/>
      <c r="N35"/>
      <c r="O35" s="11">
        <v>1.8703620880842209E-3</v>
      </c>
      <c r="P35"/>
      <c r="Q35"/>
      <c r="R35"/>
      <c r="S35"/>
      <c r="T35" s="11">
        <v>2.7240000199526548E-3</v>
      </c>
      <c r="U35"/>
      <c r="V35" s="11">
        <v>4.3190325959585607E-4</v>
      </c>
      <c r="W35"/>
      <c r="X35"/>
      <c r="Y35"/>
      <c r="Z35" s="14">
        <v>9.6219750121235847E-3</v>
      </c>
      <c r="AA35"/>
      <c r="AB35" s="16">
        <v>0.1459653377532959</v>
      </c>
      <c r="AC35" s="12">
        <v>2.9004961252212524E-2</v>
      </c>
      <c r="AD35"/>
      <c r="AE35"/>
      <c r="AF35" s="227">
        <v>0.20466715097427368</v>
      </c>
      <c r="AG35" s="17">
        <v>0.13210619986057281</v>
      </c>
      <c r="AH35" s="245">
        <v>1.3533943891525269</v>
      </c>
      <c r="AI35" s="25">
        <v>0.27626475691795349</v>
      </c>
      <c r="AJ35"/>
      <c r="AK35" s="282">
        <v>4.4000000953674316</v>
      </c>
      <c r="AL35"/>
      <c r="AM35" s="14">
        <v>2.5586418807506561E-2</v>
      </c>
      <c r="AN35" s="12">
        <v>3.6226119846105576E-2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150</v>
      </c>
      <c r="C36">
        <v>1.4999896287918091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 s="14">
        <v>0.25234740972518921</v>
      </c>
      <c r="AG36" s="14">
        <v>0.15156939625740051</v>
      </c>
      <c r="AH36"/>
      <c r="AI36" s="12">
        <v>0.54478675127029419</v>
      </c>
      <c r="AJ36" s="66">
        <v>13.919812202453613</v>
      </c>
      <c r="AK36" s="105">
        <v>10.096503257751465</v>
      </c>
      <c r="AL36"/>
      <c r="AM36" s="14">
        <v>0.32291668653488159</v>
      </c>
      <c r="AN36"/>
      <c r="AO36"/>
      <c r="AP36" s="283">
        <v>58.233924865722656</v>
      </c>
      <c r="AQ36" s="284">
        <v>63.103145599365234</v>
      </c>
      <c r="AR36" s="18">
        <v>1.875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150</v>
      </c>
      <c r="C37">
        <v>1.4999985694885254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 s="11">
        <v>2.7553105726838112E-2</v>
      </c>
      <c r="AF37"/>
      <c r="AG37"/>
      <c r="AH37"/>
      <c r="AI37"/>
      <c r="AJ37" s="232">
        <v>14.696969032287598</v>
      </c>
      <c r="AK37"/>
      <c r="AL37" s="280">
        <v>30.754682540893555</v>
      </c>
      <c r="AM37" s="12">
        <v>0.54551267623901367</v>
      </c>
      <c r="AN37"/>
      <c r="AO37"/>
      <c r="AP37" s="286">
        <v>102.47528839111328</v>
      </c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55</v>
      </c>
      <c r="C38">
        <v>39.138057708740234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 s="11">
        <v>1.4996128156781197E-2</v>
      </c>
      <c r="AG38" s="11">
        <v>9.0072406455874443E-3</v>
      </c>
      <c r="AH38"/>
      <c r="AI38" s="11">
        <v>3.2374776899814606E-2</v>
      </c>
      <c r="AJ38"/>
      <c r="AK38" s="18">
        <v>0.60000002384185791</v>
      </c>
      <c r="AL38"/>
      <c r="AM38" s="11">
        <v>1.9189814105629921E-2</v>
      </c>
      <c r="AN38" s="11">
        <v>9.6265757456421852E-3</v>
      </c>
      <c r="AO38"/>
      <c r="AP38"/>
      <c r="AQ38" s="144">
        <v>14.0625</v>
      </c>
      <c r="AR38" s="21">
        <v>1.11424720287323</v>
      </c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2</v>
      </c>
      <c r="C39">
        <v>1.5441057682037354</v>
      </c>
      <c r="D39"/>
      <c r="E39"/>
      <c r="F39"/>
      <c r="G39"/>
      <c r="H39" s="224">
        <v>0.19384615123271942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 s="26">
        <v>5.1356762647628784E-2</v>
      </c>
      <c r="Y39" s="229">
        <v>0.21069137752056122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0.97484606504440308</v>
      </c>
      <c r="D40"/>
      <c r="E40"/>
      <c r="F40"/>
      <c r="G40"/>
      <c r="H40"/>
      <c r="I40"/>
      <c r="J40"/>
      <c r="K40"/>
      <c r="L40" s="9">
        <v>1.2259678915143013E-3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 s="9">
        <v>6.203208863735199E-2</v>
      </c>
      <c r="AF40"/>
      <c r="AG40"/>
      <c r="AH40"/>
      <c r="AI40"/>
      <c r="AJ40"/>
      <c r="AK40"/>
      <c r="AL40"/>
      <c r="AM40" s="9">
        <v>0.38379627466201782</v>
      </c>
      <c r="AN40" s="9">
        <v>0.11325382441282272</v>
      </c>
      <c r="AO40"/>
      <c r="AP40" s="9">
        <v>6.935096263885498</v>
      </c>
      <c r="AQ40"/>
      <c r="AR40"/>
      <c r="AS40" s="9">
        <v>6.331963062286377</v>
      </c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0.66900444030761719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 s="9">
        <v>5.9999995231628418</v>
      </c>
      <c r="AL41" s="9">
        <v>17.310001373291016</v>
      </c>
      <c r="AM41" s="9">
        <v>0.38379627466201782</v>
      </c>
      <c r="AN41" s="9">
        <v>0.48223474621772766</v>
      </c>
      <c r="AO41" s="9">
        <v>88</v>
      </c>
      <c r="AP41" s="9">
        <v>46.141849517822266</v>
      </c>
      <c r="AQ41" s="9">
        <v>3.75</v>
      </c>
      <c r="AR41" s="9">
        <v>378.84405517578125</v>
      </c>
      <c r="AS41" s="9">
        <v>23.217199325561523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/>
      <c r="C42">
        <v>0.95479708909988403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 s="9">
        <v>6.203208863735199E-2</v>
      </c>
      <c r="AF42"/>
      <c r="AG42"/>
      <c r="AH42"/>
      <c r="AI42"/>
      <c r="AJ42" s="9">
        <v>49.632354736328125</v>
      </c>
      <c r="AK42" s="9">
        <v>12</v>
      </c>
      <c r="AL42" s="9">
        <v>17.310001373291016</v>
      </c>
      <c r="AM42" s="9">
        <v>2.6865737438201904</v>
      </c>
      <c r="AN42" s="9">
        <v>0.5943560004234314</v>
      </c>
      <c r="AO42" s="9">
        <v>44</v>
      </c>
      <c r="AP42" s="9">
        <v>223.77244567871094</v>
      </c>
      <c r="AQ42" s="9">
        <v>15</v>
      </c>
      <c r="AR42" s="9">
        <v>42.341392517089844</v>
      </c>
      <c r="AS42" s="9">
        <v>392.58172607421875</v>
      </c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3" workbookViewId="0">
      <selection activeCell="I54" sqref="I54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2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2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4" t="s">
        <v>192</v>
      </c>
      <c r="E5">
        <v>4</v>
      </c>
      <c r="F5">
        <v>3.13</v>
      </c>
      <c r="G5">
        <v>4</v>
      </c>
      <c r="H5" s="195" t="s">
        <v>192</v>
      </c>
      <c r="J5" s="55"/>
      <c r="K5" s="56"/>
    </row>
    <row r="6" spans="1:12" ht="14" thickBot="1" x14ac:dyDescent="0.2">
      <c r="A6" s="39" t="s">
        <v>121</v>
      </c>
      <c r="D6" s="194" t="s">
        <v>193</v>
      </c>
      <c r="E6">
        <v>5</v>
      </c>
      <c r="F6">
        <v>3.12</v>
      </c>
      <c r="G6">
        <v>5</v>
      </c>
      <c r="H6" s="195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4" t="s">
        <v>194</v>
      </c>
      <c r="E7">
        <v>6</v>
      </c>
      <c r="F7">
        <v>3.13</v>
      </c>
      <c r="G7">
        <v>6</v>
      </c>
      <c r="H7" s="195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4" t="s">
        <v>195</v>
      </c>
      <c r="E8">
        <v>7</v>
      </c>
      <c r="F8">
        <v>3.13</v>
      </c>
      <c r="G8">
        <v>7</v>
      </c>
      <c r="H8" s="195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4" t="s">
        <v>196</v>
      </c>
      <c r="E9">
        <v>8</v>
      </c>
      <c r="F9">
        <v>3.22</v>
      </c>
      <c r="G9">
        <v>8</v>
      </c>
      <c r="H9" s="195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4" t="s">
        <v>197</v>
      </c>
      <c r="E10">
        <v>9</v>
      </c>
      <c r="F10">
        <v>3.22</v>
      </c>
      <c r="G10">
        <v>9</v>
      </c>
      <c r="H10" s="195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4" t="s">
        <v>198</v>
      </c>
      <c r="E11">
        <v>10</v>
      </c>
      <c r="F11">
        <v>3.13</v>
      </c>
      <c r="G11">
        <v>10</v>
      </c>
      <c r="H11" s="195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4" t="s">
        <v>199</v>
      </c>
      <c r="E12">
        <v>11</v>
      </c>
      <c r="F12">
        <v>3.2</v>
      </c>
      <c r="G12">
        <v>11</v>
      </c>
      <c r="H12" s="195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4" t="s">
        <v>200</v>
      </c>
      <c r="E13">
        <v>12</v>
      </c>
      <c r="F13">
        <v>3.13</v>
      </c>
      <c r="G13">
        <v>12</v>
      </c>
      <c r="H13" s="195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4" t="s">
        <v>201</v>
      </c>
      <c r="E14">
        <v>13</v>
      </c>
      <c r="F14">
        <v>3.22</v>
      </c>
      <c r="G14">
        <v>13</v>
      </c>
      <c r="H14" s="195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4" t="s">
        <v>202</v>
      </c>
      <c r="E15">
        <v>14</v>
      </c>
      <c r="F15">
        <v>3.12</v>
      </c>
      <c r="G15">
        <v>14</v>
      </c>
      <c r="H15" s="195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4" t="s">
        <v>203</v>
      </c>
      <c r="E16">
        <v>15</v>
      </c>
      <c r="F16">
        <v>3.12</v>
      </c>
      <c r="G16">
        <v>15</v>
      </c>
      <c r="H16" s="195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4" t="s">
        <v>204</v>
      </c>
      <c r="E17">
        <v>16</v>
      </c>
      <c r="F17">
        <v>3.22</v>
      </c>
      <c r="G17">
        <v>16</v>
      </c>
      <c r="H17" s="195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4" t="s">
        <v>205</v>
      </c>
      <c r="E18">
        <v>17</v>
      </c>
      <c r="F18">
        <v>3.22</v>
      </c>
      <c r="G18">
        <v>17</v>
      </c>
      <c r="H18" s="195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4" t="s">
        <v>206</v>
      </c>
      <c r="E19">
        <v>18</v>
      </c>
      <c r="F19">
        <v>3.22</v>
      </c>
      <c r="G19">
        <v>18</v>
      </c>
      <c r="H19" s="195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4" t="s">
        <v>207</v>
      </c>
      <c r="E20">
        <v>19</v>
      </c>
      <c r="F20">
        <v>3.22</v>
      </c>
      <c r="G20">
        <v>19</v>
      </c>
      <c r="H20" s="195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4" t="s">
        <v>208</v>
      </c>
      <c r="E21">
        <v>20</v>
      </c>
      <c r="F21">
        <v>3.22</v>
      </c>
      <c r="G21">
        <v>20</v>
      </c>
      <c r="H21" s="195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4" t="s">
        <v>209</v>
      </c>
      <c r="E22">
        <v>21</v>
      </c>
      <c r="F22">
        <v>3</v>
      </c>
      <c r="G22">
        <v>21</v>
      </c>
      <c r="H22" s="195" t="s">
        <v>209</v>
      </c>
    </row>
    <row r="23" spans="1:12" x14ac:dyDescent="0.15">
      <c r="A23" s="34" t="s">
        <v>129</v>
      </c>
      <c r="B23" s="42">
        <v>4</v>
      </c>
      <c r="C23" s="36"/>
      <c r="D23" s="194" t="s">
        <v>210</v>
      </c>
      <c r="E23">
        <v>22</v>
      </c>
      <c r="F23">
        <v>3.12</v>
      </c>
      <c r="G23">
        <v>22</v>
      </c>
      <c r="H23" s="195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94" t="s">
        <v>211</v>
      </c>
      <c r="E24">
        <v>23</v>
      </c>
      <c r="F24">
        <v>3.12</v>
      </c>
      <c r="G24">
        <v>23</v>
      </c>
      <c r="H24" s="195" t="s">
        <v>211</v>
      </c>
    </row>
    <row r="25" spans="1:12" x14ac:dyDescent="0.15">
      <c r="A25" s="34" t="s">
        <v>70</v>
      </c>
      <c r="B25" s="42">
        <v>4.2</v>
      </c>
      <c r="C25" s="36"/>
      <c r="D25" s="194" t="s">
        <v>212</v>
      </c>
      <c r="E25">
        <v>24</v>
      </c>
      <c r="F25">
        <v>3.2</v>
      </c>
      <c r="G25">
        <v>24</v>
      </c>
      <c r="H25" s="195" t="s">
        <v>212</v>
      </c>
    </row>
    <row r="26" spans="1:12" x14ac:dyDescent="0.15">
      <c r="A26" s="34" t="s">
        <v>123</v>
      </c>
      <c r="B26" s="42">
        <v>4.3</v>
      </c>
      <c r="C26" s="36"/>
      <c r="D26" s="194" t="s">
        <v>213</v>
      </c>
      <c r="E26">
        <v>25</v>
      </c>
      <c r="F26">
        <v>3.21</v>
      </c>
      <c r="G26">
        <v>25</v>
      </c>
      <c r="H26" s="195" t="s">
        <v>213</v>
      </c>
    </row>
    <row r="27" spans="1:12" x14ac:dyDescent="0.15">
      <c r="A27" s="34" t="s">
        <v>125</v>
      </c>
      <c r="B27" s="42">
        <v>6.1</v>
      </c>
      <c r="D27" s="194" t="s">
        <v>214</v>
      </c>
      <c r="E27">
        <v>26</v>
      </c>
      <c r="F27">
        <v>3.12</v>
      </c>
      <c r="G27">
        <v>26</v>
      </c>
      <c r="H27" s="195" t="s">
        <v>214</v>
      </c>
    </row>
    <row r="28" spans="1:12" x14ac:dyDescent="0.15">
      <c r="A28" s="34" t="s">
        <v>124</v>
      </c>
      <c r="B28" s="42">
        <v>6.2</v>
      </c>
      <c r="D28" s="194" t="s">
        <v>215</v>
      </c>
      <c r="E28">
        <v>27</v>
      </c>
      <c r="F28">
        <v>3.12</v>
      </c>
      <c r="G28">
        <v>27</v>
      </c>
      <c r="H28" s="195" t="s">
        <v>215</v>
      </c>
    </row>
    <row r="29" spans="1:12" x14ac:dyDescent="0.15">
      <c r="A29" s="34" t="s">
        <v>44</v>
      </c>
      <c r="B29" s="42">
        <v>5</v>
      </c>
      <c r="D29" s="194" t="s">
        <v>216</v>
      </c>
      <c r="E29">
        <v>28</v>
      </c>
      <c r="F29">
        <v>3.12</v>
      </c>
      <c r="G29">
        <v>28</v>
      </c>
      <c r="H29" s="195" t="s">
        <v>216</v>
      </c>
    </row>
    <row r="30" spans="1:12" x14ac:dyDescent="0.15">
      <c r="A30" s="34" t="s">
        <v>73</v>
      </c>
      <c r="B30" s="42">
        <v>7</v>
      </c>
      <c r="D30" s="194" t="s">
        <v>217</v>
      </c>
      <c r="E30">
        <v>29</v>
      </c>
      <c r="F30">
        <v>3.12</v>
      </c>
      <c r="G30">
        <v>29</v>
      </c>
      <c r="H30" s="195" t="s">
        <v>217</v>
      </c>
    </row>
    <row r="31" spans="1:12" x14ac:dyDescent="0.15">
      <c r="A31" s="34" t="s">
        <v>169</v>
      </c>
      <c r="B31" s="42">
        <v>3.14</v>
      </c>
      <c r="D31" s="194" t="s">
        <v>218</v>
      </c>
      <c r="E31">
        <v>30</v>
      </c>
      <c r="F31">
        <v>3.21</v>
      </c>
      <c r="G31">
        <v>30</v>
      </c>
      <c r="H31" s="195" t="s">
        <v>218</v>
      </c>
    </row>
    <row r="32" spans="1:12" ht="12" customHeight="1" thickBot="1" x14ac:dyDescent="0.2">
      <c r="A32" s="40" t="s">
        <v>170</v>
      </c>
      <c r="B32" s="43">
        <v>9</v>
      </c>
      <c r="D32" s="194" t="s">
        <v>219</v>
      </c>
      <c r="E32">
        <v>31</v>
      </c>
      <c r="F32">
        <v>3.11</v>
      </c>
      <c r="G32">
        <v>31</v>
      </c>
      <c r="H32" s="195" t="s">
        <v>219</v>
      </c>
    </row>
    <row r="33" spans="4:8" customFormat="1" ht="12" customHeight="1" x14ac:dyDescent="0.15">
      <c r="D33" s="194" t="s">
        <v>220</v>
      </c>
      <c r="E33">
        <v>32</v>
      </c>
      <c r="F33">
        <v>3.21</v>
      </c>
      <c r="G33">
        <v>32</v>
      </c>
      <c r="H33" s="195" t="s">
        <v>220</v>
      </c>
    </row>
    <row r="34" spans="4:8" customFormat="1" ht="12" customHeight="1" x14ac:dyDescent="0.15">
      <c r="D34" s="194" t="s">
        <v>221</v>
      </c>
      <c r="E34">
        <v>33</v>
      </c>
      <c r="F34">
        <v>3.21</v>
      </c>
      <c r="G34">
        <v>33</v>
      </c>
      <c r="H34" s="195" t="s">
        <v>221</v>
      </c>
    </row>
    <row r="35" spans="4:8" customFormat="1" x14ac:dyDescent="0.15">
      <c r="D35" s="194" t="s">
        <v>222</v>
      </c>
      <c r="E35">
        <v>34</v>
      </c>
      <c r="F35">
        <v>3</v>
      </c>
      <c r="G35">
        <v>34</v>
      </c>
      <c r="H35" s="195" t="s">
        <v>222</v>
      </c>
    </row>
    <row r="36" spans="4:8" customFormat="1" x14ac:dyDescent="0.15">
      <c r="D36" s="194" t="s">
        <v>223</v>
      </c>
      <c r="E36">
        <v>35</v>
      </c>
      <c r="F36">
        <v>3.21</v>
      </c>
      <c r="G36">
        <v>35</v>
      </c>
      <c r="H36" s="195" t="s">
        <v>223</v>
      </c>
    </row>
    <row r="37" spans="4:8" customFormat="1" ht="12" customHeight="1" x14ac:dyDescent="0.15">
      <c r="D37" s="194" t="s">
        <v>224</v>
      </c>
      <c r="E37">
        <v>36</v>
      </c>
      <c r="F37">
        <v>3.21</v>
      </c>
      <c r="G37">
        <v>36</v>
      </c>
      <c r="H37" s="195" t="s">
        <v>224</v>
      </c>
    </row>
    <row r="38" spans="4:8" customFormat="1" x14ac:dyDescent="0.15">
      <c r="D38" s="194" t="s">
        <v>225</v>
      </c>
      <c r="E38">
        <v>37</v>
      </c>
      <c r="F38">
        <v>3.11</v>
      </c>
      <c r="G38">
        <v>37</v>
      </c>
      <c r="H38" s="195" t="s">
        <v>225</v>
      </c>
    </row>
    <row r="39" spans="4:8" customFormat="1" x14ac:dyDescent="0.15">
      <c r="D39" s="194" t="s">
        <v>226</v>
      </c>
      <c r="E39">
        <v>38</v>
      </c>
      <c r="F39">
        <v>3.14</v>
      </c>
      <c r="G39">
        <v>38</v>
      </c>
      <c r="H39" s="195" t="s">
        <v>226</v>
      </c>
    </row>
    <row r="40" spans="4:8" customFormat="1" x14ac:dyDescent="0.15">
      <c r="D40" s="194" t="s">
        <v>227</v>
      </c>
      <c r="E40">
        <v>39</v>
      </c>
      <c r="F40">
        <v>9</v>
      </c>
      <c r="G40">
        <v>39</v>
      </c>
      <c r="H40" s="195" t="s">
        <v>227</v>
      </c>
    </row>
    <row r="41" spans="4:8" customFormat="1" x14ac:dyDescent="0.15">
      <c r="D41" s="194" t="s">
        <v>228</v>
      </c>
      <c r="E41">
        <v>40</v>
      </c>
      <c r="F41">
        <v>2</v>
      </c>
      <c r="G41">
        <v>40</v>
      </c>
      <c r="H41" s="195" t="s">
        <v>228</v>
      </c>
    </row>
    <row r="42" spans="4:8" customFormat="1" x14ac:dyDescent="0.15">
      <c r="D42" s="194" t="s">
        <v>229</v>
      </c>
      <c r="E42">
        <v>41</v>
      </c>
      <c r="F42">
        <v>2.2999999999999998</v>
      </c>
      <c r="G42">
        <v>41</v>
      </c>
      <c r="H42" s="195" t="s">
        <v>229</v>
      </c>
    </row>
    <row r="43" spans="4:8" customFormat="1" x14ac:dyDescent="0.15">
      <c r="D43" s="194" t="s">
        <v>230</v>
      </c>
      <c r="E43">
        <v>42</v>
      </c>
      <c r="F43">
        <v>4.2</v>
      </c>
      <c r="G43">
        <v>42</v>
      </c>
      <c r="H43" s="195" t="s">
        <v>230</v>
      </c>
    </row>
    <row r="44" spans="4:8" customFormat="1" x14ac:dyDescent="0.15">
      <c r="D44" s="194" t="s">
        <v>231</v>
      </c>
      <c r="E44">
        <v>43</v>
      </c>
      <c r="F44">
        <v>4.0999999999999996</v>
      </c>
      <c r="G44">
        <v>43</v>
      </c>
      <c r="H44" s="195" t="s">
        <v>231</v>
      </c>
    </row>
    <row r="45" spans="4:8" customFormat="1" x14ac:dyDescent="0.15">
      <c r="D45" s="194" t="s">
        <v>232</v>
      </c>
      <c r="E45">
        <v>44</v>
      </c>
      <c r="F45">
        <v>4.3</v>
      </c>
      <c r="G45">
        <v>44</v>
      </c>
      <c r="H45" s="195" t="s">
        <v>232</v>
      </c>
    </row>
    <row r="46" spans="4:8" customFormat="1" x14ac:dyDescent="0.15">
      <c r="D46" s="194" t="s">
        <v>233</v>
      </c>
      <c r="E46">
        <v>45</v>
      </c>
      <c r="F46">
        <v>5</v>
      </c>
      <c r="G46">
        <v>45</v>
      </c>
      <c r="H46" s="195" t="s">
        <v>233</v>
      </c>
    </row>
    <row r="47" spans="4:8" customFormat="1" x14ac:dyDescent="0.15">
      <c r="D47" s="194" t="s">
        <v>234</v>
      </c>
      <c r="E47">
        <v>46</v>
      </c>
      <c r="F47">
        <v>5</v>
      </c>
      <c r="G47">
        <v>46</v>
      </c>
      <c r="H47" s="195" t="s">
        <v>234</v>
      </c>
    </row>
    <row r="48" spans="4:8" customFormat="1" x14ac:dyDescent="0.15">
      <c r="D48" s="194" t="s">
        <v>235</v>
      </c>
      <c r="E48">
        <v>47</v>
      </c>
      <c r="F48">
        <v>5</v>
      </c>
      <c r="G48">
        <v>47</v>
      </c>
      <c r="H48" s="195" t="s">
        <v>235</v>
      </c>
    </row>
    <row r="49" spans="4:8" customFormat="1" x14ac:dyDescent="0.15">
      <c r="D49" s="194" t="s">
        <v>236</v>
      </c>
      <c r="E49">
        <v>48</v>
      </c>
      <c r="F49">
        <v>5</v>
      </c>
      <c r="G49">
        <v>48</v>
      </c>
      <c r="H49" s="195" t="s">
        <v>236</v>
      </c>
    </row>
    <row r="50" spans="4:8" customFormat="1" ht="12" customHeight="1" x14ac:dyDescent="0.15">
      <c r="D50" s="194" t="s">
        <v>237</v>
      </c>
      <c r="E50">
        <v>49</v>
      </c>
      <c r="F50">
        <v>5</v>
      </c>
      <c r="G50">
        <v>49</v>
      </c>
      <c r="H50" s="195" t="s">
        <v>237</v>
      </c>
    </row>
    <row r="51" spans="4:8" customFormat="1" x14ac:dyDescent="0.15">
      <c r="D51" s="194" t="s">
        <v>238</v>
      </c>
      <c r="E51">
        <v>50</v>
      </c>
      <c r="F51">
        <v>5</v>
      </c>
      <c r="G51">
        <v>50</v>
      </c>
      <c r="H51" s="195" t="s">
        <v>238</v>
      </c>
    </row>
    <row r="52" spans="4:8" customFormat="1" ht="12" customHeight="1" x14ac:dyDescent="0.15">
      <c r="D52" s="194" t="s">
        <v>138</v>
      </c>
      <c r="E52">
        <v>51</v>
      </c>
      <c r="F52">
        <v>6.1</v>
      </c>
      <c r="G52">
        <v>51</v>
      </c>
      <c r="H52" s="195" t="s">
        <v>138</v>
      </c>
    </row>
    <row r="53" spans="4:8" customFormat="1" x14ac:dyDescent="0.15">
      <c r="D53" s="194" t="s">
        <v>45</v>
      </c>
      <c r="E53">
        <v>52</v>
      </c>
      <c r="F53">
        <v>6.2</v>
      </c>
      <c r="G53">
        <v>52</v>
      </c>
      <c r="H53" s="195" t="s">
        <v>45</v>
      </c>
    </row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1" bestFit="1" customWidth="1"/>
    <col min="2" max="2" width="12.83203125" style="80" customWidth="1"/>
    <col min="3" max="3" width="13.1640625" style="80" customWidth="1"/>
    <col min="4" max="4" width="5.33203125" style="80" customWidth="1"/>
    <col min="5" max="5" width="12.83203125" style="80" customWidth="1"/>
    <col min="6" max="6" width="32" style="80" bestFit="1" customWidth="1"/>
    <col min="7" max="9" width="2.33203125" style="80" customWidth="1"/>
    <col min="10" max="10" width="2.33203125" style="80" bestFit="1" customWidth="1"/>
    <col min="11" max="15" width="4.83203125" style="80" customWidth="1"/>
    <col min="16" max="16" width="4.8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2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6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0.7</v>
      </c>
      <c r="L6" s="80">
        <v>0.30000000000000004</v>
      </c>
      <c r="M6" s="80">
        <v>0.7</v>
      </c>
      <c r="N6" s="80">
        <v>0.30000000000000004</v>
      </c>
      <c r="O6" s="80">
        <v>0.7</v>
      </c>
      <c r="P6" s="70">
        <v>0.30000000000000004</v>
      </c>
      <c r="Q6" s="80">
        <v>0</v>
      </c>
      <c r="R6" s="71">
        <v>1</v>
      </c>
      <c r="S6"/>
      <c r="T6"/>
    </row>
    <row r="7" spans="1:23" ht="15" customHeight="1" thickBot="1" x14ac:dyDescent="0.2">
      <c r="F7" s="196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0.7</v>
      </c>
      <c r="L7" s="80">
        <v>0.30000000000000004</v>
      </c>
      <c r="M7" s="80">
        <v>0.7</v>
      </c>
      <c r="N7" s="80">
        <v>0.30000000000000004</v>
      </c>
      <c r="O7" s="80">
        <v>0.7</v>
      </c>
      <c r="P7" s="70">
        <v>0.30000000000000004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0.99996623490557468</v>
      </c>
      <c r="C8" s="197" t="s">
        <v>228</v>
      </c>
      <c r="D8" s="84" t="s">
        <v>160</v>
      </c>
      <c r="F8" s="196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0.5</v>
      </c>
      <c r="L8" s="80">
        <v>0.5</v>
      </c>
      <c r="M8" s="80">
        <v>0.5</v>
      </c>
      <c r="N8" s="80">
        <v>0.5</v>
      </c>
      <c r="O8" s="80">
        <v>0.5</v>
      </c>
      <c r="P8" s="70">
        <v>0.5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3" t="s">
        <v>168</v>
      </c>
      <c r="B9" s="91">
        <v>3.3765094425356734E-5</v>
      </c>
      <c r="C9" s="197" t="s">
        <v>229</v>
      </c>
      <c r="D9" s="84" t="s">
        <v>160</v>
      </c>
      <c r="F9" s="196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0.7</v>
      </c>
      <c r="L9" s="80">
        <v>0.30000000000000004</v>
      </c>
      <c r="M9" s="80">
        <v>0.7</v>
      </c>
      <c r="N9" s="80">
        <v>0.30000000000000004</v>
      </c>
      <c r="O9" s="80">
        <v>0.7</v>
      </c>
      <c r="P9" s="70">
        <v>0.30000000000000004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6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0.7</v>
      </c>
      <c r="L10" s="80">
        <v>0.30000000000000004</v>
      </c>
      <c r="M10" s="80">
        <v>0.7</v>
      </c>
      <c r="N10" s="80">
        <v>0.30000000000000004</v>
      </c>
      <c r="O10" s="80">
        <v>0.7</v>
      </c>
      <c r="P10" s="70">
        <v>0.30000000000000004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6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0.19</v>
      </c>
      <c r="L11" s="80">
        <v>0.81</v>
      </c>
      <c r="M11" s="80">
        <v>0.19</v>
      </c>
      <c r="N11" s="80">
        <v>0.81</v>
      </c>
      <c r="O11" s="80">
        <v>0.19</v>
      </c>
      <c r="P11" s="70">
        <v>0.81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6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0.7</v>
      </c>
      <c r="L12" s="80">
        <v>0.30000000000000004</v>
      </c>
      <c r="M12" s="80">
        <v>0.7</v>
      </c>
      <c r="N12" s="80">
        <v>0.30000000000000004</v>
      </c>
      <c r="O12" s="80">
        <v>0.7</v>
      </c>
      <c r="P12" s="70">
        <v>0.30000000000000004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6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0.19</v>
      </c>
      <c r="L13" s="80">
        <v>0.81</v>
      </c>
      <c r="M13" s="80">
        <v>0.19</v>
      </c>
      <c r="N13" s="80">
        <v>0.81</v>
      </c>
      <c r="O13" s="80">
        <v>0.19</v>
      </c>
      <c r="P13" s="70">
        <v>0.81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6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0.7</v>
      </c>
      <c r="L14" s="80">
        <v>0.30000000000000004</v>
      </c>
      <c r="M14" s="80">
        <v>0.7</v>
      </c>
      <c r="N14" s="80">
        <v>0.30000000000000004</v>
      </c>
      <c r="O14" s="80">
        <v>0.7</v>
      </c>
      <c r="P14" s="70">
        <v>0.30000000000000004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6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0.7</v>
      </c>
      <c r="L15" s="80">
        <v>0.30000000000000004</v>
      </c>
      <c r="M15" s="80">
        <v>0.7</v>
      </c>
      <c r="N15" s="80">
        <v>0.30000000000000004</v>
      </c>
      <c r="O15" s="80">
        <v>0.7</v>
      </c>
      <c r="P15" s="70">
        <v>0.30000000000000004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6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0.7</v>
      </c>
      <c r="L16" s="80">
        <v>0.30000000000000004</v>
      </c>
      <c r="M16" s="80">
        <v>0.7</v>
      </c>
      <c r="N16" s="80">
        <v>0.30000000000000004</v>
      </c>
      <c r="O16" s="80">
        <v>0.7</v>
      </c>
      <c r="P16" s="70">
        <v>0.30000000000000004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6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0.19</v>
      </c>
      <c r="L17" s="80">
        <v>0.81</v>
      </c>
      <c r="M17" s="80">
        <v>0.19</v>
      </c>
      <c r="N17" s="80">
        <v>0.81</v>
      </c>
      <c r="O17" s="80">
        <v>0.19</v>
      </c>
      <c r="P17" s="70">
        <v>0.81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196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0.19</v>
      </c>
      <c r="L18" s="80">
        <v>0.81</v>
      </c>
      <c r="M18" s="80">
        <v>0.19</v>
      </c>
      <c r="N18" s="80">
        <v>0.81</v>
      </c>
      <c r="O18" s="80">
        <v>0.19</v>
      </c>
      <c r="P18" s="70">
        <v>0.81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0.99996623490557468</v>
      </c>
      <c r="C19" s="198" t="s">
        <v>228</v>
      </c>
      <c r="D19" s="84" t="s">
        <v>160</v>
      </c>
      <c r="F19" s="196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0.19</v>
      </c>
      <c r="L19" s="80">
        <v>0.81</v>
      </c>
      <c r="M19" s="80">
        <v>0.19</v>
      </c>
      <c r="N19" s="80">
        <v>0.81</v>
      </c>
      <c r="O19" s="80">
        <v>0.19</v>
      </c>
      <c r="P19" s="70">
        <v>0.81</v>
      </c>
      <c r="Q19" s="80">
        <v>0</v>
      </c>
      <c r="R19" s="71">
        <v>1</v>
      </c>
      <c r="S19"/>
      <c r="T19"/>
    </row>
    <row r="20" spans="1:20" ht="15" customHeight="1" x14ac:dyDescent="0.15">
      <c r="A20" s="123" t="s">
        <v>168</v>
      </c>
      <c r="B20" s="91">
        <v>3.3765094425356734E-5</v>
      </c>
      <c r="C20" s="198" t="s">
        <v>229</v>
      </c>
      <c r="D20" s="84" t="s">
        <v>160</v>
      </c>
      <c r="F20" s="196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0.19</v>
      </c>
      <c r="L20" s="80">
        <v>0.81</v>
      </c>
      <c r="M20" s="80">
        <v>0.19</v>
      </c>
      <c r="N20" s="80">
        <v>0.81</v>
      </c>
      <c r="O20" s="80">
        <v>0.19</v>
      </c>
      <c r="P20" s="70">
        <v>0.81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6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0.19</v>
      </c>
      <c r="L21" s="80">
        <v>0.81</v>
      </c>
      <c r="M21" s="80">
        <v>0.19</v>
      </c>
      <c r="N21" s="80">
        <v>0.81</v>
      </c>
      <c r="O21" s="80">
        <v>0.19</v>
      </c>
      <c r="P21" s="70">
        <v>0.81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6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0.19</v>
      </c>
      <c r="L22" s="80">
        <v>0.81</v>
      </c>
      <c r="M22" s="80">
        <v>0.19</v>
      </c>
      <c r="N22" s="80">
        <v>0.81</v>
      </c>
      <c r="O22" s="80">
        <v>0.19</v>
      </c>
      <c r="P22" s="70">
        <v>0.81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6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0.19</v>
      </c>
      <c r="L23" s="80">
        <v>0.81</v>
      </c>
      <c r="M23" s="80">
        <v>0.19</v>
      </c>
      <c r="N23" s="80">
        <v>0.81</v>
      </c>
      <c r="O23" s="80">
        <v>0.19</v>
      </c>
      <c r="P23" s="70">
        <v>0.81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6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0.7</v>
      </c>
      <c r="L24" s="80">
        <v>0.30000000000000004</v>
      </c>
      <c r="M24" s="80">
        <v>0.7</v>
      </c>
      <c r="N24" s="80">
        <v>0.30000000000000004</v>
      </c>
      <c r="O24" s="80">
        <v>0.7</v>
      </c>
      <c r="P24" s="70">
        <v>0.30000000000000004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6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0.8</v>
      </c>
      <c r="L25" s="80">
        <v>0.19999999999999996</v>
      </c>
      <c r="M25" s="80">
        <v>0.8</v>
      </c>
      <c r="N25" s="80">
        <v>0.19999999999999996</v>
      </c>
      <c r="O25" s="80">
        <v>0.8</v>
      </c>
      <c r="P25" s="70">
        <v>0.19999999999999996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6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0.19</v>
      </c>
      <c r="L26" s="80">
        <v>0.81</v>
      </c>
      <c r="M26" s="80">
        <v>0.19</v>
      </c>
      <c r="N26" s="80">
        <v>0.81</v>
      </c>
      <c r="O26" s="80">
        <v>0.19</v>
      </c>
      <c r="P26" s="70">
        <v>0.81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6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0.09</v>
      </c>
      <c r="L27" s="80">
        <v>0.91</v>
      </c>
      <c r="M27" s="80">
        <v>0.09</v>
      </c>
      <c r="N27" s="80">
        <v>0.91</v>
      </c>
      <c r="O27" s="80">
        <v>0.09</v>
      </c>
      <c r="P27" s="70">
        <v>0.91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6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0.7</v>
      </c>
      <c r="L28" s="80">
        <v>0.30000000000000004</v>
      </c>
      <c r="M28" s="80">
        <v>0.7</v>
      </c>
      <c r="N28" s="80">
        <v>0.30000000000000004</v>
      </c>
      <c r="O28" s="80">
        <v>0.7</v>
      </c>
      <c r="P28" s="70">
        <v>0.30000000000000004</v>
      </c>
      <c r="Q28" s="80">
        <v>0</v>
      </c>
      <c r="R28" s="71">
        <v>1</v>
      </c>
      <c r="S28"/>
      <c r="T28"/>
    </row>
    <row r="29" spans="1:20" ht="15" customHeight="1" x14ac:dyDescent="0.15">
      <c r="F29" s="196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0.7</v>
      </c>
      <c r="L29" s="80">
        <v>0.30000000000000004</v>
      </c>
      <c r="M29" s="80">
        <v>0.7</v>
      </c>
      <c r="N29" s="80">
        <v>0.30000000000000004</v>
      </c>
      <c r="O29" s="80">
        <v>0.7</v>
      </c>
      <c r="P29" s="70">
        <v>0.30000000000000004</v>
      </c>
      <c r="Q29" s="80">
        <v>0</v>
      </c>
      <c r="R29" s="71">
        <v>1</v>
      </c>
      <c r="S29"/>
      <c r="T29"/>
    </row>
    <row r="30" spans="1:20" ht="15" customHeight="1" x14ac:dyDescent="0.15">
      <c r="F30" s="196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0.7</v>
      </c>
      <c r="L30" s="80">
        <v>0.30000000000000004</v>
      </c>
      <c r="M30" s="80">
        <v>0.7</v>
      </c>
      <c r="N30" s="80">
        <v>0.30000000000000004</v>
      </c>
      <c r="O30" s="80">
        <v>0.7</v>
      </c>
      <c r="P30" s="70">
        <v>0.30000000000000004</v>
      </c>
      <c r="Q30" s="80">
        <v>0</v>
      </c>
      <c r="R30" s="71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6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0.7</v>
      </c>
      <c r="L31" s="80">
        <v>0.30000000000000004</v>
      </c>
      <c r="M31" s="80">
        <v>0.7</v>
      </c>
      <c r="N31" s="80">
        <v>0.30000000000000004</v>
      </c>
      <c r="O31" s="80">
        <v>0.7</v>
      </c>
      <c r="P31" s="70">
        <v>0.30000000000000004</v>
      </c>
      <c r="Q31" s="80">
        <v>0</v>
      </c>
      <c r="R31" s="71">
        <v>1</v>
      </c>
      <c r="S31"/>
      <c r="T31"/>
    </row>
    <row r="32" spans="1:20" ht="15" customHeight="1" x14ac:dyDescent="0.15">
      <c r="A32" s="199" t="s">
        <v>228</v>
      </c>
      <c r="B32" s="92">
        <v>20</v>
      </c>
      <c r="C32" s="92">
        <v>55</v>
      </c>
      <c r="D32" s="92">
        <v>1100</v>
      </c>
      <c r="E32" s="125">
        <v>0.99996623490557468</v>
      </c>
      <c r="F32" s="196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0.09</v>
      </c>
      <c r="L32" s="80">
        <v>0.91</v>
      </c>
      <c r="M32" s="80">
        <v>0.09</v>
      </c>
      <c r="N32" s="80">
        <v>0.91</v>
      </c>
      <c r="O32" s="80">
        <v>0.09</v>
      </c>
      <c r="P32" s="70">
        <v>0.91</v>
      </c>
      <c r="Q32" s="80">
        <v>0</v>
      </c>
      <c r="R32" s="71">
        <v>1</v>
      </c>
      <c r="S32"/>
      <c r="T32"/>
    </row>
    <row r="33" spans="1:20" ht="15" customHeight="1" x14ac:dyDescent="0.15">
      <c r="A33" s="199" t="s">
        <v>229</v>
      </c>
      <c r="B33" s="92">
        <v>1.8571429E-2</v>
      </c>
      <c r="C33" s="92">
        <v>2</v>
      </c>
      <c r="D33" s="92">
        <v>3.7142858000000001E-2</v>
      </c>
      <c r="E33" s="125">
        <v>3.3765094425356734E-5</v>
      </c>
      <c r="F33" s="196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0.8</v>
      </c>
      <c r="L33" s="80">
        <v>0.19999999999999996</v>
      </c>
      <c r="M33" s="80">
        <v>0.8</v>
      </c>
      <c r="N33" s="80">
        <v>0.19999999999999996</v>
      </c>
      <c r="O33" s="80">
        <v>0.8</v>
      </c>
      <c r="P33" s="70">
        <v>0.19999999999999996</v>
      </c>
      <c r="Q33" s="80">
        <v>0</v>
      </c>
      <c r="R33" s="71">
        <v>1</v>
      </c>
      <c r="S33"/>
      <c r="T33"/>
    </row>
    <row r="34" spans="1:20" ht="15" customHeight="1" x14ac:dyDescent="0.15">
      <c r="A34" s="126"/>
      <c r="B34" s="92"/>
      <c r="C34" s="92"/>
      <c r="D34" s="92"/>
      <c r="E34" s="125"/>
      <c r="F34" s="196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0.09</v>
      </c>
      <c r="L34" s="80">
        <v>0.91</v>
      </c>
      <c r="M34" s="80">
        <v>0.09</v>
      </c>
      <c r="N34" s="80">
        <v>0.91</v>
      </c>
      <c r="O34" s="80">
        <v>0.09</v>
      </c>
      <c r="P34" s="70">
        <v>0.91</v>
      </c>
      <c r="Q34" s="80">
        <v>0</v>
      </c>
      <c r="R34" s="71">
        <v>1</v>
      </c>
      <c r="S34"/>
      <c r="T34"/>
    </row>
    <row r="35" spans="1:20" ht="15" customHeight="1" x14ac:dyDescent="0.15">
      <c r="A35" s="127"/>
      <c r="B35" s="92"/>
      <c r="C35" s="92"/>
      <c r="D35" s="92"/>
      <c r="E35" s="125"/>
      <c r="F35" s="196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0.09</v>
      </c>
      <c r="L35" s="80">
        <v>0.91</v>
      </c>
      <c r="M35" s="80">
        <v>0.09</v>
      </c>
      <c r="N35" s="80">
        <v>0.91</v>
      </c>
      <c r="O35" s="80">
        <v>0.09</v>
      </c>
      <c r="P35" s="70">
        <v>0.91</v>
      </c>
      <c r="Q35" s="80">
        <v>0</v>
      </c>
      <c r="R35" s="71">
        <v>1</v>
      </c>
      <c r="S35"/>
      <c r="T35"/>
    </row>
    <row r="36" spans="1:20" ht="15" customHeight="1" x14ac:dyDescent="0.15">
      <c r="A36" s="128"/>
      <c r="B36" s="92"/>
      <c r="C36" s="92"/>
      <c r="D36" s="92"/>
      <c r="E36" s="125"/>
      <c r="F36" s="196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0.09</v>
      </c>
      <c r="L36" s="80">
        <v>0.91</v>
      </c>
      <c r="M36" s="80">
        <v>0.09</v>
      </c>
      <c r="N36" s="80">
        <v>0.91</v>
      </c>
      <c r="O36" s="80">
        <v>0.09</v>
      </c>
      <c r="P36" s="70">
        <v>0.91</v>
      </c>
      <c r="Q36" s="80">
        <v>0</v>
      </c>
      <c r="R36" s="71">
        <v>1</v>
      </c>
      <c r="S36"/>
      <c r="T36"/>
    </row>
    <row r="37" spans="1:20" ht="15" customHeight="1" x14ac:dyDescent="0.15">
      <c r="A37" s="128"/>
      <c r="B37" s="92"/>
      <c r="C37" s="92"/>
      <c r="D37" s="92"/>
      <c r="E37" s="125"/>
      <c r="F37" s="196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0.09</v>
      </c>
      <c r="L37" s="80">
        <v>0.91</v>
      </c>
      <c r="M37" s="80">
        <v>0.09</v>
      </c>
      <c r="N37" s="80">
        <v>0.91</v>
      </c>
      <c r="O37" s="80">
        <v>0.09</v>
      </c>
      <c r="P37" s="70">
        <v>0.91</v>
      </c>
      <c r="Q37" s="80">
        <v>0</v>
      </c>
      <c r="R37" s="71">
        <v>1</v>
      </c>
      <c r="S37"/>
      <c r="T37"/>
    </row>
    <row r="38" spans="1:20" ht="15" customHeight="1" x14ac:dyDescent="0.15">
      <c r="A38" s="129"/>
      <c r="B38" s="92"/>
      <c r="C38" s="92"/>
      <c r="D38" s="92"/>
      <c r="E38" s="125"/>
      <c r="F38" s="196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0.01</v>
      </c>
      <c r="L38" s="80">
        <v>0.99</v>
      </c>
      <c r="M38" s="80">
        <v>0.01</v>
      </c>
      <c r="N38" s="80">
        <v>0.99</v>
      </c>
      <c r="O38" s="80">
        <v>0.01</v>
      </c>
      <c r="P38" s="70">
        <v>0.99</v>
      </c>
      <c r="Q38" s="80">
        <v>0</v>
      </c>
      <c r="R38" s="71">
        <v>1</v>
      </c>
      <c r="S38"/>
      <c r="T38"/>
    </row>
    <row r="39" spans="1:20" ht="15" customHeight="1" x14ac:dyDescent="0.15">
      <c r="A39" s="129"/>
      <c r="B39" s="92"/>
      <c r="C39" s="92"/>
      <c r="D39" s="92"/>
      <c r="E39" s="125"/>
      <c r="F39" s="196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0.8</v>
      </c>
      <c r="L39" s="80">
        <v>0.19999999999999996</v>
      </c>
      <c r="M39" s="80">
        <v>0.8</v>
      </c>
      <c r="N39" s="80">
        <v>0.19999999999999996</v>
      </c>
      <c r="O39" s="80">
        <v>0.8</v>
      </c>
      <c r="P39" s="70">
        <v>0.19999999999999996</v>
      </c>
      <c r="Q39" s="80">
        <v>0</v>
      </c>
      <c r="R39" s="71">
        <v>1</v>
      </c>
      <c r="S39"/>
      <c r="T39"/>
    </row>
    <row r="40" spans="1:20" ht="15" customHeight="1" x14ac:dyDescent="0.15">
      <c r="A40" s="129"/>
      <c r="B40" s="92"/>
      <c r="C40" s="92"/>
      <c r="D40" s="92"/>
      <c r="E40" s="125"/>
      <c r="F40" s="196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0.8</v>
      </c>
      <c r="L40" s="80">
        <v>0.19999999999999996</v>
      </c>
      <c r="M40" s="80">
        <v>0.8</v>
      </c>
      <c r="N40" s="80">
        <v>0.19999999999999996</v>
      </c>
      <c r="O40" s="80">
        <v>0.8</v>
      </c>
      <c r="P40" s="70">
        <v>0.19999999999999996</v>
      </c>
      <c r="Q40" s="80">
        <v>0</v>
      </c>
      <c r="R40" s="71">
        <v>1</v>
      </c>
      <c r="S40"/>
      <c r="T40"/>
    </row>
    <row r="41" spans="1:20" ht="15" customHeight="1" thickBot="1" x14ac:dyDescent="0.2">
      <c r="A41" s="129"/>
      <c r="B41" s="92"/>
      <c r="C41" s="92"/>
      <c r="D41" s="93"/>
      <c r="E41" s="130"/>
      <c r="F41" s="196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0.01</v>
      </c>
      <c r="L41" s="80">
        <v>0.99</v>
      </c>
      <c r="M41" s="80">
        <v>0.01</v>
      </c>
      <c r="N41" s="80">
        <v>0.99</v>
      </c>
      <c r="O41" s="80">
        <v>0.01</v>
      </c>
      <c r="P41" s="70">
        <v>0.99</v>
      </c>
      <c r="Q41" s="80">
        <v>0</v>
      </c>
      <c r="R41" s="71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1100.0371428579999</v>
      </c>
      <c r="E42" s="133">
        <f>SUM(E32:E41)</f>
        <v>1</v>
      </c>
      <c r="F42" s="196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0.8</v>
      </c>
      <c r="N42" s="80">
        <v>0.19999999999999996</v>
      </c>
      <c r="O42" s="80">
        <v>0</v>
      </c>
      <c r="P42" s="70">
        <v>0</v>
      </c>
      <c r="Q42" s="80">
        <v>0</v>
      </c>
      <c r="R42" s="71">
        <v>1</v>
      </c>
      <c r="S42"/>
      <c r="T42"/>
    </row>
    <row r="43" spans="1:20" ht="15" customHeight="1" x14ac:dyDescent="0.15">
      <c r="A43" s="80"/>
      <c r="F43" s="196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0.09</v>
      </c>
      <c r="N43" s="80">
        <v>0.91</v>
      </c>
      <c r="O43" s="80">
        <v>0</v>
      </c>
      <c r="P43" s="70">
        <v>0</v>
      </c>
      <c r="Q43" s="80">
        <v>0</v>
      </c>
      <c r="R43" s="71">
        <v>1</v>
      </c>
      <c r="S43"/>
      <c r="T43"/>
    </row>
    <row r="44" spans="1:20" ht="15" customHeight="1" x14ac:dyDescent="0.15">
      <c r="A44" s="80"/>
      <c r="F44" s="196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0.2</v>
      </c>
      <c r="L44" s="80">
        <v>0.8</v>
      </c>
      <c r="M44" s="80">
        <v>0.2</v>
      </c>
      <c r="N44" s="80">
        <v>0.8</v>
      </c>
      <c r="O44" s="80">
        <v>0.2</v>
      </c>
      <c r="P44" s="70">
        <v>0.8</v>
      </c>
      <c r="Q44" s="80">
        <v>0</v>
      </c>
      <c r="R44" s="71">
        <v>1</v>
      </c>
    </row>
    <row r="45" spans="1:20" ht="15" customHeight="1" x14ac:dyDescent="0.15">
      <c r="A45" s="80"/>
      <c r="F45" s="196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1</v>
      </c>
      <c r="O45" s="80">
        <v>0</v>
      </c>
      <c r="P45" s="70">
        <v>1</v>
      </c>
      <c r="Q45" s="80">
        <v>0</v>
      </c>
      <c r="R45" s="71">
        <v>1</v>
      </c>
    </row>
    <row r="46" spans="1:20" ht="15" customHeight="1" x14ac:dyDescent="0.15">
      <c r="A46" s="80"/>
      <c r="F46" s="196" t="s">
        <v>232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1</v>
      </c>
      <c r="M46" s="80">
        <v>0</v>
      </c>
      <c r="N46" s="80">
        <v>1</v>
      </c>
      <c r="O46" s="80">
        <v>0</v>
      </c>
      <c r="P46" s="70">
        <v>1</v>
      </c>
      <c r="Q46" s="80">
        <v>0</v>
      </c>
      <c r="R46" s="71">
        <v>1</v>
      </c>
    </row>
    <row r="47" spans="1:20" ht="15" customHeight="1" x14ac:dyDescent="0.15">
      <c r="A47" s="80"/>
      <c r="F47" s="196" t="s">
        <v>233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1</v>
      </c>
      <c r="M47" s="80">
        <v>0</v>
      </c>
      <c r="N47" s="80">
        <v>0</v>
      </c>
      <c r="O47" s="80">
        <v>0</v>
      </c>
      <c r="P47" s="70">
        <v>0</v>
      </c>
      <c r="Q47" s="80">
        <v>0</v>
      </c>
      <c r="R47" s="71">
        <v>1</v>
      </c>
    </row>
    <row r="48" spans="1:20" ht="15" customHeight="1" x14ac:dyDescent="0.15">
      <c r="A48" s="80"/>
      <c r="F48" s="196" t="s">
        <v>234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1</v>
      </c>
      <c r="M48" s="80">
        <v>0</v>
      </c>
      <c r="N48" s="80">
        <v>0</v>
      </c>
      <c r="O48" s="80">
        <v>0</v>
      </c>
      <c r="P48" s="70">
        <v>0</v>
      </c>
      <c r="Q48" s="80">
        <v>0</v>
      </c>
      <c r="R48" s="71">
        <v>1</v>
      </c>
    </row>
    <row r="49" spans="6:18" s="80" customFormat="1" ht="15" customHeight="1" x14ac:dyDescent="0.15">
      <c r="F49" s="196" t="s">
        <v>235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1</v>
      </c>
      <c r="M49" s="80">
        <v>0</v>
      </c>
      <c r="N49" s="80">
        <v>0</v>
      </c>
      <c r="O49" s="80">
        <v>0</v>
      </c>
      <c r="P49" s="70">
        <v>0</v>
      </c>
      <c r="Q49" s="80">
        <v>0</v>
      </c>
      <c r="R49" s="71">
        <v>1</v>
      </c>
    </row>
    <row r="50" spans="6:18" s="80" customFormat="1" ht="15" customHeight="1" x14ac:dyDescent="0.15">
      <c r="F50" s="196" t="s">
        <v>236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1</v>
      </c>
      <c r="M50" s="80">
        <v>0</v>
      </c>
      <c r="N50" s="80">
        <v>0</v>
      </c>
      <c r="O50" s="80">
        <v>0</v>
      </c>
      <c r="P50" s="70">
        <v>0</v>
      </c>
      <c r="Q50" s="80">
        <v>0</v>
      </c>
      <c r="R50" s="71">
        <v>1</v>
      </c>
    </row>
    <row r="51" spans="6:18" s="80" customFormat="1" ht="15" customHeight="1" x14ac:dyDescent="0.15">
      <c r="F51" s="196" t="s">
        <v>237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1</v>
      </c>
      <c r="M51" s="80">
        <v>0</v>
      </c>
      <c r="N51" s="80">
        <v>0</v>
      </c>
      <c r="O51" s="80">
        <v>0</v>
      </c>
      <c r="P51" s="70">
        <v>0</v>
      </c>
      <c r="Q51" s="80">
        <v>0</v>
      </c>
      <c r="R51" s="71">
        <v>1</v>
      </c>
    </row>
    <row r="52" spans="6:18" s="80" customFormat="1" ht="15" customHeight="1" x14ac:dyDescent="0.15">
      <c r="F52" s="196" t="s">
        <v>238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1</v>
      </c>
      <c r="M52" s="80">
        <v>0</v>
      </c>
      <c r="N52" s="80">
        <v>0</v>
      </c>
      <c r="O52" s="80">
        <v>0</v>
      </c>
      <c r="P52" s="70">
        <v>0</v>
      </c>
      <c r="Q52" s="80">
        <v>0</v>
      </c>
      <c r="R52" s="71">
        <v>1</v>
      </c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2" bestFit="1" customWidth="1"/>
    <col min="2" max="2" width="2.33203125" style="109" customWidth="1"/>
    <col min="3" max="5" width="7.83203125" style="109" customWidth="1"/>
    <col min="6" max="8" width="8.83203125" style="6"/>
    <col min="9" max="9" width="14.1640625" style="6" customWidth="1"/>
    <col min="10" max="10" width="7.1640625" style="6" customWidth="1"/>
    <col min="11" max="11" width="5.5" style="6" customWidth="1"/>
    <col min="12" max="12" width="6" style="6" customWidth="1"/>
    <col min="13" max="13" width="11.1640625" style="6" customWidth="1"/>
    <col min="14" max="14" width="13" style="6" customWidth="1"/>
    <col min="15" max="15" width="6.33203125" style="6" customWidth="1"/>
    <col min="16" max="16" width="16.33203125" style="6" customWidth="1"/>
    <col min="17" max="17" width="18.1640625" style="6" customWidth="1"/>
    <col min="18" max="18" width="13.33203125" style="6" customWidth="1"/>
    <col min="19" max="19" width="22.5" style="6" customWidth="1"/>
    <col min="20" max="20" width="18.6640625" style="6" customWidth="1"/>
    <col min="21" max="21" width="15.5" style="6" customWidth="1"/>
    <col min="22" max="22" width="9.5" style="6" customWidth="1"/>
    <col min="23" max="23" width="17" style="6" customWidth="1"/>
    <col min="24" max="24" width="19.5" style="6" customWidth="1"/>
    <col min="25" max="25" width="13" style="6" customWidth="1"/>
    <col min="26" max="26" width="9.5" style="6" customWidth="1"/>
    <col min="27" max="27" width="15.83203125" style="6" customWidth="1"/>
    <col min="28" max="28" width="6" style="6" customWidth="1"/>
    <col min="29" max="29" width="32" style="6" customWidth="1"/>
    <col min="30" max="30" width="14.1640625" style="6" customWidth="1"/>
    <col min="31" max="31" width="22.1640625" style="6" customWidth="1"/>
    <col min="32" max="32" width="15.5" style="6" customWidth="1"/>
    <col min="33" max="33" width="16.83203125" style="6" customWidth="1"/>
    <col min="34" max="35" width="18.1640625" style="6" customWidth="1"/>
    <col min="36" max="36" width="21.5" style="6" customWidth="1"/>
    <col min="37" max="37" width="19.5" style="6" customWidth="1"/>
    <col min="38" max="38" width="16.5" style="6" customWidth="1"/>
    <col min="39" max="39" width="20.5" customWidth="1"/>
    <col min="40" max="40" width="18.1640625" customWidth="1"/>
    <col min="41" max="41" width="9.6640625" customWidth="1"/>
    <col min="42" max="42" width="21.5" customWidth="1"/>
    <col min="43" max="43" width="24.33203125" customWidth="1"/>
    <col min="44" max="44" width="21.83203125" customWidth="1"/>
    <col min="45" max="45" width="13.1640625" customWidth="1"/>
    <col min="46" max="46" width="18.5" customWidth="1"/>
    <col min="47" max="47" width="14.6640625" customWidth="1"/>
    <col min="48" max="48" width="19.5" customWidth="1"/>
    <col min="49" max="49" width="14.33203125" customWidth="1"/>
    <col min="50" max="50" width="8.1640625" customWidth="1"/>
    <col min="51" max="51" width="12.1640625" customWidth="1"/>
    <col min="52" max="52" width="11.5" customWidth="1"/>
    <col min="53" max="53" width="16.1640625" customWidth="1"/>
    <col min="54" max="54" width="18.1640625" customWidth="1"/>
    <col min="55" max="55" width="14.1640625" customWidth="1"/>
    <col min="81" max="81" width="22.1640625" bestFit="1" customWidth="1"/>
  </cols>
  <sheetData>
    <row r="1" spans="1:55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201" t="s">
        <v>192</v>
      </c>
      <c r="J1" s="201" t="s">
        <v>193</v>
      </c>
      <c r="K1" s="201" t="s">
        <v>194</v>
      </c>
      <c r="L1" s="201" t="s">
        <v>195</v>
      </c>
      <c r="M1" s="201" t="s">
        <v>196</v>
      </c>
      <c r="N1" s="201" t="s">
        <v>197</v>
      </c>
      <c r="O1" s="201" t="s">
        <v>198</v>
      </c>
      <c r="P1" s="201" t="s">
        <v>199</v>
      </c>
      <c r="Q1" s="201" t="s">
        <v>200</v>
      </c>
      <c r="R1" s="201" t="s">
        <v>201</v>
      </c>
      <c r="S1" s="201" t="s">
        <v>202</v>
      </c>
      <c r="T1" s="201" t="s">
        <v>203</v>
      </c>
      <c r="U1" s="201" t="s">
        <v>204</v>
      </c>
      <c r="V1" s="201" t="s">
        <v>205</v>
      </c>
      <c r="W1" s="201" t="s">
        <v>206</v>
      </c>
      <c r="X1" s="201" t="s">
        <v>207</v>
      </c>
      <c r="Y1" s="201" t="s">
        <v>208</v>
      </c>
      <c r="Z1" s="201" t="s">
        <v>209</v>
      </c>
      <c r="AA1" s="201" t="s">
        <v>210</v>
      </c>
      <c r="AB1" s="201" t="s">
        <v>211</v>
      </c>
      <c r="AC1" s="201" t="s">
        <v>212</v>
      </c>
      <c r="AD1" s="201" t="s">
        <v>213</v>
      </c>
      <c r="AE1" s="201" t="s">
        <v>214</v>
      </c>
      <c r="AF1" s="201" t="s">
        <v>215</v>
      </c>
      <c r="AG1" s="201" t="s">
        <v>216</v>
      </c>
      <c r="AH1" s="201" t="s">
        <v>217</v>
      </c>
      <c r="AI1" s="201" t="s">
        <v>218</v>
      </c>
      <c r="AJ1" s="201" t="s">
        <v>219</v>
      </c>
      <c r="AK1" s="201" t="s">
        <v>220</v>
      </c>
      <c r="AL1" s="201" t="s">
        <v>221</v>
      </c>
      <c r="AM1" s="201" t="s">
        <v>222</v>
      </c>
      <c r="AN1" s="201" t="s">
        <v>223</v>
      </c>
      <c r="AO1" s="201" t="s">
        <v>224</v>
      </c>
      <c r="AP1" s="201" t="s">
        <v>225</v>
      </c>
      <c r="AQ1" s="201" t="s">
        <v>226</v>
      </c>
      <c r="AR1" s="201" t="s">
        <v>227</v>
      </c>
      <c r="AS1" s="201" t="s">
        <v>228</v>
      </c>
      <c r="AT1" s="201" t="s">
        <v>229</v>
      </c>
      <c r="AU1" s="201" t="s">
        <v>230</v>
      </c>
      <c r="AV1" s="201" t="s">
        <v>231</v>
      </c>
      <c r="AW1" s="201" t="s">
        <v>232</v>
      </c>
      <c r="AX1" s="201" t="s">
        <v>233</v>
      </c>
      <c r="AY1" s="201" t="s">
        <v>234</v>
      </c>
      <c r="AZ1" s="201" t="s">
        <v>235</v>
      </c>
      <c r="BA1" s="201" t="s">
        <v>236</v>
      </c>
      <c r="BB1" s="201" t="s">
        <v>237</v>
      </c>
      <c r="BC1" s="201" t="s">
        <v>238</v>
      </c>
    </row>
    <row r="2" spans="1:55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5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5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5" x14ac:dyDescent="0.15">
      <c r="A5" s="200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5" x14ac:dyDescent="0.15">
      <c r="A6" s="200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5" x14ac:dyDescent="0.15">
      <c r="A7" s="200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5" x14ac:dyDescent="0.15">
      <c r="A8" s="200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5" x14ac:dyDescent="0.15">
      <c r="A9" s="200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5" x14ac:dyDescent="0.15">
      <c r="A10" s="200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5" x14ac:dyDescent="0.15">
      <c r="A11" s="200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5" x14ac:dyDescent="0.15">
      <c r="A12" s="200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5" x14ac:dyDescent="0.15">
      <c r="A13" s="200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5" x14ac:dyDescent="0.15">
      <c r="A14" s="200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5" x14ac:dyDescent="0.15">
      <c r="A15" s="200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5" x14ac:dyDescent="0.15">
      <c r="A16" s="200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223</v>
      </c>
      <c r="B36" s="109">
        <v>0</v>
      </c>
      <c r="C36"/>
      <c r="D36"/>
    </row>
    <row r="37" spans="1:38" ht="15" customHeight="1" x14ac:dyDescent="0.15">
      <c r="A37" s="200" t="s">
        <v>224</v>
      </c>
      <c r="B37" s="109">
        <v>0</v>
      </c>
      <c r="C37"/>
      <c r="D37"/>
    </row>
    <row r="38" spans="1:38" ht="15" customHeight="1" x14ac:dyDescent="0.15">
      <c r="A38" s="200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0" t="s">
        <v>226</v>
      </c>
      <c r="B39" s="109">
        <v>0</v>
      </c>
      <c r="C39"/>
      <c r="D39"/>
    </row>
    <row r="40" spans="1:38" ht="15" customHeight="1" x14ac:dyDescent="0.15">
      <c r="A40" s="200" t="s">
        <v>227</v>
      </c>
      <c r="B40" s="109">
        <v>0</v>
      </c>
      <c r="C40"/>
      <c r="D40"/>
    </row>
    <row r="41" spans="1:38" ht="15" customHeight="1" x14ac:dyDescent="0.15">
      <c r="A41" s="200" t="s">
        <v>228</v>
      </c>
      <c r="B41" s="109">
        <v>0</v>
      </c>
      <c r="C41"/>
      <c r="D41"/>
    </row>
    <row r="42" spans="1:38" ht="15" customHeight="1" x14ac:dyDescent="0.15">
      <c r="A42" s="200" t="s">
        <v>229</v>
      </c>
      <c r="B42" s="109">
        <v>0</v>
      </c>
    </row>
    <row r="43" spans="1:38" ht="15" customHeight="1" x14ac:dyDescent="0.15">
      <c r="A43" s="200" t="s">
        <v>230</v>
      </c>
      <c r="B43" s="109">
        <v>0</v>
      </c>
    </row>
    <row r="44" spans="1:38" ht="15" customHeight="1" x14ac:dyDescent="0.15">
      <c r="A44" s="200" t="s">
        <v>231</v>
      </c>
      <c r="B44" s="109">
        <v>0</v>
      </c>
    </row>
    <row r="45" spans="1:38" ht="15" customHeight="1" x14ac:dyDescent="0.15">
      <c r="A45" s="200" t="s">
        <v>232</v>
      </c>
      <c r="B45" s="109">
        <v>0</v>
      </c>
    </row>
    <row r="46" spans="1:38" ht="15" customHeight="1" x14ac:dyDescent="0.15">
      <c r="A46" s="200" t="s">
        <v>233</v>
      </c>
      <c r="B46" s="109">
        <v>0</v>
      </c>
    </row>
    <row r="47" spans="1:38" ht="15" customHeight="1" x14ac:dyDescent="0.15">
      <c r="A47" s="200" t="s">
        <v>234</v>
      </c>
      <c r="B47" s="109">
        <v>0</v>
      </c>
    </row>
    <row r="48" spans="1:38" ht="15" customHeight="1" x14ac:dyDescent="0.15">
      <c r="A48" s="200" t="s">
        <v>235</v>
      </c>
      <c r="B48" s="109">
        <v>0</v>
      </c>
    </row>
    <row r="49" spans="1:38" ht="15" customHeight="1" x14ac:dyDescent="0.15">
      <c r="A49" s="200" t="s">
        <v>236</v>
      </c>
      <c r="B49" s="109">
        <v>0</v>
      </c>
    </row>
    <row r="50" spans="1:38" ht="15" customHeight="1" x14ac:dyDescent="0.15">
      <c r="A50" s="200" t="s">
        <v>237</v>
      </c>
      <c r="B50" s="109">
        <v>0</v>
      </c>
    </row>
    <row r="51" spans="1:38" ht="15" customHeight="1" x14ac:dyDescent="0.15">
      <c r="A51" s="200" t="s">
        <v>238</v>
      </c>
      <c r="B51" s="109">
        <v>0</v>
      </c>
    </row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2022-10-24T04:11:05Z</dcterms:modified>
</cp:coreProperties>
</file>