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Atlantic/Atlantic_ECOTRAN_K-path_versions/"/>
    </mc:Choice>
  </mc:AlternateContent>
  <xr:revisionPtr revIDLastSave="0" documentId="13_ncr:1_{2A0A9629-7391-8244-BACE-551C7F5AF460}" xr6:coauthVersionLast="45" xr6:coauthVersionMax="45" xr10:uidLastSave="{00000000-0000-0000-0000-000000000000}"/>
  <bookViews>
    <workbookView xWindow="0" yWindow="460" windowWidth="25600" windowHeight="14240" tabRatio="728" firstSheet="1" activeTab="3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Main!$C$2:$N$39</definedName>
    <definedName name="matDetritus">Detritus!$C$2:$E$39</definedName>
    <definedName name="matDiet">Diets!$B$2:$AI$38</definedName>
    <definedName name="matDiscards">Discards!$C$2:$D$37</definedName>
    <definedName name="matFishery">Fishing!$C$2:$D$37</definedName>
    <definedName name="matFishing">Fishing!#REF!</definedName>
    <definedName name="matMort">Mortalities!$A$1:$AO$37</definedName>
    <definedName name="matOut">MainOutputs!$A$2:$I$39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<sst xmlns="http://schemas.openxmlformats.org/spreadsheetml/2006/main" count="1071" uniqueCount="235">
  <si>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</si>
  <si>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</si>
  <si>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</si>
  <si>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</si>
  <si>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</si>
  <si>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</si>
  <si>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</si>
  <si>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</si>
  <si>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</si>
  <si>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</si>
  <si>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</si>
  <si>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</si>
  <si>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</si>
  <si>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</si>
  <si>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</si>
  <si>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</si>
  <si>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</si>
  <si>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</si>
  <si>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</si>
  <si>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</si>
  <si>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</si>
  <si>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</si>
  <si>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</si>
  <si>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</si>
  <si>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</si>
  <si>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</si>
  <si>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</si>
  <si>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</si>
  <si>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</si>
  <si>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</si>
  <si>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</si>
  <si>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</si>
  <si>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</si>
  <si>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</si>
  <si>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</si>
  <si>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</si>
  <si>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</si>
  <si>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</si>
  <si>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</si>
  <si>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</si>
  <si>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</si>
  <si>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</si>
  <si>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</si>
  <si>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</si>
  <si>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</si>
  <si>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</si>
  <si>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</si>
  <si>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</si>
  <si>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</si>
  <si>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</si>
  <si>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</si>
  <si>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</si>
  <si>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</si>
  <si>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</si>
  <si>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</si>
  <si>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</si>
  <si>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</si>
  <si>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</si>
  <si>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</si>
  <si>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</si>
  <si>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</si>
  <si>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</si>
  <si>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</si>
  <si>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</si>
  <si>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</si>
  <si>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</si>
  <si>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</si>
  <si>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</si>
  <si>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</si>
  <si>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</si>
  <si>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</si>
  <si>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</si>
  <si>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</si>
  <si>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</si>
  <si>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</si>
  <si>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</si>
  <si>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</si>
  <si>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</si>
  <si>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</si>
  <si>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</si>
  <si>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</si>
  <si>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</si>
  <si>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</si>
  <si>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</si>
  <si>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</si>
  <si>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</si>
  <si>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</si>
  <si>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</si>
  <si>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</si>
  <si>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</si>
  <si>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</si>
  <si>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</si>
  <si>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</si>
  <si>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</si>
  <si>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</si>
  <si>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</si>
  <si>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</si>
  <si>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</si>
  <si>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</si>
  <si>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</si>
  <si>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</si>
  <si>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</si>
  <si>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</si>
  <si>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</si>
  <si>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</si>
  <si>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</si>
  <si>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</si>
  <si>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</si>
  <si>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</si>
  <si>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</si>
  <si>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</si>
  <si>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</si>
  <si>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</si>
  <si>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</si>
  <si>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</si>
  <si>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</si>
  <si>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</si>
  <si>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</si>
  <si>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</si>
  <si>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</si>
  <si>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</si>
  <si>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</si>
  <si>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</si>
  <si>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</si>
  <si>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</si>
  <si>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</si>
  <si>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</si>
  <si>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</si>
  <si>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</si>
  <si>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</si>
  <si>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</si>
  <si>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</si>
  <si>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</si>
  <si>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</si>
  <si>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</si>
  <si>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</si>
  <si>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</si>
  <si>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</si>
  <si>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</si>
  <si>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</si>
  <si>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</si>
  <si>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</si>
  <si>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</si>
  <si>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</si>
  <si>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</si>
  <si>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</si>
  <si>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</si>
  <si>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</si>
  <si>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</si>
  <si>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</si>
  <si>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</si>
  <si>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</si>
  <si>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</si>
  <si>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</si>
  <si>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</si>
  <si>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</si>
  <si>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</si>
  <si>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</si>
  <si>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</si>
  <si>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</si>
  <si>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</si>
  <si>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</si>
  <si>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</si>
  <si>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</si>
  <si>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</si>
  <si>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</si>
  <si>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</si>
  <si>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</si>
  <si>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</si>
  <si>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</si>
  <si>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</si>
  <si>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</si>
  <si>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</si>
  <si>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</si>
  <si>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</si>
  <si>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</si>
  <si>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</si>
  <si>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</si>
  <si>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</si>
  <si>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</si>
  <si>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</si>
  <si>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</si>
  <si>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</si>
  <si>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</si>
  <si>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</si>
  <si>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Guinea</t>
  </si>
  <si>
    <t>BOX(-18.0855361298472 9.03370224084284,-12.9001713376524 11.3293069617789)</t>
  </si>
  <si>
    <t>continental shelf</t>
  </si>
  <si>
    <t>WetWeight</t>
  </si>
  <si>
    <t>Sans description</t>
  </si>
  <si>
    <t>Gascuel D.,Guénette S.,Diallo I.,Sidibé A.(2009). Impact de la pêche sur l'écosystème marin de Guinée - Modélisation EwE 1985/2005 - Fisheries Centre Research Reports</t>
  </si>
  <si>
    <t>Whales</t>
  </si>
  <si>
    <t>Dolphins</t>
  </si>
  <si>
    <t>Turtles</t>
  </si>
  <si>
    <t>Sea birds</t>
  </si>
  <si>
    <t>Rays+</t>
  </si>
  <si>
    <t>Sharks+</t>
  </si>
  <si>
    <t>Large pelagics</t>
  </si>
  <si>
    <t>Barracudas+</t>
  </si>
  <si>
    <t>Carangids</t>
  </si>
  <si>
    <t>Horse mackerels+</t>
  </si>
  <si>
    <t>Ethmalosa</t>
  </si>
  <si>
    <t>Sardinella+</t>
  </si>
  <si>
    <t>Bobo croaker</t>
  </si>
  <si>
    <t>Other croakers</t>
  </si>
  <si>
    <t>Lesser Afr. threadfin</t>
  </si>
  <si>
    <t>Giant Afr. threadfin</t>
  </si>
  <si>
    <t>Royal threadfin</t>
  </si>
  <si>
    <t>Seabream+</t>
  </si>
  <si>
    <t>Sea catfish</t>
  </si>
  <si>
    <t>Mullets+</t>
  </si>
  <si>
    <t>Grunts+</t>
  </si>
  <si>
    <t>Soles+</t>
  </si>
  <si>
    <t>L. demersal pred.eaters</t>
  </si>
  <si>
    <t>SM demersal pred.eaters</t>
  </si>
  <si>
    <t>ML demersal invert.eaters</t>
  </si>
  <si>
    <t>S. demersal invert.eaters</t>
  </si>
  <si>
    <t>Bathy-dem pred.eaters</t>
  </si>
  <si>
    <t>Bathy-dem invert.eaters</t>
  </si>
  <si>
    <t>Crustacea</t>
  </si>
  <si>
    <t>Cephalopods</t>
  </si>
  <si>
    <t>Benthos</t>
  </si>
  <si>
    <t>Large zooplankton</t>
  </si>
  <si>
    <t>Small zooplankton</t>
  </si>
  <si>
    <t>Primary producers</t>
  </si>
  <si>
    <t>Detritus</t>
  </si>
  <si>
    <t>detritus_TerminalBenthic</t>
  </si>
  <si>
    <t>Small scale fisherie</t>
  </si>
  <si>
    <t>Industrial fisherie</t>
  </si>
  <si>
    <t>Import</t>
  </si>
  <si>
    <t>export</t>
  </si>
  <si>
    <t>sum</t>
  </si>
  <si>
    <t>TOTAL</t>
  </si>
  <si>
    <t>F Small scale fisherie</t>
  </si>
  <si>
    <t>F Industrial fisherie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</si>
</sst>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46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48FF00"/>
        <bgColor indexed="64"/>
      </patternFill>
    </fill>
    <fill>
      <patternFill patternType="solid">
        <fgColor rgb="FF56FF00"/>
        <bgColor indexed="64"/>
      </patternFill>
    </fill>
    <fill>
      <patternFill patternType="solid">
        <fgColor rgb="FF3F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5DFF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3DFF00"/>
        <bgColor indexed="64"/>
      </patternFill>
    </fill>
    <fill>
      <patternFill patternType="solid">
        <fgColor rgb="FFADFF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  <fill>
      <patternFill patternType="solid">
        <fgColor rgb="FFA08A28"/>
        <bgColor indexed="64"/>
      </patternFill>
    </fill>
    <fill>
      <patternFill patternType="solid">
        <fgColor rgb="FFEFA781"/>
        <bgColor indexed="64"/>
      </patternFill>
    </fill>
    <fill>
      <patternFill patternType="solid">
        <fgColor rgb="FF641BC8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4BFF00"/>
        <bgColor indexed="64"/>
      </patternFill>
    </fill>
    <fill>
      <patternFill patternType="solid">
        <fgColor rgb="FF3C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8EFF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41FF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45FF00"/>
        <bgColor indexed="64"/>
      </patternFill>
    </fill>
    <fill>
      <patternFill patternType="solid">
        <fgColor rgb="FF51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4DFF00"/>
        <bgColor indexed="64"/>
      </patternFill>
    </fill>
    <fill>
      <patternFill patternType="solid">
        <fgColor rgb="FF66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E2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C9FF00"/>
        <bgColor indexed="64"/>
      </patternFill>
    </fill>
    <fill>
      <patternFill patternType="solid">
        <fgColor rgb="FF54FF00"/>
        <bgColor indexed="64"/>
      </patternFill>
    </fill>
    <fill>
      <patternFill patternType="solid">
        <fgColor rgb="FF77FF00"/>
        <bgColor indexed="64"/>
      </patternFill>
    </fill>
    <fill>
      <patternFill patternType="solid">
        <fgColor rgb="FF4CFF00"/>
        <bgColor indexed="64"/>
      </patternFill>
    </fill>
    <fill>
      <patternFill patternType="solid">
        <fgColor rgb="FF4EFF00"/>
        <bgColor indexed="64"/>
      </patternFill>
    </fill>
    <fill>
      <patternFill patternType="solid">
        <fgColor rgb="FF5CFF00"/>
        <bgColor indexed="64"/>
      </patternFill>
    </fill>
    <fill>
      <patternFill patternType="solid">
        <fgColor rgb="FF49FF00"/>
        <bgColor indexed="64"/>
      </patternFill>
    </fill>
    <fill>
      <patternFill patternType="solid">
        <fgColor rgb="FF68FF00"/>
        <bgColor indexed="64"/>
      </patternFill>
    </fill>
    <fill>
      <patternFill patternType="solid">
        <fgColor rgb="FF91FF00"/>
        <bgColor indexed="64"/>
      </patternFill>
    </fill>
    <fill>
      <patternFill patternType="solid">
        <fgColor rgb="FFA8FF00"/>
        <bgColor indexed="64"/>
      </patternFill>
    </fill>
    <fill>
      <patternFill patternType="solid">
        <fgColor rgb="FFBD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F2FF00"/>
        <bgColor indexed="64"/>
      </patternFill>
    </fill>
    <fill>
      <patternFill patternType="solid">
        <fgColor rgb="FF47FF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39FF00"/>
        <bgColor indexed="64"/>
      </patternFill>
    </fill>
    <fill>
      <patternFill patternType="solid">
        <fgColor rgb="FF7AFF00"/>
        <bgColor indexed="64"/>
      </patternFill>
    </fill>
    <fill>
      <patternFill patternType="solid">
        <fgColor rgb="FF5EFF00"/>
        <bgColor indexed="64"/>
      </patternFill>
    </fill>
    <fill>
      <patternFill patternType="solid">
        <fgColor rgb="FF98FF00"/>
        <bgColor indexed="64"/>
      </patternFill>
    </fill>
    <fill>
      <patternFill patternType="solid">
        <fgColor rgb="FFACFF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6BFF00"/>
        <bgColor indexed="64"/>
      </patternFill>
    </fill>
    <fill>
      <patternFill patternType="solid">
        <fgColor rgb="FFFFE300"/>
        <bgColor indexed="64"/>
      </patternFill>
    </fill>
    <fill>
      <patternFill patternType="solid">
        <fgColor rgb="FF6CFF00"/>
        <bgColor indexed="64"/>
      </patternFill>
    </fill>
    <fill>
      <patternFill patternType="solid">
        <fgColor rgb="FFB4FF00"/>
        <bgColor indexed="64"/>
      </patternFill>
    </fill>
    <fill>
      <patternFill patternType="solid">
        <fgColor rgb="FFFF3E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69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5" borderId="2" xfId="0" applyFont="1" applyFill="1" applyBorder="1" applyAlignment="1">
      <alignment horizontal="center"/>
    </xf>
    <xf numFmtId="0" fontId="1" fillId="25" borderId="4" xfId="0" applyFont="1" applyFill="1" applyBorder="1" applyAlignment="1">
      <alignment horizontal="center"/>
    </xf>
    <xf numFmtId="0" fontId="1" fillId="25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5" borderId="5" xfId="0" applyFill="1" applyBorder="1"/>
    <xf numFmtId="0" fontId="0" fillId="25" borderId="6" xfId="0" applyFill="1" applyBorder="1"/>
    <xf numFmtId="0" fontId="0" fillId="25" borderId="7" xfId="0" applyFill="1" applyBorder="1"/>
    <xf numFmtId="0" fontId="0" fillId="25" borderId="8" xfId="0" applyFill="1" applyBorder="1"/>
    <xf numFmtId="0" fontId="0" fillId="25" borderId="9" xfId="0" applyFill="1" applyBorder="1"/>
    <xf numFmtId="0" fontId="0" fillId="25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1" fillId="0" borderId="0" xfId="0" applyFont="1" applyAlignment="1">
      <alignment horizontal="center"/>
    </xf>
    <xf numFmtId="0" fontId="0" fillId="38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40" borderId="0" xfId="0" applyFill="1"/>
    <xf numFmtId="0" fontId="0" fillId="41" borderId="0" xfId="0" applyFill="1"/>
    <xf numFmtId="0" fontId="0" fillId="0" borderId="0" xfId="0" applyFont="1" applyFill="1" applyAlignment="1">
      <alignment horizontal="center"/>
    </xf>
    <xf numFmtId="0" fontId="0" fillId="42" borderId="0" xfId="0" applyFill="1"/>
    <xf numFmtId="0" fontId="0" fillId="43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9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9" borderId="3" xfId="0" applyNumberFormat="1" applyFont="1" applyFill="1" applyBorder="1"/>
    <xf numFmtId="0" fontId="0" fillId="39" borderId="2" xfId="0" applyFont="1" applyFill="1" applyBorder="1"/>
    <xf numFmtId="0" fontId="0" fillId="39" borderId="3" xfId="0" applyFont="1" applyFill="1" applyBorder="1"/>
    <xf numFmtId="0" fontId="0" fillId="39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30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9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5" borderId="2" xfId="0" applyFill="1" applyBorder="1" applyAlignment="1">
      <alignment horizontal="center"/>
    </xf>
    <xf numFmtId="0" fontId="0" fillId="25" borderId="4" xfId="0" applyFill="1" applyBorder="1" applyAlignment="1">
      <alignment horizontal="center"/>
    </xf>
    <xf numFmtId="0" fontId="0" fillId="25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8" xfId="0" applyBorder="1" applyAlignment="1">
      <alignment horizontal="right"/>
    </xf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143.16406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2" t="s">
        <v>164</v>
      </c>
    </row>
    <row r="6" spans="2:4" ht="14" thickBot="1" x14ac:dyDescent="0.2">
      <c r="B6" s="46" t="s">
        <v>141</v>
      </c>
    </row>
    <row r="7" spans="2:4" x14ac:dyDescent="0.15">
      <c r="B7" s="62" t="s">
        <v>143</v>
      </c>
    </row>
    <row r="8" spans="2:4" x14ac:dyDescent="0.15">
      <c r="B8" s="62" t="s">
        <v>142</v>
      </c>
    </row>
    <row r="9" spans="2:4" x14ac:dyDescent="0.15">
      <c r="B9" s="62" t="s">
        <v>144</v>
      </c>
    </row>
    <row r="10" spans="2:4" x14ac:dyDescent="0.15">
      <c r="B10" s="62" t="s">
        <v>147</v>
      </c>
    </row>
    <row r="11" spans="2:4" x14ac:dyDescent="0.15">
      <c r="B11" s="62" t="s">
        <v>151</v>
      </c>
    </row>
    <row r="12" spans="2:4" x14ac:dyDescent="0.15">
      <c r="B12" s="62" t="s">
        <v>153</v>
      </c>
    </row>
    <row r="13" spans="2:4" x14ac:dyDescent="0.15">
      <c r="B13" s="62" t="s">
        <v>165</v>
      </c>
    </row>
    <row r="15" spans="2:4" ht="14" thickBot="1" x14ac:dyDescent="0.2"/>
    <row r="16" spans="2:4" ht="14" thickBot="1" x14ac:dyDescent="0.2">
      <c r="B16" s="47" t="s">
        <v>137</v>
      </c>
      <c r="C16" s="48"/>
      <c r="D16" s="30">
        <v>41373</v>
      </c>
    </row>
    <row r="17" spans="2:4" x14ac:dyDescent="0.15">
      <c r="B17" s="49" t="s">
        <v>58</v>
      </c>
      <c r="C17" s="33">
        <v>0</v>
      </c>
    </row>
    <row r="18" spans="2:4" x14ac:dyDescent="0.15">
      <c r="B18" s="49" t="s">
        <v>59</v>
      </c>
      <c r="C18" s="33">
        <v>1</v>
      </c>
    </row>
    <row r="19" spans="2:4" x14ac:dyDescent="0.15">
      <c r="B19" s="49" t="s">
        <v>60</v>
      </c>
      <c r="C19" s="33">
        <v>2</v>
      </c>
    </row>
    <row r="20" spans="2:4" ht="14" thickBot="1" x14ac:dyDescent="0.2">
      <c r="B20" s="50" t="s">
        <v>44</v>
      </c>
      <c r="C20" s="34">
        <v>3</v>
      </c>
    </row>
    <row r="21" spans="2:4" x14ac:dyDescent="0.15">
      <c r="B21" s="51" t="s">
        <v>140</v>
      </c>
    </row>
    <row r="22" spans="2:4" ht="14" thickBot="1" x14ac:dyDescent="0.2"/>
    <row r="23" spans="2:4" ht="14" thickBot="1" x14ac:dyDescent="0.2">
      <c r="B23" s="47" t="s">
        <v>65</v>
      </c>
      <c r="C23" s="48"/>
      <c r="D23" s="30" t="s">
        <v>148</v>
      </c>
    </row>
    <row r="24" spans="2:4" x14ac:dyDescent="0.15">
      <c r="B24" s="53" t="s">
        <v>38</v>
      </c>
      <c r="C24" s="31">
        <v>1</v>
      </c>
    </row>
    <row r="25" spans="2:4" x14ac:dyDescent="0.15">
      <c r="B25" s="49" t="s">
        <v>40</v>
      </c>
      <c r="C25" s="33">
        <v>1.1000000000000001</v>
      </c>
    </row>
    <row r="26" spans="2:4" x14ac:dyDescent="0.15">
      <c r="B26" s="49" t="s">
        <v>41</v>
      </c>
      <c r="C26" s="33">
        <v>1.2</v>
      </c>
    </row>
    <row r="27" spans="2:4" x14ac:dyDescent="0.15">
      <c r="B27" s="49"/>
      <c r="C27" s="33"/>
    </row>
    <row r="28" spans="2:4" x14ac:dyDescent="0.15">
      <c r="B28" s="49" t="s">
        <v>42</v>
      </c>
      <c r="C28" s="33">
        <v>2.1</v>
      </c>
    </row>
    <row r="29" spans="2:4" x14ac:dyDescent="0.15">
      <c r="B29" s="49" t="s">
        <v>43</v>
      </c>
      <c r="C29" s="33">
        <v>2.2000000000000002</v>
      </c>
    </row>
    <row r="30" spans="2:4" x14ac:dyDescent="0.15">
      <c r="B30" s="49" t="s">
        <v>67</v>
      </c>
      <c r="C30" s="33">
        <v>2.2999999999999998</v>
      </c>
    </row>
    <row r="31" spans="2:4" x14ac:dyDescent="0.15">
      <c r="B31" s="49"/>
      <c r="C31" s="33"/>
    </row>
    <row r="32" spans="2:4" x14ac:dyDescent="0.15">
      <c r="B32" s="49" t="s">
        <v>62</v>
      </c>
      <c r="C32" s="33">
        <v>3.11</v>
      </c>
    </row>
    <row r="33" spans="2:3" x14ac:dyDescent="0.15">
      <c r="B33" s="49" t="s">
        <v>61</v>
      </c>
      <c r="C33" s="33">
        <v>3.12</v>
      </c>
    </row>
    <row r="34" spans="2:3" x14ac:dyDescent="0.15">
      <c r="B34" s="49" t="s">
        <v>68</v>
      </c>
      <c r="C34" s="33">
        <v>3.13</v>
      </c>
    </row>
    <row r="35" spans="2:3" x14ac:dyDescent="0.15">
      <c r="B35" s="49"/>
      <c r="C35" s="33"/>
    </row>
    <row r="36" spans="2:3" x14ac:dyDescent="0.15">
      <c r="B36" s="49" t="s">
        <v>66</v>
      </c>
      <c r="C36" s="33">
        <v>3.21</v>
      </c>
    </row>
    <row r="37" spans="2:3" x14ac:dyDescent="0.15">
      <c r="B37" s="49" t="s">
        <v>63</v>
      </c>
      <c r="C37" s="33">
        <v>3.22</v>
      </c>
    </row>
    <row r="38" spans="2:3" x14ac:dyDescent="0.15">
      <c r="B38" s="49" t="s">
        <v>69</v>
      </c>
      <c r="C38" s="33">
        <v>3.23</v>
      </c>
    </row>
    <row r="39" spans="2:3" x14ac:dyDescent="0.15">
      <c r="B39" s="49"/>
      <c r="C39" s="33"/>
    </row>
    <row r="40" spans="2:3" x14ac:dyDescent="0.15">
      <c r="B40" s="49" t="s">
        <v>64</v>
      </c>
      <c r="C40" s="33">
        <v>8</v>
      </c>
    </row>
    <row r="41" spans="2:3" x14ac:dyDescent="0.15">
      <c r="B41" s="49"/>
      <c r="C41" s="33"/>
    </row>
    <row r="42" spans="2:3" x14ac:dyDescent="0.15">
      <c r="B42" s="49" t="s">
        <v>71</v>
      </c>
      <c r="C42" s="33">
        <v>4.0999999999999996</v>
      </c>
    </row>
    <row r="43" spans="2:3" x14ac:dyDescent="0.15">
      <c r="B43" s="49" t="s">
        <v>70</v>
      </c>
      <c r="C43" s="33">
        <v>4.2</v>
      </c>
    </row>
    <row r="44" spans="2:3" x14ac:dyDescent="0.15">
      <c r="B44" s="49" t="s">
        <v>72</v>
      </c>
      <c r="C44" s="33">
        <v>4.3</v>
      </c>
    </row>
    <row r="45" spans="2:3" x14ac:dyDescent="0.15">
      <c r="B45" s="32"/>
      <c r="C45" s="33"/>
    </row>
    <row r="46" spans="2:3" x14ac:dyDescent="0.15">
      <c r="B46" s="49" t="s">
        <v>138</v>
      </c>
      <c r="C46" s="33">
        <v>6.1</v>
      </c>
    </row>
    <row r="47" spans="2:3" x14ac:dyDescent="0.15">
      <c r="B47" s="49" t="s">
        <v>45</v>
      </c>
      <c r="C47" s="33">
        <v>6.2</v>
      </c>
    </row>
    <row r="48" spans="2:3" x14ac:dyDescent="0.15">
      <c r="B48" s="49"/>
      <c r="C48" s="33"/>
    </row>
    <row r="49" spans="2:4" x14ac:dyDescent="0.15">
      <c r="B49" s="49" t="s">
        <v>44</v>
      </c>
      <c r="C49" s="33">
        <v>5</v>
      </c>
    </row>
    <row r="50" spans="2:4" x14ac:dyDescent="0.15">
      <c r="B50" s="49"/>
      <c r="C50" s="33"/>
    </row>
    <row r="51" spans="2:4" ht="14" thickBot="1" x14ac:dyDescent="0.2">
      <c r="B51" s="50" t="s">
        <v>73</v>
      </c>
      <c r="C51" s="34">
        <v>7</v>
      </c>
    </row>
    <row r="53" spans="2:4" x14ac:dyDescent="0.15">
      <c r="B53" s="179" t="s">
        <v>171</v>
      </c>
      <c r="C53" s="111">
        <v>726</v>
      </c>
      <c r="D53" s="111"/>
    </row>
    <row r="54" spans="2:4" x14ac:dyDescent="0.15">
      <c r="B54" s="179" t="s">
        <v>172</v>
      </c>
      <c r="C54" s="179" t="s">
        <v>185</v>
      </c>
      <c r="D54" s="111"/>
    </row>
    <row r="55" spans="2:4" x14ac:dyDescent="0.15">
      <c r="B55" s="179" t="s">
        <v>173</v>
      </c>
      <c r="C55" s="179" t="s">
        <v>185</v>
      </c>
      <c r="D55" s="111"/>
    </row>
    <row r="56" spans="2:4" x14ac:dyDescent="0.15">
      <c r="B56" s="179" t="s">
        <v>174</v>
      </c>
      <c r="C56" s="111">
        <v>42969</v>
      </c>
      <c r="D56" s="111"/>
    </row>
    <row r="57" spans="2:4" x14ac:dyDescent="0.15">
      <c r="B57" s="179" t="s">
        <v>175</v>
      </c>
      <c r="C57" s="179" t="s">
        <v>186</v>
      </c>
      <c r="D57" s="111"/>
    </row>
    <row r="58" spans="2:4" x14ac:dyDescent="0.15">
      <c r="B58" s="179" t="s">
        <v>176</v>
      </c>
      <c r="C58" s="179" t="s">
        <v>187</v>
      </c>
      <c r="D58" s="111"/>
    </row>
    <row r="59" spans="2:4" x14ac:dyDescent="0.15">
      <c r="B59" s="179" t="s">
        <v>177</v>
      </c>
      <c r="C59" s="179" t="s">
        <v>188</v>
      </c>
      <c r="D59" s="111"/>
    </row>
    <row r="60" spans="2:4" x14ac:dyDescent="0.15">
      <c r="B60" s="179" t="s">
        <v>178</v>
      </c>
      <c r="C60" s="179" t="s">
        <v>189</v>
      </c>
      <c r="D60" s="111"/>
    </row>
    <row r="61" spans="2:4" x14ac:dyDescent="0.15">
      <c r="B61" s="179" t="s">
        <v>179</v>
      </c>
      <c r="C61" s="111">
        <v>35</v>
      </c>
      <c r="D61" s="111"/>
    </row>
    <row r="62" spans="2:4" x14ac:dyDescent="0.15">
      <c r="B62" s="179" t="s">
        <v>180</v>
      </c>
      <c r="C62" s="111">
        <v>2</v>
      </c>
      <c r="D62" s="111"/>
    </row>
    <row r="63" spans="2:4" x14ac:dyDescent="0.15">
      <c r="B63" s="179" t="s">
        <v>181</v>
      </c>
      <c r="C63" s="111">
        <v>1985</v>
      </c>
      <c r="D63" s="111"/>
    </row>
    <row r="64" spans="2:4" x14ac:dyDescent="0.15">
      <c r="B64" s="179" t="s">
        <v>182</v>
      </c>
      <c r="C64" s="111">
        <v>0</v>
      </c>
      <c r="D64" s="111"/>
    </row>
    <row r="65" spans="2:4" x14ac:dyDescent="0.15">
      <c r="B65" s="179" t="s">
        <v>183</v>
      </c>
      <c r="C65" s="179" t="s">
        <v>190</v>
      </c>
      <c r="D65" s="111"/>
    </row>
    <row r="66" spans="2:4" x14ac:dyDescent="0.15">
      <c r="B66" s="179" t="s">
        <v>184</v>
      </c>
      <c r="D66" s="111"/>
    </row>
    <row r="67" spans="2:4" x14ac:dyDescent="0.15">
      <c r="B67" s="111"/>
      <c r="C67" s="111"/>
      <c r="D67" s="111"/>
    </row>
    <row r="68" spans="2:4" x14ac:dyDescent="0.15">
      <c r="B68" s="111"/>
      <c r="C68" s="111"/>
      <c r="D68" s="111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3" sqref="Q3"/>
    </sheetView>
  </sheetViews>
  <sheetFormatPr baseColWidth="10" defaultColWidth="8.83203125" defaultRowHeight="15" customHeight="1" x14ac:dyDescent="0.15"/>
  <cols>
    <col min="1" max="1" width="22.5" style="84" customWidth="1"/>
    <col min="2" max="3" width="3.33203125" style="84" customWidth="1"/>
    <col min="4" max="4" width="14.33203125" style="84" customWidth="1"/>
    <col min="5" max="5" width="22.5" style="84" bestFit="1" customWidth="1"/>
    <col min="6" max="6" width="2.33203125" style="84" bestFit="1" customWidth="1"/>
    <col min="7" max="7" width="12.83203125" style="84" bestFit="1" customWidth="1"/>
    <col min="8" max="8" width="11.83203125" style="84" customWidth="1"/>
    <col min="9" max="9" width="10.83203125" style="84" customWidth="1"/>
    <col min="10" max="10" width="11.83203125" style="84" customWidth="1"/>
    <col min="11" max="11" width="12.83203125" style="84" customWidth="1"/>
    <col min="12" max="12" width="2.33203125" style="84" customWidth="1"/>
    <col min="13" max="13" width="3.83203125" style="84" customWidth="1"/>
    <col min="14" max="14" width="2.33203125" style="84" customWidth="1"/>
    <col min="16" max="25" width="8.83203125" style="84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84"/>
  </cols>
  <sheetData>
    <row r="1" spans="1:46" s="101" customFormat="1" ht="15" customHeight="1" x14ac:dyDescent="0.15">
      <c r="A1" s="80" t="s">
        <v>18</v>
      </c>
      <c r="C1" s="81" t="s">
        <v>8</v>
      </c>
      <c r="D1" s="80" t="s">
        <v>23</v>
      </c>
      <c r="E1" s="80" t="s">
        <v>0</v>
      </c>
      <c r="F1" s="80" t="s">
        <v>7</v>
      </c>
      <c r="G1" s="82" t="s">
        <v>13</v>
      </c>
      <c r="H1" s="80" t="s">
        <v>1</v>
      </c>
      <c r="I1" s="80" t="s">
        <v>2</v>
      </c>
      <c r="J1" s="80" t="s">
        <v>14</v>
      </c>
      <c r="K1" s="80" t="s">
        <v>3</v>
      </c>
      <c r="L1" s="80" t="s">
        <v>4</v>
      </c>
      <c r="M1" s="80" t="s">
        <v>5</v>
      </c>
      <c r="N1" s="80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101">
        <v>1</v>
      </c>
      <c r="D2"/>
      <c r="E2" s="180" t="s">
        <v>191</v>
      </c>
      <c r="F2" s="84">
        <v>0</v>
      </c>
      <c r="G2" s="84">
        <v>3.1E-2</v>
      </c>
      <c r="H2" s="84">
        <v>0.02</v>
      </c>
      <c r="I2" s="6">
        <v>4.6500000000000004</v>
      </c>
      <c r="J2" s="6">
        <v>0</v>
      </c>
      <c r="K2" s="6">
        <v>4.3010749999999997E-3</v>
      </c>
      <c r="L2" s="6">
        <v>0</v>
      </c>
      <c r="M2" s="84">
        <v>0.2</v>
      </c>
      <c r="N2" s="84">
        <v>0</v>
      </c>
    </row>
    <row r="3" spans="1:46" ht="15" customHeight="1" x14ac:dyDescent="0.15">
      <c r="A3" s="1" t="s">
        <v>9</v>
      </c>
      <c r="B3" s="4">
        <v>34</v>
      </c>
      <c r="C3" s="84">
        <v>2</v>
      </c>
      <c r="D3"/>
      <c r="E3" s="180" t="s">
        <v>192</v>
      </c>
      <c r="F3" s="84">
        <v>0</v>
      </c>
      <c r="G3" s="84">
        <v>4.0207369999999999E-2</v>
      </c>
      <c r="H3" s="84">
        <v>7.0000000000000007E-2</v>
      </c>
      <c r="I3" s="84">
        <v>12.12</v>
      </c>
      <c r="J3" s="84">
        <v>0.15</v>
      </c>
      <c r="K3" s="84">
        <v>5.775578E-3</v>
      </c>
      <c r="L3" s="84">
        <v>0</v>
      </c>
      <c r="M3" s="84">
        <v>0.2</v>
      </c>
      <c r="N3" s="84">
        <v>0</v>
      </c>
    </row>
    <row r="4" spans="1:46" ht="15" customHeight="1" x14ac:dyDescent="0.15">
      <c r="A4" s="1" t="s">
        <v>10</v>
      </c>
      <c r="B4" s="4">
        <v>2</v>
      </c>
      <c r="C4" s="84">
        <v>3</v>
      </c>
      <c r="D4"/>
      <c r="E4" s="180" t="s">
        <v>193</v>
      </c>
      <c r="F4" s="84">
        <v>0</v>
      </c>
      <c r="G4" s="84">
        <v>3.6168829999999999E-2</v>
      </c>
      <c r="H4" s="84">
        <v>0.15</v>
      </c>
      <c r="I4" s="84">
        <v>3.5</v>
      </c>
      <c r="J4" s="84">
        <v>0.2</v>
      </c>
      <c r="K4" s="84">
        <v>4.2857144E-2</v>
      </c>
      <c r="L4" s="84">
        <v>0</v>
      </c>
      <c r="M4" s="84">
        <v>0.2</v>
      </c>
      <c r="N4" s="84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2</v>
      </c>
      <c r="C5" s="84">
        <v>4</v>
      </c>
      <c r="D5"/>
      <c r="E5" s="180" t="s">
        <v>194</v>
      </c>
      <c r="F5" s="84">
        <v>0</v>
      </c>
      <c r="G5" s="84">
        <v>1E-3</v>
      </c>
      <c r="H5" s="84">
        <v>0.3</v>
      </c>
      <c r="I5" s="84">
        <v>85.66</v>
      </c>
      <c r="J5" s="84">
        <v>0</v>
      </c>
      <c r="K5" s="84">
        <v>3.5022180000000001E-3</v>
      </c>
      <c r="L5" s="84">
        <v>0</v>
      </c>
      <c r="M5" s="84">
        <v>0.2</v>
      </c>
      <c r="N5" s="84">
        <v>0</v>
      </c>
      <c r="P5" s="73"/>
      <c r="Q5" s="73"/>
      <c r="R5" s="73"/>
    </row>
    <row r="6" spans="1:46" ht="15" customHeight="1" thickBot="1" x14ac:dyDescent="0.2">
      <c r="B6" s="1"/>
      <c r="C6" s="84">
        <v>5</v>
      </c>
      <c r="D6"/>
      <c r="E6" s="180" t="s">
        <v>195</v>
      </c>
      <c r="F6" s="84">
        <v>0</v>
      </c>
      <c r="G6" s="84">
        <v>0.45500000000000002</v>
      </c>
      <c r="H6" s="84">
        <v>0.28948175900000001</v>
      </c>
      <c r="I6" s="84">
        <v>2.8948175900000002</v>
      </c>
      <c r="J6" s="84">
        <v>0.21396105000000001</v>
      </c>
      <c r="K6" s="84">
        <v>0.1</v>
      </c>
      <c r="L6" s="84">
        <v>0</v>
      </c>
      <c r="M6" s="84">
        <v>0.2</v>
      </c>
      <c r="N6" s="84">
        <v>0</v>
      </c>
      <c r="P6" s="73"/>
      <c r="Q6" s="73"/>
      <c r="R6" s="73"/>
      <c r="W6" s="36" t="s">
        <v>31</v>
      </c>
      <c r="X6" s="52">
        <f>MAX(MainOutputs!G:G)</f>
        <v>0.95003408193588257</v>
      </c>
    </row>
    <row r="7" spans="1:46" ht="15" customHeight="1" x14ac:dyDescent="0.15">
      <c r="A7" s="2" t="s">
        <v>27</v>
      </c>
      <c r="B7" s="84">
        <f ca="1">COUNTIF(OFFSET(cornerDiets,1,1,NumLiving+NumDead+1,NumLiving+NumDead),"&gt;0")+NumLiving+NumDead+1</f>
        <v>448</v>
      </c>
      <c r="C7" s="84">
        <v>6</v>
      </c>
      <c r="D7"/>
      <c r="E7" s="180" t="s">
        <v>196</v>
      </c>
      <c r="F7" s="84">
        <v>0</v>
      </c>
      <c r="G7" s="84">
        <v>0.15604928100000001</v>
      </c>
      <c r="H7" s="84">
        <v>0.27</v>
      </c>
      <c r="I7" s="84">
        <v>2.7</v>
      </c>
      <c r="J7" s="84">
        <v>0.4</v>
      </c>
      <c r="K7" s="84">
        <v>0.1</v>
      </c>
      <c r="L7" s="84">
        <v>0</v>
      </c>
      <c r="M7" s="84">
        <v>0.2</v>
      </c>
      <c r="N7" s="84">
        <v>0</v>
      </c>
      <c r="P7" s="73"/>
      <c r="Q7" s="73"/>
      <c r="R7" s="73"/>
    </row>
    <row r="8" spans="1:46" ht="15" customHeight="1" x14ac:dyDescent="0.15">
      <c r="A8" s="2" t="s">
        <v>28</v>
      </c>
      <c r="B8" s="84">
        <f ca="1">COUNTIF(OFFSET(cornerFishing,1,2,NumLiving+NumDead,NumGears),"&gt;0")+NumDead*COUNTIF(OFFSET(cornerDiscards,1,2,NumLiving+NumDead,NumGears),"&gt;0")+NumLiving+NumDead+1</f>
        <v>85</v>
      </c>
      <c r="C8" s="84">
        <v>7</v>
      </c>
      <c r="D8"/>
      <c r="E8" s="180" t="s">
        <v>197</v>
      </c>
      <c r="F8" s="84">
        <v>0</v>
      </c>
      <c r="G8" s="84">
        <v>0.50379770000000001</v>
      </c>
      <c r="H8" s="84">
        <v>0.64</v>
      </c>
      <c r="I8" s="84">
        <v>6.6</v>
      </c>
      <c r="J8" s="84">
        <v>0.8</v>
      </c>
      <c r="K8" s="84">
        <v>9.6969693900000001E-2</v>
      </c>
      <c r="L8" s="84">
        <v>0</v>
      </c>
      <c r="M8" s="84">
        <v>0.2</v>
      </c>
      <c r="N8" s="84">
        <v>0</v>
      </c>
      <c r="P8" s="73"/>
      <c r="Q8" s="73"/>
      <c r="R8" s="73"/>
    </row>
    <row r="9" spans="1:46" ht="15" customHeight="1" x14ac:dyDescent="0.15">
      <c r="B9" s="1"/>
      <c r="C9" s="84">
        <v>8</v>
      </c>
      <c r="D9"/>
      <c r="E9" s="180" t="s">
        <v>198</v>
      </c>
      <c r="F9" s="84">
        <v>0</v>
      </c>
      <c r="G9" s="84">
        <v>4.7353945699999997E-2</v>
      </c>
      <c r="H9" s="84">
        <v>0.60186433800000005</v>
      </c>
      <c r="I9" s="84">
        <v>6.0186433800000003</v>
      </c>
      <c r="J9" s="84">
        <v>0.8</v>
      </c>
      <c r="K9" s="84">
        <v>0.1</v>
      </c>
      <c r="L9" s="84">
        <v>0</v>
      </c>
      <c r="M9" s="84">
        <v>0.2</v>
      </c>
      <c r="N9" s="84">
        <v>0</v>
      </c>
      <c r="P9" s="73"/>
      <c r="Q9" s="73"/>
      <c r="R9" s="73"/>
    </row>
    <row r="10" spans="1:46" ht="15" customHeight="1" x14ac:dyDescent="0.15">
      <c r="B10" s="1"/>
      <c r="C10" s="84">
        <v>9</v>
      </c>
      <c r="D10"/>
      <c r="E10" s="180" t="s">
        <v>199</v>
      </c>
      <c r="F10" s="84">
        <v>0</v>
      </c>
      <c r="G10" s="84">
        <v>4.8093233300000003E-2</v>
      </c>
      <c r="H10" s="84">
        <v>0.8</v>
      </c>
      <c r="I10" s="84">
        <v>9.4600000000000009</v>
      </c>
      <c r="J10" s="84">
        <v>0.7</v>
      </c>
      <c r="K10" s="84">
        <v>8.4566600000000006E-2</v>
      </c>
      <c r="L10" s="84">
        <v>0</v>
      </c>
      <c r="M10" s="84">
        <v>0.2</v>
      </c>
      <c r="N10" s="84">
        <v>0</v>
      </c>
    </row>
    <row r="11" spans="1:46" ht="15" customHeight="1" x14ac:dyDescent="0.15">
      <c r="C11" s="84">
        <v>10</v>
      </c>
      <c r="D11"/>
      <c r="E11" s="180" t="s">
        <v>200</v>
      </c>
      <c r="F11" s="84">
        <v>0</v>
      </c>
      <c r="G11" s="84">
        <v>3.08655167</v>
      </c>
      <c r="H11" s="84">
        <v>0.64</v>
      </c>
      <c r="I11" s="84">
        <v>6.39999962</v>
      </c>
      <c r="J11" s="84">
        <v>0.8</v>
      </c>
      <c r="K11" s="84">
        <v>0.1</v>
      </c>
      <c r="L11" s="84">
        <v>0</v>
      </c>
      <c r="M11" s="84">
        <v>0.2</v>
      </c>
      <c r="N11" s="84">
        <v>0</v>
      </c>
    </row>
    <row r="12" spans="1:46" ht="15" customHeight="1" x14ac:dyDescent="0.15">
      <c r="C12" s="84">
        <v>11</v>
      </c>
      <c r="D12"/>
      <c r="E12" s="180" t="s">
        <v>201</v>
      </c>
      <c r="F12" s="84">
        <v>0</v>
      </c>
      <c r="G12" s="84">
        <v>2.0647745099999999</v>
      </c>
      <c r="H12" s="84">
        <v>0.86</v>
      </c>
      <c r="I12" s="84">
        <v>8.6</v>
      </c>
      <c r="J12" s="84">
        <v>0.95</v>
      </c>
      <c r="K12" s="84">
        <v>0.1</v>
      </c>
      <c r="L12" s="84">
        <v>0</v>
      </c>
      <c r="M12" s="84">
        <v>0.2</v>
      </c>
      <c r="N12" s="84">
        <v>0</v>
      </c>
    </row>
    <row r="13" spans="1:46" ht="15" customHeight="1" x14ac:dyDescent="0.15">
      <c r="C13" s="84">
        <v>12</v>
      </c>
      <c r="D13"/>
      <c r="E13" s="180" t="s">
        <v>202</v>
      </c>
      <c r="F13" s="84">
        <v>0</v>
      </c>
      <c r="G13" s="84">
        <v>1.5922508200000001</v>
      </c>
      <c r="H13" s="84">
        <v>1.39</v>
      </c>
      <c r="I13" s="84">
        <v>13.9</v>
      </c>
      <c r="J13" s="84">
        <v>0.95</v>
      </c>
      <c r="K13" s="84">
        <v>0.1</v>
      </c>
      <c r="L13" s="84">
        <v>0</v>
      </c>
      <c r="M13" s="84">
        <v>0.2</v>
      </c>
      <c r="N13" s="84">
        <v>0</v>
      </c>
    </row>
    <row r="14" spans="1:46" ht="15" customHeight="1" x14ac:dyDescent="0.15">
      <c r="C14" s="84">
        <v>13</v>
      </c>
      <c r="D14"/>
      <c r="E14" s="180" t="s">
        <v>203</v>
      </c>
      <c r="F14" s="84">
        <v>0</v>
      </c>
      <c r="G14" s="84">
        <v>1.2529999999999999</v>
      </c>
      <c r="H14" s="84">
        <v>0.36913326400000002</v>
      </c>
      <c r="I14" s="84">
        <v>1.4765330000000001</v>
      </c>
      <c r="J14" s="84">
        <v>0.77394830000000003</v>
      </c>
      <c r="K14" s="84">
        <v>0.25</v>
      </c>
      <c r="L14" s="84">
        <v>0</v>
      </c>
      <c r="M14" s="84">
        <v>0.2</v>
      </c>
      <c r="N14" s="84">
        <v>0</v>
      </c>
    </row>
    <row r="15" spans="1:46" ht="15" customHeight="1" x14ac:dyDescent="0.15">
      <c r="C15" s="84">
        <v>14</v>
      </c>
      <c r="D15"/>
      <c r="E15" s="180" t="s">
        <v>204</v>
      </c>
      <c r="F15" s="84">
        <v>0</v>
      </c>
      <c r="G15" s="84">
        <v>0.86899999999999999</v>
      </c>
      <c r="H15" s="84">
        <v>0.41416746399999999</v>
      </c>
      <c r="I15" s="84">
        <v>1.65666986</v>
      </c>
      <c r="J15" s="84">
        <v>0.7929351</v>
      </c>
      <c r="K15" s="84">
        <v>0.25</v>
      </c>
      <c r="L15" s="84">
        <v>0</v>
      </c>
      <c r="M15" s="84">
        <v>0.2</v>
      </c>
      <c r="N15" s="84">
        <v>0</v>
      </c>
    </row>
    <row r="16" spans="1:46" ht="15" customHeight="1" x14ac:dyDescent="0.15">
      <c r="C16" s="84">
        <v>15</v>
      </c>
      <c r="D16"/>
      <c r="E16" s="180" t="s">
        <v>205</v>
      </c>
      <c r="F16" s="84">
        <v>0</v>
      </c>
      <c r="G16" s="84">
        <v>0.35</v>
      </c>
      <c r="H16" s="84">
        <v>0.39</v>
      </c>
      <c r="I16" s="84">
        <v>1.56</v>
      </c>
      <c r="J16" s="84">
        <v>0.71319509999999997</v>
      </c>
      <c r="K16" s="84">
        <v>0.25</v>
      </c>
      <c r="L16" s="84">
        <v>0</v>
      </c>
      <c r="M16" s="84">
        <v>0.2</v>
      </c>
      <c r="N16" s="84">
        <v>0</v>
      </c>
    </row>
    <row r="17" spans="1:22" ht="15" customHeight="1" x14ac:dyDescent="0.15">
      <c r="C17" s="84">
        <v>16</v>
      </c>
      <c r="D17"/>
      <c r="E17" s="180" t="s">
        <v>206</v>
      </c>
      <c r="F17" s="84">
        <v>0</v>
      </c>
      <c r="G17" s="84">
        <v>0.221</v>
      </c>
      <c r="H17" s="84">
        <v>0.45</v>
      </c>
      <c r="I17" s="84">
        <v>2.25</v>
      </c>
      <c r="J17" s="84">
        <v>0.62907564599999999</v>
      </c>
      <c r="K17" s="84">
        <v>0.2</v>
      </c>
      <c r="L17" s="84">
        <v>0</v>
      </c>
      <c r="M17" s="84">
        <v>0.2</v>
      </c>
      <c r="N17" s="84">
        <v>0</v>
      </c>
      <c r="V17" s="1" t="s">
        <v>30</v>
      </c>
    </row>
    <row r="18" spans="1:22" ht="15" customHeight="1" x14ac:dyDescent="0.15">
      <c r="C18" s="84">
        <v>17</v>
      </c>
      <c r="D18"/>
      <c r="E18" s="180" t="s">
        <v>207</v>
      </c>
      <c r="F18" s="84">
        <v>0</v>
      </c>
      <c r="G18" s="84">
        <v>0.125</v>
      </c>
      <c r="H18" s="84">
        <v>0.55000000000000004</v>
      </c>
      <c r="I18" s="84">
        <v>2.2000000000000002</v>
      </c>
      <c r="J18" s="84">
        <v>0.86893284299999995</v>
      </c>
      <c r="K18" s="84">
        <v>0.25</v>
      </c>
      <c r="L18" s="84">
        <v>0</v>
      </c>
      <c r="M18" s="84">
        <v>0.2</v>
      </c>
      <c r="N18" s="84">
        <v>0</v>
      </c>
      <c r="V18" s="1"/>
    </row>
    <row r="19" spans="1:22" ht="15" customHeight="1" x14ac:dyDescent="0.15">
      <c r="C19" s="84">
        <v>18</v>
      </c>
      <c r="D19"/>
      <c r="E19" s="180" t="s">
        <v>208</v>
      </c>
      <c r="F19" s="84">
        <v>0</v>
      </c>
      <c r="G19" s="84">
        <v>1.41</v>
      </c>
      <c r="H19" s="84">
        <v>0.53</v>
      </c>
      <c r="I19" s="84">
        <v>2.12</v>
      </c>
      <c r="J19" s="84">
        <v>0.78192454600000005</v>
      </c>
      <c r="K19" s="84">
        <v>0.25</v>
      </c>
      <c r="L19" s="84">
        <v>0</v>
      </c>
      <c r="M19" s="84">
        <v>0.2</v>
      </c>
      <c r="N19" s="84">
        <v>0</v>
      </c>
    </row>
    <row r="20" spans="1:22" ht="15" customHeight="1" thickBot="1" x14ac:dyDescent="0.2">
      <c r="C20" s="84">
        <v>19</v>
      </c>
      <c r="D20"/>
      <c r="E20" s="180" t="s">
        <v>209</v>
      </c>
      <c r="F20" s="84">
        <v>0</v>
      </c>
      <c r="G20" s="84">
        <v>0.95699999999999996</v>
      </c>
      <c r="H20" s="84">
        <v>0.25274193299999997</v>
      </c>
      <c r="I20" s="84">
        <v>1.01096773</v>
      </c>
      <c r="J20" s="84">
        <v>0.82098590000000005</v>
      </c>
      <c r="K20" s="84">
        <v>0.25</v>
      </c>
      <c r="L20" s="84">
        <v>0</v>
      </c>
      <c r="M20" s="84">
        <v>0.2</v>
      </c>
      <c r="N20" s="84">
        <v>0</v>
      </c>
    </row>
    <row r="21" spans="1:22" ht="15" customHeight="1" thickBot="1" x14ac:dyDescent="0.2">
      <c r="A21" s="47" t="s">
        <v>137</v>
      </c>
      <c r="B21" s="102"/>
      <c r="C21" s="84">
        <v>20</v>
      </c>
      <c r="D21"/>
      <c r="E21" s="180" t="s">
        <v>210</v>
      </c>
      <c r="F21" s="84">
        <v>0</v>
      </c>
      <c r="G21" s="84">
        <v>0.3</v>
      </c>
      <c r="H21" s="84">
        <v>0.60947805600000005</v>
      </c>
      <c r="I21" s="84">
        <v>2.4379122299999998</v>
      </c>
      <c r="J21" s="84">
        <v>0.76475536799999999</v>
      </c>
      <c r="K21" s="84">
        <v>0.25</v>
      </c>
      <c r="L21" s="84">
        <v>0</v>
      </c>
      <c r="M21" s="84">
        <v>0.2</v>
      </c>
      <c r="N21" s="84">
        <v>0</v>
      </c>
    </row>
    <row r="22" spans="1:22" ht="15" customHeight="1" x14ac:dyDescent="0.15">
      <c r="A22" s="103" t="s">
        <v>58</v>
      </c>
      <c r="B22" s="104">
        <v>0</v>
      </c>
      <c r="C22" s="84">
        <v>21</v>
      </c>
      <c r="D22"/>
      <c r="E22" s="180" t="s">
        <v>211</v>
      </c>
      <c r="F22" s="84">
        <v>0</v>
      </c>
      <c r="G22" s="84">
        <v>0.38700000000000001</v>
      </c>
      <c r="H22" s="84">
        <v>0.28623575000000001</v>
      </c>
      <c r="I22" s="84">
        <v>1.144943</v>
      </c>
      <c r="J22" s="84">
        <v>0.84841155999999995</v>
      </c>
      <c r="K22" s="84">
        <v>0.25</v>
      </c>
      <c r="L22" s="84">
        <v>0</v>
      </c>
      <c r="M22" s="84">
        <v>0.2</v>
      </c>
      <c r="N22" s="84">
        <v>0</v>
      </c>
    </row>
    <row r="23" spans="1:22" ht="15" customHeight="1" x14ac:dyDescent="0.15">
      <c r="A23" s="103" t="s">
        <v>59</v>
      </c>
      <c r="B23" s="104">
        <v>1</v>
      </c>
      <c r="C23" s="84">
        <v>22</v>
      </c>
      <c r="D23"/>
      <c r="E23" s="180" t="s">
        <v>212</v>
      </c>
      <c r="F23" s="84">
        <v>0</v>
      </c>
      <c r="G23" s="84">
        <v>0.27300000000000002</v>
      </c>
      <c r="H23" s="84">
        <v>0.76102429999999999</v>
      </c>
      <c r="I23" s="84">
        <v>3.04409719</v>
      </c>
      <c r="J23" s="84">
        <v>0.69271123400000001</v>
      </c>
      <c r="K23" s="84">
        <v>0.25</v>
      </c>
      <c r="L23" s="84">
        <v>0</v>
      </c>
      <c r="M23" s="84">
        <v>0.2</v>
      </c>
      <c r="N23" s="84">
        <v>0</v>
      </c>
    </row>
    <row r="24" spans="1:22" ht="15" customHeight="1" x14ac:dyDescent="0.15">
      <c r="A24" s="103" t="s">
        <v>60</v>
      </c>
      <c r="B24" s="104">
        <v>2</v>
      </c>
      <c r="C24" s="84">
        <v>23</v>
      </c>
      <c r="D24"/>
      <c r="E24" s="180" t="s">
        <v>213</v>
      </c>
      <c r="F24" s="84">
        <v>0</v>
      </c>
      <c r="G24" s="84">
        <v>0.55700000000000005</v>
      </c>
      <c r="H24" s="84">
        <v>0.39</v>
      </c>
      <c r="I24" s="84">
        <v>1.9499999299999999</v>
      </c>
      <c r="J24" s="84">
        <v>0.68380445199999995</v>
      </c>
      <c r="K24" s="84">
        <v>0.2</v>
      </c>
      <c r="L24" s="84">
        <v>0</v>
      </c>
      <c r="M24" s="84">
        <v>0.2</v>
      </c>
      <c r="N24" s="84">
        <v>0</v>
      </c>
    </row>
    <row r="25" spans="1:22" ht="15" customHeight="1" thickBot="1" x14ac:dyDescent="0.2">
      <c r="A25" s="105" t="s">
        <v>44</v>
      </c>
      <c r="B25" s="106">
        <v>3</v>
      </c>
      <c r="C25" s="84">
        <v>24</v>
      </c>
      <c r="D25"/>
      <c r="E25" s="180" t="s">
        <v>214</v>
      </c>
      <c r="F25" s="84">
        <v>0</v>
      </c>
      <c r="G25" s="84">
        <v>1.849</v>
      </c>
      <c r="H25" s="84">
        <v>0.83538310000000005</v>
      </c>
      <c r="I25" s="84">
        <v>3.3415324700000002</v>
      </c>
      <c r="J25" s="84">
        <v>0.67984960000000005</v>
      </c>
      <c r="K25" s="84">
        <v>0.25</v>
      </c>
      <c r="L25" s="84">
        <v>0</v>
      </c>
      <c r="M25" s="84">
        <v>0.2</v>
      </c>
      <c r="N25" s="84">
        <v>0</v>
      </c>
    </row>
    <row r="26" spans="1:22" ht="15" customHeight="1" x14ac:dyDescent="0.15">
      <c r="A26" s="107" t="s">
        <v>140</v>
      </c>
      <c r="C26" s="84">
        <v>25</v>
      </c>
      <c r="D26"/>
      <c r="E26" s="180" t="s">
        <v>215</v>
      </c>
      <c r="F26" s="84">
        <v>0</v>
      </c>
      <c r="G26" s="84">
        <v>1.544</v>
      </c>
      <c r="H26" s="84">
        <v>0.73</v>
      </c>
      <c r="I26" s="84">
        <v>2.92</v>
      </c>
      <c r="J26" s="84">
        <v>0.46301832799999998</v>
      </c>
      <c r="K26" s="84">
        <v>0.25</v>
      </c>
      <c r="L26" s="84">
        <v>0</v>
      </c>
      <c r="M26" s="84">
        <v>0.2</v>
      </c>
      <c r="N26" s="84">
        <v>0</v>
      </c>
    </row>
    <row r="27" spans="1:22" ht="15" customHeight="1" x14ac:dyDescent="0.15">
      <c r="C27" s="84">
        <v>26</v>
      </c>
      <c r="D27"/>
      <c r="E27" s="180" t="s">
        <v>216</v>
      </c>
      <c r="F27" s="84">
        <v>0</v>
      </c>
      <c r="G27" s="84">
        <v>1.0289999999999999</v>
      </c>
      <c r="H27" s="84">
        <v>1.07</v>
      </c>
      <c r="I27" s="84">
        <v>4.28</v>
      </c>
      <c r="J27" s="84">
        <v>0.62680643800000002</v>
      </c>
      <c r="K27" s="84">
        <v>0.25</v>
      </c>
      <c r="L27" s="84">
        <v>0</v>
      </c>
      <c r="M27" s="84">
        <v>0.2</v>
      </c>
      <c r="N27" s="84">
        <v>0</v>
      </c>
    </row>
    <row r="28" spans="1:22" ht="15" customHeight="1" x14ac:dyDescent="0.15">
      <c r="C28" s="84">
        <v>27</v>
      </c>
      <c r="D28"/>
      <c r="E28" s="180" t="s">
        <v>217</v>
      </c>
      <c r="F28" s="84">
        <v>0</v>
      </c>
      <c r="G28" s="84">
        <v>0.43905904899999998</v>
      </c>
      <c r="H28" s="84">
        <v>0.76</v>
      </c>
      <c r="I28" s="84">
        <v>3.04</v>
      </c>
      <c r="J28" s="84">
        <v>0.8</v>
      </c>
      <c r="K28" s="84">
        <v>0.25</v>
      </c>
      <c r="L28" s="84">
        <v>0</v>
      </c>
      <c r="M28" s="84">
        <v>0.2</v>
      </c>
      <c r="N28" s="84">
        <v>0</v>
      </c>
    </row>
    <row r="29" spans="1:22" customFormat="1" ht="15" customHeight="1" x14ac:dyDescent="0.15">
      <c r="C29" s="84">
        <v>28</v>
      </c>
      <c r="E29" s="180" t="s">
        <v>218</v>
      </c>
      <c r="F29" s="84">
        <v>0</v>
      </c>
      <c r="G29" s="84">
        <v>0.80954519999999996</v>
      </c>
      <c r="H29" s="84">
        <v>0.37</v>
      </c>
      <c r="I29" s="84">
        <v>1.48</v>
      </c>
      <c r="J29" s="84">
        <v>0.9</v>
      </c>
      <c r="K29" s="84">
        <v>0.25</v>
      </c>
      <c r="L29" s="84">
        <v>0</v>
      </c>
      <c r="M29" s="84">
        <v>0.2</v>
      </c>
      <c r="N29" s="84">
        <v>0</v>
      </c>
    </row>
    <row r="30" spans="1:22" customFormat="1" ht="15" customHeight="1" x14ac:dyDescent="0.15">
      <c r="C30" s="84">
        <v>29</v>
      </c>
      <c r="E30" s="180" t="s">
        <v>219</v>
      </c>
      <c r="F30" s="84">
        <v>0</v>
      </c>
      <c r="G30" s="84">
        <v>4.7339190000000002</v>
      </c>
      <c r="H30" s="84">
        <v>2.5</v>
      </c>
      <c r="I30" s="84">
        <v>20</v>
      </c>
      <c r="J30" s="84">
        <v>0.8</v>
      </c>
      <c r="K30" s="84">
        <v>0.125</v>
      </c>
      <c r="L30" s="84">
        <v>0</v>
      </c>
      <c r="M30" s="84">
        <v>0.2</v>
      </c>
      <c r="N30" s="84">
        <v>0</v>
      </c>
    </row>
    <row r="31" spans="1:22" customFormat="1" ht="15" customHeight="1" x14ac:dyDescent="0.15">
      <c r="C31" s="84">
        <v>30</v>
      </c>
      <c r="E31" s="180" t="s">
        <v>220</v>
      </c>
      <c r="F31" s="84">
        <v>0</v>
      </c>
      <c r="G31" s="84">
        <v>0.8501782</v>
      </c>
      <c r="H31" s="84">
        <v>2.5</v>
      </c>
      <c r="I31" s="84">
        <v>10</v>
      </c>
      <c r="J31" s="84">
        <v>0.9</v>
      </c>
      <c r="K31" s="84">
        <v>0.25</v>
      </c>
      <c r="L31" s="84">
        <v>0</v>
      </c>
      <c r="M31" s="84">
        <v>0.2</v>
      </c>
      <c r="N31" s="84">
        <v>0</v>
      </c>
    </row>
    <row r="32" spans="1:22" customFormat="1" ht="15" customHeight="1" x14ac:dyDescent="0.15">
      <c r="C32" s="84">
        <v>31</v>
      </c>
      <c r="E32" s="180" t="s">
        <v>221</v>
      </c>
      <c r="F32" s="84">
        <v>0</v>
      </c>
      <c r="G32" s="84">
        <v>100</v>
      </c>
      <c r="H32" s="84">
        <v>1.8</v>
      </c>
      <c r="I32" s="84">
        <v>25</v>
      </c>
      <c r="J32" s="84">
        <v>0.86746233699999997</v>
      </c>
      <c r="K32" s="84">
        <v>7.1999999999999995E-2</v>
      </c>
      <c r="L32" s="84">
        <v>0</v>
      </c>
      <c r="M32" s="84">
        <v>0.2</v>
      </c>
      <c r="N32" s="84">
        <v>0</v>
      </c>
    </row>
    <row r="33" spans="3:14" customFormat="1" ht="15" customHeight="1" x14ac:dyDescent="0.15">
      <c r="C33" s="84">
        <v>32</v>
      </c>
      <c r="E33" s="180" t="s">
        <v>222</v>
      </c>
      <c r="F33" s="84">
        <v>0</v>
      </c>
      <c r="G33" s="84">
        <v>5.5751795800000004</v>
      </c>
      <c r="H33" s="84">
        <v>10</v>
      </c>
      <c r="I33" s="84">
        <v>50</v>
      </c>
      <c r="J33" s="84">
        <v>0.8</v>
      </c>
      <c r="K33" s="84">
        <v>0.2</v>
      </c>
      <c r="L33" s="84">
        <v>0</v>
      </c>
      <c r="M33" s="84">
        <v>0.2</v>
      </c>
      <c r="N33" s="84">
        <v>0</v>
      </c>
    </row>
    <row r="34" spans="3:14" customFormat="1" ht="15" customHeight="1" x14ac:dyDescent="0.15">
      <c r="C34" s="84">
        <v>33</v>
      </c>
      <c r="E34" s="180" t="s">
        <v>223</v>
      </c>
      <c r="F34" s="84">
        <v>0</v>
      </c>
      <c r="G34" s="84">
        <v>28.262979999999999</v>
      </c>
      <c r="H34" s="84">
        <v>40</v>
      </c>
      <c r="I34" s="84">
        <v>200</v>
      </c>
      <c r="J34" s="84">
        <v>0.6</v>
      </c>
      <c r="K34" s="84">
        <v>0.2</v>
      </c>
      <c r="L34" s="84">
        <v>0</v>
      </c>
      <c r="M34" s="84">
        <v>0.4</v>
      </c>
      <c r="N34" s="84">
        <v>0</v>
      </c>
    </row>
    <row r="35" spans="3:14" customFormat="1" ht="15" customHeight="1" x14ac:dyDescent="0.15">
      <c r="C35" s="84">
        <v>34</v>
      </c>
      <c r="E35" s="180" t="s">
        <v>224</v>
      </c>
      <c r="F35" s="84">
        <v>1</v>
      </c>
      <c r="G35" s="84">
        <v>69</v>
      </c>
      <c r="H35" s="84">
        <v>84</v>
      </c>
      <c r="I35" s="84">
        <v>0</v>
      </c>
      <c r="J35" s="84">
        <v>0.89161319999999999</v>
      </c>
      <c r="K35" s="84">
        <v>0</v>
      </c>
      <c r="L35" s="84">
        <v>0</v>
      </c>
      <c r="M35" s="84">
        <v>0</v>
      </c>
      <c r="N35" s="84">
        <v>0</v>
      </c>
    </row>
    <row r="36" spans="3:14" customFormat="1" ht="15" customHeight="1" x14ac:dyDescent="0.15">
      <c r="C36" s="84">
        <v>35</v>
      </c>
      <c r="E36" s="180" t="s">
        <v>225</v>
      </c>
      <c r="F36" s="84">
        <v>2</v>
      </c>
      <c r="G36" s="84">
        <v>290</v>
      </c>
      <c r="H36" s="84">
        <v>0</v>
      </c>
      <c r="I36" s="84">
        <v>0</v>
      </c>
      <c r="J36" s="84">
        <v>0</v>
      </c>
      <c r="K36" s="84">
        <v>0</v>
      </c>
      <c r="L36" s="84">
        <v>0</v>
      </c>
      <c r="M36" s="84">
        <v>0</v>
      </c>
      <c r="N36" s="84">
        <v>0</v>
      </c>
    </row>
    <row r="37" spans="3:14" customFormat="1" ht="15" customHeight="1" x14ac:dyDescent="0.15">
      <c r="C37" s="84">
        <v>36</v>
      </c>
      <c r="E37" s="180" t="s">
        <v>226</v>
      </c>
      <c r="F37" s="84">
        <v>2</v>
      </c>
      <c r="G37" s="84">
        <v>5</v>
      </c>
      <c r="H37" s="84">
        <v>0</v>
      </c>
      <c r="I37" s="84">
        <v>0</v>
      </c>
      <c r="J37" s="84">
        <v>0</v>
      </c>
      <c r="K37" s="84">
        <v>0</v>
      </c>
      <c r="L37" s="84">
        <v>0</v>
      </c>
      <c r="M37" s="84">
        <v>0</v>
      </c>
      <c r="N37" s="84">
        <v>0</v>
      </c>
    </row>
    <row r="38" spans="3:14" customFormat="1" ht="15" customHeight="1" x14ac:dyDescent="0.15">
      <c r="C38" s="84">
        <v>37</v>
      </c>
      <c r="E38" s="180" t="s">
        <v>227</v>
      </c>
      <c r="F38" s="84">
        <v>3</v>
      </c>
      <c r="G38" s="84">
        <v>0</v>
      </c>
      <c r="H38" s="84">
        <v>0</v>
      </c>
      <c r="I38" s="84">
        <v>0</v>
      </c>
      <c r="J38" s="84">
        <v>0</v>
      </c>
      <c r="K38" s="84">
        <v>0</v>
      </c>
      <c r="L38" s="84">
        <v>0</v>
      </c>
      <c r="M38" s="84">
        <v>0</v>
      </c>
      <c r="N38" s="84">
        <v>0</v>
      </c>
    </row>
    <row r="39" spans="3:14" customFormat="1" ht="15" customHeight="1" x14ac:dyDescent="0.15">
      <c r="C39" s="84">
        <v>38</v>
      </c>
      <c r="E39" s="180" t="s">
        <v>228</v>
      </c>
      <c r="F39" s="84">
        <v>3</v>
      </c>
      <c r="G39" s="84">
        <v>0</v>
      </c>
      <c r="H39" s="84">
        <v>0</v>
      </c>
      <c r="I39" s="84">
        <v>0</v>
      </c>
      <c r="J39" s="84">
        <v>0</v>
      </c>
      <c r="K39" s="84">
        <v>0</v>
      </c>
      <c r="L39" s="84">
        <v>0</v>
      </c>
      <c r="M39" s="84">
        <v>0</v>
      </c>
      <c r="N39" s="84">
        <v>0</v>
      </c>
    </row>
    <row r="40" spans="3:14" customFormat="1" ht="15" customHeight="1" x14ac:dyDescent="0.15"/>
    <row r="41" spans="3:14" customFormat="1" ht="15" customHeight="1" x14ac:dyDescent="0.15"/>
    <row r="42" spans="3:14" customFormat="1" ht="15" customHeight="1" x14ac:dyDescent="0.15"/>
    <row r="43" spans="3:14" customFormat="1" ht="15" customHeight="1" x14ac:dyDescent="0.15"/>
    <row r="44" spans="3:14" customFormat="1" ht="15" customHeight="1" x14ac:dyDescent="0.15"/>
    <row r="45" spans="3:14" customFormat="1" ht="15" customHeight="1" x14ac:dyDescent="0.15"/>
    <row r="46" spans="3:14" customFormat="1" ht="15" customHeight="1" x14ac:dyDescent="0.15"/>
    <row r="47" spans="3:14" customFormat="1" ht="15" customHeight="1" x14ac:dyDescent="0.15"/>
    <row r="48" spans="3:14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K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2.5" style="146" bestFit="1" customWidth="1"/>
    <col min="2" max="2" width="13.83203125" style="146" bestFit="1" customWidth="1"/>
    <col min="3" max="3" width="15.83203125" style="146" bestFit="1" customWidth="1"/>
    <col min="4" max="4" width="3.83203125" style="146" bestFit="1" customWidth="1"/>
    <col min="5" max="5" width="5.83203125" style="146" bestFit="1" customWidth="1"/>
    <col min="6" max="6" width="15.83203125" style="146" bestFit="1" customWidth="1"/>
    <col min="7" max="10" width="14.83203125" style="146" bestFit="1" customWidth="1"/>
    <col min="11" max="11" width="5.83203125" style="146" bestFit="1" customWidth="1"/>
    <col min="12" max="12" width="4.83203125" style="146" bestFit="1" customWidth="1"/>
    <col min="13" max="13" width="13.83203125" style="146" bestFit="1" customWidth="1"/>
    <col min="14" max="14" width="15.83203125" style="146" bestFit="1" customWidth="1"/>
    <col min="15" max="15" width="5.83203125" style="146" bestFit="1" customWidth="1"/>
    <col min="16" max="16" width="13.83203125" style="146" bestFit="1" customWidth="1"/>
    <col min="17" max="17" width="14.83203125" style="146" bestFit="1" customWidth="1"/>
    <col min="18" max="18" width="5.83203125" style="146" bestFit="1" customWidth="1"/>
    <col min="19" max="19" width="14.83203125" style="146" bestFit="1" customWidth="1"/>
    <col min="20" max="20" width="5.83203125" style="146" bestFit="1" customWidth="1"/>
    <col min="21" max="21" width="15.83203125" style="146" bestFit="1" customWidth="1"/>
    <col min="22" max="23" width="13.83203125" style="146" bestFit="1" customWidth="1"/>
    <col min="24" max="25" width="14.83203125" style="146" bestFit="1" customWidth="1"/>
    <col min="26" max="26" width="13.83203125" style="146" bestFit="1" customWidth="1"/>
    <col min="27" max="28" width="14.83203125" style="146" bestFit="1" customWidth="1"/>
    <col min="29" max="29" width="15.83203125" style="146" bestFit="1" customWidth="1"/>
    <col min="30" max="30" width="4.83203125" style="146" customWidth="1"/>
    <col min="31" max="31" width="5.83203125" style="146" customWidth="1"/>
    <col min="32" max="33" width="4.83203125" style="146" customWidth="1"/>
    <col min="34" max="34" width="3.83203125" style="146" customWidth="1"/>
    <col min="35" max="37" width="2.33203125" style="146" customWidth="1"/>
    <col min="38" max="16384" width="8.83203125" style="146"/>
  </cols>
  <sheetData>
    <row r="1" spans="1:37" x14ac:dyDescent="0.15">
      <c r="A1" s="145" t="s">
        <v>19</v>
      </c>
      <c r="B1" s="182" t="s">
        <v>191</v>
      </c>
      <c r="C1" s="182" t="s">
        <v>192</v>
      </c>
      <c r="D1" s="182" t="s">
        <v>193</v>
      </c>
      <c r="E1" s="182" t="s">
        <v>194</v>
      </c>
      <c r="F1" s="182" t="s">
        <v>195</v>
      </c>
      <c r="G1" s="182" t="s">
        <v>196</v>
      </c>
      <c r="H1" s="182" t="s">
        <v>197</v>
      </c>
      <c r="I1" s="182" t="s">
        <v>198</v>
      </c>
      <c r="J1" s="182" t="s">
        <v>199</v>
      </c>
      <c r="K1" s="182" t="s">
        <v>200</v>
      </c>
      <c r="L1" s="182" t="s">
        <v>201</v>
      </c>
      <c r="M1" s="182" t="s">
        <v>202</v>
      </c>
      <c r="N1" s="182" t="s">
        <v>203</v>
      </c>
      <c r="O1" s="182" t="s">
        <v>204</v>
      </c>
      <c r="P1" s="182" t="s">
        <v>205</v>
      </c>
      <c r="Q1" s="182" t="s">
        <v>206</v>
      </c>
      <c r="R1" s="182" t="s">
        <v>207</v>
      </c>
      <c r="S1" s="182" t="s">
        <v>208</v>
      </c>
      <c r="T1" s="182" t="s">
        <v>209</v>
      </c>
      <c r="U1" s="182" t="s">
        <v>210</v>
      </c>
      <c r="V1" s="182" t="s">
        <v>211</v>
      </c>
      <c r="W1" s="182" t="s">
        <v>212</v>
      </c>
      <c r="X1" s="182" t="s">
        <v>213</v>
      </c>
      <c r="Y1" s="182" t="s">
        <v>214</v>
      </c>
      <c r="Z1" s="182" t="s">
        <v>215</v>
      </c>
      <c r="AA1" s="182" t="s">
        <v>216</v>
      </c>
      <c r="AB1" s="182" t="s">
        <v>217</v>
      </c>
      <c r="AC1" s="182" t="s">
        <v>218</v>
      </c>
      <c r="AD1" s="182" t="s">
        <v>219</v>
      </c>
      <c r="AE1" s="182" t="s">
        <v>220</v>
      </c>
      <c r="AF1" s="182" t="s">
        <v>221</v>
      </c>
      <c r="AG1" s="182" t="s">
        <v>222</v>
      </c>
      <c r="AH1" s="182" t="s">
        <v>223</v>
      </c>
      <c r="AI1" s="182" t="s">
        <v>224</v>
      </c>
      <c r="AJ1" s="182" t="s">
        <v>225</v>
      </c>
      <c r="AK1" s="182" t="s">
        <v>226</v>
      </c>
    </row>
    <row r="2" spans="1:37" customFormat="1" x14ac:dyDescent="0.15">
      <c r="A2" s="181" t="s">
        <v>191</v>
      </c>
      <c r="B2" s="146">
        <v>0</v>
      </c>
      <c r="C2" s="146">
        <v>0</v>
      </c>
      <c r="D2" s="146">
        <v>0</v>
      </c>
      <c r="E2" s="146">
        <v>0</v>
      </c>
      <c r="F2" s="146">
        <v>0</v>
      </c>
      <c r="G2" s="146">
        <v>0</v>
      </c>
      <c r="H2" s="146">
        <v>0</v>
      </c>
      <c r="I2" s="146">
        <v>0</v>
      </c>
      <c r="J2" s="146">
        <v>0</v>
      </c>
      <c r="K2" s="146">
        <v>0</v>
      </c>
      <c r="L2" s="146">
        <v>0</v>
      </c>
      <c r="M2" s="146">
        <v>0</v>
      </c>
      <c r="N2" s="146">
        <v>0</v>
      </c>
      <c r="O2" s="146">
        <v>0</v>
      </c>
      <c r="P2" s="146">
        <v>0</v>
      </c>
      <c r="Q2" s="146">
        <v>0</v>
      </c>
      <c r="R2" s="146">
        <v>0</v>
      </c>
      <c r="S2" s="146">
        <v>0</v>
      </c>
      <c r="T2" s="146">
        <v>0</v>
      </c>
      <c r="U2" s="146">
        <v>0</v>
      </c>
      <c r="V2" s="146">
        <v>0</v>
      </c>
      <c r="W2" s="146">
        <v>0</v>
      </c>
      <c r="X2" s="146">
        <v>0</v>
      </c>
      <c r="Y2" s="146">
        <v>0</v>
      </c>
      <c r="Z2" s="146">
        <v>0</v>
      </c>
      <c r="AA2" s="146">
        <v>0</v>
      </c>
      <c r="AB2" s="146">
        <v>0</v>
      </c>
      <c r="AC2" s="146">
        <v>0</v>
      </c>
      <c r="AD2" s="146">
        <v>0</v>
      </c>
      <c r="AE2" s="146">
        <v>0</v>
      </c>
      <c r="AF2" s="146">
        <v>0</v>
      </c>
      <c r="AG2" s="146">
        <v>0</v>
      </c>
      <c r="AH2" s="146">
        <v>0</v>
      </c>
      <c r="AI2" s="146">
        <v>0</v>
      </c>
      <c r="AJ2" s="146">
        <v>0</v>
      </c>
      <c r="AK2" s="146">
        <v>0</v>
      </c>
    </row>
    <row r="3" spans="1:37" customFormat="1" x14ac:dyDescent="0.15">
      <c r="A3" s="181" t="s">
        <v>192</v>
      </c>
      <c r="B3" s="146">
        <v>0</v>
      </c>
      <c r="C3" s="146">
        <v>0</v>
      </c>
      <c r="D3" s="146">
        <v>0</v>
      </c>
      <c r="E3" s="146">
        <v>0</v>
      </c>
      <c r="F3" s="146">
        <v>0</v>
      </c>
      <c r="G3" s="146">
        <v>1.0023615631184488E-3</v>
      </c>
      <c r="H3" s="146">
        <v>0</v>
      </c>
      <c r="I3" s="146">
        <v>0</v>
      </c>
      <c r="J3" s="146">
        <v>0</v>
      </c>
      <c r="K3" s="146">
        <v>0</v>
      </c>
      <c r="L3" s="146">
        <v>0</v>
      </c>
      <c r="M3" s="146">
        <v>0</v>
      </c>
      <c r="N3" s="146">
        <v>0</v>
      </c>
      <c r="O3" s="146">
        <v>0</v>
      </c>
      <c r="P3" s="146">
        <v>0</v>
      </c>
      <c r="Q3" s="146">
        <v>0</v>
      </c>
      <c r="R3" s="146">
        <v>0</v>
      </c>
      <c r="S3" s="146">
        <v>0</v>
      </c>
      <c r="T3" s="146">
        <v>0</v>
      </c>
      <c r="U3" s="146">
        <v>0</v>
      </c>
      <c r="V3" s="146">
        <v>0</v>
      </c>
      <c r="W3" s="146">
        <v>0</v>
      </c>
      <c r="X3" s="146">
        <v>0</v>
      </c>
      <c r="Y3" s="146">
        <v>0</v>
      </c>
      <c r="Z3" s="146">
        <v>0</v>
      </c>
      <c r="AA3" s="146">
        <v>0</v>
      </c>
      <c r="AB3" s="146">
        <v>0</v>
      </c>
      <c r="AC3" s="146">
        <v>0</v>
      </c>
      <c r="AD3" s="146">
        <v>0</v>
      </c>
      <c r="AE3" s="146">
        <v>0</v>
      </c>
      <c r="AF3" s="146">
        <v>0</v>
      </c>
      <c r="AG3" s="146">
        <v>0</v>
      </c>
      <c r="AH3" s="146">
        <v>0</v>
      </c>
      <c r="AI3" s="146">
        <v>0</v>
      </c>
      <c r="AJ3" s="146">
        <v>0</v>
      </c>
      <c r="AK3" s="146">
        <v>0</v>
      </c>
    </row>
    <row r="4" spans="1:37" customFormat="1" x14ac:dyDescent="0.15">
      <c r="A4" s="181" t="s">
        <v>193</v>
      </c>
      <c r="B4" s="146">
        <v>0</v>
      </c>
      <c r="C4" s="146">
        <v>0</v>
      </c>
      <c r="D4" s="146">
        <v>0</v>
      </c>
      <c r="E4" s="146">
        <v>0</v>
      </c>
      <c r="F4" s="146">
        <v>0</v>
      </c>
      <c r="G4" s="146">
        <v>0</v>
      </c>
      <c r="H4" s="146">
        <v>0</v>
      </c>
      <c r="I4" s="146">
        <v>0</v>
      </c>
      <c r="J4" s="146">
        <v>0</v>
      </c>
      <c r="K4" s="146">
        <v>0</v>
      </c>
      <c r="L4" s="146">
        <v>0</v>
      </c>
      <c r="M4" s="146">
        <v>0</v>
      </c>
      <c r="N4" s="146">
        <v>0</v>
      </c>
      <c r="O4" s="146">
        <v>0</v>
      </c>
      <c r="P4" s="146">
        <v>0</v>
      </c>
      <c r="Q4" s="146">
        <v>0</v>
      </c>
      <c r="R4" s="146">
        <v>0</v>
      </c>
      <c r="S4" s="146">
        <v>0</v>
      </c>
      <c r="T4" s="146">
        <v>0</v>
      </c>
      <c r="U4" s="146">
        <v>0</v>
      </c>
      <c r="V4" s="146">
        <v>0</v>
      </c>
      <c r="W4" s="146">
        <v>0</v>
      </c>
      <c r="X4" s="146">
        <v>9.9927261999802259E-4</v>
      </c>
      <c r="Y4" s="146">
        <v>0</v>
      </c>
      <c r="Z4" s="146">
        <v>0</v>
      </c>
      <c r="AA4" s="146">
        <v>0</v>
      </c>
      <c r="AB4" s="146">
        <v>0</v>
      </c>
      <c r="AC4" s="146">
        <v>0</v>
      </c>
      <c r="AD4" s="146">
        <v>0</v>
      </c>
      <c r="AE4" s="146">
        <v>0</v>
      </c>
      <c r="AF4" s="146">
        <v>0</v>
      </c>
      <c r="AG4" s="146">
        <v>0</v>
      </c>
      <c r="AH4" s="146">
        <v>0</v>
      </c>
      <c r="AI4" s="146">
        <v>0</v>
      </c>
      <c r="AJ4" s="146">
        <v>0</v>
      </c>
      <c r="AK4" s="146">
        <v>0</v>
      </c>
    </row>
    <row r="5" spans="1:37" customFormat="1" x14ac:dyDescent="0.15">
      <c r="A5" s="181" t="s">
        <v>194</v>
      </c>
      <c r="B5" s="146">
        <v>0</v>
      </c>
      <c r="C5" s="146">
        <v>0</v>
      </c>
      <c r="D5" s="146">
        <v>0</v>
      </c>
      <c r="E5" s="146">
        <v>0</v>
      </c>
      <c r="F5" s="146">
        <v>0</v>
      </c>
      <c r="G5" s="146">
        <v>0</v>
      </c>
      <c r="H5" s="146">
        <v>0</v>
      </c>
      <c r="I5" s="146">
        <v>0</v>
      </c>
      <c r="J5" s="146">
        <v>0</v>
      </c>
      <c r="K5" s="146">
        <v>0</v>
      </c>
      <c r="L5" s="146">
        <v>0</v>
      </c>
      <c r="M5" s="146">
        <v>0</v>
      </c>
      <c r="N5" s="146">
        <v>0</v>
      </c>
      <c r="O5" s="146">
        <v>0</v>
      </c>
      <c r="P5" s="146">
        <v>0</v>
      </c>
      <c r="Q5" s="146">
        <v>0</v>
      </c>
      <c r="R5" s="146">
        <v>0</v>
      </c>
      <c r="S5" s="146">
        <v>0</v>
      </c>
      <c r="T5" s="146">
        <v>0</v>
      </c>
      <c r="U5" s="146">
        <v>0</v>
      </c>
      <c r="V5" s="146">
        <v>0</v>
      </c>
      <c r="W5" s="146">
        <v>0</v>
      </c>
      <c r="X5" s="146">
        <v>0</v>
      </c>
      <c r="Y5" s="146">
        <v>0</v>
      </c>
      <c r="Z5" s="146">
        <v>0</v>
      </c>
      <c r="AA5" s="146">
        <v>0</v>
      </c>
      <c r="AB5" s="146">
        <v>0</v>
      </c>
      <c r="AC5" s="146">
        <v>0</v>
      </c>
      <c r="AD5" s="146">
        <v>0</v>
      </c>
      <c r="AE5" s="146">
        <v>0</v>
      </c>
      <c r="AF5" s="146">
        <v>0</v>
      </c>
      <c r="AG5" s="146">
        <v>0</v>
      </c>
      <c r="AH5" s="146">
        <v>0</v>
      </c>
      <c r="AI5" s="146">
        <v>0</v>
      </c>
      <c r="AJ5" s="146">
        <v>0</v>
      </c>
      <c r="AK5" s="146">
        <v>0</v>
      </c>
    </row>
    <row r="6" spans="1:37" customFormat="1" x14ac:dyDescent="0.15">
      <c r="A6" s="181" t="s">
        <v>195</v>
      </c>
      <c r="B6" s="146">
        <v>0</v>
      </c>
      <c r="C6" s="146">
        <v>0</v>
      </c>
      <c r="D6" s="146">
        <v>0</v>
      </c>
      <c r="E6" s="146">
        <v>0</v>
      </c>
      <c r="F6" s="146">
        <v>0</v>
      </c>
      <c r="G6" s="146">
        <v>2.7063762904447911E-2</v>
      </c>
      <c r="H6" s="146">
        <v>0</v>
      </c>
      <c r="I6" s="146">
        <v>3.0022936477118083E-3</v>
      </c>
      <c r="J6" s="146">
        <v>5.9917197812178347E-3</v>
      </c>
      <c r="K6" s="146">
        <v>0</v>
      </c>
      <c r="L6" s="146">
        <v>0</v>
      </c>
      <c r="M6" s="146">
        <v>0</v>
      </c>
      <c r="N6" s="146">
        <v>0</v>
      </c>
      <c r="O6" s="146">
        <v>0</v>
      </c>
      <c r="P6" s="146">
        <v>0</v>
      </c>
      <c r="Q6" s="146">
        <v>0</v>
      </c>
      <c r="R6" s="146">
        <v>0</v>
      </c>
      <c r="S6" s="146">
        <v>0</v>
      </c>
      <c r="T6" s="146">
        <v>0</v>
      </c>
      <c r="U6" s="146">
        <v>0</v>
      </c>
      <c r="V6" s="146">
        <v>0</v>
      </c>
      <c r="W6" s="146">
        <v>0</v>
      </c>
      <c r="X6" s="146">
        <v>0</v>
      </c>
      <c r="Y6" s="146">
        <v>0</v>
      </c>
      <c r="Z6" s="146">
        <v>0</v>
      </c>
      <c r="AA6" s="146">
        <v>0</v>
      </c>
      <c r="AB6" s="146">
        <v>0</v>
      </c>
      <c r="AC6" s="146">
        <v>0</v>
      </c>
      <c r="AD6" s="146">
        <v>0</v>
      </c>
      <c r="AE6" s="146">
        <v>0</v>
      </c>
      <c r="AF6" s="146">
        <v>0</v>
      </c>
      <c r="AG6" s="146">
        <v>0</v>
      </c>
      <c r="AH6" s="146">
        <v>0</v>
      </c>
      <c r="AI6" s="146">
        <v>0</v>
      </c>
      <c r="AJ6" s="146">
        <v>0</v>
      </c>
      <c r="AK6" s="146">
        <v>0</v>
      </c>
    </row>
    <row r="7" spans="1:37" customFormat="1" x14ac:dyDescent="0.15">
      <c r="A7" s="181" t="s">
        <v>196</v>
      </c>
      <c r="B7" s="146">
        <v>0</v>
      </c>
      <c r="C7" s="146">
        <v>0</v>
      </c>
      <c r="D7" s="146">
        <v>0</v>
      </c>
      <c r="E7" s="146">
        <v>0</v>
      </c>
      <c r="F7" s="146">
        <v>0</v>
      </c>
      <c r="G7" s="146">
        <v>6.0021410879704008E-3</v>
      </c>
      <c r="H7" s="146">
        <v>0</v>
      </c>
      <c r="I7" s="146">
        <v>0</v>
      </c>
      <c r="J7" s="146">
        <v>0</v>
      </c>
      <c r="K7" s="146">
        <v>0</v>
      </c>
      <c r="L7" s="146">
        <v>0</v>
      </c>
      <c r="M7" s="146">
        <v>0</v>
      </c>
      <c r="N7" s="146">
        <v>0</v>
      </c>
      <c r="O7" s="146">
        <v>0</v>
      </c>
      <c r="P7" s="146">
        <v>0</v>
      </c>
      <c r="Q7" s="146">
        <v>0</v>
      </c>
      <c r="R7" s="146">
        <v>0</v>
      </c>
      <c r="S7" s="146">
        <v>0</v>
      </c>
      <c r="T7" s="146">
        <v>0</v>
      </c>
      <c r="U7" s="146">
        <v>0</v>
      </c>
      <c r="V7" s="146">
        <v>0</v>
      </c>
      <c r="W7" s="146">
        <v>0</v>
      </c>
      <c r="X7" s="146">
        <v>4.9963625998542174E-3</v>
      </c>
      <c r="Y7" s="146">
        <v>0</v>
      </c>
      <c r="Z7" s="146">
        <v>0</v>
      </c>
      <c r="AA7" s="146">
        <v>0</v>
      </c>
      <c r="AB7" s="146">
        <v>0</v>
      </c>
      <c r="AC7" s="146">
        <v>0</v>
      </c>
      <c r="AD7" s="146">
        <v>0</v>
      </c>
      <c r="AE7" s="146">
        <v>0</v>
      </c>
      <c r="AF7" s="146">
        <v>0</v>
      </c>
      <c r="AG7" s="146">
        <v>0</v>
      </c>
      <c r="AH7" s="146">
        <v>0</v>
      </c>
      <c r="AI7" s="146">
        <v>0</v>
      </c>
      <c r="AJ7" s="146">
        <v>0</v>
      </c>
      <c r="AK7" s="146">
        <v>0</v>
      </c>
    </row>
    <row r="8" spans="1:37" customFormat="1" x14ac:dyDescent="0.15">
      <c r="A8" s="181" t="s">
        <v>197</v>
      </c>
      <c r="B8" s="146">
        <v>0</v>
      </c>
      <c r="C8" s="146">
        <v>8.9931481452530347E-3</v>
      </c>
      <c r="D8" s="146">
        <v>0</v>
      </c>
      <c r="E8" s="146">
        <v>9.9999999999999985E-3</v>
      </c>
      <c r="F8" s="146">
        <v>1.8999997959419951E-2</v>
      </c>
      <c r="G8" s="146">
        <v>8.2193650176426492E-2</v>
      </c>
      <c r="H8" s="146">
        <v>4.6008548408538061E-2</v>
      </c>
      <c r="I8" s="146">
        <v>2.101605565395432E-2</v>
      </c>
      <c r="J8" s="146">
        <v>3.9944798508131617E-3</v>
      </c>
      <c r="K8" s="146">
        <v>0</v>
      </c>
      <c r="L8" s="146">
        <v>0</v>
      </c>
      <c r="M8" s="146">
        <v>0</v>
      </c>
      <c r="N8" s="146">
        <v>0</v>
      </c>
      <c r="O8" s="146">
        <v>0</v>
      </c>
      <c r="P8" s="146">
        <v>0</v>
      </c>
      <c r="Q8" s="146">
        <v>0</v>
      </c>
      <c r="R8" s="146">
        <v>0</v>
      </c>
      <c r="S8" s="146">
        <v>0</v>
      </c>
      <c r="T8" s="146">
        <v>0</v>
      </c>
      <c r="U8" s="146">
        <v>0</v>
      </c>
      <c r="V8" s="146">
        <v>0</v>
      </c>
      <c r="W8" s="146">
        <v>0</v>
      </c>
      <c r="X8" s="146">
        <v>0</v>
      </c>
      <c r="Y8" s="146">
        <v>0</v>
      </c>
      <c r="Z8" s="146">
        <v>0</v>
      </c>
      <c r="AA8" s="146">
        <v>0</v>
      </c>
      <c r="AB8" s="146">
        <v>0</v>
      </c>
      <c r="AC8" s="146">
        <v>0</v>
      </c>
      <c r="AD8" s="146">
        <v>0</v>
      </c>
      <c r="AE8" s="146">
        <v>0</v>
      </c>
      <c r="AF8" s="146">
        <v>0</v>
      </c>
      <c r="AG8" s="146">
        <v>0</v>
      </c>
      <c r="AH8" s="146">
        <v>0</v>
      </c>
      <c r="AI8" s="146">
        <v>0</v>
      </c>
      <c r="AJ8" s="146">
        <v>0</v>
      </c>
      <c r="AK8" s="146">
        <v>0</v>
      </c>
    </row>
    <row r="9" spans="1:37" customFormat="1" x14ac:dyDescent="0.15">
      <c r="A9" s="181" t="s">
        <v>198</v>
      </c>
      <c r="B9" s="146">
        <v>0</v>
      </c>
      <c r="C9" s="146">
        <v>3.9969546367566661E-3</v>
      </c>
      <c r="D9" s="146">
        <v>0</v>
      </c>
      <c r="E9" s="146">
        <v>3.9999999999999992E-3</v>
      </c>
      <c r="F9" s="146">
        <v>0</v>
      </c>
      <c r="G9" s="146">
        <v>3.0010705439852001E-2</v>
      </c>
      <c r="H9" s="146">
        <v>0</v>
      </c>
      <c r="I9" s="146">
        <v>2.001529205116015E-3</v>
      </c>
      <c r="J9" s="146">
        <v>0</v>
      </c>
      <c r="K9" s="146">
        <v>0</v>
      </c>
      <c r="L9" s="146">
        <v>0</v>
      </c>
      <c r="M9" s="146">
        <v>0</v>
      </c>
      <c r="N9" s="146">
        <v>0</v>
      </c>
      <c r="O9" s="146">
        <v>0</v>
      </c>
      <c r="P9" s="146">
        <v>0</v>
      </c>
      <c r="Q9" s="146">
        <v>0</v>
      </c>
      <c r="R9" s="146">
        <v>0</v>
      </c>
      <c r="S9" s="146">
        <v>0</v>
      </c>
      <c r="T9" s="146">
        <v>0</v>
      </c>
      <c r="U9" s="146">
        <v>0</v>
      </c>
      <c r="V9" s="146">
        <v>0</v>
      </c>
      <c r="W9" s="146">
        <v>0</v>
      </c>
      <c r="X9" s="146">
        <v>0</v>
      </c>
      <c r="Y9" s="146">
        <v>0</v>
      </c>
      <c r="Z9" s="146">
        <v>0</v>
      </c>
      <c r="AA9" s="146">
        <v>0</v>
      </c>
      <c r="AB9" s="146">
        <v>0</v>
      </c>
      <c r="AC9" s="146">
        <v>0</v>
      </c>
      <c r="AD9" s="146">
        <v>0</v>
      </c>
      <c r="AE9" s="146">
        <v>0</v>
      </c>
      <c r="AF9" s="146">
        <v>0</v>
      </c>
      <c r="AG9" s="146">
        <v>0</v>
      </c>
      <c r="AH9" s="146">
        <v>0</v>
      </c>
      <c r="AI9" s="146">
        <v>0</v>
      </c>
      <c r="AJ9" s="146">
        <v>0</v>
      </c>
      <c r="AK9" s="146">
        <v>0</v>
      </c>
    </row>
    <row r="10" spans="1:37" customFormat="1" x14ac:dyDescent="0.15">
      <c r="A10" s="181" t="s">
        <v>199</v>
      </c>
      <c r="B10" s="146">
        <v>0</v>
      </c>
      <c r="C10" s="146">
        <v>3.9969546367566661E-3</v>
      </c>
      <c r="D10" s="146">
        <v>0</v>
      </c>
      <c r="E10" s="146">
        <v>4.9999999999999992E-3</v>
      </c>
      <c r="F10" s="146">
        <v>0</v>
      </c>
      <c r="G10" s="146">
        <v>3.6012846527822398E-2</v>
      </c>
      <c r="H10" s="146">
        <v>0</v>
      </c>
      <c r="I10" s="146">
        <v>2.001529205116015E-3</v>
      </c>
      <c r="J10" s="146">
        <v>3.9944798508131617E-3</v>
      </c>
      <c r="K10" s="146">
        <v>0</v>
      </c>
      <c r="L10" s="146">
        <v>0</v>
      </c>
      <c r="M10" s="146">
        <v>0</v>
      </c>
      <c r="N10" s="146">
        <v>0</v>
      </c>
      <c r="O10" s="146">
        <v>0</v>
      </c>
      <c r="P10" s="146">
        <v>0</v>
      </c>
      <c r="Q10" s="146">
        <v>0</v>
      </c>
      <c r="R10" s="146">
        <v>0</v>
      </c>
      <c r="S10" s="146">
        <v>0</v>
      </c>
      <c r="T10" s="146">
        <v>0</v>
      </c>
      <c r="U10" s="146">
        <v>0</v>
      </c>
      <c r="V10" s="146">
        <v>0</v>
      </c>
      <c r="W10" s="146">
        <v>0</v>
      </c>
      <c r="X10" s="146">
        <v>0</v>
      </c>
      <c r="Y10" s="146">
        <v>0</v>
      </c>
      <c r="Z10" s="146">
        <v>0</v>
      </c>
      <c r="AA10" s="146">
        <v>0</v>
      </c>
      <c r="AB10" s="146">
        <v>0</v>
      </c>
      <c r="AC10" s="146">
        <v>0</v>
      </c>
      <c r="AD10" s="146">
        <v>0</v>
      </c>
      <c r="AE10" s="146">
        <v>0</v>
      </c>
      <c r="AF10" s="146">
        <v>0</v>
      </c>
      <c r="AG10" s="146">
        <v>0</v>
      </c>
      <c r="AH10" s="146">
        <v>0</v>
      </c>
      <c r="AI10" s="146">
        <v>0</v>
      </c>
      <c r="AJ10" s="146">
        <v>0</v>
      </c>
      <c r="AK10" s="146">
        <v>0</v>
      </c>
    </row>
    <row r="11" spans="1:37" customFormat="1" x14ac:dyDescent="0.15">
      <c r="A11" s="181" t="s">
        <v>200</v>
      </c>
      <c r="B11" s="146">
        <v>3.4161493237577639E-2</v>
      </c>
      <c r="C11" s="146">
        <v>1.2990102331902686E-2</v>
      </c>
      <c r="D11" s="146">
        <v>0</v>
      </c>
      <c r="E11" s="146">
        <v>9.9999999999999978E-2</v>
      </c>
      <c r="F11" s="146">
        <v>8.4999992055299803E-2</v>
      </c>
      <c r="G11" s="146">
        <v>4.6108630302877693E-2</v>
      </c>
      <c r="H11" s="146">
        <v>0.20003716699364374</v>
      </c>
      <c r="I11" s="146">
        <v>2.0015289451774169E-2</v>
      </c>
      <c r="J11" s="146">
        <v>0.41243002946473395</v>
      </c>
      <c r="K11" s="146">
        <v>7.000000000000001E-3</v>
      </c>
      <c r="L11" s="146">
        <v>0</v>
      </c>
      <c r="M11" s="146">
        <v>0</v>
      </c>
      <c r="N11" s="146">
        <v>0</v>
      </c>
      <c r="O11" s="146">
        <v>0</v>
      </c>
      <c r="P11" s="146">
        <v>0</v>
      </c>
      <c r="Q11" s="146">
        <v>0</v>
      </c>
      <c r="R11" s="146">
        <v>0</v>
      </c>
      <c r="S11" s="146">
        <v>2.2032761046362141E-2</v>
      </c>
      <c r="T11" s="146">
        <v>0</v>
      </c>
      <c r="U11" s="146">
        <v>0</v>
      </c>
      <c r="V11" s="146">
        <v>0</v>
      </c>
      <c r="W11" s="146">
        <v>0</v>
      </c>
      <c r="X11" s="146">
        <v>0</v>
      </c>
      <c r="Y11" s="146">
        <v>1.9980419208775795E-2</v>
      </c>
      <c r="Z11" s="146">
        <v>0</v>
      </c>
      <c r="AA11" s="146">
        <v>0</v>
      </c>
      <c r="AB11" s="146">
        <v>0</v>
      </c>
      <c r="AC11" s="146">
        <v>0</v>
      </c>
      <c r="AD11" s="146">
        <v>0</v>
      </c>
      <c r="AE11" s="146">
        <v>2.0000000000000004E-2</v>
      </c>
      <c r="AF11" s="146">
        <v>0</v>
      </c>
      <c r="AG11" s="146">
        <v>0</v>
      </c>
      <c r="AH11" s="146">
        <v>0</v>
      </c>
      <c r="AI11" s="146">
        <v>0</v>
      </c>
      <c r="AJ11" s="146">
        <v>0</v>
      </c>
      <c r="AK11" s="146">
        <v>0</v>
      </c>
    </row>
    <row r="12" spans="1:37" customFormat="1" x14ac:dyDescent="0.15">
      <c r="A12" s="181" t="s">
        <v>201</v>
      </c>
      <c r="B12" s="146">
        <v>0</v>
      </c>
      <c r="C12" s="146">
        <v>5.9954319601361883E-3</v>
      </c>
      <c r="D12" s="146">
        <v>0</v>
      </c>
      <c r="E12" s="146">
        <v>6.8999999999999992E-2</v>
      </c>
      <c r="F12" s="146">
        <v>6.2000001499160039E-2</v>
      </c>
      <c r="G12" s="146">
        <v>6.0141693787106936E-3</v>
      </c>
      <c r="H12" s="146">
        <v>6.0011150098093116E-2</v>
      </c>
      <c r="I12" s="146">
        <v>0.11897189683567037</v>
      </c>
      <c r="J12" s="146">
        <v>4.0984358258603908E-2</v>
      </c>
      <c r="K12" s="146">
        <v>0</v>
      </c>
      <c r="L12" s="146">
        <v>0</v>
      </c>
      <c r="M12" s="146">
        <v>0</v>
      </c>
      <c r="N12" s="146">
        <v>4.399925125550154E-2</v>
      </c>
      <c r="O12" s="146">
        <v>6.3E-2</v>
      </c>
      <c r="P12" s="146">
        <v>0.133097700945606</v>
      </c>
      <c r="Q12" s="146">
        <v>4.4042104113970616E-2</v>
      </c>
      <c r="R12" s="146">
        <v>0.19700000000000004</v>
      </c>
      <c r="S12" s="146">
        <v>3.0044675281952738E-3</v>
      </c>
      <c r="T12" s="146">
        <v>0.13600000000000001</v>
      </c>
      <c r="U12" s="146">
        <v>0</v>
      </c>
      <c r="V12" s="146">
        <v>2.6010752501742288E-2</v>
      </c>
      <c r="W12" s="146">
        <v>0</v>
      </c>
      <c r="X12" s="146">
        <v>3.4009240910678445E-2</v>
      </c>
      <c r="Y12" s="146">
        <v>6.9001378647545381E-2</v>
      </c>
      <c r="Z12" s="146">
        <v>0</v>
      </c>
      <c r="AA12" s="146">
        <v>0</v>
      </c>
      <c r="AB12" s="146">
        <v>0</v>
      </c>
      <c r="AC12" s="146">
        <v>0</v>
      </c>
      <c r="AD12" s="146">
        <v>0</v>
      </c>
      <c r="AE12" s="146">
        <v>1.7000000000000005E-2</v>
      </c>
      <c r="AF12" s="146">
        <v>0</v>
      </c>
      <c r="AG12" s="146">
        <v>0</v>
      </c>
      <c r="AH12" s="146">
        <v>0</v>
      </c>
      <c r="AI12" s="146">
        <v>0</v>
      </c>
      <c r="AJ12" s="146">
        <v>0</v>
      </c>
      <c r="AK12" s="146">
        <v>0</v>
      </c>
    </row>
    <row r="13" spans="1:37" customFormat="1" x14ac:dyDescent="0.15">
      <c r="A13" s="181" t="s">
        <v>202</v>
      </c>
      <c r="B13" s="146">
        <v>3.4161493237577639E-2</v>
      </c>
      <c r="C13" s="146">
        <v>1.2990102331902686E-2</v>
      </c>
      <c r="D13" s="146">
        <v>0</v>
      </c>
      <c r="E13" s="146">
        <v>9.8999999999999977E-2</v>
      </c>
      <c r="F13" s="146">
        <v>0.10700000258726006</v>
      </c>
      <c r="G13" s="146">
        <v>7.0024979359654682E-2</v>
      </c>
      <c r="H13" s="146">
        <v>0.12302285770109089</v>
      </c>
      <c r="I13" s="146">
        <v>0.42290010387805521</v>
      </c>
      <c r="J13" s="146">
        <v>0.20092331731657037</v>
      </c>
      <c r="K13" s="146">
        <v>6.000000000000001E-3</v>
      </c>
      <c r="L13" s="146">
        <v>0</v>
      </c>
      <c r="M13" s="146">
        <v>0</v>
      </c>
      <c r="N13" s="146">
        <v>0.10199826427411721</v>
      </c>
      <c r="O13" s="146">
        <v>0.13600000000000001</v>
      </c>
      <c r="P13" s="146">
        <v>0.133097700945606</v>
      </c>
      <c r="Q13" s="146">
        <v>0</v>
      </c>
      <c r="R13" s="146">
        <v>0.13700000000000004</v>
      </c>
      <c r="S13" s="146">
        <v>3.5052120828782278E-2</v>
      </c>
      <c r="T13" s="146">
        <v>0</v>
      </c>
      <c r="U13" s="146">
        <v>0</v>
      </c>
      <c r="V13" s="146">
        <v>2.0008271155186375E-2</v>
      </c>
      <c r="W13" s="146">
        <v>0</v>
      </c>
      <c r="X13" s="146">
        <v>0.12803478931078943</v>
      </c>
      <c r="Y13" s="146">
        <v>2.0000399607984169E-2</v>
      </c>
      <c r="Z13" s="146">
        <v>0</v>
      </c>
      <c r="AA13" s="146">
        <v>0</v>
      </c>
      <c r="AB13" s="146">
        <v>5.6926851369563679E-2</v>
      </c>
      <c r="AC13" s="146">
        <v>0</v>
      </c>
      <c r="AD13" s="146">
        <v>0</v>
      </c>
      <c r="AE13" s="146">
        <v>2.1000000000000005E-2</v>
      </c>
      <c r="AF13" s="146">
        <v>0</v>
      </c>
      <c r="AG13" s="146">
        <v>0</v>
      </c>
      <c r="AH13" s="146">
        <v>0</v>
      </c>
      <c r="AI13" s="146">
        <v>0</v>
      </c>
      <c r="AJ13" s="146">
        <v>0</v>
      </c>
      <c r="AK13" s="146">
        <v>0</v>
      </c>
    </row>
    <row r="14" spans="1:37" customFormat="1" x14ac:dyDescent="0.15">
      <c r="A14" s="181" t="s">
        <v>203</v>
      </c>
      <c r="B14" s="146">
        <v>0</v>
      </c>
      <c r="C14" s="146">
        <v>2.0004756184795774E-2</v>
      </c>
      <c r="D14" s="146">
        <v>0</v>
      </c>
      <c r="E14" s="146">
        <v>0</v>
      </c>
      <c r="F14" s="146">
        <v>1.5000000362700008E-2</v>
      </c>
      <c r="G14" s="146">
        <v>6.0021410879704001E-2</v>
      </c>
      <c r="H14" s="146">
        <v>2.0003716699364373E-2</v>
      </c>
      <c r="I14" s="146">
        <v>1.9995276779104267E-2</v>
      </c>
      <c r="J14" s="146">
        <v>3.9984739764491618E-3</v>
      </c>
      <c r="K14" s="146">
        <v>0</v>
      </c>
      <c r="L14" s="146">
        <v>0</v>
      </c>
      <c r="M14" s="146">
        <v>0</v>
      </c>
      <c r="N14" s="146">
        <v>1.1999795796954966E-2</v>
      </c>
      <c r="O14" s="146">
        <v>2.8000000000000001E-2</v>
      </c>
      <c r="P14" s="146">
        <v>0</v>
      </c>
      <c r="Q14" s="146">
        <v>1.9999119160795595E-2</v>
      </c>
      <c r="R14" s="146">
        <v>2.0000000000000004E-2</v>
      </c>
      <c r="S14" s="146">
        <v>0</v>
      </c>
      <c r="T14" s="146">
        <v>0.02</v>
      </c>
      <c r="U14" s="146">
        <v>0</v>
      </c>
      <c r="V14" s="146">
        <v>3.6014888079335471E-2</v>
      </c>
      <c r="W14" s="146">
        <v>0</v>
      </c>
      <c r="X14" s="146">
        <v>5.0013589574527124E-2</v>
      </c>
      <c r="Y14" s="146">
        <v>0</v>
      </c>
      <c r="Z14" s="146">
        <v>0</v>
      </c>
      <c r="AA14" s="146">
        <v>0</v>
      </c>
      <c r="AB14" s="146">
        <v>0</v>
      </c>
      <c r="AC14" s="146">
        <v>0</v>
      </c>
      <c r="AD14" s="146">
        <v>0</v>
      </c>
      <c r="AE14" s="146">
        <v>0</v>
      </c>
      <c r="AF14" s="146">
        <v>0</v>
      </c>
      <c r="AG14" s="146">
        <v>0</v>
      </c>
      <c r="AH14" s="146">
        <v>0</v>
      </c>
      <c r="AI14" s="146">
        <v>0</v>
      </c>
      <c r="AJ14" s="146">
        <v>0</v>
      </c>
      <c r="AK14" s="146">
        <v>0</v>
      </c>
    </row>
    <row r="15" spans="1:37" customFormat="1" x14ac:dyDescent="0.15">
      <c r="A15" s="181" t="s">
        <v>204</v>
      </c>
      <c r="B15" s="146">
        <v>0</v>
      </c>
      <c r="C15" s="146">
        <v>2.0004756184795774E-2</v>
      </c>
      <c r="D15" s="146">
        <v>0</v>
      </c>
      <c r="E15" s="146">
        <v>0</v>
      </c>
      <c r="F15" s="146">
        <v>1.0000000241800006E-2</v>
      </c>
      <c r="G15" s="146">
        <v>4.5016058159778001E-2</v>
      </c>
      <c r="H15" s="146">
        <v>1.0001858349682187E-2</v>
      </c>
      <c r="I15" s="146">
        <v>9.9976383895521333E-3</v>
      </c>
      <c r="J15" s="146">
        <v>9.9961849411229035E-3</v>
      </c>
      <c r="K15" s="146">
        <v>0</v>
      </c>
      <c r="L15" s="146">
        <v>0</v>
      </c>
      <c r="M15" s="146">
        <v>0</v>
      </c>
      <c r="N15" s="146">
        <v>9.9998298307958054E-3</v>
      </c>
      <c r="O15" s="146">
        <v>1.7000000000000001E-2</v>
      </c>
      <c r="P15" s="146">
        <v>0</v>
      </c>
      <c r="Q15" s="146">
        <v>9.9995595803977974E-3</v>
      </c>
      <c r="R15" s="146">
        <v>0</v>
      </c>
      <c r="S15" s="146">
        <v>0</v>
      </c>
      <c r="T15" s="146">
        <v>1.4999999999999999E-2</v>
      </c>
      <c r="U15" s="146">
        <v>0</v>
      </c>
      <c r="V15" s="146">
        <v>1.2004962693111826E-2</v>
      </c>
      <c r="W15" s="146">
        <v>0</v>
      </c>
      <c r="X15" s="146">
        <v>4.0010871659621694E-2</v>
      </c>
      <c r="Y15" s="146">
        <v>3.0000599411976253E-3</v>
      </c>
      <c r="Z15" s="146">
        <v>0</v>
      </c>
      <c r="AA15" s="146">
        <v>0</v>
      </c>
      <c r="AB15" s="146">
        <v>0</v>
      </c>
      <c r="AC15" s="146">
        <v>0</v>
      </c>
      <c r="AD15" s="146">
        <v>0</v>
      </c>
      <c r="AE15" s="146">
        <v>0</v>
      </c>
      <c r="AF15" s="146">
        <v>0</v>
      </c>
      <c r="AG15" s="146">
        <v>0</v>
      </c>
      <c r="AH15" s="146">
        <v>0</v>
      </c>
      <c r="AI15" s="146">
        <v>0</v>
      </c>
      <c r="AJ15" s="146">
        <v>0</v>
      </c>
      <c r="AK15" s="146">
        <v>0</v>
      </c>
    </row>
    <row r="16" spans="1:37" customFormat="1" x14ac:dyDescent="0.15">
      <c r="A16" s="181" t="s">
        <v>205</v>
      </c>
      <c r="B16" s="146">
        <v>0</v>
      </c>
      <c r="C16" s="146">
        <v>2.997715975066905E-3</v>
      </c>
      <c r="D16" s="146">
        <v>0</v>
      </c>
      <c r="E16" s="146">
        <v>0</v>
      </c>
      <c r="F16" s="146">
        <v>9.9999992417999818E-3</v>
      </c>
      <c r="G16" s="146">
        <v>0</v>
      </c>
      <c r="H16" s="146">
        <v>5.0009291748410933E-3</v>
      </c>
      <c r="I16" s="146">
        <v>2.001529205116015E-3</v>
      </c>
      <c r="J16" s="146">
        <v>0</v>
      </c>
      <c r="K16" s="146">
        <v>0</v>
      </c>
      <c r="L16" s="146">
        <v>0</v>
      </c>
      <c r="M16" s="146">
        <v>0</v>
      </c>
      <c r="N16" s="146">
        <v>6.0059037962738593E-3</v>
      </c>
      <c r="O16" s="146">
        <v>8.9999999999999993E-3</v>
      </c>
      <c r="P16" s="146">
        <v>0</v>
      </c>
      <c r="Q16" s="146">
        <v>9.9995595803977974E-3</v>
      </c>
      <c r="R16" s="146">
        <v>0</v>
      </c>
      <c r="S16" s="146">
        <v>0</v>
      </c>
      <c r="T16" s="146">
        <v>0</v>
      </c>
      <c r="U16" s="146">
        <v>0</v>
      </c>
      <c r="V16" s="146">
        <v>0</v>
      </c>
      <c r="W16" s="146">
        <v>0</v>
      </c>
      <c r="X16" s="146">
        <v>4.9963625998542174E-3</v>
      </c>
      <c r="Y16" s="146">
        <v>2.0000399607984169E-3</v>
      </c>
      <c r="Z16" s="146">
        <v>0</v>
      </c>
      <c r="AA16" s="146">
        <v>0</v>
      </c>
      <c r="AB16" s="146">
        <v>0</v>
      </c>
      <c r="AC16" s="146">
        <v>0</v>
      </c>
      <c r="AD16" s="146">
        <v>0</v>
      </c>
      <c r="AE16" s="146">
        <v>0</v>
      </c>
      <c r="AF16" s="146">
        <v>0</v>
      </c>
      <c r="AG16" s="146">
        <v>0</v>
      </c>
      <c r="AH16" s="146">
        <v>0</v>
      </c>
      <c r="AI16" s="146">
        <v>0</v>
      </c>
      <c r="AJ16" s="146">
        <v>0</v>
      </c>
      <c r="AK16" s="146">
        <v>0</v>
      </c>
    </row>
    <row r="17" spans="1:37" customFormat="1" x14ac:dyDescent="0.15">
      <c r="A17" s="181" t="s">
        <v>206</v>
      </c>
      <c r="B17" s="146">
        <v>0</v>
      </c>
      <c r="C17" s="146">
        <v>0</v>
      </c>
      <c r="D17" s="146">
        <v>0</v>
      </c>
      <c r="E17" s="146">
        <v>0</v>
      </c>
      <c r="F17" s="146">
        <v>9.9999992417999805E-4</v>
      </c>
      <c r="G17" s="146">
        <v>2.0007136959901334E-2</v>
      </c>
      <c r="H17" s="146">
        <v>7.0013008447775311E-3</v>
      </c>
      <c r="I17" s="146">
        <v>9.9976383895521333E-3</v>
      </c>
      <c r="J17" s="146">
        <v>0</v>
      </c>
      <c r="K17" s="146">
        <v>0</v>
      </c>
      <c r="L17" s="146">
        <v>0</v>
      </c>
      <c r="M17" s="146">
        <v>0</v>
      </c>
      <c r="N17" s="146">
        <v>0</v>
      </c>
      <c r="O17" s="146">
        <v>0</v>
      </c>
      <c r="P17" s="146">
        <v>0</v>
      </c>
      <c r="Q17" s="146">
        <v>0</v>
      </c>
      <c r="R17" s="146">
        <v>0</v>
      </c>
      <c r="S17" s="146">
        <v>0</v>
      </c>
      <c r="T17" s="146">
        <v>0</v>
      </c>
      <c r="U17" s="146">
        <v>0</v>
      </c>
      <c r="V17" s="146">
        <v>0</v>
      </c>
      <c r="W17" s="146">
        <v>0</v>
      </c>
      <c r="X17" s="146">
        <v>1.5004076872358135E-2</v>
      </c>
      <c r="Y17" s="146">
        <v>0</v>
      </c>
      <c r="Z17" s="146">
        <v>0</v>
      </c>
      <c r="AA17" s="146">
        <v>0</v>
      </c>
      <c r="AB17" s="146">
        <v>0</v>
      </c>
      <c r="AC17" s="146">
        <v>0</v>
      </c>
      <c r="AD17" s="146">
        <v>0</v>
      </c>
      <c r="AE17" s="146">
        <v>0</v>
      </c>
      <c r="AF17" s="146">
        <v>0</v>
      </c>
      <c r="AG17" s="146">
        <v>0</v>
      </c>
      <c r="AH17" s="146">
        <v>0</v>
      </c>
      <c r="AI17" s="146">
        <v>0</v>
      </c>
      <c r="AJ17" s="146">
        <v>0</v>
      </c>
      <c r="AK17" s="146">
        <v>0</v>
      </c>
    </row>
    <row r="18" spans="1:37" customFormat="1" x14ac:dyDescent="0.15">
      <c r="A18" s="181" t="s">
        <v>207</v>
      </c>
      <c r="B18" s="146">
        <v>0</v>
      </c>
      <c r="C18" s="146">
        <v>3.9969546367566661E-3</v>
      </c>
      <c r="D18" s="146">
        <v>0</v>
      </c>
      <c r="E18" s="146">
        <v>0</v>
      </c>
      <c r="F18" s="146">
        <v>2.0000000483600014E-3</v>
      </c>
      <c r="G18" s="146">
        <v>0</v>
      </c>
      <c r="H18" s="146">
        <v>0</v>
      </c>
      <c r="I18" s="146">
        <v>3.0022936477118083E-3</v>
      </c>
      <c r="J18" s="146">
        <v>4.9980924705614518E-3</v>
      </c>
      <c r="K18" s="146">
        <v>0</v>
      </c>
      <c r="L18" s="146">
        <v>0</v>
      </c>
      <c r="M18" s="146">
        <v>0</v>
      </c>
      <c r="N18" s="146">
        <v>3.0029518981369296E-3</v>
      </c>
      <c r="O18" s="146">
        <v>5.0000000000000001E-3</v>
      </c>
      <c r="P18" s="146">
        <v>0</v>
      </c>
      <c r="Q18" s="146">
        <v>9.9995595803977974E-3</v>
      </c>
      <c r="R18" s="146">
        <v>0</v>
      </c>
      <c r="S18" s="146">
        <v>0</v>
      </c>
      <c r="T18" s="146">
        <v>0.01</v>
      </c>
      <c r="U18" s="146">
        <v>0</v>
      </c>
      <c r="V18" s="146">
        <v>0</v>
      </c>
      <c r="W18" s="146">
        <v>0</v>
      </c>
      <c r="X18" s="146">
        <v>4.9963625998542174E-3</v>
      </c>
      <c r="Y18" s="146">
        <v>0</v>
      </c>
      <c r="Z18" s="146">
        <v>0</v>
      </c>
      <c r="AA18" s="146">
        <v>0</v>
      </c>
      <c r="AB18" s="146">
        <v>0</v>
      </c>
      <c r="AC18" s="146">
        <v>0</v>
      </c>
      <c r="AD18" s="146">
        <v>0</v>
      </c>
      <c r="AE18" s="146">
        <v>0</v>
      </c>
      <c r="AF18" s="146">
        <v>0</v>
      </c>
      <c r="AG18" s="146">
        <v>0</v>
      </c>
      <c r="AH18" s="146">
        <v>0</v>
      </c>
      <c r="AI18" s="146">
        <v>0</v>
      </c>
      <c r="AJ18" s="146">
        <v>0</v>
      </c>
      <c r="AK18" s="146">
        <v>0</v>
      </c>
    </row>
    <row r="19" spans="1:37" customFormat="1" x14ac:dyDescent="0.15">
      <c r="A19" s="181" t="s">
        <v>208</v>
      </c>
      <c r="B19" s="146">
        <v>0</v>
      </c>
      <c r="C19" s="146">
        <v>0</v>
      </c>
      <c r="D19" s="146">
        <v>0</v>
      </c>
      <c r="E19" s="146">
        <v>0</v>
      </c>
      <c r="F19" s="146">
        <v>4.0000000967200022E-2</v>
      </c>
      <c r="G19" s="146">
        <v>3.4080294546526842E-2</v>
      </c>
      <c r="H19" s="146">
        <v>4.5962589869421276E-2</v>
      </c>
      <c r="I19" s="146">
        <v>4.0030578903548338E-2</v>
      </c>
      <c r="J19" s="146">
        <v>4.1942037958719418E-2</v>
      </c>
      <c r="K19" s="146">
        <v>0</v>
      </c>
      <c r="L19" s="146">
        <v>0</v>
      </c>
      <c r="M19" s="146">
        <v>0</v>
      </c>
      <c r="N19" s="146">
        <v>0</v>
      </c>
      <c r="O19" s="146">
        <v>0</v>
      </c>
      <c r="P19" s="146">
        <v>0</v>
      </c>
      <c r="Q19" s="146">
        <v>0</v>
      </c>
      <c r="R19" s="146">
        <v>0</v>
      </c>
      <c r="S19" s="146">
        <v>6.0029264471730043E-2</v>
      </c>
      <c r="T19" s="146">
        <v>0</v>
      </c>
      <c r="U19" s="146">
        <v>0</v>
      </c>
      <c r="V19" s="146">
        <v>0</v>
      </c>
      <c r="W19" s="146">
        <v>0</v>
      </c>
      <c r="X19" s="146">
        <v>1.0002717914905424E-2</v>
      </c>
      <c r="Y19" s="146">
        <v>1.5000299705988126E-2</v>
      </c>
      <c r="Z19" s="146">
        <v>0</v>
      </c>
      <c r="AA19" s="146">
        <v>0</v>
      </c>
      <c r="AB19" s="146">
        <v>5.9923000741845273E-3</v>
      </c>
      <c r="AC19" s="146">
        <v>0</v>
      </c>
      <c r="AD19" s="146">
        <v>0</v>
      </c>
      <c r="AE19" s="146">
        <v>0</v>
      </c>
      <c r="AF19" s="146">
        <v>0</v>
      </c>
      <c r="AG19" s="146">
        <v>0</v>
      </c>
      <c r="AH19" s="146">
        <v>0</v>
      </c>
      <c r="AI19" s="146">
        <v>0</v>
      </c>
      <c r="AJ19" s="146">
        <v>0</v>
      </c>
      <c r="AK19" s="146">
        <v>0</v>
      </c>
    </row>
    <row r="20" spans="1:37" customFormat="1" x14ac:dyDescent="0.15">
      <c r="A20" s="181" t="s">
        <v>209</v>
      </c>
      <c r="B20" s="146">
        <v>0</v>
      </c>
      <c r="C20" s="146">
        <v>0</v>
      </c>
      <c r="D20" s="146">
        <v>0</v>
      </c>
      <c r="E20" s="146">
        <v>0</v>
      </c>
      <c r="F20" s="146">
        <v>4.9999995408999886E-3</v>
      </c>
      <c r="G20" s="146">
        <v>6.0141693787106936E-3</v>
      </c>
      <c r="H20" s="146">
        <v>0</v>
      </c>
      <c r="I20" s="146">
        <v>8.0061168204640602E-3</v>
      </c>
      <c r="J20" s="146">
        <v>0</v>
      </c>
      <c r="K20" s="146">
        <v>0</v>
      </c>
      <c r="L20" s="146">
        <v>0</v>
      </c>
      <c r="M20" s="146">
        <v>0</v>
      </c>
      <c r="N20" s="146">
        <v>1.9999659661591611E-2</v>
      </c>
      <c r="O20" s="146">
        <v>2.5000000000000001E-2</v>
      </c>
      <c r="P20" s="146">
        <v>0</v>
      </c>
      <c r="Q20" s="146">
        <v>5.9997357482386778E-2</v>
      </c>
      <c r="R20" s="146">
        <v>0</v>
      </c>
      <c r="S20" s="146">
        <v>0</v>
      </c>
      <c r="T20" s="146">
        <v>0</v>
      </c>
      <c r="U20" s="146">
        <v>0</v>
      </c>
      <c r="V20" s="146">
        <v>0</v>
      </c>
      <c r="W20" s="146">
        <v>0</v>
      </c>
      <c r="X20" s="146">
        <v>4.0010871659621694E-2</v>
      </c>
      <c r="Y20" s="146">
        <v>0</v>
      </c>
      <c r="Z20" s="146">
        <v>0</v>
      </c>
      <c r="AA20" s="146">
        <v>0</v>
      </c>
      <c r="AB20" s="146">
        <v>0</v>
      </c>
      <c r="AC20" s="146">
        <v>0</v>
      </c>
      <c r="AD20" s="146">
        <v>0</v>
      </c>
      <c r="AE20" s="146">
        <v>0</v>
      </c>
      <c r="AF20" s="146">
        <v>0</v>
      </c>
      <c r="AG20" s="146">
        <v>0</v>
      </c>
      <c r="AH20" s="146">
        <v>0</v>
      </c>
      <c r="AI20" s="146">
        <v>0</v>
      </c>
      <c r="AJ20" s="146">
        <v>0</v>
      </c>
      <c r="AK20" s="146">
        <v>0</v>
      </c>
    </row>
    <row r="21" spans="1:37" customFormat="1" x14ac:dyDescent="0.15">
      <c r="A21" s="181" t="s">
        <v>210</v>
      </c>
      <c r="B21" s="146">
        <v>0</v>
      </c>
      <c r="C21" s="146">
        <v>1.0002378092397889E-3</v>
      </c>
      <c r="D21" s="146">
        <v>0</v>
      </c>
      <c r="E21" s="146">
        <v>1.9999999999999997E-2</v>
      </c>
      <c r="F21" s="146">
        <v>8.0000001934400055E-3</v>
      </c>
      <c r="G21" s="146">
        <v>1.0003568479950667E-3</v>
      </c>
      <c r="H21" s="146">
        <v>1.0001858349682187E-2</v>
      </c>
      <c r="I21" s="146">
        <v>1.199716606746256E-2</v>
      </c>
      <c r="J21" s="146">
        <v>0</v>
      </c>
      <c r="K21" s="146">
        <v>0</v>
      </c>
      <c r="L21" s="146">
        <v>0</v>
      </c>
      <c r="M21" s="146">
        <v>0</v>
      </c>
      <c r="N21" s="146">
        <v>9.9998298307958059E-4</v>
      </c>
      <c r="O21" s="146">
        <v>1.4999999999999999E-2</v>
      </c>
      <c r="P21" s="146">
        <v>0</v>
      </c>
      <c r="Q21" s="146">
        <v>1.9999119160795595E-3</v>
      </c>
      <c r="R21" s="146">
        <v>0</v>
      </c>
      <c r="S21" s="146">
        <v>0</v>
      </c>
      <c r="T21" s="146">
        <v>1.2E-2</v>
      </c>
      <c r="U21" s="146">
        <v>0</v>
      </c>
      <c r="V21" s="146">
        <v>1.5006203366389781E-2</v>
      </c>
      <c r="W21" s="146">
        <v>0</v>
      </c>
      <c r="X21" s="146">
        <v>4.0010871659621697E-3</v>
      </c>
      <c r="Y21" s="146">
        <v>2.0000399607984169E-3</v>
      </c>
      <c r="Z21" s="146">
        <v>0</v>
      </c>
      <c r="AA21" s="146">
        <v>0</v>
      </c>
      <c r="AB21" s="146">
        <v>0</v>
      </c>
      <c r="AC21" s="146">
        <v>0</v>
      </c>
      <c r="AD21" s="146">
        <v>0</v>
      </c>
      <c r="AE21" s="146">
        <v>2.0000000000000005E-3</v>
      </c>
      <c r="AF21" s="146">
        <v>0</v>
      </c>
      <c r="AG21" s="146">
        <v>0</v>
      </c>
      <c r="AH21" s="146">
        <v>0</v>
      </c>
      <c r="AI21" s="146">
        <v>0</v>
      </c>
      <c r="AJ21" s="146">
        <v>0</v>
      </c>
      <c r="AK21" s="146">
        <v>0</v>
      </c>
    </row>
    <row r="22" spans="1:37" customFormat="1" x14ac:dyDescent="0.15">
      <c r="A22" s="181" t="s">
        <v>211</v>
      </c>
      <c r="B22" s="146">
        <v>0</v>
      </c>
      <c r="C22" s="146">
        <v>9.9923867169213914E-4</v>
      </c>
      <c r="D22" s="146">
        <v>0</v>
      </c>
      <c r="E22" s="146">
        <v>9.999999999999998E-4</v>
      </c>
      <c r="F22" s="146">
        <v>1.0000000241800006E-2</v>
      </c>
      <c r="G22" s="146">
        <v>1.0003568479950667E-2</v>
      </c>
      <c r="H22" s="146">
        <v>4.0007433398728748E-3</v>
      </c>
      <c r="I22" s="146">
        <v>6.9983468726864933E-3</v>
      </c>
      <c r="J22" s="146">
        <v>9.9961849411229035E-3</v>
      </c>
      <c r="K22" s="146">
        <v>0</v>
      </c>
      <c r="L22" s="146">
        <v>0</v>
      </c>
      <c r="M22" s="146">
        <v>0</v>
      </c>
      <c r="N22" s="146">
        <v>2.0019681420877129E-3</v>
      </c>
      <c r="O22" s="146">
        <v>4.0000000000000001E-3</v>
      </c>
      <c r="P22" s="146">
        <v>0</v>
      </c>
      <c r="Q22" s="146">
        <v>0</v>
      </c>
      <c r="R22" s="146">
        <v>0</v>
      </c>
      <c r="S22" s="146">
        <v>2.0009754823910016E-3</v>
      </c>
      <c r="T22" s="146">
        <v>0.01</v>
      </c>
      <c r="U22" s="146">
        <v>0</v>
      </c>
      <c r="V22" s="146">
        <v>1.5006203366389781E-2</v>
      </c>
      <c r="W22" s="146">
        <v>0</v>
      </c>
      <c r="X22" s="146">
        <v>6.0016307489432546E-3</v>
      </c>
      <c r="Y22" s="146">
        <v>0</v>
      </c>
      <c r="Z22" s="146">
        <v>0</v>
      </c>
      <c r="AA22" s="146">
        <v>0</v>
      </c>
      <c r="AB22" s="146">
        <v>0</v>
      </c>
      <c r="AC22" s="146">
        <v>0</v>
      </c>
      <c r="AD22" s="146">
        <v>0</v>
      </c>
      <c r="AE22" s="146">
        <v>0</v>
      </c>
      <c r="AF22" s="146">
        <v>0</v>
      </c>
      <c r="AG22" s="146">
        <v>0</v>
      </c>
      <c r="AH22" s="146">
        <v>0</v>
      </c>
      <c r="AI22" s="146">
        <v>0</v>
      </c>
      <c r="AJ22" s="146">
        <v>0</v>
      </c>
      <c r="AK22" s="146">
        <v>0</v>
      </c>
    </row>
    <row r="23" spans="1:37" customFormat="1" x14ac:dyDescent="0.15">
      <c r="A23" s="181" t="s">
        <v>212</v>
      </c>
      <c r="B23" s="146">
        <v>0</v>
      </c>
      <c r="C23" s="146">
        <v>2.997715975066905E-3</v>
      </c>
      <c r="D23" s="146">
        <v>0</v>
      </c>
      <c r="E23" s="146">
        <v>8.9999999999999976E-3</v>
      </c>
      <c r="F23" s="146">
        <v>5.0000001209000028E-3</v>
      </c>
      <c r="G23" s="146">
        <v>1.0003568479950667E-2</v>
      </c>
      <c r="H23" s="146">
        <v>0</v>
      </c>
      <c r="I23" s="146">
        <v>1.801376144637476E-2</v>
      </c>
      <c r="J23" s="146">
        <v>0</v>
      </c>
      <c r="K23" s="146">
        <v>0</v>
      </c>
      <c r="L23" s="146">
        <v>0</v>
      </c>
      <c r="M23" s="146">
        <v>0</v>
      </c>
      <c r="N23" s="146">
        <v>6.0059037962738593E-3</v>
      </c>
      <c r="O23" s="146">
        <v>1.4999999999999999E-2</v>
      </c>
      <c r="P23" s="146">
        <v>0</v>
      </c>
      <c r="Q23" s="146">
        <v>0</v>
      </c>
      <c r="R23" s="146">
        <v>0</v>
      </c>
      <c r="S23" s="146">
        <v>5.0074454968051553E-3</v>
      </c>
      <c r="T23" s="146">
        <v>1.4999999999999999E-2</v>
      </c>
      <c r="U23" s="146">
        <v>0</v>
      </c>
      <c r="V23" s="146">
        <v>2.6036790565534158E-2</v>
      </c>
      <c r="W23" s="146">
        <v>0</v>
      </c>
      <c r="X23" s="146">
        <v>1.0002717914905424E-2</v>
      </c>
      <c r="Y23" s="146">
        <v>1.0000199803992084E-3</v>
      </c>
      <c r="Z23" s="146">
        <v>0</v>
      </c>
      <c r="AA23" s="146">
        <v>0</v>
      </c>
      <c r="AB23" s="146">
        <v>0</v>
      </c>
      <c r="AC23" s="146">
        <v>0</v>
      </c>
      <c r="AD23" s="146">
        <v>0</v>
      </c>
      <c r="AE23" s="146">
        <v>0</v>
      </c>
      <c r="AF23" s="146">
        <v>0</v>
      </c>
      <c r="AG23" s="146">
        <v>0</v>
      </c>
      <c r="AH23" s="146">
        <v>0</v>
      </c>
      <c r="AI23" s="146">
        <v>0</v>
      </c>
      <c r="AJ23" s="146">
        <v>0</v>
      </c>
      <c r="AK23" s="146">
        <v>0</v>
      </c>
    </row>
    <row r="24" spans="1:37" customFormat="1" x14ac:dyDescent="0.15">
      <c r="A24" s="181" t="s">
        <v>213</v>
      </c>
      <c r="B24" s="146">
        <v>0</v>
      </c>
      <c r="C24" s="146">
        <v>0</v>
      </c>
      <c r="D24" s="146">
        <v>0</v>
      </c>
      <c r="E24" s="146">
        <v>0</v>
      </c>
      <c r="F24" s="146">
        <v>1.700000041106001E-2</v>
      </c>
      <c r="G24" s="146">
        <v>1.5005352719926E-2</v>
      </c>
      <c r="H24" s="146">
        <v>8.0014866797457496E-3</v>
      </c>
      <c r="I24" s="146">
        <v>3.9990553558208533E-2</v>
      </c>
      <c r="J24" s="146">
        <v>0</v>
      </c>
      <c r="K24" s="146">
        <v>0</v>
      </c>
      <c r="L24" s="146">
        <v>0</v>
      </c>
      <c r="M24" s="146">
        <v>0</v>
      </c>
      <c r="N24" s="146">
        <v>9.9998298307958054E-3</v>
      </c>
      <c r="O24" s="146">
        <v>1.2E-2</v>
      </c>
      <c r="P24" s="146">
        <v>0</v>
      </c>
      <c r="Q24" s="146">
        <v>0</v>
      </c>
      <c r="R24" s="146">
        <v>0</v>
      </c>
      <c r="S24" s="146">
        <v>0</v>
      </c>
      <c r="T24" s="146">
        <v>0</v>
      </c>
      <c r="U24" s="146">
        <v>0</v>
      </c>
      <c r="V24" s="146">
        <v>1.0004135577593188E-2</v>
      </c>
      <c r="W24" s="146">
        <v>0</v>
      </c>
      <c r="X24" s="146">
        <v>2.0005435829810847E-2</v>
      </c>
      <c r="Y24" s="146">
        <v>0</v>
      </c>
      <c r="Z24" s="146">
        <v>0</v>
      </c>
      <c r="AA24" s="146">
        <v>0</v>
      </c>
      <c r="AB24" s="146">
        <v>0</v>
      </c>
      <c r="AC24" s="146">
        <v>0</v>
      </c>
      <c r="AD24" s="146">
        <v>0</v>
      </c>
      <c r="AE24" s="146">
        <v>0</v>
      </c>
      <c r="AF24" s="146">
        <v>0</v>
      </c>
      <c r="AG24" s="146">
        <v>0</v>
      </c>
      <c r="AH24" s="146">
        <v>0</v>
      </c>
      <c r="AI24" s="146">
        <v>0</v>
      </c>
      <c r="AJ24" s="146">
        <v>0</v>
      </c>
      <c r="AK24" s="146">
        <v>0</v>
      </c>
    </row>
    <row r="25" spans="1:37" customFormat="1" x14ac:dyDescent="0.15">
      <c r="A25" s="181" t="s">
        <v>214</v>
      </c>
      <c r="B25" s="146">
        <v>0</v>
      </c>
      <c r="C25" s="146">
        <v>2.1983249076822784E-2</v>
      </c>
      <c r="D25" s="146">
        <v>0</v>
      </c>
      <c r="E25" s="146">
        <v>3.1999999999999994E-2</v>
      </c>
      <c r="F25" s="146">
        <v>8.0000001934400045E-2</v>
      </c>
      <c r="G25" s="146">
        <v>4.0014273919802668E-2</v>
      </c>
      <c r="H25" s="146">
        <v>5.2009663418347368E-2</v>
      </c>
      <c r="I25" s="146">
        <v>4.998819194776067E-2</v>
      </c>
      <c r="J25" s="146">
        <v>4.0984358258603908E-2</v>
      </c>
      <c r="K25" s="146">
        <v>0</v>
      </c>
      <c r="L25" s="146">
        <v>0</v>
      </c>
      <c r="M25" s="146">
        <v>0</v>
      </c>
      <c r="N25" s="146">
        <v>1.9999659661591611E-2</v>
      </c>
      <c r="O25" s="146">
        <v>0.02</v>
      </c>
      <c r="P25" s="146">
        <v>2.9992013546680709E-2</v>
      </c>
      <c r="Q25" s="146">
        <v>7.699660876906303E-2</v>
      </c>
      <c r="R25" s="146">
        <v>3.0000000000000002E-2</v>
      </c>
      <c r="S25" s="146">
        <v>4.0019509647820035E-2</v>
      </c>
      <c r="T25" s="146">
        <v>5.1999999999999998E-2</v>
      </c>
      <c r="U25" s="146">
        <v>0</v>
      </c>
      <c r="V25" s="146">
        <v>2.6036790565534158E-2</v>
      </c>
      <c r="W25" s="146">
        <v>0</v>
      </c>
      <c r="X25" s="146">
        <v>3.5009512702168989E-2</v>
      </c>
      <c r="Y25" s="146">
        <v>3.0000599411976251E-2</v>
      </c>
      <c r="Z25" s="146">
        <v>0</v>
      </c>
      <c r="AA25" s="146">
        <v>0</v>
      </c>
      <c r="AB25" s="146">
        <v>0</v>
      </c>
      <c r="AC25" s="146">
        <v>0</v>
      </c>
      <c r="AD25" s="146">
        <v>0</v>
      </c>
      <c r="AE25" s="146">
        <v>2.0000000000000004E-2</v>
      </c>
      <c r="AF25" s="146">
        <v>0</v>
      </c>
      <c r="AG25" s="146">
        <v>0</v>
      </c>
      <c r="AH25" s="146">
        <v>0</v>
      </c>
      <c r="AI25" s="146">
        <v>0</v>
      </c>
      <c r="AJ25" s="146">
        <v>0</v>
      </c>
      <c r="AK25" s="146">
        <v>0</v>
      </c>
    </row>
    <row r="26" spans="1:37" customFormat="1" x14ac:dyDescent="0.15">
      <c r="A26" s="181" t="s">
        <v>215</v>
      </c>
      <c r="B26" s="146">
        <v>0</v>
      </c>
      <c r="C26" s="146">
        <v>1.0002378092397887E-2</v>
      </c>
      <c r="D26" s="146">
        <v>0</v>
      </c>
      <c r="E26" s="146">
        <v>2.9999999999999992E-2</v>
      </c>
      <c r="F26" s="146">
        <v>2.5000000604500017E-2</v>
      </c>
      <c r="G26" s="146">
        <v>2.0007136959901334E-2</v>
      </c>
      <c r="H26" s="146">
        <v>4.7008734243506281E-2</v>
      </c>
      <c r="I26" s="146">
        <v>4.598913659193981E-2</v>
      </c>
      <c r="J26" s="146">
        <v>2.9988554823368711E-2</v>
      </c>
      <c r="K26" s="146">
        <v>0</v>
      </c>
      <c r="L26" s="146">
        <v>0</v>
      </c>
      <c r="M26" s="146">
        <v>0</v>
      </c>
      <c r="N26" s="146">
        <v>0</v>
      </c>
      <c r="O26" s="146">
        <v>0.01</v>
      </c>
      <c r="P26" s="146">
        <v>4.998668924446785E-2</v>
      </c>
      <c r="Q26" s="146">
        <v>9.9995595803977974E-3</v>
      </c>
      <c r="R26" s="146">
        <v>4.0000000000000008E-2</v>
      </c>
      <c r="S26" s="146">
        <v>2.0009754823910018E-2</v>
      </c>
      <c r="T26" s="146">
        <v>0.04</v>
      </c>
      <c r="U26" s="146">
        <v>0</v>
      </c>
      <c r="V26" s="146">
        <v>0</v>
      </c>
      <c r="W26" s="146">
        <v>0</v>
      </c>
      <c r="X26" s="146">
        <v>2.2005979412791931E-2</v>
      </c>
      <c r="Y26" s="146">
        <v>1.0000199803992084E-2</v>
      </c>
      <c r="Z26" s="146">
        <v>0</v>
      </c>
      <c r="AA26" s="146">
        <v>0</v>
      </c>
      <c r="AB26" s="146">
        <v>0</v>
      </c>
      <c r="AC26" s="146">
        <v>0</v>
      </c>
      <c r="AD26" s="146">
        <v>0</v>
      </c>
      <c r="AE26" s="146">
        <v>5.000000000000001E-3</v>
      </c>
      <c r="AF26" s="146">
        <v>0</v>
      </c>
      <c r="AG26" s="146">
        <v>0</v>
      </c>
      <c r="AH26" s="146">
        <v>0</v>
      </c>
      <c r="AI26" s="146">
        <v>0</v>
      </c>
      <c r="AJ26" s="146">
        <v>0</v>
      </c>
      <c r="AK26" s="146">
        <v>0</v>
      </c>
    </row>
    <row r="27" spans="1:37" customFormat="1" x14ac:dyDescent="0.15">
      <c r="A27" s="181" t="s">
        <v>216</v>
      </c>
      <c r="B27" s="146">
        <v>2.2774327525051763E-2</v>
      </c>
      <c r="C27" s="146">
        <v>2.2005231803275353E-2</v>
      </c>
      <c r="D27" s="146">
        <v>0</v>
      </c>
      <c r="E27" s="146">
        <v>5.9999999999999984E-2</v>
      </c>
      <c r="F27" s="146">
        <v>2.0000000483600011E-2</v>
      </c>
      <c r="G27" s="146">
        <v>2.0007136959901334E-2</v>
      </c>
      <c r="H27" s="146">
        <v>2.5004645874205467E-2</v>
      </c>
      <c r="I27" s="146">
        <v>2.6993623651790758E-2</v>
      </c>
      <c r="J27" s="146">
        <v>3.9984739764491614E-2</v>
      </c>
      <c r="K27" s="146">
        <v>0</v>
      </c>
      <c r="L27" s="146">
        <v>0</v>
      </c>
      <c r="M27" s="146">
        <v>0</v>
      </c>
      <c r="N27" s="146">
        <v>1.5999727729273289E-2</v>
      </c>
      <c r="O27" s="146">
        <v>1.0999999999999999E-2</v>
      </c>
      <c r="P27" s="146">
        <v>5.2985890599135915E-2</v>
      </c>
      <c r="Q27" s="146">
        <v>2.9998678741193389E-2</v>
      </c>
      <c r="R27" s="146">
        <v>4.0000000000000008E-2</v>
      </c>
      <c r="S27" s="146">
        <v>2.0009754823910018E-2</v>
      </c>
      <c r="T27" s="146">
        <v>0.04</v>
      </c>
      <c r="U27" s="146">
        <v>0</v>
      </c>
      <c r="V27" s="146">
        <v>2.7011166059501605E-2</v>
      </c>
      <c r="W27" s="146">
        <v>0</v>
      </c>
      <c r="X27" s="146">
        <v>2.5006794787263562E-2</v>
      </c>
      <c r="Y27" s="146">
        <v>3.0000599411976251E-2</v>
      </c>
      <c r="Z27" s="146">
        <v>0</v>
      </c>
      <c r="AA27" s="146">
        <v>9.9999999750000016E-3</v>
      </c>
      <c r="AB27" s="146">
        <v>5.9923000741845273E-3</v>
      </c>
      <c r="AC27" s="146">
        <v>0</v>
      </c>
      <c r="AD27" s="146">
        <v>0</v>
      </c>
      <c r="AE27" s="146">
        <v>5.000000000000001E-3</v>
      </c>
      <c r="AF27" s="146">
        <v>0</v>
      </c>
      <c r="AG27" s="146">
        <v>0</v>
      </c>
      <c r="AH27" s="146">
        <v>0</v>
      </c>
      <c r="AI27" s="146">
        <v>0</v>
      </c>
      <c r="AJ27" s="146">
        <v>0</v>
      </c>
      <c r="AK27" s="146">
        <v>0</v>
      </c>
    </row>
    <row r="28" spans="1:37" customFormat="1" x14ac:dyDescent="0.15">
      <c r="A28" s="181" t="s">
        <v>217</v>
      </c>
      <c r="B28" s="146">
        <v>2.2774327525051763E-2</v>
      </c>
      <c r="C28" s="146">
        <v>0</v>
      </c>
      <c r="D28" s="146">
        <v>0</v>
      </c>
      <c r="E28" s="146">
        <v>0</v>
      </c>
      <c r="F28" s="146">
        <v>1.0000000241800006E-2</v>
      </c>
      <c r="G28" s="146">
        <v>1.5035422446419885E-2</v>
      </c>
      <c r="H28" s="146">
        <v>3.2973161127845742E-2</v>
      </c>
      <c r="I28" s="146">
        <v>0</v>
      </c>
      <c r="J28" s="146">
        <v>0</v>
      </c>
      <c r="K28" s="146">
        <v>0</v>
      </c>
      <c r="L28" s="146">
        <v>0</v>
      </c>
      <c r="M28" s="146">
        <v>0</v>
      </c>
      <c r="N28" s="146">
        <v>0</v>
      </c>
      <c r="O28" s="146">
        <v>0</v>
      </c>
      <c r="P28" s="146">
        <v>0</v>
      </c>
      <c r="Q28" s="146">
        <v>0</v>
      </c>
      <c r="R28" s="146">
        <v>0</v>
      </c>
      <c r="S28" s="146">
        <v>3.0044675281952738E-3</v>
      </c>
      <c r="T28" s="146">
        <v>0</v>
      </c>
      <c r="U28" s="146">
        <v>0</v>
      </c>
      <c r="V28" s="146">
        <v>0</v>
      </c>
      <c r="W28" s="146">
        <v>0</v>
      </c>
      <c r="X28" s="146">
        <v>0</v>
      </c>
      <c r="Y28" s="146">
        <v>5.0000999019960421E-3</v>
      </c>
      <c r="Z28" s="146">
        <v>0</v>
      </c>
      <c r="AA28" s="146">
        <v>0</v>
      </c>
      <c r="AB28" s="146">
        <v>1.8994590819957951E-2</v>
      </c>
      <c r="AC28" s="146">
        <v>0</v>
      </c>
      <c r="AD28" s="146">
        <v>0</v>
      </c>
      <c r="AE28" s="146">
        <v>8.0000000000000019E-3</v>
      </c>
      <c r="AF28" s="146">
        <v>0</v>
      </c>
      <c r="AG28" s="146">
        <v>0</v>
      </c>
      <c r="AH28" s="146">
        <v>0</v>
      </c>
      <c r="AI28" s="146">
        <v>0</v>
      </c>
      <c r="AJ28" s="146">
        <v>0</v>
      </c>
      <c r="AK28" s="146">
        <v>0</v>
      </c>
    </row>
    <row r="29" spans="1:37" customFormat="1" x14ac:dyDescent="0.15">
      <c r="A29" s="181" t="s">
        <v>218</v>
      </c>
      <c r="B29" s="146">
        <v>2.2774327525051763E-2</v>
      </c>
      <c r="C29" s="146">
        <v>2.5980204663805372E-2</v>
      </c>
      <c r="D29" s="146">
        <v>0</v>
      </c>
      <c r="E29" s="146">
        <v>0</v>
      </c>
      <c r="F29" s="146">
        <v>4.0000000967200027E-3</v>
      </c>
      <c r="G29" s="146">
        <v>3.0070844992875455E-2</v>
      </c>
      <c r="H29" s="146">
        <v>2.9975602080055735E-3</v>
      </c>
      <c r="I29" s="146">
        <v>0</v>
      </c>
      <c r="J29" s="146">
        <v>0</v>
      </c>
      <c r="K29" s="146">
        <v>0</v>
      </c>
      <c r="L29" s="146">
        <v>0</v>
      </c>
      <c r="M29" s="146">
        <v>0</v>
      </c>
      <c r="N29" s="146">
        <v>0</v>
      </c>
      <c r="O29" s="146">
        <v>0</v>
      </c>
      <c r="P29" s="146">
        <v>0</v>
      </c>
      <c r="Q29" s="146">
        <v>0</v>
      </c>
      <c r="R29" s="146">
        <v>0</v>
      </c>
      <c r="S29" s="146">
        <v>5.0074454968051553E-3</v>
      </c>
      <c r="T29" s="146">
        <v>0</v>
      </c>
      <c r="U29" s="146">
        <v>0</v>
      </c>
      <c r="V29" s="146">
        <v>0</v>
      </c>
      <c r="W29" s="146">
        <v>0</v>
      </c>
      <c r="X29" s="146">
        <v>0</v>
      </c>
      <c r="Y29" s="146">
        <v>1.800035964718575E-2</v>
      </c>
      <c r="Z29" s="146">
        <v>0</v>
      </c>
      <c r="AA29" s="146">
        <v>0</v>
      </c>
      <c r="AB29" s="146">
        <v>9.9971530631357639E-3</v>
      </c>
      <c r="AC29" s="146">
        <v>0</v>
      </c>
      <c r="AD29" s="146">
        <v>0</v>
      </c>
      <c r="AE29" s="146">
        <v>1.0000000000000002E-2</v>
      </c>
      <c r="AF29" s="146">
        <v>0</v>
      </c>
      <c r="AG29" s="146">
        <v>0</v>
      </c>
      <c r="AH29" s="146">
        <v>0</v>
      </c>
      <c r="AI29" s="146">
        <v>0</v>
      </c>
      <c r="AJ29" s="146">
        <v>0</v>
      </c>
      <c r="AK29" s="146">
        <v>0</v>
      </c>
    </row>
    <row r="30" spans="1:37" customFormat="1" x14ac:dyDescent="0.15">
      <c r="A30" s="181" t="s">
        <v>219</v>
      </c>
      <c r="B30" s="146">
        <v>0</v>
      </c>
      <c r="C30" s="146">
        <v>0</v>
      </c>
      <c r="D30" s="146">
        <v>0</v>
      </c>
      <c r="E30" s="146">
        <v>7.8999999999999987E-2</v>
      </c>
      <c r="F30" s="146">
        <v>8.2000001982760057E-2</v>
      </c>
      <c r="G30" s="146">
        <v>6.4022838271684271E-2</v>
      </c>
      <c r="H30" s="146">
        <v>7.0013008447775311E-3</v>
      </c>
      <c r="I30" s="146">
        <v>2.101605565395432E-2</v>
      </c>
      <c r="J30" s="146">
        <v>3.5950319506994177E-2</v>
      </c>
      <c r="K30" s="146">
        <v>0</v>
      </c>
      <c r="L30" s="146">
        <v>0</v>
      </c>
      <c r="M30" s="146">
        <v>3.1005255579952866E-2</v>
      </c>
      <c r="N30" s="146">
        <v>0.46399210414892539</v>
      </c>
      <c r="O30" s="146">
        <v>0.38</v>
      </c>
      <c r="P30" s="146">
        <v>0.40089324774063217</v>
      </c>
      <c r="Q30" s="146">
        <v>0.60097353078190752</v>
      </c>
      <c r="R30" s="146">
        <v>0.46000000000000008</v>
      </c>
      <c r="S30" s="146">
        <v>0.20009754823910017</v>
      </c>
      <c r="T30" s="146">
        <v>0.24</v>
      </c>
      <c r="U30" s="146">
        <v>9.9900101918081971E-4</v>
      </c>
      <c r="V30" s="146">
        <v>0.1870773353009926</v>
      </c>
      <c r="W30" s="146">
        <v>0.16400810004844601</v>
      </c>
      <c r="X30" s="146">
        <v>0.26707256832797482</v>
      </c>
      <c r="Y30" s="146">
        <v>0.17400347658946225</v>
      </c>
      <c r="Z30" s="146">
        <v>0.13596917366721054</v>
      </c>
      <c r="AA30" s="146">
        <v>0.18799998637000098</v>
      </c>
      <c r="AB30" s="146">
        <v>0.17777156314577036</v>
      </c>
      <c r="AC30" s="146">
        <v>0.10904252425851083</v>
      </c>
      <c r="AD30" s="146">
        <v>0.01</v>
      </c>
      <c r="AE30" s="146">
        <v>0.16000000000000003</v>
      </c>
      <c r="AF30" s="146">
        <v>0</v>
      </c>
      <c r="AG30" s="146">
        <v>0</v>
      </c>
      <c r="AH30" s="146">
        <v>0</v>
      </c>
      <c r="AI30" s="146">
        <v>0</v>
      </c>
      <c r="AJ30" s="146">
        <v>0</v>
      </c>
      <c r="AK30" s="146">
        <v>0</v>
      </c>
    </row>
    <row r="31" spans="1:37" customFormat="1" x14ac:dyDescent="0.15">
      <c r="A31" s="181" t="s">
        <v>220</v>
      </c>
      <c r="B31" s="146">
        <v>3.9337474943271229E-2</v>
      </c>
      <c r="C31" s="146">
        <v>0.62114767953790884</v>
      </c>
      <c r="D31" s="146">
        <v>0</v>
      </c>
      <c r="E31" s="146">
        <v>4.3999999999999991E-2</v>
      </c>
      <c r="F31" s="146">
        <v>8.8000002127840052E-2</v>
      </c>
      <c r="G31" s="146">
        <v>0.14004995871930936</v>
      </c>
      <c r="H31" s="146">
        <v>0.19003530864396156</v>
      </c>
      <c r="I31" s="146">
        <v>8.7066513424199771E-2</v>
      </c>
      <c r="J31" s="146">
        <v>0.10185922927337755</v>
      </c>
      <c r="K31" s="146">
        <v>0</v>
      </c>
      <c r="L31" s="146">
        <v>0</v>
      </c>
      <c r="M31" s="146">
        <v>0</v>
      </c>
      <c r="N31" s="146">
        <v>0</v>
      </c>
      <c r="O31" s="146">
        <v>0.01</v>
      </c>
      <c r="P31" s="146">
        <v>0</v>
      </c>
      <c r="Q31" s="146">
        <v>0</v>
      </c>
      <c r="R31" s="146">
        <v>0</v>
      </c>
      <c r="S31" s="146">
        <v>5.1075946398549024E-2</v>
      </c>
      <c r="T31" s="146">
        <v>0</v>
      </c>
      <c r="U31" s="146">
        <v>0</v>
      </c>
      <c r="V31" s="146">
        <v>1.0014150317554494E-2</v>
      </c>
      <c r="W31" s="146">
        <v>0</v>
      </c>
      <c r="X31" s="146">
        <v>9.3931622878890023E-2</v>
      </c>
      <c r="Y31" s="146">
        <v>2.0000399607984169E-2</v>
      </c>
      <c r="Z31" s="146">
        <v>0</v>
      </c>
      <c r="AA31" s="146">
        <v>1.9999999950000003E-2</v>
      </c>
      <c r="AB31" s="146">
        <v>6.192043262366051E-2</v>
      </c>
      <c r="AC31" s="146">
        <v>6.1023799585038156E-4</v>
      </c>
      <c r="AD31" s="146">
        <v>0</v>
      </c>
      <c r="AE31" s="146">
        <v>1.0000000000000002E-2</v>
      </c>
      <c r="AF31" s="146">
        <v>0</v>
      </c>
      <c r="AG31" s="146">
        <v>0</v>
      </c>
      <c r="AH31" s="146">
        <v>0</v>
      </c>
      <c r="AI31" s="146">
        <v>0</v>
      </c>
      <c r="AJ31" s="146">
        <v>0</v>
      </c>
      <c r="AK31" s="146">
        <v>0</v>
      </c>
    </row>
    <row r="32" spans="1:37" customFormat="1" x14ac:dyDescent="0.15">
      <c r="A32" s="181" t="s">
        <v>221</v>
      </c>
      <c r="B32" s="146">
        <v>0</v>
      </c>
      <c r="C32" s="146">
        <v>6.8016171028305636E-2</v>
      </c>
      <c r="D32" s="146">
        <v>0</v>
      </c>
      <c r="E32" s="146">
        <v>0.27599999999999997</v>
      </c>
      <c r="F32" s="146">
        <v>0.13000000314340007</v>
      </c>
      <c r="G32" s="146">
        <v>9.1032473167551073E-2</v>
      </c>
      <c r="H32" s="146">
        <v>2.1982106785112795E-2</v>
      </c>
      <c r="I32" s="146">
        <v>5.0038223629435422E-3</v>
      </c>
      <c r="J32" s="146">
        <v>3.9944798508131617E-3</v>
      </c>
      <c r="K32" s="146">
        <v>2.8000000000000004E-2</v>
      </c>
      <c r="L32" s="146">
        <v>0.15</v>
      </c>
      <c r="M32" s="146">
        <v>8.6273407768884633E-2</v>
      </c>
      <c r="N32" s="146">
        <v>0.11999795796954965</v>
      </c>
      <c r="O32" s="146">
        <v>0.12</v>
      </c>
      <c r="P32" s="146">
        <v>0.11996805418672284</v>
      </c>
      <c r="Q32" s="146">
        <v>3.5998414489432064E-2</v>
      </c>
      <c r="R32" s="146">
        <v>0</v>
      </c>
      <c r="S32" s="146">
        <v>0.30044676882733129</v>
      </c>
      <c r="T32" s="146">
        <v>0.37</v>
      </c>
      <c r="U32" s="146">
        <v>1.3986014068531472E-2</v>
      </c>
      <c r="V32" s="146">
        <v>0.47967779246765929</v>
      </c>
      <c r="W32" s="146">
        <v>0.65690108009623382</v>
      </c>
      <c r="X32" s="146">
        <v>0.15888433467645127</v>
      </c>
      <c r="Y32" s="146">
        <v>0.21300425582503138</v>
      </c>
      <c r="Z32" s="146">
        <v>0.65319850970795246</v>
      </c>
      <c r="AA32" s="146">
        <v>0.52400001100999916</v>
      </c>
      <c r="AB32" s="146">
        <v>0.11884728429313879</v>
      </c>
      <c r="AC32" s="146">
        <v>0.39715489729934661</v>
      </c>
      <c r="AD32" s="146">
        <v>0.4</v>
      </c>
      <c r="AE32" s="146">
        <v>0.34400000000000003</v>
      </c>
      <c r="AF32" s="146">
        <v>0.04</v>
      </c>
      <c r="AG32" s="146">
        <v>0</v>
      </c>
      <c r="AH32" s="146">
        <v>0</v>
      </c>
      <c r="AI32" s="146">
        <v>0</v>
      </c>
      <c r="AJ32" s="146">
        <v>0</v>
      </c>
      <c r="AK32" s="146">
        <v>0</v>
      </c>
    </row>
    <row r="33" spans="1:37" customFormat="1" x14ac:dyDescent="0.15">
      <c r="A33" s="181" t="s">
        <v>222</v>
      </c>
      <c r="B33" s="146">
        <v>0.77846790085631479</v>
      </c>
      <c r="C33" s="146">
        <v>0</v>
      </c>
      <c r="D33" s="146">
        <v>0.1</v>
      </c>
      <c r="E33" s="146">
        <v>3.3999999999999996E-2</v>
      </c>
      <c r="F33" s="146">
        <v>8.8000002127840052E-2</v>
      </c>
      <c r="G33" s="146">
        <v>1.5035422446419885E-2</v>
      </c>
      <c r="H33" s="146">
        <v>3.1973975578731072E-2</v>
      </c>
      <c r="I33" s="146">
        <v>1.0007646025580075E-3</v>
      </c>
      <c r="J33" s="146">
        <v>1.9972399304046735E-3</v>
      </c>
      <c r="K33" s="146">
        <v>0.23600000000000002</v>
      </c>
      <c r="L33" s="146">
        <v>0</v>
      </c>
      <c r="M33" s="146">
        <v>0.20603492417646099</v>
      </c>
      <c r="N33" s="146">
        <v>0.1639972092250512</v>
      </c>
      <c r="O33" s="146">
        <v>0.12</v>
      </c>
      <c r="P33" s="146">
        <v>7.9978702791148562E-2</v>
      </c>
      <c r="Q33" s="146">
        <v>8.999603622358017E-2</v>
      </c>
      <c r="R33" s="146">
        <v>7.6000000000000012E-2</v>
      </c>
      <c r="S33" s="146">
        <v>4.8023411577384038E-2</v>
      </c>
      <c r="T33" s="146">
        <v>0.04</v>
      </c>
      <c r="U33" s="146">
        <v>0.10689310205234757</v>
      </c>
      <c r="V33" s="146">
        <v>6.5026881254355726E-2</v>
      </c>
      <c r="W33" s="146">
        <v>8.9004395757998137E-2</v>
      </c>
      <c r="X33" s="146">
        <v>2.2005979412791931E-2</v>
      </c>
      <c r="Y33" s="146">
        <v>0.15900317688347415</v>
      </c>
      <c r="Z33" s="146">
        <v>9.0979373556736465E-2</v>
      </c>
      <c r="AA33" s="146">
        <v>7.9999994200000424E-2</v>
      </c>
      <c r="AB33" s="146">
        <v>0.1977459029579442</v>
      </c>
      <c r="AC33" s="146">
        <v>0.31912445782995363</v>
      </c>
      <c r="AD33" s="146">
        <v>0.2</v>
      </c>
      <c r="AE33" s="146">
        <v>0.18500000000000003</v>
      </c>
      <c r="AF33" s="146">
        <v>0</v>
      </c>
      <c r="AG33" s="146">
        <v>0.04</v>
      </c>
      <c r="AH33" s="146">
        <v>0</v>
      </c>
      <c r="AI33" s="146">
        <v>0</v>
      </c>
      <c r="AJ33" s="146">
        <v>0</v>
      </c>
      <c r="AK33" s="146">
        <v>0</v>
      </c>
    </row>
    <row r="34" spans="1:37" customFormat="1" x14ac:dyDescent="0.15">
      <c r="A34" s="181" t="s">
        <v>223</v>
      </c>
      <c r="B34" s="146">
        <v>0</v>
      </c>
      <c r="C34" s="146">
        <v>0</v>
      </c>
      <c r="D34" s="146">
        <v>0</v>
      </c>
      <c r="E34" s="146">
        <v>0</v>
      </c>
      <c r="F34" s="146">
        <v>0</v>
      </c>
      <c r="G34" s="146">
        <v>0</v>
      </c>
      <c r="H34" s="146">
        <v>2.2981294234580549E-2</v>
      </c>
      <c r="I34" s="146">
        <v>1.0007646025580075E-3</v>
      </c>
      <c r="J34" s="146">
        <v>1.9972399304046735E-3</v>
      </c>
      <c r="K34" s="146">
        <v>0.50200000000000011</v>
      </c>
      <c r="L34" s="146">
        <v>0.35</v>
      </c>
      <c r="M34" s="146">
        <v>0.28204780882408736</v>
      </c>
      <c r="N34" s="146">
        <v>0</v>
      </c>
      <c r="O34" s="146">
        <v>0</v>
      </c>
      <c r="P34" s="146">
        <v>0</v>
      </c>
      <c r="Q34" s="146">
        <v>0</v>
      </c>
      <c r="R34" s="146">
        <v>0</v>
      </c>
      <c r="S34" s="146">
        <v>9.7047310895963579E-2</v>
      </c>
      <c r="T34" s="146">
        <v>0</v>
      </c>
      <c r="U34" s="146">
        <v>0.10789210207152837</v>
      </c>
      <c r="V34" s="146">
        <v>0</v>
      </c>
      <c r="W34" s="146">
        <v>0</v>
      </c>
      <c r="X34" s="146">
        <v>2.9978178199831958E-3</v>
      </c>
      <c r="Y34" s="146">
        <v>0.120002397647905</v>
      </c>
      <c r="Z34" s="146">
        <v>5.8927695272209743E-2</v>
      </c>
      <c r="AA34" s="146">
        <v>7.9000004272499688E-2</v>
      </c>
      <c r="AB34" s="146">
        <v>8.9884503162184284E-2</v>
      </c>
      <c r="AC34" s="146">
        <v>7.6029649482998382E-2</v>
      </c>
      <c r="AD34" s="146">
        <v>0.14000000000000001</v>
      </c>
      <c r="AE34" s="146">
        <v>0.11000000000000001</v>
      </c>
      <c r="AF34" s="146">
        <v>0.16</v>
      </c>
      <c r="AG34" s="146">
        <v>0.86</v>
      </c>
      <c r="AH34" s="146">
        <v>0</v>
      </c>
      <c r="AI34" s="146">
        <v>0</v>
      </c>
      <c r="AJ34" s="146">
        <v>0</v>
      </c>
      <c r="AK34" s="146">
        <v>0</v>
      </c>
    </row>
    <row r="35" spans="1:37" customFormat="1" x14ac:dyDescent="0.15">
      <c r="A35" s="181" t="s">
        <v>224</v>
      </c>
      <c r="B35" s="146">
        <v>0</v>
      </c>
      <c r="C35" s="146">
        <v>0</v>
      </c>
      <c r="D35" s="146">
        <v>0.9</v>
      </c>
      <c r="E35" s="146">
        <v>0</v>
      </c>
      <c r="F35" s="146">
        <v>0</v>
      </c>
      <c r="G35" s="146">
        <v>0</v>
      </c>
      <c r="H35" s="146">
        <v>0</v>
      </c>
      <c r="I35" s="146">
        <v>0</v>
      </c>
      <c r="J35" s="146">
        <v>0</v>
      </c>
      <c r="K35" s="146">
        <v>0.10100000000000002</v>
      </c>
      <c r="L35" s="146">
        <v>0.5</v>
      </c>
      <c r="M35" s="146">
        <v>0.2040345851067866</v>
      </c>
      <c r="N35" s="146">
        <v>0</v>
      </c>
      <c r="O35" s="146">
        <v>0</v>
      </c>
      <c r="P35" s="146">
        <v>0</v>
      </c>
      <c r="Q35" s="146">
        <v>0</v>
      </c>
      <c r="R35" s="146">
        <v>0</v>
      </c>
      <c r="S35" s="146">
        <v>4.00595691769775E-3</v>
      </c>
      <c r="T35" s="146">
        <v>0</v>
      </c>
      <c r="U35" s="146">
        <v>0.48651347534105877</v>
      </c>
      <c r="V35" s="146">
        <v>4.5063676729119283E-2</v>
      </c>
      <c r="W35" s="146">
        <v>9.0086424097321954E-2</v>
      </c>
      <c r="X35" s="146">
        <v>0</v>
      </c>
      <c r="Y35" s="146">
        <v>0</v>
      </c>
      <c r="Z35" s="146">
        <v>4.4944855300163712E-2</v>
      </c>
      <c r="AA35" s="146">
        <v>7.9000004272499688E-2</v>
      </c>
      <c r="AB35" s="146">
        <v>0</v>
      </c>
      <c r="AC35" s="146">
        <v>0</v>
      </c>
      <c r="AD35" s="146">
        <v>0</v>
      </c>
      <c r="AE35" s="146">
        <v>0</v>
      </c>
      <c r="AF35" s="146">
        <v>0.02</v>
      </c>
      <c r="AG35" s="146">
        <v>0.05</v>
      </c>
      <c r="AH35" s="146">
        <v>0.9</v>
      </c>
      <c r="AI35" s="146">
        <v>0</v>
      </c>
      <c r="AJ35" s="146">
        <v>0</v>
      </c>
      <c r="AK35" s="146">
        <v>0</v>
      </c>
    </row>
    <row r="36" spans="1:37" customFormat="1" x14ac:dyDescent="0.15">
      <c r="A36" s="181" t="s">
        <v>225</v>
      </c>
      <c r="B36" s="146">
        <v>0</v>
      </c>
      <c r="C36" s="146">
        <v>0</v>
      </c>
      <c r="D36" s="146">
        <v>0</v>
      </c>
      <c r="E36" s="146">
        <v>0</v>
      </c>
      <c r="F36" s="146">
        <v>0</v>
      </c>
      <c r="G36" s="146">
        <v>4.4103906476390994E-2</v>
      </c>
      <c r="H36" s="146">
        <v>0</v>
      </c>
      <c r="I36" s="146">
        <v>2.001529205116015E-3</v>
      </c>
      <c r="J36" s="146">
        <v>3.9944798508131617E-3</v>
      </c>
      <c r="K36" s="146">
        <v>2.0000000000000004E-2</v>
      </c>
      <c r="L36" s="146">
        <v>0</v>
      </c>
      <c r="M36" s="146">
        <v>0.19060401854382775</v>
      </c>
      <c r="N36" s="146">
        <v>0</v>
      </c>
      <c r="O36" s="146">
        <v>0</v>
      </c>
      <c r="P36" s="146">
        <v>0</v>
      </c>
      <c r="Q36" s="146">
        <v>0</v>
      </c>
      <c r="R36" s="146">
        <v>0</v>
      </c>
      <c r="S36" s="146">
        <v>5.8086370604324991E-2</v>
      </c>
      <c r="T36" s="146">
        <v>0</v>
      </c>
      <c r="U36" s="146">
        <v>0.28371630544735305</v>
      </c>
      <c r="V36" s="146">
        <v>0</v>
      </c>
      <c r="W36" s="146">
        <v>0</v>
      </c>
      <c r="X36" s="146">
        <v>0</v>
      </c>
      <c r="Y36" s="146">
        <v>8.9001778255529546E-2</v>
      </c>
      <c r="Z36" s="146">
        <v>1.5980392495727098E-2</v>
      </c>
      <c r="AA36" s="146">
        <v>1.9999999950000003E-2</v>
      </c>
      <c r="AB36" s="146">
        <v>0</v>
      </c>
      <c r="AC36" s="146">
        <v>0</v>
      </c>
      <c r="AD36" s="146">
        <v>0.25</v>
      </c>
      <c r="AE36" s="146">
        <v>0</v>
      </c>
      <c r="AF36" s="146">
        <v>0.78</v>
      </c>
      <c r="AG36" s="146">
        <v>0.05</v>
      </c>
      <c r="AH36" s="146">
        <v>0.1</v>
      </c>
      <c r="AI36" s="146">
        <v>0</v>
      </c>
      <c r="AJ36" s="146">
        <v>0</v>
      </c>
      <c r="AK36" s="146">
        <v>0</v>
      </c>
    </row>
    <row r="37" spans="1:37" customFormat="1" x14ac:dyDescent="0.15">
      <c r="A37" s="181" t="s">
        <v>226</v>
      </c>
      <c r="B37" s="146">
        <v>0</v>
      </c>
      <c r="C37" s="146">
        <v>0</v>
      </c>
      <c r="D37" s="146">
        <v>0</v>
      </c>
      <c r="E37" s="146">
        <v>0</v>
      </c>
      <c r="F37" s="146">
        <v>0</v>
      </c>
      <c r="G37" s="146">
        <v>0</v>
      </c>
      <c r="H37" s="146">
        <v>0</v>
      </c>
      <c r="I37" s="146">
        <v>0</v>
      </c>
      <c r="J37" s="146">
        <v>0</v>
      </c>
      <c r="K37" s="146">
        <v>0</v>
      </c>
      <c r="L37" s="146">
        <v>0</v>
      </c>
      <c r="M37" s="146">
        <v>0</v>
      </c>
      <c r="N37" s="146">
        <v>0</v>
      </c>
      <c r="O37" s="146">
        <v>0</v>
      </c>
      <c r="P37" s="146">
        <v>0</v>
      </c>
      <c r="Q37" s="146">
        <v>0</v>
      </c>
      <c r="R37" s="146">
        <v>0</v>
      </c>
      <c r="S37" s="146">
        <v>0</v>
      </c>
      <c r="T37" s="146">
        <v>0</v>
      </c>
      <c r="U37" s="146">
        <v>0</v>
      </c>
      <c r="V37" s="146">
        <v>0</v>
      </c>
      <c r="W37" s="146">
        <v>0</v>
      </c>
      <c r="X37" s="146">
        <v>0</v>
      </c>
      <c r="Y37" s="146">
        <v>0</v>
      </c>
      <c r="Z37" s="146">
        <v>0</v>
      </c>
      <c r="AA37" s="146">
        <v>0</v>
      </c>
      <c r="AB37" s="146">
        <v>0</v>
      </c>
      <c r="AC37" s="146">
        <v>0</v>
      </c>
      <c r="AD37" s="146">
        <v>0</v>
      </c>
      <c r="AE37" s="146">
        <v>0</v>
      </c>
      <c r="AF37" s="146">
        <v>0</v>
      </c>
      <c r="AG37" s="146">
        <v>0</v>
      </c>
      <c r="AH37" s="146">
        <v>0</v>
      </c>
      <c r="AI37" s="146">
        <v>0</v>
      </c>
      <c r="AJ37" s="146">
        <v>0</v>
      </c>
      <c r="AK37" s="146">
        <v>0</v>
      </c>
    </row>
    <row r="38" spans="1:37" customFormat="1" x14ac:dyDescent="0.15">
      <c r="A38" s="181" t="s">
        <v>229</v>
      </c>
      <c r="B38" s="146">
        <v>4.5548655150103527E-2</v>
      </c>
      <c r="C38" s="146">
        <v>0.1299010163173622</v>
      </c>
      <c r="D38" s="146">
        <v>0</v>
      </c>
      <c r="E38" s="146">
        <v>0.12799999999999997</v>
      </c>
      <c r="F38" s="146">
        <v>7.6999991861859809E-2</v>
      </c>
      <c r="G38" s="146">
        <v>1.5035422446419885E-2</v>
      </c>
      <c r="H38" s="146">
        <v>2.697804253217281E-2</v>
      </c>
      <c r="I38" s="146">
        <v>0</v>
      </c>
      <c r="J38" s="146">
        <v>0</v>
      </c>
      <c r="K38" s="146">
        <v>0.10000000000000002</v>
      </c>
      <c r="L38" s="146">
        <v>0</v>
      </c>
      <c r="M38" s="146">
        <v>0</v>
      </c>
      <c r="N38" s="146">
        <v>0</v>
      </c>
      <c r="O38" s="146">
        <v>0</v>
      </c>
      <c r="P38" s="146">
        <v>0</v>
      </c>
      <c r="Q38" s="146">
        <v>0</v>
      </c>
      <c r="R38" s="146">
        <v>0</v>
      </c>
      <c r="S38" s="146">
        <v>2.6038719364742731E-2</v>
      </c>
      <c r="T38" s="146">
        <v>0</v>
      </c>
      <c r="U38" s="146">
        <v>0</v>
      </c>
      <c r="V38" s="146">
        <v>0</v>
      </c>
      <c r="W38" s="146">
        <v>0</v>
      </c>
      <c r="X38" s="146">
        <v>0</v>
      </c>
      <c r="Y38" s="146">
        <v>0</v>
      </c>
      <c r="Z38" s="146">
        <v>0</v>
      </c>
      <c r="AA38" s="146">
        <v>0</v>
      </c>
      <c r="AB38" s="146">
        <v>0.25592711841627552</v>
      </c>
      <c r="AC38" s="146">
        <v>9.8038233133340008E-2</v>
      </c>
      <c r="AD38" s="146">
        <v>0</v>
      </c>
      <c r="AE38" s="146">
        <v>8.3000000000000018E-2</v>
      </c>
      <c r="AF38" s="146">
        <v>0</v>
      </c>
      <c r="AG38" s="146">
        <v>0</v>
      </c>
      <c r="AH38" s="146">
        <v>0</v>
      </c>
      <c r="AI38" s="146">
        <v>0</v>
      </c>
      <c r="AJ38" s="146">
        <v>0</v>
      </c>
      <c r="AK38" s="146">
        <v>0</v>
      </c>
    </row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tabSelected="1" workbookViewId="0">
      <pane xSplit="2" ySplit="1" topLeftCell="C18" activePane="bottomRight" state="frozen"/>
      <selection pane="topRight" activeCell="C1" sqref="C1"/>
      <selection pane="bottomLeft" activeCell="A2" sqref="A2"/>
      <selection pane="bottomRight" activeCell="H42" sqref="H42"/>
    </sheetView>
  </sheetViews>
  <sheetFormatPr baseColWidth="10" defaultColWidth="8.83203125" defaultRowHeight="13" x14ac:dyDescent="0.15"/>
  <cols>
    <col min="1" max="1" width="3.33203125" customWidth="1"/>
    <col min="2" max="2" width="22.5" customWidth="1"/>
    <col min="3" max="4" width="15.83203125" style="113" customWidth="1"/>
    <col min="5" max="6" width="15.83203125" style="112" customWidth="1"/>
    <col min="7" max="8" width="8.83203125" style="113"/>
  </cols>
  <sheetData>
    <row r="1" spans="1:8" ht="70" x14ac:dyDescent="0.15">
      <c r="A1" s="5" t="s">
        <v>20</v>
      </c>
      <c r="B1" s="1" t="s">
        <v>0</v>
      </c>
      <c r="C1" s="184" t="s">
        <v>225</v>
      </c>
      <c r="D1" s="184" t="s">
        <v>226</v>
      </c>
      <c r="E1" s="184" t="s">
        <v>230</v>
      </c>
      <c r="F1" s="184" t="s">
        <v>231</v>
      </c>
      <c r="G1"/>
      <c r="H1"/>
    </row>
    <row r="2" spans="1:8" x14ac:dyDescent="0.15">
      <c r="A2">
        <v>1</v>
      </c>
      <c r="B2" s="183" t="s">
        <v>191</v>
      </c>
      <c r="C2" s="113">
        <v>1</v>
      </c>
      <c r="D2" s="113">
        <v>0</v>
      </c>
      <c r="E2" s="112">
        <v>0</v>
      </c>
      <c r="F2" s="112">
        <v>1</v>
      </c>
      <c r="G2"/>
      <c r="H2"/>
    </row>
    <row r="3" spans="1:8" x14ac:dyDescent="0.15">
      <c r="A3">
        <v>2</v>
      </c>
      <c r="B3" s="183" t="s">
        <v>192</v>
      </c>
      <c r="C3" s="113">
        <v>1</v>
      </c>
      <c r="D3" s="113">
        <v>0</v>
      </c>
      <c r="E3" s="112">
        <v>0</v>
      </c>
      <c r="F3" s="112">
        <v>1</v>
      </c>
      <c r="G3"/>
      <c r="H3"/>
    </row>
    <row r="4" spans="1:8" x14ac:dyDescent="0.15">
      <c r="A4">
        <v>3</v>
      </c>
      <c r="B4" s="183" t="s">
        <v>193</v>
      </c>
      <c r="C4" s="113">
        <v>1</v>
      </c>
      <c r="D4" s="113">
        <v>0</v>
      </c>
      <c r="E4" s="112">
        <v>0</v>
      </c>
      <c r="F4" s="112">
        <v>1</v>
      </c>
      <c r="G4"/>
      <c r="H4"/>
    </row>
    <row r="5" spans="1:8" x14ac:dyDescent="0.15">
      <c r="A5">
        <v>4</v>
      </c>
      <c r="B5" s="183" t="s">
        <v>194</v>
      </c>
      <c r="C5" s="113">
        <v>1</v>
      </c>
      <c r="D5" s="113">
        <v>0</v>
      </c>
      <c r="E5" s="112">
        <v>0</v>
      </c>
      <c r="F5" s="112">
        <v>1</v>
      </c>
      <c r="G5"/>
      <c r="H5"/>
    </row>
    <row r="6" spans="1:8" x14ac:dyDescent="0.15">
      <c r="A6">
        <v>5</v>
      </c>
      <c r="B6" s="183" t="s">
        <v>195</v>
      </c>
      <c r="C6" s="113">
        <v>1</v>
      </c>
      <c r="D6" s="113">
        <v>0</v>
      </c>
      <c r="E6" s="112">
        <v>0</v>
      </c>
      <c r="F6" s="112">
        <v>1</v>
      </c>
      <c r="G6"/>
      <c r="H6"/>
    </row>
    <row r="7" spans="1:8" x14ac:dyDescent="0.15">
      <c r="A7">
        <v>6</v>
      </c>
      <c r="B7" s="183" t="s">
        <v>196</v>
      </c>
      <c r="C7" s="113">
        <v>1</v>
      </c>
      <c r="D7" s="113">
        <v>0</v>
      </c>
      <c r="E7" s="112">
        <v>0</v>
      </c>
      <c r="F7" s="112">
        <v>1</v>
      </c>
      <c r="G7"/>
      <c r="H7"/>
    </row>
    <row r="8" spans="1:8" x14ac:dyDescent="0.15">
      <c r="A8">
        <v>7</v>
      </c>
      <c r="B8" s="183" t="s">
        <v>197</v>
      </c>
      <c r="C8" s="113">
        <v>1</v>
      </c>
      <c r="D8" s="113">
        <v>0</v>
      </c>
      <c r="E8" s="112">
        <v>0</v>
      </c>
      <c r="F8" s="112">
        <v>1</v>
      </c>
      <c r="G8"/>
      <c r="H8"/>
    </row>
    <row r="9" spans="1:8" x14ac:dyDescent="0.15">
      <c r="A9">
        <v>8</v>
      </c>
      <c r="B9" s="183" t="s">
        <v>198</v>
      </c>
      <c r="C9" s="113">
        <v>1</v>
      </c>
      <c r="D9" s="113">
        <v>0</v>
      </c>
      <c r="E9" s="112">
        <v>0</v>
      </c>
      <c r="F9" s="112">
        <v>1</v>
      </c>
      <c r="G9"/>
      <c r="H9"/>
    </row>
    <row r="10" spans="1:8" x14ac:dyDescent="0.15">
      <c r="A10">
        <v>9</v>
      </c>
      <c r="B10" s="183" t="s">
        <v>199</v>
      </c>
      <c r="C10" s="113">
        <v>1</v>
      </c>
      <c r="D10" s="113">
        <v>0</v>
      </c>
      <c r="E10" s="112">
        <v>0</v>
      </c>
      <c r="F10" s="112">
        <v>1</v>
      </c>
      <c r="G10"/>
      <c r="H10"/>
    </row>
    <row r="11" spans="1:8" x14ac:dyDescent="0.15">
      <c r="A11">
        <v>10</v>
      </c>
      <c r="B11" s="183" t="s">
        <v>200</v>
      </c>
      <c r="C11" s="113">
        <v>1</v>
      </c>
      <c r="D11" s="113">
        <v>0</v>
      </c>
      <c r="E11" s="112">
        <v>0</v>
      </c>
      <c r="F11" s="112">
        <v>1</v>
      </c>
      <c r="G11"/>
      <c r="H11"/>
    </row>
    <row r="12" spans="1:8" x14ac:dyDescent="0.15">
      <c r="A12">
        <v>11</v>
      </c>
      <c r="B12" s="183" t="s">
        <v>201</v>
      </c>
      <c r="C12" s="113">
        <v>1</v>
      </c>
      <c r="D12" s="113">
        <v>0</v>
      </c>
      <c r="E12" s="112">
        <v>0</v>
      </c>
      <c r="F12" s="112">
        <v>1</v>
      </c>
      <c r="G12"/>
      <c r="H12"/>
    </row>
    <row r="13" spans="1:8" x14ac:dyDescent="0.15">
      <c r="A13">
        <v>12</v>
      </c>
      <c r="B13" s="183" t="s">
        <v>202</v>
      </c>
      <c r="C13" s="113">
        <v>1</v>
      </c>
      <c r="D13" s="113">
        <v>0</v>
      </c>
      <c r="E13" s="112">
        <v>0</v>
      </c>
      <c r="F13" s="112">
        <v>1</v>
      </c>
      <c r="G13"/>
      <c r="H13"/>
    </row>
    <row r="14" spans="1:8" x14ac:dyDescent="0.15">
      <c r="A14">
        <v>13</v>
      </c>
      <c r="B14" s="183" t="s">
        <v>203</v>
      </c>
      <c r="C14" s="113">
        <v>1</v>
      </c>
      <c r="D14" s="113">
        <v>0</v>
      </c>
      <c r="E14" s="112">
        <v>0</v>
      </c>
      <c r="F14" s="112">
        <v>1</v>
      </c>
      <c r="G14"/>
      <c r="H14"/>
    </row>
    <row r="15" spans="1:8" x14ac:dyDescent="0.15">
      <c r="A15">
        <v>14</v>
      </c>
      <c r="B15" s="183" t="s">
        <v>204</v>
      </c>
      <c r="C15" s="113">
        <v>1</v>
      </c>
      <c r="D15" s="113">
        <v>0</v>
      </c>
      <c r="E15" s="112">
        <v>0</v>
      </c>
      <c r="F15" s="112">
        <v>1</v>
      </c>
      <c r="G15"/>
      <c r="H15"/>
    </row>
    <row r="16" spans="1:8" x14ac:dyDescent="0.15">
      <c r="A16">
        <v>15</v>
      </c>
      <c r="B16" s="183" t="s">
        <v>205</v>
      </c>
      <c r="C16" s="113">
        <v>1</v>
      </c>
      <c r="D16" s="113">
        <v>0</v>
      </c>
      <c r="E16" s="112">
        <v>0</v>
      </c>
      <c r="F16" s="112">
        <v>1</v>
      </c>
      <c r="G16"/>
      <c r="H16"/>
    </row>
    <row r="17" spans="1:8" ht="15" customHeight="1" x14ac:dyDescent="0.15">
      <c r="A17">
        <v>16</v>
      </c>
      <c r="B17" s="183" t="s">
        <v>206</v>
      </c>
      <c r="C17" s="113">
        <v>1</v>
      </c>
      <c r="D17" s="113">
        <v>0</v>
      </c>
      <c r="E17" s="112">
        <v>0</v>
      </c>
      <c r="F17" s="112">
        <v>1</v>
      </c>
      <c r="G17"/>
      <c r="H17"/>
    </row>
    <row r="18" spans="1:8" ht="15" customHeight="1" x14ac:dyDescent="0.15">
      <c r="A18">
        <v>17</v>
      </c>
      <c r="B18" s="183" t="s">
        <v>207</v>
      </c>
      <c r="C18" s="113">
        <v>1</v>
      </c>
      <c r="D18" s="113">
        <v>0</v>
      </c>
      <c r="E18" s="112">
        <v>0</v>
      </c>
      <c r="F18" s="112">
        <v>1</v>
      </c>
      <c r="G18"/>
      <c r="H18"/>
    </row>
    <row r="19" spans="1:8" ht="15" customHeight="1" x14ac:dyDescent="0.15">
      <c r="A19">
        <v>18</v>
      </c>
      <c r="B19" s="183" t="s">
        <v>208</v>
      </c>
      <c r="C19" s="113">
        <v>1</v>
      </c>
      <c r="D19" s="113">
        <v>0</v>
      </c>
      <c r="E19" s="112">
        <v>0</v>
      </c>
      <c r="F19" s="112">
        <v>1</v>
      </c>
      <c r="G19"/>
      <c r="H19"/>
    </row>
    <row r="20" spans="1:8" ht="15" customHeight="1" x14ac:dyDescent="0.15">
      <c r="A20">
        <v>19</v>
      </c>
      <c r="B20" s="183" t="s">
        <v>209</v>
      </c>
      <c r="C20" s="113">
        <v>1</v>
      </c>
      <c r="D20" s="113">
        <v>0</v>
      </c>
      <c r="E20" s="112">
        <v>0</v>
      </c>
      <c r="F20" s="112">
        <v>1</v>
      </c>
      <c r="G20"/>
      <c r="H20"/>
    </row>
    <row r="21" spans="1:8" ht="15" customHeight="1" x14ac:dyDescent="0.15">
      <c r="A21">
        <v>20</v>
      </c>
      <c r="B21" s="183" t="s">
        <v>210</v>
      </c>
      <c r="C21" s="113">
        <v>1</v>
      </c>
      <c r="D21" s="113">
        <v>0</v>
      </c>
      <c r="E21" s="112">
        <v>0</v>
      </c>
      <c r="F21" s="112">
        <v>1</v>
      </c>
      <c r="G21"/>
      <c r="H21"/>
    </row>
    <row r="22" spans="1:8" ht="15" customHeight="1" x14ac:dyDescent="0.15">
      <c r="A22">
        <v>21</v>
      </c>
      <c r="B22" s="183" t="s">
        <v>211</v>
      </c>
      <c r="C22" s="113">
        <v>1</v>
      </c>
      <c r="D22" s="113">
        <v>0</v>
      </c>
      <c r="E22" s="112">
        <v>0</v>
      </c>
      <c r="F22" s="112">
        <v>1</v>
      </c>
      <c r="G22"/>
      <c r="H22"/>
    </row>
    <row r="23" spans="1:8" ht="15" customHeight="1" x14ac:dyDescent="0.15">
      <c r="A23">
        <v>22</v>
      </c>
      <c r="B23" s="183" t="s">
        <v>212</v>
      </c>
      <c r="C23" s="113">
        <v>1</v>
      </c>
      <c r="D23" s="113">
        <v>0</v>
      </c>
      <c r="E23" s="112">
        <v>0</v>
      </c>
      <c r="F23" s="112">
        <v>1</v>
      </c>
      <c r="G23"/>
      <c r="H23"/>
    </row>
    <row r="24" spans="1:8" ht="15" customHeight="1" x14ac:dyDescent="0.15">
      <c r="A24">
        <v>23</v>
      </c>
      <c r="B24" s="183" t="s">
        <v>213</v>
      </c>
      <c r="C24" s="113">
        <v>1</v>
      </c>
      <c r="D24" s="113">
        <v>0</v>
      </c>
      <c r="E24" s="112">
        <v>0</v>
      </c>
      <c r="F24" s="112">
        <v>1</v>
      </c>
      <c r="G24"/>
      <c r="H24"/>
    </row>
    <row r="25" spans="1:8" ht="15" customHeight="1" x14ac:dyDescent="0.15">
      <c r="A25">
        <v>24</v>
      </c>
      <c r="B25" s="183" t="s">
        <v>214</v>
      </c>
      <c r="C25" s="113">
        <v>1</v>
      </c>
      <c r="D25" s="113">
        <v>0</v>
      </c>
      <c r="E25" s="112">
        <v>0</v>
      </c>
      <c r="F25" s="112">
        <v>1</v>
      </c>
      <c r="G25"/>
      <c r="H25"/>
    </row>
    <row r="26" spans="1:8" ht="15" customHeight="1" x14ac:dyDescent="0.15">
      <c r="A26">
        <v>25</v>
      </c>
      <c r="B26" s="183" t="s">
        <v>215</v>
      </c>
      <c r="C26" s="113">
        <v>1</v>
      </c>
      <c r="D26" s="113">
        <v>0</v>
      </c>
      <c r="E26" s="112">
        <v>0</v>
      </c>
      <c r="F26" s="112">
        <v>1</v>
      </c>
      <c r="G26"/>
      <c r="H26"/>
    </row>
    <row r="27" spans="1:8" ht="15" customHeight="1" x14ac:dyDescent="0.15">
      <c r="A27">
        <v>26</v>
      </c>
      <c r="B27" s="183" t="s">
        <v>216</v>
      </c>
      <c r="C27" s="113">
        <v>1</v>
      </c>
      <c r="D27" s="113">
        <v>0</v>
      </c>
      <c r="E27" s="112">
        <v>0</v>
      </c>
      <c r="F27" s="112">
        <v>1</v>
      </c>
      <c r="G27"/>
      <c r="H27"/>
    </row>
    <row r="28" spans="1:8" ht="15" customHeight="1" x14ac:dyDescent="0.15">
      <c r="A28">
        <v>27</v>
      </c>
      <c r="B28" s="183" t="s">
        <v>217</v>
      </c>
      <c r="C28" s="113">
        <v>1</v>
      </c>
      <c r="D28" s="113">
        <v>0</v>
      </c>
      <c r="E28" s="112">
        <v>0</v>
      </c>
      <c r="F28" s="112">
        <v>1</v>
      </c>
      <c r="G28"/>
      <c r="H28"/>
    </row>
    <row r="29" spans="1:8" ht="15" customHeight="1" x14ac:dyDescent="0.15">
      <c r="A29">
        <v>28</v>
      </c>
      <c r="B29" s="183" t="s">
        <v>218</v>
      </c>
      <c r="C29" s="113">
        <v>1</v>
      </c>
      <c r="D29" s="113">
        <v>0</v>
      </c>
      <c r="E29" s="112">
        <v>0</v>
      </c>
      <c r="F29" s="112">
        <v>1</v>
      </c>
      <c r="G29"/>
      <c r="H29"/>
    </row>
    <row r="30" spans="1:8" ht="15" customHeight="1" x14ac:dyDescent="0.15">
      <c r="A30">
        <v>29</v>
      </c>
      <c r="B30" s="183" t="s">
        <v>219</v>
      </c>
      <c r="C30" s="113">
        <v>1</v>
      </c>
      <c r="D30" s="113">
        <v>0</v>
      </c>
      <c r="E30" s="112">
        <v>0</v>
      </c>
      <c r="F30" s="112">
        <v>1</v>
      </c>
      <c r="G30"/>
      <c r="H30"/>
    </row>
    <row r="31" spans="1:8" ht="15" customHeight="1" x14ac:dyDescent="0.15">
      <c r="A31">
        <v>30</v>
      </c>
      <c r="B31" s="183" t="s">
        <v>220</v>
      </c>
      <c r="C31" s="113">
        <v>1</v>
      </c>
      <c r="D31" s="113">
        <v>0</v>
      </c>
      <c r="E31" s="112">
        <v>0</v>
      </c>
      <c r="F31" s="112">
        <v>1</v>
      </c>
      <c r="G31"/>
      <c r="H31"/>
    </row>
    <row r="32" spans="1:8" ht="15" customHeight="1" x14ac:dyDescent="0.15">
      <c r="A32">
        <v>31</v>
      </c>
      <c r="B32" s="183" t="s">
        <v>221</v>
      </c>
      <c r="C32" s="113">
        <v>1</v>
      </c>
      <c r="D32" s="113">
        <v>0</v>
      </c>
      <c r="E32" s="112">
        <v>0</v>
      </c>
      <c r="F32" s="112">
        <v>1</v>
      </c>
    </row>
    <row r="33" spans="1:8" ht="15" customHeight="1" x14ac:dyDescent="0.15">
      <c r="A33">
        <v>32</v>
      </c>
      <c r="B33" s="183" t="s">
        <v>222</v>
      </c>
      <c r="C33" s="113">
        <v>1</v>
      </c>
      <c r="D33" s="113">
        <v>0</v>
      </c>
      <c r="E33" s="112">
        <v>0</v>
      </c>
      <c r="F33" s="112">
        <v>1</v>
      </c>
    </row>
    <row r="34" spans="1:8" ht="15" customHeight="1" x14ac:dyDescent="0.15">
      <c r="A34">
        <v>33</v>
      </c>
      <c r="B34" s="183" t="s">
        <v>223</v>
      </c>
      <c r="C34" s="113">
        <v>1</v>
      </c>
      <c r="D34" s="113">
        <v>0</v>
      </c>
      <c r="E34" s="112">
        <v>0</v>
      </c>
      <c r="F34" s="112">
        <v>1</v>
      </c>
    </row>
    <row r="35" spans="1:8" ht="15" customHeight="1" x14ac:dyDescent="0.15">
      <c r="A35">
        <v>34</v>
      </c>
      <c r="B35" s="183" t="s">
        <v>224</v>
      </c>
      <c r="C35" s="113">
        <v>1</v>
      </c>
      <c r="D35" s="113">
        <v>0</v>
      </c>
      <c r="E35" s="112">
        <v>0</v>
      </c>
      <c r="F35" s="112">
        <v>1</v>
      </c>
    </row>
    <row r="36" spans="1:8" ht="15" customHeight="1" x14ac:dyDescent="0.15">
      <c r="A36">
        <v>35</v>
      </c>
      <c r="B36" s="183" t="s">
        <v>225</v>
      </c>
      <c r="C36" s="113">
        <v>0</v>
      </c>
      <c r="D36" s="113">
        <v>1</v>
      </c>
      <c r="E36" s="113">
        <v>0</v>
      </c>
      <c r="F36" s="113">
        <v>1</v>
      </c>
      <c r="G36"/>
      <c r="H36"/>
    </row>
    <row r="37" spans="1:8" ht="15" customHeight="1" x14ac:dyDescent="0.15">
      <c r="A37">
        <v>36</v>
      </c>
      <c r="B37" s="183" t="s">
        <v>226</v>
      </c>
      <c r="C37" s="113">
        <v>0</v>
      </c>
      <c r="D37" s="113">
        <v>0</v>
      </c>
      <c r="E37" s="113">
        <v>1</v>
      </c>
      <c r="F37" s="113">
        <v>1</v>
      </c>
      <c r="G37"/>
      <c r="H37"/>
    </row>
    <row r="38" spans="1:8" ht="15" customHeight="1" x14ac:dyDescent="0.15">
      <c r="A38">
        <v>37</v>
      </c>
      <c r="B38" s="183" t="s">
        <v>227</v>
      </c>
      <c r="C38" s="113">
        <v>0</v>
      </c>
      <c r="D38" s="113">
        <v>1</v>
      </c>
      <c r="E38" s="113">
        <v>0</v>
      </c>
      <c r="F38" s="113">
        <v>1</v>
      </c>
      <c r="G38"/>
      <c r="H38"/>
    </row>
    <row r="39" spans="1:8" ht="15" customHeight="1" x14ac:dyDescent="0.15">
      <c r="A39">
        <v>38</v>
      </c>
      <c r="B39" s="183" t="s">
        <v>228</v>
      </c>
      <c r="C39" s="113">
        <v>0</v>
      </c>
      <c r="D39" s="113">
        <v>1</v>
      </c>
      <c r="E39" s="113">
        <v>0</v>
      </c>
      <c r="F39" s="113">
        <v>1</v>
      </c>
      <c r="G39"/>
      <c r="H39"/>
    </row>
    <row r="40" spans="1:8" ht="15" customHeight="1" x14ac:dyDescent="0.15">
      <c r="C40"/>
      <c r="D40"/>
      <c r="E40" s="113"/>
      <c r="F40" s="113"/>
      <c r="G40"/>
      <c r="H40"/>
    </row>
    <row r="41" spans="1:8" ht="15" customHeight="1" x14ac:dyDescent="0.15">
      <c r="C41"/>
      <c r="D41"/>
      <c r="E41" s="113"/>
      <c r="F41" s="113"/>
      <c r="G41"/>
      <c r="H41"/>
    </row>
    <row r="42" spans="1:8" ht="15" customHeight="1" x14ac:dyDescent="0.15">
      <c r="C42"/>
      <c r="D42"/>
      <c r="E42" s="113"/>
      <c r="F42" s="113"/>
      <c r="G42"/>
      <c r="H42"/>
    </row>
    <row r="43" spans="1:8" ht="15" customHeight="1" x14ac:dyDescent="0.15">
      <c r="C43"/>
      <c r="D43"/>
      <c r="E43" s="113"/>
      <c r="F43" s="113"/>
      <c r="G43"/>
      <c r="H43"/>
    </row>
    <row r="44" spans="1:8" ht="15" customHeight="1" x14ac:dyDescent="0.15">
      <c r="C44"/>
      <c r="D44"/>
      <c r="G44"/>
      <c r="H44"/>
    </row>
    <row r="45" spans="1:8" ht="15" customHeight="1" x14ac:dyDescent="0.15">
      <c r="C45"/>
      <c r="D45"/>
      <c r="G45"/>
      <c r="H45"/>
    </row>
    <row r="46" spans="1:8" ht="15" customHeight="1" x14ac:dyDescent="0.15">
      <c r="C46"/>
      <c r="D46"/>
      <c r="E46" s="113"/>
      <c r="F46" s="113"/>
      <c r="G46"/>
      <c r="H46"/>
    </row>
    <row r="47" spans="1:8" ht="15" customHeight="1" x14ac:dyDescent="0.15">
      <c r="C47"/>
      <c r="D47"/>
      <c r="G47"/>
      <c r="H47"/>
    </row>
    <row r="48" spans="1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2.5" bestFit="1" customWidth="1"/>
    <col min="3" max="5" width="6.83203125" bestFit="1" customWidth="1"/>
  </cols>
  <sheetData>
    <row r="1" spans="1:5" s="114" customFormat="1" ht="112" x14ac:dyDescent="0.15">
      <c r="A1" s="5" t="s">
        <v>21</v>
      </c>
      <c r="B1" s="3" t="s">
        <v>0</v>
      </c>
      <c r="C1" s="186" t="s">
        <v>227</v>
      </c>
      <c r="D1" s="186" t="s">
        <v>228</v>
      </c>
      <c r="E1" s="186" t="s">
        <v>232</v>
      </c>
    </row>
    <row r="2" spans="1:5" ht="15" customHeight="1" x14ac:dyDescent="0.15">
      <c r="A2">
        <v>1</v>
      </c>
      <c r="B2" s="185" t="s">
        <v>191</v>
      </c>
      <c r="C2">
        <v>0</v>
      </c>
      <c r="D2">
        <v>0</v>
      </c>
      <c r="E2">
        <v>0</v>
      </c>
    </row>
    <row r="3" spans="1:5" ht="15" customHeight="1" x14ac:dyDescent="0.15">
      <c r="A3">
        <v>2</v>
      </c>
      <c r="B3" s="185" t="s">
        <v>192</v>
      </c>
      <c r="C3">
        <v>0</v>
      </c>
      <c r="D3">
        <v>0</v>
      </c>
      <c r="E3">
        <v>0</v>
      </c>
    </row>
    <row r="4" spans="1:5" ht="15" customHeight="1" x14ac:dyDescent="0.15">
      <c r="A4">
        <v>3</v>
      </c>
      <c r="B4" s="185" t="s">
        <v>193</v>
      </c>
      <c r="C4">
        <v>0</v>
      </c>
      <c r="D4">
        <v>0</v>
      </c>
      <c r="E4">
        <v>0</v>
      </c>
    </row>
    <row r="5" spans="1:5" ht="15" customHeight="1" x14ac:dyDescent="0.15">
      <c r="A5">
        <v>4</v>
      </c>
      <c r="B5" s="185" t="s">
        <v>194</v>
      </c>
      <c r="C5">
        <v>0</v>
      </c>
      <c r="D5">
        <v>0</v>
      </c>
      <c r="E5">
        <v>0</v>
      </c>
    </row>
    <row r="6" spans="1:5" ht="15" customHeight="1" x14ac:dyDescent="0.15">
      <c r="A6">
        <v>5</v>
      </c>
      <c r="B6" s="185" t="s">
        <v>195</v>
      </c>
      <c r="C6">
        <v>1.0500000000000001E-2</v>
      </c>
      <c r="D6">
        <v>2.7000000000000001E-3</v>
      </c>
      <c r="E6">
        <v>1.32E-2</v>
      </c>
    </row>
    <row r="7" spans="1:5" ht="15" customHeight="1" x14ac:dyDescent="0.15">
      <c r="A7">
        <v>6</v>
      </c>
      <c r="B7" s="185" t="s">
        <v>196</v>
      </c>
      <c r="C7">
        <v>7.7000000000000002E-3</v>
      </c>
      <c r="D7">
        <v>1.1999999999999999E-3</v>
      </c>
      <c r="E7">
        <v>8.8999999999999999E-3</v>
      </c>
    </row>
    <row r="8" spans="1:5" ht="15" customHeight="1" x14ac:dyDescent="0.15">
      <c r="A8">
        <v>7</v>
      </c>
      <c r="B8" s="185" t="s">
        <v>197</v>
      </c>
      <c r="C8">
        <v>3.3E-3</v>
      </c>
      <c r="D8">
        <v>2.9000000000000001E-2</v>
      </c>
      <c r="E8">
        <v>3.2300000000000002E-2</v>
      </c>
    </row>
    <row r="9" spans="1:5" ht="15" customHeight="1" x14ac:dyDescent="0.15">
      <c r="A9">
        <v>8</v>
      </c>
      <c r="B9" s="185" t="s">
        <v>198</v>
      </c>
      <c r="C9">
        <v>3.0999999999999999E-3</v>
      </c>
      <c r="D9">
        <v>4.1999999999999997E-3</v>
      </c>
      <c r="E9">
        <v>7.2999999999999992E-3</v>
      </c>
    </row>
    <row r="10" spans="1:5" ht="15" customHeight="1" x14ac:dyDescent="0.15">
      <c r="A10">
        <v>9</v>
      </c>
      <c r="B10" s="185" t="s">
        <v>199</v>
      </c>
      <c r="C10">
        <v>2.0999999999999999E-3</v>
      </c>
      <c r="D10">
        <v>4.8999999999999998E-3</v>
      </c>
      <c r="E10">
        <v>6.9999999999999993E-3</v>
      </c>
    </row>
    <row r="11" spans="1:5" ht="15" customHeight="1" x14ac:dyDescent="0.15">
      <c r="A11">
        <v>10</v>
      </c>
      <c r="B11" s="185" t="s">
        <v>200</v>
      </c>
      <c r="C11">
        <v>0</v>
      </c>
      <c r="D11">
        <v>7.3099999999999998E-2</v>
      </c>
      <c r="E11">
        <v>7.3099999999999998E-2</v>
      </c>
    </row>
    <row r="12" spans="1:5" ht="15" customHeight="1" x14ac:dyDescent="0.15">
      <c r="A12">
        <v>11</v>
      </c>
      <c r="B12" s="185" t="s">
        <v>201</v>
      </c>
      <c r="C12">
        <v>0.2611</v>
      </c>
      <c r="D12">
        <v>0</v>
      </c>
      <c r="E12">
        <v>0.2611</v>
      </c>
    </row>
    <row r="13" spans="1:5" ht="15" customHeight="1" x14ac:dyDescent="0.15">
      <c r="A13">
        <v>12</v>
      </c>
      <c r="B13" s="185" t="s">
        <v>202</v>
      </c>
      <c r="C13">
        <v>3.3799999999999997E-2</v>
      </c>
      <c r="D13">
        <v>1.35E-2</v>
      </c>
      <c r="E13">
        <v>4.7299999999999995E-2</v>
      </c>
    </row>
    <row r="14" spans="1:5" ht="15" customHeight="1" x14ac:dyDescent="0.15">
      <c r="A14">
        <v>13</v>
      </c>
      <c r="B14" s="185" t="s">
        <v>203</v>
      </c>
      <c r="C14">
        <v>4.2799999999999998E-2</v>
      </c>
      <c r="D14">
        <v>1.8800000000000001E-2</v>
      </c>
      <c r="E14">
        <v>6.1600000000000002E-2</v>
      </c>
    </row>
    <row r="15" spans="1:5" ht="15" customHeight="1" x14ac:dyDescent="0.15">
      <c r="A15">
        <v>14</v>
      </c>
      <c r="B15" s="185" t="s">
        <v>204</v>
      </c>
      <c r="C15">
        <v>4.2200000000000001E-2</v>
      </c>
      <c r="D15">
        <v>3.09E-2</v>
      </c>
      <c r="E15">
        <v>7.3099999999999998E-2</v>
      </c>
    </row>
    <row r="16" spans="1:5" ht="15" customHeight="1" x14ac:dyDescent="0.15">
      <c r="A16">
        <v>15</v>
      </c>
      <c r="B16" s="185" t="s">
        <v>205</v>
      </c>
      <c r="C16">
        <v>5.1999999999999998E-3</v>
      </c>
      <c r="D16">
        <v>1.35E-2</v>
      </c>
      <c r="E16">
        <v>1.8700000000000001E-2</v>
      </c>
    </row>
    <row r="17" spans="1:5" ht="15" customHeight="1" x14ac:dyDescent="0.15">
      <c r="A17">
        <v>16</v>
      </c>
      <c r="B17" s="185" t="s">
        <v>206</v>
      </c>
      <c r="C17">
        <v>9.4999999999999998E-3</v>
      </c>
      <c r="D17">
        <v>8.9999999999999998E-4</v>
      </c>
      <c r="E17">
        <v>1.04E-2</v>
      </c>
    </row>
    <row r="18" spans="1:5" ht="15" customHeight="1" x14ac:dyDescent="0.15">
      <c r="A18">
        <v>17</v>
      </c>
      <c r="B18" s="185" t="s">
        <v>207</v>
      </c>
      <c r="C18">
        <v>1.9099999999999999E-2</v>
      </c>
      <c r="D18">
        <v>1E-4</v>
      </c>
      <c r="E18">
        <v>1.9199999999999998E-2</v>
      </c>
    </row>
    <row r="19" spans="1:5" ht="15" customHeight="1" x14ac:dyDescent="0.15">
      <c r="A19">
        <v>18</v>
      </c>
      <c r="B19" s="185" t="s">
        <v>208</v>
      </c>
      <c r="C19">
        <v>3.0599999999999999E-2</v>
      </c>
      <c r="D19">
        <v>1.2500000000000001E-2</v>
      </c>
      <c r="E19">
        <v>4.3099999999999999E-2</v>
      </c>
    </row>
    <row r="20" spans="1:5" ht="15" customHeight="1" x14ac:dyDescent="0.15">
      <c r="A20">
        <v>19</v>
      </c>
      <c r="B20" s="185" t="s">
        <v>209</v>
      </c>
      <c r="C20">
        <v>2.92E-2</v>
      </c>
      <c r="D20">
        <v>1.17E-2</v>
      </c>
      <c r="E20">
        <v>4.0899999999999999E-2</v>
      </c>
    </row>
    <row r="21" spans="1:5" ht="15" customHeight="1" x14ac:dyDescent="0.15">
      <c r="A21">
        <v>20</v>
      </c>
      <c r="B21" s="185" t="s">
        <v>210</v>
      </c>
      <c r="C21">
        <v>1.2800000000000001E-2</v>
      </c>
      <c r="D21">
        <v>8.0000000000000004E-4</v>
      </c>
      <c r="E21">
        <v>1.3600000000000001E-2</v>
      </c>
    </row>
    <row r="22" spans="1:5" ht="15" customHeight="1" x14ac:dyDescent="0.15">
      <c r="A22">
        <v>21</v>
      </c>
      <c r="B22" s="185" t="s">
        <v>211</v>
      </c>
      <c r="C22">
        <v>3.0000000000000001E-3</v>
      </c>
      <c r="D22">
        <v>1.49E-2</v>
      </c>
      <c r="E22">
        <v>1.7899999999999999E-2</v>
      </c>
    </row>
    <row r="23" spans="1:5" ht="15" customHeight="1" x14ac:dyDescent="0.15">
      <c r="A23">
        <v>22</v>
      </c>
      <c r="B23" s="185" t="s">
        <v>212</v>
      </c>
      <c r="C23">
        <v>2.2000000000000001E-3</v>
      </c>
      <c r="D23">
        <v>3.2800000000000003E-2</v>
      </c>
      <c r="E23">
        <v>3.5000000000000003E-2</v>
      </c>
    </row>
    <row r="24" spans="1:5" ht="15" customHeight="1" x14ac:dyDescent="0.15">
      <c r="A24">
        <v>23</v>
      </c>
      <c r="B24" s="185" t="s">
        <v>213</v>
      </c>
      <c r="C24">
        <v>5.5999999999999999E-3</v>
      </c>
      <c r="D24">
        <v>1.43E-2</v>
      </c>
      <c r="E24">
        <v>1.9900000000000001E-2</v>
      </c>
    </row>
    <row r="25" spans="1:5" ht="15" customHeight="1" x14ac:dyDescent="0.15">
      <c r="A25">
        <v>24</v>
      </c>
      <c r="B25" s="185" t="s">
        <v>214</v>
      </c>
      <c r="C25">
        <v>5.0000000000000001E-4</v>
      </c>
      <c r="D25">
        <v>4.5999999999999999E-3</v>
      </c>
      <c r="E25">
        <v>5.1000000000000004E-3</v>
      </c>
    </row>
    <row r="26" spans="1:5" ht="15" customHeight="1" x14ac:dyDescent="0.15">
      <c r="A26">
        <v>25</v>
      </c>
      <c r="B26" s="185" t="s">
        <v>215</v>
      </c>
      <c r="C26">
        <v>2.9999999999999997E-4</v>
      </c>
      <c r="D26">
        <v>5.4000000000000003E-3</v>
      </c>
      <c r="E26">
        <v>5.7000000000000002E-3</v>
      </c>
    </row>
    <row r="27" spans="1:5" ht="15" customHeight="1" x14ac:dyDescent="0.15">
      <c r="A27">
        <v>26</v>
      </c>
      <c r="B27" s="185" t="s">
        <v>216</v>
      </c>
      <c r="C27">
        <v>1.5E-3</v>
      </c>
      <c r="D27">
        <v>7.9000000000000008E-3</v>
      </c>
      <c r="E27">
        <v>9.4000000000000004E-3</v>
      </c>
    </row>
    <row r="28" spans="1:5" ht="15" customHeight="1" x14ac:dyDescent="0.15">
      <c r="A28">
        <v>27</v>
      </c>
      <c r="B28" s="185" t="s">
        <v>217</v>
      </c>
      <c r="C28">
        <v>1E-4</v>
      </c>
      <c r="D28">
        <v>1.1999999999999999E-3</v>
      </c>
      <c r="E28">
        <v>1.2999999999999999E-3</v>
      </c>
    </row>
    <row r="29" spans="1:5" ht="15" customHeight="1" x14ac:dyDescent="0.15">
      <c r="A29">
        <v>28</v>
      </c>
      <c r="B29" s="185" t="s">
        <v>218</v>
      </c>
      <c r="C29">
        <v>1E-4</v>
      </c>
      <c r="D29">
        <v>1.1000000000000001E-3</v>
      </c>
      <c r="E29">
        <v>1.2000000000000001E-3</v>
      </c>
    </row>
    <row r="30" spans="1:5" ht="15" customHeight="1" x14ac:dyDescent="0.15">
      <c r="A30">
        <v>29</v>
      </c>
      <c r="B30" s="185" t="s">
        <v>219</v>
      </c>
      <c r="C30">
        <v>0</v>
      </c>
      <c r="D30">
        <v>1.34E-2</v>
      </c>
      <c r="E30">
        <v>1.34E-2</v>
      </c>
    </row>
    <row r="31" spans="1:5" ht="15" customHeight="1" x14ac:dyDescent="0.15">
      <c r="A31">
        <v>30</v>
      </c>
      <c r="B31" s="185" t="s">
        <v>220</v>
      </c>
      <c r="C31">
        <v>0</v>
      </c>
      <c r="D31">
        <v>6.9500000000000006E-2</v>
      </c>
      <c r="E31">
        <v>6.9500000000000006E-2</v>
      </c>
    </row>
    <row r="32" spans="1:5" ht="15" customHeight="1" x14ac:dyDescent="0.15">
      <c r="A32">
        <v>31</v>
      </c>
      <c r="B32" s="185" t="s">
        <v>221</v>
      </c>
      <c r="C32">
        <v>0</v>
      </c>
      <c r="D32">
        <v>0</v>
      </c>
      <c r="E32">
        <v>0</v>
      </c>
    </row>
    <row r="33" spans="1:5" ht="15" customHeight="1" x14ac:dyDescent="0.15">
      <c r="A33">
        <v>32</v>
      </c>
      <c r="B33" s="185" t="s">
        <v>222</v>
      </c>
      <c r="C33">
        <v>0</v>
      </c>
      <c r="D33">
        <v>0</v>
      </c>
      <c r="E33">
        <v>0</v>
      </c>
    </row>
    <row r="34" spans="1:5" ht="15" customHeight="1" x14ac:dyDescent="0.15">
      <c r="A34">
        <v>33</v>
      </c>
      <c r="B34" s="185" t="s">
        <v>223</v>
      </c>
      <c r="C34">
        <v>0</v>
      </c>
      <c r="D34">
        <v>0</v>
      </c>
      <c r="E34">
        <v>0</v>
      </c>
    </row>
    <row r="35" spans="1:5" ht="15" customHeight="1" x14ac:dyDescent="0.15">
      <c r="A35">
        <v>34</v>
      </c>
      <c r="B35" s="185" t="s">
        <v>224</v>
      </c>
      <c r="C35">
        <v>0</v>
      </c>
      <c r="D35">
        <v>0</v>
      </c>
      <c r="E35">
        <v>0</v>
      </c>
    </row>
    <row r="36" spans="1:5" ht="15" customHeight="1" x14ac:dyDescent="0.15">
      <c r="A36">
        <v>35</v>
      </c>
      <c r="B36" s="185" t="s">
        <v>225</v>
      </c>
      <c r="C36">
        <v>0</v>
      </c>
      <c r="D36">
        <v>0</v>
      </c>
      <c r="E36">
        <v>0</v>
      </c>
    </row>
    <row r="37" spans="1:5" ht="15" customHeight="1" x14ac:dyDescent="0.15">
      <c r="A37">
        <v>36</v>
      </c>
      <c r="B37" s="185" t="s">
        <v>226</v>
      </c>
      <c r="C37">
        <v>0</v>
      </c>
      <c r="D37">
        <v>0</v>
      </c>
      <c r="E37">
        <v>0</v>
      </c>
    </row>
    <row r="38" spans="1:5" ht="15" customHeight="1" x14ac:dyDescent="0.15"/>
    <row r="39" spans="1:5" ht="15" customHeight="1" x14ac:dyDescent="0.15"/>
    <row r="40" spans="1:5" ht="15" customHeight="1" x14ac:dyDescent="0.15"/>
    <row r="41" spans="1:5" ht="15" customHeight="1" x14ac:dyDescent="0.15"/>
    <row r="42" spans="1:5" ht="15" customHeight="1" x14ac:dyDescent="0.15"/>
    <row r="43" spans="1:5" ht="15" customHeight="1" x14ac:dyDescent="0.15"/>
    <row r="44" spans="1:5" ht="15" customHeight="1" x14ac:dyDescent="0.15"/>
    <row r="45" spans="1:5" ht="15" customHeight="1" x14ac:dyDescent="0.15"/>
    <row r="46" spans="1:5" ht="15" customHeight="1" x14ac:dyDescent="0.15"/>
    <row r="47" spans="1:5" ht="15" customHeight="1" x14ac:dyDescent="0.15"/>
    <row r="48" spans="1:5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E37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2.5" bestFit="1" customWidth="1"/>
    <col min="3" max="5" width="2.33203125" bestFit="1" customWidth="1"/>
  </cols>
  <sheetData>
    <row r="1" spans="1:5" s="114" customFormat="1" ht="112" x14ac:dyDescent="0.15">
      <c r="A1" s="5" t="s">
        <v>22</v>
      </c>
      <c r="B1" s="3" t="s">
        <v>0</v>
      </c>
      <c r="C1" s="188" t="s">
        <v>227</v>
      </c>
      <c r="D1" s="188" t="s">
        <v>228</v>
      </c>
      <c r="E1" s="188" t="s">
        <v>232</v>
      </c>
    </row>
    <row r="2" spans="1:5" x14ac:dyDescent="0.15">
      <c r="A2">
        <v>1</v>
      </c>
      <c r="B2" s="187" t="s">
        <v>191</v>
      </c>
      <c r="C2">
        <v>0</v>
      </c>
      <c r="D2">
        <v>0</v>
      </c>
      <c r="E2">
        <v>0</v>
      </c>
    </row>
    <row r="3" spans="1:5" x14ac:dyDescent="0.15">
      <c r="A3">
        <v>2</v>
      </c>
      <c r="B3" s="187" t="s">
        <v>192</v>
      </c>
      <c r="C3">
        <v>0</v>
      </c>
      <c r="D3">
        <v>0</v>
      </c>
      <c r="E3">
        <v>0</v>
      </c>
    </row>
    <row r="4" spans="1:5" x14ac:dyDescent="0.15">
      <c r="A4">
        <v>3</v>
      </c>
      <c r="B4" s="187" t="s">
        <v>193</v>
      </c>
      <c r="C4">
        <v>0</v>
      </c>
      <c r="D4">
        <v>0</v>
      </c>
      <c r="E4">
        <v>0</v>
      </c>
    </row>
    <row r="5" spans="1:5" x14ac:dyDescent="0.15">
      <c r="A5">
        <v>4</v>
      </c>
      <c r="B5" s="187" t="s">
        <v>194</v>
      </c>
      <c r="C5">
        <v>0</v>
      </c>
      <c r="D5">
        <v>0</v>
      </c>
      <c r="E5">
        <v>0</v>
      </c>
    </row>
    <row r="6" spans="1:5" x14ac:dyDescent="0.15">
      <c r="A6">
        <v>5</v>
      </c>
      <c r="B6" s="187" t="s">
        <v>195</v>
      </c>
      <c r="C6">
        <v>0</v>
      </c>
      <c r="D6">
        <v>0</v>
      </c>
      <c r="E6">
        <v>0</v>
      </c>
    </row>
    <row r="7" spans="1:5" x14ac:dyDescent="0.15">
      <c r="A7">
        <v>6</v>
      </c>
      <c r="B7" s="187" t="s">
        <v>196</v>
      </c>
      <c r="C7">
        <v>0</v>
      </c>
      <c r="D7">
        <v>0</v>
      </c>
      <c r="E7">
        <v>0</v>
      </c>
    </row>
    <row r="8" spans="1:5" x14ac:dyDescent="0.15">
      <c r="A8">
        <v>7</v>
      </c>
      <c r="B8" s="187" t="s">
        <v>197</v>
      </c>
      <c r="C8">
        <v>0</v>
      </c>
      <c r="D8">
        <v>0</v>
      </c>
      <c r="E8">
        <v>0</v>
      </c>
    </row>
    <row r="9" spans="1:5" x14ac:dyDescent="0.15">
      <c r="A9">
        <v>8</v>
      </c>
      <c r="B9" s="187" t="s">
        <v>198</v>
      </c>
      <c r="C9">
        <v>0</v>
      </c>
      <c r="D9">
        <v>0</v>
      </c>
      <c r="E9">
        <v>0</v>
      </c>
    </row>
    <row r="10" spans="1:5" x14ac:dyDescent="0.15">
      <c r="A10">
        <v>9</v>
      </c>
      <c r="B10" s="187" t="s">
        <v>199</v>
      </c>
      <c r="C10">
        <v>0</v>
      </c>
      <c r="D10">
        <v>0</v>
      </c>
      <c r="E10">
        <v>0</v>
      </c>
    </row>
    <row r="11" spans="1:5" x14ac:dyDescent="0.15">
      <c r="A11">
        <v>10</v>
      </c>
      <c r="B11" s="187" t="s">
        <v>200</v>
      </c>
      <c r="C11">
        <v>0</v>
      </c>
      <c r="D11">
        <v>0</v>
      </c>
      <c r="E11">
        <v>0</v>
      </c>
    </row>
    <row r="12" spans="1:5" x14ac:dyDescent="0.15">
      <c r="A12">
        <v>11</v>
      </c>
      <c r="B12" s="187" t="s">
        <v>201</v>
      </c>
      <c r="C12">
        <v>0</v>
      </c>
      <c r="D12">
        <v>0</v>
      </c>
      <c r="E12">
        <v>0</v>
      </c>
    </row>
    <row r="13" spans="1:5" x14ac:dyDescent="0.15">
      <c r="A13">
        <v>12</v>
      </c>
      <c r="B13" s="187" t="s">
        <v>202</v>
      </c>
      <c r="C13">
        <v>0</v>
      </c>
      <c r="D13">
        <v>0</v>
      </c>
      <c r="E13">
        <v>0</v>
      </c>
    </row>
    <row r="14" spans="1:5" x14ac:dyDescent="0.15">
      <c r="A14">
        <v>13</v>
      </c>
      <c r="B14" s="187" t="s">
        <v>203</v>
      </c>
      <c r="C14">
        <v>0</v>
      </c>
      <c r="D14">
        <v>0</v>
      </c>
      <c r="E14">
        <v>0</v>
      </c>
    </row>
    <row r="15" spans="1:5" x14ac:dyDescent="0.15">
      <c r="A15">
        <v>14</v>
      </c>
      <c r="B15" s="187" t="s">
        <v>204</v>
      </c>
      <c r="C15">
        <v>0</v>
      </c>
      <c r="D15">
        <v>0</v>
      </c>
      <c r="E15">
        <v>0</v>
      </c>
    </row>
    <row r="16" spans="1:5" x14ac:dyDescent="0.15">
      <c r="A16">
        <v>15</v>
      </c>
      <c r="B16" s="187" t="s">
        <v>205</v>
      </c>
      <c r="C16">
        <v>0</v>
      </c>
      <c r="D16">
        <v>0</v>
      </c>
      <c r="E16">
        <v>0</v>
      </c>
    </row>
    <row r="17" spans="1:5" x14ac:dyDescent="0.15">
      <c r="A17">
        <v>16</v>
      </c>
      <c r="B17" s="187" t="s">
        <v>206</v>
      </c>
      <c r="C17">
        <v>0</v>
      </c>
      <c r="D17">
        <v>0</v>
      </c>
      <c r="E17">
        <v>0</v>
      </c>
    </row>
    <row r="18" spans="1:5" x14ac:dyDescent="0.15">
      <c r="A18">
        <v>17</v>
      </c>
      <c r="B18" s="187" t="s">
        <v>207</v>
      </c>
      <c r="C18">
        <v>0</v>
      </c>
      <c r="D18">
        <v>0</v>
      </c>
      <c r="E18">
        <v>0</v>
      </c>
    </row>
    <row r="19" spans="1:5" x14ac:dyDescent="0.15">
      <c r="A19">
        <v>18</v>
      </c>
      <c r="B19" s="187" t="s">
        <v>208</v>
      </c>
      <c r="C19">
        <v>0</v>
      </c>
      <c r="D19">
        <v>0</v>
      </c>
      <c r="E19">
        <v>0</v>
      </c>
    </row>
    <row r="20" spans="1:5" x14ac:dyDescent="0.15">
      <c r="A20">
        <v>19</v>
      </c>
      <c r="B20" s="187" t="s">
        <v>209</v>
      </c>
      <c r="C20">
        <v>0</v>
      </c>
      <c r="D20">
        <v>0</v>
      </c>
      <c r="E20">
        <v>0</v>
      </c>
    </row>
    <row r="21" spans="1:5" x14ac:dyDescent="0.15">
      <c r="A21">
        <v>20</v>
      </c>
      <c r="B21" s="187" t="s">
        <v>210</v>
      </c>
      <c r="C21">
        <v>0</v>
      </c>
      <c r="D21">
        <v>0</v>
      </c>
      <c r="E21">
        <v>0</v>
      </c>
    </row>
    <row r="22" spans="1:5" x14ac:dyDescent="0.15">
      <c r="A22">
        <v>21</v>
      </c>
      <c r="B22" s="187" t="s">
        <v>211</v>
      </c>
      <c r="C22">
        <v>0</v>
      </c>
      <c r="D22">
        <v>0</v>
      </c>
      <c r="E22">
        <v>0</v>
      </c>
    </row>
    <row r="23" spans="1:5" x14ac:dyDescent="0.15">
      <c r="A23">
        <v>22</v>
      </c>
      <c r="B23" s="187" t="s">
        <v>212</v>
      </c>
      <c r="C23">
        <v>0</v>
      </c>
      <c r="D23">
        <v>0</v>
      </c>
      <c r="E23">
        <v>0</v>
      </c>
    </row>
    <row r="24" spans="1:5" x14ac:dyDescent="0.15">
      <c r="A24">
        <v>23</v>
      </c>
      <c r="B24" s="187" t="s">
        <v>213</v>
      </c>
      <c r="C24">
        <v>0</v>
      </c>
      <c r="D24">
        <v>0</v>
      </c>
      <c r="E24">
        <v>0</v>
      </c>
    </row>
    <row r="25" spans="1:5" x14ac:dyDescent="0.15">
      <c r="A25">
        <v>24</v>
      </c>
      <c r="B25" s="187" t="s">
        <v>214</v>
      </c>
      <c r="C25">
        <v>0</v>
      </c>
      <c r="D25">
        <v>0</v>
      </c>
      <c r="E25">
        <v>0</v>
      </c>
    </row>
    <row r="26" spans="1:5" x14ac:dyDescent="0.15">
      <c r="A26">
        <v>25</v>
      </c>
      <c r="B26" s="187" t="s">
        <v>215</v>
      </c>
      <c r="C26">
        <v>0</v>
      </c>
      <c r="D26">
        <v>0</v>
      </c>
      <c r="E26">
        <v>0</v>
      </c>
    </row>
    <row r="27" spans="1:5" x14ac:dyDescent="0.15">
      <c r="A27">
        <v>26</v>
      </c>
      <c r="B27" s="187" t="s">
        <v>216</v>
      </c>
      <c r="C27">
        <v>0</v>
      </c>
      <c r="D27">
        <v>0</v>
      </c>
      <c r="E27">
        <v>0</v>
      </c>
    </row>
    <row r="28" spans="1:5" x14ac:dyDescent="0.15">
      <c r="A28">
        <v>27</v>
      </c>
      <c r="B28" s="187" t="s">
        <v>217</v>
      </c>
      <c r="C28">
        <v>0</v>
      </c>
      <c r="D28">
        <v>0</v>
      </c>
      <c r="E28">
        <v>0</v>
      </c>
    </row>
    <row r="29" spans="1:5" x14ac:dyDescent="0.15">
      <c r="A29">
        <v>28</v>
      </c>
      <c r="B29" s="187" t="s">
        <v>218</v>
      </c>
      <c r="C29">
        <v>0</v>
      </c>
      <c r="D29">
        <v>0</v>
      </c>
      <c r="E29">
        <v>0</v>
      </c>
    </row>
    <row r="30" spans="1:5" x14ac:dyDescent="0.15">
      <c r="A30">
        <v>29</v>
      </c>
      <c r="B30" s="187" t="s">
        <v>219</v>
      </c>
      <c r="C30">
        <v>0</v>
      </c>
      <c r="D30">
        <v>0</v>
      </c>
      <c r="E30">
        <v>0</v>
      </c>
    </row>
    <row r="31" spans="1:5" x14ac:dyDescent="0.15">
      <c r="A31">
        <v>30</v>
      </c>
      <c r="B31" s="187" t="s">
        <v>220</v>
      </c>
      <c r="C31">
        <v>0</v>
      </c>
      <c r="D31">
        <v>0</v>
      </c>
      <c r="E31">
        <v>0</v>
      </c>
    </row>
    <row r="32" spans="1:5" x14ac:dyDescent="0.15">
      <c r="A32">
        <v>31</v>
      </c>
      <c r="B32" s="187" t="s">
        <v>221</v>
      </c>
      <c r="C32">
        <v>0</v>
      </c>
      <c r="D32">
        <v>0</v>
      </c>
      <c r="E32">
        <v>0</v>
      </c>
    </row>
    <row r="33" spans="1:5" x14ac:dyDescent="0.15">
      <c r="A33">
        <v>32</v>
      </c>
      <c r="B33" s="187" t="s">
        <v>222</v>
      </c>
      <c r="C33">
        <v>0</v>
      </c>
      <c r="D33">
        <v>0</v>
      </c>
      <c r="E33">
        <v>0</v>
      </c>
    </row>
    <row r="34" spans="1:5" x14ac:dyDescent="0.15">
      <c r="A34">
        <v>33</v>
      </c>
      <c r="B34" s="187" t="s">
        <v>223</v>
      </c>
      <c r="C34">
        <v>0</v>
      </c>
      <c r="D34">
        <v>0</v>
      </c>
      <c r="E34">
        <v>0</v>
      </c>
    </row>
    <row r="35" spans="1:5" x14ac:dyDescent="0.15">
      <c r="A35">
        <v>34</v>
      </c>
      <c r="B35" s="187" t="s">
        <v>224</v>
      </c>
      <c r="C35">
        <v>0</v>
      </c>
      <c r="D35">
        <v>0</v>
      </c>
      <c r="E35">
        <v>0</v>
      </c>
    </row>
    <row r="36" spans="1:5" x14ac:dyDescent="0.15">
      <c r="A36">
        <v>35</v>
      </c>
      <c r="B36" s="187" t="s">
        <v>225</v>
      </c>
      <c r="C36">
        <v>0</v>
      </c>
      <c r="D36">
        <v>0</v>
      </c>
      <c r="E36">
        <v>0</v>
      </c>
    </row>
    <row r="37" spans="1:5" x14ac:dyDescent="0.15">
      <c r="A37">
        <v>36</v>
      </c>
      <c r="B37" s="187" t="s">
        <v>226</v>
      </c>
      <c r="C37">
        <v>0</v>
      </c>
      <c r="D37">
        <v>0</v>
      </c>
      <c r="E37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22.5" bestFit="1" customWidth="1"/>
    <col min="6" max="6" width="4.83203125" bestFit="1" customWidth="1"/>
    <col min="7" max="9" width="3.83203125" bestFit="1" customWidth="1"/>
    <col min="10" max="11" width="4.83203125" style="113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15" customFormat="1" ht="14" thickBot="1" x14ac:dyDescent="0.2">
      <c r="D1" s="116" t="s">
        <v>8</v>
      </c>
      <c r="E1" s="116" t="s">
        <v>0</v>
      </c>
      <c r="F1" s="117" t="s">
        <v>99</v>
      </c>
      <c r="G1" s="118" t="s">
        <v>84</v>
      </c>
      <c r="H1" s="118" t="s">
        <v>85</v>
      </c>
      <c r="I1" s="118" t="s">
        <v>86</v>
      </c>
      <c r="J1" s="118" t="s">
        <v>87</v>
      </c>
      <c r="K1" s="118" t="s">
        <v>88</v>
      </c>
      <c r="L1" s="119" t="s">
        <v>89</v>
      </c>
      <c r="M1" s="119" t="s">
        <v>93</v>
      </c>
      <c r="N1" s="119" t="s">
        <v>92</v>
      </c>
      <c r="O1" s="119" t="s">
        <v>90</v>
      </c>
      <c r="P1" s="119" t="s">
        <v>91</v>
      </c>
      <c r="Q1" s="120" t="s">
        <v>94</v>
      </c>
      <c r="R1" s="120" t="s">
        <v>95</v>
      </c>
      <c r="S1" s="120" t="s">
        <v>96</v>
      </c>
      <c r="T1" s="120" t="s">
        <v>97</v>
      </c>
      <c r="U1" s="120" t="s">
        <v>98</v>
      </c>
      <c r="V1" s="118" t="s">
        <v>100</v>
      </c>
      <c r="W1" s="118" t="s">
        <v>101</v>
      </c>
      <c r="X1" s="118" t="s">
        <v>102</v>
      </c>
      <c r="Y1" s="118" t="s">
        <v>134</v>
      </c>
      <c r="Z1" s="119" t="s">
        <v>103</v>
      </c>
      <c r="AA1" s="119" t="s">
        <v>104</v>
      </c>
      <c r="AB1" s="119" t="s">
        <v>105</v>
      </c>
      <c r="AC1" s="121" t="s">
        <v>135</v>
      </c>
      <c r="AD1" s="120" t="s">
        <v>106</v>
      </c>
      <c r="AE1" s="120" t="s">
        <v>107</v>
      </c>
      <c r="AF1" s="120" t="s">
        <v>108</v>
      </c>
      <c r="AG1" s="120" t="s">
        <v>136</v>
      </c>
      <c r="AH1" s="118" t="s">
        <v>109</v>
      </c>
      <c r="AI1" s="118" t="s">
        <v>111</v>
      </c>
      <c r="AJ1" s="118" t="s">
        <v>110</v>
      </c>
      <c r="AK1" s="119" t="s">
        <v>115</v>
      </c>
      <c r="AL1" s="119" t="s">
        <v>116</v>
      </c>
      <c r="AM1" s="119" t="s">
        <v>117</v>
      </c>
      <c r="AN1" s="120" t="s">
        <v>112</v>
      </c>
      <c r="AO1" s="120" t="s">
        <v>113</v>
      </c>
      <c r="AP1" s="120" t="s">
        <v>114</v>
      </c>
    </row>
    <row r="2" spans="1:42" x14ac:dyDescent="0.15">
      <c r="A2" s="122" t="s">
        <v>74</v>
      </c>
      <c r="B2" s="123">
        <v>1</v>
      </c>
      <c r="D2">
        <v>1</v>
      </c>
      <c r="E2" s="189" t="s">
        <v>191</v>
      </c>
      <c r="F2">
        <v>0.98</v>
      </c>
      <c r="G2">
        <v>0.8</v>
      </c>
      <c r="H2">
        <v>0.8</v>
      </c>
      <c r="I2">
        <v>0.8</v>
      </c>
      <c r="J2" s="113">
        <v>0.25</v>
      </c>
      <c r="K2" s="113">
        <v>0.05</v>
      </c>
    </row>
    <row r="3" spans="1:42" x14ac:dyDescent="0.15">
      <c r="A3" s="122" t="s">
        <v>75</v>
      </c>
      <c r="B3" s="124">
        <v>1</v>
      </c>
      <c r="D3">
        <v>2</v>
      </c>
      <c r="E3" s="189" t="s">
        <v>192</v>
      </c>
      <c r="F3">
        <v>0.98</v>
      </c>
      <c r="G3">
        <v>0.8</v>
      </c>
      <c r="H3">
        <v>0.8</v>
      </c>
      <c r="I3">
        <v>0.8</v>
      </c>
      <c r="J3" s="113">
        <v>0.25</v>
      </c>
      <c r="K3" s="113">
        <v>0.05</v>
      </c>
    </row>
    <row r="4" spans="1:42" x14ac:dyDescent="0.15">
      <c r="A4" s="122" t="s">
        <v>76</v>
      </c>
      <c r="B4" s="124">
        <v>1</v>
      </c>
      <c r="D4">
        <v>3</v>
      </c>
      <c r="E4" s="189" t="s">
        <v>193</v>
      </c>
      <c r="F4">
        <v>0.98</v>
      </c>
      <c r="G4">
        <v>0.8</v>
      </c>
      <c r="H4">
        <v>0.8</v>
      </c>
      <c r="I4">
        <v>0.8</v>
      </c>
      <c r="J4" s="113">
        <v>0.25</v>
      </c>
      <c r="K4" s="113">
        <v>0.05</v>
      </c>
    </row>
    <row r="5" spans="1:42" x14ac:dyDescent="0.15">
      <c r="A5" s="122" t="s">
        <v>77</v>
      </c>
      <c r="B5" s="124">
        <v>1</v>
      </c>
      <c r="D5">
        <v>4</v>
      </c>
      <c r="E5" s="189" t="s">
        <v>194</v>
      </c>
      <c r="F5">
        <v>0.98</v>
      </c>
      <c r="G5">
        <v>0.8</v>
      </c>
      <c r="H5">
        <v>0.8</v>
      </c>
      <c r="I5">
        <v>0.8</v>
      </c>
      <c r="J5" s="113">
        <v>0.25</v>
      </c>
      <c r="K5" s="113">
        <v>0.05</v>
      </c>
    </row>
    <row r="6" spans="1:42" x14ac:dyDescent="0.15">
      <c r="A6" s="122" t="s">
        <v>78</v>
      </c>
      <c r="B6" s="124">
        <v>1</v>
      </c>
      <c r="D6">
        <v>5</v>
      </c>
      <c r="E6" s="189" t="s">
        <v>195</v>
      </c>
      <c r="F6">
        <v>0.98</v>
      </c>
      <c r="G6">
        <v>0.8</v>
      </c>
      <c r="H6">
        <v>0.8</v>
      </c>
      <c r="I6">
        <v>0.8</v>
      </c>
      <c r="J6" s="113">
        <v>0.25</v>
      </c>
      <c r="K6" s="113">
        <v>0.05</v>
      </c>
    </row>
    <row r="7" spans="1:42" x14ac:dyDescent="0.15">
      <c r="A7" s="122" t="s">
        <v>79</v>
      </c>
      <c r="B7" s="124">
        <v>1</v>
      </c>
      <c r="D7">
        <v>6</v>
      </c>
      <c r="E7" s="189" t="s">
        <v>196</v>
      </c>
      <c r="F7">
        <v>0.98</v>
      </c>
      <c r="G7">
        <v>0.8</v>
      </c>
      <c r="H7">
        <v>0.8</v>
      </c>
      <c r="I7">
        <v>0.8</v>
      </c>
      <c r="J7" s="113">
        <v>0.25</v>
      </c>
      <c r="K7" s="113">
        <v>0.05</v>
      </c>
    </row>
    <row r="8" spans="1:42" x14ac:dyDescent="0.15">
      <c r="A8" s="122" t="s">
        <v>80</v>
      </c>
      <c r="B8" s="124">
        <v>1</v>
      </c>
      <c r="D8">
        <v>7</v>
      </c>
      <c r="E8" s="189" t="s">
        <v>197</v>
      </c>
      <c r="F8">
        <v>0.98</v>
      </c>
      <c r="G8">
        <v>0.8</v>
      </c>
      <c r="H8">
        <v>0.8</v>
      </c>
      <c r="I8">
        <v>0.8</v>
      </c>
      <c r="J8" s="113">
        <v>0.25</v>
      </c>
      <c r="K8" s="113">
        <v>0.05</v>
      </c>
    </row>
    <row r="9" spans="1:42" x14ac:dyDescent="0.15">
      <c r="A9" s="122" t="s">
        <v>81</v>
      </c>
      <c r="B9" s="124">
        <v>0.1</v>
      </c>
      <c r="C9" s="61" t="s">
        <v>150</v>
      </c>
      <c r="D9">
        <v>8</v>
      </c>
      <c r="E9" s="189" t="s">
        <v>198</v>
      </c>
      <c r="F9">
        <v>0.98</v>
      </c>
      <c r="G9">
        <v>0.8</v>
      </c>
      <c r="H9">
        <v>0.8</v>
      </c>
      <c r="I9">
        <v>0.8</v>
      </c>
      <c r="J9" s="113">
        <v>0.25</v>
      </c>
      <c r="K9" s="113">
        <v>0.05</v>
      </c>
    </row>
    <row r="10" spans="1:42" ht="14" thickBot="1" x14ac:dyDescent="0.2">
      <c r="A10" s="122" t="s">
        <v>149</v>
      </c>
      <c r="B10" s="125">
        <f>1/3</f>
        <v>0.33333333333333331</v>
      </c>
      <c r="C10" s="61" t="s">
        <v>150</v>
      </c>
      <c r="D10">
        <v>9</v>
      </c>
      <c r="E10" s="189" t="s">
        <v>199</v>
      </c>
      <c r="F10">
        <v>0.98</v>
      </c>
      <c r="G10">
        <v>0.8</v>
      </c>
      <c r="H10">
        <v>0.8</v>
      </c>
      <c r="I10">
        <v>0.8</v>
      </c>
      <c r="J10" s="113">
        <v>0.25</v>
      </c>
      <c r="K10" s="113">
        <v>0.05</v>
      </c>
    </row>
    <row r="11" spans="1:42" x14ac:dyDescent="0.15">
      <c r="D11">
        <v>10</v>
      </c>
      <c r="E11" s="189" t="s">
        <v>200</v>
      </c>
      <c r="F11">
        <v>0.98</v>
      </c>
      <c r="G11">
        <v>0.8</v>
      </c>
      <c r="H11">
        <v>0.8</v>
      </c>
      <c r="I11">
        <v>0.8</v>
      </c>
      <c r="J11" s="113">
        <v>0.25</v>
      </c>
      <c r="K11" s="113">
        <v>0.05</v>
      </c>
    </row>
    <row r="12" spans="1:42" x14ac:dyDescent="0.15">
      <c r="D12">
        <v>11</v>
      </c>
      <c r="E12" s="189" t="s">
        <v>201</v>
      </c>
      <c r="F12">
        <v>0.98</v>
      </c>
      <c r="G12">
        <v>0.8</v>
      </c>
      <c r="H12">
        <v>0.8</v>
      </c>
      <c r="I12">
        <v>0.8</v>
      </c>
      <c r="J12" s="113">
        <v>0.25</v>
      </c>
      <c r="K12" s="113">
        <v>0.05</v>
      </c>
    </row>
    <row r="13" spans="1:42" x14ac:dyDescent="0.15">
      <c r="D13">
        <v>12</v>
      </c>
      <c r="E13" s="189" t="s">
        <v>202</v>
      </c>
      <c r="F13">
        <v>0.98</v>
      </c>
      <c r="G13">
        <v>0.8</v>
      </c>
      <c r="H13">
        <v>0.8</v>
      </c>
      <c r="I13">
        <v>0.8</v>
      </c>
      <c r="J13" s="113">
        <v>0.25</v>
      </c>
      <c r="K13" s="113">
        <v>0.05</v>
      </c>
    </row>
    <row r="14" spans="1:42" x14ac:dyDescent="0.15">
      <c r="D14">
        <v>13</v>
      </c>
      <c r="E14" s="189" t="s">
        <v>203</v>
      </c>
      <c r="F14">
        <v>0.98</v>
      </c>
      <c r="G14">
        <v>0.8</v>
      </c>
      <c r="H14">
        <v>0.8</v>
      </c>
      <c r="I14">
        <v>0.8</v>
      </c>
      <c r="J14" s="113">
        <v>0.25</v>
      </c>
      <c r="K14" s="113">
        <v>0.05</v>
      </c>
    </row>
    <row r="15" spans="1:42" x14ac:dyDescent="0.15">
      <c r="D15">
        <v>14</v>
      </c>
      <c r="E15" s="189" t="s">
        <v>204</v>
      </c>
      <c r="F15">
        <v>0.98</v>
      </c>
      <c r="G15">
        <v>0.8</v>
      </c>
      <c r="H15">
        <v>0.8</v>
      </c>
      <c r="I15">
        <v>0.8</v>
      </c>
      <c r="J15" s="113">
        <v>0.25</v>
      </c>
      <c r="K15" s="113">
        <v>0.05</v>
      </c>
    </row>
    <row r="16" spans="1:42" x14ac:dyDescent="0.15">
      <c r="D16">
        <v>15</v>
      </c>
      <c r="E16" s="189" t="s">
        <v>205</v>
      </c>
      <c r="F16">
        <v>0.98</v>
      </c>
      <c r="G16">
        <v>0.8</v>
      </c>
      <c r="H16">
        <v>0.8</v>
      </c>
      <c r="I16">
        <v>0.8</v>
      </c>
      <c r="J16" s="113">
        <v>0.25</v>
      </c>
      <c r="K16" s="113">
        <v>0.05</v>
      </c>
    </row>
    <row r="17" spans="4:33" ht="15" customHeight="1" x14ac:dyDescent="0.15">
      <c r="D17">
        <v>16</v>
      </c>
      <c r="E17" s="189" t="s">
        <v>206</v>
      </c>
      <c r="F17">
        <v>0.98</v>
      </c>
      <c r="G17">
        <v>0.8</v>
      </c>
      <c r="H17">
        <v>0.8</v>
      </c>
      <c r="I17">
        <v>0.8</v>
      </c>
      <c r="J17" s="113">
        <v>0.25</v>
      </c>
      <c r="K17" s="113">
        <v>0.05</v>
      </c>
    </row>
    <row r="18" spans="4:33" ht="15" customHeight="1" x14ac:dyDescent="0.15">
      <c r="D18">
        <v>17</v>
      </c>
      <c r="E18" s="189" t="s">
        <v>207</v>
      </c>
      <c r="F18">
        <v>0.98</v>
      </c>
      <c r="G18">
        <v>0.8</v>
      </c>
      <c r="H18">
        <v>0.8</v>
      </c>
      <c r="I18">
        <v>0.8</v>
      </c>
      <c r="J18" s="113">
        <v>0.25</v>
      </c>
      <c r="K18" s="113">
        <v>0.05</v>
      </c>
    </row>
    <row r="19" spans="4:33" ht="15" customHeight="1" x14ac:dyDescent="0.15">
      <c r="D19">
        <v>18</v>
      </c>
      <c r="E19" s="189" t="s">
        <v>208</v>
      </c>
      <c r="F19">
        <v>0.98</v>
      </c>
      <c r="G19">
        <v>0.8</v>
      </c>
      <c r="H19">
        <v>0.8</v>
      </c>
      <c r="I19">
        <v>0.8</v>
      </c>
      <c r="J19" s="113">
        <v>0.25</v>
      </c>
      <c r="K19" s="113">
        <v>0.05</v>
      </c>
    </row>
    <row r="20" spans="4:33" ht="15" customHeight="1" x14ac:dyDescent="0.15">
      <c r="D20">
        <v>19</v>
      </c>
      <c r="E20" s="189" t="s">
        <v>209</v>
      </c>
      <c r="F20">
        <v>0.98</v>
      </c>
      <c r="G20">
        <v>0.8</v>
      </c>
      <c r="H20">
        <v>0.8</v>
      </c>
      <c r="I20">
        <v>0.8</v>
      </c>
      <c r="J20" s="113">
        <v>0.25</v>
      </c>
      <c r="K20" s="113">
        <v>0.05</v>
      </c>
    </row>
    <row r="21" spans="4:33" ht="15" customHeight="1" x14ac:dyDescent="0.15">
      <c r="D21">
        <v>20</v>
      </c>
      <c r="E21" s="189" t="s">
        <v>210</v>
      </c>
      <c r="F21">
        <v>0.98</v>
      </c>
      <c r="G21">
        <v>0.8</v>
      </c>
      <c r="H21">
        <v>0.8</v>
      </c>
      <c r="I21">
        <v>0.8</v>
      </c>
      <c r="J21" s="113">
        <v>0.25</v>
      </c>
      <c r="K21" s="113">
        <v>0.05</v>
      </c>
    </row>
    <row r="22" spans="4:33" ht="15" customHeight="1" x14ac:dyDescent="0.15">
      <c r="D22">
        <v>21</v>
      </c>
      <c r="E22" s="189" t="s">
        <v>211</v>
      </c>
      <c r="F22">
        <v>0.98</v>
      </c>
      <c r="G22">
        <v>0.8</v>
      </c>
      <c r="H22">
        <v>0.8</v>
      </c>
      <c r="I22">
        <v>0.8</v>
      </c>
      <c r="J22" s="113">
        <v>0.25</v>
      </c>
      <c r="K22" s="113">
        <v>0.05</v>
      </c>
    </row>
    <row r="23" spans="4:33" ht="15" customHeight="1" x14ac:dyDescent="0.15">
      <c r="D23">
        <v>22</v>
      </c>
      <c r="E23" s="189" t="s">
        <v>212</v>
      </c>
      <c r="F23">
        <v>0.98</v>
      </c>
      <c r="G23">
        <v>0.8</v>
      </c>
      <c r="H23">
        <v>0.8</v>
      </c>
      <c r="I23">
        <v>0.8</v>
      </c>
      <c r="J23" s="113">
        <v>0.25</v>
      </c>
      <c r="K23" s="113">
        <v>0.05</v>
      </c>
    </row>
    <row r="24" spans="4:33" ht="15" customHeight="1" x14ac:dyDescent="0.15">
      <c r="D24">
        <v>23</v>
      </c>
      <c r="E24" s="189" t="s">
        <v>213</v>
      </c>
      <c r="F24">
        <v>0.98</v>
      </c>
      <c r="G24">
        <v>0.8</v>
      </c>
      <c r="H24">
        <v>0.8</v>
      </c>
      <c r="I24">
        <v>0.8</v>
      </c>
      <c r="J24" s="113">
        <v>0.25</v>
      </c>
      <c r="K24" s="113">
        <v>0.05</v>
      </c>
    </row>
    <row r="25" spans="4:33" ht="15" customHeight="1" x14ac:dyDescent="0.15">
      <c r="D25">
        <v>24</v>
      </c>
      <c r="E25" s="189" t="s">
        <v>214</v>
      </c>
      <c r="F25">
        <v>0.98</v>
      </c>
      <c r="G25">
        <v>0.8</v>
      </c>
      <c r="H25">
        <v>0.8</v>
      </c>
      <c r="I25">
        <v>0.8</v>
      </c>
      <c r="J25" s="113">
        <v>0.25</v>
      </c>
      <c r="K25" s="113">
        <v>0.05</v>
      </c>
    </row>
    <row r="26" spans="4:33" ht="15" customHeight="1" x14ac:dyDescent="0.15">
      <c r="D26">
        <v>25</v>
      </c>
      <c r="E26" s="189" t="s">
        <v>215</v>
      </c>
      <c r="F26">
        <v>0.98</v>
      </c>
      <c r="G26">
        <v>0.8</v>
      </c>
      <c r="H26">
        <v>0.8</v>
      </c>
      <c r="I26">
        <v>0.8</v>
      </c>
      <c r="J26" s="113">
        <v>0.25</v>
      </c>
      <c r="K26" s="113">
        <v>0.05</v>
      </c>
    </row>
    <row r="27" spans="4:33" ht="15" customHeight="1" x14ac:dyDescent="0.15">
      <c r="D27">
        <v>26</v>
      </c>
      <c r="E27" s="189" t="s">
        <v>216</v>
      </c>
      <c r="F27">
        <v>0.98</v>
      </c>
      <c r="G27">
        <v>0.8</v>
      </c>
      <c r="H27">
        <v>0.8</v>
      </c>
      <c r="I27">
        <v>0.8</v>
      </c>
      <c r="J27" s="113">
        <v>0.25</v>
      </c>
      <c r="K27" s="113">
        <v>0.05</v>
      </c>
    </row>
    <row r="28" spans="4:33" ht="15" customHeight="1" x14ac:dyDescent="0.15">
      <c r="D28">
        <v>27</v>
      </c>
      <c r="E28" s="189" t="s">
        <v>217</v>
      </c>
      <c r="F28">
        <v>0.98</v>
      </c>
      <c r="G28">
        <v>0.8</v>
      </c>
      <c r="H28">
        <v>0.8</v>
      </c>
      <c r="I28">
        <v>0.8</v>
      </c>
      <c r="J28" s="113">
        <v>0.25</v>
      </c>
      <c r="K28" s="113">
        <v>0.05</v>
      </c>
    </row>
    <row r="29" spans="4:33" ht="15" customHeight="1" x14ac:dyDescent="0.15">
      <c r="D29">
        <v>28</v>
      </c>
      <c r="E29" s="189" t="s">
        <v>218</v>
      </c>
      <c r="F29">
        <v>0.98</v>
      </c>
      <c r="G29">
        <v>0.8</v>
      </c>
      <c r="H29">
        <v>0.8</v>
      </c>
      <c r="I29">
        <v>0.8</v>
      </c>
      <c r="J29" s="113">
        <v>0.25</v>
      </c>
      <c r="K29" s="113">
        <v>0.05</v>
      </c>
      <c r="Y29"/>
      <c r="AC29"/>
      <c r="AG29"/>
    </row>
    <row r="30" spans="4:33" ht="15" customHeight="1" x14ac:dyDescent="0.15">
      <c r="D30">
        <v>29</v>
      </c>
      <c r="E30" s="189" t="s">
        <v>219</v>
      </c>
      <c r="F30">
        <v>0.98</v>
      </c>
      <c r="G30">
        <v>0.8</v>
      </c>
      <c r="H30">
        <v>0.8</v>
      </c>
      <c r="I30">
        <v>0.8</v>
      </c>
      <c r="J30" s="113">
        <v>0.25</v>
      </c>
      <c r="K30" s="113">
        <v>0.05</v>
      </c>
      <c r="Y30"/>
      <c r="AC30"/>
      <c r="AG30"/>
    </row>
    <row r="31" spans="4:33" ht="15" customHeight="1" x14ac:dyDescent="0.15">
      <c r="D31">
        <v>30</v>
      </c>
      <c r="E31" s="189" t="s">
        <v>220</v>
      </c>
      <c r="F31">
        <v>0.98</v>
      </c>
      <c r="G31">
        <v>0.8</v>
      </c>
      <c r="H31">
        <v>0.8</v>
      </c>
      <c r="I31">
        <v>0.8</v>
      </c>
      <c r="J31" s="113">
        <v>0.25</v>
      </c>
      <c r="K31" s="113">
        <v>0.05</v>
      </c>
      <c r="Y31"/>
      <c r="AC31"/>
      <c r="AG31"/>
    </row>
    <row r="32" spans="4:33" ht="15" customHeight="1" x14ac:dyDescent="0.15">
      <c r="D32">
        <v>31</v>
      </c>
      <c r="E32" s="189" t="s">
        <v>221</v>
      </c>
      <c r="F32">
        <v>0.98</v>
      </c>
      <c r="G32">
        <v>0.8</v>
      </c>
      <c r="H32">
        <v>0.8</v>
      </c>
      <c r="I32">
        <v>0.8</v>
      </c>
      <c r="J32" s="113">
        <v>0.25</v>
      </c>
      <c r="K32" s="113">
        <v>0.05</v>
      </c>
      <c r="Y32"/>
      <c r="AC32"/>
      <c r="AG32"/>
    </row>
    <row r="33" spans="4:33" ht="15" customHeight="1" x14ac:dyDescent="0.15">
      <c r="D33">
        <v>32</v>
      </c>
      <c r="E33" s="189" t="s">
        <v>222</v>
      </c>
      <c r="F33">
        <v>0.98</v>
      </c>
      <c r="G33">
        <v>0.8</v>
      </c>
      <c r="H33">
        <v>0.8</v>
      </c>
      <c r="I33">
        <v>0.8</v>
      </c>
      <c r="J33" s="113">
        <v>0.25</v>
      </c>
      <c r="K33" s="113">
        <v>0.05</v>
      </c>
      <c r="Y33"/>
      <c r="AC33"/>
      <c r="AG33"/>
    </row>
    <row r="34" spans="4:33" ht="15" customHeight="1" x14ac:dyDescent="0.15">
      <c r="D34">
        <v>33</v>
      </c>
      <c r="E34" s="189" t="s">
        <v>223</v>
      </c>
      <c r="F34">
        <v>0.98</v>
      </c>
      <c r="G34">
        <v>0.8</v>
      </c>
      <c r="H34">
        <v>0.8</v>
      </c>
      <c r="I34">
        <v>0.8</v>
      </c>
      <c r="J34" s="113">
        <v>0.25</v>
      </c>
      <c r="K34" s="113">
        <v>0.05</v>
      </c>
      <c r="Y34"/>
      <c r="AC34"/>
      <c r="AG34"/>
    </row>
    <row r="35" spans="4:33" ht="15" customHeight="1" x14ac:dyDescent="0.15">
      <c r="D35">
        <v>34</v>
      </c>
      <c r="E35" s="189" t="s">
        <v>224</v>
      </c>
      <c r="F35">
        <v>0.98</v>
      </c>
      <c r="G35">
        <v>0.8</v>
      </c>
      <c r="H35">
        <v>0.8</v>
      </c>
      <c r="I35">
        <v>0</v>
      </c>
      <c r="J35" s="113">
        <v>0</v>
      </c>
      <c r="K35" s="113">
        <v>0</v>
      </c>
      <c r="Y35"/>
      <c r="AC35"/>
      <c r="AG35"/>
    </row>
    <row r="36" spans="4:33" ht="15" customHeight="1" x14ac:dyDescent="0.15">
      <c r="D36">
        <v>35</v>
      </c>
      <c r="E36" s="189" t="s">
        <v>225</v>
      </c>
      <c r="F36">
        <v>0.98</v>
      </c>
      <c r="G36">
        <v>0.8</v>
      </c>
      <c r="H36">
        <v>0</v>
      </c>
      <c r="I36">
        <v>0</v>
      </c>
      <c r="J36" s="113">
        <v>0</v>
      </c>
      <c r="K36" s="113">
        <v>0</v>
      </c>
      <c r="Y36"/>
      <c r="AC36"/>
      <c r="AG36"/>
    </row>
    <row r="37" spans="4:33" ht="15" customHeight="1" x14ac:dyDescent="0.15">
      <c r="D37">
        <v>36</v>
      </c>
      <c r="E37" s="189" t="s">
        <v>226</v>
      </c>
      <c r="F37">
        <v>0.98</v>
      </c>
      <c r="G37">
        <v>0.8</v>
      </c>
      <c r="H37">
        <v>0</v>
      </c>
      <c r="I37">
        <v>0</v>
      </c>
      <c r="J37" s="113">
        <v>0</v>
      </c>
      <c r="K37" s="113">
        <v>0</v>
      </c>
      <c r="Y37"/>
      <c r="AC37"/>
      <c r="AG37"/>
    </row>
    <row r="38" spans="4:33" ht="15" customHeight="1" x14ac:dyDescent="0.15">
      <c r="J38"/>
      <c r="K38"/>
      <c r="Y38"/>
      <c r="AC38"/>
      <c r="AG38"/>
    </row>
    <row r="39" spans="4:33" ht="15" customHeight="1" x14ac:dyDescent="0.15">
      <c r="J39"/>
      <c r="K39"/>
    </row>
    <row r="40" spans="4:33" ht="15" customHeight="1" x14ac:dyDescent="0.15">
      <c r="J40"/>
      <c r="K40"/>
      <c r="Y40"/>
      <c r="AC40"/>
      <c r="AG40"/>
    </row>
    <row r="41" spans="4:33" ht="15" customHeight="1" x14ac:dyDescent="0.15">
      <c r="J41"/>
      <c r="K41"/>
      <c r="Y41"/>
      <c r="AC41"/>
      <c r="AG41"/>
    </row>
    <row r="42" spans="4:33" ht="15" customHeight="1" x14ac:dyDescent="0.15">
      <c r="J42"/>
      <c r="K42"/>
      <c r="Y42"/>
      <c r="AC42"/>
      <c r="AG42"/>
    </row>
    <row r="43" spans="4:33" ht="15" customHeight="1" x14ac:dyDescent="0.15">
      <c r="J43"/>
      <c r="K43"/>
      <c r="Y43"/>
      <c r="AC43"/>
      <c r="AG43"/>
    </row>
    <row r="44" spans="4:33" ht="15" customHeight="1" x14ac:dyDescent="0.15">
      <c r="J44"/>
      <c r="K44"/>
      <c r="Y44"/>
      <c r="AC44"/>
      <c r="AG44"/>
    </row>
    <row r="45" spans="4:33" ht="15" customHeight="1" x14ac:dyDescent="0.15">
      <c r="J45"/>
      <c r="K45"/>
      <c r="Y45"/>
      <c r="AC45"/>
      <c r="AG45"/>
    </row>
    <row r="46" spans="4:33" ht="15" customHeight="1" x14ac:dyDescent="0.15">
      <c r="J46"/>
      <c r="K46"/>
      <c r="Y46"/>
      <c r="AC46"/>
      <c r="AG46"/>
    </row>
    <row r="47" spans="4:33" ht="15" customHeight="1" x14ac:dyDescent="0.15">
      <c r="J47"/>
      <c r="K47"/>
      <c r="Y47"/>
      <c r="AC47"/>
      <c r="AG47"/>
    </row>
    <row r="48" spans="4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K38"/>
  <sheetViews>
    <sheetView workbookViewId="0">
      <selection activeCell="A3" sqref="A3"/>
    </sheetView>
  </sheetViews>
  <sheetFormatPr baseColWidth="10" defaultRowHeight="13" x14ac:dyDescent="0.15"/>
  <cols>
    <col min="1" max="1" width="22.5" style="111" bestFit="1" customWidth="1"/>
    <col min="2" max="34" width="3.83203125" style="111" customWidth="1"/>
    <col min="35" max="37" width="2.33203125" style="111" customWidth="1"/>
    <col min="38" max="16384" width="10.83203125" style="111"/>
  </cols>
  <sheetData>
    <row r="1" spans="1:37" x14ac:dyDescent="0.15">
      <c r="A1" s="63" t="s">
        <v>118</v>
      </c>
      <c r="B1" s="191" t="s">
        <v>191</v>
      </c>
      <c r="C1" s="191" t="s">
        <v>192</v>
      </c>
      <c r="D1" s="191" t="s">
        <v>193</v>
      </c>
      <c r="E1" s="191" t="s">
        <v>194</v>
      </c>
      <c r="F1" s="191" t="s">
        <v>195</v>
      </c>
      <c r="G1" s="191" t="s">
        <v>196</v>
      </c>
      <c r="H1" s="191" t="s">
        <v>197</v>
      </c>
      <c r="I1" s="191" t="s">
        <v>198</v>
      </c>
      <c r="J1" s="191" t="s">
        <v>199</v>
      </c>
      <c r="K1" s="191" t="s">
        <v>200</v>
      </c>
      <c r="L1" s="191" t="s">
        <v>201</v>
      </c>
      <c r="M1" s="191" t="s">
        <v>202</v>
      </c>
      <c r="N1" s="191" t="s">
        <v>203</v>
      </c>
      <c r="O1" s="191" t="s">
        <v>204</v>
      </c>
      <c r="P1" s="191" t="s">
        <v>205</v>
      </c>
      <c r="Q1" s="191" t="s">
        <v>206</v>
      </c>
      <c r="R1" s="191" t="s">
        <v>207</v>
      </c>
      <c r="S1" s="191" t="s">
        <v>208</v>
      </c>
      <c r="T1" s="191" t="s">
        <v>209</v>
      </c>
      <c r="U1" s="191" t="s">
        <v>210</v>
      </c>
      <c r="V1" s="191" t="s">
        <v>211</v>
      </c>
      <c r="W1" s="191" t="s">
        <v>212</v>
      </c>
      <c r="X1" s="191" t="s">
        <v>213</v>
      </c>
      <c r="Y1" s="191" t="s">
        <v>214</v>
      </c>
      <c r="Z1" s="191" t="s">
        <v>215</v>
      </c>
      <c r="AA1" s="191" t="s">
        <v>216</v>
      </c>
      <c r="AB1" s="191" t="s">
        <v>217</v>
      </c>
      <c r="AC1" s="191" t="s">
        <v>218</v>
      </c>
      <c r="AD1" s="191" t="s">
        <v>219</v>
      </c>
      <c r="AE1" s="191" t="s">
        <v>220</v>
      </c>
      <c r="AF1" s="191" t="s">
        <v>221</v>
      </c>
      <c r="AG1" s="191" t="s">
        <v>222</v>
      </c>
      <c r="AH1" s="191" t="s">
        <v>223</v>
      </c>
      <c r="AI1" s="191" t="s">
        <v>224</v>
      </c>
      <c r="AJ1" s="191" t="s">
        <v>225</v>
      </c>
      <c r="AK1" s="191" t="s">
        <v>226</v>
      </c>
    </row>
    <row r="2" spans="1:37" customFormat="1" x14ac:dyDescent="0.15">
      <c r="A2" s="190" t="s">
        <v>191</v>
      </c>
      <c r="B2" s="111">
        <v>0</v>
      </c>
      <c r="C2" s="111">
        <v>0</v>
      </c>
      <c r="D2" s="111">
        <v>0</v>
      </c>
      <c r="E2" s="111">
        <v>0</v>
      </c>
      <c r="F2" s="111">
        <v>0</v>
      </c>
      <c r="G2" s="111">
        <v>0</v>
      </c>
      <c r="H2" s="111">
        <v>0</v>
      </c>
      <c r="I2" s="111">
        <v>0</v>
      </c>
      <c r="J2" s="111">
        <v>0</v>
      </c>
      <c r="K2" s="111">
        <v>0</v>
      </c>
      <c r="L2" s="111">
        <v>0</v>
      </c>
      <c r="M2" s="111">
        <v>0</v>
      </c>
      <c r="N2" s="111">
        <v>0</v>
      </c>
      <c r="O2" s="111">
        <v>0</v>
      </c>
      <c r="P2" s="111">
        <v>0</v>
      </c>
      <c r="Q2" s="111">
        <v>0</v>
      </c>
      <c r="R2" s="111">
        <v>0</v>
      </c>
      <c r="S2" s="111">
        <v>0</v>
      </c>
      <c r="T2" s="111">
        <v>0</v>
      </c>
      <c r="U2" s="111">
        <v>0</v>
      </c>
      <c r="V2" s="111">
        <v>0</v>
      </c>
      <c r="W2" s="111">
        <v>0</v>
      </c>
      <c r="X2" s="111">
        <v>0</v>
      </c>
      <c r="Y2" s="111">
        <v>0</v>
      </c>
      <c r="Z2" s="111">
        <v>0</v>
      </c>
      <c r="AA2" s="111">
        <v>0</v>
      </c>
      <c r="AB2" s="111">
        <v>0</v>
      </c>
      <c r="AC2" s="111">
        <v>0</v>
      </c>
      <c r="AD2" s="111">
        <v>0</v>
      </c>
      <c r="AE2" s="111">
        <v>0</v>
      </c>
      <c r="AF2" s="111">
        <v>0</v>
      </c>
      <c r="AG2" s="111">
        <v>0</v>
      </c>
      <c r="AH2" s="111">
        <v>0</v>
      </c>
      <c r="AI2" s="111">
        <v>0</v>
      </c>
      <c r="AJ2" s="111">
        <v>0</v>
      </c>
      <c r="AK2" s="111">
        <v>0</v>
      </c>
    </row>
    <row r="3" spans="1:37" customFormat="1" x14ac:dyDescent="0.15">
      <c r="A3" s="190" t="s">
        <v>192</v>
      </c>
      <c r="B3" s="111">
        <v>0</v>
      </c>
      <c r="C3" s="111">
        <v>0</v>
      </c>
      <c r="D3" s="111">
        <v>0</v>
      </c>
      <c r="E3" s="111">
        <v>0</v>
      </c>
      <c r="F3" s="111">
        <v>0</v>
      </c>
      <c r="G3" s="111">
        <v>0.8</v>
      </c>
      <c r="H3" s="111">
        <v>0</v>
      </c>
      <c r="I3" s="111">
        <v>0</v>
      </c>
      <c r="J3" s="111">
        <v>0</v>
      </c>
      <c r="K3" s="111">
        <v>0</v>
      </c>
      <c r="L3" s="111">
        <v>0</v>
      </c>
      <c r="M3" s="111">
        <v>0</v>
      </c>
      <c r="N3" s="111">
        <v>0</v>
      </c>
      <c r="O3" s="111">
        <v>0</v>
      </c>
      <c r="P3" s="111">
        <v>0</v>
      </c>
      <c r="Q3" s="111">
        <v>0</v>
      </c>
      <c r="R3" s="111">
        <v>0</v>
      </c>
      <c r="S3" s="111">
        <v>0</v>
      </c>
      <c r="T3" s="111">
        <v>0</v>
      </c>
      <c r="U3" s="111">
        <v>0</v>
      </c>
      <c r="V3" s="111">
        <v>0</v>
      </c>
      <c r="W3" s="111">
        <v>0</v>
      </c>
      <c r="X3" s="111">
        <v>0</v>
      </c>
      <c r="Y3" s="111">
        <v>0</v>
      </c>
      <c r="Z3" s="111">
        <v>0</v>
      </c>
      <c r="AA3" s="111">
        <v>0</v>
      </c>
      <c r="AB3" s="111">
        <v>0</v>
      </c>
      <c r="AC3" s="111">
        <v>0</v>
      </c>
      <c r="AD3" s="111">
        <v>0</v>
      </c>
      <c r="AE3" s="111">
        <v>0</v>
      </c>
      <c r="AF3" s="111">
        <v>0</v>
      </c>
      <c r="AG3" s="111">
        <v>0</v>
      </c>
      <c r="AH3" s="111">
        <v>0</v>
      </c>
      <c r="AI3" s="111">
        <v>0</v>
      </c>
      <c r="AJ3" s="111">
        <v>0</v>
      </c>
      <c r="AK3" s="111">
        <v>0</v>
      </c>
    </row>
    <row r="4" spans="1:37" customFormat="1" x14ac:dyDescent="0.15">
      <c r="A4" s="190" t="s">
        <v>193</v>
      </c>
      <c r="B4" s="111">
        <v>0</v>
      </c>
      <c r="C4" s="111">
        <v>0</v>
      </c>
      <c r="D4" s="111">
        <v>0</v>
      </c>
      <c r="E4" s="111">
        <v>0</v>
      </c>
      <c r="F4" s="111">
        <v>0</v>
      </c>
      <c r="G4" s="111">
        <v>0</v>
      </c>
      <c r="H4" s="111">
        <v>0</v>
      </c>
      <c r="I4" s="111">
        <v>0</v>
      </c>
      <c r="J4" s="111">
        <v>0</v>
      </c>
      <c r="K4" s="111">
        <v>0</v>
      </c>
      <c r="L4" s="111">
        <v>0</v>
      </c>
      <c r="M4" s="111">
        <v>0</v>
      </c>
      <c r="N4" s="111">
        <v>0</v>
      </c>
      <c r="O4" s="111">
        <v>0</v>
      </c>
      <c r="P4" s="111">
        <v>0</v>
      </c>
      <c r="Q4" s="111">
        <v>0</v>
      </c>
      <c r="R4" s="111">
        <v>0</v>
      </c>
      <c r="S4" s="111">
        <v>0</v>
      </c>
      <c r="T4" s="111">
        <v>0</v>
      </c>
      <c r="U4" s="111">
        <v>0</v>
      </c>
      <c r="V4" s="111">
        <v>0</v>
      </c>
      <c r="W4" s="111">
        <v>0</v>
      </c>
      <c r="X4" s="111">
        <v>0.8</v>
      </c>
      <c r="Y4" s="111">
        <v>0</v>
      </c>
      <c r="Z4" s="111">
        <v>0</v>
      </c>
      <c r="AA4" s="111">
        <v>0</v>
      </c>
      <c r="AB4" s="111">
        <v>0</v>
      </c>
      <c r="AC4" s="111">
        <v>0</v>
      </c>
      <c r="AD4" s="111">
        <v>0</v>
      </c>
      <c r="AE4" s="111">
        <v>0</v>
      </c>
      <c r="AF4" s="111">
        <v>0</v>
      </c>
      <c r="AG4" s="111">
        <v>0</v>
      </c>
      <c r="AH4" s="111">
        <v>0</v>
      </c>
      <c r="AI4" s="111">
        <v>0</v>
      </c>
      <c r="AJ4" s="111">
        <v>0</v>
      </c>
      <c r="AK4" s="111">
        <v>0</v>
      </c>
    </row>
    <row r="5" spans="1:37" customFormat="1" x14ac:dyDescent="0.15">
      <c r="A5" s="190" t="s">
        <v>194</v>
      </c>
      <c r="B5" s="111">
        <v>0</v>
      </c>
      <c r="C5" s="111">
        <v>0</v>
      </c>
      <c r="D5" s="111">
        <v>0</v>
      </c>
      <c r="E5" s="111">
        <v>0</v>
      </c>
      <c r="F5" s="111">
        <v>0</v>
      </c>
      <c r="G5" s="111">
        <v>0</v>
      </c>
      <c r="H5" s="111">
        <v>0</v>
      </c>
      <c r="I5" s="111">
        <v>0</v>
      </c>
      <c r="J5" s="111">
        <v>0</v>
      </c>
      <c r="K5" s="111">
        <v>0</v>
      </c>
      <c r="L5" s="111">
        <v>0</v>
      </c>
      <c r="M5" s="111">
        <v>0</v>
      </c>
      <c r="N5" s="111">
        <v>0</v>
      </c>
      <c r="O5" s="111">
        <v>0</v>
      </c>
      <c r="P5" s="111">
        <v>0</v>
      </c>
      <c r="Q5" s="111">
        <v>0</v>
      </c>
      <c r="R5" s="111">
        <v>0</v>
      </c>
      <c r="S5" s="111">
        <v>0</v>
      </c>
      <c r="T5" s="111">
        <v>0</v>
      </c>
      <c r="U5" s="111">
        <v>0</v>
      </c>
      <c r="V5" s="111">
        <v>0</v>
      </c>
      <c r="W5" s="111">
        <v>0</v>
      </c>
      <c r="X5" s="111">
        <v>0</v>
      </c>
      <c r="Y5" s="111">
        <v>0</v>
      </c>
      <c r="Z5" s="111">
        <v>0</v>
      </c>
      <c r="AA5" s="111">
        <v>0</v>
      </c>
      <c r="AB5" s="111">
        <v>0</v>
      </c>
      <c r="AC5" s="111">
        <v>0</v>
      </c>
      <c r="AD5" s="111">
        <v>0</v>
      </c>
      <c r="AE5" s="111">
        <v>0</v>
      </c>
      <c r="AF5" s="111">
        <v>0</v>
      </c>
      <c r="AG5" s="111">
        <v>0</v>
      </c>
      <c r="AH5" s="111">
        <v>0</v>
      </c>
      <c r="AI5" s="111">
        <v>0</v>
      </c>
      <c r="AJ5" s="111">
        <v>0</v>
      </c>
      <c r="AK5" s="111">
        <v>0</v>
      </c>
    </row>
    <row r="6" spans="1:37" customFormat="1" x14ac:dyDescent="0.15">
      <c r="A6" s="190" t="s">
        <v>195</v>
      </c>
      <c r="B6" s="111">
        <v>0</v>
      </c>
      <c r="C6" s="111">
        <v>0</v>
      </c>
      <c r="D6" s="111">
        <v>0</v>
      </c>
      <c r="E6" s="111">
        <v>0</v>
      </c>
      <c r="F6" s="111">
        <v>0</v>
      </c>
      <c r="G6" s="111">
        <v>0.8</v>
      </c>
      <c r="H6" s="111">
        <v>0</v>
      </c>
      <c r="I6" s="111">
        <v>0.8</v>
      </c>
      <c r="J6" s="111">
        <v>0.8</v>
      </c>
      <c r="K6" s="111">
        <v>0</v>
      </c>
      <c r="L6" s="111">
        <v>0</v>
      </c>
      <c r="M6" s="111">
        <v>0</v>
      </c>
      <c r="N6" s="111">
        <v>0</v>
      </c>
      <c r="O6" s="111">
        <v>0</v>
      </c>
      <c r="P6" s="111">
        <v>0</v>
      </c>
      <c r="Q6" s="111">
        <v>0</v>
      </c>
      <c r="R6" s="111">
        <v>0</v>
      </c>
      <c r="S6" s="111">
        <v>0</v>
      </c>
      <c r="T6" s="111">
        <v>0</v>
      </c>
      <c r="U6" s="111">
        <v>0</v>
      </c>
      <c r="V6" s="111">
        <v>0</v>
      </c>
      <c r="W6" s="111">
        <v>0</v>
      </c>
      <c r="X6" s="111">
        <v>0</v>
      </c>
      <c r="Y6" s="111">
        <v>0</v>
      </c>
      <c r="Z6" s="111">
        <v>0</v>
      </c>
      <c r="AA6" s="111">
        <v>0</v>
      </c>
      <c r="AB6" s="111">
        <v>0</v>
      </c>
      <c r="AC6" s="111">
        <v>0</v>
      </c>
      <c r="AD6" s="111">
        <v>0</v>
      </c>
      <c r="AE6" s="111">
        <v>0</v>
      </c>
      <c r="AF6" s="111">
        <v>0</v>
      </c>
      <c r="AG6" s="111">
        <v>0</v>
      </c>
      <c r="AH6" s="111">
        <v>0</v>
      </c>
      <c r="AI6" s="111">
        <v>0</v>
      </c>
      <c r="AJ6" s="111">
        <v>0</v>
      </c>
      <c r="AK6" s="111">
        <v>0</v>
      </c>
    </row>
    <row r="7" spans="1:37" customFormat="1" x14ac:dyDescent="0.15">
      <c r="A7" s="190" t="s">
        <v>196</v>
      </c>
      <c r="B7" s="111">
        <v>0</v>
      </c>
      <c r="C7" s="111">
        <v>0</v>
      </c>
      <c r="D7" s="111">
        <v>0</v>
      </c>
      <c r="E7" s="111">
        <v>0</v>
      </c>
      <c r="F7" s="111">
        <v>0</v>
      </c>
      <c r="G7" s="111">
        <v>0.8</v>
      </c>
      <c r="H7" s="111">
        <v>0</v>
      </c>
      <c r="I7" s="111">
        <v>0</v>
      </c>
      <c r="J7" s="111">
        <v>0</v>
      </c>
      <c r="K7" s="111">
        <v>0</v>
      </c>
      <c r="L7" s="111">
        <v>0</v>
      </c>
      <c r="M7" s="111">
        <v>0</v>
      </c>
      <c r="N7" s="111">
        <v>0</v>
      </c>
      <c r="O7" s="111">
        <v>0</v>
      </c>
      <c r="P7" s="111">
        <v>0</v>
      </c>
      <c r="Q7" s="111">
        <v>0</v>
      </c>
      <c r="R7" s="111">
        <v>0</v>
      </c>
      <c r="S7" s="111">
        <v>0</v>
      </c>
      <c r="T7" s="111">
        <v>0</v>
      </c>
      <c r="U7" s="111">
        <v>0</v>
      </c>
      <c r="V7" s="111">
        <v>0</v>
      </c>
      <c r="W7" s="111">
        <v>0</v>
      </c>
      <c r="X7" s="111">
        <v>0.8</v>
      </c>
      <c r="Y7" s="111">
        <v>0</v>
      </c>
      <c r="Z7" s="111">
        <v>0</v>
      </c>
      <c r="AA7" s="111">
        <v>0</v>
      </c>
      <c r="AB7" s="111">
        <v>0</v>
      </c>
      <c r="AC7" s="111">
        <v>0</v>
      </c>
      <c r="AD7" s="111">
        <v>0</v>
      </c>
      <c r="AE7" s="111">
        <v>0</v>
      </c>
      <c r="AF7" s="111">
        <v>0</v>
      </c>
      <c r="AG7" s="111">
        <v>0</v>
      </c>
      <c r="AH7" s="111">
        <v>0</v>
      </c>
      <c r="AI7" s="111">
        <v>0</v>
      </c>
      <c r="AJ7" s="111">
        <v>0</v>
      </c>
      <c r="AK7" s="111">
        <v>0</v>
      </c>
    </row>
    <row r="8" spans="1:37" customFormat="1" x14ac:dyDescent="0.15">
      <c r="A8" s="190" t="s">
        <v>197</v>
      </c>
      <c r="B8" s="111">
        <v>0</v>
      </c>
      <c r="C8" s="111">
        <v>0.8</v>
      </c>
      <c r="D8" s="111">
        <v>0</v>
      </c>
      <c r="E8" s="111">
        <v>0.8</v>
      </c>
      <c r="F8" s="111">
        <v>0.8</v>
      </c>
      <c r="G8" s="111">
        <v>0.8</v>
      </c>
      <c r="H8" s="111">
        <v>0.8</v>
      </c>
      <c r="I8" s="111">
        <v>0.8</v>
      </c>
      <c r="J8" s="111">
        <v>0.8</v>
      </c>
      <c r="K8" s="111">
        <v>0</v>
      </c>
      <c r="L8" s="111">
        <v>0</v>
      </c>
      <c r="M8" s="111">
        <v>0</v>
      </c>
      <c r="N8" s="111">
        <v>0</v>
      </c>
      <c r="O8" s="111">
        <v>0</v>
      </c>
      <c r="P8" s="111">
        <v>0</v>
      </c>
      <c r="Q8" s="111">
        <v>0</v>
      </c>
      <c r="R8" s="111">
        <v>0</v>
      </c>
      <c r="S8" s="111">
        <v>0</v>
      </c>
      <c r="T8" s="111">
        <v>0</v>
      </c>
      <c r="U8" s="111">
        <v>0</v>
      </c>
      <c r="V8" s="111">
        <v>0</v>
      </c>
      <c r="W8" s="111">
        <v>0</v>
      </c>
      <c r="X8" s="111">
        <v>0</v>
      </c>
      <c r="Y8" s="111">
        <v>0</v>
      </c>
      <c r="Z8" s="111">
        <v>0</v>
      </c>
      <c r="AA8" s="111">
        <v>0</v>
      </c>
      <c r="AB8" s="111">
        <v>0</v>
      </c>
      <c r="AC8" s="111">
        <v>0</v>
      </c>
      <c r="AD8" s="111">
        <v>0</v>
      </c>
      <c r="AE8" s="111">
        <v>0</v>
      </c>
      <c r="AF8" s="111">
        <v>0</v>
      </c>
      <c r="AG8" s="111">
        <v>0</v>
      </c>
      <c r="AH8" s="111">
        <v>0</v>
      </c>
      <c r="AI8" s="111">
        <v>0</v>
      </c>
      <c r="AJ8" s="111">
        <v>0</v>
      </c>
      <c r="AK8" s="111">
        <v>0</v>
      </c>
    </row>
    <row r="9" spans="1:37" customFormat="1" x14ac:dyDescent="0.15">
      <c r="A9" s="190" t="s">
        <v>198</v>
      </c>
      <c r="B9" s="111">
        <v>0</v>
      </c>
      <c r="C9" s="111">
        <v>0.8</v>
      </c>
      <c r="D9" s="111">
        <v>0</v>
      </c>
      <c r="E9" s="111">
        <v>0.8</v>
      </c>
      <c r="F9" s="111">
        <v>0</v>
      </c>
      <c r="G9" s="111">
        <v>0.8</v>
      </c>
      <c r="H9" s="111">
        <v>0</v>
      </c>
      <c r="I9" s="111">
        <v>0.8</v>
      </c>
      <c r="J9" s="111">
        <v>0</v>
      </c>
      <c r="K9" s="111">
        <v>0</v>
      </c>
      <c r="L9" s="111">
        <v>0</v>
      </c>
      <c r="M9" s="111">
        <v>0</v>
      </c>
      <c r="N9" s="111">
        <v>0</v>
      </c>
      <c r="O9" s="111">
        <v>0</v>
      </c>
      <c r="P9" s="111">
        <v>0</v>
      </c>
      <c r="Q9" s="111">
        <v>0</v>
      </c>
      <c r="R9" s="111">
        <v>0</v>
      </c>
      <c r="S9" s="111">
        <v>0</v>
      </c>
      <c r="T9" s="111">
        <v>0</v>
      </c>
      <c r="U9" s="111">
        <v>0</v>
      </c>
      <c r="V9" s="111">
        <v>0</v>
      </c>
      <c r="W9" s="111">
        <v>0</v>
      </c>
      <c r="X9" s="111">
        <v>0</v>
      </c>
      <c r="Y9" s="111">
        <v>0</v>
      </c>
      <c r="Z9" s="111">
        <v>0</v>
      </c>
      <c r="AA9" s="111">
        <v>0</v>
      </c>
      <c r="AB9" s="111">
        <v>0</v>
      </c>
      <c r="AC9" s="111">
        <v>0</v>
      </c>
      <c r="AD9" s="111">
        <v>0</v>
      </c>
      <c r="AE9" s="111">
        <v>0</v>
      </c>
      <c r="AF9" s="111">
        <v>0</v>
      </c>
      <c r="AG9" s="111">
        <v>0</v>
      </c>
      <c r="AH9" s="111">
        <v>0</v>
      </c>
      <c r="AI9" s="111">
        <v>0</v>
      </c>
      <c r="AJ9" s="111">
        <v>0</v>
      </c>
      <c r="AK9" s="111">
        <v>0</v>
      </c>
    </row>
    <row r="10" spans="1:37" customFormat="1" x14ac:dyDescent="0.15">
      <c r="A10" s="190" t="s">
        <v>199</v>
      </c>
      <c r="B10" s="111">
        <v>0</v>
      </c>
      <c r="C10" s="111">
        <v>0.8</v>
      </c>
      <c r="D10" s="111">
        <v>0</v>
      </c>
      <c r="E10" s="111">
        <v>0.8</v>
      </c>
      <c r="F10" s="111">
        <v>0</v>
      </c>
      <c r="G10" s="111">
        <v>0.8</v>
      </c>
      <c r="H10" s="111">
        <v>0</v>
      </c>
      <c r="I10" s="111">
        <v>0.8</v>
      </c>
      <c r="J10" s="111">
        <v>0.8</v>
      </c>
      <c r="K10" s="111">
        <v>0</v>
      </c>
      <c r="L10" s="111">
        <v>0</v>
      </c>
      <c r="M10" s="111">
        <v>0</v>
      </c>
      <c r="N10" s="111">
        <v>0</v>
      </c>
      <c r="O10" s="111">
        <v>0</v>
      </c>
      <c r="P10" s="111">
        <v>0</v>
      </c>
      <c r="Q10" s="111">
        <v>0</v>
      </c>
      <c r="R10" s="111">
        <v>0</v>
      </c>
      <c r="S10" s="111">
        <v>0</v>
      </c>
      <c r="T10" s="111">
        <v>0</v>
      </c>
      <c r="U10" s="111">
        <v>0</v>
      </c>
      <c r="V10" s="111">
        <v>0</v>
      </c>
      <c r="W10" s="111">
        <v>0</v>
      </c>
      <c r="X10" s="111">
        <v>0</v>
      </c>
      <c r="Y10" s="111">
        <v>0</v>
      </c>
      <c r="Z10" s="111">
        <v>0</v>
      </c>
      <c r="AA10" s="111">
        <v>0</v>
      </c>
      <c r="AB10" s="111">
        <v>0</v>
      </c>
      <c r="AC10" s="111">
        <v>0</v>
      </c>
      <c r="AD10" s="111">
        <v>0</v>
      </c>
      <c r="AE10" s="111">
        <v>0</v>
      </c>
      <c r="AF10" s="111">
        <v>0</v>
      </c>
      <c r="AG10" s="111">
        <v>0</v>
      </c>
      <c r="AH10" s="111">
        <v>0</v>
      </c>
      <c r="AI10" s="111">
        <v>0</v>
      </c>
      <c r="AJ10" s="111">
        <v>0</v>
      </c>
      <c r="AK10" s="111">
        <v>0</v>
      </c>
    </row>
    <row r="11" spans="1:37" customFormat="1" x14ac:dyDescent="0.15">
      <c r="A11" s="190" t="s">
        <v>200</v>
      </c>
      <c r="B11" s="111">
        <v>0.8</v>
      </c>
      <c r="C11" s="111">
        <v>0.8</v>
      </c>
      <c r="D11" s="111">
        <v>0</v>
      </c>
      <c r="E11" s="111">
        <v>0.8</v>
      </c>
      <c r="F11" s="111">
        <v>0.8</v>
      </c>
      <c r="G11" s="111">
        <v>0.8</v>
      </c>
      <c r="H11" s="111">
        <v>0.8</v>
      </c>
      <c r="I11" s="111">
        <v>0.8</v>
      </c>
      <c r="J11" s="111">
        <v>0.8</v>
      </c>
      <c r="K11" s="111">
        <v>0.8</v>
      </c>
      <c r="L11" s="111">
        <v>0</v>
      </c>
      <c r="M11" s="111">
        <v>0</v>
      </c>
      <c r="N11" s="111">
        <v>0</v>
      </c>
      <c r="O11" s="111">
        <v>0</v>
      </c>
      <c r="P11" s="111">
        <v>0</v>
      </c>
      <c r="Q11" s="111">
        <v>0</v>
      </c>
      <c r="R11" s="111">
        <v>0</v>
      </c>
      <c r="S11" s="111">
        <v>0.8</v>
      </c>
      <c r="T11" s="111">
        <v>0</v>
      </c>
      <c r="U11" s="111">
        <v>0</v>
      </c>
      <c r="V11" s="111">
        <v>0</v>
      </c>
      <c r="W11" s="111">
        <v>0</v>
      </c>
      <c r="X11" s="111">
        <v>0</v>
      </c>
      <c r="Y11" s="111">
        <v>0.8</v>
      </c>
      <c r="Z11" s="111">
        <v>0</v>
      </c>
      <c r="AA11" s="111">
        <v>0</v>
      </c>
      <c r="AB11" s="111">
        <v>0</v>
      </c>
      <c r="AC11" s="111">
        <v>0</v>
      </c>
      <c r="AD11" s="111">
        <v>0</v>
      </c>
      <c r="AE11" s="111">
        <v>0.8</v>
      </c>
      <c r="AF11" s="111">
        <v>0</v>
      </c>
      <c r="AG11" s="111">
        <v>0</v>
      </c>
      <c r="AH11" s="111">
        <v>0</v>
      </c>
      <c r="AI11" s="111">
        <v>0</v>
      </c>
      <c r="AJ11" s="111">
        <v>0</v>
      </c>
      <c r="AK11" s="111">
        <v>0</v>
      </c>
    </row>
    <row r="12" spans="1:37" customFormat="1" x14ac:dyDescent="0.15">
      <c r="A12" s="190" t="s">
        <v>201</v>
      </c>
      <c r="B12" s="111">
        <v>0</v>
      </c>
      <c r="C12" s="111">
        <v>0.8</v>
      </c>
      <c r="D12" s="111">
        <v>0</v>
      </c>
      <c r="E12" s="111">
        <v>0.8</v>
      </c>
      <c r="F12" s="111">
        <v>0.8</v>
      </c>
      <c r="G12" s="111">
        <v>0.8</v>
      </c>
      <c r="H12" s="111">
        <v>0.8</v>
      </c>
      <c r="I12" s="111">
        <v>0.8</v>
      </c>
      <c r="J12" s="111">
        <v>0.8</v>
      </c>
      <c r="K12" s="111">
        <v>0</v>
      </c>
      <c r="L12" s="111">
        <v>0</v>
      </c>
      <c r="M12" s="111">
        <v>0</v>
      </c>
      <c r="N12" s="111">
        <v>0.8</v>
      </c>
      <c r="O12" s="111">
        <v>0.8</v>
      </c>
      <c r="P12" s="111">
        <v>0.8</v>
      </c>
      <c r="Q12" s="111">
        <v>0.8</v>
      </c>
      <c r="R12" s="111">
        <v>0.8</v>
      </c>
      <c r="S12" s="111">
        <v>0.8</v>
      </c>
      <c r="T12" s="111">
        <v>0.8</v>
      </c>
      <c r="U12" s="111">
        <v>0</v>
      </c>
      <c r="V12" s="111">
        <v>0.8</v>
      </c>
      <c r="W12" s="111">
        <v>0</v>
      </c>
      <c r="X12" s="111">
        <v>0.8</v>
      </c>
      <c r="Y12" s="111">
        <v>0.8</v>
      </c>
      <c r="Z12" s="111">
        <v>0</v>
      </c>
      <c r="AA12" s="111">
        <v>0</v>
      </c>
      <c r="AB12" s="111">
        <v>0</v>
      </c>
      <c r="AC12" s="111">
        <v>0</v>
      </c>
      <c r="AD12" s="111">
        <v>0</v>
      </c>
      <c r="AE12" s="111">
        <v>0.8</v>
      </c>
      <c r="AF12" s="111">
        <v>0</v>
      </c>
      <c r="AG12" s="111">
        <v>0</v>
      </c>
      <c r="AH12" s="111">
        <v>0</v>
      </c>
      <c r="AI12" s="111">
        <v>0</v>
      </c>
      <c r="AJ12" s="111">
        <v>0</v>
      </c>
      <c r="AK12" s="111">
        <v>0</v>
      </c>
    </row>
    <row r="13" spans="1:37" customFormat="1" x14ac:dyDescent="0.15">
      <c r="A13" s="190" t="s">
        <v>202</v>
      </c>
      <c r="B13" s="111">
        <v>0.8</v>
      </c>
      <c r="C13" s="111">
        <v>0.8</v>
      </c>
      <c r="D13" s="111">
        <v>0</v>
      </c>
      <c r="E13" s="111">
        <v>0.8</v>
      </c>
      <c r="F13" s="111">
        <v>0.8</v>
      </c>
      <c r="G13" s="111">
        <v>0.8</v>
      </c>
      <c r="H13" s="111">
        <v>0.8</v>
      </c>
      <c r="I13" s="111">
        <v>0.8</v>
      </c>
      <c r="J13" s="111">
        <v>0.8</v>
      </c>
      <c r="K13" s="111">
        <v>0.8</v>
      </c>
      <c r="L13" s="111">
        <v>0</v>
      </c>
      <c r="M13" s="111">
        <v>0</v>
      </c>
      <c r="N13" s="111">
        <v>0.8</v>
      </c>
      <c r="O13" s="111">
        <v>0.8</v>
      </c>
      <c r="P13" s="111">
        <v>0.8</v>
      </c>
      <c r="Q13" s="111">
        <v>0</v>
      </c>
      <c r="R13" s="111">
        <v>0.8</v>
      </c>
      <c r="S13" s="111">
        <v>0.8</v>
      </c>
      <c r="T13" s="111">
        <v>0</v>
      </c>
      <c r="U13" s="111">
        <v>0</v>
      </c>
      <c r="V13" s="111">
        <v>0.8</v>
      </c>
      <c r="W13" s="111">
        <v>0</v>
      </c>
      <c r="X13" s="111">
        <v>0.8</v>
      </c>
      <c r="Y13" s="111">
        <v>0.8</v>
      </c>
      <c r="Z13" s="111">
        <v>0</v>
      </c>
      <c r="AA13" s="111">
        <v>0</v>
      </c>
      <c r="AB13" s="111">
        <v>0.8</v>
      </c>
      <c r="AC13" s="111">
        <v>0</v>
      </c>
      <c r="AD13" s="111">
        <v>0</v>
      </c>
      <c r="AE13" s="111">
        <v>0.8</v>
      </c>
      <c r="AF13" s="111">
        <v>0</v>
      </c>
      <c r="AG13" s="111">
        <v>0</v>
      </c>
      <c r="AH13" s="111">
        <v>0</v>
      </c>
      <c r="AI13" s="111">
        <v>0</v>
      </c>
      <c r="AJ13" s="111">
        <v>0</v>
      </c>
      <c r="AK13" s="111">
        <v>0</v>
      </c>
    </row>
    <row r="14" spans="1:37" customFormat="1" x14ac:dyDescent="0.15">
      <c r="A14" s="190" t="s">
        <v>203</v>
      </c>
      <c r="B14" s="111">
        <v>0</v>
      </c>
      <c r="C14" s="111">
        <v>0.8</v>
      </c>
      <c r="D14" s="111">
        <v>0</v>
      </c>
      <c r="E14" s="111">
        <v>0</v>
      </c>
      <c r="F14" s="111">
        <v>0.8</v>
      </c>
      <c r="G14" s="111">
        <v>0.8</v>
      </c>
      <c r="H14" s="111">
        <v>0.8</v>
      </c>
      <c r="I14" s="111">
        <v>0.8</v>
      </c>
      <c r="J14" s="111">
        <v>0.8</v>
      </c>
      <c r="K14" s="111">
        <v>0</v>
      </c>
      <c r="L14" s="111">
        <v>0</v>
      </c>
      <c r="M14" s="111">
        <v>0</v>
      </c>
      <c r="N14" s="111">
        <v>0.8</v>
      </c>
      <c r="O14" s="111">
        <v>0.8</v>
      </c>
      <c r="P14" s="111">
        <v>0</v>
      </c>
      <c r="Q14" s="111">
        <v>0.8</v>
      </c>
      <c r="R14" s="111">
        <v>0.8</v>
      </c>
      <c r="S14" s="111">
        <v>0</v>
      </c>
      <c r="T14" s="111">
        <v>0.8</v>
      </c>
      <c r="U14" s="111">
        <v>0</v>
      </c>
      <c r="V14" s="111">
        <v>0.8</v>
      </c>
      <c r="W14" s="111">
        <v>0</v>
      </c>
      <c r="X14" s="111">
        <v>0.8</v>
      </c>
      <c r="Y14" s="111">
        <v>0</v>
      </c>
      <c r="Z14" s="111">
        <v>0</v>
      </c>
      <c r="AA14" s="111">
        <v>0</v>
      </c>
      <c r="AB14" s="111">
        <v>0</v>
      </c>
      <c r="AC14" s="111">
        <v>0</v>
      </c>
      <c r="AD14" s="111">
        <v>0</v>
      </c>
      <c r="AE14" s="111">
        <v>0</v>
      </c>
      <c r="AF14" s="111">
        <v>0</v>
      </c>
      <c r="AG14" s="111">
        <v>0</v>
      </c>
      <c r="AH14" s="111">
        <v>0</v>
      </c>
      <c r="AI14" s="111">
        <v>0</v>
      </c>
      <c r="AJ14" s="111">
        <v>0</v>
      </c>
      <c r="AK14" s="111">
        <v>0</v>
      </c>
    </row>
    <row r="15" spans="1:37" customFormat="1" x14ac:dyDescent="0.15">
      <c r="A15" s="190" t="s">
        <v>204</v>
      </c>
      <c r="B15" s="111">
        <v>0</v>
      </c>
      <c r="C15" s="111">
        <v>0.8</v>
      </c>
      <c r="D15" s="111">
        <v>0</v>
      </c>
      <c r="E15" s="111">
        <v>0</v>
      </c>
      <c r="F15" s="111">
        <v>0.8</v>
      </c>
      <c r="G15" s="111">
        <v>0.8</v>
      </c>
      <c r="H15" s="111">
        <v>0.8</v>
      </c>
      <c r="I15" s="111">
        <v>0.8</v>
      </c>
      <c r="J15" s="111">
        <v>0.8</v>
      </c>
      <c r="K15" s="111">
        <v>0</v>
      </c>
      <c r="L15" s="111">
        <v>0</v>
      </c>
      <c r="M15" s="111">
        <v>0</v>
      </c>
      <c r="N15" s="111">
        <v>0.8</v>
      </c>
      <c r="O15" s="111">
        <v>0.8</v>
      </c>
      <c r="P15" s="111">
        <v>0</v>
      </c>
      <c r="Q15" s="111">
        <v>0.8</v>
      </c>
      <c r="R15" s="111">
        <v>0</v>
      </c>
      <c r="S15" s="111">
        <v>0</v>
      </c>
      <c r="T15" s="111">
        <v>0.8</v>
      </c>
      <c r="U15" s="111">
        <v>0</v>
      </c>
      <c r="V15" s="111">
        <v>0.8</v>
      </c>
      <c r="W15" s="111">
        <v>0</v>
      </c>
      <c r="X15" s="111">
        <v>0.8</v>
      </c>
      <c r="Y15" s="111">
        <v>0.8</v>
      </c>
      <c r="Z15" s="111">
        <v>0</v>
      </c>
      <c r="AA15" s="111">
        <v>0</v>
      </c>
      <c r="AB15" s="111">
        <v>0</v>
      </c>
      <c r="AC15" s="111">
        <v>0</v>
      </c>
      <c r="AD15" s="111">
        <v>0</v>
      </c>
      <c r="AE15" s="111">
        <v>0</v>
      </c>
      <c r="AF15" s="111">
        <v>0</v>
      </c>
      <c r="AG15" s="111">
        <v>0</v>
      </c>
      <c r="AH15" s="111">
        <v>0</v>
      </c>
      <c r="AI15" s="111">
        <v>0</v>
      </c>
      <c r="AJ15" s="111">
        <v>0</v>
      </c>
      <c r="AK15" s="111">
        <v>0</v>
      </c>
    </row>
    <row r="16" spans="1:37" customFormat="1" x14ac:dyDescent="0.15">
      <c r="A16" s="190" t="s">
        <v>205</v>
      </c>
      <c r="B16" s="111">
        <v>0</v>
      </c>
      <c r="C16" s="111">
        <v>0.8</v>
      </c>
      <c r="D16" s="111">
        <v>0</v>
      </c>
      <c r="E16" s="111">
        <v>0</v>
      </c>
      <c r="F16" s="111">
        <v>0.8</v>
      </c>
      <c r="G16" s="111">
        <v>0</v>
      </c>
      <c r="H16" s="111">
        <v>0.8</v>
      </c>
      <c r="I16" s="111">
        <v>0.8</v>
      </c>
      <c r="J16" s="111">
        <v>0</v>
      </c>
      <c r="K16" s="111">
        <v>0</v>
      </c>
      <c r="L16" s="111">
        <v>0</v>
      </c>
      <c r="M16" s="111">
        <v>0</v>
      </c>
      <c r="N16" s="111">
        <v>0.8</v>
      </c>
      <c r="O16" s="111">
        <v>0.8</v>
      </c>
      <c r="P16" s="111">
        <v>0</v>
      </c>
      <c r="Q16" s="111">
        <v>0.8</v>
      </c>
      <c r="R16" s="111">
        <v>0</v>
      </c>
      <c r="S16" s="111">
        <v>0</v>
      </c>
      <c r="T16" s="111">
        <v>0</v>
      </c>
      <c r="U16" s="111">
        <v>0</v>
      </c>
      <c r="V16" s="111">
        <v>0</v>
      </c>
      <c r="W16" s="111">
        <v>0</v>
      </c>
      <c r="X16" s="111">
        <v>0.8</v>
      </c>
      <c r="Y16" s="111">
        <v>0.8</v>
      </c>
      <c r="Z16" s="111">
        <v>0</v>
      </c>
      <c r="AA16" s="111">
        <v>0</v>
      </c>
      <c r="AB16" s="111">
        <v>0</v>
      </c>
      <c r="AC16" s="111">
        <v>0</v>
      </c>
      <c r="AD16" s="111">
        <v>0</v>
      </c>
      <c r="AE16" s="111">
        <v>0</v>
      </c>
      <c r="AF16" s="111">
        <v>0</v>
      </c>
      <c r="AG16" s="111">
        <v>0</v>
      </c>
      <c r="AH16" s="111">
        <v>0</v>
      </c>
      <c r="AI16" s="111">
        <v>0</v>
      </c>
      <c r="AJ16" s="111">
        <v>0</v>
      </c>
      <c r="AK16" s="111">
        <v>0</v>
      </c>
    </row>
    <row r="17" spans="1:37" customFormat="1" x14ac:dyDescent="0.15">
      <c r="A17" s="190" t="s">
        <v>206</v>
      </c>
      <c r="B17" s="111">
        <v>0</v>
      </c>
      <c r="C17" s="111">
        <v>0</v>
      </c>
      <c r="D17" s="111">
        <v>0</v>
      </c>
      <c r="E17" s="111">
        <v>0</v>
      </c>
      <c r="F17" s="111">
        <v>0.8</v>
      </c>
      <c r="G17" s="111">
        <v>0.8</v>
      </c>
      <c r="H17" s="111">
        <v>0.8</v>
      </c>
      <c r="I17" s="111">
        <v>0.8</v>
      </c>
      <c r="J17" s="111">
        <v>0</v>
      </c>
      <c r="K17" s="111">
        <v>0</v>
      </c>
      <c r="L17" s="111">
        <v>0</v>
      </c>
      <c r="M17" s="111">
        <v>0</v>
      </c>
      <c r="N17" s="111">
        <v>0</v>
      </c>
      <c r="O17" s="111">
        <v>0</v>
      </c>
      <c r="P17" s="111">
        <v>0</v>
      </c>
      <c r="Q17" s="111">
        <v>0</v>
      </c>
      <c r="R17" s="111">
        <v>0</v>
      </c>
      <c r="S17" s="111">
        <v>0</v>
      </c>
      <c r="T17" s="111">
        <v>0</v>
      </c>
      <c r="U17" s="111">
        <v>0</v>
      </c>
      <c r="V17" s="111">
        <v>0</v>
      </c>
      <c r="W17" s="111">
        <v>0</v>
      </c>
      <c r="X17" s="111">
        <v>0.8</v>
      </c>
      <c r="Y17" s="111">
        <v>0</v>
      </c>
      <c r="Z17" s="111">
        <v>0</v>
      </c>
      <c r="AA17" s="111">
        <v>0</v>
      </c>
      <c r="AB17" s="111">
        <v>0</v>
      </c>
      <c r="AC17" s="111">
        <v>0</v>
      </c>
      <c r="AD17" s="111">
        <v>0</v>
      </c>
      <c r="AE17" s="111">
        <v>0</v>
      </c>
      <c r="AF17" s="111">
        <v>0</v>
      </c>
      <c r="AG17" s="111">
        <v>0</v>
      </c>
      <c r="AH17" s="111">
        <v>0</v>
      </c>
      <c r="AI17" s="111">
        <v>0</v>
      </c>
      <c r="AJ17" s="111">
        <v>0</v>
      </c>
      <c r="AK17" s="111">
        <v>0</v>
      </c>
    </row>
    <row r="18" spans="1:37" customFormat="1" x14ac:dyDescent="0.15">
      <c r="A18" s="190" t="s">
        <v>207</v>
      </c>
      <c r="B18" s="111">
        <v>0</v>
      </c>
      <c r="C18" s="111">
        <v>0.8</v>
      </c>
      <c r="D18" s="111">
        <v>0</v>
      </c>
      <c r="E18" s="111">
        <v>0</v>
      </c>
      <c r="F18" s="111">
        <v>0.8</v>
      </c>
      <c r="G18" s="111">
        <v>0</v>
      </c>
      <c r="H18" s="111">
        <v>0</v>
      </c>
      <c r="I18" s="111">
        <v>0.8</v>
      </c>
      <c r="J18" s="111">
        <v>0.8</v>
      </c>
      <c r="K18" s="111">
        <v>0</v>
      </c>
      <c r="L18" s="111">
        <v>0</v>
      </c>
      <c r="M18" s="111">
        <v>0</v>
      </c>
      <c r="N18" s="111">
        <v>0.8</v>
      </c>
      <c r="O18" s="111">
        <v>0.8</v>
      </c>
      <c r="P18" s="111">
        <v>0</v>
      </c>
      <c r="Q18" s="111">
        <v>0.8</v>
      </c>
      <c r="R18" s="111">
        <v>0</v>
      </c>
      <c r="S18" s="111">
        <v>0</v>
      </c>
      <c r="T18" s="111">
        <v>0.8</v>
      </c>
      <c r="U18" s="111">
        <v>0</v>
      </c>
      <c r="V18" s="111">
        <v>0</v>
      </c>
      <c r="W18" s="111">
        <v>0</v>
      </c>
      <c r="X18" s="111">
        <v>0.8</v>
      </c>
      <c r="Y18" s="111">
        <v>0</v>
      </c>
      <c r="Z18" s="111">
        <v>0</v>
      </c>
      <c r="AA18" s="111">
        <v>0</v>
      </c>
      <c r="AB18" s="111">
        <v>0</v>
      </c>
      <c r="AC18" s="111">
        <v>0</v>
      </c>
      <c r="AD18" s="111">
        <v>0</v>
      </c>
      <c r="AE18" s="111">
        <v>0</v>
      </c>
      <c r="AF18" s="111">
        <v>0</v>
      </c>
      <c r="AG18" s="111">
        <v>0</v>
      </c>
      <c r="AH18" s="111">
        <v>0</v>
      </c>
      <c r="AI18" s="111">
        <v>0</v>
      </c>
      <c r="AJ18" s="111">
        <v>0</v>
      </c>
      <c r="AK18" s="111">
        <v>0</v>
      </c>
    </row>
    <row r="19" spans="1:37" customFormat="1" x14ac:dyDescent="0.15">
      <c r="A19" s="190" t="s">
        <v>208</v>
      </c>
      <c r="B19" s="111">
        <v>0</v>
      </c>
      <c r="C19" s="111">
        <v>0</v>
      </c>
      <c r="D19" s="111">
        <v>0</v>
      </c>
      <c r="E19" s="111">
        <v>0</v>
      </c>
      <c r="F19" s="111">
        <v>0.8</v>
      </c>
      <c r="G19" s="111">
        <v>0.8</v>
      </c>
      <c r="H19" s="111">
        <v>0.8</v>
      </c>
      <c r="I19" s="111">
        <v>0.8</v>
      </c>
      <c r="J19" s="111">
        <v>0.8</v>
      </c>
      <c r="K19" s="111">
        <v>0</v>
      </c>
      <c r="L19" s="111">
        <v>0</v>
      </c>
      <c r="M19" s="111">
        <v>0</v>
      </c>
      <c r="N19" s="111">
        <v>0</v>
      </c>
      <c r="O19" s="111">
        <v>0</v>
      </c>
      <c r="P19" s="111">
        <v>0</v>
      </c>
      <c r="Q19" s="111">
        <v>0</v>
      </c>
      <c r="R19" s="111">
        <v>0</v>
      </c>
      <c r="S19" s="111">
        <v>0.8</v>
      </c>
      <c r="T19" s="111">
        <v>0</v>
      </c>
      <c r="U19" s="111">
        <v>0</v>
      </c>
      <c r="V19" s="111">
        <v>0</v>
      </c>
      <c r="W19" s="111">
        <v>0</v>
      </c>
      <c r="X19" s="111">
        <v>0.8</v>
      </c>
      <c r="Y19" s="111">
        <v>0.8</v>
      </c>
      <c r="Z19" s="111">
        <v>0</v>
      </c>
      <c r="AA19" s="111">
        <v>0</v>
      </c>
      <c r="AB19" s="111">
        <v>0.8</v>
      </c>
      <c r="AC19" s="111">
        <v>0</v>
      </c>
      <c r="AD19" s="111">
        <v>0</v>
      </c>
      <c r="AE19" s="111">
        <v>0</v>
      </c>
      <c r="AF19" s="111">
        <v>0</v>
      </c>
      <c r="AG19" s="111">
        <v>0</v>
      </c>
      <c r="AH19" s="111">
        <v>0</v>
      </c>
      <c r="AI19" s="111">
        <v>0</v>
      </c>
      <c r="AJ19" s="111">
        <v>0</v>
      </c>
      <c r="AK19" s="111">
        <v>0</v>
      </c>
    </row>
    <row r="20" spans="1:37" customFormat="1" x14ac:dyDescent="0.15">
      <c r="A20" s="190" t="s">
        <v>209</v>
      </c>
      <c r="B20" s="111">
        <v>0</v>
      </c>
      <c r="C20" s="111">
        <v>0</v>
      </c>
      <c r="D20" s="111">
        <v>0</v>
      </c>
      <c r="E20" s="111">
        <v>0</v>
      </c>
      <c r="F20" s="111">
        <v>0.8</v>
      </c>
      <c r="G20" s="111">
        <v>0.8</v>
      </c>
      <c r="H20" s="111">
        <v>0</v>
      </c>
      <c r="I20" s="111">
        <v>0.8</v>
      </c>
      <c r="J20" s="111">
        <v>0</v>
      </c>
      <c r="K20" s="111">
        <v>0</v>
      </c>
      <c r="L20" s="111">
        <v>0</v>
      </c>
      <c r="M20" s="111">
        <v>0</v>
      </c>
      <c r="N20" s="111">
        <v>0.8</v>
      </c>
      <c r="O20" s="111">
        <v>0.8</v>
      </c>
      <c r="P20" s="111">
        <v>0</v>
      </c>
      <c r="Q20" s="111">
        <v>0.8</v>
      </c>
      <c r="R20" s="111">
        <v>0</v>
      </c>
      <c r="S20" s="111">
        <v>0</v>
      </c>
      <c r="T20" s="111">
        <v>0</v>
      </c>
      <c r="U20" s="111">
        <v>0</v>
      </c>
      <c r="V20" s="111">
        <v>0</v>
      </c>
      <c r="W20" s="111">
        <v>0</v>
      </c>
      <c r="X20" s="111">
        <v>0.8</v>
      </c>
      <c r="Y20" s="111">
        <v>0</v>
      </c>
      <c r="Z20" s="111">
        <v>0</v>
      </c>
      <c r="AA20" s="111">
        <v>0</v>
      </c>
      <c r="AB20" s="111">
        <v>0</v>
      </c>
      <c r="AC20" s="111">
        <v>0</v>
      </c>
      <c r="AD20" s="111">
        <v>0</v>
      </c>
      <c r="AE20" s="111">
        <v>0</v>
      </c>
      <c r="AF20" s="111">
        <v>0</v>
      </c>
      <c r="AG20" s="111">
        <v>0</v>
      </c>
      <c r="AH20" s="111">
        <v>0</v>
      </c>
      <c r="AI20" s="111">
        <v>0</v>
      </c>
      <c r="AJ20" s="111">
        <v>0</v>
      </c>
      <c r="AK20" s="111">
        <v>0</v>
      </c>
    </row>
    <row r="21" spans="1:37" customFormat="1" x14ac:dyDescent="0.15">
      <c r="A21" s="190" t="s">
        <v>210</v>
      </c>
      <c r="B21" s="111">
        <v>0</v>
      </c>
      <c r="C21" s="111">
        <v>0.8</v>
      </c>
      <c r="D21" s="111">
        <v>0</v>
      </c>
      <c r="E21" s="111">
        <v>0.8</v>
      </c>
      <c r="F21" s="111">
        <v>0.8</v>
      </c>
      <c r="G21" s="111">
        <v>0.8</v>
      </c>
      <c r="H21" s="111">
        <v>0.8</v>
      </c>
      <c r="I21" s="111">
        <v>0.8</v>
      </c>
      <c r="J21" s="111">
        <v>0</v>
      </c>
      <c r="K21" s="111">
        <v>0</v>
      </c>
      <c r="L21" s="111">
        <v>0</v>
      </c>
      <c r="M21" s="111">
        <v>0</v>
      </c>
      <c r="N21" s="111">
        <v>0.8</v>
      </c>
      <c r="O21" s="111">
        <v>0.8</v>
      </c>
      <c r="P21" s="111">
        <v>0</v>
      </c>
      <c r="Q21" s="111">
        <v>0.8</v>
      </c>
      <c r="R21" s="111">
        <v>0</v>
      </c>
      <c r="S21" s="111">
        <v>0</v>
      </c>
      <c r="T21" s="111">
        <v>0.8</v>
      </c>
      <c r="U21" s="111">
        <v>0</v>
      </c>
      <c r="V21" s="111">
        <v>0.8</v>
      </c>
      <c r="W21" s="111">
        <v>0</v>
      </c>
      <c r="X21" s="111">
        <v>0.8</v>
      </c>
      <c r="Y21" s="111">
        <v>0.8</v>
      </c>
      <c r="Z21" s="111">
        <v>0</v>
      </c>
      <c r="AA21" s="111">
        <v>0</v>
      </c>
      <c r="AB21" s="111">
        <v>0</v>
      </c>
      <c r="AC21" s="111">
        <v>0</v>
      </c>
      <c r="AD21" s="111">
        <v>0</v>
      </c>
      <c r="AE21" s="111">
        <v>0.8</v>
      </c>
      <c r="AF21" s="111">
        <v>0</v>
      </c>
      <c r="AG21" s="111">
        <v>0</v>
      </c>
      <c r="AH21" s="111">
        <v>0</v>
      </c>
      <c r="AI21" s="111">
        <v>0</v>
      </c>
      <c r="AJ21" s="111">
        <v>0</v>
      </c>
      <c r="AK21" s="111">
        <v>0</v>
      </c>
    </row>
    <row r="22" spans="1:37" customFormat="1" x14ac:dyDescent="0.15">
      <c r="A22" s="190" t="s">
        <v>211</v>
      </c>
      <c r="B22" s="111">
        <v>0</v>
      </c>
      <c r="C22" s="111">
        <v>0.8</v>
      </c>
      <c r="D22" s="111">
        <v>0</v>
      </c>
      <c r="E22" s="111">
        <v>0.8</v>
      </c>
      <c r="F22" s="111">
        <v>0.8</v>
      </c>
      <c r="G22" s="111">
        <v>0.8</v>
      </c>
      <c r="H22" s="111">
        <v>0.8</v>
      </c>
      <c r="I22" s="111">
        <v>0.8</v>
      </c>
      <c r="J22" s="111">
        <v>0.8</v>
      </c>
      <c r="K22" s="111">
        <v>0</v>
      </c>
      <c r="L22" s="111">
        <v>0</v>
      </c>
      <c r="M22" s="111">
        <v>0</v>
      </c>
      <c r="N22" s="111">
        <v>0.8</v>
      </c>
      <c r="O22" s="111">
        <v>0.8</v>
      </c>
      <c r="P22" s="111">
        <v>0</v>
      </c>
      <c r="Q22" s="111">
        <v>0</v>
      </c>
      <c r="R22" s="111">
        <v>0</v>
      </c>
      <c r="S22" s="111">
        <v>0.8</v>
      </c>
      <c r="T22" s="111">
        <v>0.8</v>
      </c>
      <c r="U22" s="111">
        <v>0</v>
      </c>
      <c r="V22" s="111">
        <v>0.8</v>
      </c>
      <c r="W22" s="111">
        <v>0</v>
      </c>
      <c r="X22" s="111">
        <v>0.8</v>
      </c>
      <c r="Y22" s="111">
        <v>0</v>
      </c>
      <c r="Z22" s="111">
        <v>0</v>
      </c>
      <c r="AA22" s="111">
        <v>0</v>
      </c>
      <c r="AB22" s="111">
        <v>0</v>
      </c>
      <c r="AC22" s="111">
        <v>0</v>
      </c>
      <c r="AD22" s="111">
        <v>0</v>
      </c>
      <c r="AE22" s="111">
        <v>0</v>
      </c>
      <c r="AF22" s="111">
        <v>0</v>
      </c>
      <c r="AG22" s="111">
        <v>0</v>
      </c>
      <c r="AH22" s="111">
        <v>0</v>
      </c>
      <c r="AI22" s="111">
        <v>0</v>
      </c>
      <c r="AJ22" s="111">
        <v>0</v>
      </c>
      <c r="AK22" s="111">
        <v>0</v>
      </c>
    </row>
    <row r="23" spans="1:37" customFormat="1" x14ac:dyDescent="0.15">
      <c r="A23" s="190" t="s">
        <v>212</v>
      </c>
      <c r="B23" s="111">
        <v>0</v>
      </c>
      <c r="C23" s="111">
        <v>0.8</v>
      </c>
      <c r="D23" s="111">
        <v>0</v>
      </c>
      <c r="E23" s="111">
        <v>0.8</v>
      </c>
      <c r="F23" s="111">
        <v>0.8</v>
      </c>
      <c r="G23" s="111">
        <v>0.8</v>
      </c>
      <c r="H23" s="111">
        <v>0</v>
      </c>
      <c r="I23" s="111">
        <v>0.8</v>
      </c>
      <c r="J23" s="111">
        <v>0</v>
      </c>
      <c r="K23" s="111">
        <v>0</v>
      </c>
      <c r="L23" s="111">
        <v>0</v>
      </c>
      <c r="M23" s="111">
        <v>0</v>
      </c>
      <c r="N23" s="111">
        <v>0.8</v>
      </c>
      <c r="O23" s="111">
        <v>0.8</v>
      </c>
      <c r="P23" s="111">
        <v>0</v>
      </c>
      <c r="Q23" s="111">
        <v>0</v>
      </c>
      <c r="R23" s="111">
        <v>0</v>
      </c>
      <c r="S23" s="111">
        <v>0.8</v>
      </c>
      <c r="T23" s="111">
        <v>0.8</v>
      </c>
      <c r="U23" s="111">
        <v>0</v>
      </c>
      <c r="V23" s="111">
        <v>0.8</v>
      </c>
      <c r="W23" s="111">
        <v>0</v>
      </c>
      <c r="X23" s="111">
        <v>0.8</v>
      </c>
      <c r="Y23" s="111">
        <v>0.8</v>
      </c>
      <c r="Z23" s="111">
        <v>0</v>
      </c>
      <c r="AA23" s="111">
        <v>0</v>
      </c>
      <c r="AB23" s="111">
        <v>0</v>
      </c>
      <c r="AC23" s="111">
        <v>0</v>
      </c>
      <c r="AD23" s="111">
        <v>0</v>
      </c>
      <c r="AE23" s="111">
        <v>0</v>
      </c>
      <c r="AF23" s="111">
        <v>0</v>
      </c>
      <c r="AG23" s="111">
        <v>0</v>
      </c>
      <c r="AH23" s="111">
        <v>0</v>
      </c>
      <c r="AI23" s="111">
        <v>0</v>
      </c>
      <c r="AJ23" s="111">
        <v>0</v>
      </c>
      <c r="AK23" s="111">
        <v>0</v>
      </c>
    </row>
    <row r="24" spans="1:37" customFormat="1" x14ac:dyDescent="0.15">
      <c r="A24" s="190" t="s">
        <v>213</v>
      </c>
      <c r="B24" s="111">
        <v>0</v>
      </c>
      <c r="C24" s="111">
        <v>0</v>
      </c>
      <c r="D24" s="111">
        <v>0</v>
      </c>
      <c r="E24" s="111">
        <v>0</v>
      </c>
      <c r="F24" s="111">
        <v>0.8</v>
      </c>
      <c r="G24" s="111">
        <v>0.8</v>
      </c>
      <c r="H24" s="111">
        <v>0.8</v>
      </c>
      <c r="I24" s="111">
        <v>0.8</v>
      </c>
      <c r="J24" s="111">
        <v>0</v>
      </c>
      <c r="K24" s="111">
        <v>0</v>
      </c>
      <c r="L24" s="111">
        <v>0</v>
      </c>
      <c r="M24" s="111">
        <v>0</v>
      </c>
      <c r="N24" s="111">
        <v>0.8</v>
      </c>
      <c r="O24" s="111">
        <v>0.8</v>
      </c>
      <c r="P24" s="111">
        <v>0</v>
      </c>
      <c r="Q24" s="111">
        <v>0</v>
      </c>
      <c r="R24" s="111">
        <v>0</v>
      </c>
      <c r="S24" s="111">
        <v>0</v>
      </c>
      <c r="T24" s="111">
        <v>0</v>
      </c>
      <c r="U24" s="111">
        <v>0</v>
      </c>
      <c r="V24" s="111">
        <v>0.8</v>
      </c>
      <c r="W24" s="111">
        <v>0</v>
      </c>
      <c r="X24" s="111">
        <v>0.8</v>
      </c>
      <c r="Y24" s="111">
        <v>0</v>
      </c>
      <c r="Z24" s="111">
        <v>0</v>
      </c>
      <c r="AA24" s="111">
        <v>0</v>
      </c>
      <c r="AB24" s="111">
        <v>0</v>
      </c>
      <c r="AC24" s="111">
        <v>0</v>
      </c>
      <c r="AD24" s="111">
        <v>0</v>
      </c>
      <c r="AE24" s="111">
        <v>0</v>
      </c>
      <c r="AF24" s="111">
        <v>0</v>
      </c>
      <c r="AG24" s="111">
        <v>0</v>
      </c>
      <c r="AH24" s="111">
        <v>0</v>
      </c>
      <c r="AI24" s="111">
        <v>0</v>
      </c>
      <c r="AJ24" s="111">
        <v>0</v>
      </c>
      <c r="AK24" s="111">
        <v>0</v>
      </c>
    </row>
    <row r="25" spans="1:37" customFormat="1" x14ac:dyDescent="0.15">
      <c r="A25" s="190" t="s">
        <v>214</v>
      </c>
      <c r="B25" s="111">
        <v>0</v>
      </c>
      <c r="C25" s="111">
        <v>0.8</v>
      </c>
      <c r="D25" s="111">
        <v>0</v>
      </c>
      <c r="E25" s="111">
        <v>0.8</v>
      </c>
      <c r="F25" s="111">
        <v>0.8</v>
      </c>
      <c r="G25" s="111">
        <v>0.8</v>
      </c>
      <c r="H25" s="111">
        <v>0.8</v>
      </c>
      <c r="I25" s="111">
        <v>0.8</v>
      </c>
      <c r="J25" s="111">
        <v>0.8</v>
      </c>
      <c r="K25" s="111">
        <v>0</v>
      </c>
      <c r="L25" s="111">
        <v>0</v>
      </c>
      <c r="M25" s="111">
        <v>0</v>
      </c>
      <c r="N25" s="111">
        <v>0.8</v>
      </c>
      <c r="O25" s="111">
        <v>0.8</v>
      </c>
      <c r="P25" s="111">
        <v>0.8</v>
      </c>
      <c r="Q25" s="111">
        <v>0.8</v>
      </c>
      <c r="R25" s="111">
        <v>0.8</v>
      </c>
      <c r="S25" s="111">
        <v>0.8</v>
      </c>
      <c r="T25" s="111">
        <v>0.8</v>
      </c>
      <c r="U25" s="111">
        <v>0</v>
      </c>
      <c r="V25" s="111">
        <v>0.8</v>
      </c>
      <c r="W25" s="111">
        <v>0</v>
      </c>
      <c r="X25" s="111">
        <v>0.8</v>
      </c>
      <c r="Y25" s="111">
        <v>0.8</v>
      </c>
      <c r="Z25" s="111">
        <v>0</v>
      </c>
      <c r="AA25" s="111">
        <v>0</v>
      </c>
      <c r="AB25" s="111">
        <v>0</v>
      </c>
      <c r="AC25" s="111">
        <v>0</v>
      </c>
      <c r="AD25" s="111">
        <v>0</v>
      </c>
      <c r="AE25" s="111">
        <v>0.8</v>
      </c>
      <c r="AF25" s="111">
        <v>0</v>
      </c>
      <c r="AG25" s="111">
        <v>0</v>
      </c>
      <c r="AH25" s="111">
        <v>0</v>
      </c>
      <c r="AI25" s="111">
        <v>0</v>
      </c>
      <c r="AJ25" s="111">
        <v>0</v>
      </c>
      <c r="AK25" s="111">
        <v>0</v>
      </c>
    </row>
    <row r="26" spans="1:37" customFormat="1" x14ac:dyDescent="0.15">
      <c r="A26" s="190" t="s">
        <v>215</v>
      </c>
      <c r="B26" s="111">
        <v>0</v>
      </c>
      <c r="C26" s="111">
        <v>0.8</v>
      </c>
      <c r="D26" s="111">
        <v>0</v>
      </c>
      <c r="E26" s="111">
        <v>0.8</v>
      </c>
      <c r="F26" s="111">
        <v>0.8</v>
      </c>
      <c r="G26" s="111">
        <v>0.8</v>
      </c>
      <c r="H26" s="111">
        <v>0.8</v>
      </c>
      <c r="I26" s="111">
        <v>0.8</v>
      </c>
      <c r="J26" s="111">
        <v>0.8</v>
      </c>
      <c r="K26" s="111">
        <v>0</v>
      </c>
      <c r="L26" s="111">
        <v>0</v>
      </c>
      <c r="M26" s="111">
        <v>0</v>
      </c>
      <c r="N26" s="111">
        <v>0</v>
      </c>
      <c r="O26" s="111">
        <v>0.8</v>
      </c>
      <c r="P26" s="111">
        <v>0.8</v>
      </c>
      <c r="Q26" s="111">
        <v>0.8</v>
      </c>
      <c r="R26" s="111">
        <v>0.8</v>
      </c>
      <c r="S26" s="111">
        <v>0.8</v>
      </c>
      <c r="T26" s="111">
        <v>0.8</v>
      </c>
      <c r="U26" s="111">
        <v>0</v>
      </c>
      <c r="V26" s="111">
        <v>0</v>
      </c>
      <c r="W26" s="111">
        <v>0</v>
      </c>
      <c r="X26" s="111">
        <v>0.8</v>
      </c>
      <c r="Y26" s="111">
        <v>0.8</v>
      </c>
      <c r="Z26" s="111">
        <v>0</v>
      </c>
      <c r="AA26" s="111">
        <v>0</v>
      </c>
      <c r="AB26" s="111">
        <v>0</v>
      </c>
      <c r="AC26" s="111">
        <v>0</v>
      </c>
      <c r="AD26" s="111">
        <v>0</v>
      </c>
      <c r="AE26" s="111">
        <v>0.8</v>
      </c>
      <c r="AF26" s="111">
        <v>0</v>
      </c>
      <c r="AG26" s="111">
        <v>0</v>
      </c>
      <c r="AH26" s="111">
        <v>0</v>
      </c>
      <c r="AI26" s="111">
        <v>0</v>
      </c>
      <c r="AJ26" s="111">
        <v>0</v>
      </c>
      <c r="AK26" s="111">
        <v>0</v>
      </c>
    </row>
    <row r="27" spans="1:37" customFormat="1" x14ac:dyDescent="0.15">
      <c r="A27" s="190" t="s">
        <v>216</v>
      </c>
      <c r="B27" s="111">
        <v>0.8</v>
      </c>
      <c r="C27" s="111">
        <v>0.8</v>
      </c>
      <c r="D27" s="111">
        <v>0</v>
      </c>
      <c r="E27" s="111">
        <v>0.8</v>
      </c>
      <c r="F27" s="111">
        <v>0.8</v>
      </c>
      <c r="G27" s="111">
        <v>0.8</v>
      </c>
      <c r="H27" s="111">
        <v>0.8</v>
      </c>
      <c r="I27" s="111">
        <v>0.8</v>
      </c>
      <c r="J27" s="111">
        <v>0.8</v>
      </c>
      <c r="K27" s="111">
        <v>0</v>
      </c>
      <c r="L27" s="111">
        <v>0</v>
      </c>
      <c r="M27" s="111">
        <v>0</v>
      </c>
      <c r="N27" s="111">
        <v>0.8</v>
      </c>
      <c r="O27" s="111">
        <v>0.8</v>
      </c>
      <c r="P27" s="111">
        <v>0.8</v>
      </c>
      <c r="Q27" s="111">
        <v>0.8</v>
      </c>
      <c r="R27" s="111">
        <v>0.8</v>
      </c>
      <c r="S27" s="111">
        <v>0.8</v>
      </c>
      <c r="T27" s="111">
        <v>0.8</v>
      </c>
      <c r="U27" s="111">
        <v>0</v>
      </c>
      <c r="V27" s="111">
        <v>0.8</v>
      </c>
      <c r="W27" s="111">
        <v>0</v>
      </c>
      <c r="X27" s="111">
        <v>0.8</v>
      </c>
      <c r="Y27" s="111">
        <v>0.8</v>
      </c>
      <c r="Z27" s="111">
        <v>0</v>
      </c>
      <c r="AA27" s="111">
        <v>0.8</v>
      </c>
      <c r="AB27" s="111">
        <v>0.8</v>
      </c>
      <c r="AC27" s="111">
        <v>0</v>
      </c>
      <c r="AD27" s="111">
        <v>0</v>
      </c>
      <c r="AE27" s="111">
        <v>0.8</v>
      </c>
      <c r="AF27" s="111">
        <v>0</v>
      </c>
      <c r="AG27" s="111">
        <v>0</v>
      </c>
      <c r="AH27" s="111">
        <v>0</v>
      </c>
      <c r="AI27" s="111">
        <v>0</v>
      </c>
      <c r="AJ27" s="111">
        <v>0</v>
      </c>
      <c r="AK27" s="111">
        <v>0</v>
      </c>
    </row>
    <row r="28" spans="1:37" customFormat="1" x14ac:dyDescent="0.15">
      <c r="A28" s="190" t="s">
        <v>217</v>
      </c>
      <c r="B28" s="111">
        <v>0.8</v>
      </c>
      <c r="C28" s="111">
        <v>0</v>
      </c>
      <c r="D28" s="111">
        <v>0</v>
      </c>
      <c r="E28" s="111">
        <v>0</v>
      </c>
      <c r="F28" s="111">
        <v>0.8</v>
      </c>
      <c r="G28" s="111">
        <v>0.8</v>
      </c>
      <c r="H28" s="111">
        <v>0.8</v>
      </c>
      <c r="I28" s="111">
        <v>0</v>
      </c>
      <c r="J28" s="111">
        <v>0</v>
      </c>
      <c r="K28" s="111">
        <v>0</v>
      </c>
      <c r="L28" s="111">
        <v>0</v>
      </c>
      <c r="M28" s="111">
        <v>0</v>
      </c>
      <c r="N28" s="111">
        <v>0</v>
      </c>
      <c r="O28" s="111">
        <v>0</v>
      </c>
      <c r="P28" s="111">
        <v>0</v>
      </c>
      <c r="Q28" s="111">
        <v>0</v>
      </c>
      <c r="R28" s="111">
        <v>0</v>
      </c>
      <c r="S28" s="111">
        <v>0.8</v>
      </c>
      <c r="T28" s="111">
        <v>0</v>
      </c>
      <c r="U28" s="111">
        <v>0</v>
      </c>
      <c r="V28" s="111">
        <v>0</v>
      </c>
      <c r="W28" s="111">
        <v>0</v>
      </c>
      <c r="X28" s="111">
        <v>0</v>
      </c>
      <c r="Y28" s="111">
        <v>0.8</v>
      </c>
      <c r="Z28" s="111">
        <v>0</v>
      </c>
      <c r="AA28" s="111">
        <v>0</v>
      </c>
      <c r="AB28" s="111">
        <v>0.8</v>
      </c>
      <c r="AC28" s="111">
        <v>0</v>
      </c>
      <c r="AD28" s="111">
        <v>0</v>
      </c>
      <c r="AE28" s="111">
        <v>0.8</v>
      </c>
      <c r="AF28" s="111">
        <v>0</v>
      </c>
      <c r="AG28" s="111">
        <v>0</v>
      </c>
      <c r="AH28" s="111">
        <v>0</v>
      </c>
      <c r="AI28" s="111">
        <v>0</v>
      </c>
      <c r="AJ28" s="111">
        <v>0</v>
      </c>
      <c r="AK28" s="111">
        <v>0</v>
      </c>
    </row>
    <row r="29" spans="1:37" customFormat="1" x14ac:dyDescent="0.15">
      <c r="A29" s="190" t="s">
        <v>218</v>
      </c>
      <c r="B29" s="111">
        <v>0.8</v>
      </c>
      <c r="C29" s="111">
        <v>0.8</v>
      </c>
      <c r="D29" s="111">
        <v>0</v>
      </c>
      <c r="E29" s="111">
        <v>0</v>
      </c>
      <c r="F29" s="111">
        <v>0.8</v>
      </c>
      <c r="G29" s="111">
        <v>0.8</v>
      </c>
      <c r="H29" s="111">
        <v>0.8</v>
      </c>
      <c r="I29" s="111">
        <v>0</v>
      </c>
      <c r="J29" s="111">
        <v>0</v>
      </c>
      <c r="K29" s="111">
        <v>0</v>
      </c>
      <c r="L29" s="111">
        <v>0</v>
      </c>
      <c r="M29" s="111">
        <v>0</v>
      </c>
      <c r="N29" s="111">
        <v>0</v>
      </c>
      <c r="O29" s="111">
        <v>0</v>
      </c>
      <c r="P29" s="111">
        <v>0</v>
      </c>
      <c r="Q29" s="111">
        <v>0</v>
      </c>
      <c r="R29" s="111">
        <v>0</v>
      </c>
      <c r="S29" s="111">
        <v>0.8</v>
      </c>
      <c r="T29" s="111">
        <v>0</v>
      </c>
      <c r="U29" s="111">
        <v>0</v>
      </c>
      <c r="V29" s="111">
        <v>0</v>
      </c>
      <c r="W29" s="111">
        <v>0</v>
      </c>
      <c r="X29" s="111">
        <v>0</v>
      </c>
      <c r="Y29" s="111">
        <v>0.8</v>
      </c>
      <c r="Z29" s="111">
        <v>0</v>
      </c>
      <c r="AA29" s="111">
        <v>0</v>
      </c>
      <c r="AB29" s="111">
        <v>0.8</v>
      </c>
      <c r="AC29" s="111">
        <v>0</v>
      </c>
      <c r="AD29" s="111">
        <v>0</v>
      </c>
      <c r="AE29" s="111">
        <v>0.8</v>
      </c>
      <c r="AF29" s="111">
        <v>0</v>
      </c>
      <c r="AG29" s="111">
        <v>0</v>
      </c>
      <c r="AH29" s="111">
        <v>0</v>
      </c>
      <c r="AI29" s="111">
        <v>0</v>
      </c>
      <c r="AJ29" s="111">
        <v>0</v>
      </c>
      <c r="AK29" s="111">
        <v>0</v>
      </c>
    </row>
    <row r="30" spans="1:37" customFormat="1" x14ac:dyDescent="0.15">
      <c r="A30" s="190" t="s">
        <v>219</v>
      </c>
      <c r="B30" s="111">
        <v>0</v>
      </c>
      <c r="C30" s="111">
        <v>0</v>
      </c>
      <c r="D30" s="111">
        <v>0</v>
      </c>
      <c r="E30" s="111">
        <v>0.8</v>
      </c>
      <c r="F30" s="111">
        <v>0.8</v>
      </c>
      <c r="G30" s="111">
        <v>0.8</v>
      </c>
      <c r="H30" s="111">
        <v>0.8</v>
      </c>
      <c r="I30" s="111">
        <v>0.8</v>
      </c>
      <c r="J30" s="111">
        <v>0.8</v>
      </c>
      <c r="K30" s="111">
        <v>0</v>
      </c>
      <c r="L30" s="111">
        <v>0</v>
      </c>
      <c r="M30" s="111">
        <v>0.8</v>
      </c>
      <c r="N30" s="111">
        <v>0.8</v>
      </c>
      <c r="O30" s="111">
        <v>0.8</v>
      </c>
      <c r="P30" s="111">
        <v>0.8</v>
      </c>
      <c r="Q30" s="111">
        <v>0.8</v>
      </c>
      <c r="R30" s="111">
        <v>0.8</v>
      </c>
      <c r="S30" s="111">
        <v>0.8</v>
      </c>
      <c r="T30" s="111">
        <v>0.8</v>
      </c>
      <c r="U30" s="111">
        <v>0.8</v>
      </c>
      <c r="V30" s="111">
        <v>0.8</v>
      </c>
      <c r="W30" s="111">
        <v>0.8</v>
      </c>
      <c r="X30" s="111">
        <v>0.8</v>
      </c>
      <c r="Y30" s="111">
        <v>0.8</v>
      </c>
      <c r="Z30" s="111">
        <v>0.8</v>
      </c>
      <c r="AA30" s="111">
        <v>0.8</v>
      </c>
      <c r="AB30" s="111">
        <v>0.8</v>
      </c>
      <c r="AC30" s="111">
        <v>0.8</v>
      </c>
      <c r="AD30" s="111">
        <v>0.8</v>
      </c>
      <c r="AE30" s="111">
        <v>0.8</v>
      </c>
      <c r="AF30" s="111">
        <v>0</v>
      </c>
      <c r="AG30" s="111">
        <v>0</v>
      </c>
      <c r="AH30" s="111">
        <v>0</v>
      </c>
      <c r="AI30" s="111">
        <v>0</v>
      </c>
      <c r="AJ30" s="111">
        <v>0</v>
      </c>
      <c r="AK30" s="111">
        <v>0</v>
      </c>
    </row>
    <row r="31" spans="1:37" customFormat="1" x14ac:dyDescent="0.15">
      <c r="A31" s="190" t="s">
        <v>220</v>
      </c>
      <c r="B31" s="111">
        <v>0.8</v>
      </c>
      <c r="C31" s="111">
        <v>0.8</v>
      </c>
      <c r="D31" s="111">
        <v>0</v>
      </c>
      <c r="E31" s="111">
        <v>0.8</v>
      </c>
      <c r="F31" s="111">
        <v>0.8</v>
      </c>
      <c r="G31" s="111">
        <v>0.8</v>
      </c>
      <c r="H31" s="111">
        <v>0.8</v>
      </c>
      <c r="I31" s="111">
        <v>0.8</v>
      </c>
      <c r="J31" s="111">
        <v>0.8</v>
      </c>
      <c r="K31" s="111">
        <v>0</v>
      </c>
      <c r="L31" s="111">
        <v>0</v>
      </c>
      <c r="M31" s="111">
        <v>0</v>
      </c>
      <c r="N31" s="111">
        <v>0</v>
      </c>
      <c r="O31" s="111">
        <v>0.8</v>
      </c>
      <c r="P31" s="111">
        <v>0</v>
      </c>
      <c r="Q31" s="111">
        <v>0</v>
      </c>
      <c r="R31" s="111">
        <v>0</v>
      </c>
      <c r="S31" s="111">
        <v>0.8</v>
      </c>
      <c r="T31" s="111">
        <v>0</v>
      </c>
      <c r="U31" s="111">
        <v>0</v>
      </c>
      <c r="V31" s="111">
        <v>0.8</v>
      </c>
      <c r="W31" s="111">
        <v>0</v>
      </c>
      <c r="X31" s="111">
        <v>0.8</v>
      </c>
      <c r="Y31" s="111">
        <v>0.8</v>
      </c>
      <c r="Z31" s="111">
        <v>0</v>
      </c>
      <c r="AA31" s="111">
        <v>0.8</v>
      </c>
      <c r="AB31" s="111">
        <v>0.8</v>
      </c>
      <c r="AC31" s="111">
        <v>0.8</v>
      </c>
      <c r="AD31" s="111">
        <v>0</v>
      </c>
      <c r="AE31" s="111">
        <v>0.8</v>
      </c>
      <c r="AF31" s="111">
        <v>0</v>
      </c>
      <c r="AG31" s="111">
        <v>0</v>
      </c>
      <c r="AH31" s="111">
        <v>0</v>
      </c>
      <c r="AI31" s="111">
        <v>0</v>
      </c>
      <c r="AJ31" s="111">
        <v>0</v>
      </c>
      <c r="AK31" s="111">
        <v>0</v>
      </c>
    </row>
    <row r="32" spans="1:37" customFormat="1" x14ac:dyDescent="0.15">
      <c r="A32" s="190" t="s">
        <v>221</v>
      </c>
      <c r="B32" s="111">
        <v>0</v>
      </c>
      <c r="C32" s="111">
        <v>0.8</v>
      </c>
      <c r="D32" s="111">
        <v>0</v>
      </c>
      <c r="E32" s="111">
        <v>0.8</v>
      </c>
      <c r="F32" s="111">
        <v>0.8</v>
      </c>
      <c r="G32" s="111">
        <v>0.8</v>
      </c>
      <c r="H32" s="111">
        <v>0.8</v>
      </c>
      <c r="I32" s="111">
        <v>0.8</v>
      </c>
      <c r="J32" s="111">
        <v>0.8</v>
      </c>
      <c r="K32" s="111">
        <v>0.8</v>
      </c>
      <c r="L32" s="111">
        <v>0.8</v>
      </c>
      <c r="M32" s="111">
        <v>0.8</v>
      </c>
      <c r="N32" s="111">
        <v>0.8</v>
      </c>
      <c r="O32" s="111">
        <v>0.8</v>
      </c>
      <c r="P32" s="111">
        <v>0.8</v>
      </c>
      <c r="Q32" s="111">
        <v>0.8</v>
      </c>
      <c r="R32" s="111">
        <v>0</v>
      </c>
      <c r="S32" s="111">
        <v>0.8</v>
      </c>
      <c r="T32" s="111">
        <v>0.8</v>
      </c>
      <c r="U32" s="111">
        <v>0.8</v>
      </c>
      <c r="V32" s="111">
        <v>0.8</v>
      </c>
      <c r="W32" s="111">
        <v>0.8</v>
      </c>
      <c r="X32" s="111">
        <v>0.8</v>
      </c>
      <c r="Y32" s="111">
        <v>0.8</v>
      </c>
      <c r="Z32" s="111">
        <v>0.8</v>
      </c>
      <c r="AA32" s="111">
        <v>0.8</v>
      </c>
      <c r="AB32" s="111">
        <v>0.8</v>
      </c>
      <c r="AC32" s="111">
        <v>0.8</v>
      </c>
      <c r="AD32" s="111">
        <v>0.8</v>
      </c>
      <c r="AE32" s="111">
        <v>0.8</v>
      </c>
      <c r="AF32" s="111">
        <v>0.8</v>
      </c>
      <c r="AG32" s="111">
        <v>0</v>
      </c>
      <c r="AH32" s="111">
        <v>0</v>
      </c>
      <c r="AI32" s="111">
        <v>0</v>
      </c>
      <c r="AJ32" s="111">
        <v>0</v>
      </c>
      <c r="AK32" s="111">
        <v>0</v>
      </c>
    </row>
    <row r="33" spans="1:37" x14ac:dyDescent="0.15">
      <c r="A33" s="190" t="s">
        <v>222</v>
      </c>
      <c r="B33" s="111">
        <v>0.8</v>
      </c>
      <c r="C33" s="111">
        <v>0</v>
      </c>
      <c r="D33" s="111">
        <v>0.8</v>
      </c>
      <c r="E33" s="111">
        <v>0.8</v>
      </c>
      <c r="F33" s="111">
        <v>0.8</v>
      </c>
      <c r="G33" s="111">
        <v>0.8</v>
      </c>
      <c r="H33" s="111">
        <v>0.8</v>
      </c>
      <c r="I33" s="111">
        <v>0.8</v>
      </c>
      <c r="J33" s="111">
        <v>0.8</v>
      </c>
      <c r="K33" s="111">
        <v>0.8</v>
      </c>
      <c r="L33" s="111">
        <v>0</v>
      </c>
      <c r="M33" s="111">
        <v>0.8</v>
      </c>
      <c r="N33" s="111">
        <v>0.8</v>
      </c>
      <c r="O33" s="111">
        <v>0.8</v>
      </c>
      <c r="P33" s="111">
        <v>0.8</v>
      </c>
      <c r="Q33" s="111">
        <v>0.8</v>
      </c>
      <c r="R33" s="111">
        <v>0.8</v>
      </c>
      <c r="S33" s="111">
        <v>0.8</v>
      </c>
      <c r="T33" s="111">
        <v>0.8</v>
      </c>
      <c r="U33" s="111">
        <v>0.8</v>
      </c>
      <c r="V33" s="111">
        <v>0.8</v>
      </c>
      <c r="W33" s="111">
        <v>0.8</v>
      </c>
      <c r="X33" s="111">
        <v>0.8</v>
      </c>
      <c r="Y33" s="111">
        <v>0.8</v>
      </c>
      <c r="Z33" s="111">
        <v>0.8</v>
      </c>
      <c r="AA33" s="111">
        <v>0.8</v>
      </c>
      <c r="AB33" s="111">
        <v>0.8</v>
      </c>
      <c r="AC33" s="111">
        <v>0.8</v>
      </c>
      <c r="AD33" s="111">
        <v>0.8</v>
      </c>
      <c r="AE33" s="111">
        <v>0.8</v>
      </c>
      <c r="AF33" s="111">
        <v>0</v>
      </c>
      <c r="AG33" s="111">
        <v>0.8</v>
      </c>
      <c r="AH33" s="111">
        <v>0</v>
      </c>
      <c r="AI33" s="111">
        <v>0</v>
      </c>
      <c r="AJ33" s="111">
        <v>0</v>
      </c>
      <c r="AK33" s="111">
        <v>0</v>
      </c>
    </row>
    <row r="34" spans="1:37" x14ac:dyDescent="0.15">
      <c r="A34" s="190" t="s">
        <v>223</v>
      </c>
      <c r="B34" s="111">
        <v>0</v>
      </c>
      <c r="C34" s="111">
        <v>0</v>
      </c>
      <c r="D34" s="111">
        <v>0</v>
      </c>
      <c r="E34" s="111">
        <v>0</v>
      </c>
      <c r="F34" s="111">
        <v>0</v>
      </c>
      <c r="G34" s="111">
        <v>0</v>
      </c>
      <c r="H34" s="111">
        <v>0.8</v>
      </c>
      <c r="I34" s="111">
        <v>0.8</v>
      </c>
      <c r="J34" s="111">
        <v>0.8</v>
      </c>
      <c r="K34" s="111">
        <v>0.8</v>
      </c>
      <c r="L34" s="111">
        <v>0.8</v>
      </c>
      <c r="M34" s="111">
        <v>0.8</v>
      </c>
      <c r="N34" s="111">
        <v>0</v>
      </c>
      <c r="O34" s="111">
        <v>0</v>
      </c>
      <c r="P34" s="111">
        <v>0</v>
      </c>
      <c r="Q34" s="111">
        <v>0</v>
      </c>
      <c r="R34" s="111">
        <v>0</v>
      </c>
      <c r="S34" s="111">
        <v>0.8</v>
      </c>
      <c r="T34" s="111">
        <v>0</v>
      </c>
      <c r="U34" s="111">
        <v>0.8</v>
      </c>
      <c r="V34" s="111">
        <v>0</v>
      </c>
      <c r="W34" s="111">
        <v>0</v>
      </c>
      <c r="X34" s="111">
        <v>0.8</v>
      </c>
      <c r="Y34" s="111">
        <v>0.8</v>
      </c>
      <c r="Z34" s="111">
        <v>0.8</v>
      </c>
      <c r="AA34" s="111">
        <v>0.8</v>
      </c>
      <c r="AB34" s="111">
        <v>0.8</v>
      </c>
      <c r="AC34" s="111">
        <v>0.8</v>
      </c>
      <c r="AD34" s="111">
        <v>0.8</v>
      </c>
      <c r="AE34" s="111">
        <v>0.8</v>
      </c>
      <c r="AF34" s="111">
        <v>0.8</v>
      </c>
      <c r="AG34" s="111">
        <v>0.8</v>
      </c>
      <c r="AH34" s="111">
        <v>0</v>
      </c>
      <c r="AI34" s="111">
        <v>0</v>
      </c>
      <c r="AJ34" s="111">
        <v>0</v>
      </c>
      <c r="AK34" s="111">
        <v>0</v>
      </c>
    </row>
    <row r="35" spans="1:37" x14ac:dyDescent="0.15">
      <c r="A35" s="190" t="s">
        <v>224</v>
      </c>
      <c r="B35" s="111">
        <v>0</v>
      </c>
      <c r="C35" s="111">
        <v>0</v>
      </c>
      <c r="D35" s="111">
        <v>0.8</v>
      </c>
      <c r="E35" s="111">
        <v>0</v>
      </c>
      <c r="F35" s="111">
        <v>0</v>
      </c>
      <c r="G35" s="111">
        <v>0</v>
      </c>
      <c r="H35" s="111">
        <v>0</v>
      </c>
      <c r="I35" s="111">
        <v>0</v>
      </c>
      <c r="J35" s="111">
        <v>0</v>
      </c>
      <c r="K35" s="111">
        <v>0.8</v>
      </c>
      <c r="L35" s="111">
        <v>0.8</v>
      </c>
      <c r="M35" s="111">
        <v>0.8</v>
      </c>
      <c r="N35" s="111">
        <v>0</v>
      </c>
      <c r="O35" s="111">
        <v>0</v>
      </c>
      <c r="P35" s="111">
        <v>0</v>
      </c>
      <c r="Q35" s="111">
        <v>0</v>
      </c>
      <c r="R35" s="111">
        <v>0</v>
      </c>
      <c r="S35" s="111">
        <v>0.8</v>
      </c>
      <c r="T35" s="111">
        <v>0</v>
      </c>
      <c r="U35" s="111">
        <v>0.8</v>
      </c>
      <c r="V35" s="111">
        <v>0.8</v>
      </c>
      <c r="W35" s="111">
        <v>0.8</v>
      </c>
      <c r="X35" s="111">
        <v>0</v>
      </c>
      <c r="Y35" s="111">
        <v>0</v>
      </c>
      <c r="Z35" s="111">
        <v>0.8</v>
      </c>
      <c r="AA35" s="111">
        <v>0.8</v>
      </c>
      <c r="AB35" s="111">
        <v>0</v>
      </c>
      <c r="AC35" s="111">
        <v>0</v>
      </c>
      <c r="AD35" s="111">
        <v>0</v>
      </c>
      <c r="AE35" s="111">
        <v>0</v>
      </c>
      <c r="AF35" s="111">
        <v>0.8</v>
      </c>
      <c r="AG35" s="111">
        <v>0.8</v>
      </c>
      <c r="AH35" s="111">
        <v>0.8</v>
      </c>
      <c r="AI35" s="111">
        <v>0</v>
      </c>
      <c r="AJ35" s="111">
        <v>0</v>
      </c>
      <c r="AK35" s="111">
        <v>0</v>
      </c>
    </row>
    <row r="36" spans="1:37" x14ac:dyDescent="0.15">
      <c r="A36" s="190" t="s">
        <v>225</v>
      </c>
      <c r="B36" s="111">
        <v>0</v>
      </c>
      <c r="C36" s="111">
        <v>0</v>
      </c>
      <c r="D36" s="111">
        <v>0</v>
      </c>
      <c r="E36" s="111">
        <v>0</v>
      </c>
      <c r="F36" s="111">
        <v>0</v>
      </c>
      <c r="G36" s="111">
        <v>0.8</v>
      </c>
      <c r="H36" s="111">
        <v>0</v>
      </c>
      <c r="I36" s="111">
        <v>0.8</v>
      </c>
      <c r="J36" s="111">
        <v>0.8</v>
      </c>
      <c r="K36" s="111">
        <v>0.8</v>
      </c>
      <c r="L36" s="111">
        <v>0</v>
      </c>
      <c r="M36" s="111">
        <v>0.8</v>
      </c>
      <c r="N36" s="111">
        <v>0</v>
      </c>
      <c r="O36" s="111">
        <v>0</v>
      </c>
      <c r="P36" s="111">
        <v>0</v>
      </c>
      <c r="Q36" s="111">
        <v>0</v>
      </c>
      <c r="R36" s="111">
        <v>0</v>
      </c>
      <c r="S36" s="111">
        <v>0.8</v>
      </c>
      <c r="T36" s="111">
        <v>0</v>
      </c>
      <c r="U36" s="111">
        <v>0.8</v>
      </c>
      <c r="V36" s="111">
        <v>0</v>
      </c>
      <c r="W36" s="111">
        <v>0</v>
      </c>
      <c r="X36" s="111">
        <v>0</v>
      </c>
      <c r="Y36" s="111">
        <v>0.8</v>
      </c>
      <c r="Z36" s="111">
        <v>0.8</v>
      </c>
      <c r="AA36" s="111">
        <v>0.8</v>
      </c>
      <c r="AB36" s="111">
        <v>0</v>
      </c>
      <c r="AC36" s="111">
        <v>0</v>
      </c>
      <c r="AD36" s="111">
        <v>0.8</v>
      </c>
      <c r="AE36" s="111">
        <v>0</v>
      </c>
      <c r="AF36" s="111">
        <v>0.8</v>
      </c>
      <c r="AG36" s="111">
        <v>0.8</v>
      </c>
      <c r="AH36" s="111">
        <v>0.8</v>
      </c>
      <c r="AI36" s="111">
        <v>0</v>
      </c>
      <c r="AJ36" s="111">
        <v>0</v>
      </c>
      <c r="AK36" s="111">
        <v>0</v>
      </c>
    </row>
    <row r="37" spans="1:37" x14ac:dyDescent="0.15">
      <c r="A37" s="190" t="s">
        <v>226</v>
      </c>
      <c r="B37" s="111">
        <v>0</v>
      </c>
      <c r="C37" s="111">
        <v>0</v>
      </c>
      <c r="D37" s="111">
        <v>0</v>
      </c>
      <c r="E37" s="111">
        <v>0</v>
      </c>
      <c r="F37" s="111">
        <v>0</v>
      </c>
      <c r="G37" s="111">
        <v>0</v>
      </c>
      <c r="H37" s="111">
        <v>0</v>
      </c>
      <c r="I37" s="111">
        <v>0</v>
      </c>
      <c r="J37" s="111">
        <v>0</v>
      </c>
      <c r="K37" s="111">
        <v>0</v>
      </c>
      <c r="L37" s="111">
        <v>0</v>
      </c>
      <c r="M37" s="111">
        <v>0</v>
      </c>
      <c r="N37" s="111">
        <v>0</v>
      </c>
      <c r="O37" s="111">
        <v>0</v>
      </c>
      <c r="P37" s="111">
        <v>0</v>
      </c>
      <c r="Q37" s="111">
        <v>0</v>
      </c>
      <c r="R37" s="111">
        <v>0</v>
      </c>
      <c r="S37" s="111">
        <v>0</v>
      </c>
      <c r="T37" s="111">
        <v>0</v>
      </c>
      <c r="U37" s="111">
        <v>0</v>
      </c>
      <c r="V37" s="111">
        <v>0</v>
      </c>
      <c r="W37" s="111">
        <v>0</v>
      </c>
      <c r="X37" s="111">
        <v>0</v>
      </c>
      <c r="Y37" s="111">
        <v>0</v>
      </c>
      <c r="Z37" s="111">
        <v>0</v>
      </c>
      <c r="AA37" s="111">
        <v>0</v>
      </c>
      <c r="AB37" s="111">
        <v>0</v>
      </c>
      <c r="AC37" s="111">
        <v>0</v>
      </c>
      <c r="AD37" s="111">
        <v>0</v>
      </c>
      <c r="AE37" s="111">
        <v>0</v>
      </c>
      <c r="AF37" s="111">
        <v>0</v>
      </c>
      <c r="AG37" s="111">
        <v>0</v>
      </c>
      <c r="AH37" s="111">
        <v>0</v>
      </c>
      <c r="AI37" s="111">
        <v>0</v>
      </c>
      <c r="AJ37" s="111">
        <v>0</v>
      </c>
      <c r="AK37" s="111">
        <v>0</v>
      </c>
    </row>
    <row r="38" spans="1:37" x14ac:dyDescent="0.15">
      <c r="A38" s="190" t="s">
        <v>229</v>
      </c>
      <c r="B38" s="111">
        <v>0.8</v>
      </c>
      <c r="C38" s="111">
        <v>0.8</v>
      </c>
      <c r="D38" s="111">
        <v>0</v>
      </c>
      <c r="E38" s="111">
        <v>0.8</v>
      </c>
      <c r="F38" s="111">
        <v>0.8</v>
      </c>
      <c r="G38" s="111">
        <v>0.8</v>
      </c>
      <c r="H38" s="111">
        <v>0.8</v>
      </c>
      <c r="I38" s="111">
        <v>0</v>
      </c>
      <c r="J38" s="111">
        <v>0</v>
      </c>
      <c r="K38" s="111">
        <v>0.8</v>
      </c>
      <c r="L38" s="111">
        <v>0</v>
      </c>
      <c r="M38" s="111">
        <v>0</v>
      </c>
      <c r="N38" s="111">
        <v>0</v>
      </c>
      <c r="O38" s="111">
        <v>0</v>
      </c>
      <c r="P38" s="111">
        <v>0</v>
      </c>
      <c r="Q38" s="111">
        <v>0</v>
      </c>
      <c r="R38" s="111">
        <v>0</v>
      </c>
      <c r="S38" s="111">
        <v>0.8</v>
      </c>
      <c r="T38" s="111">
        <v>0</v>
      </c>
      <c r="U38" s="111">
        <v>0</v>
      </c>
      <c r="V38" s="111">
        <v>0</v>
      </c>
      <c r="W38" s="111">
        <v>0</v>
      </c>
      <c r="X38" s="111">
        <v>0</v>
      </c>
      <c r="Y38" s="111">
        <v>0</v>
      </c>
      <c r="Z38" s="111">
        <v>0</v>
      </c>
      <c r="AA38" s="111">
        <v>0</v>
      </c>
      <c r="AB38" s="111">
        <v>0.8</v>
      </c>
      <c r="AC38" s="111">
        <v>0.8</v>
      </c>
      <c r="AD38" s="111">
        <v>0</v>
      </c>
      <c r="AE38" s="111">
        <v>0.8</v>
      </c>
      <c r="AF38" s="111">
        <v>0</v>
      </c>
      <c r="AG38" s="111">
        <v>0</v>
      </c>
      <c r="AH38" s="111">
        <v>0</v>
      </c>
      <c r="AI38" s="111">
        <v>0</v>
      </c>
      <c r="AJ38" s="111">
        <v>0</v>
      </c>
      <c r="AK38" s="111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K38"/>
  <sheetViews>
    <sheetView workbookViewId="0">
      <selection activeCell="A3" sqref="A3"/>
    </sheetView>
  </sheetViews>
  <sheetFormatPr baseColWidth="10" defaultRowHeight="13" x14ac:dyDescent="0.15"/>
  <cols>
    <col min="1" max="1" width="22.5" style="111" bestFit="1" customWidth="1"/>
    <col min="2" max="37" width="2.33203125" style="111" customWidth="1"/>
    <col min="38" max="16384" width="10.83203125" style="111"/>
  </cols>
  <sheetData>
    <row r="1" spans="1:37" x14ac:dyDescent="0.15">
      <c r="A1" s="63" t="s">
        <v>139</v>
      </c>
      <c r="B1" s="193" t="s">
        <v>191</v>
      </c>
      <c r="C1" s="193" t="s">
        <v>192</v>
      </c>
      <c r="D1" s="193" t="s">
        <v>193</v>
      </c>
      <c r="E1" s="193" t="s">
        <v>194</v>
      </c>
      <c r="F1" s="193" t="s">
        <v>195</v>
      </c>
      <c r="G1" s="193" t="s">
        <v>196</v>
      </c>
      <c r="H1" s="193" t="s">
        <v>197</v>
      </c>
      <c r="I1" s="193" t="s">
        <v>198</v>
      </c>
      <c r="J1" s="193" t="s">
        <v>199</v>
      </c>
      <c r="K1" s="193" t="s">
        <v>200</v>
      </c>
      <c r="L1" s="193" t="s">
        <v>201</v>
      </c>
      <c r="M1" s="193" t="s">
        <v>202</v>
      </c>
      <c r="N1" s="193" t="s">
        <v>203</v>
      </c>
      <c r="O1" s="193" t="s">
        <v>204</v>
      </c>
      <c r="P1" s="193" t="s">
        <v>205</v>
      </c>
      <c r="Q1" s="193" t="s">
        <v>206</v>
      </c>
      <c r="R1" s="193" t="s">
        <v>207</v>
      </c>
      <c r="S1" s="193" t="s">
        <v>208</v>
      </c>
      <c r="T1" s="193" t="s">
        <v>209</v>
      </c>
      <c r="U1" s="193" t="s">
        <v>210</v>
      </c>
      <c r="V1" s="193" t="s">
        <v>211</v>
      </c>
      <c r="W1" s="193" t="s">
        <v>212</v>
      </c>
      <c r="X1" s="193" t="s">
        <v>213</v>
      </c>
      <c r="Y1" s="193" t="s">
        <v>214</v>
      </c>
      <c r="Z1" s="193" t="s">
        <v>215</v>
      </c>
      <c r="AA1" s="193" t="s">
        <v>216</v>
      </c>
      <c r="AB1" s="193" t="s">
        <v>217</v>
      </c>
      <c r="AC1" s="193" t="s">
        <v>218</v>
      </c>
      <c r="AD1" s="193" t="s">
        <v>219</v>
      </c>
      <c r="AE1" s="193" t="s">
        <v>220</v>
      </c>
      <c r="AF1" s="193" t="s">
        <v>221</v>
      </c>
      <c r="AG1" s="193" t="s">
        <v>222</v>
      </c>
      <c r="AH1" s="193" t="s">
        <v>223</v>
      </c>
      <c r="AI1" s="193" t="s">
        <v>224</v>
      </c>
      <c r="AJ1" s="193" t="s">
        <v>225</v>
      </c>
      <c r="AK1" s="193" t="s">
        <v>226</v>
      </c>
    </row>
    <row r="2" spans="1:37" customFormat="1" x14ac:dyDescent="0.15">
      <c r="A2" s="192" t="s">
        <v>191</v>
      </c>
      <c r="B2" s="111">
        <v>0</v>
      </c>
      <c r="C2" s="111">
        <v>0</v>
      </c>
      <c r="D2" s="111">
        <v>0</v>
      </c>
      <c r="E2" s="111">
        <v>0</v>
      </c>
      <c r="F2" s="111">
        <v>0</v>
      </c>
      <c r="G2" s="111">
        <v>0</v>
      </c>
      <c r="H2" s="111">
        <v>0</v>
      </c>
      <c r="I2" s="111">
        <v>0</v>
      </c>
      <c r="J2" s="111">
        <v>0</v>
      </c>
      <c r="K2" s="111">
        <v>0</v>
      </c>
      <c r="L2" s="111">
        <v>0</v>
      </c>
      <c r="M2" s="111">
        <v>0</v>
      </c>
      <c r="N2" s="111">
        <v>0</v>
      </c>
      <c r="O2" s="111">
        <v>0</v>
      </c>
      <c r="P2" s="111">
        <v>0</v>
      </c>
      <c r="Q2" s="111">
        <v>0</v>
      </c>
      <c r="R2" s="111">
        <v>0</v>
      </c>
      <c r="S2" s="111">
        <v>0</v>
      </c>
      <c r="T2" s="111">
        <v>0</v>
      </c>
      <c r="U2" s="111">
        <v>0</v>
      </c>
      <c r="V2" s="111">
        <v>0</v>
      </c>
      <c r="W2" s="111">
        <v>0</v>
      </c>
      <c r="X2" s="111">
        <v>0</v>
      </c>
      <c r="Y2" s="111">
        <v>0</v>
      </c>
      <c r="Z2" s="111">
        <v>0</v>
      </c>
      <c r="AA2" s="111">
        <v>0</v>
      </c>
      <c r="AB2" s="111">
        <v>0</v>
      </c>
      <c r="AC2" s="111">
        <v>0</v>
      </c>
      <c r="AD2" s="111">
        <v>0</v>
      </c>
      <c r="AE2" s="111">
        <v>0</v>
      </c>
      <c r="AF2" s="111">
        <v>0</v>
      </c>
      <c r="AG2" s="111">
        <v>0</v>
      </c>
      <c r="AH2" s="111">
        <v>0</v>
      </c>
      <c r="AI2" s="111">
        <v>0</v>
      </c>
      <c r="AJ2" s="111">
        <v>0</v>
      </c>
      <c r="AK2" s="111">
        <v>0</v>
      </c>
    </row>
    <row r="3" spans="1:37" customFormat="1" x14ac:dyDescent="0.15">
      <c r="A3" s="192" t="s">
        <v>192</v>
      </c>
      <c r="B3" s="111">
        <v>0</v>
      </c>
      <c r="C3" s="111">
        <v>0</v>
      </c>
      <c r="D3" s="111">
        <v>0</v>
      </c>
      <c r="E3" s="111">
        <v>0</v>
      </c>
      <c r="F3" s="111">
        <v>0</v>
      </c>
      <c r="G3" s="111">
        <v>1</v>
      </c>
      <c r="H3" s="111">
        <v>0</v>
      </c>
      <c r="I3" s="111">
        <v>0</v>
      </c>
      <c r="J3" s="111">
        <v>0</v>
      </c>
      <c r="K3" s="111">
        <v>0</v>
      </c>
      <c r="L3" s="111">
        <v>0</v>
      </c>
      <c r="M3" s="111">
        <v>0</v>
      </c>
      <c r="N3" s="111">
        <v>0</v>
      </c>
      <c r="O3" s="111">
        <v>0</v>
      </c>
      <c r="P3" s="111">
        <v>0</v>
      </c>
      <c r="Q3" s="111">
        <v>0</v>
      </c>
      <c r="R3" s="111">
        <v>0</v>
      </c>
      <c r="S3" s="111">
        <v>0</v>
      </c>
      <c r="T3" s="111">
        <v>0</v>
      </c>
      <c r="U3" s="111">
        <v>0</v>
      </c>
      <c r="V3" s="111">
        <v>0</v>
      </c>
      <c r="W3" s="111">
        <v>0</v>
      </c>
      <c r="X3" s="111">
        <v>0</v>
      </c>
      <c r="Y3" s="111">
        <v>0</v>
      </c>
      <c r="Z3" s="111">
        <v>0</v>
      </c>
      <c r="AA3" s="111">
        <v>0</v>
      </c>
      <c r="AB3" s="111">
        <v>0</v>
      </c>
      <c r="AC3" s="111">
        <v>0</v>
      </c>
      <c r="AD3" s="111">
        <v>0</v>
      </c>
      <c r="AE3" s="111">
        <v>0</v>
      </c>
      <c r="AF3" s="111">
        <v>0</v>
      </c>
      <c r="AG3" s="111">
        <v>0</v>
      </c>
      <c r="AH3" s="111">
        <v>0</v>
      </c>
      <c r="AI3" s="111">
        <v>0</v>
      </c>
      <c r="AJ3" s="111">
        <v>0</v>
      </c>
      <c r="AK3" s="111">
        <v>0</v>
      </c>
    </row>
    <row r="4" spans="1:37" customFormat="1" x14ac:dyDescent="0.15">
      <c r="A4" s="192" t="s">
        <v>193</v>
      </c>
      <c r="B4" s="111">
        <v>0</v>
      </c>
      <c r="C4" s="111">
        <v>0</v>
      </c>
      <c r="D4" s="111">
        <v>0</v>
      </c>
      <c r="E4" s="111">
        <v>0</v>
      </c>
      <c r="F4" s="111">
        <v>0</v>
      </c>
      <c r="G4" s="111">
        <v>0</v>
      </c>
      <c r="H4" s="111">
        <v>0</v>
      </c>
      <c r="I4" s="111">
        <v>0</v>
      </c>
      <c r="J4" s="111">
        <v>0</v>
      </c>
      <c r="K4" s="111">
        <v>0</v>
      </c>
      <c r="L4" s="111">
        <v>0</v>
      </c>
      <c r="M4" s="111">
        <v>0</v>
      </c>
      <c r="N4" s="111">
        <v>0</v>
      </c>
      <c r="O4" s="111">
        <v>0</v>
      </c>
      <c r="P4" s="111">
        <v>0</v>
      </c>
      <c r="Q4" s="111">
        <v>0</v>
      </c>
      <c r="R4" s="111">
        <v>0</v>
      </c>
      <c r="S4" s="111">
        <v>0</v>
      </c>
      <c r="T4" s="111">
        <v>0</v>
      </c>
      <c r="U4" s="111">
        <v>0</v>
      </c>
      <c r="V4" s="111">
        <v>0</v>
      </c>
      <c r="W4" s="111">
        <v>0</v>
      </c>
      <c r="X4" s="111">
        <v>1</v>
      </c>
      <c r="Y4" s="111">
        <v>0</v>
      </c>
      <c r="Z4" s="111">
        <v>0</v>
      </c>
      <c r="AA4" s="111">
        <v>0</v>
      </c>
      <c r="AB4" s="111">
        <v>0</v>
      </c>
      <c r="AC4" s="111">
        <v>0</v>
      </c>
      <c r="AD4" s="111">
        <v>0</v>
      </c>
      <c r="AE4" s="111">
        <v>0</v>
      </c>
      <c r="AF4" s="111">
        <v>0</v>
      </c>
      <c r="AG4" s="111">
        <v>0</v>
      </c>
      <c r="AH4" s="111">
        <v>0</v>
      </c>
      <c r="AI4" s="111">
        <v>0</v>
      </c>
      <c r="AJ4" s="111">
        <v>0</v>
      </c>
      <c r="AK4" s="111">
        <v>0</v>
      </c>
    </row>
    <row r="5" spans="1:37" customFormat="1" x14ac:dyDescent="0.15">
      <c r="A5" s="192" t="s">
        <v>194</v>
      </c>
      <c r="B5" s="111">
        <v>0</v>
      </c>
      <c r="C5" s="111">
        <v>0</v>
      </c>
      <c r="D5" s="111">
        <v>0</v>
      </c>
      <c r="E5" s="111">
        <v>0</v>
      </c>
      <c r="F5" s="111">
        <v>0</v>
      </c>
      <c r="G5" s="111">
        <v>0</v>
      </c>
      <c r="H5" s="111">
        <v>0</v>
      </c>
      <c r="I5" s="111">
        <v>0</v>
      </c>
      <c r="J5" s="111">
        <v>0</v>
      </c>
      <c r="K5" s="111">
        <v>0</v>
      </c>
      <c r="L5" s="111">
        <v>0</v>
      </c>
      <c r="M5" s="111">
        <v>0</v>
      </c>
      <c r="N5" s="111">
        <v>0</v>
      </c>
      <c r="O5" s="111">
        <v>0</v>
      </c>
      <c r="P5" s="111">
        <v>0</v>
      </c>
      <c r="Q5" s="111">
        <v>0</v>
      </c>
      <c r="R5" s="111">
        <v>0</v>
      </c>
      <c r="S5" s="111">
        <v>0</v>
      </c>
      <c r="T5" s="111">
        <v>0</v>
      </c>
      <c r="U5" s="111">
        <v>0</v>
      </c>
      <c r="V5" s="111">
        <v>0</v>
      </c>
      <c r="W5" s="111">
        <v>0</v>
      </c>
      <c r="X5" s="111">
        <v>0</v>
      </c>
      <c r="Y5" s="111">
        <v>0</v>
      </c>
      <c r="Z5" s="111">
        <v>0</v>
      </c>
      <c r="AA5" s="111">
        <v>0</v>
      </c>
      <c r="AB5" s="111">
        <v>0</v>
      </c>
      <c r="AC5" s="111">
        <v>0</v>
      </c>
      <c r="AD5" s="111">
        <v>0</v>
      </c>
      <c r="AE5" s="111">
        <v>0</v>
      </c>
      <c r="AF5" s="111">
        <v>0</v>
      </c>
      <c r="AG5" s="111">
        <v>0</v>
      </c>
      <c r="AH5" s="111">
        <v>0</v>
      </c>
      <c r="AI5" s="111">
        <v>0</v>
      </c>
      <c r="AJ5" s="111">
        <v>0</v>
      </c>
      <c r="AK5" s="111">
        <v>0</v>
      </c>
    </row>
    <row r="6" spans="1:37" customFormat="1" x14ac:dyDescent="0.15">
      <c r="A6" s="192" t="s">
        <v>195</v>
      </c>
      <c r="B6" s="111">
        <v>0</v>
      </c>
      <c r="C6" s="111">
        <v>0</v>
      </c>
      <c r="D6" s="111">
        <v>0</v>
      </c>
      <c r="E6" s="111">
        <v>0</v>
      </c>
      <c r="F6" s="111">
        <v>0</v>
      </c>
      <c r="G6" s="111">
        <v>1</v>
      </c>
      <c r="H6" s="111">
        <v>0</v>
      </c>
      <c r="I6" s="111">
        <v>1</v>
      </c>
      <c r="J6" s="111">
        <v>1</v>
      </c>
      <c r="K6" s="111">
        <v>0</v>
      </c>
      <c r="L6" s="111">
        <v>0</v>
      </c>
      <c r="M6" s="111">
        <v>0</v>
      </c>
      <c r="N6" s="111">
        <v>0</v>
      </c>
      <c r="O6" s="111">
        <v>0</v>
      </c>
      <c r="P6" s="111">
        <v>0</v>
      </c>
      <c r="Q6" s="111">
        <v>0</v>
      </c>
      <c r="R6" s="111">
        <v>0</v>
      </c>
      <c r="S6" s="111">
        <v>0</v>
      </c>
      <c r="T6" s="111">
        <v>0</v>
      </c>
      <c r="U6" s="111">
        <v>0</v>
      </c>
      <c r="V6" s="111">
        <v>0</v>
      </c>
      <c r="W6" s="111">
        <v>0</v>
      </c>
      <c r="X6" s="111">
        <v>0</v>
      </c>
      <c r="Y6" s="111">
        <v>0</v>
      </c>
      <c r="Z6" s="111">
        <v>0</v>
      </c>
      <c r="AA6" s="111">
        <v>0</v>
      </c>
      <c r="AB6" s="111">
        <v>0</v>
      </c>
      <c r="AC6" s="111">
        <v>0</v>
      </c>
      <c r="AD6" s="111">
        <v>0</v>
      </c>
      <c r="AE6" s="111">
        <v>0</v>
      </c>
      <c r="AF6" s="111">
        <v>0</v>
      </c>
      <c r="AG6" s="111">
        <v>0</v>
      </c>
      <c r="AH6" s="111">
        <v>0</v>
      </c>
      <c r="AI6" s="111">
        <v>0</v>
      </c>
      <c r="AJ6" s="111">
        <v>0</v>
      </c>
      <c r="AK6" s="111">
        <v>0</v>
      </c>
    </row>
    <row r="7" spans="1:37" customFormat="1" x14ac:dyDescent="0.15">
      <c r="A7" s="192" t="s">
        <v>196</v>
      </c>
      <c r="B7" s="111">
        <v>0</v>
      </c>
      <c r="C7" s="111">
        <v>0</v>
      </c>
      <c r="D7" s="111">
        <v>0</v>
      </c>
      <c r="E7" s="111">
        <v>0</v>
      </c>
      <c r="F7" s="111">
        <v>0</v>
      </c>
      <c r="G7" s="111">
        <v>1</v>
      </c>
      <c r="H7" s="111">
        <v>0</v>
      </c>
      <c r="I7" s="111">
        <v>0</v>
      </c>
      <c r="J7" s="111">
        <v>0</v>
      </c>
      <c r="K7" s="111">
        <v>0</v>
      </c>
      <c r="L7" s="111">
        <v>0</v>
      </c>
      <c r="M7" s="111">
        <v>0</v>
      </c>
      <c r="N7" s="111">
        <v>0</v>
      </c>
      <c r="O7" s="111">
        <v>0</v>
      </c>
      <c r="P7" s="111">
        <v>0</v>
      </c>
      <c r="Q7" s="111">
        <v>0</v>
      </c>
      <c r="R7" s="111">
        <v>0</v>
      </c>
      <c r="S7" s="111">
        <v>0</v>
      </c>
      <c r="T7" s="111">
        <v>0</v>
      </c>
      <c r="U7" s="111">
        <v>0</v>
      </c>
      <c r="V7" s="111">
        <v>0</v>
      </c>
      <c r="W7" s="111">
        <v>0</v>
      </c>
      <c r="X7" s="111">
        <v>1</v>
      </c>
      <c r="Y7" s="111">
        <v>0</v>
      </c>
      <c r="Z7" s="111">
        <v>0</v>
      </c>
      <c r="AA7" s="111">
        <v>0</v>
      </c>
      <c r="AB7" s="111">
        <v>0</v>
      </c>
      <c r="AC7" s="111">
        <v>0</v>
      </c>
      <c r="AD7" s="111">
        <v>0</v>
      </c>
      <c r="AE7" s="111">
        <v>0</v>
      </c>
      <c r="AF7" s="111">
        <v>0</v>
      </c>
      <c r="AG7" s="111">
        <v>0</v>
      </c>
      <c r="AH7" s="111">
        <v>0</v>
      </c>
      <c r="AI7" s="111">
        <v>0</v>
      </c>
      <c r="AJ7" s="111">
        <v>0</v>
      </c>
      <c r="AK7" s="111">
        <v>0</v>
      </c>
    </row>
    <row r="8" spans="1:37" customFormat="1" x14ac:dyDescent="0.15">
      <c r="A8" s="192" t="s">
        <v>197</v>
      </c>
      <c r="B8" s="111">
        <v>0</v>
      </c>
      <c r="C8" s="111">
        <v>1</v>
      </c>
      <c r="D8" s="111">
        <v>0</v>
      </c>
      <c r="E8" s="111">
        <v>1</v>
      </c>
      <c r="F8" s="111">
        <v>1</v>
      </c>
      <c r="G8" s="111">
        <v>1</v>
      </c>
      <c r="H8" s="111">
        <v>1</v>
      </c>
      <c r="I8" s="111">
        <v>1</v>
      </c>
      <c r="J8" s="111">
        <v>1</v>
      </c>
      <c r="K8" s="111">
        <v>0</v>
      </c>
      <c r="L8" s="111">
        <v>0</v>
      </c>
      <c r="M8" s="111">
        <v>0</v>
      </c>
      <c r="N8" s="111">
        <v>0</v>
      </c>
      <c r="O8" s="111">
        <v>0</v>
      </c>
      <c r="P8" s="111">
        <v>0</v>
      </c>
      <c r="Q8" s="111">
        <v>0</v>
      </c>
      <c r="R8" s="111">
        <v>0</v>
      </c>
      <c r="S8" s="111">
        <v>0</v>
      </c>
      <c r="T8" s="111">
        <v>0</v>
      </c>
      <c r="U8" s="111">
        <v>0</v>
      </c>
      <c r="V8" s="111">
        <v>0</v>
      </c>
      <c r="W8" s="111">
        <v>0</v>
      </c>
      <c r="X8" s="111">
        <v>0</v>
      </c>
      <c r="Y8" s="111">
        <v>0</v>
      </c>
      <c r="Z8" s="111">
        <v>0</v>
      </c>
      <c r="AA8" s="111">
        <v>0</v>
      </c>
      <c r="AB8" s="111">
        <v>0</v>
      </c>
      <c r="AC8" s="111">
        <v>0</v>
      </c>
      <c r="AD8" s="111">
        <v>0</v>
      </c>
      <c r="AE8" s="111">
        <v>0</v>
      </c>
      <c r="AF8" s="111">
        <v>0</v>
      </c>
      <c r="AG8" s="111">
        <v>0</v>
      </c>
      <c r="AH8" s="111">
        <v>0</v>
      </c>
      <c r="AI8" s="111">
        <v>0</v>
      </c>
      <c r="AJ8" s="111">
        <v>0</v>
      </c>
      <c r="AK8" s="111">
        <v>0</v>
      </c>
    </row>
    <row r="9" spans="1:37" customFormat="1" x14ac:dyDescent="0.15">
      <c r="A9" s="192" t="s">
        <v>198</v>
      </c>
      <c r="B9" s="111">
        <v>0</v>
      </c>
      <c r="C9" s="111">
        <v>1</v>
      </c>
      <c r="D9" s="111">
        <v>0</v>
      </c>
      <c r="E9" s="111">
        <v>1</v>
      </c>
      <c r="F9" s="111">
        <v>0</v>
      </c>
      <c r="G9" s="111">
        <v>1</v>
      </c>
      <c r="H9" s="111">
        <v>0</v>
      </c>
      <c r="I9" s="111">
        <v>1</v>
      </c>
      <c r="J9" s="111">
        <v>0</v>
      </c>
      <c r="K9" s="111">
        <v>0</v>
      </c>
      <c r="L9" s="111">
        <v>0</v>
      </c>
      <c r="M9" s="111">
        <v>0</v>
      </c>
      <c r="N9" s="111">
        <v>0</v>
      </c>
      <c r="O9" s="111">
        <v>0</v>
      </c>
      <c r="P9" s="111">
        <v>0</v>
      </c>
      <c r="Q9" s="111">
        <v>0</v>
      </c>
      <c r="R9" s="111">
        <v>0</v>
      </c>
      <c r="S9" s="111">
        <v>0</v>
      </c>
      <c r="T9" s="111">
        <v>0</v>
      </c>
      <c r="U9" s="111">
        <v>0</v>
      </c>
      <c r="V9" s="111">
        <v>0</v>
      </c>
      <c r="W9" s="111">
        <v>0</v>
      </c>
      <c r="X9" s="111">
        <v>0</v>
      </c>
      <c r="Y9" s="111">
        <v>0</v>
      </c>
      <c r="Z9" s="111">
        <v>0</v>
      </c>
      <c r="AA9" s="111">
        <v>0</v>
      </c>
      <c r="AB9" s="111">
        <v>0</v>
      </c>
      <c r="AC9" s="111">
        <v>0</v>
      </c>
      <c r="AD9" s="111">
        <v>0</v>
      </c>
      <c r="AE9" s="111">
        <v>0</v>
      </c>
      <c r="AF9" s="111">
        <v>0</v>
      </c>
      <c r="AG9" s="111">
        <v>0</v>
      </c>
      <c r="AH9" s="111">
        <v>0</v>
      </c>
      <c r="AI9" s="111">
        <v>0</v>
      </c>
      <c r="AJ9" s="111">
        <v>0</v>
      </c>
      <c r="AK9" s="111">
        <v>0</v>
      </c>
    </row>
    <row r="10" spans="1:37" customFormat="1" x14ac:dyDescent="0.15">
      <c r="A10" s="192" t="s">
        <v>199</v>
      </c>
      <c r="B10" s="111">
        <v>0</v>
      </c>
      <c r="C10" s="111">
        <v>1</v>
      </c>
      <c r="D10" s="111">
        <v>0</v>
      </c>
      <c r="E10" s="111">
        <v>1</v>
      </c>
      <c r="F10" s="111">
        <v>0</v>
      </c>
      <c r="G10" s="111">
        <v>1</v>
      </c>
      <c r="H10" s="111">
        <v>0</v>
      </c>
      <c r="I10" s="111">
        <v>1</v>
      </c>
      <c r="J10" s="111">
        <v>1</v>
      </c>
      <c r="K10" s="111">
        <v>0</v>
      </c>
      <c r="L10" s="111">
        <v>0</v>
      </c>
      <c r="M10" s="111">
        <v>0</v>
      </c>
      <c r="N10" s="111">
        <v>0</v>
      </c>
      <c r="O10" s="111">
        <v>0</v>
      </c>
      <c r="P10" s="111">
        <v>0</v>
      </c>
      <c r="Q10" s="111">
        <v>0</v>
      </c>
      <c r="R10" s="111">
        <v>0</v>
      </c>
      <c r="S10" s="111">
        <v>0</v>
      </c>
      <c r="T10" s="111">
        <v>0</v>
      </c>
      <c r="U10" s="111">
        <v>0</v>
      </c>
      <c r="V10" s="111">
        <v>0</v>
      </c>
      <c r="W10" s="111">
        <v>0</v>
      </c>
      <c r="X10" s="111">
        <v>0</v>
      </c>
      <c r="Y10" s="111">
        <v>0</v>
      </c>
      <c r="Z10" s="111">
        <v>0</v>
      </c>
      <c r="AA10" s="111">
        <v>0</v>
      </c>
      <c r="AB10" s="111">
        <v>0</v>
      </c>
      <c r="AC10" s="111">
        <v>0</v>
      </c>
      <c r="AD10" s="111">
        <v>0</v>
      </c>
      <c r="AE10" s="111">
        <v>0</v>
      </c>
      <c r="AF10" s="111">
        <v>0</v>
      </c>
      <c r="AG10" s="111">
        <v>0</v>
      </c>
      <c r="AH10" s="111">
        <v>0</v>
      </c>
      <c r="AI10" s="111">
        <v>0</v>
      </c>
      <c r="AJ10" s="111">
        <v>0</v>
      </c>
      <c r="AK10" s="111">
        <v>0</v>
      </c>
    </row>
    <row r="11" spans="1:37" customFormat="1" x14ac:dyDescent="0.15">
      <c r="A11" s="192" t="s">
        <v>200</v>
      </c>
      <c r="B11" s="111">
        <v>1</v>
      </c>
      <c r="C11" s="111">
        <v>1</v>
      </c>
      <c r="D11" s="111">
        <v>0</v>
      </c>
      <c r="E11" s="111">
        <v>1</v>
      </c>
      <c r="F11" s="111">
        <v>1</v>
      </c>
      <c r="G11" s="111">
        <v>1</v>
      </c>
      <c r="H11" s="111">
        <v>1</v>
      </c>
      <c r="I11" s="111">
        <v>1</v>
      </c>
      <c r="J11" s="111">
        <v>1</v>
      </c>
      <c r="K11" s="111">
        <v>1</v>
      </c>
      <c r="L11" s="111">
        <v>0</v>
      </c>
      <c r="M11" s="111">
        <v>0</v>
      </c>
      <c r="N11" s="111">
        <v>0</v>
      </c>
      <c r="O11" s="111">
        <v>0</v>
      </c>
      <c r="P11" s="111">
        <v>0</v>
      </c>
      <c r="Q11" s="111">
        <v>0</v>
      </c>
      <c r="R11" s="111">
        <v>0</v>
      </c>
      <c r="S11" s="111">
        <v>1</v>
      </c>
      <c r="T11" s="111">
        <v>0</v>
      </c>
      <c r="U11" s="111">
        <v>0</v>
      </c>
      <c r="V11" s="111">
        <v>0</v>
      </c>
      <c r="W11" s="111">
        <v>0</v>
      </c>
      <c r="X11" s="111">
        <v>0</v>
      </c>
      <c r="Y11" s="111">
        <v>1</v>
      </c>
      <c r="Z11" s="111">
        <v>0</v>
      </c>
      <c r="AA11" s="111">
        <v>0</v>
      </c>
      <c r="AB11" s="111">
        <v>0</v>
      </c>
      <c r="AC11" s="111">
        <v>0</v>
      </c>
      <c r="AD11" s="111">
        <v>0</v>
      </c>
      <c r="AE11" s="111">
        <v>1</v>
      </c>
      <c r="AF11" s="111">
        <v>0</v>
      </c>
      <c r="AG11" s="111">
        <v>0</v>
      </c>
      <c r="AH11" s="111">
        <v>0</v>
      </c>
      <c r="AI11" s="111">
        <v>0</v>
      </c>
      <c r="AJ11" s="111">
        <v>0</v>
      </c>
      <c r="AK11" s="111">
        <v>0</v>
      </c>
    </row>
    <row r="12" spans="1:37" customFormat="1" x14ac:dyDescent="0.15">
      <c r="A12" s="192" t="s">
        <v>201</v>
      </c>
      <c r="B12" s="111">
        <v>0</v>
      </c>
      <c r="C12" s="111">
        <v>1</v>
      </c>
      <c r="D12" s="111">
        <v>0</v>
      </c>
      <c r="E12" s="111">
        <v>1</v>
      </c>
      <c r="F12" s="111">
        <v>1</v>
      </c>
      <c r="G12" s="111">
        <v>1</v>
      </c>
      <c r="H12" s="111">
        <v>1</v>
      </c>
      <c r="I12" s="111">
        <v>1</v>
      </c>
      <c r="J12" s="111">
        <v>1</v>
      </c>
      <c r="K12" s="111">
        <v>0</v>
      </c>
      <c r="L12" s="111">
        <v>0</v>
      </c>
      <c r="M12" s="111">
        <v>0</v>
      </c>
      <c r="N12" s="111">
        <v>1</v>
      </c>
      <c r="O12" s="111">
        <v>1</v>
      </c>
      <c r="P12" s="111">
        <v>1</v>
      </c>
      <c r="Q12" s="111">
        <v>1</v>
      </c>
      <c r="R12" s="111">
        <v>1</v>
      </c>
      <c r="S12" s="111">
        <v>1</v>
      </c>
      <c r="T12" s="111">
        <v>1</v>
      </c>
      <c r="U12" s="111">
        <v>0</v>
      </c>
      <c r="V12" s="111">
        <v>1</v>
      </c>
      <c r="W12" s="111">
        <v>0</v>
      </c>
      <c r="X12" s="111">
        <v>1</v>
      </c>
      <c r="Y12" s="111">
        <v>1</v>
      </c>
      <c r="Z12" s="111">
        <v>0</v>
      </c>
      <c r="AA12" s="111">
        <v>0</v>
      </c>
      <c r="AB12" s="111">
        <v>0</v>
      </c>
      <c r="AC12" s="111">
        <v>0</v>
      </c>
      <c r="AD12" s="111">
        <v>0</v>
      </c>
      <c r="AE12" s="111">
        <v>1</v>
      </c>
      <c r="AF12" s="111">
        <v>0</v>
      </c>
      <c r="AG12" s="111">
        <v>0</v>
      </c>
      <c r="AH12" s="111">
        <v>0</v>
      </c>
      <c r="AI12" s="111">
        <v>0</v>
      </c>
      <c r="AJ12" s="111">
        <v>0</v>
      </c>
      <c r="AK12" s="111">
        <v>0</v>
      </c>
    </row>
    <row r="13" spans="1:37" customFormat="1" x14ac:dyDescent="0.15">
      <c r="A13" s="192" t="s">
        <v>202</v>
      </c>
      <c r="B13" s="111">
        <v>1</v>
      </c>
      <c r="C13" s="111">
        <v>1</v>
      </c>
      <c r="D13" s="111">
        <v>0</v>
      </c>
      <c r="E13" s="111">
        <v>1</v>
      </c>
      <c r="F13" s="111">
        <v>1</v>
      </c>
      <c r="G13" s="111">
        <v>1</v>
      </c>
      <c r="H13" s="111">
        <v>1</v>
      </c>
      <c r="I13" s="111">
        <v>1</v>
      </c>
      <c r="J13" s="111">
        <v>1</v>
      </c>
      <c r="K13" s="111">
        <v>1</v>
      </c>
      <c r="L13" s="111">
        <v>0</v>
      </c>
      <c r="M13" s="111">
        <v>0</v>
      </c>
      <c r="N13" s="111">
        <v>1</v>
      </c>
      <c r="O13" s="111">
        <v>1</v>
      </c>
      <c r="P13" s="111">
        <v>1</v>
      </c>
      <c r="Q13" s="111">
        <v>0</v>
      </c>
      <c r="R13" s="111">
        <v>1</v>
      </c>
      <c r="S13" s="111">
        <v>1</v>
      </c>
      <c r="T13" s="111">
        <v>0</v>
      </c>
      <c r="U13" s="111">
        <v>0</v>
      </c>
      <c r="V13" s="111">
        <v>1</v>
      </c>
      <c r="W13" s="111">
        <v>0</v>
      </c>
      <c r="X13" s="111">
        <v>1</v>
      </c>
      <c r="Y13" s="111">
        <v>1</v>
      </c>
      <c r="Z13" s="111">
        <v>0</v>
      </c>
      <c r="AA13" s="111">
        <v>0</v>
      </c>
      <c r="AB13" s="111">
        <v>1</v>
      </c>
      <c r="AC13" s="111">
        <v>0</v>
      </c>
      <c r="AD13" s="111">
        <v>0</v>
      </c>
      <c r="AE13" s="111">
        <v>1</v>
      </c>
      <c r="AF13" s="111">
        <v>0</v>
      </c>
      <c r="AG13" s="111">
        <v>0</v>
      </c>
      <c r="AH13" s="111">
        <v>0</v>
      </c>
      <c r="AI13" s="111">
        <v>0</v>
      </c>
      <c r="AJ13" s="111">
        <v>0</v>
      </c>
      <c r="AK13" s="111">
        <v>0</v>
      </c>
    </row>
    <row r="14" spans="1:37" customFormat="1" x14ac:dyDescent="0.15">
      <c r="A14" s="192" t="s">
        <v>203</v>
      </c>
      <c r="B14" s="111">
        <v>0</v>
      </c>
      <c r="C14" s="111">
        <v>1</v>
      </c>
      <c r="D14" s="111">
        <v>0</v>
      </c>
      <c r="E14" s="111">
        <v>0</v>
      </c>
      <c r="F14" s="111">
        <v>1</v>
      </c>
      <c r="G14" s="111">
        <v>1</v>
      </c>
      <c r="H14" s="111">
        <v>1</v>
      </c>
      <c r="I14" s="111">
        <v>1</v>
      </c>
      <c r="J14" s="111">
        <v>1</v>
      </c>
      <c r="K14" s="111">
        <v>0</v>
      </c>
      <c r="L14" s="111">
        <v>0</v>
      </c>
      <c r="M14" s="111">
        <v>0</v>
      </c>
      <c r="N14" s="111">
        <v>1</v>
      </c>
      <c r="O14" s="111">
        <v>1</v>
      </c>
      <c r="P14" s="111">
        <v>0</v>
      </c>
      <c r="Q14" s="111">
        <v>1</v>
      </c>
      <c r="R14" s="111">
        <v>1</v>
      </c>
      <c r="S14" s="111">
        <v>0</v>
      </c>
      <c r="T14" s="111">
        <v>1</v>
      </c>
      <c r="U14" s="111">
        <v>0</v>
      </c>
      <c r="V14" s="111">
        <v>1</v>
      </c>
      <c r="W14" s="111">
        <v>0</v>
      </c>
      <c r="X14" s="111">
        <v>1</v>
      </c>
      <c r="Y14" s="111">
        <v>0</v>
      </c>
      <c r="Z14" s="111">
        <v>0</v>
      </c>
      <c r="AA14" s="111">
        <v>0</v>
      </c>
      <c r="AB14" s="111">
        <v>0</v>
      </c>
      <c r="AC14" s="111">
        <v>0</v>
      </c>
      <c r="AD14" s="111">
        <v>0</v>
      </c>
      <c r="AE14" s="111">
        <v>0</v>
      </c>
      <c r="AF14" s="111">
        <v>0</v>
      </c>
      <c r="AG14" s="111">
        <v>0</v>
      </c>
      <c r="AH14" s="111">
        <v>0</v>
      </c>
      <c r="AI14" s="111">
        <v>0</v>
      </c>
      <c r="AJ14" s="111">
        <v>0</v>
      </c>
      <c r="AK14" s="111">
        <v>0</v>
      </c>
    </row>
    <row r="15" spans="1:37" customFormat="1" x14ac:dyDescent="0.15">
      <c r="A15" s="192" t="s">
        <v>204</v>
      </c>
      <c r="B15" s="111">
        <v>0</v>
      </c>
      <c r="C15" s="111">
        <v>1</v>
      </c>
      <c r="D15" s="111">
        <v>0</v>
      </c>
      <c r="E15" s="111">
        <v>0</v>
      </c>
      <c r="F15" s="111">
        <v>1</v>
      </c>
      <c r="G15" s="111">
        <v>1</v>
      </c>
      <c r="H15" s="111">
        <v>1</v>
      </c>
      <c r="I15" s="111">
        <v>1</v>
      </c>
      <c r="J15" s="111">
        <v>1</v>
      </c>
      <c r="K15" s="111">
        <v>0</v>
      </c>
      <c r="L15" s="111">
        <v>0</v>
      </c>
      <c r="M15" s="111">
        <v>0</v>
      </c>
      <c r="N15" s="111">
        <v>1</v>
      </c>
      <c r="O15" s="111">
        <v>1</v>
      </c>
      <c r="P15" s="111">
        <v>0</v>
      </c>
      <c r="Q15" s="111">
        <v>1</v>
      </c>
      <c r="R15" s="111">
        <v>0</v>
      </c>
      <c r="S15" s="111">
        <v>0</v>
      </c>
      <c r="T15" s="111">
        <v>1</v>
      </c>
      <c r="U15" s="111">
        <v>0</v>
      </c>
      <c r="V15" s="111">
        <v>1</v>
      </c>
      <c r="W15" s="111">
        <v>0</v>
      </c>
      <c r="X15" s="111">
        <v>1</v>
      </c>
      <c r="Y15" s="111">
        <v>1</v>
      </c>
      <c r="Z15" s="111">
        <v>0</v>
      </c>
      <c r="AA15" s="111">
        <v>0</v>
      </c>
      <c r="AB15" s="111">
        <v>0</v>
      </c>
      <c r="AC15" s="111">
        <v>0</v>
      </c>
      <c r="AD15" s="111">
        <v>0</v>
      </c>
      <c r="AE15" s="111">
        <v>0</v>
      </c>
      <c r="AF15" s="111">
        <v>0</v>
      </c>
      <c r="AG15" s="111">
        <v>0</v>
      </c>
      <c r="AH15" s="111">
        <v>0</v>
      </c>
      <c r="AI15" s="111">
        <v>0</v>
      </c>
      <c r="AJ15" s="111">
        <v>0</v>
      </c>
      <c r="AK15" s="111">
        <v>0</v>
      </c>
    </row>
    <row r="16" spans="1:37" customFormat="1" x14ac:dyDescent="0.15">
      <c r="A16" s="192" t="s">
        <v>205</v>
      </c>
      <c r="B16" s="111">
        <v>0</v>
      </c>
      <c r="C16" s="111">
        <v>1</v>
      </c>
      <c r="D16" s="111">
        <v>0</v>
      </c>
      <c r="E16" s="111">
        <v>0</v>
      </c>
      <c r="F16" s="111">
        <v>1</v>
      </c>
      <c r="G16" s="111">
        <v>0</v>
      </c>
      <c r="H16" s="111">
        <v>1</v>
      </c>
      <c r="I16" s="111">
        <v>1</v>
      </c>
      <c r="J16" s="111">
        <v>0</v>
      </c>
      <c r="K16" s="111">
        <v>0</v>
      </c>
      <c r="L16" s="111">
        <v>0</v>
      </c>
      <c r="M16" s="111">
        <v>0</v>
      </c>
      <c r="N16" s="111">
        <v>1</v>
      </c>
      <c r="O16" s="111">
        <v>1</v>
      </c>
      <c r="P16" s="111">
        <v>0</v>
      </c>
      <c r="Q16" s="111">
        <v>1</v>
      </c>
      <c r="R16" s="111">
        <v>0</v>
      </c>
      <c r="S16" s="111">
        <v>0</v>
      </c>
      <c r="T16" s="111">
        <v>0</v>
      </c>
      <c r="U16" s="111">
        <v>0</v>
      </c>
      <c r="V16" s="111">
        <v>0</v>
      </c>
      <c r="W16" s="111">
        <v>0</v>
      </c>
      <c r="X16" s="111">
        <v>1</v>
      </c>
      <c r="Y16" s="111">
        <v>1</v>
      </c>
      <c r="Z16" s="111">
        <v>0</v>
      </c>
      <c r="AA16" s="111">
        <v>0</v>
      </c>
      <c r="AB16" s="111">
        <v>0</v>
      </c>
      <c r="AC16" s="111">
        <v>0</v>
      </c>
      <c r="AD16" s="111">
        <v>0</v>
      </c>
      <c r="AE16" s="111">
        <v>0</v>
      </c>
      <c r="AF16" s="111">
        <v>0</v>
      </c>
      <c r="AG16" s="111">
        <v>0</v>
      </c>
      <c r="AH16" s="111">
        <v>0</v>
      </c>
      <c r="AI16" s="111">
        <v>0</v>
      </c>
      <c r="AJ16" s="111">
        <v>0</v>
      </c>
      <c r="AK16" s="111">
        <v>0</v>
      </c>
    </row>
    <row r="17" spans="1:37" customFormat="1" x14ac:dyDescent="0.15">
      <c r="A17" s="192" t="s">
        <v>206</v>
      </c>
      <c r="B17" s="111">
        <v>0</v>
      </c>
      <c r="C17" s="111">
        <v>0</v>
      </c>
      <c r="D17" s="111">
        <v>0</v>
      </c>
      <c r="E17" s="111">
        <v>0</v>
      </c>
      <c r="F17" s="111">
        <v>1</v>
      </c>
      <c r="G17" s="111">
        <v>1</v>
      </c>
      <c r="H17" s="111">
        <v>1</v>
      </c>
      <c r="I17" s="111">
        <v>1</v>
      </c>
      <c r="J17" s="111">
        <v>0</v>
      </c>
      <c r="K17" s="111">
        <v>0</v>
      </c>
      <c r="L17" s="111">
        <v>0</v>
      </c>
      <c r="M17" s="111">
        <v>0</v>
      </c>
      <c r="N17" s="111">
        <v>0</v>
      </c>
      <c r="O17" s="111">
        <v>0</v>
      </c>
      <c r="P17" s="111">
        <v>0</v>
      </c>
      <c r="Q17" s="111">
        <v>0</v>
      </c>
      <c r="R17" s="111">
        <v>0</v>
      </c>
      <c r="S17" s="111">
        <v>0</v>
      </c>
      <c r="T17" s="111">
        <v>0</v>
      </c>
      <c r="U17" s="111">
        <v>0</v>
      </c>
      <c r="V17" s="111">
        <v>0</v>
      </c>
      <c r="W17" s="111">
        <v>0</v>
      </c>
      <c r="X17" s="111">
        <v>1</v>
      </c>
      <c r="Y17" s="111">
        <v>0</v>
      </c>
      <c r="Z17" s="111">
        <v>0</v>
      </c>
      <c r="AA17" s="111">
        <v>0</v>
      </c>
      <c r="AB17" s="111">
        <v>0</v>
      </c>
      <c r="AC17" s="111">
        <v>0</v>
      </c>
      <c r="AD17" s="111">
        <v>0</v>
      </c>
      <c r="AE17" s="111">
        <v>0</v>
      </c>
      <c r="AF17" s="111">
        <v>0</v>
      </c>
      <c r="AG17" s="111">
        <v>0</v>
      </c>
      <c r="AH17" s="111">
        <v>0</v>
      </c>
      <c r="AI17" s="111">
        <v>0</v>
      </c>
      <c r="AJ17" s="111">
        <v>0</v>
      </c>
      <c r="AK17" s="111">
        <v>0</v>
      </c>
    </row>
    <row r="18" spans="1:37" customFormat="1" x14ac:dyDescent="0.15">
      <c r="A18" s="192" t="s">
        <v>207</v>
      </c>
      <c r="B18" s="111">
        <v>0</v>
      </c>
      <c r="C18" s="111">
        <v>1</v>
      </c>
      <c r="D18" s="111">
        <v>0</v>
      </c>
      <c r="E18" s="111">
        <v>0</v>
      </c>
      <c r="F18" s="111">
        <v>1</v>
      </c>
      <c r="G18" s="111">
        <v>0</v>
      </c>
      <c r="H18" s="111">
        <v>0</v>
      </c>
      <c r="I18" s="111">
        <v>1</v>
      </c>
      <c r="J18" s="111">
        <v>1</v>
      </c>
      <c r="K18" s="111">
        <v>0</v>
      </c>
      <c r="L18" s="111">
        <v>0</v>
      </c>
      <c r="M18" s="111">
        <v>0</v>
      </c>
      <c r="N18" s="111">
        <v>1</v>
      </c>
      <c r="O18" s="111">
        <v>1</v>
      </c>
      <c r="P18" s="111">
        <v>0</v>
      </c>
      <c r="Q18" s="111">
        <v>1</v>
      </c>
      <c r="R18" s="111">
        <v>0</v>
      </c>
      <c r="S18" s="111">
        <v>0</v>
      </c>
      <c r="T18" s="111">
        <v>1</v>
      </c>
      <c r="U18" s="111">
        <v>0</v>
      </c>
      <c r="V18" s="111">
        <v>0</v>
      </c>
      <c r="W18" s="111">
        <v>0</v>
      </c>
      <c r="X18" s="111">
        <v>1</v>
      </c>
      <c r="Y18" s="111">
        <v>0</v>
      </c>
      <c r="Z18" s="111">
        <v>0</v>
      </c>
      <c r="AA18" s="111">
        <v>0</v>
      </c>
      <c r="AB18" s="111">
        <v>0</v>
      </c>
      <c r="AC18" s="111">
        <v>0</v>
      </c>
      <c r="AD18" s="111">
        <v>0</v>
      </c>
      <c r="AE18" s="111">
        <v>0</v>
      </c>
      <c r="AF18" s="111">
        <v>0</v>
      </c>
      <c r="AG18" s="111">
        <v>0</v>
      </c>
      <c r="AH18" s="111">
        <v>0</v>
      </c>
      <c r="AI18" s="111">
        <v>0</v>
      </c>
      <c r="AJ18" s="111">
        <v>0</v>
      </c>
      <c r="AK18" s="111">
        <v>0</v>
      </c>
    </row>
    <row r="19" spans="1:37" customFormat="1" x14ac:dyDescent="0.15">
      <c r="A19" s="192" t="s">
        <v>208</v>
      </c>
      <c r="B19" s="111">
        <v>0</v>
      </c>
      <c r="C19" s="111">
        <v>0</v>
      </c>
      <c r="D19" s="111">
        <v>0</v>
      </c>
      <c r="E19" s="111">
        <v>0</v>
      </c>
      <c r="F19" s="111">
        <v>1</v>
      </c>
      <c r="G19" s="111">
        <v>1</v>
      </c>
      <c r="H19" s="111">
        <v>1</v>
      </c>
      <c r="I19" s="111">
        <v>1</v>
      </c>
      <c r="J19" s="111">
        <v>1</v>
      </c>
      <c r="K19" s="111">
        <v>0</v>
      </c>
      <c r="L19" s="111">
        <v>0</v>
      </c>
      <c r="M19" s="111">
        <v>0</v>
      </c>
      <c r="N19" s="111">
        <v>0</v>
      </c>
      <c r="O19" s="111">
        <v>0</v>
      </c>
      <c r="P19" s="111">
        <v>0</v>
      </c>
      <c r="Q19" s="111">
        <v>0</v>
      </c>
      <c r="R19" s="111">
        <v>0</v>
      </c>
      <c r="S19" s="111">
        <v>1</v>
      </c>
      <c r="T19" s="111">
        <v>0</v>
      </c>
      <c r="U19" s="111">
        <v>0</v>
      </c>
      <c r="V19" s="111">
        <v>0</v>
      </c>
      <c r="W19" s="111">
        <v>0</v>
      </c>
      <c r="X19" s="111">
        <v>1</v>
      </c>
      <c r="Y19" s="111">
        <v>1</v>
      </c>
      <c r="Z19" s="111">
        <v>0</v>
      </c>
      <c r="AA19" s="111">
        <v>0</v>
      </c>
      <c r="AB19" s="111">
        <v>1</v>
      </c>
      <c r="AC19" s="111">
        <v>0</v>
      </c>
      <c r="AD19" s="111">
        <v>0</v>
      </c>
      <c r="AE19" s="111">
        <v>0</v>
      </c>
      <c r="AF19" s="111">
        <v>0</v>
      </c>
      <c r="AG19" s="111">
        <v>0</v>
      </c>
      <c r="AH19" s="111">
        <v>0</v>
      </c>
      <c r="AI19" s="111">
        <v>0</v>
      </c>
      <c r="AJ19" s="111">
        <v>0</v>
      </c>
      <c r="AK19" s="111">
        <v>0</v>
      </c>
    </row>
    <row r="20" spans="1:37" customFormat="1" x14ac:dyDescent="0.15">
      <c r="A20" s="192" t="s">
        <v>209</v>
      </c>
      <c r="B20" s="111">
        <v>0</v>
      </c>
      <c r="C20" s="111">
        <v>0</v>
      </c>
      <c r="D20" s="111">
        <v>0</v>
      </c>
      <c r="E20" s="111">
        <v>0</v>
      </c>
      <c r="F20" s="111">
        <v>1</v>
      </c>
      <c r="G20" s="111">
        <v>1</v>
      </c>
      <c r="H20" s="111">
        <v>0</v>
      </c>
      <c r="I20" s="111">
        <v>1</v>
      </c>
      <c r="J20" s="111">
        <v>0</v>
      </c>
      <c r="K20" s="111">
        <v>0</v>
      </c>
      <c r="L20" s="111">
        <v>0</v>
      </c>
      <c r="M20" s="111">
        <v>0</v>
      </c>
      <c r="N20" s="111">
        <v>1</v>
      </c>
      <c r="O20" s="111">
        <v>1</v>
      </c>
      <c r="P20" s="111">
        <v>0</v>
      </c>
      <c r="Q20" s="111">
        <v>1</v>
      </c>
      <c r="R20" s="111">
        <v>0</v>
      </c>
      <c r="S20" s="111">
        <v>0</v>
      </c>
      <c r="T20" s="111">
        <v>0</v>
      </c>
      <c r="U20" s="111">
        <v>0</v>
      </c>
      <c r="V20" s="111">
        <v>0</v>
      </c>
      <c r="W20" s="111">
        <v>0</v>
      </c>
      <c r="X20" s="111">
        <v>1</v>
      </c>
      <c r="Y20" s="111">
        <v>0</v>
      </c>
      <c r="Z20" s="111">
        <v>0</v>
      </c>
      <c r="AA20" s="111">
        <v>0</v>
      </c>
      <c r="AB20" s="111">
        <v>0</v>
      </c>
      <c r="AC20" s="111">
        <v>0</v>
      </c>
      <c r="AD20" s="111">
        <v>0</v>
      </c>
      <c r="AE20" s="111">
        <v>0</v>
      </c>
      <c r="AF20" s="111">
        <v>0</v>
      </c>
      <c r="AG20" s="111">
        <v>0</v>
      </c>
      <c r="AH20" s="111">
        <v>0</v>
      </c>
      <c r="AI20" s="111">
        <v>0</v>
      </c>
      <c r="AJ20" s="111">
        <v>0</v>
      </c>
      <c r="AK20" s="111">
        <v>0</v>
      </c>
    </row>
    <row r="21" spans="1:37" customFormat="1" x14ac:dyDescent="0.15">
      <c r="A21" s="192" t="s">
        <v>210</v>
      </c>
      <c r="B21" s="111">
        <v>0</v>
      </c>
      <c r="C21" s="111">
        <v>1</v>
      </c>
      <c r="D21" s="111">
        <v>0</v>
      </c>
      <c r="E21" s="111">
        <v>1</v>
      </c>
      <c r="F21" s="111">
        <v>1</v>
      </c>
      <c r="G21" s="111">
        <v>1</v>
      </c>
      <c r="H21" s="111">
        <v>1</v>
      </c>
      <c r="I21" s="111">
        <v>1</v>
      </c>
      <c r="J21" s="111">
        <v>0</v>
      </c>
      <c r="K21" s="111">
        <v>0</v>
      </c>
      <c r="L21" s="111">
        <v>0</v>
      </c>
      <c r="M21" s="111">
        <v>0</v>
      </c>
      <c r="N21" s="111">
        <v>1</v>
      </c>
      <c r="O21" s="111">
        <v>1</v>
      </c>
      <c r="P21" s="111">
        <v>0</v>
      </c>
      <c r="Q21" s="111">
        <v>1</v>
      </c>
      <c r="R21" s="111">
        <v>0</v>
      </c>
      <c r="S21" s="111">
        <v>0</v>
      </c>
      <c r="T21" s="111">
        <v>1</v>
      </c>
      <c r="U21" s="111">
        <v>0</v>
      </c>
      <c r="V21" s="111">
        <v>1</v>
      </c>
      <c r="W21" s="111">
        <v>0</v>
      </c>
      <c r="X21" s="111">
        <v>1</v>
      </c>
      <c r="Y21" s="111">
        <v>1</v>
      </c>
      <c r="Z21" s="111">
        <v>0</v>
      </c>
      <c r="AA21" s="111">
        <v>0</v>
      </c>
      <c r="AB21" s="111">
        <v>0</v>
      </c>
      <c r="AC21" s="111">
        <v>0</v>
      </c>
      <c r="AD21" s="111">
        <v>0</v>
      </c>
      <c r="AE21" s="111">
        <v>1</v>
      </c>
      <c r="AF21" s="111">
        <v>0</v>
      </c>
      <c r="AG21" s="111">
        <v>0</v>
      </c>
      <c r="AH21" s="111">
        <v>0</v>
      </c>
      <c r="AI21" s="111">
        <v>0</v>
      </c>
      <c r="AJ21" s="111">
        <v>0</v>
      </c>
      <c r="AK21" s="111">
        <v>0</v>
      </c>
    </row>
    <row r="22" spans="1:37" customFormat="1" x14ac:dyDescent="0.15">
      <c r="A22" s="192" t="s">
        <v>211</v>
      </c>
      <c r="B22" s="111">
        <v>0</v>
      </c>
      <c r="C22" s="111">
        <v>1</v>
      </c>
      <c r="D22" s="111">
        <v>0</v>
      </c>
      <c r="E22" s="111">
        <v>1</v>
      </c>
      <c r="F22" s="111">
        <v>1</v>
      </c>
      <c r="G22" s="111">
        <v>1</v>
      </c>
      <c r="H22" s="111">
        <v>1</v>
      </c>
      <c r="I22" s="111">
        <v>1</v>
      </c>
      <c r="J22" s="111">
        <v>1</v>
      </c>
      <c r="K22" s="111">
        <v>0</v>
      </c>
      <c r="L22" s="111">
        <v>0</v>
      </c>
      <c r="M22" s="111">
        <v>0</v>
      </c>
      <c r="N22" s="111">
        <v>1</v>
      </c>
      <c r="O22" s="111">
        <v>1</v>
      </c>
      <c r="P22" s="111">
        <v>0</v>
      </c>
      <c r="Q22" s="111">
        <v>0</v>
      </c>
      <c r="R22" s="111">
        <v>0</v>
      </c>
      <c r="S22" s="111">
        <v>1</v>
      </c>
      <c r="T22" s="111">
        <v>1</v>
      </c>
      <c r="U22" s="111">
        <v>0</v>
      </c>
      <c r="V22" s="111">
        <v>1</v>
      </c>
      <c r="W22" s="111">
        <v>0</v>
      </c>
      <c r="X22" s="111">
        <v>1</v>
      </c>
      <c r="Y22" s="111">
        <v>0</v>
      </c>
      <c r="Z22" s="111">
        <v>0</v>
      </c>
      <c r="AA22" s="111">
        <v>0</v>
      </c>
      <c r="AB22" s="111">
        <v>0</v>
      </c>
      <c r="AC22" s="111">
        <v>0</v>
      </c>
      <c r="AD22" s="111">
        <v>0</v>
      </c>
      <c r="AE22" s="111">
        <v>0</v>
      </c>
      <c r="AF22" s="111">
        <v>0</v>
      </c>
      <c r="AG22" s="111">
        <v>0</v>
      </c>
      <c r="AH22" s="111">
        <v>0</v>
      </c>
      <c r="AI22" s="111">
        <v>0</v>
      </c>
      <c r="AJ22" s="111">
        <v>0</v>
      </c>
      <c r="AK22" s="111">
        <v>0</v>
      </c>
    </row>
    <row r="23" spans="1:37" customFormat="1" x14ac:dyDescent="0.15">
      <c r="A23" s="192" t="s">
        <v>212</v>
      </c>
      <c r="B23" s="111">
        <v>0</v>
      </c>
      <c r="C23" s="111">
        <v>1</v>
      </c>
      <c r="D23" s="111">
        <v>0</v>
      </c>
      <c r="E23" s="111">
        <v>1</v>
      </c>
      <c r="F23" s="111">
        <v>1</v>
      </c>
      <c r="G23" s="111">
        <v>1</v>
      </c>
      <c r="H23" s="111">
        <v>0</v>
      </c>
      <c r="I23" s="111">
        <v>1</v>
      </c>
      <c r="J23" s="111">
        <v>0</v>
      </c>
      <c r="K23" s="111">
        <v>0</v>
      </c>
      <c r="L23" s="111">
        <v>0</v>
      </c>
      <c r="M23" s="111">
        <v>0</v>
      </c>
      <c r="N23" s="111">
        <v>1</v>
      </c>
      <c r="O23" s="111">
        <v>1</v>
      </c>
      <c r="P23" s="111">
        <v>0</v>
      </c>
      <c r="Q23" s="111">
        <v>0</v>
      </c>
      <c r="R23" s="111">
        <v>0</v>
      </c>
      <c r="S23" s="111">
        <v>1</v>
      </c>
      <c r="T23" s="111">
        <v>1</v>
      </c>
      <c r="U23" s="111">
        <v>0</v>
      </c>
      <c r="V23" s="111">
        <v>1</v>
      </c>
      <c r="W23" s="111">
        <v>0</v>
      </c>
      <c r="X23" s="111">
        <v>1</v>
      </c>
      <c r="Y23" s="111">
        <v>1</v>
      </c>
      <c r="Z23" s="111">
        <v>0</v>
      </c>
      <c r="AA23" s="111">
        <v>0</v>
      </c>
      <c r="AB23" s="111">
        <v>0</v>
      </c>
      <c r="AC23" s="111">
        <v>0</v>
      </c>
      <c r="AD23" s="111">
        <v>0</v>
      </c>
      <c r="AE23" s="111">
        <v>0</v>
      </c>
      <c r="AF23" s="111">
        <v>0</v>
      </c>
      <c r="AG23" s="111">
        <v>0</v>
      </c>
      <c r="AH23" s="111">
        <v>0</v>
      </c>
      <c r="AI23" s="111">
        <v>0</v>
      </c>
      <c r="AJ23" s="111">
        <v>0</v>
      </c>
      <c r="AK23" s="111">
        <v>0</v>
      </c>
    </row>
    <row r="24" spans="1:37" customFormat="1" x14ac:dyDescent="0.15">
      <c r="A24" s="192" t="s">
        <v>213</v>
      </c>
      <c r="B24" s="111">
        <v>0</v>
      </c>
      <c r="C24" s="111">
        <v>0</v>
      </c>
      <c r="D24" s="111">
        <v>0</v>
      </c>
      <c r="E24" s="111">
        <v>0</v>
      </c>
      <c r="F24" s="111">
        <v>1</v>
      </c>
      <c r="G24" s="111">
        <v>1</v>
      </c>
      <c r="H24" s="111">
        <v>1</v>
      </c>
      <c r="I24" s="111">
        <v>1</v>
      </c>
      <c r="J24" s="111">
        <v>0</v>
      </c>
      <c r="K24" s="111">
        <v>0</v>
      </c>
      <c r="L24" s="111">
        <v>0</v>
      </c>
      <c r="M24" s="111">
        <v>0</v>
      </c>
      <c r="N24" s="111">
        <v>1</v>
      </c>
      <c r="O24" s="111">
        <v>1</v>
      </c>
      <c r="P24" s="111">
        <v>0</v>
      </c>
      <c r="Q24" s="111">
        <v>0</v>
      </c>
      <c r="R24" s="111">
        <v>0</v>
      </c>
      <c r="S24" s="111">
        <v>0</v>
      </c>
      <c r="T24" s="111">
        <v>0</v>
      </c>
      <c r="U24" s="111">
        <v>0</v>
      </c>
      <c r="V24" s="111">
        <v>1</v>
      </c>
      <c r="W24" s="111">
        <v>0</v>
      </c>
      <c r="X24" s="111">
        <v>1</v>
      </c>
      <c r="Y24" s="111">
        <v>0</v>
      </c>
      <c r="Z24" s="111">
        <v>0</v>
      </c>
      <c r="AA24" s="111">
        <v>0</v>
      </c>
      <c r="AB24" s="111">
        <v>0</v>
      </c>
      <c r="AC24" s="111">
        <v>0</v>
      </c>
      <c r="AD24" s="111">
        <v>0</v>
      </c>
      <c r="AE24" s="111">
        <v>0</v>
      </c>
      <c r="AF24" s="111">
        <v>0</v>
      </c>
      <c r="AG24" s="111">
        <v>0</v>
      </c>
      <c r="AH24" s="111">
        <v>0</v>
      </c>
      <c r="AI24" s="111">
        <v>0</v>
      </c>
      <c r="AJ24" s="111">
        <v>0</v>
      </c>
      <c r="AK24" s="111">
        <v>0</v>
      </c>
    </row>
    <row r="25" spans="1:37" customFormat="1" x14ac:dyDescent="0.15">
      <c r="A25" s="192" t="s">
        <v>214</v>
      </c>
      <c r="B25" s="111">
        <v>0</v>
      </c>
      <c r="C25" s="111">
        <v>1</v>
      </c>
      <c r="D25" s="111">
        <v>0</v>
      </c>
      <c r="E25" s="111">
        <v>1</v>
      </c>
      <c r="F25" s="111">
        <v>1</v>
      </c>
      <c r="G25" s="111">
        <v>1</v>
      </c>
      <c r="H25" s="111">
        <v>1</v>
      </c>
      <c r="I25" s="111">
        <v>1</v>
      </c>
      <c r="J25" s="111">
        <v>1</v>
      </c>
      <c r="K25" s="111">
        <v>0</v>
      </c>
      <c r="L25" s="111">
        <v>0</v>
      </c>
      <c r="M25" s="111">
        <v>0</v>
      </c>
      <c r="N25" s="111">
        <v>1</v>
      </c>
      <c r="O25" s="111">
        <v>1</v>
      </c>
      <c r="P25" s="111">
        <v>1</v>
      </c>
      <c r="Q25" s="111">
        <v>1</v>
      </c>
      <c r="R25" s="111">
        <v>1</v>
      </c>
      <c r="S25" s="111">
        <v>1</v>
      </c>
      <c r="T25" s="111">
        <v>1</v>
      </c>
      <c r="U25" s="111">
        <v>0</v>
      </c>
      <c r="V25" s="111">
        <v>1</v>
      </c>
      <c r="W25" s="111">
        <v>0</v>
      </c>
      <c r="X25" s="111">
        <v>1</v>
      </c>
      <c r="Y25" s="111">
        <v>1</v>
      </c>
      <c r="Z25" s="111">
        <v>0</v>
      </c>
      <c r="AA25" s="111">
        <v>0</v>
      </c>
      <c r="AB25" s="111">
        <v>0</v>
      </c>
      <c r="AC25" s="111">
        <v>0</v>
      </c>
      <c r="AD25" s="111">
        <v>0</v>
      </c>
      <c r="AE25" s="111">
        <v>1</v>
      </c>
      <c r="AF25" s="111">
        <v>0</v>
      </c>
      <c r="AG25" s="111">
        <v>0</v>
      </c>
      <c r="AH25" s="111">
        <v>0</v>
      </c>
      <c r="AI25" s="111">
        <v>0</v>
      </c>
      <c r="AJ25" s="111">
        <v>0</v>
      </c>
      <c r="AK25" s="111">
        <v>0</v>
      </c>
    </row>
    <row r="26" spans="1:37" customFormat="1" x14ac:dyDescent="0.15">
      <c r="A26" s="192" t="s">
        <v>215</v>
      </c>
      <c r="B26" s="111">
        <v>0</v>
      </c>
      <c r="C26" s="111">
        <v>1</v>
      </c>
      <c r="D26" s="111">
        <v>0</v>
      </c>
      <c r="E26" s="111">
        <v>1</v>
      </c>
      <c r="F26" s="111">
        <v>1</v>
      </c>
      <c r="G26" s="111">
        <v>1</v>
      </c>
      <c r="H26" s="111">
        <v>1</v>
      </c>
      <c r="I26" s="111">
        <v>1</v>
      </c>
      <c r="J26" s="111">
        <v>1</v>
      </c>
      <c r="K26" s="111">
        <v>0</v>
      </c>
      <c r="L26" s="111">
        <v>0</v>
      </c>
      <c r="M26" s="111">
        <v>0</v>
      </c>
      <c r="N26" s="111">
        <v>0</v>
      </c>
      <c r="O26" s="111">
        <v>1</v>
      </c>
      <c r="P26" s="111">
        <v>1</v>
      </c>
      <c r="Q26" s="111">
        <v>1</v>
      </c>
      <c r="R26" s="111">
        <v>1</v>
      </c>
      <c r="S26" s="111">
        <v>1</v>
      </c>
      <c r="T26" s="111">
        <v>1</v>
      </c>
      <c r="U26" s="111">
        <v>0</v>
      </c>
      <c r="V26" s="111">
        <v>0</v>
      </c>
      <c r="W26" s="111">
        <v>0</v>
      </c>
      <c r="X26" s="111">
        <v>1</v>
      </c>
      <c r="Y26" s="111">
        <v>1</v>
      </c>
      <c r="Z26" s="111">
        <v>0</v>
      </c>
      <c r="AA26" s="111">
        <v>0</v>
      </c>
      <c r="AB26" s="111">
        <v>0</v>
      </c>
      <c r="AC26" s="111">
        <v>0</v>
      </c>
      <c r="AD26" s="111">
        <v>0</v>
      </c>
      <c r="AE26" s="111">
        <v>1</v>
      </c>
      <c r="AF26" s="111">
        <v>0</v>
      </c>
      <c r="AG26" s="111">
        <v>0</v>
      </c>
      <c r="AH26" s="111">
        <v>0</v>
      </c>
      <c r="AI26" s="111">
        <v>0</v>
      </c>
      <c r="AJ26" s="111">
        <v>0</v>
      </c>
      <c r="AK26" s="111">
        <v>0</v>
      </c>
    </row>
    <row r="27" spans="1:37" customFormat="1" x14ac:dyDescent="0.15">
      <c r="A27" s="192" t="s">
        <v>216</v>
      </c>
      <c r="B27" s="111">
        <v>1</v>
      </c>
      <c r="C27" s="111">
        <v>1</v>
      </c>
      <c r="D27" s="111">
        <v>0</v>
      </c>
      <c r="E27" s="111">
        <v>1</v>
      </c>
      <c r="F27" s="111">
        <v>1</v>
      </c>
      <c r="G27" s="111">
        <v>1</v>
      </c>
      <c r="H27" s="111">
        <v>1</v>
      </c>
      <c r="I27" s="111">
        <v>1</v>
      </c>
      <c r="J27" s="111">
        <v>1</v>
      </c>
      <c r="K27" s="111">
        <v>0</v>
      </c>
      <c r="L27" s="111">
        <v>0</v>
      </c>
      <c r="M27" s="111">
        <v>0</v>
      </c>
      <c r="N27" s="111">
        <v>1</v>
      </c>
      <c r="O27" s="111">
        <v>1</v>
      </c>
      <c r="P27" s="111">
        <v>1</v>
      </c>
      <c r="Q27" s="111">
        <v>1</v>
      </c>
      <c r="R27" s="111">
        <v>1</v>
      </c>
      <c r="S27" s="111">
        <v>1</v>
      </c>
      <c r="T27" s="111">
        <v>1</v>
      </c>
      <c r="U27" s="111">
        <v>0</v>
      </c>
      <c r="V27" s="111">
        <v>1</v>
      </c>
      <c r="W27" s="111">
        <v>0</v>
      </c>
      <c r="X27" s="111">
        <v>1</v>
      </c>
      <c r="Y27" s="111">
        <v>1</v>
      </c>
      <c r="Z27" s="111">
        <v>0</v>
      </c>
      <c r="AA27" s="111">
        <v>1</v>
      </c>
      <c r="AB27" s="111">
        <v>1</v>
      </c>
      <c r="AC27" s="111">
        <v>0</v>
      </c>
      <c r="AD27" s="111">
        <v>0</v>
      </c>
      <c r="AE27" s="111">
        <v>1</v>
      </c>
      <c r="AF27" s="111">
        <v>0</v>
      </c>
      <c r="AG27" s="111">
        <v>0</v>
      </c>
      <c r="AH27" s="111">
        <v>0</v>
      </c>
      <c r="AI27" s="111">
        <v>0</v>
      </c>
      <c r="AJ27" s="111">
        <v>0</v>
      </c>
      <c r="AK27" s="111">
        <v>0</v>
      </c>
    </row>
    <row r="28" spans="1:37" customFormat="1" x14ac:dyDescent="0.15">
      <c r="A28" s="192" t="s">
        <v>217</v>
      </c>
      <c r="B28" s="111">
        <v>1</v>
      </c>
      <c r="C28" s="111">
        <v>0</v>
      </c>
      <c r="D28" s="111">
        <v>0</v>
      </c>
      <c r="E28" s="111">
        <v>0</v>
      </c>
      <c r="F28" s="111">
        <v>1</v>
      </c>
      <c r="G28" s="111">
        <v>1</v>
      </c>
      <c r="H28" s="111">
        <v>1</v>
      </c>
      <c r="I28" s="111">
        <v>0</v>
      </c>
      <c r="J28" s="111">
        <v>0</v>
      </c>
      <c r="K28" s="111">
        <v>0</v>
      </c>
      <c r="L28" s="111">
        <v>0</v>
      </c>
      <c r="M28" s="111">
        <v>0</v>
      </c>
      <c r="N28" s="111">
        <v>0</v>
      </c>
      <c r="O28" s="111">
        <v>0</v>
      </c>
      <c r="P28" s="111">
        <v>0</v>
      </c>
      <c r="Q28" s="111">
        <v>0</v>
      </c>
      <c r="R28" s="111">
        <v>0</v>
      </c>
      <c r="S28" s="111">
        <v>1</v>
      </c>
      <c r="T28" s="111">
        <v>0</v>
      </c>
      <c r="U28" s="111">
        <v>0</v>
      </c>
      <c r="V28" s="111">
        <v>0</v>
      </c>
      <c r="W28" s="111">
        <v>0</v>
      </c>
      <c r="X28" s="111">
        <v>0</v>
      </c>
      <c r="Y28" s="111">
        <v>1</v>
      </c>
      <c r="Z28" s="111">
        <v>0</v>
      </c>
      <c r="AA28" s="111">
        <v>0</v>
      </c>
      <c r="AB28" s="111">
        <v>1</v>
      </c>
      <c r="AC28" s="111">
        <v>0</v>
      </c>
      <c r="AD28" s="111">
        <v>0</v>
      </c>
      <c r="AE28" s="111">
        <v>1</v>
      </c>
      <c r="AF28" s="111">
        <v>0</v>
      </c>
      <c r="AG28" s="111">
        <v>0</v>
      </c>
      <c r="AH28" s="111">
        <v>0</v>
      </c>
      <c r="AI28" s="111">
        <v>0</v>
      </c>
      <c r="AJ28" s="111">
        <v>0</v>
      </c>
      <c r="AK28" s="111">
        <v>0</v>
      </c>
    </row>
    <row r="29" spans="1:37" customFormat="1" x14ac:dyDescent="0.15">
      <c r="A29" s="192" t="s">
        <v>218</v>
      </c>
      <c r="B29" s="111">
        <v>1</v>
      </c>
      <c r="C29" s="111">
        <v>1</v>
      </c>
      <c r="D29" s="111">
        <v>0</v>
      </c>
      <c r="E29" s="111">
        <v>0</v>
      </c>
      <c r="F29" s="111">
        <v>1</v>
      </c>
      <c r="G29" s="111">
        <v>1</v>
      </c>
      <c r="H29" s="111">
        <v>1</v>
      </c>
      <c r="I29" s="111">
        <v>0</v>
      </c>
      <c r="J29" s="111">
        <v>0</v>
      </c>
      <c r="K29" s="111">
        <v>0</v>
      </c>
      <c r="L29" s="111">
        <v>0</v>
      </c>
      <c r="M29" s="111">
        <v>0</v>
      </c>
      <c r="N29" s="111">
        <v>0</v>
      </c>
      <c r="O29" s="111">
        <v>0</v>
      </c>
      <c r="P29" s="111">
        <v>0</v>
      </c>
      <c r="Q29" s="111">
        <v>0</v>
      </c>
      <c r="R29" s="111">
        <v>0</v>
      </c>
      <c r="S29" s="111">
        <v>1</v>
      </c>
      <c r="T29" s="111">
        <v>0</v>
      </c>
      <c r="U29" s="111">
        <v>0</v>
      </c>
      <c r="V29" s="111">
        <v>0</v>
      </c>
      <c r="W29" s="111">
        <v>0</v>
      </c>
      <c r="X29" s="111">
        <v>0</v>
      </c>
      <c r="Y29" s="111">
        <v>1</v>
      </c>
      <c r="Z29" s="111">
        <v>0</v>
      </c>
      <c r="AA29" s="111">
        <v>0</v>
      </c>
      <c r="AB29" s="111">
        <v>1</v>
      </c>
      <c r="AC29" s="111">
        <v>0</v>
      </c>
      <c r="AD29" s="111">
        <v>0</v>
      </c>
      <c r="AE29" s="111">
        <v>1</v>
      </c>
      <c r="AF29" s="111">
        <v>0</v>
      </c>
      <c r="AG29" s="111">
        <v>0</v>
      </c>
      <c r="AH29" s="111">
        <v>0</v>
      </c>
      <c r="AI29" s="111">
        <v>0</v>
      </c>
      <c r="AJ29" s="111">
        <v>0</v>
      </c>
      <c r="AK29" s="111">
        <v>0</v>
      </c>
    </row>
    <row r="30" spans="1:37" customFormat="1" x14ac:dyDescent="0.15">
      <c r="A30" s="192" t="s">
        <v>219</v>
      </c>
      <c r="B30" s="111">
        <v>0</v>
      </c>
      <c r="C30" s="111">
        <v>0</v>
      </c>
      <c r="D30" s="111">
        <v>0</v>
      </c>
      <c r="E30" s="111">
        <v>1</v>
      </c>
      <c r="F30" s="111">
        <v>1</v>
      </c>
      <c r="G30" s="111">
        <v>1</v>
      </c>
      <c r="H30" s="111">
        <v>1</v>
      </c>
      <c r="I30" s="111">
        <v>1</v>
      </c>
      <c r="J30" s="111">
        <v>1</v>
      </c>
      <c r="K30" s="111">
        <v>0</v>
      </c>
      <c r="L30" s="111">
        <v>0</v>
      </c>
      <c r="M30" s="111">
        <v>1</v>
      </c>
      <c r="N30" s="111">
        <v>1</v>
      </c>
      <c r="O30" s="111">
        <v>1</v>
      </c>
      <c r="P30" s="111">
        <v>1</v>
      </c>
      <c r="Q30" s="111">
        <v>1</v>
      </c>
      <c r="R30" s="111">
        <v>1</v>
      </c>
      <c r="S30" s="111">
        <v>1</v>
      </c>
      <c r="T30" s="111">
        <v>1</v>
      </c>
      <c r="U30" s="111">
        <v>1</v>
      </c>
      <c r="V30" s="111">
        <v>1</v>
      </c>
      <c r="W30" s="111">
        <v>1</v>
      </c>
      <c r="X30" s="111">
        <v>1</v>
      </c>
      <c r="Y30" s="111">
        <v>1</v>
      </c>
      <c r="Z30" s="111">
        <v>1</v>
      </c>
      <c r="AA30" s="111">
        <v>1</v>
      </c>
      <c r="AB30" s="111">
        <v>1</v>
      </c>
      <c r="AC30" s="111">
        <v>1</v>
      </c>
      <c r="AD30" s="111">
        <v>1</v>
      </c>
      <c r="AE30" s="111">
        <v>1</v>
      </c>
      <c r="AF30" s="111">
        <v>0</v>
      </c>
      <c r="AG30" s="111">
        <v>0</v>
      </c>
      <c r="AH30" s="111">
        <v>0</v>
      </c>
      <c r="AI30" s="111">
        <v>0</v>
      </c>
      <c r="AJ30" s="111">
        <v>0</v>
      </c>
      <c r="AK30" s="111">
        <v>0</v>
      </c>
    </row>
    <row r="31" spans="1:37" customFormat="1" x14ac:dyDescent="0.15">
      <c r="A31" s="192" t="s">
        <v>220</v>
      </c>
      <c r="B31" s="111">
        <v>1</v>
      </c>
      <c r="C31" s="111">
        <v>1</v>
      </c>
      <c r="D31" s="111">
        <v>0</v>
      </c>
      <c r="E31" s="111">
        <v>1</v>
      </c>
      <c r="F31" s="111">
        <v>1</v>
      </c>
      <c r="G31" s="111">
        <v>1</v>
      </c>
      <c r="H31" s="111">
        <v>1</v>
      </c>
      <c r="I31" s="111">
        <v>1</v>
      </c>
      <c r="J31" s="111">
        <v>1</v>
      </c>
      <c r="K31" s="111">
        <v>0</v>
      </c>
      <c r="L31" s="111">
        <v>0</v>
      </c>
      <c r="M31" s="111">
        <v>0</v>
      </c>
      <c r="N31" s="111">
        <v>0</v>
      </c>
      <c r="O31" s="111">
        <v>1</v>
      </c>
      <c r="P31" s="111">
        <v>0</v>
      </c>
      <c r="Q31" s="111">
        <v>0</v>
      </c>
      <c r="R31" s="111">
        <v>0</v>
      </c>
      <c r="S31" s="111">
        <v>1</v>
      </c>
      <c r="T31" s="111">
        <v>0</v>
      </c>
      <c r="U31" s="111">
        <v>0</v>
      </c>
      <c r="V31" s="111">
        <v>1</v>
      </c>
      <c r="W31" s="111">
        <v>0</v>
      </c>
      <c r="X31" s="111">
        <v>1</v>
      </c>
      <c r="Y31" s="111">
        <v>1</v>
      </c>
      <c r="Z31" s="111">
        <v>0</v>
      </c>
      <c r="AA31" s="111">
        <v>1</v>
      </c>
      <c r="AB31" s="111">
        <v>1</v>
      </c>
      <c r="AC31" s="111">
        <v>1</v>
      </c>
      <c r="AD31" s="111">
        <v>0</v>
      </c>
      <c r="AE31" s="111">
        <v>1</v>
      </c>
      <c r="AF31" s="111">
        <v>0</v>
      </c>
      <c r="AG31" s="111">
        <v>0</v>
      </c>
      <c r="AH31" s="111">
        <v>0</v>
      </c>
      <c r="AI31" s="111">
        <v>0</v>
      </c>
      <c r="AJ31" s="111">
        <v>0</v>
      </c>
      <c r="AK31" s="111">
        <v>0</v>
      </c>
    </row>
    <row r="32" spans="1:37" x14ac:dyDescent="0.15">
      <c r="A32" s="192" t="s">
        <v>221</v>
      </c>
      <c r="B32" s="111">
        <v>0</v>
      </c>
      <c r="C32" s="111">
        <v>1</v>
      </c>
      <c r="D32" s="111">
        <v>0</v>
      </c>
      <c r="E32" s="111">
        <v>1</v>
      </c>
      <c r="F32" s="111">
        <v>1</v>
      </c>
      <c r="G32" s="111">
        <v>1</v>
      </c>
      <c r="H32" s="111">
        <v>1</v>
      </c>
      <c r="I32" s="111">
        <v>1</v>
      </c>
      <c r="J32" s="111">
        <v>1</v>
      </c>
      <c r="K32" s="111">
        <v>1</v>
      </c>
      <c r="L32" s="111">
        <v>1</v>
      </c>
      <c r="M32" s="111">
        <v>1</v>
      </c>
      <c r="N32" s="111">
        <v>1</v>
      </c>
      <c r="O32" s="111">
        <v>1</v>
      </c>
      <c r="P32" s="111">
        <v>1</v>
      </c>
      <c r="Q32" s="111">
        <v>1</v>
      </c>
      <c r="R32" s="111">
        <v>0</v>
      </c>
      <c r="S32" s="111">
        <v>1</v>
      </c>
      <c r="T32" s="111">
        <v>1</v>
      </c>
      <c r="U32" s="111">
        <v>1</v>
      </c>
      <c r="V32" s="111">
        <v>1</v>
      </c>
      <c r="W32" s="111">
        <v>1</v>
      </c>
      <c r="X32" s="111">
        <v>1</v>
      </c>
      <c r="Y32" s="111">
        <v>1</v>
      </c>
      <c r="Z32" s="111">
        <v>1</v>
      </c>
      <c r="AA32" s="111">
        <v>1</v>
      </c>
      <c r="AB32" s="111">
        <v>1</v>
      </c>
      <c r="AC32" s="111">
        <v>1</v>
      </c>
      <c r="AD32" s="111">
        <v>1</v>
      </c>
      <c r="AE32" s="111">
        <v>1</v>
      </c>
      <c r="AF32" s="111">
        <v>1</v>
      </c>
      <c r="AG32" s="111">
        <v>0</v>
      </c>
      <c r="AH32" s="111">
        <v>0</v>
      </c>
      <c r="AI32" s="111">
        <v>0</v>
      </c>
      <c r="AJ32" s="111">
        <v>0</v>
      </c>
      <c r="AK32" s="111">
        <v>0</v>
      </c>
    </row>
    <row r="33" spans="1:37" x14ac:dyDescent="0.15">
      <c r="A33" s="192" t="s">
        <v>222</v>
      </c>
      <c r="B33" s="111">
        <v>1</v>
      </c>
      <c r="C33" s="111">
        <v>0</v>
      </c>
      <c r="D33" s="111">
        <v>1</v>
      </c>
      <c r="E33" s="111">
        <v>1</v>
      </c>
      <c r="F33" s="111">
        <v>1</v>
      </c>
      <c r="G33" s="111">
        <v>1</v>
      </c>
      <c r="H33" s="111">
        <v>1</v>
      </c>
      <c r="I33" s="111">
        <v>1</v>
      </c>
      <c r="J33" s="111">
        <v>1</v>
      </c>
      <c r="K33" s="111">
        <v>1</v>
      </c>
      <c r="L33" s="111">
        <v>0</v>
      </c>
      <c r="M33" s="111">
        <v>1</v>
      </c>
      <c r="N33" s="111">
        <v>1</v>
      </c>
      <c r="O33" s="111">
        <v>1</v>
      </c>
      <c r="P33" s="111">
        <v>1</v>
      </c>
      <c r="Q33" s="111">
        <v>1</v>
      </c>
      <c r="R33" s="111">
        <v>1</v>
      </c>
      <c r="S33" s="111">
        <v>1</v>
      </c>
      <c r="T33" s="111">
        <v>1</v>
      </c>
      <c r="U33" s="111">
        <v>1</v>
      </c>
      <c r="V33" s="111">
        <v>1</v>
      </c>
      <c r="W33" s="111">
        <v>1</v>
      </c>
      <c r="X33" s="111">
        <v>1</v>
      </c>
      <c r="Y33" s="111">
        <v>1</v>
      </c>
      <c r="Z33" s="111">
        <v>1</v>
      </c>
      <c r="AA33" s="111">
        <v>1</v>
      </c>
      <c r="AB33" s="111">
        <v>1</v>
      </c>
      <c r="AC33" s="111">
        <v>1</v>
      </c>
      <c r="AD33" s="111">
        <v>1</v>
      </c>
      <c r="AE33" s="111">
        <v>1</v>
      </c>
      <c r="AF33" s="111">
        <v>0</v>
      </c>
      <c r="AG33" s="111">
        <v>1</v>
      </c>
      <c r="AH33" s="111">
        <v>0</v>
      </c>
      <c r="AI33" s="111">
        <v>0</v>
      </c>
      <c r="AJ33" s="111">
        <v>0</v>
      </c>
      <c r="AK33" s="111">
        <v>0</v>
      </c>
    </row>
    <row r="34" spans="1:37" x14ac:dyDescent="0.15">
      <c r="A34" s="192" t="s">
        <v>223</v>
      </c>
      <c r="B34" s="111">
        <v>0</v>
      </c>
      <c r="C34" s="111">
        <v>0</v>
      </c>
      <c r="D34" s="111">
        <v>0</v>
      </c>
      <c r="E34" s="111">
        <v>0</v>
      </c>
      <c r="F34" s="111">
        <v>0</v>
      </c>
      <c r="G34" s="111">
        <v>0</v>
      </c>
      <c r="H34" s="111">
        <v>1</v>
      </c>
      <c r="I34" s="111">
        <v>1</v>
      </c>
      <c r="J34" s="111">
        <v>1</v>
      </c>
      <c r="K34" s="111">
        <v>1</v>
      </c>
      <c r="L34" s="111">
        <v>1</v>
      </c>
      <c r="M34" s="111">
        <v>1</v>
      </c>
      <c r="N34" s="111">
        <v>0</v>
      </c>
      <c r="O34" s="111">
        <v>0</v>
      </c>
      <c r="P34" s="111">
        <v>0</v>
      </c>
      <c r="Q34" s="111">
        <v>0</v>
      </c>
      <c r="R34" s="111">
        <v>0</v>
      </c>
      <c r="S34" s="111">
        <v>1</v>
      </c>
      <c r="T34" s="111">
        <v>0</v>
      </c>
      <c r="U34" s="111">
        <v>1</v>
      </c>
      <c r="V34" s="111">
        <v>0</v>
      </c>
      <c r="W34" s="111">
        <v>0</v>
      </c>
      <c r="X34" s="111">
        <v>1</v>
      </c>
      <c r="Y34" s="111">
        <v>1</v>
      </c>
      <c r="Z34" s="111">
        <v>1</v>
      </c>
      <c r="AA34" s="111">
        <v>1</v>
      </c>
      <c r="AB34" s="111">
        <v>1</v>
      </c>
      <c r="AC34" s="111">
        <v>1</v>
      </c>
      <c r="AD34" s="111">
        <v>1</v>
      </c>
      <c r="AE34" s="111">
        <v>1</v>
      </c>
      <c r="AF34" s="111">
        <v>1</v>
      </c>
      <c r="AG34" s="111">
        <v>1</v>
      </c>
      <c r="AH34" s="111">
        <v>0</v>
      </c>
      <c r="AI34" s="111">
        <v>0</v>
      </c>
      <c r="AJ34" s="111">
        <v>0</v>
      </c>
      <c r="AK34" s="111">
        <v>0</v>
      </c>
    </row>
    <row r="35" spans="1:37" x14ac:dyDescent="0.15">
      <c r="A35" s="192" t="s">
        <v>224</v>
      </c>
      <c r="B35" s="111">
        <v>0</v>
      </c>
      <c r="C35" s="111">
        <v>0</v>
      </c>
      <c r="D35" s="111">
        <v>1</v>
      </c>
      <c r="E35" s="111">
        <v>0</v>
      </c>
      <c r="F35" s="111">
        <v>0</v>
      </c>
      <c r="G35" s="111">
        <v>0</v>
      </c>
      <c r="H35" s="111">
        <v>0</v>
      </c>
      <c r="I35" s="111">
        <v>0</v>
      </c>
      <c r="J35" s="111">
        <v>0</v>
      </c>
      <c r="K35" s="111">
        <v>1</v>
      </c>
      <c r="L35" s="111">
        <v>1</v>
      </c>
      <c r="M35" s="111">
        <v>1</v>
      </c>
      <c r="N35" s="111">
        <v>0</v>
      </c>
      <c r="O35" s="111">
        <v>0</v>
      </c>
      <c r="P35" s="111">
        <v>0</v>
      </c>
      <c r="Q35" s="111">
        <v>0</v>
      </c>
      <c r="R35" s="111">
        <v>0</v>
      </c>
      <c r="S35" s="111">
        <v>1</v>
      </c>
      <c r="T35" s="111">
        <v>0</v>
      </c>
      <c r="U35" s="111">
        <v>1</v>
      </c>
      <c r="V35" s="111">
        <v>1</v>
      </c>
      <c r="W35" s="111">
        <v>1</v>
      </c>
      <c r="X35" s="111">
        <v>0</v>
      </c>
      <c r="Y35" s="111">
        <v>0</v>
      </c>
      <c r="Z35" s="111">
        <v>1</v>
      </c>
      <c r="AA35" s="111">
        <v>1</v>
      </c>
      <c r="AB35" s="111">
        <v>0</v>
      </c>
      <c r="AC35" s="111">
        <v>0</v>
      </c>
      <c r="AD35" s="111">
        <v>0</v>
      </c>
      <c r="AE35" s="111">
        <v>0</v>
      </c>
      <c r="AF35" s="111">
        <v>1</v>
      </c>
      <c r="AG35" s="111">
        <v>1</v>
      </c>
      <c r="AH35" s="111">
        <v>1</v>
      </c>
      <c r="AI35" s="111">
        <v>0</v>
      </c>
      <c r="AJ35" s="111">
        <v>0</v>
      </c>
      <c r="AK35" s="111">
        <v>0</v>
      </c>
    </row>
    <row r="36" spans="1:37" x14ac:dyDescent="0.15">
      <c r="A36" s="192" t="s">
        <v>225</v>
      </c>
      <c r="B36" s="111">
        <v>0</v>
      </c>
      <c r="C36" s="111">
        <v>0</v>
      </c>
      <c r="D36" s="111">
        <v>0</v>
      </c>
      <c r="E36" s="111">
        <v>0</v>
      </c>
      <c r="F36" s="111">
        <v>0</v>
      </c>
      <c r="G36" s="111">
        <v>1</v>
      </c>
      <c r="H36" s="111">
        <v>0</v>
      </c>
      <c r="I36" s="111">
        <v>1</v>
      </c>
      <c r="J36" s="111">
        <v>1</v>
      </c>
      <c r="K36" s="111">
        <v>1</v>
      </c>
      <c r="L36" s="111">
        <v>0</v>
      </c>
      <c r="M36" s="111">
        <v>1</v>
      </c>
      <c r="N36" s="111">
        <v>0</v>
      </c>
      <c r="O36" s="111">
        <v>0</v>
      </c>
      <c r="P36" s="111">
        <v>0</v>
      </c>
      <c r="Q36" s="111">
        <v>0</v>
      </c>
      <c r="R36" s="111">
        <v>0</v>
      </c>
      <c r="S36" s="111">
        <v>1</v>
      </c>
      <c r="T36" s="111">
        <v>0</v>
      </c>
      <c r="U36" s="111">
        <v>1</v>
      </c>
      <c r="V36" s="111">
        <v>0</v>
      </c>
      <c r="W36" s="111">
        <v>0</v>
      </c>
      <c r="X36" s="111">
        <v>0</v>
      </c>
      <c r="Y36" s="111">
        <v>1</v>
      </c>
      <c r="Z36" s="111">
        <v>1</v>
      </c>
      <c r="AA36" s="111">
        <v>1</v>
      </c>
      <c r="AB36" s="111">
        <v>0</v>
      </c>
      <c r="AC36" s="111">
        <v>0</v>
      </c>
      <c r="AD36" s="111">
        <v>1</v>
      </c>
      <c r="AE36" s="111">
        <v>0</v>
      </c>
      <c r="AF36" s="111">
        <v>1</v>
      </c>
      <c r="AG36" s="111">
        <v>1</v>
      </c>
      <c r="AH36" s="111">
        <v>1</v>
      </c>
      <c r="AI36" s="111">
        <v>0</v>
      </c>
      <c r="AJ36" s="111">
        <v>0</v>
      </c>
      <c r="AK36" s="111">
        <v>0</v>
      </c>
    </row>
    <row r="37" spans="1:37" x14ac:dyDescent="0.15">
      <c r="A37" s="192" t="s">
        <v>226</v>
      </c>
      <c r="B37" s="111">
        <v>0</v>
      </c>
      <c r="C37" s="111">
        <v>0</v>
      </c>
      <c r="D37" s="111">
        <v>0</v>
      </c>
      <c r="E37" s="111">
        <v>0</v>
      </c>
      <c r="F37" s="111">
        <v>0</v>
      </c>
      <c r="G37" s="111">
        <v>0</v>
      </c>
      <c r="H37" s="111">
        <v>0</v>
      </c>
      <c r="I37" s="111">
        <v>0</v>
      </c>
      <c r="J37" s="111">
        <v>0</v>
      </c>
      <c r="K37" s="111">
        <v>0</v>
      </c>
      <c r="L37" s="111">
        <v>0</v>
      </c>
      <c r="M37" s="111">
        <v>0</v>
      </c>
      <c r="N37" s="111">
        <v>0</v>
      </c>
      <c r="O37" s="111">
        <v>0</v>
      </c>
      <c r="P37" s="111">
        <v>0</v>
      </c>
      <c r="Q37" s="111">
        <v>0</v>
      </c>
      <c r="R37" s="111">
        <v>0</v>
      </c>
      <c r="S37" s="111">
        <v>0</v>
      </c>
      <c r="T37" s="111">
        <v>0</v>
      </c>
      <c r="U37" s="111">
        <v>0</v>
      </c>
      <c r="V37" s="111">
        <v>0</v>
      </c>
      <c r="W37" s="111">
        <v>0</v>
      </c>
      <c r="X37" s="111">
        <v>0</v>
      </c>
      <c r="Y37" s="111">
        <v>0</v>
      </c>
      <c r="Z37" s="111">
        <v>0</v>
      </c>
      <c r="AA37" s="111">
        <v>0</v>
      </c>
      <c r="AB37" s="111">
        <v>0</v>
      </c>
      <c r="AC37" s="111">
        <v>0</v>
      </c>
      <c r="AD37" s="111">
        <v>0</v>
      </c>
      <c r="AE37" s="111">
        <v>0</v>
      </c>
      <c r="AF37" s="111">
        <v>0</v>
      </c>
      <c r="AG37" s="111">
        <v>0</v>
      </c>
      <c r="AH37" s="111">
        <v>0</v>
      </c>
      <c r="AI37" s="111">
        <v>0</v>
      </c>
      <c r="AJ37" s="111">
        <v>0</v>
      </c>
      <c r="AK37" s="111">
        <v>0</v>
      </c>
    </row>
    <row r="38" spans="1:37" x14ac:dyDescent="0.15">
      <c r="A38" s="192" t="s">
        <v>229</v>
      </c>
      <c r="B38" s="111">
        <v>1</v>
      </c>
      <c r="C38" s="111">
        <v>1</v>
      </c>
      <c r="D38" s="111">
        <v>0</v>
      </c>
      <c r="E38" s="111">
        <v>1</v>
      </c>
      <c r="F38" s="111">
        <v>1</v>
      </c>
      <c r="G38" s="111">
        <v>1</v>
      </c>
      <c r="H38" s="111">
        <v>1</v>
      </c>
      <c r="I38" s="111">
        <v>0</v>
      </c>
      <c r="J38" s="111">
        <v>0</v>
      </c>
      <c r="K38" s="111">
        <v>1</v>
      </c>
      <c r="L38" s="111">
        <v>0</v>
      </c>
      <c r="M38" s="111">
        <v>0</v>
      </c>
      <c r="N38" s="111">
        <v>0</v>
      </c>
      <c r="O38" s="111">
        <v>0</v>
      </c>
      <c r="P38" s="111">
        <v>0</v>
      </c>
      <c r="Q38" s="111">
        <v>0</v>
      </c>
      <c r="R38" s="111">
        <v>0</v>
      </c>
      <c r="S38" s="111">
        <v>1</v>
      </c>
      <c r="T38" s="111">
        <v>0</v>
      </c>
      <c r="U38" s="111">
        <v>0</v>
      </c>
      <c r="V38" s="111">
        <v>0</v>
      </c>
      <c r="W38" s="111">
        <v>0</v>
      </c>
      <c r="X38" s="111">
        <v>0</v>
      </c>
      <c r="Y38" s="111">
        <v>0</v>
      </c>
      <c r="Z38" s="111">
        <v>0</v>
      </c>
      <c r="AA38" s="111">
        <v>0</v>
      </c>
      <c r="AB38" s="111">
        <v>1</v>
      </c>
      <c r="AC38" s="111">
        <v>1</v>
      </c>
      <c r="AD38" s="111">
        <v>0</v>
      </c>
      <c r="AE38" s="111">
        <v>1</v>
      </c>
      <c r="AF38" s="111">
        <v>0</v>
      </c>
      <c r="AG38" s="111">
        <v>0</v>
      </c>
      <c r="AH38" s="111">
        <v>0</v>
      </c>
      <c r="AI38" s="111">
        <v>0</v>
      </c>
      <c r="AJ38" s="111">
        <v>0</v>
      </c>
      <c r="AK38" s="111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D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2.5" bestFit="1" customWidth="1"/>
    <col min="3" max="4" width="3.83203125" bestFit="1" customWidth="1"/>
  </cols>
  <sheetData>
    <row r="1" spans="1:4" ht="112" x14ac:dyDescent="0.15">
      <c r="A1" s="5" t="s">
        <v>83</v>
      </c>
      <c r="B1" s="3" t="s">
        <v>0</v>
      </c>
      <c r="C1" s="195" t="s">
        <v>227</v>
      </c>
      <c r="D1" s="195" t="s">
        <v>228</v>
      </c>
    </row>
    <row r="2" spans="1:4" x14ac:dyDescent="0.15">
      <c r="A2">
        <v>1</v>
      </c>
      <c r="B2" s="194" t="s">
        <v>191</v>
      </c>
      <c r="C2">
        <v>0</v>
      </c>
      <c r="D2">
        <v>0</v>
      </c>
    </row>
    <row r="3" spans="1:4" x14ac:dyDescent="0.15">
      <c r="A3">
        <v>2</v>
      </c>
      <c r="B3" s="194" t="s">
        <v>192</v>
      </c>
      <c r="C3">
        <v>0</v>
      </c>
      <c r="D3">
        <v>0</v>
      </c>
    </row>
    <row r="4" spans="1:4" x14ac:dyDescent="0.15">
      <c r="A4">
        <v>3</v>
      </c>
      <c r="B4" s="194" t="s">
        <v>193</v>
      </c>
      <c r="C4">
        <v>0</v>
      </c>
      <c r="D4">
        <v>0</v>
      </c>
    </row>
    <row r="5" spans="1:4" x14ac:dyDescent="0.15">
      <c r="A5">
        <v>4</v>
      </c>
      <c r="B5" s="194" t="s">
        <v>194</v>
      </c>
      <c r="C5">
        <v>0</v>
      </c>
      <c r="D5">
        <v>0</v>
      </c>
    </row>
    <row r="6" spans="1:4" x14ac:dyDescent="0.15">
      <c r="A6">
        <v>5</v>
      </c>
      <c r="B6" s="194" t="s">
        <v>195</v>
      </c>
      <c r="C6">
        <v>0.8</v>
      </c>
      <c r="D6">
        <v>0.8</v>
      </c>
    </row>
    <row r="7" spans="1:4" x14ac:dyDescent="0.15">
      <c r="A7">
        <v>6</v>
      </c>
      <c r="B7" s="194" t="s">
        <v>196</v>
      </c>
      <c r="C7">
        <v>0.8</v>
      </c>
      <c r="D7">
        <v>0.8</v>
      </c>
    </row>
    <row r="8" spans="1:4" x14ac:dyDescent="0.15">
      <c r="A8">
        <v>7</v>
      </c>
      <c r="B8" s="194" t="s">
        <v>197</v>
      </c>
      <c r="C8">
        <v>0.8</v>
      </c>
      <c r="D8">
        <v>0.8</v>
      </c>
    </row>
    <row r="9" spans="1:4" x14ac:dyDescent="0.15">
      <c r="A9">
        <v>8</v>
      </c>
      <c r="B9" s="194" t="s">
        <v>198</v>
      </c>
      <c r="C9">
        <v>0.8</v>
      </c>
      <c r="D9">
        <v>0.8</v>
      </c>
    </row>
    <row r="10" spans="1:4" x14ac:dyDescent="0.15">
      <c r="A10">
        <v>9</v>
      </c>
      <c r="B10" s="194" t="s">
        <v>199</v>
      </c>
      <c r="C10">
        <v>0.8</v>
      </c>
      <c r="D10">
        <v>0.8</v>
      </c>
    </row>
    <row r="11" spans="1:4" x14ac:dyDescent="0.15">
      <c r="A11">
        <v>10</v>
      </c>
      <c r="B11" s="194" t="s">
        <v>200</v>
      </c>
      <c r="C11">
        <v>0</v>
      </c>
      <c r="D11">
        <v>0.8</v>
      </c>
    </row>
    <row r="12" spans="1:4" x14ac:dyDescent="0.15">
      <c r="A12">
        <v>11</v>
      </c>
      <c r="B12" s="194" t="s">
        <v>201</v>
      </c>
      <c r="C12">
        <v>0.8</v>
      </c>
      <c r="D12">
        <v>0</v>
      </c>
    </row>
    <row r="13" spans="1:4" x14ac:dyDescent="0.15">
      <c r="A13">
        <v>12</v>
      </c>
      <c r="B13" s="194" t="s">
        <v>202</v>
      </c>
      <c r="C13">
        <v>0.8</v>
      </c>
      <c r="D13">
        <v>0.8</v>
      </c>
    </row>
    <row r="14" spans="1:4" x14ac:dyDescent="0.15">
      <c r="A14">
        <v>13</v>
      </c>
      <c r="B14" s="194" t="s">
        <v>203</v>
      </c>
      <c r="C14">
        <v>0.8</v>
      </c>
      <c r="D14">
        <v>0.8</v>
      </c>
    </row>
    <row r="15" spans="1:4" x14ac:dyDescent="0.15">
      <c r="A15">
        <v>14</v>
      </c>
      <c r="B15" s="194" t="s">
        <v>204</v>
      </c>
      <c r="C15">
        <v>0.8</v>
      </c>
      <c r="D15">
        <v>0.8</v>
      </c>
    </row>
    <row r="16" spans="1:4" x14ac:dyDescent="0.15">
      <c r="A16">
        <v>15</v>
      </c>
      <c r="B16" s="194" t="s">
        <v>205</v>
      </c>
      <c r="C16">
        <v>0.8</v>
      </c>
      <c r="D16">
        <v>0.8</v>
      </c>
    </row>
    <row r="17" spans="1:4" x14ac:dyDescent="0.15">
      <c r="A17">
        <v>16</v>
      </c>
      <c r="B17" s="194" t="s">
        <v>206</v>
      </c>
      <c r="C17">
        <v>0.8</v>
      </c>
      <c r="D17">
        <v>0.8</v>
      </c>
    </row>
    <row r="18" spans="1:4" x14ac:dyDescent="0.15">
      <c r="A18">
        <v>17</v>
      </c>
      <c r="B18" s="194" t="s">
        <v>207</v>
      </c>
      <c r="C18">
        <v>0.8</v>
      </c>
      <c r="D18">
        <v>0.8</v>
      </c>
    </row>
    <row r="19" spans="1:4" x14ac:dyDescent="0.15">
      <c r="A19">
        <v>18</v>
      </c>
      <c r="B19" s="194" t="s">
        <v>208</v>
      </c>
      <c r="C19">
        <v>0.8</v>
      </c>
      <c r="D19">
        <v>0.8</v>
      </c>
    </row>
    <row r="20" spans="1:4" x14ac:dyDescent="0.15">
      <c r="A20">
        <v>19</v>
      </c>
      <c r="B20" s="194" t="s">
        <v>209</v>
      </c>
      <c r="C20">
        <v>0.8</v>
      </c>
      <c r="D20">
        <v>0.8</v>
      </c>
    </row>
    <row r="21" spans="1:4" x14ac:dyDescent="0.15">
      <c r="A21">
        <v>20</v>
      </c>
      <c r="B21" s="194" t="s">
        <v>210</v>
      </c>
      <c r="C21">
        <v>0.8</v>
      </c>
      <c r="D21">
        <v>0.8</v>
      </c>
    </row>
    <row r="22" spans="1:4" x14ac:dyDescent="0.15">
      <c r="A22">
        <v>21</v>
      </c>
      <c r="B22" s="194" t="s">
        <v>211</v>
      </c>
      <c r="C22">
        <v>0.8</v>
      </c>
      <c r="D22">
        <v>0.8</v>
      </c>
    </row>
    <row r="23" spans="1:4" x14ac:dyDescent="0.15">
      <c r="A23">
        <v>22</v>
      </c>
      <c r="B23" s="194" t="s">
        <v>212</v>
      </c>
      <c r="C23">
        <v>0.8</v>
      </c>
      <c r="D23">
        <v>0.8</v>
      </c>
    </row>
    <row r="24" spans="1:4" x14ac:dyDescent="0.15">
      <c r="A24">
        <v>23</v>
      </c>
      <c r="B24" s="194" t="s">
        <v>213</v>
      </c>
      <c r="C24">
        <v>0.8</v>
      </c>
      <c r="D24">
        <v>0.8</v>
      </c>
    </row>
    <row r="25" spans="1:4" x14ac:dyDescent="0.15">
      <c r="A25">
        <v>24</v>
      </c>
      <c r="B25" s="194" t="s">
        <v>214</v>
      </c>
      <c r="C25">
        <v>0.8</v>
      </c>
      <c r="D25">
        <v>0.8</v>
      </c>
    </row>
    <row r="26" spans="1:4" x14ac:dyDescent="0.15">
      <c r="A26">
        <v>25</v>
      </c>
      <c r="B26" s="194" t="s">
        <v>215</v>
      </c>
      <c r="C26">
        <v>0.8</v>
      </c>
      <c r="D26">
        <v>0.8</v>
      </c>
    </row>
    <row r="27" spans="1:4" x14ac:dyDescent="0.15">
      <c r="A27">
        <v>26</v>
      </c>
      <c r="B27" s="194" t="s">
        <v>216</v>
      </c>
      <c r="C27">
        <v>0.8</v>
      </c>
      <c r="D27">
        <v>0.8</v>
      </c>
    </row>
    <row r="28" spans="1:4" x14ac:dyDescent="0.15">
      <c r="A28">
        <v>27</v>
      </c>
      <c r="B28" s="194" t="s">
        <v>217</v>
      </c>
      <c r="C28">
        <v>0.8</v>
      </c>
      <c r="D28">
        <v>0.8</v>
      </c>
    </row>
    <row r="29" spans="1:4" x14ac:dyDescent="0.15">
      <c r="A29">
        <v>28</v>
      </c>
      <c r="B29" s="194" t="s">
        <v>218</v>
      </c>
      <c r="C29">
        <v>0.8</v>
      </c>
      <c r="D29">
        <v>0.8</v>
      </c>
    </row>
    <row r="30" spans="1:4" x14ac:dyDescent="0.15">
      <c r="A30">
        <v>29</v>
      </c>
      <c r="B30" s="194" t="s">
        <v>219</v>
      </c>
      <c r="C30">
        <v>0</v>
      </c>
      <c r="D30">
        <v>0.8</v>
      </c>
    </row>
    <row r="31" spans="1:4" x14ac:dyDescent="0.15">
      <c r="A31">
        <v>30</v>
      </c>
      <c r="B31" s="194" t="s">
        <v>220</v>
      </c>
      <c r="C31">
        <v>0</v>
      </c>
      <c r="D31">
        <v>0.8</v>
      </c>
    </row>
    <row r="32" spans="1:4" x14ac:dyDescent="0.15">
      <c r="A32">
        <v>31</v>
      </c>
      <c r="B32" s="194" t="s">
        <v>221</v>
      </c>
      <c r="C32">
        <v>0</v>
      </c>
      <c r="D32">
        <v>0</v>
      </c>
    </row>
    <row r="33" spans="1:4" x14ac:dyDescent="0.15">
      <c r="A33">
        <v>32</v>
      </c>
      <c r="B33" s="194" t="s">
        <v>222</v>
      </c>
      <c r="C33">
        <v>0</v>
      </c>
      <c r="D33">
        <v>0</v>
      </c>
    </row>
    <row r="34" spans="1:4" x14ac:dyDescent="0.15">
      <c r="A34">
        <v>33</v>
      </c>
      <c r="B34" s="194" t="s">
        <v>223</v>
      </c>
      <c r="C34">
        <v>0</v>
      </c>
      <c r="D34">
        <v>0</v>
      </c>
    </row>
    <row r="35" spans="1:4" x14ac:dyDescent="0.15">
      <c r="A35">
        <v>34</v>
      </c>
      <c r="B35" s="194" t="s">
        <v>224</v>
      </c>
      <c r="C35">
        <v>0</v>
      </c>
      <c r="D35">
        <v>0</v>
      </c>
    </row>
    <row r="36" spans="1:4" x14ac:dyDescent="0.15">
      <c r="A36">
        <v>35</v>
      </c>
      <c r="B36" s="194" t="s">
        <v>225</v>
      </c>
      <c r="C36">
        <v>0</v>
      </c>
      <c r="D36">
        <v>0</v>
      </c>
    </row>
    <row r="37" spans="1:4" x14ac:dyDescent="0.15">
      <c r="A37">
        <v>36</v>
      </c>
      <c r="B37" s="194" t="s">
        <v>226</v>
      </c>
      <c r="C37">
        <v>0</v>
      </c>
      <c r="D37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D37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2.5" bestFit="1" customWidth="1"/>
    <col min="3" max="4" width="3.83203125" bestFit="1" customWidth="1"/>
  </cols>
  <sheetData>
    <row r="1" spans="1:4" ht="112" x14ac:dyDescent="0.15">
      <c r="A1" s="5" t="s">
        <v>82</v>
      </c>
      <c r="B1" s="3" t="s">
        <v>0</v>
      </c>
      <c r="C1" s="197" t="s">
        <v>227</v>
      </c>
      <c r="D1" s="197" t="s">
        <v>228</v>
      </c>
    </row>
    <row r="2" spans="1:4" x14ac:dyDescent="0.15">
      <c r="A2">
        <v>1</v>
      </c>
      <c r="B2" s="196" t="s">
        <v>191</v>
      </c>
      <c r="C2">
        <v>0</v>
      </c>
      <c r="D2">
        <v>0</v>
      </c>
    </row>
    <row r="3" spans="1:4" x14ac:dyDescent="0.15">
      <c r="A3">
        <v>2</v>
      </c>
      <c r="B3" s="196" t="s">
        <v>192</v>
      </c>
      <c r="C3">
        <v>0</v>
      </c>
      <c r="D3">
        <v>0</v>
      </c>
    </row>
    <row r="4" spans="1:4" x14ac:dyDescent="0.15">
      <c r="A4">
        <v>3</v>
      </c>
      <c r="B4" s="196" t="s">
        <v>193</v>
      </c>
      <c r="C4">
        <v>0</v>
      </c>
      <c r="D4">
        <v>0</v>
      </c>
    </row>
    <row r="5" spans="1:4" x14ac:dyDescent="0.15">
      <c r="A5">
        <v>4</v>
      </c>
      <c r="B5" s="196" t="s">
        <v>194</v>
      </c>
      <c r="C5">
        <v>0</v>
      </c>
      <c r="D5">
        <v>0</v>
      </c>
    </row>
    <row r="6" spans="1:4" x14ac:dyDescent="0.15">
      <c r="A6">
        <v>5</v>
      </c>
      <c r="B6" s="196" t="s">
        <v>195</v>
      </c>
      <c r="C6">
        <v>0.8</v>
      </c>
      <c r="D6">
        <v>0.8</v>
      </c>
    </row>
    <row r="7" spans="1:4" x14ac:dyDescent="0.15">
      <c r="A7">
        <v>6</v>
      </c>
      <c r="B7" s="196" t="s">
        <v>196</v>
      </c>
      <c r="C7">
        <v>0.8</v>
      </c>
      <c r="D7">
        <v>0.8</v>
      </c>
    </row>
    <row r="8" spans="1:4" x14ac:dyDescent="0.15">
      <c r="A8">
        <v>7</v>
      </c>
      <c r="B8" s="196" t="s">
        <v>197</v>
      </c>
      <c r="C8">
        <v>0.8</v>
      </c>
      <c r="D8">
        <v>0.8</v>
      </c>
    </row>
    <row r="9" spans="1:4" x14ac:dyDescent="0.15">
      <c r="A9">
        <v>8</v>
      </c>
      <c r="B9" s="196" t="s">
        <v>198</v>
      </c>
      <c r="C9">
        <v>0.8</v>
      </c>
      <c r="D9">
        <v>0.8</v>
      </c>
    </row>
    <row r="10" spans="1:4" x14ac:dyDescent="0.15">
      <c r="A10">
        <v>9</v>
      </c>
      <c r="B10" s="196" t="s">
        <v>199</v>
      </c>
      <c r="C10">
        <v>0.8</v>
      </c>
      <c r="D10">
        <v>0.8</v>
      </c>
    </row>
    <row r="11" spans="1:4" x14ac:dyDescent="0.15">
      <c r="A11">
        <v>10</v>
      </c>
      <c r="B11" s="196" t="s">
        <v>200</v>
      </c>
      <c r="C11">
        <v>0</v>
      </c>
      <c r="D11">
        <v>0.8</v>
      </c>
    </row>
    <row r="12" spans="1:4" x14ac:dyDescent="0.15">
      <c r="A12">
        <v>11</v>
      </c>
      <c r="B12" s="196" t="s">
        <v>201</v>
      </c>
      <c r="C12">
        <v>0.8</v>
      </c>
      <c r="D12">
        <v>0</v>
      </c>
    </row>
    <row r="13" spans="1:4" x14ac:dyDescent="0.15">
      <c r="A13">
        <v>12</v>
      </c>
      <c r="B13" s="196" t="s">
        <v>202</v>
      </c>
      <c r="C13">
        <v>0.8</v>
      </c>
      <c r="D13">
        <v>0.8</v>
      </c>
    </row>
    <row r="14" spans="1:4" x14ac:dyDescent="0.15">
      <c r="A14">
        <v>13</v>
      </c>
      <c r="B14" s="196" t="s">
        <v>203</v>
      </c>
      <c r="C14">
        <v>0.8</v>
      </c>
      <c r="D14">
        <v>0.8</v>
      </c>
    </row>
    <row r="15" spans="1:4" x14ac:dyDescent="0.15">
      <c r="A15">
        <v>14</v>
      </c>
      <c r="B15" s="196" t="s">
        <v>204</v>
      </c>
      <c r="C15">
        <v>0.8</v>
      </c>
      <c r="D15">
        <v>0.8</v>
      </c>
    </row>
    <row r="16" spans="1:4" x14ac:dyDescent="0.15">
      <c r="A16">
        <v>15</v>
      </c>
      <c r="B16" s="196" t="s">
        <v>205</v>
      </c>
      <c r="C16">
        <v>0.8</v>
      </c>
      <c r="D16">
        <v>0.8</v>
      </c>
    </row>
    <row r="17" spans="1:4" x14ac:dyDescent="0.15">
      <c r="A17">
        <v>16</v>
      </c>
      <c r="B17" s="196" t="s">
        <v>206</v>
      </c>
      <c r="C17">
        <v>0.8</v>
      </c>
      <c r="D17">
        <v>0.8</v>
      </c>
    </row>
    <row r="18" spans="1:4" x14ac:dyDescent="0.15">
      <c r="A18">
        <v>17</v>
      </c>
      <c r="B18" s="196" t="s">
        <v>207</v>
      </c>
      <c r="C18">
        <v>0.8</v>
      </c>
      <c r="D18">
        <v>0.8</v>
      </c>
    </row>
    <row r="19" spans="1:4" x14ac:dyDescent="0.15">
      <c r="A19">
        <v>18</v>
      </c>
      <c r="B19" s="196" t="s">
        <v>208</v>
      </c>
      <c r="C19">
        <v>0.8</v>
      </c>
      <c r="D19">
        <v>0.8</v>
      </c>
    </row>
    <row r="20" spans="1:4" x14ac:dyDescent="0.15">
      <c r="A20">
        <v>19</v>
      </c>
      <c r="B20" s="196" t="s">
        <v>209</v>
      </c>
      <c r="C20">
        <v>0.8</v>
      </c>
      <c r="D20">
        <v>0.8</v>
      </c>
    </row>
    <row r="21" spans="1:4" x14ac:dyDescent="0.15">
      <c r="A21">
        <v>20</v>
      </c>
      <c r="B21" s="196" t="s">
        <v>210</v>
      </c>
      <c r="C21">
        <v>0.8</v>
      </c>
      <c r="D21">
        <v>0.8</v>
      </c>
    </row>
    <row r="22" spans="1:4" x14ac:dyDescent="0.15">
      <c r="A22">
        <v>21</v>
      </c>
      <c r="B22" s="196" t="s">
        <v>211</v>
      </c>
      <c r="C22">
        <v>0.8</v>
      </c>
      <c r="D22">
        <v>0.8</v>
      </c>
    </row>
    <row r="23" spans="1:4" x14ac:dyDescent="0.15">
      <c r="A23">
        <v>22</v>
      </c>
      <c r="B23" s="196" t="s">
        <v>212</v>
      </c>
      <c r="C23">
        <v>0.8</v>
      </c>
      <c r="D23">
        <v>0.8</v>
      </c>
    </row>
    <row r="24" spans="1:4" x14ac:dyDescent="0.15">
      <c r="A24">
        <v>23</v>
      </c>
      <c r="B24" s="196" t="s">
        <v>213</v>
      </c>
      <c r="C24">
        <v>0.8</v>
      </c>
      <c r="D24">
        <v>0.8</v>
      </c>
    </row>
    <row r="25" spans="1:4" x14ac:dyDescent="0.15">
      <c r="A25">
        <v>24</v>
      </c>
      <c r="B25" s="196" t="s">
        <v>214</v>
      </c>
      <c r="C25">
        <v>0.8</v>
      </c>
      <c r="D25">
        <v>0.8</v>
      </c>
    </row>
    <row r="26" spans="1:4" x14ac:dyDescent="0.15">
      <c r="A26">
        <v>25</v>
      </c>
      <c r="B26" s="196" t="s">
        <v>215</v>
      </c>
      <c r="C26">
        <v>0.8</v>
      </c>
      <c r="D26">
        <v>0.8</v>
      </c>
    </row>
    <row r="27" spans="1:4" x14ac:dyDescent="0.15">
      <c r="A27">
        <v>26</v>
      </c>
      <c r="B27" s="196" t="s">
        <v>216</v>
      </c>
      <c r="C27">
        <v>0.8</v>
      </c>
      <c r="D27">
        <v>0.8</v>
      </c>
    </row>
    <row r="28" spans="1:4" x14ac:dyDescent="0.15">
      <c r="A28">
        <v>27</v>
      </c>
      <c r="B28" s="196" t="s">
        <v>217</v>
      </c>
      <c r="C28">
        <v>0.8</v>
      </c>
      <c r="D28">
        <v>0.8</v>
      </c>
    </row>
    <row r="29" spans="1:4" x14ac:dyDescent="0.15">
      <c r="A29">
        <v>28</v>
      </c>
      <c r="B29" s="196" t="s">
        <v>218</v>
      </c>
      <c r="C29">
        <v>0.8</v>
      </c>
      <c r="D29">
        <v>0.8</v>
      </c>
    </row>
    <row r="30" spans="1:4" x14ac:dyDescent="0.15">
      <c r="A30">
        <v>29</v>
      </c>
      <c r="B30" s="196" t="s">
        <v>219</v>
      </c>
      <c r="C30">
        <v>0</v>
      </c>
      <c r="D30">
        <v>0.8</v>
      </c>
    </row>
    <row r="31" spans="1:4" x14ac:dyDescent="0.15">
      <c r="A31">
        <v>30</v>
      </c>
      <c r="B31" s="196" t="s">
        <v>220</v>
      </c>
      <c r="C31">
        <v>0</v>
      </c>
      <c r="D31">
        <v>0.8</v>
      </c>
    </row>
    <row r="32" spans="1:4" x14ac:dyDescent="0.15">
      <c r="A32">
        <v>31</v>
      </c>
      <c r="B32" s="196" t="s">
        <v>221</v>
      </c>
      <c r="C32">
        <v>0</v>
      </c>
      <c r="D32">
        <v>0</v>
      </c>
    </row>
    <row r="33" spans="1:4" x14ac:dyDescent="0.15">
      <c r="A33">
        <v>32</v>
      </c>
      <c r="B33" s="196" t="s">
        <v>222</v>
      </c>
      <c r="C33">
        <v>0</v>
      </c>
      <c r="D33">
        <v>0</v>
      </c>
    </row>
    <row r="34" spans="1:4" x14ac:dyDescent="0.15">
      <c r="A34">
        <v>33</v>
      </c>
      <c r="B34" s="196" t="s">
        <v>223</v>
      </c>
      <c r="C34">
        <v>0</v>
      </c>
      <c r="D34">
        <v>0</v>
      </c>
    </row>
    <row r="35" spans="1:4" x14ac:dyDescent="0.15">
      <c r="A35">
        <v>34</v>
      </c>
      <c r="B35" s="196" t="s">
        <v>224</v>
      </c>
      <c r="C35">
        <v>0</v>
      </c>
      <c r="D35">
        <v>0</v>
      </c>
    </row>
    <row r="36" spans="1:4" x14ac:dyDescent="0.15">
      <c r="A36">
        <v>35</v>
      </c>
      <c r="B36" s="196" t="s">
        <v>225</v>
      </c>
      <c r="C36">
        <v>0</v>
      </c>
      <c r="D36">
        <v>0</v>
      </c>
    </row>
    <row r="37" spans="1:4" x14ac:dyDescent="0.15">
      <c r="A37">
        <v>36</v>
      </c>
      <c r="B37" s="196" t="s">
        <v>226</v>
      </c>
      <c r="C37">
        <v>0</v>
      </c>
      <c r="D37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K4" sqref="K4"/>
    </sheetView>
  </sheetViews>
  <sheetFormatPr baseColWidth="10" defaultColWidth="8.83203125" defaultRowHeight="15" customHeight="1" x14ac:dyDescent="0.15"/>
  <cols>
    <col min="1" max="1" width="8.83203125" style="84"/>
    <col min="2" max="2" width="41.83203125" style="84" bestFit="1" customWidth="1"/>
    <col min="3" max="3" width="9.33203125" style="84" bestFit="1" customWidth="1"/>
    <col min="4" max="4" width="13" style="84" bestFit="1" customWidth="1"/>
    <col min="5" max="6" width="9.33203125" style="84" bestFit="1" customWidth="1"/>
    <col min="7" max="7" width="9.33203125" style="100" bestFit="1" customWidth="1"/>
    <col min="8" max="8" width="9.33203125" style="84" bestFit="1" customWidth="1"/>
    <col min="9" max="9" width="11" style="84" customWidth="1"/>
    <col min="10" max="10" width="8.83203125" style="84"/>
    <col min="15" max="16384" width="8.83203125" style="84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5" t="s">
        <v>14</v>
      </c>
      <c r="H1" s="1" t="s">
        <v>26</v>
      </c>
      <c r="I1" s="1" t="s">
        <v>24</v>
      </c>
    </row>
    <row r="2" spans="1:10" ht="15" customHeight="1" x14ac:dyDescent="0.15">
      <c r="A2" s="149">
        <v>1</v>
      </c>
      <c r="B2" s="149" t="s">
        <v>191</v>
      </c>
      <c r="C2" s="8">
        <v>4.0125970840454102</v>
      </c>
      <c r="D2" s="9">
        <v>3.0999999493360519E-2</v>
      </c>
      <c r="E2" s="9">
        <v>1.9999999552965164E-2</v>
      </c>
      <c r="F2" s="9">
        <v>4.6500000953674316</v>
      </c>
      <c r="G2" s="7">
        <v>0</v>
      </c>
      <c r="H2" s="9">
        <v>4.301074892282486E-3</v>
      </c>
      <c r="I2">
        <v>0</v>
      </c>
      <c r="J2"/>
    </row>
    <row r="3" spans="1:10" ht="15" customHeight="1" x14ac:dyDescent="0.15">
      <c r="A3" s="150">
        <v>2</v>
      </c>
      <c r="B3" s="150" t="s">
        <v>192</v>
      </c>
      <c r="C3" s="8">
        <v>4.4791097640991211</v>
      </c>
      <c r="D3" s="9">
        <v>4.0207371115684509E-2</v>
      </c>
      <c r="E3" s="9">
        <v>7.0000000298023224E-2</v>
      </c>
      <c r="F3" s="9">
        <v>12.119999885559082</v>
      </c>
      <c r="G3" s="9">
        <v>0.15005353093147278</v>
      </c>
      <c r="H3" s="9">
        <v>5.7755778543651104E-3</v>
      </c>
      <c r="I3">
        <v>0</v>
      </c>
      <c r="J3"/>
    </row>
    <row r="4" spans="1:10" ht="15" customHeight="1" x14ac:dyDescent="0.15">
      <c r="A4" s="151">
        <v>3</v>
      </c>
      <c r="B4" s="151" t="s">
        <v>193</v>
      </c>
      <c r="C4" s="8">
        <v>2.1937499046325684</v>
      </c>
      <c r="D4" s="9">
        <v>3.616882860660553E-2</v>
      </c>
      <c r="E4" s="9">
        <v>0.15000000596046448</v>
      </c>
      <c r="F4" s="9">
        <v>3.5</v>
      </c>
      <c r="G4" s="9">
        <v>0.2000543624162674</v>
      </c>
      <c r="H4" s="9">
        <v>4.285714402794838E-2</v>
      </c>
      <c r="I4">
        <v>0</v>
      </c>
      <c r="J4"/>
    </row>
    <row r="5" spans="1:10" ht="15" customHeight="1" x14ac:dyDescent="0.15">
      <c r="A5" s="152">
        <v>4</v>
      </c>
      <c r="B5" s="152" t="s">
        <v>194</v>
      </c>
      <c r="C5" s="8">
        <v>3.8088028430938721</v>
      </c>
      <c r="D5" s="9">
        <v>1.0000000474974513E-3</v>
      </c>
      <c r="E5" s="9">
        <v>0.30000001192092896</v>
      </c>
      <c r="F5" s="9">
        <v>85.660003662109375</v>
      </c>
      <c r="G5" s="7">
        <v>0</v>
      </c>
      <c r="H5" s="9">
        <v>3.5022180527448654E-3</v>
      </c>
      <c r="I5">
        <v>0</v>
      </c>
      <c r="J5"/>
    </row>
    <row r="6" spans="1:10" ht="15" customHeight="1" x14ac:dyDescent="0.15">
      <c r="A6" s="153">
        <v>5</v>
      </c>
      <c r="B6" s="153" t="s">
        <v>195</v>
      </c>
      <c r="C6" s="8">
        <v>4.0995469093322754</v>
      </c>
      <c r="D6" s="9">
        <v>0.45500001311302185</v>
      </c>
      <c r="E6" s="9">
        <v>0.2894817590713501</v>
      </c>
      <c r="F6" s="9">
        <v>2.894817590713501</v>
      </c>
      <c r="G6" s="9">
        <v>0.21398250758647919</v>
      </c>
      <c r="H6" s="9">
        <v>0.10000000149011612</v>
      </c>
      <c r="I6">
        <v>1.3199999928474426E-2</v>
      </c>
      <c r="J6"/>
    </row>
    <row r="7" spans="1:10" ht="15" customHeight="1" x14ac:dyDescent="0.15">
      <c r="A7" s="154">
        <v>6</v>
      </c>
      <c r="B7" s="154" t="s">
        <v>196</v>
      </c>
      <c r="C7" s="8">
        <v>4.3792095184326172</v>
      </c>
      <c r="D7" s="9">
        <v>0.15604928135871887</v>
      </c>
      <c r="E7" s="9">
        <v>0.27000001072883606</v>
      </c>
      <c r="F7" s="9">
        <v>2.7000000476837158</v>
      </c>
      <c r="G7" s="9">
        <v>0.400056391954422</v>
      </c>
      <c r="H7" s="9">
        <v>0.10000000149011612</v>
      </c>
      <c r="I7">
        <v>8.8999997824430466E-3</v>
      </c>
      <c r="J7"/>
    </row>
    <row r="8" spans="1:10" ht="15" customHeight="1" x14ac:dyDescent="0.15">
      <c r="A8" s="155">
        <v>7</v>
      </c>
      <c r="B8" s="155" t="s">
        <v>197</v>
      </c>
      <c r="C8" s="8">
        <v>4.2646656036376953</v>
      </c>
      <c r="D8" s="9">
        <v>0.50379770994186401</v>
      </c>
      <c r="E8" s="9">
        <v>0.63999998569488525</v>
      </c>
      <c r="F8" s="9">
        <v>6.5999999046325684</v>
      </c>
      <c r="G8" s="9">
        <v>0.80012321472167969</v>
      </c>
      <c r="H8" s="9">
        <v>9.6969693899154663E-2</v>
      </c>
      <c r="I8">
        <v>3.229999914765358E-2</v>
      </c>
      <c r="J8"/>
    </row>
    <row r="9" spans="1:10" ht="15" customHeight="1" x14ac:dyDescent="0.15">
      <c r="A9" s="156">
        <v>8</v>
      </c>
      <c r="B9" s="156" t="s">
        <v>198</v>
      </c>
      <c r="C9" s="8">
        <v>4.1336936950683594</v>
      </c>
      <c r="D9" s="9">
        <v>4.7353945672512054E-2</v>
      </c>
      <c r="E9" s="9">
        <v>0.60186433792114258</v>
      </c>
      <c r="F9" s="9">
        <v>6.0186433792114258</v>
      </c>
      <c r="G9" s="9">
        <v>0.80016982555389404</v>
      </c>
      <c r="H9" s="9">
        <v>0.10000000149011612</v>
      </c>
      <c r="I9">
        <v>7.2999997064471245E-3</v>
      </c>
      <c r="J9"/>
    </row>
    <row r="10" spans="1:10" ht="15" customHeight="1" x14ac:dyDescent="0.15">
      <c r="A10" s="157">
        <v>9</v>
      </c>
      <c r="B10" s="157" t="s">
        <v>199</v>
      </c>
      <c r="C10" s="8">
        <v>4.1650328636169434</v>
      </c>
      <c r="D10" s="9">
        <v>4.809323325753212E-2</v>
      </c>
      <c r="E10" s="9">
        <v>0.80000001192092896</v>
      </c>
      <c r="F10" s="9">
        <v>9.4600000381469727</v>
      </c>
      <c r="G10" s="9">
        <v>0.7001311182975769</v>
      </c>
      <c r="H10" s="9">
        <v>8.4566600620746613E-2</v>
      </c>
      <c r="I10">
        <v>7.0000002160668373E-3</v>
      </c>
      <c r="J10"/>
    </row>
    <row r="11" spans="1:10" ht="15" customHeight="1" x14ac:dyDescent="0.15">
      <c r="A11" s="158">
        <v>10</v>
      </c>
      <c r="B11" s="158" t="s">
        <v>200</v>
      </c>
      <c r="C11" s="8">
        <v>3.1298806667327881</v>
      </c>
      <c r="D11" s="9">
        <v>3.0865516662597656</v>
      </c>
      <c r="E11" s="9">
        <v>0.63999998569488525</v>
      </c>
      <c r="F11" s="9">
        <v>6.3999996185302734</v>
      </c>
      <c r="G11" s="9">
        <v>0.80004745721817017</v>
      </c>
      <c r="H11" s="9">
        <v>0.10000000149011612</v>
      </c>
      <c r="I11">
        <v>7.3100000619888306E-2</v>
      </c>
      <c r="J11"/>
    </row>
    <row r="12" spans="1:10" ht="15" customHeight="1" x14ac:dyDescent="0.15">
      <c r="A12" s="159">
        <v>11</v>
      </c>
      <c r="B12" s="159" t="s">
        <v>201</v>
      </c>
      <c r="C12" s="8">
        <v>2.53125</v>
      </c>
      <c r="D12" s="9">
        <v>2.0647745132446289</v>
      </c>
      <c r="E12" s="9">
        <v>0.86000001430511475</v>
      </c>
      <c r="F12" s="9">
        <v>8.6000003814697266</v>
      </c>
      <c r="G12" s="9">
        <v>0.95001673698425293</v>
      </c>
      <c r="H12" s="9">
        <v>9.9999994039535522E-2</v>
      </c>
      <c r="I12">
        <v>0.26109999418258667</v>
      </c>
      <c r="J12"/>
    </row>
    <row r="13" spans="1:10" ht="15" customHeight="1" x14ac:dyDescent="0.15">
      <c r="A13" s="160">
        <v>12</v>
      </c>
      <c r="B13" s="160" t="s">
        <v>202</v>
      </c>
      <c r="C13" s="8">
        <v>2.8484635353088379</v>
      </c>
      <c r="D13" s="9">
        <v>1.5922508239746094</v>
      </c>
      <c r="E13" s="9">
        <v>1.3899999856948853</v>
      </c>
      <c r="F13" s="9">
        <v>13.899999618530273</v>
      </c>
      <c r="G13" s="9">
        <v>0.95003408193588257</v>
      </c>
      <c r="H13" s="9">
        <v>0.10000000149011612</v>
      </c>
      <c r="I13">
        <v>4.7299999743700027E-2</v>
      </c>
      <c r="J13"/>
    </row>
    <row r="14" spans="1:10" ht="15" customHeight="1" x14ac:dyDescent="0.15">
      <c r="A14" s="161">
        <v>13</v>
      </c>
      <c r="B14" s="161" t="s">
        <v>203</v>
      </c>
      <c r="C14" s="8">
        <v>3.9472591876983643</v>
      </c>
      <c r="D14" s="9">
        <v>1.253000020980835</v>
      </c>
      <c r="E14" s="9">
        <v>0.36913326382637024</v>
      </c>
      <c r="F14" s="9">
        <v>1.476533055305481</v>
      </c>
      <c r="G14" s="9">
        <v>0.77403956651687622</v>
      </c>
      <c r="H14" s="9">
        <v>0.25</v>
      </c>
      <c r="I14">
        <v>6.1599999666213989E-2</v>
      </c>
      <c r="J14"/>
    </row>
    <row r="15" spans="1:10" ht="15" customHeight="1" x14ac:dyDescent="0.15">
      <c r="A15" s="162">
        <v>14</v>
      </c>
      <c r="B15" s="162" t="s">
        <v>204</v>
      </c>
      <c r="C15" s="8">
        <v>3.9677190780639648</v>
      </c>
      <c r="D15" s="9">
        <v>0.86900001764297485</v>
      </c>
      <c r="E15" s="9">
        <v>0.41416746377944946</v>
      </c>
      <c r="F15" s="9">
        <v>1.6566698551177979</v>
      </c>
      <c r="G15" s="9">
        <v>0.79300928115844727</v>
      </c>
      <c r="H15" s="9">
        <v>0.25</v>
      </c>
      <c r="I15">
        <v>7.3100000619888306E-2</v>
      </c>
      <c r="J15"/>
    </row>
    <row r="16" spans="1:10" ht="15" customHeight="1" x14ac:dyDescent="0.15">
      <c r="A16" s="163">
        <v>15</v>
      </c>
      <c r="B16" s="163" t="s">
        <v>205</v>
      </c>
      <c r="C16" s="8">
        <v>3.8790974617004395</v>
      </c>
      <c r="D16" s="9">
        <v>0.34999999403953552</v>
      </c>
      <c r="E16" s="9">
        <v>0.38999998569488525</v>
      </c>
      <c r="F16" s="9">
        <v>1.559999942779541</v>
      </c>
      <c r="G16" s="9">
        <v>0.71322888135910034</v>
      </c>
      <c r="H16" s="9">
        <v>0.25</v>
      </c>
      <c r="I16">
        <v>1.8699999898672104E-2</v>
      </c>
      <c r="J16"/>
    </row>
    <row r="17" spans="1:10" ht="15" customHeight="1" x14ac:dyDescent="0.15">
      <c r="A17" s="164">
        <v>16</v>
      </c>
      <c r="B17" s="164" t="s">
        <v>206</v>
      </c>
      <c r="C17" s="8">
        <v>4.110710620880127</v>
      </c>
      <c r="D17" s="9">
        <v>0.22100000083446503</v>
      </c>
      <c r="E17" s="9">
        <v>0.44999998807907104</v>
      </c>
      <c r="F17" s="9">
        <v>2.25</v>
      </c>
      <c r="G17" s="9">
        <v>0.62918716669082642</v>
      </c>
      <c r="H17" s="9">
        <v>0.19999998807907104</v>
      </c>
      <c r="I17">
        <v>1.0400000028312206E-2</v>
      </c>
      <c r="J17"/>
    </row>
    <row r="18" spans="1:10" ht="15" customHeight="1" x14ac:dyDescent="0.15">
      <c r="A18" s="165">
        <v>17</v>
      </c>
      <c r="B18" s="165" t="s">
        <v>207</v>
      </c>
      <c r="C18" s="8">
        <v>3.9573533535003662</v>
      </c>
      <c r="D18" s="9">
        <v>0.125</v>
      </c>
      <c r="E18" s="9">
        <v>0.55000001192092896</v>
      </c>
      <c r="F18" s="9">
        <v>2.2000000476837158</v>
      </c>
      <c r="G18" s="9">
        <v>0.86894088983535767</v>
      </c>
      <c r="H18" s="9">
        <v>0.25</v>
      </c>
      <c r="I18">
        <v>1.9199999049305916E-2</v>
      </c>
      <c r="J18"/>
    </row>
    <row r="19" spans="1:10" ht="15" customHeight="1" x14ac:dyDescent="0.15">
      <c r="A19" s="166">
        <v>18</v>
      </c>
      <c r="B19" s="166" t="s">
        <v>208</v>
      </c>
      <c r="C19" s="8">
        <v>3.6368162631988525</v>
      </c>
      <c r="D19" s="9">
        <v>1.4099999666213989</v>
      </c>
      <c r="E19" s="9">
        <v>0.52999997138977051</v>
      </c>
      <c r="F19" s="9">
        <v>2.119999885559082</v>
      </c>
      <c r="G19" s="9">
        <v>0.78207659721374512</v>
      </c>
      <c r="H19" s="9">
        <v>0.25</v>
      </c>
      <c r="I19">
        <v>4.309999942779541E-2</v>
      </c>
      <c r="J19"/>
    </row>
    <row r="20" spans="1:10" ht="15" customHeight="1" x14ac:dyDescent="0.15">
      <c r="A20" s="167">
        <v>19</v>
      </c>
      <c r="B20" s="167" t="s">
        <v>209</v>
      </c>
      <c r="C20" s="8">
        <v>3.748298168182373</v>
      </c>
      <c r="D20" s="9">
        <v>0.9570000171661377</v>
      </c>
      <c r="E20" s="9">
        <v>0.25274193286895752</v>
      </c>
      <c r="F20" s="9">
        <v>1.0109677314758301</v>
      </c>
      <c r="G20" s="9">
        <v>0.82102823257446289</v>
      </c>
      <c r="H20" s="9">
        <v>0.25</v>
      </c>
      <c r="I20">
        <v>4.0899999439716339E-2</v>
      </c>
      <c r="J20"/>
    </row>
    <row r="21" spans="1:10" ht="15" customHeight="1" x14ac:dyDescent="0.15">
      <c r="A21" s="168">
        <v>20</v>
      </c>
      <c r="B21" s="168" t="s">
        <v>210</v>
      </c>
      <c r="C21" s="8">
        <v>2.3339264392852783</v>
      </c>
      <c r="D21" s="9">
        <v>0.30000001192092896</v>
      </c>
      <c r="E21" s="9">
        <v>0.60947805643081665</v>
      </c>
      <c r="F21" s="9">
        <v>2.4379122257232666</v>
      </c>
      <c r="G21" s="9">
        <v>0.76480865478515625</v>
      </c>
      <c r="H21" s="9">
        <v>0.25</v>
      </c>
      <c r="I21">
        <v>1.3599999248981476E-2</v>
      </c>
      <c r="J21"/>
    </row>
    <row r="22" spans="1:10" ht="15" customHeight="1" x14ac:dyDescent="0.15">
      <c r="A22" s="169">
        <v>21</v>
      </c>
      <c r="B22" s="169" t="s">
        <v>211</v>
      </c>
      <c r="C22" s="8">
        <v>3.6099321842193604</v>
      </c>
      <c r="D22" s="9">
        <v>0.38699999451637268</v>
      </c>
      <c r="E22" s="9">
        <v>0.2862357497215271</v>
      </c>
      <c r="F22" s="9">
        <v>1.1449429988861084</v>
      </c>
      <c r="G22" s="9">
        <v>0.84849512577056885</v>
      </c>
      <c r="H22" s="9">
        <v>0.25</v>
      </c>
      <c r="I22">
        <v>1.7899999395012856E-2</v>
      </c>
      <c r="J22"/>
    </row>
    <row r="23" spans="1:10" ht="15" customHeight="1" x14ac:dyDescent="0.15">
      <c r="A23" s="170">
        <v>22</v>
      </c>
      <c r="B23" s="170" t="s">
        <v>212</v>
      </c>
      <c r="C23" s="8">
        <v>3.2993259429931641</v>
      </c>
      <c r="D23" s="9">
        <v>0.27300000190734863</v>
      </c>
      <c r="E23" s="9">
        <v>0.76102429628372192</v>
      </c>
      <c r="F23" s="9">
        <v>3.0440971851348877</v>
      </c>
      <c r="G23" s="9">
        <v>0.69278621673583984</v>
      </c>
      <c r="H23" s="9">
        <v>0.25</v>
      </c>
      <c r="I23">
        <v>3.5000000149011612E-2</v>
      </c>
      <c r="J23"/>
    </row>
    <row r="24" spans="1:10" ht="15" customHeight="1" x14ac:dyDescent="0.15">
      <c r="A24" s="171">
        <v>23</v>
      </c>
      <c r="B24" s="171" t="s">
        <v>213</v>
      </c>
      <c r="C24" s="8">
        <v>4.1139931678771973</v>
      </c>
      <c r="D24" s="9">
        <v>0.55699998140335083</v>
      </c>
      <c r="E24" s="9">
        <v>0.38999998569488525</v>
      </c>
      <c r="F24" s="9">
        <v>1.9499999284744263</v>
      </c>
      <c r="G24" s="9">
        <v>0.68385940790176392</v>
      </c>
      <c r="H24" s="9">
        <v>0.20000000298023224</v>
      </c>
      <c r="I24">
        <v>1.9899999722838402E-2</v>
      </c>
      <c r="J24"/>
    </row>
    <row r="25" spans="1:10" ht="15" customHeight="1" x14ac:dyDescent="0.15">
      <c r="A25" s="172">
        <v>24</v>
      </c>
      <c r="B25" s="172" t="s">
        <v>214</v>
      </c>
      <c r="C25" s="8">
        <v>3.564708948135376</v>
      </c>
      <c r="D25" s="9">
        <v>1.8489999771118164</v>
      </c>
      <c r="E25" s="9">
        <v>0.83538311719894409</v>
      </c>
      <c r="F25" s="9">
        <v>3.3415324687957764</v>
      </c>
      <c r="G25" s="9">
        <v>0.67991477251052856</v>
      </c>
      <c r="H25" s="9">
        <v>0.25</v>
      </c>
      <c r="I25">
        <v>5.1000001840293407E-3</v>
      </c>
      <c r="J25"/>
    </row>
    <row r="26" spans="1:10" ht="15" customHeight="1" x14ac:dyDescent="0.15">
      <c r="A26" s="173">
        <v>25</v>
      </c>
      <c r="B26" s="173" t="s">
        <v>215</v>
      </c>
      <c r="C26" s="8">
        <v>3.3006548881530762</v>
      </c>
      <c r="D26" s="9">
        <v>1.5440000295639038</v>
      </c>
      <c r="E26" s="9">
        <v>0.73000001907348633</v>
      </c>
      <c r="F26" s="9">
        <v>2.9200000762939453</v>
      </c>
      <c r="G26" s="9">
        <v>0.46306654810905457</v>
      </c>
      <c r="H26" s="9">
        <v>0.25</v>
      </c>
      <c r="I26">
        <v>5.7000000961124897E-3</v>
      </c>
      <c r="J26"/>
    </row>
    <row r="27" spans="1:10" ht="15" customHeight="1" x14ac:dyDescent="0.15">
      <c r="A27" s="174">
        <v>26</v>
      </c>
      <c r="B27" s="174" t="s">
        <v>216</v>
      </c>
      <c r="C27" s="8">
        <v>3.3242037296295166</v>
      </c>
      <c r="D27" s="9">
        <v>1.0290000438690186</v>
      </c>
      <c r="E27" s="9">
        <v>1.0700000524520874</v>
      </c>
      <c r="F27" s="9">
        <v>4.2800002098083496</v>
      </c>
      <c r="G27" s="9">
        <v>0.62684845924377441</v>
      </c>
      <c r="H27" s="9">
        <v>0.25</v>
      </c>
      <c r="I27">
        <v>9.3999998643994331E-3</v>
      </c>
      <c r="J27"/>
    </row>
    <row r="28" spans="1:10" ht="15" customHeight="1" x14ac:dyDescent="0.15">
      <c r="A28" s="175">
        <v>27</v>
      </c>
      <c r="B28" s="175" t="s">
        <v>217</v>
      </c>
      <c r="C28" s="8">
        <v>3.7922332286834717</v>
      </c>
      <c r="D28" s="9">
        <v>0.4390590488910675</v>
      </c>
      <c r="E28" s="9">
        <v>0.75999999046325684</v>
      </c>
      <c r="F28" s="9">
        <v>3.0399999618530273</v>
      </c>
      <c r="G28" s="9">
        <v>0.80006122589111328</v>
      </c>
      <c r="H28" s="9">
        <v>0.25</v>
      </c>
      <c r="I28">
        <v>1.3000000035390258E-3</v>
      </c>
      <c r="J28"/>
    </row>
    <row r="29" spans="1:10" ht="15" customHeight="1" x14ac:dyDescent="0.15">
      <c r="A29" s="176">
        <v>28</v>
      </c>
      <c r="B29" s="176" t="s">
        <v>218</v>
      </c>
      <c r="C29" s="8">
        <v>3.5491726398468018</v>
      </c>
      <c r="D29" s="9">
        <v>0.80954521894454956</v>
      </c>
      <c r="E29" s="9">
        <v>0.37000000476837158</v>
      </c>
      <c r="F29" s="9">
        <v>1.4800000190734863</v>
      </c>
      <c r="G29" s="9">
        <v>0.90005052089691162</v>
      </c>
      <c r="H29" s="9">
        <v>0.25</v>
      </c>
      <c r="I29">
        <v>1.1999999405816197E-3</v>
      </c>
      <c r="J29"/>
    </row>
    <row r="30" spans="1:10" ht="15" customHeight="1" x14ac:dyDescent="0.15">
      <c r="A30" s="177">
        <v>29</v>
      </c>
      <c r="B30" s="177" t="s">
        <v>219</v>
      </c>
      <c r="C30" s="8">
        <v>3.0311446189880371</v>
      </c>
      <c r="D30" s="9">
        <v>4.7339191436767578</v>
      </c>
      <c r="E30" s="9">
        <v>2.5</v>
      </c>
      <c r="F30" s="9">
        <v>20</v>
      </c>
      <c r="G30" s="9">
        <v>0.80002230405807495</v>
      </c>
      <c r="H30" s="9">
        <v>0.125</v>
      </c>
      <c r="I30">
        <v>1.3399999588727951E-2</v>
      </c>
      <c r="J30"/>
    </row>
    <row r="31" spans="1:10" ht="15" customHeight="1" x14ac:dyDescent="0.15">
      <c r="A31" s="178">
        <v>30</v>
      </c>
      <c r="B31" s="178" t="s">
        <v>220</v>
      </c>
      <c r="C31" s="8">
        <v>3.5969836711883545</v>
      </c>
      <c r="D31" s="9">
        <v>0.85017818212509155</v>
      </c>
      <c r="E31" s="9">
        <v>2.5</v>
      </c>
      <c r="F31" s="9">
        <v>10</v>
      </c>
      <c r="G31" s="9">
        <v>0.90012693405151367</v>
      </c>
      <c r="H31" s="9">
        <v>0.25</v>
      </c>
      <c r="I31">
        <v>6.9499999284744263E-2</v>
      </c>
      <c r="J31"/>
    </row>
    <row r="32" spans="1:10" ht="15" customHeight="1" x14ac:dyDescent="0.15">
      <c r="A32" s="206">
        <v>31</v>
      </c>
      <c r="B32" s="206" t="s">
        <v>221</v>
      </c>
      <c r="C32" s="8">
        <v>2.2083332538604736</v>
      </c>
      <c r="D32" s="9">
        <v>100</v>
      </c>
      <c r="E32" s="9">
        <v>1.7999999523162842</v>
      </c>
      <c r="F32" s="9">
        <v>25</v>
      </c>
      <c r="G32" s="9">
        <v>0.86746376752853394</v>
      </c>
      <c r="H32" s="9">
        <v>7.1999996900558472E-2</v>
      </c>
      <c r="I32">
        <v>0</v>
      </c>
      <c r="J32"/>
    </row>
    <row r="33" spans="1:10" ht="15" customHeight="1" x14ac:dyDescent="0.15">
      <c r="A33" s="207">
        <v>32</v>
      </c>
      <c r="B33" s="207" t="s">
        <v>222</v>
      </c>
      <c r="C33" s="8">
        <v>2.9375</v>
      </c>
      <c r="D33" s="9">
        <v>5.5751795768737793</v>
      </c>
      <c r="E33" s="9">
        <v>10</v>
      </c>
      <c r="F33" s="9">
        <v>50</v>
      </c>
      <c r="G33" s="9">
        <v>0.80001294612884521</v>
      </c>
      <c r="H33" s="9">
        <v>0.20000000298023224</v>
      </c>
      <c r="I33">
        <v>0</v>
      </c>
      <c r="J33"/>
    </row>
    <row r="34" spans="1:10" ht="15" customHeight="1" x14ac:dyDescent="0.15">
      <c r="A34" s="208">
        <v>33</v>
      </c>
      <c r="B34" s="208" t="s">
        <v>223</v>
      </c>
      <c r="C34" s="8">
        <v>2</v>
      </c>
      <c r="D34" s="9">
        <v>28.262979507446289</v>
      </c>
      <c r="E34" s="9">
        <v>40</v>
      </c>
      <c r="F34" s="9">
        <v>200</v>
      </c>
      <c r="G34" s="9">
        <v>0.60000103712081909</v>
      </c>
      <c r="H34" s="9">
        <v>0.20000000298023224</v>
      </c>
      <c r="I34">
        <v>0</v>
      </c>
      <c r="J34"/>
    </row>
    <row r="35" spans="1:10" ht="15" customHeight="1" x14ac:dyDescent="0.15">
      <c r="A35" s="209">
        <v>34</v>
      </c>
      <c r="B35" s="209" t="s">
        <v>224</v>
      </c>
      <c r="C35" s="8">
        <v>1</v>
      </c>
      <c r="D35" s="9">
        <v>69</v>
      </c>
      <c r="E35" s="9">
        <v>84</v>
      </c>
      <c r="F35" s="10"/>
      <c r="G35" s="9">
        <v>0.89161324501037598</v>
      </c>
      <c r="H35" s="10"/>
      <c r="I35">
        <v>0</v>
      </c>
      <c r="J35"/>
    </row>
    <row r="36" spans="1:10" ht="15" customHeight="1" x14ac:dyDescent="0.15">
      <c r="A36" s="210">
        <v>35</v>
      </c>
      <c r="B36" s="210" t="s">
        <v>225</v>
      </c>
      <c r="C36" s="8">
        <v>1</v>
      </c>
      <c r="D36" s="9">
        <v>290</v>
      </c>
      <c r="E36" s="10"/>
      <c r="F36" s="10"/>
      <c r="G36" s="7">
        <v>0.64324659109115601</v>
      </c>
      <c r="H36" s="10"/>
      <c r="I36">
        <v>0</v>
      </c>
      <c r="J36"/>
    </row>
    <row r="37" spans="1:10" ht="15" customHeight="1" x14ac:dyDescent="0.15">
      <c r="A37" s="211">
        <v>36</v>
      </c>
      <c r="B37" s="211" t="s">
        <v>226</v>
      </c>
      <c r="C37" s="8">
        <v>1</v>
      </c>
      <c r="D37" s="9">
        <v>5</v>
      </c>
      <c r="E37" s="10"/>
      <c r="F37" s="10"/>
      <c r="G37" s="7">
        <v>0</v>
      </c>
      <c r="H37" s="10"/>
      <c r="I37">
        <v>0</v>
      </c>
      <c r="J37"/>
    </row>
    <row r="38" spans="1:10" ht="15" customHeight="1" x14ac:dyDescent="0.15">
      <c r="A38" s="212">
        <v>37</v>
      </c>
      <c r="B38" s="212" t="s">
        <v>227</v>
      </c>
      <c r="C38" s="8">
        <v>4.118006706237793</v>
      </c>
      <c r="D38" s="10"/>
      <c r="E38" s="10"/>
      <c r="F38" s="10"/>
      <c r="G38" s="10"/>
      <c r="H38" s="10"/>
      <c r="I38">
        <v>0.52630007266998291</v>
      </c>
      <c r="J38"/>
    </row>
    <row r="39" spans="1:10" ht="15" customHeight="1" x14ac:dyDescent="0.15">
      <c r="A39" s="213">
        <v>38</v>
      </c>
      <c r="B39" s="213" t="s">
        <v>228</v>
      </c>
      <c r="C39" s="8">
        <v>4.5775799751281738</v>
      </c>
      <c r="D39" s="10"/>
      <c r="E39" s="10"/>
      <c r="F39" s="10"/>
      <c r="G39" s="10"/>
      <c r="H39" s="10"/>
      <c r="I39">
        <v>0.38289996981620789</v>
      </c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84" bestFit="1" customWidth="1"/>
    <col min="2" max="4" width="9.5" style="84" bestFit="1" customWidth="1"/>
    <col min="5" max="7" width="9" style="84" bestFit="1" customWidth="1"/>
    <col min="8" max="16" width="12.6640625" style="84" bestFit="1" customWidth="1"/>
    <col min="17" max="17" width="12.33203125" style="84" bestFit="1" customWidth="1"/>
    <col min="18" max="18" width="8.83203125" style="84"/>
    <col min="19" max="21" width="9.33203125" style="84" bestFit="1" customWidth="1"/>
    <col min="22" max="23" width="8.83203125" style="84"/>
    <col min="24" max="24" width="9.33203125" style="84" bestFit="1" customWidth="1"/>
    <col min="25" max="27" width="8.83203125" style="84"/>
    <col min="28" max="58" width="9" style="84" bestFit="1" customWidth="1"/>
    <col min="59" max="59" width="12.33203125" style="84" bestFit="1" customWidth="1"/>
    <col min="60" max="60" width="9" style="84" bestFit="1" customWidth="1"/>
    <col min="61" max="61" width="11.33203125" style="84" bestFit="1" customWidth="1"/>
    <col min="62" max="77" width="9" style="84" bestFit="1" customWidth="1"/>
    <col min="78" max="78" width="12.33203125" style="84" bestFit="1" customWidth="1"/>
    <col min="79" max="79" width="9" style="84" bestFit="1" customWidth="1"/>
    <col min="80" max="80" width="12.33203125" style="84" bestFit="1" customWidth="1"/>
    <col min="81" max="107" width="9" style="84" bestFit="1" customWidth="1"/>
    <col min="108" max="108" width="11.33203125" style="84" bestFit="1" customWidth="1"/>
    <col min="109" max="124" width="9" style="84" bestFit="1" customWidth="1"/>
    <col min="125" max="125" width="10.33203125" style="84" bestFit="1" customWidth="1"/>
    <col min="126" max="129" width="9.33203125" style="84" bestFit="1" customWidth="1"/>
    <col min="130" max="130" width="9" style="84" bestFit="1" customWidth="1"/>
    <col min="131" max="134" width="9.33203125" style="84" bestFit="1" customWidth="1"/>
    <col min="135" max="165" width="9" style="84" bestFit="1" customWidth="1"/>
    <col min="166" max="166" width="12.33203125" style="84" bestFit="1" customWidth="1"/>
    <col min="167" max="170" width="9" style="84" bestFit="1" customWidth="1"/>
    <col min="171" max="176" width="8.83203125" style="84"/>
    <col min="177" max="177" width="13.83203125" style="84" bestFit="1" customWidth="1"/>
    <col min="178" max="16384" width="8.83203125" style="84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233</v>
      </c>
      <c r="E1" t="s">
        <v>234</v>
      </c>
      <c r="F1" t="s">
        <v>191</v>
      </c>
      <c r="G1" t="s">
        <v>192</v>
      </c>
      <c r="H1" t="s">
        <v>193</v>
      </c>
      <c r="I1" t="s">
        <v>194</v>
      </c>
      <c r="J1" t="s">
        <v>195</v>
      </c>
      <c r="K1" t="s">
        <v>196</v>
      </c>
      <c r="L1" t="s">
        <v>197</v>
      </c>
      <c r="M1" t="s">
        <v>198</v>
      </c>
      <c r="N1" t="s">
        <v>199</v>
      </c>
      <c r="O1" t="s">
        <v>200</v>
      </c>
      <c r="P1" t="s">
        <v>201</v>
      </c>
      <c r="Q1" t="s">
        <v>202</v>
      </c>
      <c r="R1" t="s">
        <v>203</v>
      </c>
      <c r="S1" t="s">
        <v>204</v>
      </c>
      <c r="T1" t="s">
        <v>205</v>
      </c>
      <c r="U1" t="s">
        <v>206</v>
      </c>
      <c r="V1" t="s">
        <v>207</v>
      </c>
      <c r="W1" t="s">
        <v>208</v>
      </c>
      <c r="X1" t="s">
        <v>209</v>
      </c>
      <c r="Y1" t="s">
        <v>210</v>
      </c>
      <c r="Z1" t="s">
        <v>211</v>
      </c>
      <c r="AA1" t="s">
        <v>212</v>
      </c>
      <c r="AB1" t="s">
        <v>213</v>
      </c>
      <c r="AC1" t="s">
        <v>214</v>
      </c>
      <c r="AD1" t="s">
        <v>215</v>
      </c>
      <c r="AE1" t="s">
        <v>216</v>
      </c>
      <c r="AF1" t="s">
        <v>217</v>
      </c>
      <c r="AG1" t="s">
        <v>218</v>
      </c>
      <c r="AH1" t="s">
        <v>219</v>
      </c>
      <c r="AI1" t="s">
        <v>220</v>
      </c>
      <c r="AJ1" t="s">
        <v>221</v>
      </c>
      <c r="AK1" t="s">
        <v>222</v>
      </c>
      <c r="AL1" t="s">
        <v>223</v>
      </c>
      <c r="AM1" t="s">
        <v>224</v>
      </c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191</v>
      </c>
      <c r="B2">
        <v>1.9999999552965164E-2</v>
      </c>
      <c r="C2">
        <v>1.9999999552965164E-2</v>
      </c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192</v>
      </c>
      <c r="B3">
        <v>7.0000000298023224E-2</v>
      </c>
      <c r="C3">
        <v>5.9496253728866577E-2</v>
      </c>
      <c r="D3"/>
      <c r="E3"/>
      <c r="F3"/>
      <c r="G3"/>
      <c r="H3"/>
      <c r="I3"/>
      <c r="J3"/>
      <c r="K3" s="229">
        <v>1.0503747500479221E-2</v>
      </c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193</v>
      </c>
      <c r="B4">
        <v>0.15000000596046448</v>
      </c>
      <c r="C4">
        <v>0.11999185383319855</v>
      </c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 s="230">
        <v>3.0008155852556229E-2</v>
      </c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194</v>
      </c>
      <c r="B5">
        <v>0.30000001192092896</v>
      </c>
      <c r="C5">
        <v>0.30000001192092896</v>
      </c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195</v>
      </c>
      <c r="B6">
        <v>0.2894817590713501</v>
      </c>
      <c r="C6">
        <v>0.22753772139549255</v>
      </c>
      <c r="D6" s="214">
        <v>2.3076921701431274E-2</v>
      </c>
      <c r="E6" s="21">
        <v>5.9340661391615868E-3</v>
      </c>
      <c r="F6"/>
      <c r="G6"/>
      <c r="H6"/>
      <c r="I6"/>
      <c r="J6"/>
      <c r="K6" s="223">
        <v>2.5061227381229401E-2</v>
      </c>
      <c r="L6"/>
      <c r="M6" s="23">
        <v>1.8806002335622907E-3</v>
      </c>
      <c r="N6" s="65">
        <v>5.9912190772593021E-3</v>
      </c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196</v>
      </c>
      <c r="B7">
        <v>0.27000001072883606</v>
      </c>
      <c r="C7">
        <v>0.16198478639125824</v>
      </c>
      <c r="D7" s="110">
        <v>4.9343384802341461E-2</v>
      </c>
      <c r="E7" s="147">
        <v>7.6898788101971149E-3</v>
      </c>
      <c r="F7"/>
      <c r="G7"/>
      <c r="H7"/>
      <c r="I7"/>
      <c r="J7"/>
      <c r="K7" s="148">
        <v>1.6205782070755959E-2</v>
      </c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 s="141">
        <v>3.4776188433170319E-2</v>
      </c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197</v>
      </c>
      <c r="B8">
        <v>0.63999998569488525</v>
      </c>
      <c r="C8">
        <v>0.12792113423347473</v>
      </c>
      <c r="D8" s="15">
        <v>6.550248246639967E-3</v>
      </c>
      <c r="E8" s="221">
        <v>5.7562783360481262E-2</v>
      </c>
      <c r="F8"/>
      <c r="G8" s="17">
        <v>8.6988899856805801E-3</v>
      </c>
      <c r="H8"/>
      <c r="I8" s="14">
        <v>1.7002857057377696E-3</v>
      </c>
      <c r="J8" s="76">
        <v>4.9674097448587418E-2</v>
      </c>
      <c r="K8" s="215">
        <v>6.8739697337150574E-2</v>
      </c>
      <c r="L8" s="255">
        <v>0.30365645885467529</v>
      </c>
      <c r="M8" s="19">
        <v>1.1889121495187283E-2</v>
      </c>
      <c r="N8" s="23">
        <v>3.6072740331292152E-3</v>
      </c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198</v>
      </c>
      <c r="B9">
        <v>0.60186433792114258</v>
      </c>
      <c r="C9">
        <v>0.12027065455913544</v>
      </c>
      <c r="D9" s="215">
        <v>6.5464451909065247E-2</v>
      </c>
      <c r="E9" s="216">
        <v>8.8693767786026001E-2</v>
      </c>
      <c r="F9"/>
      <c r="G9" s="231">
        <v>4.1132144629955292E-2</v>
      </c>
      <c r="H9"/>
      <c r="I9" s="18">
        <v>7.2357230819761753E-3</v>
      </c>
      <c r="J9"/>
      <c r="K9" s="241">
        <v>0.26702108979225159</v>
      </c>
      <c r="L9"/>
      <c r="M9" s="21">
        <v>1.2046488001942635E-2</v>
      </c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199</v>
      </c>
      <c r="B10">
        <v>0.80000001192092896</v>
      </c>
      <c r="C10">
        <v>0.23989510536193848</v>
      </c>
      <c r="D10" s="64">
        <v>4.3665185570716858E-2</v>
      </c>
      <c r="E10" s="222">
        <v>0.10188543796539307</v>
      </c>
      <c r="F10"/>
      <c r="G10" s="70">
        <v>4.0499862283468246E-2</v>
      </c>
      <c r="H10"/>
      <c r="I10" s="18">
        <v>8.9056193828582764E-3</v>
      </c>
      <c r="J10"/>
      <c r="K10" s="243">
        <v>0.31549975275993347</v>
      </c>
      <c r="L10"/>
      <c r="M10" s="16">
        <v>1.1861310340464115E-2</v>
      </c>
      <c r="N10" s="29">
        <v>3.7787776440382004E-2</v>
      </c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200</v>
      </c>
      <c r="B11">
        <v>0.63999998569488525</v>
      </c>
      <c r="C11">
        <v>0.12796962261199951</v>
      </c>
      <c r="D11"/>
      <c r="E11" s="13">
        <v>2.3683387786149979E-2</v>
      </c>
      <c r="F11" s="14">
        <v>1.5954306581988931E-3</v>
      </c>
      <c r="G11" s="12">
        <v>2.0509134046733379E-3</v>
      </c>
      <c r="H11"/>
      <c r="I11" s="12">
        <v>2.7752656023949385E-3</v>
      </c>
      <c r="J11" s="239">
        <v>3.6272540688514709E-2</v>
      </c>
      <c r="K11" s="15">
        <v>6.2941084615886211E-3</v>
      </c>
      <c r="L11" s="262">
        <v>0.2154950350522995</v>
      </c>
      <c r="M11" s="14">
        <v>1.8481749575585127E-3</v>
      </c>
      <c r="N11" s="75">
        <v>6.0792755335569382E-2</v>
      </c>
      <c r="O11" s="72">
        <v>4.4800002127885818E-2</v>
      </c>
      <c r="P11"/>
      <c r="Q11"/>
      <c r="R11"/>
      <c r="S11"/>
      <c r="T11"/>
      <c r="U11"/>
      <c r="V11"/>
      <c r="W11" s="228">
        <v>2.1337833255529404E-2</v>
      </c>
      <c r="X11"/>
      <c r="Y11"/>
      <c r="Z11"/>
      <c r="AA11"/>
      <c r="AB11"/>
      <c r="AC11" s="68">
        <v>3.9995733648538589E-2</v>
      </c>
      <c r="AD11"/>
      <c r="AE11"/>
      <c r="AF11"/>
      <c r="AG11"/>
      <c r="AH11"/>
      <c r="AI11" s="223">
        <v>5.5089190602302551E-2</v>
      </c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201</v>
      </c>
      <c r="B12">
        <v>0.86000001430511475</v>
      </c>
      <c r="C12">
        <v>4.298560693860054E-2</v>
      </c>
      <c r="D12" s="216">
        <v>0.12645448744297028</v>
      </c>
      <c r="E12"/>
      <c r="F12"/>
      <c r="G12" s="14">
        <v>1.4149990165606141E-3</v>
      </c>
      <c r="H12"/>
      <c r="I12" s="12">
        <v>2.8625598642975092E-3</v>
      </c>
      <c r="J12" s="242">
        <v>3.9550479501485825E-2</v>
      </c>
      <c r="K12" s="14">
        <v>1.2272372841835022E-3</v>
      </c>
      <c r="L12" s="258">
        <v>9.6640564501285553E-2</v>
      </c>
      <c r="M12" s="21">
        <v>1.642201654613018E-2</v>
      </c>
      <c r="N12" s="15">
        <v>9.0306838974356651E-3</v>
      </c>
      <c r="O12"/>
      <c r="P12"/>
      <c r="Q12"/>
      <c r="R12" s="242">
        <v>3.9424564689397812E-2</v>
      </c>
      <c r="S12" s="70">
        <v>4.3926205486059189E-2</v>
      </c>
      <c r="T12" s="66">
        <v>3.5195779055356979E-2</v>
      </c>
      <c r="U12" s="18">
        <v>1.0606454685330391E-2</v>
      </c>
      <c r="V12" s="25">
        <v>2.6237731799483299E-2</v>
      </c>
      <c r="W12" s="23">
        <v>4.3496042490005493E-3</v>
      </c>
      <c r="X12" s="254">
        <v>6.3725836575031281E-2</v>
      </c>
      <c r="Y12"/>
      <c r="Z12" s="23">
        <v>5.5818101391196251E-3</v>
      </c>
      <c r="AA12"/>
      <c r="AB12" s="65">
        <v>1.7890153452754021E-2</v>
      </c>
      <c r="AC12" s="259">
        <v>0.20647510886192322</v>
      </c>
      <c r="AD12"/>
      <c r="AE12"/>
      <c r="AF12"/>
      <c r="AG12"/>
      <c r="AH12"/>
      <c r="AI12" s="240">
        <v>6.9998100399971008E-2</v>
      </c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202</v>
      </c>
      <c r="B13">
        <v>1.3899999856948853</v>
      </c>
      <c r="C13">
        <v>6.9452628493309021E-2</v>
      </c>
      <c r="D13" s="16">
        <v>2.122781053185463E-2</v>
      </c>
      <c r="E13" s="23">
        <v>8.4785642102360725E-3</v>
      </c>
      <c r="F13" s="14">
        <v>3.0927157495170832E-3</v>
      </c>
      <c r="G13" s="14">
        <v>3.9756610058248043E-3</v>
      </c>
      <c r="H13"/>
      <c r="I13" s="12">
        <v>5.3260084241628647E-3</v>
      </c>
      <c r="J13" s="68">
        <v>8.8512569665908813E-2</v>
      </c>
      <c r="K13" s="17">
        <v>1.852964423596859E-2</v>
      </c>
      <c r="L13" s="260">
        <v>0.25690612196922302</v>
      </c>
      <c r="M13" s="64">
        <v>7.5697414577007294E-2</v>
      </c>
      <c r="N13" s="66">
        <v>5.7410851120948792E-2</v>
      </c>
      <c r="O13" s="235">
        <v>7.4437759816646576E-2</v>
      </c>
      <c r="P13"/>
      <c r="Q13"/>
      <c r="R13" s="237">
        <v>0.11851561069488525</v>
      </c>
      <c r="S13" s="238">
        <v>0.12296547740697861</v>
      </c>
      <c r="T13" s="228">
        <v>4.5640639960765839E-2</v>
      </c>
      <c r="U13"/>
      <c r="V13" s="19">
        <v>2.3661473765969276E-2</v>
      </c>
      <c r="W13" s="29">
        <v>6.5804824233055115E-2</v>
      </c>
      <c r="X13"/>
      <c r="Y13"/>
      <c r="Z13" s="12">
        <v>5.5679194629192352E-3</v>
      </c>
      <c r="AA13"/>
      <c r="AB13" s="68">
        <v>8.7338604032993317E-2</v>
      </c>
      <c r="AC13" s="64">
        <v>7.7608592808246613E-2</v>
      </c>
      <c r="AD13"/>
      <c r="AE13"/>
      <c r="AF13" s="28">
        <v>4.7720193862915039E-2</v>
      </c>
      <c r="AG13"/>
      <c r="AH13"/>
      <c r="AI13" s="214">
        <v>0.11212895065546036</v>
      </c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203</v>
      </c>
      <c r="B14">
        <v>0.36913326382637024</v>
      </c>
      <c r="C14">
        <v>8.3409510552883148E-2</v>
      </c>
      <c r="D14" s="69">
        <v>3.4158021211624146E-2</v>
      </c>
      <c r="E14" s="66">
        <v>1.50039903819561E-2</v>
      </c>
      <c r="F14"/>
      <c r="G14" s="65">
        <v>7.7801952138543129E-3</v>
      </c>
      <c r="H14"/>
      <c r="I14"/>
      <c r="J14" s="20">
        <v>1.5767863020300865E-2</v>
      </c>
      <c r="K14" s="64">
        <v>2.0182764157652855E-2</v>
      </c>
      <c r="L14" s="249">
        <v>5.3083531558513641E-2</v>
      </c>
      <c r="M14" s="18">
        <v>4.5481109991669655E-3</v>
      </c>
      <c r="N14" s="12">
        <v>1.451838412322104E-3</v>
      </c>
      <c r="O14"/>
      <c r="P14"/>
      <c r="Q14"/>
      <c r="R14" s="29">
        <v>1.7718095332384109E-2</v>
      </c>
      <c r="S14" s="223">
        <v>3.2170861959457397E-2</v>
      </c>
      <c r="T14"/>
      <c r="U14" s="65">
        <v>7.9366015270352364E-3</v>
      </c>
      <c r="V14" s="18">
        <v>4.3894653208553791E-3</v>
      </c>
      <c r="W14"/>
      <c r="X14" s="66">
        <v>1.5442874282598495E-2</v>
      </c>
      <c r="Y14"/>
      <c r="Z14" s="28">
        <v>1.2735787779092789E-2</v>
      </c>
      <c r="AA14"/>
      <c r="AB14" s="217">
        <v>4.335375502705574E-2</v>
      </c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204</v>
      </c>
      <c r="B15">
        <v>0.41416746377944946</v>
      </c>
      <c r="C15">
        <v>8.5728824138641357E-2</v>
      </c>
      <c r="D15" s="217">
        <v>4.8561561852693558E-2</v>
      </c>
      <c r="E15" s="223">
        <v>3.5558111965656281E-2</v>
      </c>
      <c r="F15"/>
      <c r="G15" s="24">
        <v>1.121816411614418E-2</v>
      </c>
      <c r="H15"/>
      <c r="I15"/>
      <c r="J15" s="13">
        <v>1.5156986191868782E-2</v>
      </c>
      <c r="K15" s="235">
        <v>2.1825952455401421E-2</v>
      </c>
      <c r="L15" s="69">
        <v>3.8270231336355209E-2</v>
      </c>
      <c r="M15" s="22">
        <v>3.2789316028356552E-3</v>
      </c>
      <c r="N15" s="18">
        <v>5.2334684878587723E-3</v>
      </c>
      <c r="O15"/>
      <c r="P15"/>
      <c r="Q15"/>
      <c r="R15" s="70">
        <v>2.1289579570293427E-2</v>
      </c>
      <c r="S15" s="231">
        <v>2.816338837146759E-2</v>
      </c>
      <c r="T15"/>
      <c r="U15" s="17">
        <v>5.7218419387936592E-3</v>
      </c>
      <c r="V15"/>
      <c r="W15"/>
      <c r="X15" s="66">
        <v>1.670016348361969E-2</v>
      </c>
      <c r="Y15"/>
      <c r="Z15" s="16">
        <v>6.1211897991597652E-3</v>
      </c>
      <c r="AA15"/>
      <c r="AB15" s="220">
        <v>5.0008982419967651E-2</v>
      </c>
      <c r="AC15" s="70">
        <v>2.13300921022892E-2</v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205</v>
      </c>
      <c r="B16">
        <v>0.38999998569488525</v>
      </c>
      <c r="C16">
        <v>0.11184073239564896</v>
      </c>
      <c r="D16" s="13">
        <v>1.485714316368103E-2</v>
      </c>
      <c r="E16" s="224">
        <v>3.8571428507566452E-2</v>
      </c>
      <c r="F16"/>
      <c r="G16" s="15">
        <v>4.1737915016710758E-3</v>
      </c>
      <c r="H16"/>
      <c r="I16"/>
      <c r="J16" s="218">
        <v>3.763262927532196E-2</v>
      </c>
      <c r="K16"/>
      <c r="L16" s="220">
        <v>4.7509763389825821E-2</v>
      </c>
      <c r="M16" s="12">
        <v>1.6298536211252213E-3</v>
      </c>
      <c r="N16"/>
      <c r="O16"/>
      <c r="P16"/>
      <c r="Q16"/>
      <c r="R16" s="240">
        <v>3.1747136265039444E-2</v>
      </c>
      <c r="S16" s="75">
        <v>3.7019472569227219E-2</v>
      </c>
      <c r="T16"/>
      <c r="U16" s="13">
        <v>1.4206517487764359E-2</v>
      </c>
      <c r="V16"/>
      <c r="W16"/>
      <c r="X16"/>
      <c r="Y16"/>
      <c r="Z16"/>
      <c r="AA16"/>
      <c r="AB16" s="232">
        <v>1.5505139715969563E-2</v>
      </c>
      <c r="AC16" s="221">
        <v>3.5306379199028015E-2</v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206</v>
      </c>
      <c r="B17">
        <v>0.44999998807907104</v>
      </c>
      <c r="C17">
        <v>0.1668657660484314</v>
      </c>
      <c r="D17" s="218">
        <v>4.2986422777175903E-2</v>
      </c>
      <c r="E17" s="15">
        <v>4.0723979473114014E-3</v>
      </c>
      <c r="F17"/>
      <c r="G17"/>
      <c r="H17"/>
      <c r="I17"/>
      <c r="J17" s="17">
        <v>5.9599191881716251E-3</v>
      </c>
      <c r="K17" s="237">
        <v>3.8143299520015717E-2</v>
      </c>
      <c r="L17" s="245">
        <v>0.10533837229013443</v>
      </c>
      <c r="M17" s="147">
        <v>1.2893174774944782E-2</v>
      </c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 s="244">
        <v>7.3740623891353607E-2</v>
      </c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207</v>
      </c>
      <c r="B18">
        <v>0.55000001192092896</v>
      </c>
      <c r="C18">
        <v>7.2082512080669403E-2</v>
      </c>
      <c r="D18" s="219">
        <v>0.15279999375343323</v>
      </c>
      <c r="E18" s="14">
        <v>7.9999997979030013E-4</v>
      </c>
      <c r="F18"/>
      <c r="G18" s="24">
        <v>1.5582154504954815E-2</v>
      </c>
      <c r="H18"/>
      <c r="I18"/>
      <c r="J18" s="232">
        <v>2.107427641749382E-2</v>
      </c>
      <c r="K18"/>
      <c r="L18"/>
      <c r="M18" s="18">
        <v>6.8453848361968994E-3</v>
      </c>
      <c r="N18" s="228">
        <v>1.8191536888480186E-2</v>
      </c>
      <c r="O18"/>
      <c r="P18"/>
      <c r="Q18"/>
      <c r="R18" s="214">
        <v>4.4445991516113281E-2</v>
      </c>
      <c r="S18" s="236">
        <v>5.7585842907428741E-2</v>
      </c>
      <c r="T18"/>
      <c r="U18" s="234">
        <v>3.9778247475624084E-2</v>
      </c>
      <c r="V18"/>
      <c r="W18"/>
      <c r="X18" s="78">
        <v>7.7399685978889465E-2</v>
      </c>
      <c r="Y18"/>
      <c r="Z18"/>
      <c r="AA18"/>
      <c r="AB18" s="76">
        <v>4.3414391577243805E-2</v>
      </c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208</v>
      </c>
      <c r="B19">
        <v>0.52999997138977051</v>
      </c>
      <c r="C19">
        <v>0.11549939960241318</v>
      </c>
      <c r="D19" s="66">
        <v>2.1702127531170845E-2</v>
      </c>
      <c r="E19" s="19">
        <v>8.8652484118938446E-3</v>
      </c>
      <c r="F19"/>
      <c r="G19"/>
      <c r="H19"/>
      <c r="I19"/>
      <c r="J19" s="72">
        <v>3.7365734577178955E-2</v>
      </c>
      <c r="K19" s="21">
        <v>1.0183798149228096E-2</v>
      </c>
      <c r="L19" s="250">
        <v>0.10838908702135086</v>
      </c>
      <c r="M19" s="16">
        <v>8.0914720892906189E-3</v>
      </c>
      <c r="N19" s="26">
        <v>1.3533356599509716E-2</v>
      </c>
      <c r="O19"/>
      <c r="P19"/>
      <c r="Q19"/>
      <c r="R19"/>
      <c r="S19"/>
      <c r="T19"/>
      <c r="U19"/>
      <c r="V19"/>
      <c r="W19" s="259">
        <v>0.12726201117038727</v>
      </c>
      <c r="X19"/>
      <c r="Y19"/>
      <c r="Z19"/>
      <c r="AA19"/>
      <c r="AB19" s="17">
        <v>7.7052847482264042E-3</v>
      </c>
      <c r="AC19" s="108">
        <v>6.5729968249797821E-2</v>
      </c>
      <c r="AD19"/>
      <c r="AE19"/>
      <c r="AF19" s="15">
        <v>5.6724534370005131E-3</v>
      </c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209</v>
      </c>
      <c r="B20">
        <v>0.25274193286895752</v>
      </c>
      <c r="C20">
        <v>4.5233670622110367E-2</v>
      </c>
      <c r="D20" s="220">
        <v>3.0512016266584396E-2</v>
      </c>
      <c r="E20" s="225">
        <v>1.2225705198943615E-2</v>
      </c>
      <c r="F20"/>
      <c r="G20"/>
      <c r="H20"/>
      <c r="I20"/>
      <c r="J20" s="24">
        <v>6.8816198036074638E-3</v>
      </c>
      <c r="K20" s="15">
        <v>2.6478248182684183E-3</v>
      </c>
      <c r="L20"/>
      <c r="M20" s="15">
        <v>2.3843208327889442E-3</v>
      </c>
      <c r="N20"/>
      <c r="O20"/>
      <c r="P20"/>
      <c r="Q20"/>
      <c r="R20" s="247">
        <v>3.86638343334198E-2</v>
      </c>
      <c r="S20" s="246">
        <v>3.7608310580253601E-2</v>
      </c>
      <c r="T20"/>
      <c r="U20" s="108">
        <v>3.1174175441265106E-2</v>
      </c>
      <c r="V20"/>
      <c r="W20"/>
      <c r="X20"/>
      <c r="Y20"/>
      <c r="Z20"/>
      <c r="AA20"/>
      <c r="AB20" s="248">
        <v>4.5410454273223877E-2</v>
      </c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210</v>
      </c>
      <c r="B21">
        <v>0.60947805643081665</v>
      </c>
      <c r="C21">
        <v>0.1433439701795578</v>
      </c>
      <c r="D21" s="72">
        <v>4.2666662484407425E-2</v>
      </c>
      <c r="E21" s="12">
        <v>2.6666664052754641E-3</v>
      </c>
      <c r="F21"/>
      <c r="G21" s="14">
        <v>1.6247639432549477E-3</v>
      </c>
      <c r="H21"/>
      <c r="I21" s="15">
        <v>5.7106669992208481E-3</v>
      </c>
      <c r="J21" s="239">
        <v>3.5123791545629501E-2</v>
      </c>
      <c r="K21" s="14">
        <v>1.4049446908757091E-3</v>
      </c>
      <c r="L21" s="110">
        <v>0.11085610091686249</v>
      </c>
      <c r="M21" s="21">
        <v>1.1397566646337509E-2</v>
      </c>
      <c r="N21"/>
      <c r="O21"/>
      <c r="P21"/>
      <c r="Q21"/>
      <c r="R21" s="15">
        <v>6.1668809503316879E-3</v>
      </c>
      <c r="S21" s="217">
        <v>7.1982301771640778E-2</v>
      </c>
      <c r="T21"/>
      <c r="U21" s="23">
        <v>3.3148536458611488E-3</v>
      </c>
      <c r="V21"/>
      <c r="W21"/>
      <c r="X21" s="68">
        <v>3.8699842989444733E-2</v>
      </c>
      <c r="Y21"/>
      <c r="Z21" s="13">
        <v>2.2163806483149529E-2</v>
      </c>
      <c r="AA21"/>
      <c r="AB21" s="233">
        <v>1.4485933817923069E-2</v>
      </c>
      <c r="AC21" s="109">
        <v>4.1190776973962784E-2</v>
      </c>
      <c r="AD21"/>
      <c r="AE21"/>
      <c r="AF21"/>
      <c r="AG21"/>
      <c r="AH21"/>
      <c r="AI21" s="69">
        <v>5.6678544729948044E-2</v>
      </c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211</v>
      </c>
      <c r="B22">
        <v>0.2862357497215271</v>
      </c>
      <c r="C22">
        <v>4.3366111814975739E-2</v>
      </c>
      <c r="D22" s="24">
        <v>7.7519379556179047E-3</v>
      </c>
      <c r="E22" s="226">
        <v>3.850129246711731E-2</v>
      </c>
      <c r="F22"/>
      <c r="G22" s="12">
        <v>1.2582489289343357E-3</v>
      </c>
      <c r="H22"/>
      <c r="I22" s="11">
        <v>2.2134369646664709E-4</v>
      </c>
      <c r="J22" s="142">
        <v>3.403468057513237E-2</v>
      </c>
      <c r="K22" s="13">
        <v>1.0891045443713665E-2</v>
      </c>
      <c r="L22" s="142">
        <v>3.4373987466096878E-2</v>
      </c>
      <c r="M22" s="19">
        <v>5.1539386622607708E-3</v>
      </c>
      <c r="N22" s="66">
        <v>1.1751638725399971E-2</v>
      </c>
      <c r="O22"/>
      <c r="P22"/>
      <c r="Q22"/>
      <c r="R22" s="228">
        <v>9.5706293359398842E-3</v>
      </c>
      <c r="S22" s="235">
        <v>1.4880064874887466E-2</v>
      </c>
      <c r="T22"/>
      <c r="U22"/>
      <c r="V22"/>
      <c r="W22" s="64">
        <v>1.5455593355000019E-2</v>
      </c>
      <c r="X22" s="238">
        <v>2.4999899789690971E-2</v>
      </c>
      <c r="Y22"/>
      <c r="Z22" s="148">
        <v>1.7181245610117912E-2</v>
      </c>
      <c r="AA22"/>
      <c r="AB22" s="67">
        <v>1.6844110563397408E-2</v>
      </c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212</v>
      </c>
      <c r="B23">
        <v>0.76102429628372192</v>
      </c>
      <c r="C23">
        <v>0.23379714787006378</v>
      </c>
      <c r="D23" s="15">
        <v>8.0586075782775879E-3</v>
      </c>
      <c r="E23" s="227">
        <v>0.12014652043581009</v>
      </c>
      <c r="F23"/>
      <c r="G23" s="22">
        <v>5.3510144352912903E-3</v>
      </c>
      <c r="H23"/>
      <c r="I23" s="12">
        <v>2.8239560779184103E-3</v>
      </c>
      <c r="J23" s="25">
        <v>2.4123482406139374E-2</v>
      </c>
      <c r="K23" s="21">
        <v>1.5438953414559364E-2</v>
      </c>
      <c r="L23"/>
      <c r="M23" s="26">
        <v>1.8806003034114838E-2</v>
      </c>
      <c r="N23"/>
      <c r="O23"/>
      <c r="P23"/>
      <c r="Q23"/>
      <c r="R23" s="235">
        <v>4.0701456367969513E-2</v>
      </c>
      <c r="S23" s="236">
        <v>7.9101435840129852E-2</v>
      </c>
      <c r="T23"/>
      <c r="U23"/>
      <c r="V23"/>
      <c r="W23" s="234">
        <v>5.4828763008117676E-2</v>
      </c>
      <c r="X23" s="72">
        <v>5.3159128874540329E-2</v>
      </c>
      <c r="Y23"/>
      <c r="Z23" s="64">
        <v>4.2259033769369125E-2</v>
      </c>
      <c r="AA23"/>
      <c r="AB23" s="235">
        <v>3.9796523749828339E-2</v>
      </c>
      <c r="AC23" s="147">
        <v>2.26322952657938E-2</v>
      </c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213</v>
      </c>
      <c r="B24">
        <v>0.38999998569488525</v>
      </c>
      <c r="C24">
        <v>0.12329482287168503</v>
      </c>
      <c r="D24" s="26">
        <v>1.0053860023617744E-2</v>
      </c>
      <c r="E24" s="109">
        <v>2.5673249736428261E-2</v>
      </c>
      <c r="F24"/>
      <c r="G24"/>
      <c r="H24"/>
      <c r="I24"/>
      <c r="J24" s="236">
        <v>4.0200032293796539E-2</v>
      </c>
      <c r="K24" s="147">
        <v>1.135054137557745E-2</v>
      </c>
      <c r="L24" s="220">
        <v>4.7765646129846573E-2</v>
      </c>
      <c r="M24" s="235">
        <v>2.0462417975068092E-2</v>
      </c>
      <c r="N24"/>
      <c r="O24"/>
      <c r="P24"/>
      <c r="Q24"/>
      <c r="R24" s="237">
        <v>3.3214803785085678E-2</v>
      </c>
      <c r="S24" s="214">
        <v>3.1015718355774879E-2</v>
      </c>
      <c r="T24"/>
      <c r="U24"/>
      <c r="V24"/>
      <c r="W24"/>
      <c r="X24"/>
      <c r="Y24"/>
      <c r="Z24" s="21">
        <v>7.9582808539271355E-3</v>
      </c>
      <c r="AA24"/>
      <c r="AB24" s="144">
        <v>3.9010599255561829E-2</v>
      </c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214</v>
      </c>
      <c r="B25">
        <v>0.83538311719894409</v>
      </c>
      <c r="C25">
        <v>0.2673937976360321</v>
      </c>
      <c r="D25" s="11">
        <v>2.7041646535508335E-4</v>
      </c>
      <c r="E25" s="12">
        <v>2.4878312833607197E-3</v>
      </c>
      <c r="F25"/>
      <c r="G25" s="22">
        <v>5.793797317892313E-3</v>
      </c>
      <c r="H25"/>
      <c r="I25" s="14">
        <v>1.4824880054220557E-3</v>
      </c>
      <c r="J25" s="231">
        <v>5.6988302618265152E-2</v>
      </c>
      <c r="K25" s="18">
        <v>9.1180838644504547E-3</v>
      </c>
      <c r="L25" s="258">
        <v>9.3529216945171356E-2</v>
      </c>
      <c r="M25" s="15">
        <v>7.7052237465977669E-3</v>
      </c>
      <c r="N25" s="18">
        <v>1.008454617112875E-2</v>
      </c>
      <c r="O25"/>
      <c r="P25"/>
      <c r="Q25"/>
      <c r="R25" s="233">
        <v>2.001151442527771E-2</v>
      </c>
      <c r="S25" s="21">
        <v>1.5572158619761467E-2</v>
      </c>
      <c r="T25" s="15">
        <v>8.8564837351441383E-3</v>
      </c>
      <c r="U25" s="26">
        <v>2.0706633105874062E-2</v>
      </c>
      <c r="V25" s="23">
        <v>4.4618714600801468E-3</v>
      </c>
      <c r="W25" s="27">
        <v>6.4697831869125366E-2</v>
      </c>
      <c r="X25" s="228">
        <v>2.7209194377064705E-2</v>
      </c>
      <c r="Y25"/>
      <c r="Z25" s="22">
        <v>6.2394356355071068E-3</v>
      </c>
      <c r="AA25"/>
      <c r="AB25" s="26">
        <v>2.0565483719110489E-2</v>
      </c>
      <c r="AC25" s="142">
        <v>0.10024797916412354</v>
      </c>
      <c r="AD25"/>
      <c r="AE25"/>
      <c r="AF25"/>
      <c r="AG25"/>
      <c r="AH25"/>
      <c r="AI25" s="257">
        <v>9.1960862278938293E-2</v>
      </c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215</v>
      </c>
      <c r="B26">
        <v>0.73000001907348633</v>
      </c>
      <c r="C26">
        <v>0.39196142554283142</v>
      </c>
      <c r="D26" s="11">
        <v>1.9430051906965673E-4</v>
      </c>
      <c r="E26" s="12">
        <v>3.497409401461482E-3</v>
      </c>
      <c r="F26"/>
      <c r="G26" s="12">
        <v>3.1569250859320164E-3</v>
      </c>
      <c r="H26"/>
      <c r="I26" s="14">
        <v>1.6643783310428262E-3</v>
      </c>
      <c r="J26" s="147">
        <v>2.1326784044504166E-2</v>
      </c>
      <c r="K26" s="22">
        <v>5.4596299305558205E-3</v>
      </c>
      <c r="L26" s="256">
        <v>0.10123516619205475</v>
      </c>
      <c r="M26" s="18">
        <v>8.489120751619339E-3</v>
      </c>
      <c r="N26" s="18">
        <v>8.8365627452731133E-3</v>
      </c>
      <c r="O26"/>
      <c r="P26"/>
      <c r="Q26"/>
      <c r="R26"/>
      <c r="S26" s="17">
        <v>9.324132464826107E-3</v>
      </c>
      <c r="T26" s="233">
        <v>1.7676640301942825E-2</v>
      </c>
      <c r="U26" s="12">
        <v>3.2203891314566135E-3</v>
      </c>
      <c r="V26" s="15">
        <v>7.1243522688746452E-3</v>
      </c>
      <c r="W26" s="235">
        <v>3.8739081472158432E-2</v>
      </c>
      <c r="X26" s="28">
        <v>2.5064663961529732E-2</v>
      </c>
      <c r="Y26"/>
      <c r="Z26"/>
      <c r="AA26"/>
      <c r="AB26" s="65">
        <v>1.5480435453355312E-2</v>
      </c>
      <c r="AC26" s="64">
        <v>4.001694917678833E-2</v>
      </c>
      <c r="AD26"/>
      <c r="AE26"/>
      <c r="AF26"/>
      <c r="AG26"/>
      <c r="AH26"/>
      <c r="AI26" s="13">
        <v>2.753167599439621E-2</v>
      </c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216</v>
      </c>
      <c r="B27">
        <v>1.0700000524520874</v>
      </c>
      <c r="C27">
        <v>0.39927217364311218</v>
      </c>
      <c r="D27" s="14">
        <v>1.4577258843928576E-3</v>
      </c>
      <c r="E27" s="22">
        <v>7.6773557811975479E-3</v>
      </c>
      <c r="F27" s="12">
        <v>3.1903975177556276E-3</v>
      </c>
      <c r="G27" s="15">
        <v>1.0421226732432842E-2</v>
      </c>
      <c r="H27"/>
      <c r="I27" s="12">
        <v>4.9947523511946201E-3</v>
      </c>
      <c r="J27" s="233">
        <v>2.5600429624319077E-2</v>
      </c>
      <c r="K27" s="22">
        <v>8.1920977681875229E-3</v>
      </c>
      <c r="L27" s="27">
        <v>8.0798901617527008E-2</v>
      </c>
      <c r="M27" s="22">
        <v>7.4765374884009361E-3</v>
      </c>
      <c r="N27" s="16">
        <v>1.7678849399089813E-2</v>
      </c>
      <c r="O27"/>
      <c r="P27"/>
      <c r="Q27"/>
      <c r="R27" s="24">
        <v>2.8766792267560959E-2</v>
      </c>
      <c r="S27" s="17">
        <v>1.5389801934361458E-2</v>
      </c>
      <c r="T27" s="26">
        <v>2.8114959597587585E-2</v>
      </c>
      <c r="U27" s="17">
        <v>1.4496445655822754E-2</v>
      </c>
      <c r="V27" s="15">
        <v>1.0689989663660526E-2</v>
      </c>
      <c r="W27" s="64">
        <v>5.8127447962760925E-2</v>
      </c>
      <c r="X27" s="28">
        <v>3.7609174847602844E-2</v>
      </c>
      <c r="Y27"/>
      <c r="Z27" s="18">
        <v>1.1631151661276817E-2</v>
      </c>
      <c r="AA27"/>
      <c r="AB27" s="26">
        <v>2.6395654305815697E-2</v>
      </c>
      <c r="AC27" s="79">
        <v>0.18013459444046021</v>
      </c>
      <c r="AD27"/>
      <c r="AE27" s="232">
        <v>4.2800005525350571E-2</v>
      </c>
      <c r="AF27" s="22">
        <v>7.7727492898702621E-3</v>
      </c>
      <c r="AG27"/>
      <c r="AH27"/>
      <c r="AI27" s="232">
        <v>4.1310891509056091E-2</v>
      </c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217</v>
      </c>
      <c r="B28">
        <v>0.75999999046325684</v>
      </c>
      <c r="C28">
        <v>0.15195347368717194</v>
      </c>
      <c r="D28" s="11">
        <v>2.2775979596190155E-4</v>
      </c>
      <c r="E28" s="12">
        <v>2.7331176679581404E-3</v>
      </c>
      <c r="F28" s="15">
        <v>7.4771703220903873E-3</v>
      </c>
      <c r="G28"/>
      <c r="H28"/>
      <c r="I28"/>
      <c r="J28" s="232">
        <v>2.9999202117323875E-2</v>
      </c>
      <c r="K28" s="21">
        <v>1.4428403228521347E-2</v>
      </c>
      <c r="L28" s="252">
        <v>0.24971109628677368</v>
      </c>
      <c r="M28"/>
      <c r="N28"/>
      <c r="O28"/>
      <c r="P28"/>
      <c r="Q28"/>
      <c r="R28"/>
      <c r="S28"/>
      <c r="T28"/>
      <c r="U28"/>
      <c r="V28"/>
      <c r="W28" s="24">
        <v>2.0454999059438705E-2</v>
      </c>
      <c r="X28"/>
      <c r="Y28"/>
      <c r="Z28"/>
      <c r="AA28"/>
      <c r="AB28"/>
      <c r="AC28" s="69">
        <v>7.036203145980835E-2</v>
      </c>
      <c r="AD28"/>
      <c r="AE28"/>
      <c r="AF28" s="27">
        <v>5.7743553072214127E-2</v>
      </c>
      <c r="AG28"/>
      <c r="AH28"/>
      <c r="AI28" s="250">
        <v>0.15490913391113281</v>
      </c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218</v>
      </c>
      <c r="B29">
        <v>0.37000000476837158</v>
      </c>
      <c r="C29">
        <v>3.6981306970119476E-2</v>
      </c>
      <c r="D29" s="11">
        <v>1.2352614430710673E-4</v>
      </c>
      <c r="E29" s="12">
        <v>1.3587875291705132E-3</v>
      </c>
      <c r="F29" s="18">
        <v>4.0552634745836258E-3</v>
      </c>
      <c r="G29" s="20">
        <v>1.5639027580618858E-2</v>
      </c>
      <c r="H29"/>
      <c r="I29"/>
      <c r="J29" s="19">
        <v>6.5080602653324604E-3</v>
      </c>
      <c r="K29" s="20">
        <v>1.5650566667318344E-2</v>
      </c>
      <c r="L29" s="228">
        <v>1.2311953119933605E-2</v>
      </c>
      <c r="M29"/>
      <c r="N29"/>
      <c r="O29"/>
      <c r="P29"/>
      <c r="Q29"/>
      <c r="R29"/>
      <c r="S29"/>
      <c r="T29"/>
      <c r="U29"/>
      <c r="V29"/>
      <c r="W29" s="225">
        <v>1.848970539867878E-2</v>
      </c>
      <c r="X29"/>
      <c r="Y29"/>
      <c r="Z29"/>
      <c r="AA29"/>
      <c r="AB29"/>
      <c r="AC29" s="253">
        <v>0.13737973570823669</v>
      </c>
      <c r="AD29"/>
      <c r="AE29"/>
      <c r="AF29" s="242">
        <v>1.6482828184962273E-2</v>
      </c>
      <c r="AG29"/>
      <c r="AH29"/>
      <c r="AI29" s="251">
        <v>0.1050192266702652</v>
      </c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219</v>
      </c>
      <c r="B30">
        <v>2.5</v>
      </c>
      <c r="C30">
        <v>0.49994423985481262</v>
      </c>
      <c r="D30"/>
      <c r="E30" s="14">
        <v>2.8306355234235525E-3</v>
      </c>
      <c r="F30"/>
      <c r="G30"/>
      <c r="H30"/>
      <c r="I30" s="11">
        <v>1.4295006403699517E-3</v>
      </c>
      <c r="J30" s="15">
        <v>2.2815272212028503E-2</v>
      </c>
      <c r="K30" s="14">
        <v>5.6982254609465599E-3</v>
      </c>
      <c r="L30" s="14">
        <v>4.917654674500227E-3</v>
      </c>
      <c r="M30" s="11">
        <v>1.2652755249291658E-3</v>
      </c>
      <c r="N30" s="14">
        <v>3.4550714772194624E-3</v>
      </c>
      <c r="O30"/>
      <c r="P30"/>
      <c r="Q30" s="67">
        <v>0.1449575275182724</v>
      </c>
      <c r="R30" s="234">
        <v>0.18133600056171417</v>
      </c>
      <c r="S30" s="29">
        <v>0.11556291580200195</v>
      </c>
      <c r="T30" s="19">
        <v>4.6238157898187637E-2</v>
      </c>
      <c r="U30" s="26">
        <v>6.3126146793365479E-2</v>
      </c>
      <c r="V30" s="15">
        <v>2.6722047477960587E-2</v>
      </c>
      <c r="W30" s="70">
        <v>0.12635016441345215</v>
      </c>
      <c r="X30" s="21">
        <v>4.9050070345401764E-2</v>
      </c>
      <c r="Y30" s="11">
        <v>1.543421094538644E-4</v>
      </c>
      <c r="Z30" s="22">
        <v>1.7510361969470978E-2</v>
      </c>
      <c r="AA30" s="18">
        <v>2.8791587799787521E-2</v>
      </c>
      <c r="AB30" s="26">
        <v>6.1277102679014206E-2</v>
      </c>
      <c r="AC30" s="221">
        <v>0.22710132598876953</v>
      </c>
      <c r="AD30" s="70">
        <v>0.12949404120445251</v>
      </c>
      <c r="AE30" s="72">
        <v>0.17490258812904358</v>
      </c>
      <c r="AF30" s="21">
        <v>5.0123106688261032E-2</v>
      </c>
      <c r="AG30" s="18">
        <v>2.7598015964031219E-2</v>
      </c>
      <c r="AH30" s="214">
        <v>0.19999998807907104</v>
      </c>
      <c r="AI30" s="263">
        <v>0.28734859824180603</v>
      </c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220</v>
      </c>
      <c r="B31">
        <v>2.5</v>
      </c>
      <c r="C31">
        <v>0.24968266487121582</v>
      </c>
      <c r="D31"/>
      <c r="E31" s="228">
        <v>8.1747569143772125E-2</v>
      </c>
      <c r="F31" s="14">
        <v>6.6697751171886921E-3</v>
      </c>
      <c r="G31" s="249">
        <v>0.35603541135787964</v>
      </c>
      <c r="H31"/>
      <c r="I31" s="14">
        <v>4.4332356192171574E-3</v>
      </c>
      <c r="J31" s="64">
        <v>0.1363343745470047</v>
      </c>
      <c r="K31" s="24">
        <v>6.9406256079673767E-2</v>
      </c>
      <c r="L31" s="261">
        <v>0.74323219060897827</v>
      </c>
      <c r="M31" s="18">
        <v>2.9187437146902084E-2</v>
      </c>
      <c r="N31" s="65">
        <v>5.4508659988641739E-2</v>
      </c>
      <c r="O31"/>
      <c r="P31"/>
      <c r="Q31"/>
      <c r="R31"/>
      <c r="S31" s="23">
        <v>1.6933463513851166E-2</v>
      </c>
      <c r="T31"/>
      <c r="U31"/>
      <c r="V31"/>
      <c r="W31" s="234">
        <v>0.17958138883113861</v>
      </c>
      <c r="X31"/>
      <c r="Y31"/>
      <c r="Z31" s="14">
        <v>5.2191405557096004E-3</v>
      </c>
      <c r="AA31"/>
      <c r="AB31" s="29">
        <v>0.1200028732419014</v>
      </c>
      <c r="AC31" s="67">
        <v>0.14534875750541687</v>
      </c>
      <c r="AD31"/>
      <c r="AE31" s="66">
        <v>0.10360465198755264</v>
      </c>
      <c r="AF31" s="232">
        <v>9.7212150692939758E-2</v>
      </c>
      <c r="AG31" s="11">
        <v>8.5998745635151863E-4</v>
      </c>
      <c r="AH31"/>
      <c r="AI31" s="232">
        <v>9.9999994039535522E-2</v>
      </c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221</v>
      </c>
      <c r="B32">
        <v>1.7999999523162842</v>
      </c>
      <c r="C32">
        <v>0.23856520652770996</v>
      </c>
      <c r="D32"/>
      <c r="E32"/>
      <c r="F32"/>
      <c r="G32" s="11">
        <v>3.31451854435727E-4</v>
      </c>
      <c r="H32"/>
      <c r="I32" s="11">
        <v>2.3642161977477372E-4</v>
      </c>
      <c r="J32" s="11">
        <v>1.7122849822044373E-3</v>
      </c>
      <c r="K32" s="11">
        <v>3.8354992284439504E-4</v>
      </c>
      <c r="L32" s="11">
        <v>7.3091941885650158E-4</v>
      </c>
      <c r="M32" s="11">
        <v>1.4261218893807381E-5</v>
      </c>
      <c r="N32" s="11">
        <v>1.8173364878748544E-5</v>
      </c>
      <c r="O32" s="12">
        <v>5.5311005562543869E-3</v>
      </c>
      <c r="P32" s="16">
        <v>2.6635594666004181E-2</v>
      </c>
      <c r="Q32" s="15">
        <v>1.9094277173280716E-2</v>
      </c>
      <c r="R32" s="14">
        <v>2.2200774401426315E-3</v>
      </c>
      <c r="S32" s="11">
        <v>1.7275753198191524E-3</v>
      </c>
      <c r="T32" s="11">
        <v>6.5502553479745984E-4</v>
      </c>
      <c r="U32" s="11">
        <v>1.7900211969390512E-4</v>
      </c>
      <c r="V32"/>
      <c r="W32" s="23">
        <v>8.9809540659189224E-3</v>
      </c>
      <c r="X32" s="14">
        <v>3.5797357559204102E-3</v>
      </c>
      <c r="Y32" s="11">
        <v>1.0229002509731799E-4</v>
      </c>
      <c r="Z32" s="14">
        <v>2.1254182793200016E-3</v>
      </c>
      <c r="AA32" s="12">
        <v>5.4591014049947262E-3</v>
      </c>
      <c r="AB32" s="11">
        <v>1.7257221043109894E-3</v>
      </c>
      <c r="AC32" s="22">
        <v>1.3160454109311104E-2</v>
      </c>
      <c r="AD32" s="16">
        <v>2.9449325054883957E-2</v>
      </c>
      <c r="AE32" s="17">
        <v>2.3077592253684998E-2</v>
      </c>
      <c r="AF32" s="11">
        <v>1.5863016014918685E-3</v>
      </c>
      <c r="AG32" s="14">
        <v>4.758419468998909E-3</v>
      </c>
      <c r="AH32" s="264">
        <v>0.37871351838111877</v>
      </c>
      <c r="AI32" s="16">
        <v>2.9246129095554352E-2</v>
      </c>
      <c r="AJ32" s="265">
        <v>1.0000001192092896</v>
      </c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222</v>
      </c>
      <c r="B33">
        <v>10</v>
      </c>
      <c r="C33">
        <v>1.9998705387115479</v>
      </c>
      <c r="D33"/>
      <c r="E33"/>
      <c r="F33" s="14">
        <v>2.0127808675169945E-2</v>
      </c>
      <c r="G33"/>
      <c r="H33" s="11">
        <v>2.2706156596541405E-3</v>
      </c>
      <c r="I33" s="11">
        <v>5.2239402430132031E-4</v>
      </c>
      <c r="J33" s="14">
        <v>2.0790094509720802E-2</v>
      </c>
      <c r="K33" s="11">
        <v>1.1362720979377627E-3</v>
      </c>
      <c r="L33" s="14">
        <v>1.906944066286087E-2</v>
      </c>
      <c r="M33" s="11">
        <v>5.1159677241230384E-5</v>
      </c>
      <c r="N33" s="11">
        <v>1.6298456466756761E-4</v>
      </c>
      <c r="O33" s="237">
        <v>0.8361932635307312</v>
      </c>
      <c r="P33"/>
      <c r="Q33" s="240">
        <v>0.81791514158248901</v>
      </c>
      <c r="R33" s="23">
        <v>5.4421667009592056E-2</v>
      </c>
      <c r="S33" s="12">
        <v>3.0986901372671127E-2</v>
      </c>
      <c r="T33" s="11">
        <v>7.8326389193534851E-3</v>
      </c>
      <c r="U33" s="11">
        <v>8.0267423763871193E-3</v>
      </c>
      <c r="V33" s="11">
        <v>3.7487582303583622E-3</v>
      </c>
      <c r="W33" s="14">
        <v>2.5748325511813164E-2</v>
      </c>
      <c r="X33" s="11">
        <v>6.9414521567523479E-3</v>
      </c>
      <c r="Y33" s="14">
        <v>1.4022651128470898E-2</v>
      </c>
      <c r="Z33" s="11">
        <v>5.1680756732821465E-3</v>
      </c>
      <c r="AA33" s="14">
        <v>1.3267031870782375E-2</v>
      </c>
      <c r="AB33" s="11">
        <v>4.2871790938079357E-3</v>
      </c>
      <c r="AC33" s="19">
        <v>0.17620959877967834</v>
      </c>
      <c r="AD33" s="22">
        <v>7.357228547334671E-2</v>
      </c>
      <c r="AE33" s="23">
        <v>6.3196100294589996E-2</v>
      </c>
      <c r="AF33" s="12">
        <v>4.7341842204332352E-2</v>
      </c>
      <c r="AG33" s="23">
        <v>6.8581037223339081E-2</v>
      </c>
      <c r="AH33" s="143">
        <v>3.3964245319366455</v>
      </c>
      <c r="AI33" s="24">
        <v>0.28211280703544617</v>
      </c>
      <c r="AJ33"/>
      <c r="AK33" s="230">
        <v>2</v>
      </c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 t="s">
        <v>223</v>
      </c>
      <c r="B34">
        <v>40</v>
      </c>
      <c r="C34">
        <v>15.999958038330078</v>
      </c>
      <c r="D34"/>
      <c r="E34"/>
      <c r="F34"/>
      <c r="G34"/>
      <c r="H34"/>
      <c r="I34"/>
      <c r="J34"/>
      <c r="K34"/>
      <c r="L34" s="11">
        <v>2.7036885730922222E-3</v>
      </c>
      <c r="M34" s="11">
        <v>1.0091801414091606E-5</v>
      </c>
      <c r="N34" s="11">
        <v>3.2150473998626694E-5</v>
      </c>
      <c r="O34" s="22">
        <v>0.35086441040039062</v>
      </c>
      <c r="P34" s="23">
        <v>0.21989795565605164</v>
      </c>
      <c r="Q34" s="23">
        <v>0.22086711227893829</v>
      </c>
      <c r="R34"/>
      <c r="S34"/>
      <c r="T34"/>
      <c r="U34"/>
      <c r="V34"/>
      <c r="W34" s="11">
        <v>1.0264089331030846E-2</v>
      </c>
      <c r="X34"/>
      <c r="Y34" s="11">
        <v>2.7919721323996782E-3</v>
      </c>
      <c r="Z34"/>
      <c r="AA34"/>
      <c r="AB34" s="11">
        <v>1.1520652333274484E-4</v>
      </c>
      <c r="AC34" s="11">
        <v>2.6233399286866188E-2</v>
      </c>
      <c r="AD34" s="11">
        <v>9.4000827521085739E-3</v>
      </c>
      <c r="AE34" s="11">
        <v>1.231029350310564E-2</v>
      </c>
      <c r="AF34" s="11">
        <v>4.2448602616786957E-3</v>
      </c>
      <c r="AG34" s="11">
        <v>3.2230564393103123E-3</v>
      </c>
      <c r="AH34" s="18">
        <v>0.4689871072769165</v>
      </c>
      <c r="AI34" s="11">
        <v>3.3089078962802887E-2</v>
      </c>
      <c r="AJ34" s="267">
        <v>14.152791023254395</v>
      </c>
      <c r="AK34" s="266">
        <v>8.4822168350219727</v>
      </c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 t="s">
        <v>224</v>
      </c>
      <c r="B35">
        <v>84</v>
      </c>
      <c r="C35">
        <v>9.104487419128418</v>
      </c>
      <c r="D35"/>
      <c r="E35"/>
      <c r="F35"/>
      <c r="G35"/>
      <c r="H35" s="11">
        <v>1.6511855646967888E-3</v>
      </c>
      <c r="I35"/>
      <c r="J35"/>
      <c r="K35"/>
      <c r="L35"/>
      <c r="M35"/>
      <c r="N35"/>
      <c r="O35" s="11">
        <v>2.8915176168084145E-2</v>
      </c>
      <c r="P35" s="14">
        <v>0.12867435812950134</v>
      </c>
      <c r="Q35" s="11">
        <v>6.5445676445960999E-2</v>
      </c>
      <c r="R35"/>
      <c r="S35"/>
      <c r="T35"/>
      <c r="U35"/>
      <c r="V35"/>
      <c r="W35" s="11">
        <v>1.7354497686028481E-4</v>
      </c>
      <c r="X35"/>
      <c r="Y35" s="11">
        <v>5.1568574272096157E-3</v>
      </c>
      <c r="Z35" s="11">
        <v>2.8938258765265346E-4</v>
      </c>
      <c r="AA35" s="11">
        <v>1.0850041871890426E-3</v>
      </c>
      <c r="AB35"/>
      <c r="AC35"/>
      <c r="AD35" s="11">
        <v>2.936710137873888E-3</v>
      </c>
      <c r="AE35" s="11">
        <v>5.0423997454345226E-3</v>
      </c>
      <c r="AF35"/>
      <c r="AG35"/>
      <c r="AH35"/>
      <c r="AI35"/>
      <c r="AJ35" s="22">
        <v>0.72463774681091309</v>
      </c>
      <c r="AK35" s="14">
        <v>0.20199926197528839</v>
      </c>
      <c r="AL35" s="268">
        <v>73.729507446289062</v>
      </c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 t="s">
        <v>225</v>
      </c>
      <c r="B36"/>
      <c r="C36">
        <v>0.64324659109115601</v>
      </c>
      <c r="D36"/>
      <c r="E36"/>
      <c r="F36"/>
      <c r="G36"/>
      <c r="H36"/>
      <c r="I36"/>
      <c r="J36"/>
      <c r="K36" s="9">
        <v>1.8582433462142944E-2</v>
      </c>
      <c r="L36"/>
      <c r="M36" s="9">
        <v>5.7044875575229526E-4</v>
      </c>
      <c r="N36" s="9">
        <v>1.8173364223912358E-3</v>
      </c>
      <c r="O36" s="9">
        <v>0.3950786292552948</v>
      </c>
      <c r="P36"/>
      <c r="Q36" s="9">
        <v>4.2185025215148926</v>
      </c>
      <c r="R36"/>
      <c r="S36"/>
      <c r="T36"/>
      <c r="U36"/>
      <c r="V36"/>
      <c r="W36" s="9">
        <v>0.17363174259662628</v>
      </c>
      <c r="X36"/>
      <c r="Y36" s="9">
        <v>0.20750263333320618</v>
      </c>
      <c r="Z36"/>
      <c r="AA36"/>
      <c r="AB36"/>
      <c r="AC36" s="9">
        <v>0.54989689588546753</v>
      </c>
      <c r="AD36" s="9">
        <v>7.2047285735607147E-2</v>
      </c>
      <c r="AE36" s="9">
        <v>8.8082417845726013E-2</v>
      </c>
      <c r="AF36"/>
      <c r="AG36"/>
      <c r="AH36" s="9">
        <v>23.669595718383789</v>
      </c>
      <c r="AI36"/>
      <c r="AJ36" s="9">
        <v>1950.0001220703125</v>
      </c>
      <c r="AK36" s="9">
        <v>13.937949180603027</v>
      </c>
      <c r="AL36" s="9">
        <v>565.25958251953125</v>
      </c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 t="s">
        <v>226</v>
      </c>
      <c r="B37"/>
      <c r="C37">
        <v>0</v>
      </c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topLeftCell="A10"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2.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2.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4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2" t="s">
        <v>166</v>
      </c>
    </row>
    <row r="2" spans="1:12" x14ac:dyDescent="0.15">
      <c r="A2" s="1" t="s">
        <v>37</v>
      </c>
      <c r="B2" s="39">
        <v>3</v>
      </c>
      <c r="C2" s="37"/>
      <c r="D2" t="s">
        <v>38</v>
      </c>
      <c r="E2">
        <v>1</v>
      </c>
      <c r="F2">
        <v>1</v>
      </c>
      <c r="G2">
        <v>1</v>
      </c>
      <c r="H2" t="s">
        <v>38</v>
      </c>
      <c r="J2" s="55"/>
      <c r="K2" s="56"/>
      <c r="L2" s="62" t="s">
        <v>167</v>
      </c>
    </row>
    <row r="3" spans="1:12" ht="14" thickBot="1" x14ac:dyDescent="0.2">
      <c r="A3" s="1" t="s">
        <v>39</v>
      </c>
      <c r="B3" s="40">
        <v>0</v>
      </c>
      <c r="C3" s="37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7"/>
      <c r="K3" s="58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7"/>
      <c r="K4" s="58"/>
    </row>
    <row r="5" spans="1:12" x14ac:dyDescent="0.15">
      <c r="D5" s="198" t="s">
        <v>191</v>
      </c>
      <c r="E5">
        <v>4</v>
      </c>
      <c r="F5">
        <v>3.13</v>
      </c>
      <c r="G5">
        <v>4</v>
      </c>
      <c r="H5" s="199" t="s">
        <v>191</v>
      </c>
      <c r="J5" s="57"/>
      <c r="K5" s="58"/>
    </row>
    <row r="6" spans="1:12" ht="14" thickBot="1" x14ac:dyDescent="0.2">
      <c r="A6" s="41" t="s">
        <v>121</v>
      </c>
      <c r="D6" s="198" t="s">
        <v>192</v>
      </c>
      <c r="E6">
        <v>5</v>
      </c>
      <c r="F6">
        <v>3.13</v>
      </c>
      <c r="G6">
        <v>5</v>
      </c>
      <c r="H6" s="199" t="s">
        <v>192</v>
      </c>
      <c r="J6" s="57"/>
      <c r="K6" s="58"/>
    </row>
    <row r="7" spans="1:12" x14ac:dyDescent="0.15">
      <c r="A7" s="36" t="s">
        <v>126</v>
      </c>
      <c r="B7" s="43">
        <v>1</v>
      </c>
      <c r="C7" s="38"/>
      <c r="D7" s="198" t="s">
        <v>193</v>
      </c>
      <c r="E7">
        <v>6</v>
      </c>
      <c r="F7">
        <v>3.12</v>
      </c>
      <c r="G7">
        <v>6</v>
      </c>
      <c r="H7" s="199" t="s">
        <v>193</v>
      </c>
      <c r="J7" s="57"/>
      <c r="K7" s="58"/>
    </row>
    <row r="8" spans="1:12" x14ac:dyDescent="0.15">
      <c r="A8" s="36" t="s">
        <v>38</v>
      </c>
      <c r="B8" s="44">
        <v>1</v>
      </c>
      <c r="C8" s="38"/>
      <c r="D8" s="198" t="s">
        <v>194</v>
      </c>
      <c r="E8">
        <v>7</v>
      </c>
      <c r="F8">
        <v>3.13</v>
      </c>
      <c r="G8">
        <v>7</v>
      </c>
      <c r="H8" s="199" t="s">
        <v>194</v>
      </c>
      <c r="J8" s="57"/>
      <c r="K8" s="58"/>
    </row>
    <row r="9" spans="1:12" x14ac:dyDescent="0.15">
      <c r="A9" s="36" t="s">
        <v>40</v>
      </c>
      <c r="B9" s="44">
        <v>1.1000000000000001</v>
      </c>
      <c r="C9" s="38"/>
      <c r="D9" s="198" t="s">
        <v>195</v>
      </c>
      <c r="E9">
        <v>8</v>
      </c>
      <c r="F9">
        <v>3.22</v>
      </c>
      <c r="G9">
        <v>8</v>
      </c>
      <c r="H9" s="199" t="s">
        <v>195</v>
      </c>
      <c r="J9" s="57"/>
      <c r="K9" s="58"/>
    </row>
    <row r="10" spans="1:12" x14ac:dyDescent="0.15">
      <c r="A10" s="36" t="s">
        <v>41</v>
      </c>
      <c r="B10" s="44">
        <v>1.2</v>
      </c>
      <c r="C10" s="38"/>
      <c r="D10" s="198" t="s">
        <v>196</v>
      </c>
      <c r="E10">
        <v>9</v>
      </c>
      <c r="F10">
        <v>3.12</v>
      </c>
      <c r="G10">
        <v>9</v>
      </c>
      <c r="H10" s="199" t="s">
        <v>196</v>
      </c>
      <c r="J10" s="57"/>
      <c r="K10" s="58"/>
    </row>
    <row r="11" spans="1:12" ht="12" customHeight="1" x14ac:dyDescent="0.15">
      <c r="A11" s="42" t="s">
        <v>127</v>
      </c>
      <c r="B11" s="44">
        <v>2</v>
      </c>
      <c r="C11" s="38"/>
      <c r="D11" s="198" t="s">
        <v>197</v>
      </c>
      <c r="E11">
        <v>10</v>
      </c>
      <c r="F11">
        <v>3.1</v>
      </c>
      <c r="G11">
        <v>10</v>
      </c>
      <c r="H11" s="199" t="s">
        <v>197</v>
      </c>
      <c r="J11" s="57"/>
      <c r="K11" s="58"/>
    </row>
    <row r="12" spans="1:12" x14ac:dyDescent="0.15">
      <c r="A12" s="36" t="s">
        <v>42</v>
      </c>
      <c r="B12" s="44">
        <v>2.1</v>
      </c>
      <c r="C12" s="38"/>
      <c r="D12" s="198" t="s">
        <v>198</v>
      </c>
      <c r="E12">
        <v>11</v>
      </c>
      <c r="F12">
        <v>3.12</v>
      </c>
      <c r="G12">
        <v>11</v>
      </c>
      <c r="H12" s="199" t="s">
        <v>198</v>
      </c>
      <c r="J12" s="57"/>
      <c r="K12" s="58"/>
    </row>
    <row r="13" spans="1:12" x14ac:dyDescent="0.15">
      <c r="A13" s="36" t="s">
        <v>43</v>
      </c>
      <c r="B13" s="44">
        <v>2.2000000000000002</v>
      </c>
      <c r="C13" s="38"/>
      <c r="D13" s="198" t="s">
        <v>199</v>
      </c>
      <c r="E13">
        <v>12</v>
      </c>
      <c r="F13">
        <v>3.12</v>
      </c>
      <c r="G13">
        <v>12</v>
      </c>
      <c r="H13" s="199" t="s">
        <v>199</v>
      </c>
      <c r="J13" s="57"/>
      <c r="K13" s="58"/>
    </row>
    <row r="14" spans="1:12" x14ac:dyDescent="0.15">
      <c r="A14" s="36" t="s">
        <v>67</v>
      </c>
      <c r="B14" s="44">
        <v>2.2999999999999998</v>
      </c>
      <c r="C14" s="38"/>
      <c r="D14" s="198" t="s">
        <v>200</v>
      </c>
      <c r="E14">
        <v>13</v>
      </c>
      <c r="F14">
        <v>3.12</v>
      </c>
      <c r="G14">
        <v>13</v>
      </c>
      <c r="H14" s="199" t="s">
        <v>200</v>
      </c>
      <c r="J14" s="57"/>
      <c r="K14" s="58"/>
    </row>
    <row r="15" spans="1:12" x14ac:dyDescent="0.15">
      <c r="A15" s="42" t="s">
        <v>128</v>
      </c>
      <c r="B15" s="44">
        <v>3</v>
      </c>
      <c r="C15" s="38"/>
      <c r="D15" s="198" t="s">
        <v>201</v>
      </c>
      <c r="E15">
        <v>14</v>
      </c>
      <c r="F15">
        <v>3.12</v>
      </c>
      <c r="G15">
        <v>14</v>
      </c>
      <c r="H15" s="199" t="s">
        <v>201</v>
      </c>
      <c r="J15" s="57"/>
      <c r="K15" s="58"/>
    </row>
    <row r="16" spans="1:12" x14ac:dyDescent="0.15">
      <c r="A16" s="36" t="s">
        <v>62</v>
      </c>
      <c r="B16" s="44">
        <v>3.11</v>
      </c>
      <c r="C16" s="38"/>
      <c r="D16" s="198" t="s">
        <v>202</v>
      </c>
      <c r="E16">
        <v>15</v>
      </c>
      <c r="F16">
        <v>3.12</v>
      </c>
      <c r="G16">
        <v>15</v>
      </c>
      <c r="H16" s="199" t="s">
        <v>202</v>
      </c>
      <c r="J16" s="57"/>
      <c r="K16" s="58"/>
    </row>
    <row r="17" spans="1:12" x14ac:dyDescent="0.15">
      <c r="A17" s="36" t="s">
        <v>61</v>
      </c>
      <c r="B17" s="44">
        <v>3.12</v>
      </c>
      <c r="C17" s="38"/>
      <c r="D17" s="198" t="s">
        <v>203</v>
      </c>
      <c r="E17">
        <v>16</v>
      </c>
      <c r="F17">
        <v>3.22</v>
      </c>
      <c r="G17">
        <v>16</v>
      </c>
      <c r="H17" s="199" t="s">
        <v>203</v>
      </c>
      <c r="J17" s="57"/>
      <c r="K17" s="58"/>
    </row>
    <row r="18" spans="1:12" x14ac:dyDescent="0.15">
      <c r="A18" s="36" t="s">
        <v>68</v>
      </c>
      <c r="B18" s="44">
        <v>3.13</v>
      </c>
      <c r="C18" s="38"/>
      <c r="D18" s="198" t="s">
        <v>204</v>
      </c>
      <c r="E18">
        <v>17</v>
      </c>
      <c r="F18">
        <v>3.22</v>
      </c>
      <c r="G18">
        <v>17</v>
      </c>
      <c r="H18" s="199" t="s">
        <v>204</v>
      </c>
      <c r="J18" s="57"/>
      <c r="K18" s="58"/>
    </row>
    <row r="19" spans="1:12" x14ac:dyDescent="0.15">
      <c r="A19" s="36" t="s">
        <v>66</v>
      </c>
      <c r="B19" s="44">
        <v>3.21</v>
      </c>
      <c r="C19" s="38"/>
      <c r="D19" s="198" t="s">
        <v>205</v>
      </c>
      <c r="E19">
        <v>18</v>
      </c>
      <c r="F19">
        <v>3.22</v>
      </c>
      <c r="G19">
        <v>18</v>
      </c>
      <c r="H19" s="199" t="s">
        <v>205</v>
      </c>
      <c r="J19" s="57"/>
      <c r="K19" s="58"/>
    </row>
    <row r="20" spans="1:12" x14ac:dyDescent="0.15">
      <c r="A20" s="36" t="s">
        <v>63</v>
      </c>
      <c r="B20" s="44">
        <v>3.22</v>
      </c>
      <c r="C20" s="38"/>
      <c r="D20" s="198" t="s">
        <v>206</v>
      </c>
      <c r="E20">
        <v>19</v>
      </c>
      <c r="F20">
        <v>3.22</v>
      </c>
      <c r="G20">
        <v>19</v>
      </c>
      <c r="H20" s="199" t="s">
        <v>206</v>
      </c>
      <c r="J20" s="57"/>
      <c r="K20" s="58"/>
    </row>
    <row r="21" spans="1:12" ht="14" thickBot="1" x14ac:dyDescent="0.2">
      <c r="A21" s="36" t="s">
        <v>69</v>
      </c>
      <c r="B21" s="44">
        <v>3.23</v>
      </c>
      <c r="C21" s="38"/>
      <c r="D21" s="198" t="s">
        <v>207</v>
      </c>
      <c r="E21">
        <v>20</v>
      </c>
      <c r="F21">
        <v>3.22</v>
      </c>
      <c r="G21">
        <v>20</v>
      </c>
      <c r="H21" s="199" t="s">
        <v>207</v>
      </c>
      <c r="J21" s="59"/>
      <c r="K21" s="60"/>
      <c r="L21" s="62" t="s">
        <v>152</v>
      </c>
    </row>
    <row r="22" spans="1:12" x14ac:dyDescent="0.15">
      <c r="A22" s="36" t="s">
        <v>64</v>
      </c>
      <c r="B22" s="44">
        <v>8</v>
      </c>
      <c r="C22" s="38"/>
      <c r="D22" s="198" t="s">
        <v>208</v>
      </c>
      <c r="E22">
        <v>21</v>
      </c>
      <c r="F22">
        <v>3.22</v>
      </c>
      <c r="G22">
        <v>21</v>
      </c>
      <c r="H22" s="199" t="s">
        <v>208</v>
      </c>
    </row>
    <row r="23" spans="1:12" x14ac:dyDescent="0.15">
      <c r="A23" s="36" t="s">
        <v>129</v>
      </c>
      <c r="B23" s="44">
        <v>4</v>
      </c>
      <c r="C23" s="38"/>
      <c r="D23" s="198" t="s">
        <v>209</v>
      </c>
      <c r="E23">
        <v>22</v>
      </c>
      <c r="F23">
        <v>3.22</v>
      </c>
      <c r="G23">
        <v>22</v>
      </c>
      <c r="H23" s="199" t="s">
        <v>209</v>
      </c>
    </row>
    <row r="24" spans="1:12" x14ac:dyDescent="0.15">
      <c r="A24" s="36" t="s">
        <v>122</v>
      </c>
      <c r="B24" s="44">
        <v>4.0999999999999996</v>
      </c>
      <c r="C24" s="38"/>
      <c r="D24" s="198" t="s">
        <v>210</v>
      </c>
      <c r="E24">
        <v>23</v>
      </c>
      <c r="F24">
        <v>3.12</v>
      </c>
      <c r="G24">
        <v>23</v>
      </c>
      <c r="H24" s="199" t="s">
        <v>210</v>
      </c>
    </row>
    <row r="25" spans="1:12" x14ac:dyDescent="0.15">
      <c r="A25" s="36" t="s">
        <v>70</v>
      </c>
      <c r="B25" s="44">
        <v>4.2</v>
      </c>
      <c r="C25" s="38"/>
      <c r="D25" s="198" t="s">
        <v>211</v>
      </c>
      <c r="E25">
        <v>24</v>
      </c>
      <c r="F25">
        <v>3.22</v>
      </c>
      <c r="G25">
        <v>24</v>
      </c>
      <c r="H25" s="199" t="s">
        <v>211</v>
      </c>
    </row>
    <row r="26" spans="1:12" x14ac:dyDescent="0.15">
      <c r="A26" s="36" t="s">
        <v>123</v>
      </c>
      <c r="B26" s="44">
        <v>4.3</v>
      </c>
      <c r="C26" s="38"/>
      <c r="D26" s="198" t="s">
        <v>212</v>
      </c>
      <c r="E26">
        <v>25</v>
      </c>
      <c r="F26">
        <v>3.22</v>
      </c>
      <c r="G26">
        <v>25</v>
      </c>
      <c r="H26" s="199" t="s">
        <v>212</v>
      </c>
    </row>
    <row r="27" spans="1:12" x14ac:dyDescent="0.15">
      <c r="A27" s="36" t="s">
        <v>125</v>
      </c>
      <c r="B27" s="44">
        <v>6.1</v>
      </c>
      <c r="D27" s="198" t="s">
        <v>213</v>
      </c>
      <c r="E27">
        <v>26</v>
      </c>
      <c r="F27">
        <v>3.2</v>
      </c>
      <c r="G27">
        <v>26</v>
      </c>
      <c r="H27" s="199" t="s">
        <v>213</v>
      </c>
    </row>
    <row r="28" spans="1:12" x14ac:dyDescent="0.15">
      <c r="A28" s="36" t="s">
        <v>124</v>
      </c>
      <c r="B28" s="44">
        <v>6.2</v>
      </c>
      <c r="D28" s="198" t="s">
        <v>214</v>
      </c>
      <c r="E28">
        <v>27</v>
      </c>
      <c r="F28">
        <v>3.2</v>
      </c>
      <c r="G28">
        <v>27</v>
      </c>
      <c r="H28" s="199" t="s">
        <v>214</v>
      </c>
    </row>
    <row r="29" spans="1:12" x14ac:dyDescent="0.15">
      <c r="A29" s="36" t="s">
        <v>44</v>
      </c>
      <c r="B29" s="44">
        <v>5</v>
      </c>
      <c r="D29" s="198" t="s">
        <v>215</v>
      </c>
      <c r="E29">
        <v>28</v>
      </c>
      <c r="F29">
        <v>3.2</v>
      </c>
      <c r="G29">
        <v>28</v>
      </c>
      <c r="H29" s="199" t="s">
        <v>215</v>
      </c>
    </row>
    <row r="30" spans="1:12" x14ac:dyDescent="0.15">
      <c r="A30" s="36" t="s">
        <v>73</v>
      </c>
      <c r="B30" s="44">
        <v>7</v>
      </c>
      <c r="D30" s="198" t="s">
        <v>216</v>
      </c>
      <c r="E30">
        <v>29</v>
      </c>
      <c r="F30">
        <v>3.2</v>
      </c>
      <c r="G30">
        <v>29</v>
      </c>
      <c r="H30" s="199" t="s">
        <v>216</v>
      </c>
    </row>
    <row r="31" spans="1:12" x14ac:dyDescent="0.15">
      <c r="A31" s="36" t="s">
        <v>169</v>
      </c>
      <c r="B31" s="44">
        <v>3.14</v>
      </c>
      <c r="D31" s="198" t="s">
        <v>217</v>
      </c>
      <c r="E31">
        <v>30</v>
      </c>
      <c r="F31">
        <v>3.2</v>
      </c>
      <c r="G31">
        <v>30</v>
      </c>
      <c r="H31" s="199" t="s">
        <v>217</v>
      </c>
    </row>
    <row r="32" spans="1:12" ht="12" customHeight="1" thickBot="1" x14ac:dyDescent="0.2">
      <c r="A32" s="42" t="s">
        <v>170</v>
      </c>
      <c r="B32" s="45">
        <v>9</v>
      </c>
      <c r="D32" s="198" t="s">
        <v>218</v>
      </c>
      <c r="E32">
        <v>31</v>
      </c>
      <c r="F32">
        <v>3.2</v>
      </c>
      <c r="G32">
        <v>31</v>
      </c>
      <c r="H32" s="199" t="s">
        <v>218</v>
      </c>
    </row>
    <row r="33" spans="4:8" customFormat="1" ht="12" customHeight="1" x14ac:dyDescent="0.15">
      <c r="D33" s="198" t="s">
        <v>219</v>
      </c>
      <c r="E33">
        <v>32</v>
      </c>
      <c r="F33">
        <v>3</v>
      </c>
      <c r="G33">
        <v>32</v>
      </c>
      <c r="H33" s="199" t="s">
        <v>219</v>
      </c>
    </row>
    <row r="34" spans="4:8" customFormat="1" ht="12" customHeight="1" x14ac:dyDescent="0.15">
      <c r="D34" s="198" t="s">
        <v>220</v>
      </c>
      <c r="E34">
        <v>33</v>
      </c>
      <c r="F34">
        <v>3.12</v>
      </c>
      <c r="G34">
        <v>33</v>
      </c>
      <c r="H34" s="199" t="s">
        <v>220</v>
      </c>
    </row>
    <row r="35" spans="4:8" customFormat="1" x14ac:dyDescent="0.15">
      <c r="D35" s="198" t="s">
        <v>221</v>
      </c>
      <c r="E35">
        <v>34</v>
      </c>
      <c r="F35">
        <v>3.21</v>
      </c>
      <c r="G35">
        <v>34</v>
      </c>
      <c r="H35" s="199" t="s">
        <v>221</v>
      </c>
    </row>
    <row r="36" spans="4:8" customFormat="1" x14ac:dyDescent="0.15">
      <c r="D36" s="198" t="s">
        <v>222</v>
      </c>
      <c r="E36">
        <v>35</v>
      </c>
      <c r="F36">
        <v>3.11</v>
      </c>
      <c r="G36">
        <v>35</v>
      </c>
      <c r="H36" s="199" t="s">
        <v>222</v>
      </c>
    </row>
    <row r="37" spans="4:8" customFormat="1" ht="12" customHeight="1" x14ac:dyDescent="0.15">
      <c r="D37" s="198" t="s">
        <v>223</v>
      </c>
      <c r="E37">
        <v>36</v>
      </c>
      <c r="F37">
        <v>3.11</v>
      </c>
      <c r="G37">
        <v>36</v>
      </c>
      <c r="H37" s="199" t="s">
        <v>223</v>
      </c>
    </row>
    <row r="38" spans="4:8" customFormat="1" x14ac:dyDescent="0.15">
      <c r="D38" s="198" t="s">
        <v>224</v>
      </c>
      <c r="E38">
        <v>37</v>
      </c>
      <c r="F38">
        <v>2</v>
      </c>
      <c r="G38">
        <v>37</v>
      </c>
      <c r="H38" s="199" t="s">
        <v>224</v>
      </c>
    </row>
    <row r="39" spans="4:8" customFormat="1" x14ac:dyDescent="0.15">
      <c r="D39" s="198" t="s">
        <v>225</v>
      </c>
      <c r="E39">
        <v>38</v>
      </c>
      <c r="F39">
        <v>4.0999999999999996</v>
      </c>
      <c r="G39">
        <v>38</v>
      </c>
      <c r="H39" s="199" t="s">
        <v>225</v>
      </c>
    </row>
    <row r="40" spans="4:8" customFormat="1" x14ac:dyDescent="0.15">
      <c r="D40" s="198" t="s">
        <v>226</v>
      </c>
      <c r="E40">
        <v>39</v>
      </c>
      <c r="F40">
        <v>4.3</v>
      </c>
      <c r="G40">
        <v>39</v>
      </c>
      <c r="H40" s="199" t="s">
        <v>226</v>
      </c>
    </row>
    <row r="41" spans="4:8" customFormat="1" x14ac:dyDescent="0.15">
      <c r="D41" s="198" t="s">
        <v>227</v>
      </c>
      <c r="E41">
        <v>40</v>
      </c>
      <c r="F41">
        <v>5</v>
      </c>
      <c r="G41">
        <v>40</v>
      </c>
      <c r="H41" s="199" t="s">
        <v>227</v>
      </c>
    </row>
    <row r="42" spans="4:8" customFormat="1" x14ac:dyDescent="0.15">
      <c r="D42" s="198" t="s">
        <v>228</v>
      </c>
      <c r="E42">
        <v>41</v>
      </c>
      <c r="F42">
        <v>5</v>
      </c>
      <c r="G42">
        <v>41</v>
      </c>
      <c r="H42" s="199" t="s">
        <v>228</v>
      </c>
    </row>
    <row r="43" spans="4:8" customFormat="1" x14ac:dyDescent="0.15">
      <c r="D43" s="198" t="s">
        <v>138</v>
      </c>
      <c r="E43">
        <v>42</v>
      </c>
      <c r="F43">
        <v>6.1</v>
      </c>
      <c r="G43">
        <v>42</v>
      </c>
      <c r="H43" s="199" t="s">
        <v>138</v>
      </c>
    </row>
    <row r="44" spans="4:8" customFormat="1" x14ac:dyDescent="0.15">
      <c r="D44" s="198" t="s">
        <v>45</v>
      </c>
      <c r="E44">
        <v>43</v>
      </c>
      <c r="F44">
        <v>6.2</v>
      </c>
      <c r="G44">
        <v>43</v>
      </c>
      <c r="H44" s="199" t="s">
        <v>45</v>
      </c>
    </row>
    <row r="45" spans="4:8" customFormat="1" x14ac:dyDescent="0.15"/>
    <row r="46" spans="4:8" customFormat="1" x14ac:dyDescent="0.15"/>
    <row r="47" spans="4:8" customFormat="1" x14ac:dyDescent="0.15"/>
    <row r="48" spans="4: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40.1640625" style="85" bestFit="1" customWidth="1"/>
    <col min="2" max="2" width="3.83203125" style="84" customWidth="1"/>
    <col min="3" max="3" width="16.5" style="84" customWidth="1"/>
    <col min="4" max="4" width="39.6640625" style="84" customWidth="1"/>
    <col min="5" max="5" width="8.1640625" style="84" customWidth="1"/>
    <col min="6" max="6" width="22.5" style="84" bestFit="1" customWidth="1"/>
    <col min="7" max="9" width="2.33203125" style="84" customWidth="1"/>
    <col min="10" max="10" width="2.33203125" style="84" bestFit="1" customWidth="1"/>
    <col min="11" max="15" width="2.33203125" style="84" customWidth="1"/>
    <col min="16" max="16" width="2.33203125" style="73" customWidth="1"/>
    <col min="17" max="17" width="2.33203125" style="84" customWidth="1"/>
    <col min="18" max="18" width="2.33203125" style="74" customWidth="1"/>
    <col min="19" max="16384" width="11.5" style="84"/>
  </cols>
  <sheetData>
    <row r="1" spans="1:23" ht="15" customHeight="1" thickBot="1" x14ac:dyDescent="0.2">
      <c r="F1" s="1"/>
      <c r="G1" s="71" t="s">
        <v>46</v>
      </c>
      <c r="H1" s="71" t="s">
        <v>47</v>
      </c>
      <c r="I1" s="71" t="s">
        <v>120</v>
      </c>
      <c r="J1" s="71" t="s">
        <v>132</v>
      </c>
      <c r="K1" s="86" t="s">
        <v>48</v>
      </c>
      <c r="L1" s="74"/>
      <c r="M1" s="86" t="s">
        <v>119</v>
      </c>
      <c r="N1" s="74"/>
      <c r="O1" s="86" t="s">
        <v>49</v>
      </c>
      <c r="P1" s="77"/>
      <c r="Q1" s="86" t="s">
        <v>50</v>
      </c>
      <c r="R1" s="71" t="s">
        <v>154</v>
      </c>
    </row>
    <row r="2" spans="1:23" ht="15" customHeight="1" x14ac:dyDescent="0.15">
      <c r="A2" s="86" t="s">
        <v>51</v>
      </c>
      <c r="B2" s="87">
        <v>0.5</v>
      </c>
      <c r="C2" s="85" t="s">
        <v>52</v>
      </c>
      <c r="D2" s="88"/>
      <c r="F2" s="1"/>
      <c r="G2" s="89"/>
      <c r="H2" s="89"/>
      <c r="I2" s="89" t="s">
        <v>133</v>
      </c>
      <c r="J2" s="89" t="s">
        <v>133</v>
      </c>
      <c r="K2" s="89" t="s">
        <v>52</v>
      </c>
      <c r="L2" s="89" t="s">
        <v>53</v>
      </c>
      <c r="M2" s="89" t="s">
        <v>52</v>
      </c>
      <c r="N2" s="89" t="s">
        <v>53</v>
      </c>
      <c r="O2" s="89" t="s">
        <v>52</v>
      </c>
      <c r="P2" s="90" t="s">
        <v>53</v>
      </c>
      <c r="Q2" s="89"/>
      <c r="R2" s="91" t="s">
        <v>155</v>
      </c>
    </row>
    <row r="3" spans="1:23" ht="15" customHeight="1" thickBot="1" x14ac:dyDescent="0.2">
      <c r="A3" s="86" t="s">
        <v>54</v>
      </c>
      <c r="B3" s="92">
        <v>0.5</v>
      </c>
      <c r="C3" s="85" t="s">
        <v>53</v>
      </c>
      <c r="D3" s="88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40">
        <v>0</v>
      </c>
      <c r="R3" s="38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40">
        <v>0</v>
      </c>
      <c r="R4" s="112">
        <v>0</v>
      </c>
    </row>
    <row r="5" spans="1:23" ht="15" customHeight="1" x14ac:dyDescent="0.15">
      <c r="A5" s="86" t="s">
        <v>55</v>
      </c>
      <c r="B5" s="93">
        <v>0.5</v>
      </c>
      <c r="C5" s="85" t="s">
        <v>52</v>
      </c>
      <c r="D5" s="88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40">
        <v>0</v>
      </c>
      <c r="R5" s="112">
        <v>0</v>
      </c>
    </row>
    <row r="6" spans="1:23" ht="15" customHeight="1" thickBot="1" x14ac:dyDescent="0.2">
      <c r="A6" s="86"/>
      <c r="B6" s="94">
        <v>0.5</v>
      </c>
      <c r="C6" s="85" t="s">
        <v>53</v>
      </c>
      <c r="D6" s="88"/>
      <c r="F6" s="200" t="s">
        <v>191</v>
      </c>
      <c r="G6" s="84">
        <v>0</v>
      </c>
      <c r="H6" s="84">
        <v>0</v>
      </c>
      <c r="I6" s="84">
        <v>0</v>
      </c>
      <c r="J6" s="84">
        <v>0</v>
      </c>
      <c r="K6" s="84">
        <v>1</v>
      </c>
      <c r="L6" s="84">
        <v>0</v>
      </c>
      <c r="M6" s="84">
        <v>1</v>
      </c>
      <c r="N6" s="84">
        <v>0</v>
      </c>
      <c r="O6" s="84">
        <v>1</v>
      </c>
      <c r="P6" s="73">
        <v>0</v>
      </c>
      <c r="Q6" s="84">
        <v>0</v>
      </c>
      <c r="R6" s="74">
        <v>1</v>
      </c>
      <c r="S6"/>
      <c r="T6"/>
    </row>
    <row r="7" spans="1:23" ht="15" customHeight="1" thickBot="1" x14ac:dyDescent="0.2">
      <c r="F7" s="200" t="s">
        <v>192</v>
      </c>
      <c r="G7" s="84">
        <v>0</v>
      </c>
      <c r="H7" s="84">
        <v>0</v>
      </c>
      <c r="I7" s="84">
        <v>0</v>
      </c>
      <c r="J7" s="84">
        <v>0</v>
      </c>
      <c r="K7" s="84">
        <v>1</v>
      </c>
      <c r="L7" s="84">
        <v>0</v>
      </c>
      <c r="M7" s="84">
        <v>1</v>
      </c>
      <c r="N7" s="84">
        <v>0</v>
      </c>
      <c r="O7" s="84">
        <v>1</v>
      </c>
      <c r="P7" s="73">
        <v>0</v>
      </c>
      <c r="Q7" s="84">
        <v>0</v>
      </c>
      <c r="R7" s="74">
        <v>1</v>
      </c>
      <c r="S7"/>
      <c r="T7"/>
    </row>
    <row r="8" spans="1:23" ht="15" customHeight="1" x14ac:dyDescent="0.15">
      <c r="A8" s="86" t="s">
        <v>56</v>
      </c>
      <c r="B8" s="93">
        <v>1</v>
      </c>
      <c r="C8" s="201" t="s">
        <v>224</v>
      </c>
      <c r="D8" s="88" t="s">
        <v>160</v>
      </c>
      <c r="F8" s="200" t="s">
        <v>193</v>
      </c>
      <c r="G8" s="84">
        <v>0</v>
      </c>
      <c r="H8" s="84">
        <v>0</v>
      </c>
      <c r="I8" s="84">
        <v>0</v>
      </c>
      <c r="J8" s="84">
        <v>0</v>
      </c>
      <c r="K8" s="84">
        <v>1</v>
      </c>
      <c r="L8" s="84">
        <v>0</v>
      </c>
      <c r="M8" s="84">
        <v>1</v>
      </c>
      <c r="N8" s="84">
        <v>0</v>
      </c>
      <c r="O8" s="84">
        <v>1</v>
      </c>
      <c r="P8" s="73">
        <v>0</v>
      </c>
      <c r="Q8" s="84">
        <v>0</v>
      </c>
      <c r="R8" s="74">
        <v>1</v>
      </c>
      <c r="S8"/>
      <c r="T8"/>
      <c r="W8"/>
    </row>
    <row r="9" spans="1:23" ht="15" customHeight="1" x14ac:dyDescent="0.15">
      <c r="A9" s="126" t="s">
        <v>168</v>
      </c>
      <c r="B9" s="95"/>
      <c r="C9" s="83"/>
      <c r="D9" s="88" t="s">
        <v>160</v>
      </c>
      <c r="F9" s="200" t="s">
        <v>194</v>
      </c>
      <c r="G9" s="84">
        <v>0</v>
      </c>
      <c r="H9" s="84">
        <v>0</v>
      </c>
      <c r="I9" s="84">
        <v>0</v>
      </c>
      <c r="J9" s="84">
        <v>0</v>
      </c>
      <c r="K9" s="84">
        <v>1</v>
      </c>
      <c r="L9" s="84">
        <v>0</v>
      </c>
      <c r="M9" s="84">
        <v>1</v>
      </c>
      <c r="N9" s="84">
        <v>0</v>
      </c>
      <c r="O9" s="84">
        <v>1</v>
      </c>
      <c r="P9" s="73">
        <v>0</v>
      </c>
      <c r="Q9" s="84">
        <v>0</v>
      </c>
      <c r="R9" s="74">
        <v>1</v>
      </c>
      <c r="S9"/>
      <c r="T9"/>
      <c r="W9"/>
    </row>
    <row r="10" spans="1:23" ht="15" customHeight="1" x14ac:dyDescent="0.15">
      <c r="B10" s="95"/>
      <c r="C10" s="83"/>
      <c r="D10" s="88" t="s">
        <v>160</v>
      </c>
      <c r="F10" s="200" t="s">
        <v>195</v>
      </c>
      <c r="G10" s="84">
        <v>0</v>
      </c>
      <c r="H10" s="84">
        <v>0</v>
      </c>
      <c r="I10" s="84">
        <v>0</v>
      </c>
      <c r="J10" s="84">
        <v>0</v>
      </c>
      <c r="K10" s="84">
        <v>1</v>
      </c>
      <c r="L10" s="84">
        <v>0</v>
      </c>
      <c r="M10" s="84">
        <v>1</v>
      </c>
      <c r="N10" s="84">
        <v>0</v>
      </c>
      <c r="O10" s="84">
        <v>1</v>
      </c>
      <c r="P10" s="73">
        <v>0</v>
      </c>
      <c r="Q10" s="84">
        <v>0</v>
      </c>
      <c r="R10" s="74">
        <v>1</v>
      </c>
      <c r="S10"/>
      <c r="T10"/>
      <c r="W10"/>
    </row>
    <row r="11" spans="1:23" ht="15" customHeight="1" x14ac:dyDescent="0.15">
      <c r="A11" s="86"/>
      <c r="B11" s="95"/>
      <c r="C11" s="98"/>
      <c r="D11" s="88" t="s">
        <v>160</v>
      </c>
      <c r="F11" s="200" t="s">
        <v>196</v>
      </c>
      <c r="G11" s="84">
        <v>0</v>
      </c>
      <c r="H11" s="84">
        <v>0</v>
      </c>
      <c r="I11" s="84">
        <v>0</v>
      </c>
      <c r="J11" s="84">
        <v>0</v>
      </c>
      <c r="K11" s="84">
        <v>1</v>
      </c>
      <c r="L11" s="84">
        <v>0</v>
      </c>
      <c r="M11" s="84">
        <v>1</v>
      </c>
      <c r="N11" s="84">
        <v>0</v>
      </c>
      <c r="O11" s="84">
        <v>1</v>
      </c>
      <c r="P11" s="73">
        <v>0</v>
      </c>
      <c r="Q11" s="84">
        <v>0</v>
      </c>
      <c r="R11" s="74">
        <v>1</v>
      </c>
      <c r="S11"/>
      <c r="T11"/>
      <c r="W11"/>
    </row>
    <row r="12" spans="1:23" ht="15" customHeight="1" x14ac:dyDescent="0.15">
      <c r="B12" s="95"/>
      <c r="C12" s="99"/>
      <c r="D12" s="88" t="s">
        <v>160</v>
      </c>
      <c r="F12" s="200" t="s">
        <v>197</v>
      </c>
      <c r="G12" s="84">
        <v>0</v>
      </c>
      <c r="H12" s="84">
        <v>0</v>
      </c>
      <c r="I12" s="84">
        <v>0</v>
      </c>
      <c r="J12" s="84">
        <v>0</v>
      </c>
      <c r="K12" s="84">
        <v>1</v>
      </c>
      <c r="L12" s="84">
        <v>0</v>
      </c>
      <c r="M12" s="84">
        <v>1</v>
      </c>
      <c r="N12" s="84">
        <v>0</v>
      </c>
      <c r="O12" s="84">
        <v>1</v>
      </c>
      <c r="P12" s="73">
        <v>0</v>
      </c>
      <c r="Q12" s="84">
        <v>0</v>
      </c>
      <c r="R12" s="74">
        <v>1</v>
      </c>
      <c r="S12"/>
      <c r="T12"/>
      <c r="W12"/>
    </row>
    <row r="13" spans="1:23" ht="15" customHeight="1" x14ac:dyDescent="0.15">
      <c r="B13" s="95"/>
      <c r="C13" s="99"/>
      <c r="D13" s="88" t="s">
        <v>160</v>
      </c>
      <c r="F13" s="200" t="s">
        <v>198</v>
      </c>
      <c r="G13" s="84">
        <v>0</v>
      </c>
      <c r="H13" s="84">
        <v>0</v>
      </c>
      <c r="I13" s="84">
        <v>0</v>
      </c>
      <c r="J13" s="84">
        <v>0</v>
      </c>
      <c r="K13" s="84">
        <v>1</v>
      </c>
      <c r="L13" s="84">
        <v>0</v>
      </c>
      <c r="M13" s="84">
        <v>1</v>
      </c>
      <c r="N13" s="84">
        <v>0</v>
      </c>
      <c r="O13" s="84">
        <v>1</v>
      </c>
      <c r="P13" s="73">
        <v>0</v>
      </c>
      <c r="Q13" s="84">
        <v>0</v>
      </c>
      <c r="R13" s="74">
        <v>1</v>
      </c>
      <c r="S13"/>
      <c r="T13"/>
      <c r="W13"/>
    </row>
    <row r="14" spans="1:23" ht="15" customHeight="1" x14ac:dyDescent="0.15">
      <c r="B14" s="95"/>
      <c r="C14" s="83"/>
      <c r="D14" s="88" t="s">
        <v>160</v>
      </c>
      <c r="F14" s="200" t="s">
        <v>199</v>
      </c>
      <c r="G14" s="84">
        <v>0</v>
      </c>
      <c r="H14" s="84">
        <v>0</v>
      </c>
      <c r="I14" s="84">
        <v>0</v>
      </c>
      <c r="J14" s="84">
        <v>0</v>
      </c>
      <c r="K14" s="84">
        <v>1</v>
      </c>
      <c r="L14" s="84">
        <v>0</v>
      </c>
      <c r="M14" s="84">
        <v>1</v>
      </c>
      <c r="N14" s="84">
        <v>0</v>
      </c>
      <c r="O14" s="84">
        <v>1</v>
      </c>
      <c r="P14" s="73">
        <v>0</v>
      </c>
      <c r="Q14" s="84">
        <v>0</v>
      </c>
      <c r="R14" s="74">
        <v>1</v>
      </c>
      <c r="S14"/>
      <c r="T14"/>
      <c r="W14"/>
    </row>
    <row r="15" spans="1:23" ht="15" customHeight="1" x14ac:dyDescent="0.15">
      <c r="B15" s="95"/>
      <c r="C15" s="83"/>
      <c r="D15" s="88" t="s">
        <v>160</v>
      </c>
      <c r="F15" s="200" t="s">
        <v>200</v>
      </c>
      <c r="G15" s="84">
        <v>0</v>
      </c>
      <c r="H15" s="84">
        <v>0</v>
      </c>
      <c r="I15" s="84">
        <v>0</v>
      </c>
      <c r="J15" s="84">
        <v>0</v>
      </c>
      <c r="K15" s="84">
        <v>1</v>
      </c>
      <c r="L15" s="84">
        <v>0</v>
      </c>
      <c r="M15" s="84">
        <v>1</v>
      </c>
      <c r="N15" s="84">
        <v>0</v>
      </c>
      <c r="O15" s="84">
        <v>1</v>
      </c>
      <c r="P15" s="73">
        <v>0</v>
      </c>
      <c r="Q15" s="84">
        <v>0</v>
      </c>
      <c r="R15" s="74">
        <v>1</v>
      </c>
      <c r="S15"/>
      <c r="T15"/>
      <c r="W15"/>
    </row>
    <row r="16" spans="1:23" ht="15" customHeight="1" x14ac:dyDescent="0.15">
      <c r="B16" s="95"/>
      <c r="C16" s="83"/>
      <c r="D16" s="88" t="s">
        <v>160</v>
      </c>
      <c r="F16" s="200" t="s">
        <v>201</v>
      </c>
      <c r="G16" s="84">
        <v>0</v>
      </c>
      <c r="H16" s="84">
        <v>0</v>
      </c>
      <c r="I16" s="84">
        <v>0</v>
      </c>
      <c r="J16" s="84">
        <v>0</v>
      </c>
      <c r="K16" s="84">
        <v>1</v>
      </c>
      <c r="L16" s="84">
        <v>0</v>
      </c>
      <c r="M16" s="84">
        <v>1</v>
      </c>
      <c r="N16" s="84">
        <v>0</v>
      </c>
      <c r="O16" s="84">
        <v>1</v>
      </c>
      <c r="P16" s="73">
        <v>0</v>
      </c>
      <c r="Q16" s="84">
        <v>0</v>
      </c>
      <c r="R16" s="74">
        <v>1</v>
      </c>
      <c r="S16"/>
      <c r="T16"/>
    </row>
    <row r="17" spans="1:20" ht="15" customHeight="1" thickBot="1" x14ac:dyDescent="0.2">
      <c r="B17" s="94"/>
      <c r="C17" s="83"/>
      <c r="D17" s="88" t="s">
        <v>160</v>
      </c>
      <c r="F17" s="200" t="s">
        <v>202</v>
      </c>
      <c r="G17" s="84">
        <v>0</v>
      </c>
      <c r="H17" s="84">
        <v>0</v>
      </c>
      <c r="I17" s="84">
        <v>0</v>
      </c>
      <c r="J17" s="84">
        <v>0</v>
      </c>
      <c r="K17" s="84">
        <v>1</v>
      </c>
      <c r="L17" s="84">
        <v>0</v>
      </c>
      <c r="M17" s="84">
        <v>1</v>
      </c>
      <c r="N17" s="84">
        <v>0</v>
      </c>
      <c r="O17" s="84">
        <v>1</v>
      </c>
      <c r="P17" s="73">
        <v>0</v>
      </c>
      <c r="Q17" s="84">
        <v>0</v>
      </c>
      <c r="R17" s="74">
        <v>1</v>
      </c>
      <c r="S17"/>
      <c r="T17"/>
    </row>
    <row r="18" spans="1:20" ht="15" customHeight="1" thickBot="1" x14ac:dyDescent="0.2">
      <c r="B18" s="96"/>
      <c r="F18" s="200" t="s">
        <v>203</v>
      </c>
      <c r="G18" s="84">
        <v>0</v>
      </c>
      <c r="H18" s="84">
        <v>0</v>
      </c>
      <c r="I18" s="84">
        <v>0</v>
      </c>
      <c r="J18" s="84">
        <v>0</v>
      </c>
      <c r="K18" s="84">
        <v>1</v>
      </c>
      <c r="L18" s="84">
        <v>0</v>
      </c>
      <c r="M18" s="84">
        <v>1</v>
      </c>
      <c r="N18" s="84">
        <v>0</v>
      </c>
      <c r="O18" s="84">
        <v>1</v>
      </c>
      <c r="P18" s="73">
        <v>0</v>
      </c>
      <c r="Q18" s="84">
        <v>0</v>
      </c>
      <c r="R18" s="74">
        <v>1</v>
      </c>
      <c r="S18"/>
      <c r="T18"/>
    </row>
    <row r="19" spans="1:20" ht="15" customHeight="1" x14ac:dyDescent="0.15">
      <c r="A19" s="86" t="s">
        <v>57</v>
      </c>
      <c r="B19" s="93">
        <v>1</v>
      </c>
      <c r="C19" s="202" t="s">
        <v>224</v>
      </c>
      <c r="D19" s="88" t="s">
        <v>160</v>
      </c>
      <c r="F19" s="200" t="s">
        <v>204</v>
      </c>
      <c r="G19" s="84">
        <v>0</v>
      </c>
      <c r="H19" s="84">
        <v>0</v>
      </c>
      <c r="I19" s="84">
        <v>0</v>
      </c>
      <c r="J19" s="84">
        <v>0</v>
      </c>
      <c r="K19" s="84">
        <v>1</v>
      </c>
      <c r="L19" s="84">
        <v>0</v>
      </c>
      <c r="M19" s="84">
        <v>1</v>
      </c>
      <c r="N19" s="84">
        <v>0</v>
      </c>
      <c r="O19" s="84">
        <v>1</v>
      </c>
      <c r="P19" s="73">
        <v>0</v>
      </c>
      <c r="Q19" s="84">
        <v>0</v>
      </c>
      <c r="R19" s="74">
        <v>1</v>
      </c>
      <c r="S19"/>
      <c r="T19"/>
    </row>
    <row r="20" spans="1:20" ht="15" customHeight="1" x14ac:dyDescent="0.15">
      <c r="A20" s="126" t="s">
        <v>168</v>
      </c>
      <c r="B20" s="95"/>
      <c r="C20" s="83"/>
      <c r="D20" s="88" t="s">
        <v>160</v>
      </c>
      <c r="F20" s="200" t="s">
        <v>205</v>
      </c>
      <c r="G20" s="84">
        <v>0</v>
      </c>
      <c r="H20" s="84">
        <v>0</v>
      </c>
      <c r="I20" s="84">
        <v>0</v>
      </c>
      <c r="J20" s="84">
        <v>0</v>
      </c>
      <c r="K20" s="84">
        <v>1</v>
      </c>
      <c r="L20" s="84">
        <v>0</v>
      </c>
      <c r="M20" s="84">
        <v>1</v>
      </c>
      <c r="N20" s="84">
        <v>0</v>
      </c>
      <c r="O20" s="84">
        <v>1</v>
      </c>
      <c r="P20" s="73">
        <v>0</v>
      </c>
      <c r="Q20" s="84">
        <v>0</v>
      </c>
      <c r="R20" s="74">
        <v>1</v>
      </c>
      <c r="S20"/>
      <c r="T20"/>
    </row>
    <row r="21" spans="1:20" ht="15" customHeight="1" x14ac:dyDescent="0.15">
      <c r="B21" s="95"/>
      <c r="C21" s="83"/>
      <c r="D21" s="88" t="s">
        <v>160</v>
      </c>
      <c r="F21" s="200" t="s">
        <v>206</v>
      </c>
      <c r="G21" s="84">
        <v>0</v>
      </c>
      <c r="H21" s="84">
        <v>0</v>
      </c>
      <c r="I21" s="84">
        <v>0</v>
      </c>
      <c r="J21" s="84">
        <v>0</v>
      </c>
      <c r="K21" s="84">
        <v>1</v>
      </c>
      <c r="L21" s="84">
        <v>0</v>
      </c>
      <c r="M21" s="84">
        <v>1</v>
      </c>
      <c r="N21" s="84">
        <v>0</v>
      </c>
      <c r="O21" s="84">
        <v>1</v>
      </c>
      <c r="P21" s="73">
        <v>0</v>
      </c>
      <c r="Q21" s="84">
        <v>0</v>
      </c>
      <c r="R21" s="74">
        <v>1</v>
      </c>
      <c r="S21"/>
      <c r="T21"/>
    </row>
    <row r="22" spans="1:20" ht="15" customHeight="1" x14ac:dyDescent="0.15">
      <c r="A22" s="84"/>
      <c r="B22" s="95"/>
      <c r="C22" s="98"/>
      <c r="D22" s="88" t="s">
        <v>160</v>
      </c>
      <c r="F22" s="200" t="s">
        <v>207</v>
      </c>
      <c r="G22" s="84">
        <v>0</v>
      </c>
      <c r="H22" s="84">
        <v>0</v>
      </c>
      <c r="I22" s="84">
        <v>0</v>
      </c>
      <c r="J22" s="84">
        <v>0</v>
      </c>
      <c r="K22" s="84">
        <v>1</v>
      </c>
      <c r="L22" s="84">
        <v>0</v>
      </c>
      <c r="M22" s="84">
        <v>1</v>
      </c>
      <c r="N22" s="84">
        <v>0</v>
      </c>
      <c r="O22" s="84">
        <v>1</v>
      </c>
      <c r="P22" s="73">
        <v>0</v>
      </c>
      <c r="Q22" s="84">
        <v>0</v>
      </c>
      <c r="R22" s="74">
        <v>1</v>
      </c>
      <c r="S22"/>
      <c r="T22"/>
    </row>
    <row r="23" spans="1:20" ht="15" customHeight="1" x14ac:dyDescent="0.15">
      <c r="A23" s="84"/>
      <c r="B23" s="95"/>
      <c r="C23" s="99"/>
      <c r="D23" s="88" t="s">
        <v>160</v>
      </c>
      <c r="F23" s="200" t="s">
        <v>208</v>
      </c>
      <c r="G23" s="84">
        <v>0</v>
      </c>
      <c r="H23" s="84">
        <v>0</v>
      </c>
      <c r="I23" s="84">
        <v>0</v>
      </c>
      <c r="J23" s="84">
        <v>0</v>
      </c>
      <c r="K23" s="84">
        <v>1</v>
      </c>
      <c r="L23" s="84">
        <v>0</v>
      </c>
      <c r="M23" s="84">
        <v>1</v>
      </c>
      <c r="N23" s="84">
        <v>0</v>
      </c>
      <c r="O23" s="84">
        <v>1</v>
      </c>
      <c r="P23" s="73">
        <v>0</v>
      </c>
      <c r="Q23" s="84">
        <v>0</v>
      </c>
      <c r="R23" s="74">
        <v>1</v>
      </c>
      <c r="S23"/>
      <c r="T23"/>
    </row>
    <row r="24" spans="1:20" ht="15" customHeight="1" x14ac:dyDescent="0.15">
      <c r="A24" s="84"/>
      <c r="B24" s="95"/>
      <c r="C24" s="99"/>
      <c r="D24" s="88" t="s">
        <v>160</v>
      </c>
      <c r="F24" s="200" t="s">
        <v>209</v>
      </c>
      <c r="G24" s="84">
        <v>0</v>
      </c>
      <c r="H24" s="84">
        <v>0</v>
      </c>
      <c r="I24" s="84">
        <v>0</v>
      </c>
      <c r="J24" s="84">
        <v>0</v>
      </c>
      <c r="K24" s="84">
        <v>1</v>
      </c>
      <c r="L24" s="84">
        <v>0</v>
      </c>
      <c r="M24" s="84">
        <v>1</v>
      </c>
      <c r="N24" s="84">
        <v>0</v>
      </c>
      <c r="O24" s="84">
        <v>1</v>
      </c>
      <c r="P24" s="73">
        <v>0</v>
      </c>
      <c r="Q24" s="84">
        <v>0</v>
      </c>
      <c r="R24" s="74">
        <v>1</v>
      </c>
      <c r="S24"/>
      <c r="T24"/>
    </row>
    <row r="25" spans="1:20" ht="15" customHeight="1" x14ac:dyDescent="0.15">
      <c r="A25" s="84"/>
      <c r="B25" s="95"/>
      <c r="C25" s="83"/>
      <c r="D25" s="88" t="s">
        <v>160</v>
      </c>
      <c r="F25" s="200" t="s">
        <v>210</v>
      </c>
      <c r="G25" s="84">
        <v>0</v>
      </c>
      <c r="H25" s="84">
        <v>0</v>
      </c>
      <c r="I25" s="84">
        <v>0</v>
      </c>
      <c r="J25" s="84">
        <v>0</v>
      </c>
      <c r="K25" s="84">
        <v>1</v>
      </c>
      <c r="L25" s="84">
        <v>0</v>
      </c>
      <c r="M25" s="84">
        <v>1</v>
      </c>
      <c r="N25" s="84">
        <v>0</v>
      </c>
      <c r="O25" s="84">
        <v>1</v>
      </c>
      <c r="P25" s="73">
        <v>0</v>
      </c>
      <c r="Q25" s="84">
        <v>0</v>
      </c>
      <c r="R25" s="74">
        <v>1</v>
      </c>
      <c r="S25"/>
      <c r="T25"/>
    </row>
    <row r="26" spans="1:20" ht="15" customHeight="1" x14ac:dyDescent="0.15">
      <c r="B26" s="95"/>
      <c r="C26" s="83"/>
      <c r="D26" s="88" t="s">
        <v>160</v>
      </c>
      <c r="F26" s="200" t="s">
        <v>211</v>
      </c>
      <c r="G26" s="84">
        <v>0</v>
      </c>
      <c r="H26" s="84">
        <v>0</v>
      </c>
      <c r="I26" s="84">
        <v>0</v>
      </c>
      <c r="J26" s="84">
        <v>0</v>
      </c>
      <c r="K26" s="84">
        <v>1</v>
      </c>
      <c r="L26" s="84">
        <v>0</v>
      </c>
      <c r="M26" s="84">
        <v>1</v>
      </c>
      <c r="N26" s="84">
        <v>0</v>
      </c>
      <c r="O26" s="84">
        <v>1</v>
      </c>
      <c r="P26" s="73">
        <v>0</v>
      </c>
      <c r="Q26" s="84">
        <v>0</v>
      </c>
      <c r="R26" s="74">
        <v>1</v>
      </c>
      <c r="S26"/>
      <c r="T26"/>
    </row>
    <row r="27" spans="1:20" ht="15" customHeight="1" x14ac:dyDescent="0.15">
      <c r="B27" s="95"/>
      <c r="C27" s="83"/>
      <c r="D27" s="88" t="s">
        <v>160</v>
      </c>
      <c r="F27" s="200" t="s">
        <v>212</v>
      </c>
      <c r="G27" s="84">
        <v>0</v>
      </c>
      <c r="H27" s="84">
        <v>0</v>
      </c>
      <c r="I27" s="84">
        <v>0</v>
      </c>
      <c r="J27" s="84">
        <v>0</v>
      </c>
      <c r="K27" s="84">
        <v>1</v>
      </c>
      <c r="L27" s="84">
        <v>0</v>
      </c>
      <c r="M27" s="84">
        <v>1</v>
      </c>
      <c r="N27" s="84">
        <v>0</v>
      </c>
      <c r="O27" s="84">
        <v>1</v>
      </c>
      <c r="P27" s="73">
        <v>0</v>
      </c>
      <c r="Q27" s="84">
        <v>0</v>
      </c>
      <c r="R27" s="74">
        <v>1</v>
      </c>
      <c r="S27"/>
      <c r="T27"/>
    </row>
    <row r="28" spans="1:20" ht="15" customHeight="1" thickBot="1" x14ac:dyDescent="0.2">
      <c r="B28" s="94"/>
      <c r="C28" s="83"/>
      <c r="D28" s="88" t="s">
        <v>160</v>
      </c>
      <c r="F28" s="200" t="s">
        <v>213</v>
      </c>
      <c r="G28" s="84">
        <v>0</v>
      </c>
      <c r="H28" s="84">
        <v>0</v>
      </c>
      <c r="I28" s="84">
        <v>0</v>
      </c>
      <c r="J28" s="84">
        <v>0</v>
      </c>
      <c r="K28" s="84">
        <v>1</v>
      </c>
      <c r="L28" s="84">
        <v>0</v>
      </c>
      <c r="M28" s="84">
        <v>1</v>
      </c>
      <c r="N28" s="84">
        <v>0</v>
      </c>
      <c r="O28" s="84">
        <v>1</v>
      </c>
      <c r="P28" s="73">
        <v>0</v>
      </c>
      <c r="Q28" s="84">
        <v>0</v>
      </c>
      <c r="R28" s="74">
        <v>1</v>
      </c>
      <c r="S28"/>
      <c r="T28"/>
    </row>
    <row r="29" spans="1:20" ht="15" customHeight="1" x14ac:dyDescent="0.15">
      <c r="F29" s="200" t="s">
        <v>214</v>
      </c>
      <c r="G29" s="84">
        <v>0</v>
      </c>
      <c r="H29" s="84">
        <v>0</v>
      </c>
      <c r="I29" s="84">
        <v>0</v>
      </c>
      <c r="J29" s="84">
        <v>0</v>
      </c>
      <c r="K29" s="84">
        <v>1</v>
      </c>
      <c r="L29" s="84">
        <v>0</v>
      </c>
      <c r="M29" s="84">
        <v>1</v>
      </c>
      <c r="N29" s="84">
        <v>0</v>
      </c>
      <c r="O29" s="84">
        <v>1</v>
      </c>
      <c r="P29" s="73">
        <v>0</v>
      </c>
      <c r="Q29" s="84">
        <v>0</v>
      </c>
      <c r="R29" s="74">
        <v>1</v>
      </c>
      <c r="S29"/>
      <c r="T29"/>
    </row>
    <row r="30" spans="1:20" ht="15" customHeight="1" x14ac:dyDescent="0.15">
      <c r="F30" s="200" t="s">
        <v>215</v>
      </c>
      <c r="G30" s="84">
        <v>0</v>
      </c>
      <c r="H30" s="84">
        <v>0</v>
      </c>
      <c r="I30" s="84">
        <v>0</v>
      </c>
      <c r="J30" s="84">
        <v>0</v>
      </c>
      <c r="K30" s="84">
        <v>1</v>
      </c>
      <c r="L30" s="84">
        <v>0</v>
      </c>
      <c r="M30" s="84">
        <v>1</v>
      </c>
      <c r="N30" s="84">
        <v>0</v>
      </c>
      <c r="O30" s="84">
        <v>1</v>
      </c>
      <c r="P30" s="73">
        <v>0</v>
      </c>
      <c r="Q30" s="84">
        <v>0</v>
      </c>
      <c r="R30" s="74">
        <v>1</v>
      </c>
      <c r="S30"/>
      <c r="T30"/>
    </row>
    <row r="31" spans="1:20" ht="15" customHeight="1" x14ac:dyDescent="0.15">
      <c r="A31" s="127"/>
      <c r="B31" s="138" t="s">
        <v>17</v>
      </c>
      <c r="C31" s="138" t="s">
        <v>1</v>
      </c>
      <c r="D31" s="138" t="s">
        <v>161</v>
      </c>
      <c r="E31" s="139" t="s">
        <v>163</v>
      </c>
      <c r="F31" s="200" t="s">
        <v>216</v>
      </c>
      <c r="G31" s="84">
        <v>0</v>
      </c>
      <c r="H31" s="84">
        <v>0</v>
      </c>
      <c r="I31" s="84">
        <v>0</v>
      </c>
      <c r="J31" s="84">
        <v>0</v>
      </c>
      <c r="K31" s="84">
        <v>1</v>
      </c>
      <c r="L31" s="84">
        <v>0</v>
      </c>
      <c r="M31" s="84">
        <v>1</v>
      </c>
      <c r="N31" s="84">
        <v>0</v>
      </c>
      <c r="O31" s="84">
        <v>1</v>
      </c>
      <c r="P31" s="73">
        <v>0</v>
      </c>
      <c r="Q31" s="84">
        <v>0</v>
      </c>
      <c r="R31" s="74">
        <v>1</v>
      </c>
      <c r="S31"/>
      <c r="T31"/>
    </row>
    <row r="32" spans="1:20" ht="15" customHeight="1" x14ac:dyDescent="0.15">
      <c r="A32" s="203" t="s">
        <v>224</v>
      </c>
      <c r="B32" s="96">
        <v>69</v>
      </c>
      <c r="C32" s="96">
        <v>84</v>
      </c>
      <c r="D32" s="96">
        <v>5796</v>
      </c>
      <c r="E32" s="129">
        <v>1</v>
      </c>
      <c r="F32" s="200" t="s">
        <v>217</v>
      </c>
      <c r="G32" s="84">
        <v>0</v>
      </c>
      <c r="H32" s="84">
        <v>0</v>
      </c>
      <c r="I32" s="84">
        <v>0</v>
      </c>
      <c r="J32" s="84">
        <v>0</v>
      </c>
      <c r="K32" s="84">
        <v>1</v>
      </c>
      <c r="L32" s="84">
        <v>0</v>
      </c>
      <c r="M32" s="84">
        <v>1</v>
      </c>
      <c r="N32" s="84">
        <v>0</v>
      </c>
      <c r="O32" s="84">
        <v>1</v>
      </c>
      <c r="P32" s="73">
        <v>0</v>
      </c>
      <c r="Q32" s="84">
        <v>0</v>
      </c>
      <c r="R32" s="74">
        <v>1</v>
      </c>
      <c r="S32"/>
      <c r="T32"/>
    </row>
    <row r="33" spans="1:20" ht="15" customHeight="1" x14ac:dyDescent="0.15">
      <c r="A33" s="128"/>
      <c r="B33" s="96"/>
      <c r="C33" s="96"/>
      <c r="D33" s="96"/>
      <c r="E33" s="129"/>
      <c r="F33" s="200" t="s">
        <v>218</v>
      </c>
      <c r="G33" s="84">
        <v>0</v>
      </c>
      <c r="H33" s="84">
        <v>0</v>
      </c>
      <c r="I33" s="84">
        <v>0</v>
      </c>
      <c r="J33" s="84">
        <v>0</v>
      </c>
      <c r="K33" s="84">
        <v>1</v>
      </c>
      <c r="L33" s="84">
        <v>0</v>
      </c>
      <c r="M33" s="84">
        <v>1</v>
      </c>
      <c r="N33" s="84">
        <v>0</v>
      </c>
      <c r="O33" s="84">
        <v>1</v>
      </c>
      <c r="P33" s="73">
        <v>0</v>
      </c>
      <c r="Q33" s="84">
        <v>0</v>
      </c>
      <c r="R33" s="74">
        <v>1</v>
      </c>
      <c r="S33"/>
      <c r="T33"/>
    </row>
    <row r="34" spans="1:20" ht="15" customHeight="1" x14ac:dyDescent="0.15">
      <c r="A34" s="130"/>
      <c r="B34" s="96"/>
      <c r="C34" s="96"/>
      <c r="D34" s="96"/>
      <c r="E34" s="129"/>
      <c r="F34" s="200" t="s">
        <v>219</v>
      </c>
      <c r="G34" s="84">
        <v>0</v>
      </c>
      <c r="H34" s="84">
        <v>0</v>
      </c>
      <c r="I34" s="84">
        <v>0</v>
      </c>
      <c r="J34" s="84">
        <v>0</v>
      </c>
      <c r="K34" s="84">
        <v>1</v>
      </c>
      <c r="L34" s="84">
        <v>0</v>
      </c>
      <c r="M34" s="84">
        <v>1</v>
      </c>
      <c r="N34" s="84">
        <v>0</v>
      </c>
      <c r="O34" s="84">
        <v>1</v>
      </c>
      <c r="P34" s="73">
        <v>0</v>
      </c>
      <c r="Q34" s="84">
        <v>0</v>
      </c>
      <c r="R34" s="74">
        <v>1</v>
      </c>
      <c r="S34"/>
      <c r="T34"/>
    </row>
    <row r="35" spans="1:20" ht="15" customHeight="1" x14ac:dyDescent="0.15">
      <c r="A35" s="131"/>
      <c r="B35" s="96"/>
      <c r="C35" s="96"/>
      <c r="D35" s="96"/>
      <c r="E35" s="129"/>
      <c r="F35" s="200" t="s">
        <v>220</v>
      </c>
      <c r="G35" s="84">
        <v>0</v>
      </c>
      <c r="H35" s="84">
        <v>0</v>
      </c>
      <c r="I35" s="84">
        <v>0</v>
      </c>
      <c r="J35" s="84">
        <v>0</v>
      </c>
      <c r="K35" s="84">
        <v>1</v>
      </c>
      <c r="L35" s="84">
        <v>0</v>
      </c>
      <c r="M35" s="84">
        <v>1</v>
      </c>
      <c r="N35" s="84">
        <v>0</v>
      </c>
      <c r="O35" s="84">
        <v>1</v>
      </c>
      <c r="P35" s="73">
        <v>0</v>
      </c>
      <c r="Q35" s="84">
        <v>0</v>
      </c>
      <c r="R35" s="74">
        <v>1</v>
      </c>
      <c r="S35"/>
      <c r="T35"/>
    </row>
    <row r="36" spans="1:20" ht="15" customHeight="1" x14ac:dyDescent="0.15">
      <c r="A36" s="132"/>
      <c r="B36" s="96"/>
      <c r="C36" s="96"/>
      <c r="D36" s="96"/>
      <c r="E36" s="129"/>
      <c r="F36" s="200" t="s">
        <v>221</v>
      </c>
      <c r="G36" s="84">
        <v>0</v>
      </c>
      <c r="H36" s="84">
        <v>0</v>
      </c>
      <c r="I36" s="84">
        <v>0</v>
      </c>
      <c r="J36" s="84">
        <v>0</v>
      </c>
      <c r="K36" s="84">
        <v>1</v>
      </c>
      <c r="L36" s="84">
        <v>0</v>
      </c>
      <c r="M36" s="84">
        <v>1</v>
      </c>
      <c r="N36" s="84">
        <v>0</v>
      </c>
      <c r="O36" s="84">
        <v>1</v>
      </c>
      <c r="P36" s="73">
        <v>0</v>
      </c>
      <c r="Q36" s="84">
        <v>0</v>
      </c>
      <c r="R36" s="74">
        <v>1</v>
      </c>
      <c r="S36"/>
      <c r="T36"/>
    </row>
    <row r="37" spans="1:20" ht="15" customHeight="1" x14ac:dyDescent="0.15">
      <c r="A37" s="132"/>
      <c r="B37" s="96"/>
      <c r="C37" s="96"/>
      <c r="D37" s="96"/>
      <c r="E37" s="129"/>
      <c r="F37" s="200" t="s">
        <v>222</v>
      </c>
      <c r="G37" s="84">
        <v>0</v>
      </c>
      <c r="H37" s="84">
        <v>0</v>
      </c>
      <c r="I37" s="84">
        <v>0</v>
      </c>
      <c r="J37" s="84">
        <v>0</v>
      </c>
      <c r="K37" s="84">
        <v>1</v>
      </c>
      <c r="L37" s="84">
        <v>0</v>
      </c>
      <c r="M37" s="84">
        <v>1</v>
      </c>
      <c r="N37" s="84">
        <v>0</v>
      </c>
      <c r="O37" s="84">
        <v>1</v>
      </c>
      <c r="P37" s="73">
        <v>0</v>
      </c>
      <c r="Q37" s="84">
        <v>0</v>
      </c>
      <c r="R37" s="74">
        <v>1</v>
      </c>
      <c r="S37"/>
      <c r="T37"/>
    </row>
    <row r="38" spans="1:20" ht="15" customHeight="1" x14ac:dyDescent="0.15">
      <c r="A38" s="133"/>
      <c r="B38" s="96"/>
      <c r="C38" s="96"/>
      <c r="D38" s="96"/>
      <c r="E38" s="129"/>
      <c r="F38" s="200" t="s">
        <v>223</v>
      </c>
      <c r="G38" s="84">
        <v>0</v>
      </c>
      <c r="H38" s="84">
        <v>0</v>
      </c>
      <c r="I38" s="84">
        <v>0</v>
      </c>
      <c r="J38" s="84">
        <v>0</v>
      </c>
      <c r="K38" s="84">
        <v>1</v>
      </c>
      <c r="L38" s="84">
        <v>0</v>
      </c>
      <c r="M38" s="84">
        <v>1</v>
      </c>
      <c r="N38" s="84">
        <v>0</v>
      </c>
      <c r="O38" s="84">
        <v>1</v>
      </c>
      <c r="P38" s="73">
        <v>0</v>
      </c>
      <c r="Q38" s="84">
        <v>0</v>
      </c>
      <c r="R38" s="74">
        <v>1</v>
      </c>
      <c r="S38"/>
      <c r="T38"/>
    </row>
    <row r="39" spans="1:20" ht="15" customHeight="1" x14ac:dyDescent="0.15">
      <c r="A39" s="133"/>
      <c r="B39" s="96"/>
      <c r="C39" s="96"/>
      <c r="D39" s="96"/>
      <c r="E39" s="129"/>
      <c r="F39" s="200" t="s">
        <v>224</v>
      </c>
      <c r="G39" s="84">
        <v>0</v>
      </c>
      <c r="H39" s="84">
        <v>0</v>
      </c>
      <c r="I39" s="84">
        <v>0</v>
      </c>
      <c r="J39" s="84">
        <v>0</v>
      </c>
      <c r="K39" s="84">
        <v>0</v>
      </c>
      <c r="L39" s="84">
        <v>0</v>
      </c>
      <c r="M39" s="84">
        <v>1</v>
      </c>
      <c r="N39" s="84">
        <v>0</v>
      </c>
      <c r="O39" s="84">
        <v>0</v>
      </c>
      <c r="P39" s="73">
        <v>0</v>
      </c>
      <c r="Q39" s="84">
        <v>0</v>
      </c>
      <c r="R39" s="74">
        <v>1</v>
      </c>
      <c r="S39"/>
      <c r="T39"/>
    </row>
    <row r="40" spans="1:20" ht="15" customHeight="1" x14ac:dyDescent="0.15">
      <c r="A40" s="133"/>
      <c r="B40" s="96"/>
      <c r="C40" s="96"/>
      <c r="D40" s="96"/>
      <c r="E40" s="129"/>
      <c r="F40" s="200" t="s">
        <v>225</v>
      </c>
      <c r="G40" s="84">
        <v>0</v>
      </c>
      <c r="H40" s="84">
        <v>0</v>
      </c>
      <c r="I40" s="84">
        <v>0</v>
      </c>
      <c r="J40" s="84">
        <v>0</v>
      </c>
      <c r="K40" s="84">
        <v>0</v>
      </c>
      <c r="L40" s="84">
        <v>1</v>
      </c>
      <c r="M40" s="84">
        <v>0</v>
      </c>
      <c r="N40" s="84">
        <v>1</v>
      </c>
      <c r="O40" s="84">
        <v>0</v>
      </c>
      <c r="P40" s="73">
        <v>1</v>
      </c>
      <c r="Q40" s="84">
        <v>0</v>
      </c>
      <c r="R40" s="74">
        <v>1</v>
      </c>
      <c r="S40"/>
      <c r="T40"/>
    </row>
    <row r="41" spans="1:20" ht="15" customHeight="1" thickBot="1" x14ac:dyDescent="0.2">
      <c r="A41" s="133"/>
      <c r="B41" s="96"/>
      <c r="C41" s="96"/>
      <c r="D41" s="97"/>
      <c r="E41" s="134"/>
      <c r="F41" s="200" t="s">
        <v>226</v>
      </c>
      <c r="G41" s="84">
        <v>0</v>
      </c>
      <c r="H41" s="84">
        <v>0</v>
      </c>
      <c r="I41" s="84">
        <v>0</v>
      </c>
      <c r="J41" s="84">
        <v>0</v>
      </c>
      <c r="K41" s="84">
        <v>0</v>
      </c>
      <c r="L41" s="84">
        <v>1</v>
      </c>
      <c r="M41" s="84">
        <v>0</v>
      </c>
      <c r="N41" s="84">
        <v>1</v>
      </c>
      <c r="O41" s="84">
        <v>0</v>
      </c>
      <c r="P41" s="73">
        <v>1</v>
      </c>
      <c r="Q41" s="84">
        <v>0</v>
      </c>
      <c r="R41" s="74">
        <v>1</v>
      </c>
      <c r="S41"/>
      <c r="T41"/>
    </row>
    <row r="42" spans="1:20" ht="15" customHeight="1" x14ac:dyDescent="0.15">
      <c r="A42" s="135"/>
      <c r="B42" s="136"/>
      <c r="C42" s="136" t="s">
        <v>162</v>
      </c>
      <c r="D42" s="136">
        <f>SUM(D32:D41)</f>
        <v>5796</v>
      </c>
      <c r="E42" s="137">
        <f>SUM(E32:E41)</f>
        <v>1</v>
      </c>
      <c r="F42" s="200" t="s">
        <v>227</v>
      </c>
      <c r="G42" s="84">
        <v>0</v>
      </c>
      <c r="H42" s="84">
        <v>0</v>
      </c>
      <c r="I42" s="84">
        <v>0</v>
      </c>
      <c r="J42" s="84">
        <v>0</v>
      </c>
      <c r="K42" s="84">
        <v>0</v>
      </c>
      <c r="L42" s="84">
        <v>1</v>
      </c>
      <c r="M42" s="84">
        <v>0</v>
      </c>
      <c r="N42" s="84">
        <v>0</v>
      </c>
      <c r="O42" s="84">
        <v>0</v>
      </c>
      <c r="P42" s="73">
        <v>0</v>
      </c>
      <c r="Q42" s="84">
        <v>0</v>
      </c>
      <c r="R42" s="74">
        <v>1</v>
      </c>
      <c r="S42"/>
      <c r="T42"/>
    </row>
    <row r="43" spans="1:20" ht="15" customHeight="1" x14ac:dyDescent="0.15">
      <c r="A43" s="84"/>
      <c r="F43" s="200" t="s">
        <v>228</v>
      </c>
      <c r="G43" s="84">
        <v>0</v>
      </c>
      <c r="H43" s="84">
        <v>0</v>
      </c>
      <c r="I43" s="84">
        <v>0</v>
      </c>
      <c r="J43" s="84">
        <v>0</v>
      </c>
      <c r="K43" s="84">
        <v>0</v>
      </c>
      <c r="L43" s="84">
        <v>1</v>
      </c>
      <c r="M43" s="84">
        <v>0</v>
      </c>
      <c r="N43" s="84">
        <v>0</v>
      </c>
      <c r="O43" s="84">
        <v>0</v>
      </c>
      <c r="P43" s="73">
        <v>0</v>
      </c>
      <c r="Q43" s="84">
        <v>0</v>
      </c>
      <c r="R43" s="74">
        <v>1</v>
      </c>
      <c r="S43"/>
      <c r="T43"/>
    </row>
    <row r="44" spans="1:20" ht="15" customHeight="1" x14ac:dyDescent="0.15">
      <c r="A44" s="84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84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84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84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84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84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84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84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84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84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84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84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84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84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84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84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84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84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84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84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84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84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84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84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84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84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84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84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84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84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84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84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84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84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84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84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84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84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84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84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84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84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84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84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84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84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84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84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84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84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84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84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84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84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84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84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84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84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84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84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84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84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84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84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84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84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84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84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84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84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84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84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84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84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84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84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84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84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84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84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84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84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84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84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84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84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84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84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84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84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84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84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84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84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84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84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84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84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84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84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84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84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84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84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84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84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84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84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84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84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84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84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84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84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84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84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84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84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84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84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84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84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84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84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84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84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84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T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2.5" bestFit="1" customWidth="1"/>
    <col min="2" max="2" width="2.33203125" style="112" customWidth="1"/>
    <col min="3" max="5" width="7.83203125" style="112" customWidth="1"/>
    <col min="6" max="8" width="8.83203125" style="6"/>
    <col min="9" max="9" width="7.5" style="6" customWidth="1"/>
    <col min="10" max="10" width="8.5" style="6" customWidth="1"/>
    <col min="11" max="11" width="6.83203125" style="6" customWidth="1"/>
    <col min="12" max="12" width="9.1640625" style="6" customWidth="1"/>
    <col min="13" max="13" width="6.6640625" style="6" customWidth="1"/>
    <col min="14" max="14" width="8.33203125" style="6" customWidth="1"/>
    <col min="15" max="15" width="13.33203125" style="6" customWidth="1"/>
    <col min="16" max="16" width="11.83203125" style="6" customWidth="1"/>
    <col min="17" max="17" width="9.5" style="6" customWidth="1"/>
    <col min="18" max="18" width="16.5" style="6" customWidth="1"/>
    <col min="19" max="19" width="10.1640625" style="6" customWidth="1"/>
    <col min="20" max="20" width="10.5" style="6" customWidth="1"/>
    <col min="21" max="21" width="12.33203125" style="6" customWidth="1"/>
    <col min="22" max="22" width="13.5" style="6" customWidth="1"/>
    <col min="23" max="23" width="17.83203125" style="6" customWidth="1"/>
    <col min="24" max="24" width="16.6640625" style="6" customWidth="1"/>
    <col min="25" max="25" width="13.5" style="6" customWidth="1"/>
    <col min="26" max="26" width="10.83203125" style="6" customWidth="1"/>
    <col min="27" max="27" width="10.5" style="6" customWidth="1"/>
    <col min="28" max="28" width="8.5" style="6" customWidth="1"/>
    <col min="29" max="29" width="8" style="6" customWidth="1"/>
    <col min="30" max="30" width="7.1640625" style="6" customWidth="1"/>
    <col min="31" max="31" width="20.83203125" style="6" customWidth="1"/>
    <col min="32" max="32" width="22.1640625" style="6" customWidth="1"/>
    <col min="33" max="33" width="22.5" style="6" customWidth="1"/>
    <col min="34" max="34" width="21.83203125" style="6" customWidth="1"/>
    <col min="35" max="35" width="20.1640625" style="6" customWidth="1"/>
    <col min="36" max="36" width="20.83203125" style="6" customWidth="1"/>
    <col min="37" max="37" width="9.6640625" style="6" customWidth="1"/>
    <col min="38" max="38" width="12" style="6" customWidth="1"/>
    <col min="39" max="39" width="8.1640625" customWidth="1"/>
    <col min="40" max="42" width="16.5" customWidth="1"/>
    <col min="43" max="43" width="7.6640625" customWidth="1"/>
    <col min="44" max="44" width="21.6640625" customWidth="1"/>
    <col min="45" max="45" width="17.5" customWidth="1"/>
    <col min="46" max="46" width="15.1640625" customWidth="1"/>
    <col min="81" max="81" width="22.1640625" bestFit="1" customWidth="1"/>
  </cols>
  <sheetData>
    <row r="1" spans="1:46" x14ac:dyDescent="0.15">
      <c r="A1" s="4" t="s">
        <v>156</v>
      </c>
      <c r="B1" s="37" t="s">
        <v>157</v>
      </c>
      <c r="C1" s="37" t="s">
        <v>17</v>
      </c>
      <c r="D1" s="37" t="s">
        <v>158</v>
      </c>
      <c r="E1" s="37" t="s">
        <v>159</v>
      </c>
      <c r="F1" t="s">
        <v>38</v>
      </c>
      <c r="G1" t="s">
        <v>40</v>
      </c>
      <c r="H1" t="s">
        <v>41</v>
      </c>
      <c r="I1" s="205" t="s">
        <v>191</v>
      </c>
      <c r="J1" s="205" t="s">
        <v>192</v>
      </c>
      <c r="K1" s="205" t="s">
        <v>193</v>
      </c>
      <c r="L1" s="205" t="s">
        <v>194</v>
      </c>
      <c r="M1" s="205" t="s">
        <v>195</v>
      </c>
      <c r="N1" s="205" t="s">
        <v>196</v>
      </c>
      <c r="O1" s="205" t="s">
        <v>197</v>
      </c>
      <c r="P1" s="205" t="s">
        <v>198</v>
      </c>
      <c r="Q1" s="205" t="s">
        <v>199</v>
      </c>
      <c r="R1" s="205" t="s">
        <v>200</v>
      </c>
      <c r="S1" s="205" t="s">
        <v>201</v>
      </c>
      <c r="T1" s="205" t="s">
        <v>202</v>
      </c>
      <c r="U1" s="205" t="s">
        <v>203</v>
      </c>
      <c r="V1" s="205" t="s">
        <v>204</v>
      </c>
      <c r="W1" s="205" t="s">
        <v>205</v>
      </c>
      <c r="X1" s="205" t="s">
        <v>206</v>
      </c>
      <c r="Y1" s="205" t="s">
        <v>207</v>
      </c>
      <c r="Z1" s="205" t="s">
        <v>208</v>
      </c>
      <c r="AA1" s="205" t="s">
        <v>209</v>
      </c>
      <c r="AB1" s="205" t="s">
        <v>210</v>
      </c>
      <c r="AC1" s="205" t="s">
        <v>211</v>
      </c>
      <c r="AD1" s="205" t="s">
        <v>212</v>
      </c>
      <c r="AE1" s="205" t="s">
        <v>213</v>
      </c>
      <c r="AF1" s="205" t="s">
        <v>214</v>
      </c>
      <c r="AG1" s="205" t="s">
        <v>215</v>
      </c>
      <c r="AH1" s="205" t="s">
        <v>216</v>
      </c>
      <c r="AI1" s="205" t="s">
        <v>217</v>
      </c>
      <c r="AJ1" s="205" t="s">
        <v>218</v>
      </c>
      <c r="AK1" s="205" t="s">
        <v>219</v>
      </c>
      <c r="AL1" s="205" t="s">
        <v>220</v>
      </c>
      <c r="AM1" s="205" t="s">
        <v>221</v>
      </c>
      <c r="AN1" s="205" t="s">
        <v>222</v>
      </c>
      <c r="AO1" s="205" t="s">
        <v>223</v>
      </c>
      <c r="AP1" s="205" t="s">
        <v>224</v>
      </c>
      <c r="AQ1" s="205" t="s">
        <v>225</v>
      </c>
      <c r="AR1" s="205" t="s">
        <v>226</v>
      </c>
      <c r="AS1" s="205" t="s">
        <v>227</v>
      </c>
      <c r="AT1" s="205" t="s">
        <v>228</v>
      </c>
    </row>
    <row r="2" spans="1:46" x14ac:dyDescent="0.15">
      <c r="A2" t="s">
        <v>38</v>
      </c>
      <c r="B2" s="112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46" x14ac:dyDescent="0.15">
      <c r="A3" t="s">
        <v>40</v>
      </c>
      <c r="B3" s="112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46" x14ac:dyDescent="0.15">
      <c r="A4" t="s">
        <v>41</v>
      </c>
      <c r="B4" s="112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46" x14ac:dyDescent="0.15">
      <c r="A5" s="204" t="s">
        <v>191</v>
      </c>
      <c r="B5" s="112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46" x14ac:dyDescent="0.15">
      <c r="A6" s="204" t="s">
        <v>192</v>
      </c>
      <c r="B6" s="112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46" x14ac:dyDescent="0.15">
      <c r="A7" s="204" t="s">
        <v>193</v>
      </c>
      <c r="B7" s="112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46" x14ac:dyDescent="0.15">
      <c r="A8" s="204" t="s">
        <v>194</v>
      </c>
      <c r="B8" s="112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46" x14ac:dyDescent="0.15">
      <c r="A9" s="204" t="s">
        <v>195</v>
      </c>
      <c r="B9" s="112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46" x14ac:dyDescent="0.15">
      <c r="A10" s="204" t="s">
        <v>196</v>
      </c>
      <c r="B10" s="112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46" x14ac:dyDescent="0.15">
      <c r="A11" s="204" t="s">
        <v>197</v>
      </c>
      <c r="B11" s="112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46" x14ac:dyDescent="0.15">
      <c r="A12" s="204" t="s">
        <v>198</v>
      </c>
      <c r="B12" s="112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46" x14ac:dyDescent="0.15">
      <c r="A13" s="204" t="s">
        <v>199</v>
      </c>
      <c r="B13" s="112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46" x14ac:dyDescent="0.15">
      <c r="A14" s="204" t="s">
        <v>200</v>
      </c>
      <c r="B14" s="112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46" x14ac:dyDescent="0.15">
      <c r="A15" s="204" t="s">
        <v>201</v>
      </c>
      <c r="B15" s="112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46" x14ac:dyDescent="0.15">
      <c r="A16" s="204" t="s">
        <v>202</v>
      </c>
      <c r="B16" s="112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204" t="s">
        <v>203</v>
      </c>
      <c r="B17" s="112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204" t="s">
        <v>204</v>
      </c>
      <c r="B18" s="112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204" t="s">
        <v>205</v>
      </c>
      <c r="B19" s="112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204" t="s">
        <v>206</v>
      </c>
      <c r="B20" s="112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204" t="s">
        <v>207</v>
      </c>
      <c r="B21" s="112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204" t="s">
        <v>208</v>
      </c>
      <c r="B22" s="112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204" t="s">
        <v>209</v>
      </c>
      <c r="B23" s="112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204" t="s">
        <v>210</v>
      </c>
      <c r="B24" s="112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204" t="s">
        <v>211</v>
      </c>
      <c r="B25" s="112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204" t="s">
        <v>212</v>
      </c>
      <c r="B26" s="112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204" t="s">
        <v>213</v>
      </c>
      <c r="B27" s="112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204" t="s">
        <v>214</v>
      </c>
      <c r="B28" s="112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204" t="s">
        <v>215</v>
      </c>
      <c r="B29" s="112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204" t="s">
        <v>216</v>
      </c>
      <c r="B30" s="112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204" t="s">
        <v>217</v>
      </c>
      <c r="B31" s="112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204" t="s">
        <v>218</v>
      </c>
      <c r="B32" s="112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204" t="s">
        <v>219</v>
      </c>
      <c r="B33" s="112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204" t="s">
        <v>220</v>
      </c>
      <c r="B34" s="112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204" t="s">
        <v>221</v>
      </c>
      <c r="B35" s="112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204" t="s">
        <v>222</v>
      </c>
      <c r="B36" s="112">
        <v>0</v>
      </c>
      <c r="C36"/>
      <c r="D36"/>
    </row>
    <row r="37" spans="1:38" ht="15" customHeight="1" x14ac:dyDescent="0.15">
      <c r="A37" s="204" t="s">
        <v>223</v>
      </c>
      <c r="B37" s="112">
        <v>0</v>
      </c>
      <c r="C37"/>
      <c r="D37"/>
    </row>
    <row r="38" spans="1:38" ht="15" customHeight="1" x14ac:dyDescent="0.15">
      <c r="A38" s="204" t="s">
        <v>224</v>
      </c>
      <c r="B38" s="112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A39" s="204" t="s">
        <v>225</v>
      </c>
      <c r="B39" s="112">
        <v>0</v>
      </c>
      <c r="C39"/>
      <c r="D39"/>
    </row>
    <row r="40" spans="1:38" ht="15" customHeight="1" x14ac:dyDescent="0.15">
      <c r="A40" s="204" t="s">
        <v>226</v>
      </c>
      <c r="B40" s="112">
        <v>0</v>
      </c>
      <c r="C40"/>
      <c r="D40"/>
    </row>
    <row r="41" spans="1:38" ht="15" customHeight="1" x14ac:dyDescent="0.15">
      <c r="A41" s="204" t="s">
        <v>227</v>
      </c>
      <c r="B41" s="112">
        <v>0</v>
      </c>
      <c r="C41"/>
      <c r="D41"/>
    </row>
    <row r="42" spans="1:38" ht="15" customHeight="1" x14ac:dyDescent="0.15">
      <c r="A42" s="204" t="s">
        <v>228</v>
      </c>
      <c r="B42" s="112">
        <v>0</v>
      </c>
    </row>
    <row r="43" spans="1:38" ht="15" customHeight="1" x14ac:dyDescent="0.15"/>
    <row r="44" spans="1:38" ht="15" customHeight="1" x14ac:dyDescent="0.15"/>
    <row r="45" spans="1:38" ht="15" customHeight="1" x14ac:dyDescent="0.15"/>
    <row r="46" spans="1:38" ht="15" customHeight="1" x14ac:dyDescent="0.15"/>
    <row r="47" spans="1:38" ht="15" customHeight="1" x14ac:dyDescent="0.15"/>
    <row r="48" spans="1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2022-10-24T04:52:09Z</dcterms:modified>
</cp:coreProperties>
</file>