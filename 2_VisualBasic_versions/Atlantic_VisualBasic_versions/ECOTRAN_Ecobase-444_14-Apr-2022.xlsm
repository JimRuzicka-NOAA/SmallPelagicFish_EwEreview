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6D24C299-4B83-0446-87B7-AA1D4BE94A41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Main!$C$2:$N$42</definedName>
    <definedName name="matDetritus">Detritus!$C$2:$E$42</definedName>
    <definedName name="matDiet">Diets!$B$2:$AC$32</definedName>
    <definedName name="matDiscards">Discards!$C$2:$M$31</definedName>
    <definedName name="matFishery">Fishing!$C$2:$M$31</definedName>
    <definedName name="matFishing">Fishing!#REF!</definedName>
    <definedName name="matMort">Mortalities!$A$1:$AR$31</definedName>
    <definedName name="matOut">MainOutputs!$A$2:$I$42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<sst xmlns="http://schemas.openxmlformats.org/spreadsheetml/2006/main" count="1062" uniqueCount="248">
  <si>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</si>
  <si>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</si>
  <si>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</si>
  <si>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</si>
  <si>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</si>
  <si>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</si>
  <si>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</si>
  <si>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</si>
  <si>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</si>
  <si>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</si>
  <si>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</si>
  <si>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</si>
  <si>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</si>
  <si>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</si>
  <si>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</si>
  <si>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</si>
  <si>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</si>
  <si>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</si>
  <si>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</si>
  <si>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</si>
  <si>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</si>
  <si>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</si>
  <si>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</si>
  <si>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</si>
  <si>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</si>
  <si>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</si>
  <si>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</si>
  <si>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</si>
  <si>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</si>
  <si>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</si>
  <si>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</si>
  <si>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</si>
  <si>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</si>
  <si>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</si>
  <si>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</si>
  <si>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</si>
  <si>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</si>
  <si>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</si>
  <si>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</si>
  <si>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</si>
  <si>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</si>
  <si>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</si>
  <si>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</si>
  <si>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</si>
  <si>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</si>
  <si>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</si>
  <si>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</si>
  <si>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</si>
  <si>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</si>
  <si>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</si>
  <si>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</si>
  <si>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</si>
  <si>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</si>
  <si>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</si>
  <si>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</si>
  <si>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</si>
  <si>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</si>
  <si>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</si>
  <si>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</si>
  <si>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</si>
  <si>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</si>
  <si>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</si>
  <si>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</si>
  <si>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</si>
  <si>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</si>
  <si>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</si>
  <si>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</si>
  <si>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</si>
  <si>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</si>
  <si>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</si>
  <si>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</si>
  <si>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</si>
  <si>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</si>
  <si>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</si>
  <si>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</si>
  <si>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</si>
  <si>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</si>
  <si>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</si>
  <si>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</si>
  <si>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</si>
  <si>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</si>
  <si>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</si>
  <si>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</si>
  <si>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</si>
  <si>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</si>
  <si>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</si>
  <si>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</si>
  <si>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</si>
  <si>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</si>
  <si>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</si>
  <si>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</si>
  <si>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</si>
  <si>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</si>
  <si>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</si>
  <si>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</si>
  <si>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</si>
  <si>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</si>
  <si>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</si>
  <si>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</si>
  <si>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</si>
  <si>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</si>
  <si>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</si>
  <si>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</si>
  <si>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</si>
  <si>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</si>
  <si>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</si>
  <si>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</si>
  <si>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</si>
  <si>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</si>
  <si>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</si>
  <si>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</si>
  <si>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</si>
  <si>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</si>
  <si>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</si>
  <si>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</si>
  <si>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</si>
  <si>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</si>
  <si>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</si>
  <si>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</si>
  <si>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</si>
  <si>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</si>
  <si>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</si>
  <si>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</si>
  <si>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</si>
  <si>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</si>
  <si>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</si>
  <si>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</si>
  <si>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</si>
  <si>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</si>
  <si>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</si>
  <si>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</si>
  <si>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</si>
  <si>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</si>
  <si>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</si>
  <si>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</si>
  <si>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</si>
  <si>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</si>
  <si>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</si>
  <si>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</si>
  <si>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</si>
  <si>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</si>
  <si>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</si>
  <si>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</si>
  <si>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</si>
  <si>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</si>
  <si>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</si>
  <si>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</si>
  <si>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</si>
  <si>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</si>
  <si>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</si>
  <si>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</si>
  <si>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</si>
  <si>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</si>
  <si>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</si>
  <si>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</si>
  <si>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</si>
  <si>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</si>
  <si>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</si>
  <si>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</si>
  <si>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</si>
  <si>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</si>
  <si>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</si>
  <si>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</si>
  <si>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</si>
  <si>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</si>
  <si>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</si>
  <si>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</si>
  <si>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</si>
  <si>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</si>
  <si>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</si>
  <si>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</si>
  <si>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</si>
  <si>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</si>
  <si>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</si>
  <si>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</si>
  <si>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</si>
  <si>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</si>
  <si>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</si>
  <si>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</si>
  <si>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</si>
  <si>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</si>
  <si>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</si>
  <si>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</si>
  <si>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</si>
  <si>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</si>
  <si>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Maine</t>
  </si>
  <si>
    <t>United States of America</t>
  </si>
  <si>
    <t>BOX(-71.2362512252368 40.2946214372107,-65.0916534720872 44.8500990817871)</t>
  </si>
  <si>
    <t>continental shelf</t>
  </si>
  <si>
    <t>WetWeight</t>
  </si>
  <si>
    <t>Created: 19/10/00 4:30:29 PM; 19/10/00 4:35:46 PM; 19/10/00 4:36:09 PM; 20/10/00 1:51:58 PM; 20/10/00 1:56:43 PM; 27/10/00 1:56:59 PM; 27/10/00 2:56:43 PM; 27/10/00 4:52:58 PM; 27/10/00 5:30:32 PM; 30/10/00 11:43:29 AM; 30/10/00 1:58:26 PM; 30/10/00 5:04:25 PM; 31/10/00 1:07:08 PM; 31/10/00 1:13:38 PM; 31/10/00 2:29:40 PM; 31/10/00 2:32:28 PM; 31/10/00 3:28:12 PM; 31/10/00 3:44:06 PM; 31/10/00 3:54:54 PM; 01/11/00 12:07:28 PM; 01/11/00 5:07:12 PM; 11/2/00 5:06:49 PM; 11/3/00 10:58:20 AM; 11/3/00 12:30:09 PM; 11/3/00 1:16:01 PM; 11/3/00 1:20:10 PM; 11/3/00 1:23:53 PM; 11/3/00 1:25:07 PM; 11/3/00 5:28:07 PM; 11/3/00 5:31:46 PM; 11/3/00 5:42:59 PM; 11/3/00 6:49:41 PM; 11/3/00 6:56:06 PM; 11/4/00 12:49:00 PM; 11/4/00 3:01:13 PM; 11/4/00 3:07:02 PM; 11/4/00 3:44:12 PM; 11/4/00 3:54:23 PM; 11/4/00 3:59:36 PM; 11/4/00 4:48:09 PM; 11/4/00 4:52:43 PM; 11/6/00 4:16:56 PM; 11/21/00 11:00:52 AM; 11/21/00 11:39:05 AM; 11/21/00 5:53:10 PM; 11/23/00 2:13:06 PM; 11/23/00 3:53:42 PM; 11/23/00 4:00:29 PM; 11/23/00 4:42:07 PM; 11/23/00 4:44:11 PM; 11/23/00 5:02:24 PM; 11/23/00 5:17:08 PM; 11/23/00 5:23:01 PM; 11/24/00 1:42:33 PM; 11/24/00 2:24:44 PM; 11/24/00 2:32:16 PM; 11/24/00 3:28:47 PM; 11/24/00 4:13:39 PM; 11/24/00 5:05:35 PM; 11/24/00 5:07:10 PM; 11/27/00 2:30:03 PM; 11/27/00 5:05:29 PM; 12/19/00 5:39:00 PM; 12/20/00 4:56:27 PM; 12/21/00 11:50:41 AM; 12/21/00 3:48:07 PM; 1/12/01 4:55:59 PM; 1/17/01 12:46:06 PM; 1/17/01 3:54:25 PM; 1/17/01 10:28:49 PM; 1/18/01 6:06:48 PM; 1/19/01 4:09:56 PM; 1/19/01 4:19:17 PM; 1/19/01 4:30:02 PM; 1/23/01 3:19:10 PM; 1/24/01 10:51:37 AM; 1/24/01 5:44:12 PM; 1/24/01 5:51:24 PM; 1/25/01 6:45:14 PM; 1/25/01 6:45:28 PM; 2/15/01 11:15:27 AM; 2/15/01 4:06:40 PM; 2/16/01 3:27:47 PM; 3/9/01 9:33:47 AM; 3/11/01 1:00:32 PM; 3/11/01 1:01:28 PM; 3/15/01 11:19:47 AM; 3/15/01 5:38:48 PM; 3/16/01 4:56:56 PM; 3/26/01 2:56:51 PM; 3/26/01 2:58:08 PM; 5/17/01 10:28:55 AM</t>
  </si>
  <si>
    <t>Heymans J.J.(2001). The Gulf of Maine, 1977-1986 Fisheries Impacts on North Atlantic Ecosystems: Models and Analyses. pp 129-149. In Guénette S.,Christensen V.,Pauly D.</t>
  </si>
  <si>
    <t>Seabirds</t>
  </si>
  <si>
    <t>Cetaceans</t>
  </si>
  <si>
    <t>Harbor seals</t>
  </si>
  <si>
    <t>Bluefin Tuna</t>
  </si>
  <si>
    <t>Skates</t>
  </si>
  <si>
    <t>Bluefish</t>
  </si>
  <si>
    <t>Cod</t>
  </si>
  <si>
    <t>Cod &amp;lt; 35 cm</t>
  </si>
  <si>
    <t>Haddock</t>
  </si>
  <si>
    <t>Redfish</t>
  </si>
  <si>
    <t>Pollock</t>
  </si>
  <si>
    <t>Summer flounder</t>
  </si>
  <si>
    <t>Yellowtail Flounder</t>
  </si>
  <si>
    <t>American Plaice</t>
  </si>
  <si>
    <t>Other flounders</t>
  </si>
  <si>
    <t>Large Demersal feeders</t>
  </si>
  <si>
    <t>Small Demersal Feeders</t>
  </si>
  <si>
    <t>Mackerel</t>
  </si>
  <si>
    <t>Herring</t>
  </si>
  <si>
    <t>Small Pelagic feeders</t>
  </si>
  <si>
    <t>Large pelagic feeders</t>
  </si>
  <si>
    <t>Squid</t>
  </si>
  <si>
    <t>Shrimp</t>
  </si>
  <si>
    <t>Large Crustaceans</t>
  </si>
  <si>
    <t>Benthos</t>
  </si>
  <si>
    <t>Macrozooplankton</t>
  </si>
  <si>
    <t>Microzooplankton</t>
  </si>
  <si>
    <t>Phytoplankton</t>
  </si>
  <si>
    <t>Detritus</t>
  </si>
  <si>
    <t>detritus_TerminalBenthic</t>
  </si>
  <si>
    <t>Bottom Trawls</t>
  </si>
  <si>
    <t>Recreational fishing</t>
  </si>
  <si>
    <t>Hook and  Line</t>
  </si>
  <si>
    <t>Dredges</t>
  </si>
  <si>
    <t>Traps and lift nets</t>
  </si>
  <si>
    <t>Purse Seine</t>
  </si>
  <si>
    <t>Grappling and wound</t>
  </si>
  <si>
    <t>Surround Nets</t>
  </si>
  <si>
    <t>Gill and entangle nets</t>
  </si>
  <si>
    <t>Midwater Trawls</t>
  </si>
  <si>
    <t>Other</t>
  </si>
  <si>
    <t>Import</t>
  </si>
  <si>
    <t>export</t>
  </si>
  <si>
    <t>sum</t>
  </si>
  <si>
    <t>TOTAL</t>
  </si>
  <si>
    <t>F Bottom Trawls</t>
  </si>
  <si>
    <t>F Recreational fishing</t>
  </si>
  <si>
    <t>F Hook and  Line</t>
  </si>
  <si>
    <t>F Dredges</t>
  </si>
  <si>
    <t>F Traps and lift nets</t>
  </si>
  <si>
    <t>F Purse Seine</t>
  </si>
  <si>
    <t>F Grappling and wound</t>
  </si>
  <si>
    <t>F Surround Nets</t>
  </si>
  <si>
    <t>F Gill and entangle nets</t>
  </si>
  <si>
    <t>F Midwater Trawls</t>
  </si>
  <si>
    <t>F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</si>
</sst>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9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34" borderId="0" xfId="0" applyFill="1"/>
    <xf numFmtId="0" fontId="0" fillId="0" borderId="0" xfId="0" applyFont="1" applyFill="1" applyAlignment="1">
      <alignment horizontal="center"/>
    </xf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69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4" x14ac:dyDescent="0.15">
      <c r="B49" s="44" t="s">
        <v>44</v>
      </c>
      <c r="C49" s="28">
        <v>5</v>
      </c>
    </row>
    <row r="50" spans="2:4" x14ac:dyDescent="0.15">
      <c r="B50" s="44"/>
      <c r="C50" s="28"/>
    </row>
    <row r="51" spans="2:4" ht="14" thickBot="1" x14ac:dyDescent="0.2">
      <c r="B51" s="45" t="s">
        <v>73</v>
      </c>
      <c r="C51" s="29">
        <v>7</v>
      </c>
    </row>
    <row r="53" spans="2:4" x14ac:dyDescent="0.15">
      <c r="B53" s="170" t="s">
        <v>171</v>
      </c>
      <c r="C53" s="102">
        <v>444</v>
      </c>
      <c r="D53" s="102"/>
    </row>
    <row r="54" spans="2:4" x14ac:dyDescent="0.15">
      <c r="B54" s="170" t="s">
        <v>172</v>
      </c>
      <c r="C54" s="170" t="s">
        <v>185</v>
      </c>
      <c r="D54" s="102"/>
    </row>
    <row r="55" spans="2:4" x14ac:dyDescent="0.15">
      <c r="B55" s="170" t="s">
        <v>173</v>
      </c>
      <c r="C55" s="170" t="s">
        <v>186</v>
      </c>
      <c r="D55" s="102"/>
    </row>
    <row r="56" spans="2:4" x14ac:dyDescent="0.15">
      <c r="B56" s="170" t="s">
        <v>174</v>
      </c>
      <c r="C56" s="102">
        <v>103000</v>
      </c>
      <c r="D56" s="102"/>
    </row>
    <row r="57" spans="2:4" x14ac:dyDescent="0.15">
      <c r="B57" s="170" t="s">
        <v>175</v>
      </c>
      <c r="C57" s="170" t="s">
        <v>187</v>
      </c>
      <c r="D57" s="102"/>
    </row>
    <row r="58" spans="2:4" x14ac:dyDescent="0.15">
      <c r="B58" s="170" t="s">
        <v>176</v>
      </c>
      <c r="C58" s="170" t="s">
        <v>188</v>
      </c>
      <c r="D58" s="102"/>
    </row>
    <row r="59" spans="2:4" x14ac:dyDescent="0.15">
      <c r="B59" s="170" t="s">
        <v>177</v>
      </c>
      <c r="C59" s="170" t="s">
        <v>189</v>
      </c>
      <c r="D59" s="102"/>
    </row>
    <row r="60" spans="2:4" x14ac:dyDescent="0.15">
      <c r="B60" s="170" t="s">
        <v>178</v>
      </c>
      <c r="C60" s="170" t="s">
        <v>190</v>
      </c>
      <c r="D60" s="102"/>
    </row>
    <row r="61" spans="2:4" x14ac:dyDescent="0.15">
      <c r="B61" s="170" t="s">
        <v>179</v>
      </c>
      <c r="C61" s="102">
        <v>29</v>
      </c>
      <c r="D61" s="102"/>
    </row>
    <row r="62" spans="2:4" x14ac:dyDescent="0.15">
      <c r="B62" s="170" t="s">
        <v>180</v>
      </c>
      <c r="C62" s="102">
        <v>11</v>
      </c>
      <c r="D62" s="102"/>
    </row>
    <row r="63" spans="2:4" x14ac:dyDescent="0.15">
      <c r="B63" s="170" t="s">
        <v>181</v>
      </c>
      <c r="C63" s="102">
        <v>1977</v>
      </c>
      <c r="D63" s="102"/>
    </row>
    <row r="64" spans="2:4" x14ac:dyDescent="0.15">
      <c r="B64" s="170" t="s">
        <v>182</v>
      </c>
      <c r="C64" s="102">
        <v>10</v>
      </c>
      <c r="D64" s="102"/>
    </row>
    <row r="65" spans="2:4" x14ac:dyDescent="0.15">
      <c r="B65" s="170" t="s">
        <v>183</v>
      </c>
      <c r="C65" s="170" t="s">
        <v>191</v>
      </c>
      <c r="D65" s="102"/>
    </row>
    <row r="66" spans="2:4" x14ac:dyDescent="0.15">
      <c r="B66" s="170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B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6" customWidth="1"/>
    <col min="2" max="3" width="3.33203125" style="76" customWidth="1"/>
    <col min="4" max="4" width="14.33203125" style="76" customWidth="1"/>
    <col min="5" max="5" width="21.6640625" style="76" bestFit="1" customWidth="1"/>
    <col min="6" max="6" width="2.33203125" style="76" bestFit="1" customWidth="1"/>
    <col min="7" max="7" width="11.83203125" style="76" bestFit="1" customWidth="1"/>
    <col min="8" max="8" width="11.83203125" style="76" customWidth="1"/>
    <col min="9" max="9" width="10.83203125" style="76" customWidth="1"/>
    <col min="10" max="10" width="11.83203125" style="76" customWidth="1"/>
    <col min="11" max="11" width="13.83203125" style="76" customWidth="1"/>
    <col min="12" max="12" width="2.33203125" style="76" customWidth="1"/>
    <col min="13" max="13" width="4.83203125" style="76" customWidth="1"/>
    <col min="14" max="14" width="6.8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71" t="s">
        <v>192</v>
      </c>
      <c r="F2" s="76">
        <v>0</v>
      </c>
      <c r="G2" s="76">
        <v>2.1000000000000001E-2</v>
      </c>
      <c r="H2" s="76">
        <v>0.5</v>
      </c>
      <c r="I2" s="6">
        <v>76.183000000000007</v>
      </c>
      <c r="J2" s="6">
        <v>0</v>
      </c>
      <c r="K2" s="6">
        <v>6.5631442699999997E-3</v>
      </c>
      <c r="L2" s="6">
        <v>0</v>
      </c>
      <c r="M2" s="76">
        <v>0.25</v>
      </c>
      <c r="N2" s="76">
        <v>0</v>
      </c>
    </row>
    <row r="3" spans="1:46" ht="15" customHeight="1" x14ac:dyDescent="0.15">
      <c r="A3" s="1" t="s">
        <v>9</v>
      </c>
      <c r="B3" s="4">
        <v>28</v>
      </c>
      <c r="C3" s="76">
        <v>2</v>
      </c>
      <c r="D3"/>
      <c r="E3" s="171" t="s">
        <v>193</v>
      </c>
      <c r="F3" s="76">
        <v>0</v>
      </c>
      <c r="G3" s="76">
        <v>0.91900000000000004</v>
      </c>
      <c r="H3" s="76">
        <v>1.4769600000000001</v>
      </c>
      <c r="I3" s="76">
        <v>9.2309999999999999</v>
      </c>
      <c r="J3" s="76">
        <v>0</v>
      </c>
      <c r="K3" s="76">
        <v>0.16</v>
      </c>
      <c r="L3" s="76">
        <v>0</v>
      </c>
      <c r="M3" s="76">
        <v>0.2</v>
      </c>
      <c r="N3" s="76">
        <v>0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71" t="s">
        <v>194</v>
      </c>
      <c r="F4" s="76">
        <v>0</v>
      </c>
      <c r="G4" s="76">
        <v>1.5E-3</v>
      </c>
      <c r="H4" s="76">
        <v>0.247</v>
      </c>
      <c r="I4" s="76">
        <v>3.1</v>
      </c>
      <c r="J4" s="76">
        <v>0</v>
      </c>
      <c r="K4" s="76">
        <v>7.9677419999999999E-2</v>
      </c>
      <c r="L4" s="76">
        <v>0</v>
      </c>
      <c r="M4" s="76">
        <v>0.2</v>
      </c>
      <c r="N4" s="7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11</v>
      </c>
      <c r="C5" s="76">
        <v>4</v>
      </c>
      <c r="D5"/>
      <c r="E5" s="171" t="s">
        <v>195</v>
      </c>
      <c r="F5" s="76">
        <v>0</v>
      </c>
      <c r="G5" s="76">
        <v>5.0999999999999997E-2</v>
      </c>
      <c r="H5" s="76">
        <v>0.4</v>
      </c>
      <c r="I5" s="76">
        <v>4.6020000000000003</v>
      </c>
      <c r="J5" s="76">
        <v>0.30676653999999998</v>
      </c>
      <c r="K5" s="76">
        <v>8.691873E-2</v>
      </c>
      <c r="L5" s="76">
        <v>0</v>
      </c>
      <c r="M5" s="76">
        <v>0.2</v>
      </c>
      <c r="N5" s="76">
        <v>0</v>
      </c>
      <c r="P5" s="66"/>
      <c r="Q5" s="66"/>
      <c r="R5" s="66"/>
    </row>
    <row r="6" spans="1:46" ht="15" customHeight="1" thickBot="1" x14ac:dyDescent="0.2">
      <c r="B6" s="1"/>
      <c r="C6" s="76">
        <v>5</v>
      </c>
      <c r="D6"/>
      <c r="E6" s="171" t="s">
        <v>196</v>
      </c>
      <c r="F6" s="76">
        <v>0</v>
      </c>
      <c r="G6" s="76">
        <v>0.29199999999999998</v>
      </c>
      <c r="H6" s="76">
        <v>0.47</v>
      </c>
      <c r="I6" s="76">
        <v>3.1749999999999998</v>
      </c>
      <c r="J6" s="76">
        <v>0.74318569999999995</v>
      </c>
      <c r="K6" s="76">
        <v>0.14803150000000001</v>
      </c>
      <c r="L6" s="76">
        <v>0</v>
      </c>
      <c r="M6" s="76">
        <v>0.2</v>
      </c>
      <c r="N6" s="76">
        <v>0</v>
      </c>
      <c r="P6" s="66"/>
      <c r="Q6" s="66"/>
      <c r="R6" s="66"/>
      <c r="W6" s="31" t="s">
        <v>31</v>
      </c>
      <c r="X6" s="47">
        <f>MAX(MainOutputs!G:G)</f>
        <v>0.99694287776947021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190</v>
      </c>
      <c r="C7" s="76">
        <v>6</v>
      </c>
      <c r="D7"/>
      <c r="E7" s="171" t="s">
        <v>197</v>
      </c>
      <c r="F7" s="76">
        <v>0</v>
      </c>
      <c r="G7" s="76">
        <v>0.139179</v>
      </c>
      <c r="H7" s="76">
        <v>0.61</v>
      </c>
      <c r="I7" s="76">
        <v>4.5999999999999996</v>
      </c>
      <c r="J7" s="76">
        <v>0.84827274100000005</v>
      </c>
      <c r="K7" s="76">
        <v>0.1326087</v>
      </c>
      <c r="L7" s="76">
        <v>0</v>
      </c>
      <c r="M7" s="76">
        <v>0.2</v>
      </c>
      <c r="N7" s="76">
        <v>0</v>
      </c>
      <c r="P7" s="66"/>
      <c r="Q7" s="66"/>
      <c r="R7" s="66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198</v>
      </c>
      <c r="C8" s="76">
        <v>7</v>
      </c>
      <c r="D8"/>
      <c r="E8" s="171" t="s">
        <v>198</v>
      </c>
      <c r="F8" s="76">
        <v>0</v>
      </c>
      <c r="G8" s="76">
        <v>0.75214599999999998</v>
      </c>
      <c r="H8" s="76">
        <v>0.60399999999999998</v>
      </c>
      <c r="I8" s="76">
        <v>2.58</v>
      </c>
      <c r="J8" s="76">
        <v>0.69409679999999996</v>
      </c>
      <c r="K8" s="76">
        <v>0.23410852300000001</v>
      </c>
      <c r="L8" s="76">
        <v>0</v>
      </c>
      <c r="M8" s="76">
        <v>0.2</v>
      </c>
      <c r="N8" s="76">
        <v>0</v>
      </c>
      <c r="P8" s="66"/>
      <c r="Q8" s="66"/>
      <c r="R8" s="66"/>
    </row>
    <row r="9" spans="1:46" ht="15" customHeight="1" x14ac:dyDescent="0.15">
      <c r="B9" s="1"/>
      <c r="C9" s="76">
        <v>8</v>
      </c>
      <c r="D9"/>
      <c r="E9" s="171" t="s">
        <v>199</v>
      </c>
      <c r="F9" s="76">
        <v>0</v>
      </c>
      <c r="G9" s="76">
        <v>1.4327884900000001</v>
      </c>
      <c r="H9" s="76">
        <v>0.86</v>
      </c>
      <c r="I9" s="76">
        <v>4.0666669999999998</v>
      </c>
      <c r="J9" s="76">
        <v>0.99</v>
      </c>
      <c r="K9" s="76">
        <v>0.21147538699999999</v>
      </c>
      <c r="L9" s="76">
        <v>0</v>
      </c>
      <c r="M9" s="76">
        <v>0.2</v>
      </c>
      <c r="N9" s="76">
        <v>0</v>
      </c>
      <c r="P9" s="66"/>
      <c r="Q9" s="66"/>
      <c r="R9" s="66"/>
    </row>
    <row r="10" spans="1:46" ht="15" customHeight="1" x14ac:dyDescent="0.15">
      <c r="B10" s="1"/>
      <c r="C10" s="76">
        <v>9</v>
      </c>
      <c r="D10"/>
      <c r="E10" s="171" t="s">
        <v>200</v>
      </c>
      <c r="F10" s="76">
        <v>0</v>
      </c>
      <c r="G10" s="76">
        <v>0.30542000000000002</v>
      </c>
      <c r="H10" s="76">
        <v>0.38</v>
      </c>
      <c r="I10" s="76">
        <v>2.75</v>
      </c>
      <c r="J10" s="76">
        <v>0.99694289999999997</v>
      </c>
      <c r="K10" s="76">
        <v>0.13818182100000001</v>
      </c>
      <c r="L10" s="76">
        <v>0</v>
      </c>
      <c r="M10" s="76">
        <v>0.2</v>
      </c>
      <c r="N10" s="76">
        <v>0</v>
      </c>
    </row>
    <row r="11" spans="1:46" ht="15" customHeight="1" x14ac:dyDescent="0.15">
      <c r="C11" s="76">
        <v>10</v>
      </c>
      <c r="D11"/>
      <c r="E11" s="171" t="s">
        <v>201</v>
      </c>
      <c r="F11" s="76">
        <v>0</v>
      </c>
      <c r="G11" s="76">
        <v>0.47</v>
      </c>
      <c r="H11" s="76">
        <v>0.304970354</v>
      </c>
      <c r="I11" s="76">
        <v>3</v>
      </c>
      <c r="J11" s="76">
        <v>0.95</v>
      </c>
      <c r="K11" s="76">
        <v>0.101656787</v>
      </c>
      <c r="L11" s="76">
        <v>0</v>
      </c>
      <c r="M11" s="76">
        <v>0.2</v>
      </c>
      <c r="N11" s="76">
        <v>0</v>
      </c>
    </row>
    <row r="12" spans="1:46" ht="15" customHeight="1" x14ac:dyDescent="0.15">
      <c r="C12" s="76">
        <v>11</v>
      </c>
      <c r="D12"/>
      <c r="E12" s="171" t="s">
        <v>202</v>
      </c>
      <c r="F12" s="76">
        <v>0</v>
      </c>
      <c r="G12" s="76">
        <v>1.009047</v>
      </c>
      <c r="H12" s="76">
        <v>0.42</v>
      </c>
      <c r="I12" s="76">
        <v>4</v>
      </c>
      <c r="J12" s="76">
        <v>0.30585995300000002</v>
      </c>
      <c r="K12" s="76">
        <v>0.105</v>
      </c>
      <c r="L12" s="76">
        <v>0</v>
      </c>
      <c r="M12" s="76">
        <v>0.2</v>
      </c>
      <c r="N12" s="76">
        <v>0</v>
      </c>
    </row>
    <row r="13" spans="1:46" ht="15" customHeight="1" x14ac:dyDescent="0.15">
      <c r="C13" s="76">
        <v>12</v>
      </c>
      <c r="D13"/>
      <c r="E13" s="171" t="s">
        <v>203</v>
      </c>
      <c r="F13" s="76">
        <v>0</v>
      </c>
      <c r="G13" s="76">
        <v>8.3506999999999998E-2</v>
      </c>
      <c r="H13" s="76">
        <v>0.46</v>
      </c>
      <c r="I13" s="76">
        <v>2.6</v>
      </c>
      <c r="J13" s="76">
        <v>5.6777319999999999E-2</v>
      </c>
      <c r="K13" s="76">
        <v>0.17692308100000001</v>
      </c>
      <c r="L13" s="76">
        <v>0</v>
      </c>
      <c r="M13" s="76">
        <v>0.2</v>
      </c>
      <c r="N13" s="76">
        <v>0</v>
      </c>
    </row>
    <row r="14" spans="1:46" ht="15" customHeight="1" x14ac:dyDescent="0.15">
      <c r="C14" s="76">
        <v>13</v>
      </c>
      <c r="D14"/>
      <c r="E14" s="171" t="s">
        <v>204</v>
      </c>
      <c r="F14" s="76">
        <v>0</v>
      </c>
      <c r="G14" s="76">
        <v>0.24</v>
      </c>
      <c r="H14" s="76">
        <v>0.63</v>
      </c>
      <c r="I14" s="76">
        <v>3.2714289999999999</v>
      </c>
      <c r="J14" s="76">
        <v>0.65899540000000001</v>
      </c>
      <c r="K14" s="76">
        <v>0.19257640000000001</v>
      </c>
      <c r="L14" s="76">
        <v>0</v>
      </c>
      <c r="M14" s="76">
        <v>0.2</v>
      </c>
      <c r="N14" s="76">
        <v>0</v>
      </c>
    </row>
    <row r="15" spans="1:46" ht="15" customHeight="1" x14ac:dyDescent="0.15">
      <c r="C15" s="76">
        <v>14</v>
      </c>
      <c r="D15"/>
      <c r="E15" s="171" t="s">
        <v>205</v>
      </c>
      <c r="F15" s="76">
        <v>0</v>
      </c>
      <c r="G15" s="76">
        <v>0.42</v>
      </c>
      <c r="H15" s="76">
        <v>0.6</v>
      </c>
      <c r="I15" s="76">
        <v>4.2</v>
      </c>
      <c r="J15" s="76">
        <v>0.80502045200000005</v>
      </c>
      <c r="K15" s="76">
        <v>0.14285714899999999</v>
      </c>
      <c r="L15" s="76">
        <v>0</v>
      </c>
      <c r="M15" s="76">
        <v>0.2</v>
      </c>
      <c r="N15" s="76">
        <v>0</v>
      </c>
    </row>
    <row r="16" spans="1:46" ht="15" customHeight="1" x14ac:dyDescent="0.15">
      <c r="C16" s="76">
        <v>15</v>
      </c>
      <c r="D16"/>
      <c r="E16" s="171" t="s">
        <v>206</v>
      </c>
      <c r="F16" s="76">
        <v>0</v>
      </c>
      <c r="G16" s="76">
        <v>0.26557126599999997</v>
      </c>
      <c r="H16" s="76">
        <v>0.46</v>
      </c>
      <c r="I16" s="76">
        <v>4.0999999999999996</v>
      </c>
      <c r="J16" s="76">
        <v>0.99</v>
      </c>
      <c r="K16" s="76">
        <v>0.11219512700000001</v>
      </c>
      <c r="L16" s="76">
        <v>0</v>
      </c>
      <c r="M16" s="76">
        <v>0.2</v>
      </c>
      <c r="N16" s="76">
        <v>0</v>
      </c>
    </row>
    <row r="17" spans="1:22" ht="15" customHeight="1" x14ac:dyDescent="0.15">
      <c r="C17" s="76">
        <v>16</v>
      </c>
      <c r="D17"/>
      <c r="E17" s="171" t="s">
        <v>207</v>
      </c>
      <c r="F17" s="76">
        <v>0</v>
      </c>
      <c r="G17" s="76">
        <v>2.1478285800000001</v>
      </c>
      <c r="H17" s="76">
        <v>0.55000000000000004</v>
      </c>
      <c r="I17" s="76">
        <v>4</v>
      </c>
      <c r="J17" s="76">
        <v>0.99</v>
      </c>
      <c r="K17" s="76">
        <v>0.13750000000000001</v>
      </c>
      <c r="L17" s="76">
        <v>0</v>
      </c>
      <c r="M17" s="76">
        <v>0.2</v>
      </c>
      <c r="N17" s="76">
        <v>0</v>
      </c>
      <c r="V17" s="1" t="s">
        <v>30</v>
      </c>
    </row>
    <row r="18" spans="1:22" ht="15" customHeight="1" x14ac:dyDescent="0.15">
      <c r="C18" s="76">
        <v>17</v>
      </c>
      <c r="D18"/>
      <c r="E18" s="171" t="s">
        <v>208</v>
      </c>
      <c r="F18" s="76">
        <v>0</v>
      </c>
      <c r="G18" s="76">
        <v>10.797276500000001</v>
      </c>
      <c r="H18" s="76">
        <v>0.76444400000000001</v>
      </c>
      <c r="I18" s="76">
        <v>5.0222220000000002</v>
      </c>
      <c r="J18" s="76">
        <v>0.99</v>
      </c>
      <c r="K18" s="76">
        <v>0.15221229999999999</v>
      </c>
      <c r="L18" s="76">
        <v>0</v>
      </c>
      <c r="M18" s="76">
        <v>0.2</v>
      </c>
      <c r="N18" s="76">
        <v>0</v>
      </c>
      <c r="V18" s="1"/>
    </row>
    <row r="19" spans="1:22" ht="15" customHeight="1" x14ac:dyDescent="0.15">
      <c r="C19" s="76">
        <v>18</v>
      </c>
      <c r="D19"/>
      <c r="E19" s="171" t="s">
        <v>209</v>
      </c>
      <c r="F19" s="76">
        <v>0</v>
      </c>
      <c r="G19" s="76">
        <v>3.4794710000000002</v>
      </c>
      <c r="H19" s="76">
        <v>0.34</v>
      </c>
      <c r="I19" s="76">
        <v>4.3</v>
      </c>
      <c r="J19" s="76">
        <v>0.53784626700000004</v>
      </c>
      <c r="K19" s="76">
        <v>7.9069760000000003E-2</v>
      </c>
      <c r="L19" s="76">
        <v>0</v>
      </c>
      <c r="M19" s="76">
        <v>0.2</v>
      </c>
      <c r="N19" s="76">
        <v>0</v>
      </c>
    </row>
    <row r="20" spans="1:22" ht="15" customHeight="1" thickBot="1" x14ac:dyDescent="0.2">
      <c r="C20" s="76">
        <v>19</v>
      </c>
      <c r="D20"/>
      <c r="E20" s="171" t="s">
        <v>210</v>
      </c>
      <c r="F20" s="76">
        <v>0</v>
      </c>
      <c r="G20" s="76">
        <v>1.4</v>
      </c>
      <c r="H20" s="76">
        <v>0.52037330000000004</v>
      </c>
      <c r="I20" s="76">
        <v>4.5999999999999996</v>
      </c>
      <c r="J20" s="76">
        <v>0.95</v>
      </c>
      <c r="K20" s="76">
        <v>0.113124631</v>
      </c>
      <c r="L20" s="76">
        <v>0</v>
      </c>
      <c r="M20" s="76">
        <v>0.2</v>
      </c>
      <c r="N20" s="76">
        <v>0</v>
      </c>
    </row>
    <row r="21" spans="1:22" ht="15" customHeight="1" thickBot="1" x14ac:dyDescent="0.2">
      <c r="A21" s="42" t="s">
        <v>137</v>
      </c>
      <c r="B21" s="94"/>
      <c r="C21" s="76">
        <v>20</v>
      </c>
      <c r="D21"/>
      <c r="E21" s="171" t="s">
        <v>211</v>
      </c>
      <c r="F21" s="76">
        <v>0</v>
      </c>
      <c r="G21" s="76">
        <v>8.4002979999999994</v>
      </c>
      <c r="H21" s="76">
        <v>1</v>
      </c>
      <c r="I21" s="76">
        <v>5</v>
      </c>
      <c r="J21" s="76">
        <v>0.99</v>
      </c>
      <c r="K21" s="76">
        <v>0.2</v>
      </c>
      <c r="L21" s="76">
        <v>0</v>
      </c>
      <c r="M21" s="76">
        <v>0.2</v>
      </c>
      <c r="N21" s="76">
        <v>0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71" t="s">
        <v>212</v>
      </c>
      <c r="F22" s="76">
        <v>0</v>
      </c>
      <c r="G22" s="76">
        <v>1.3654820000000001</v>
      </c>
      <c r="H22" s="76">
        <v>0.4</v>
      </c>
      <c r="I22" s="76">
        <v>4</v>
      </c>
      <c r="J22" s="76">
        <v>0.20236615799999999</v>
      </c>
      <c r="K22" s="76">
        <v>0.1</v>
      </c>
      <c r="L22" s="76">
        <v>0</v>
      </c>
      <c r="M22" s="76">
        <v>0.2</v>
      </c>
      <c r="N22" s="76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71" t="s">
        <v>213</v>
      </c>
      <c r="F23" s="76">
        <v>0</v>
      </c>
      <c r="G23" s="76">
        <v>3.2500627</v>
      </c>
      <c r="H23" s="76">
        <v>1.5</v>
      </c>
      <c r="I23" s="76">
        <v>7</v>
      </c>
      <c r="J23" s="76">
        <v>0.99</v>
      </c>
      <c r="K23" s="76">
        <v>0.21428571599999999</v>
      </c>
      <c r="L23" s="76">
        <v>0</v>
      </c>
      <c r="M23" s="76">
        <v>0.2</v>
      </c>
      <c r="N23" s="76">
        <v>0</v>
      </c>
    </row>
    <row r="24" spans="1:22" ht="15" customHeight="1" x14ac:dyDescent="0.15">
      <c r="A24" s="95" t="s">
        <v>60</v>
      </c>
      <c r="B24" s="96">
        <v>2</v>
      </c>
      <c r="C24" s="76">
        <v>23</v>
      </c>
      <c r="D24"/>
      <c r="E24" s="171" t="s">
        <v>214</v>
      </c>
      <c r="F24" s="76">
        <v>0</v>
      </c>
      <c r="G24" s="76">
        <v>7.0668864300000003</v>
      </c>
      <c r="H24" s="76">
        <v>1.45</v>
      </c>
      <c r="I24" s="76">
        <v>9.6669999999999998</v>
      </c>
      <c r="J24" s="76">
        <v>0.99</v>
      </c>
      <c r="K24" s="76">
        <v>0.14999483499999999</v>
      </c>
      <c r="L24" s="76">
        <v>0</v>
      </c>
      <c r="M24" s="76">
        <v>0.2</v>
      </c>
      <c r="N24" s="76">
        <v>0</v>
      </c>
    </row>
    <row r="25" spans="1:22" ht="15" customHeight="1" thickBot="1" x14ac:dyDescent="0.2">
      <c r="A25" s="97" t="s">
        <v>44</v>
      </c>
      <c r="B25" s="98">
        <v>3</v>
      </c>
      <c r="C25" s="76">
        <v>24</v>
      </c>
      <c r="D25"/>
      <c r="E25" s="171" t="s">
        <v>215</v>
      </c>
      <c r="F25" s="76">
        <v>0</v>
      </c>
      <c r="G25" s="76">
        <v>5.5</v>
      </c>
      <c r="H25" s="76">
        <v>3.5</v>
      </c>
      <c r="I25" s="76">
        <v>5.85</v>
      </c>
      <c r="J25" s="76">
        <v>0.65473026000000001</v>
      </c>
      <c r="K25" s="76">
        <v>0.59829060000000001</v>
      </c>
      <c r="L25" s="76">
        <v>0</v>
      </c>
      <c r="M25" s="76">
        <v>0.2</v>
      </c>
      <c r="N25" s="76">
        <v>0</v>
      </c>
    </row>
    <row r="26" spans="1:22" ht="15" customHeight="1" x14ac:dyDescent="0.15">
      <c r="A26" s="99" t="s">
        <v>140</v>
      </c>
      <c r="C26" s="76">
        <v>25</v>
      </c>
      <c r="D26"/>
      <c r="E26" s="171" t="s">
        <v>216</v>
      </c>
      <c r="F26" s="76">
        <v>0</v>
      </c>
      <c r="G26" s="76">
        <v>118.86</v>
      </c>
      <c r="H26" s="76">
        <v>1.0249999999999999</v>
      </c>
      <c r="I26" s="76">
        <v>1.7083332499999999</v>
      </c>
      <c r="J26" s="76">
        <v>0.39842549999999999</v>
      </c>
      <c r="K26" s="76">
        <v>0.6</v>
      </c>
      <c r="L26" s="76">
        <v>0</v>
      </c>
      <c r="M26" s="76">
        <v>0.2</v>
      </c>
      <c r="N26" s="76">
        <v>0</v>
      </c>
    </row>
    <row r="27" spans="1:22" ht="15" customHeight="1" x14ac:dyDescent="0.15">
      <c r="C27" s="76">
        <v>26</v>
      </c>
      <c r="D27"/>
      <c r="E27" s="171" t="s">
        <v>217</v>
      </c>
      <c r="F27" s="76">
        <v>0</v>
      </c>
      <c r="G27" s="76">
        <v>51.69</v>
      </c>
      <c r="H27" s="76">
        <v>7</v>
      </c>
      <c r="I27" s="76">
        <v>21.875</v>
      </c>
      <c r="J27" s="76">
        <v>0.23205567899999999</v>
      </c>
      <c r="K27" s="76">
        <v>0.32</v>
      </c>
      <c r="L27" s="76">
        <v>0</v>
      </c>
      <c r="M27" s="76">
        <v>0.3</v>
      </c>
      <c r="N27" s="76">
        <v>0</v>
      </c>
    </row>
    <row r="28" spans="1:22" ht="15" customHeight="1" x14ac:dyDescent="0.15">
      <c r="C28" s="76">
        <v>27</v>
      </c>
      <c r="D28"/>
      <c r="E28" s="171" t="s">
        <v>218</v>
      </c>
      <c r="F28" s="76">
        <v>0</v>
      </c>
      <c r="G28" s="76">
        <v>22.227</v>
      </c>
      <c r="H28" s="76">
        <v>40</v>
      </c>
      <c r="I28" s="76">
        <v>125</v>
      </c>
      <c r="J28" s="76">
        <v>0.96573100000000001</v>
      </c>
      <c r="K28" s="76">
        <v>0.32</v>
      </c>
      <c r="L28" s="76">
        <v>0</v>
      </c>
      <c r="M28" s="76">
        <v>0.3</v>
      </c>
      <c r="N28" s="76">
        <v>0</v>
      </c>
    </row>
    <row r="29" spans="1:22" customFormat="1" ht="15" customHeight="1" x14ac:dyDescent="0.15">
      <c r="C29" s="76">
        <v>28</v>
      </c>
      <c r="E29" s="171" t="s">
        <v>219</v>
      </c>
      <c r="F29" s="76">
        <v>1</v>
      </c>
      <c r="G29" s="76">
        <v>107.31100000000001</v>
      </c>
      <c r="H29" s="76">
        <v>88.147499999999994</v>
      </c>
      <c r="I29" s="76">
        <v>0</v>
      </c>
      <c r="J29" s="76">
        <v>0.32826814100000001</v>
      </c>
      <c r="K29" s="76">
        <v>0</v>
      </c>
      <c r="L29" s="76">
        <v>0</v>
      </c>
      <c r="M29" s="76">
        <v>0</v>
      </c>
      <c r="N29" s="76">
        <v>0</v>
      </c>
    </row>
    <row r="30" spans="1:22" customFormat="1" ht="15" customHeight="1" x14ac:dyDescent="0.15">
      <c r="C30" s="76">
        <v>29</v>
      </c>
      <c r="E30" s="171" t="s">
        <v>220</v>
      </c>
      <c r="F30" s="76">
        <v>2</v>
      </c>
      <c r="G30" s="76">
        <v>155.69999999999999</v>
      </c>
      <c r="H30" s="76">
        <v>0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142.35</v>
      </c>
    </row>
    <row r="31" spans="1:22" customFormat="1" ht="15" customHeight="1" x14ac:dyDescent="0.15">
      <c r="C31" s="76">
        <v>30</v>
      </c>
      <c r="E31" s="171" t="s">
        <v>221</v>
      </c>
      <c r="F31" s="76">
        <v>2</v>
      </c>
      <c r="G31" s="76">
        <v>5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</row>
    <row r="32" spans="1:22" customFormat="1" ht="15" customHeight="1" x14ac:dyDescent="0.15">
      <c r="C32" s="76">
        <v>31</v>
      </c>
      <c r="E32" s="171" t="s">
        <v>222</v>
      </c>
      <c r="F32" s="76">
        <v>3</v>
      </c>
      <c r="G32" s="76">
        <v>0</v>
      </c>
      <c r="H32" s="76">
        <v>0</v>
      </c>
      <c r="I32" s="76">
        <v>0</v>
      </c>
      <c r="J32" s="76">
        <v>0</v>
      </c>
      <c r="K32" s="76">
        <v>0</v>
      </c>
      <c r="L32" s="76">
        <v>0</v>
      </c>
      <c r="M32" s="76">
        <v>0</v>
      </c>
      <c r="N32" s="76">
        <v>0</v>
      </c>
    </row>
    <row r="33" spans="3:14" customFormat="1" ht="15" customHeight="1" x14ac:dyDescent="0.15">
      <c r="C33" s="76">
        <v>32</v>
      </c>
      <c r="E33" s="171" t="s">
        <v>223</v>
      </c>
      <c r="F33" s="76">
        <v>3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</row>
    <row r="34" spans="3:14" customFormat="1" ht="15" customHeight="1" x14ac:dyDescent="0.15">
      <c r="C34" s="76">
        <v>33</v>
      </c>
      <c r="E34" s="171" t="s">
        <v>224</v>
      </c>
      <c r="F34" s="76">
        <v>3</v>
      </c>
      <c r="G34" s="76">
        <v>0</v>
      </c>
      <c r="H34" s="76">
        <v>0</v>
      </c>
      <c r="I34" s="76">
        <v>0</v>
      </c>
      <c r="J34" s="76">
        <v>0</v>
      </c>
      <c r="K34" s="76">
        <v>0</v>
      </c>
      <c r="L34" s="76">
        <v>0</v>
      </c>
      <c r="M34" s="76">
        <v>0</v>
      </c>
      <c r="N34" s="76">
        <v>0</v>
      </c>
    </row>
    <row r="35" spans="3:14" customFormat="1" ht="15" customHeight="1" x14ac:dyDescent="0.15">
      <c r="C35" s="76">
        <v>34</v>
      </c>
      <c r="E35" s="171" t="s">
        <v>225</v>
      </c>
      <c r="F35" s="76">
        <v>3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6">
        <v>0</v>
      </c>
      <c r="N35" s="76">
        <v>0</v>
      </c>
    </row>
    <row r="36" spans="3:14" customFormat="1" ht="15" customHeight="1" x14ac:dyDescent="0.15">
      <c r="C36" s="76">
        <v>35</v>
      </c>
      <c r="E36" s="171" t="s">
        <v>226</v>
      </c>
      <c r="F36" s="76">
        <v>3</v>
      </c>
      <c r="G36" s="76">
        <v>0</v>
      </c>
      <c r="H36" s="76">
        <v>0</v>
      </c>
      <c r="I36" s="76">
        <v>0</v>
      </c>
      <c r="J36" s="76">
        <v>0</v>
      </c>
      <c r="K36" s="76">
        <v>0</v>
      </c>
      <c r="L36" s="76">
        <v>0</v>
      </c>
      <c r="M36" s="76">
        <v>0</v>
      </c>
      <c r="N36" s="76">
        <v>0</v>
      </c>
    </row>
    <row r="37" spans="3:14" customFormat="1" ht="15" customHeight="1" x14ac:dyDescent="0.15">
      <c r="C37" s="76">
        <v>36</v>
      </c>
      <c r="E37" s="171" t="s">
        <v>227</v>
      </c>
      <c r="F37" s="76">
        <v>3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6">
        <v>0</v>
      </c>
      <c r="N37" s="76">
        <v>0</v>
      </c>
    </row>
    <row r="38" spans="3:14" customFormat="1" ht="15" customHeight="1" x14ac:dyDescent="0.15">
      <c r="C38" s="76">
        <v>37</v>
      </c>
      <c r="E38" s="171" t="s">
        <v>228</v>
      </c>
      <c r="F38" s="76">
        <v>3</v>
      </c>
      <c r="G38" s="76">
        <v>0</v>
      </c>
      <c r="H38" s="76">
        <v>0</v>
      </c>
      <c r="I38" s="76">
        <v>0</v>
      </c>
      <c r="J38" s="76">
        <v>0</v>
      </c>
      <c r="K38" s="76">
        <v>0</v>
      </c>
      <c r="L38" s="76">
        <v>0</v>
      </c>
      <c r="M38" s="76">
        <v>0</v>
      </c>
      <c r="N38" s="76">
        <v>0</v>
      </c>
    </row>
    <row r="39" spans="3:14" customFormat="1" ht="15" customHeight="1" x14ac:dyDescent="0.15">
      <c r="C39" s="76">
        <v>38</v>
      </c>
      <c r="E39" s="171" t="s">
        <v>229</v>
      </c>
      <c r="F39" s="76">
        <v>3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6">
        <v>0</v>
      </c>
      <c r="N39" s="76">
        <v>0</v>
      </c>
    </row>
    <row r="40" spans="3:14" customFormat="1" ht="15" customHeight="1" x14ac:dyDescent="0.15">
      <c r="C40" s="76">
        <v>39</v>
      </c>
      <c r="E40" s="171" t="s">
        <v>230</v>
      </c>
      <c r="F40" s="76">
        <v>3</v>
      </c>
      <c r="G40" s="76">
        <v>0</v>
      </c>
      <c r="H40" s="76">
        <v>0</v>
      </c>
      <c r="I40" s="76">
        <v>0</v>
      </c>
      <c r="J40" s="76">
        <v>0</v>
      </c>
      <c r="K40" s="76">
        <v>0</v>
      </c>
      <c r="L40" s="76">
        <v>0</v>
      </c>
      <c r="M40" s="76">
        <v>0</v>
      </c>
      <c r="N40" s="76">
        <v>0</v>
      </c>
    </row>
    <row r="41" spans="3:14" customFormat="1" ht="15" customHeight="1" x14ac:dyDescent="0.15">
      <c r="C41" s="76">
        <v>40</v>
      </c>
      <c r="E41" s="171" t="s">
        <v>231</v>
      </c>
      <c r="F41" s="76">
        <v>3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6">
        <v>0</v>
      </c>
      <c r="N41" s="76">
        <v>0</v>
      </c>
    </row>
    <row r="42" spans="3:14" customFormat="1" ht="15" customHeight="1" x14ac:dyDescent="0.15">
      <c r="C42" s="76">
        <v>41</v>
      </c>
      <c r="E42" s="171" t="s">
        <v>232</v>
      </c>
      <c r="F42" s="76">
        <v>3</v>
      </c>
      <c r="G42" s="76">
        <v>0</v>
      </c>
      <c r="H42" s="76">
        <v>0</v>
      </c>
      <c r="I42" s="76">
        <v>0</v>
      </c>
      <c r="J42" s="76">
        <v>0</v>
      </c>
      <c r="K42" s="76">
        <v>0</v>
      </c>
      <c r="L42" s="76">
        <v>0</v>
      </c>
      <c r="M42" s="76">
        <v>0</v>
      </c>
      <c r="N42" s="76">
        <v>0</v>
      </c>
    </row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14.83203125" style="136" bestFit="1" customWidth="1"/>
    <col min="3" max="3" width="6.83203125" style="136" bestFit="1" customWidth="1"/>
    <col min="4" max="5" width="5.83203125" style="136" bestFit="1" customWidth="1"/>
    <col min="6" max="7" width="6.83203125" style="136" bestFit="1" customWidth="1"/>
    <col min="8" max="9" width="4.83203125" style="136" bestFit="1" customWidth="1"/>
    <col min="10" max="10" width="13.83203125" style="136" bestFit="1" customWidth="1"/>
    <col min="11" max="11" width="5.83203125" style="136" bestFit="1" customWidth="1"/>
    <col min="12" max="12" width="3.83203125" style="136" bestFit="1" customWidth="1"/>
    <col min="13" max="13" width="5.83203125" style="136" bestFit="1" customWidth="1"/>
    <col min="14" max="15" width="4.83203125" style="136" bestFit="1" customWidth="1"/>
    <col min="16" max="16" width="6.83203125" style="136" bestFit="1" customWidth="1"/>
    <col min="17" max="17" width="14.83203125" style="136" bestFit="1" customWidth="1"/>
    <col min="18" max="18" width="6.83203125" style="136" bestFit="1" customWidth="1"/>
    <col min="19" max="19" width="4.83203125" style="136" bestFit="1" customWidth="1"/>
    <col min="20" max="20" width="3.83203125" style="136" bestFit="1" customWidth="1"/>
    <col min="21" max="21" width="13.83203125" style="136" bestFit="1" customWidth="1"/>
    <col min="22" max="22" width="14.83203125" style="136" bestFit="1" customWidth="1"/>
    <col min="23" max="25" width="4.83203125" style="136" bestFit="1" customWidth="1"/>
    <col min="26" max="26" width="2.33203125" style="136" bestFit="1" customWidth="1"/>
    <col min="27" max="27" width="4.83203125" style="136" bestFit="1" customWidth="1"/>
    <col min="28" max="29" width="2.33203125" style="136" bestFit="1" customWidth="1"/>
    <col min="30" max="31" width="2.33203125" style="136" customWidth="1"/>
    <col min="32" max="16384" width="8.83203125" style="136"/>
  </cols>
  <sheetData>
    <row r="1" spans="1:34" x14ac:dyDescent="0.15">
      <c r="A1" s="135" t="s">
        <v>19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 s="173" t="s">
        <v>214</v>
      </c>
      <c r="Y1" s="173" t="s">
        <v>215</v>
      </c>
      <c r="Z1" s="173" t="s">
        <v>216</v>
      </c>
      <c r="AA1" s="173" t="s">
        <v>217</v>
      </c>
      <c r="AB1" s="173" t="s">
        <v>218</v>
      </c>
      <c r="AC1" s="173" t="s">
        <v>219</v>
      </c>
      <c r="AD1" s="173" t="s">
        <v>220</v>
      </c>
      <c r="AE1" s="173" t="s">
        <v>221</v>
      </c>
      <c r="AF1"/>
      <c r="AG1"/>
      <c r="AH1"/>
    </row>
    <row r="2" spans="1:34" customFormat="1" x14ac:dyDescent="0.15">
      <c r="A2" s="172" t="s">
        <v>192</v>
      </c>
      <c r="B2" s="136">
        <v>0</v>
      </c>
      <c r="C2" s="136">
        <v>0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</row>
    <row r="3" spans="1:34" customFormat="1" x14ac:dyDescent="0.15">
      <c r="A3" s="172" t="s">
        <v>193</v>
      </c>
      <c r="B3" s="136">
        <v>0</v>
      </c>
      <c r="C3" s="136">
        <v>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</row>
    <row r="4" spans="1:34" customFormat="1" x14ac:dyDescent="0.15">
      <c r="A4" s="172" t="s">
        <v>194</v>
      </c>
      <c r="B4" s="136">
        <v>0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</row>
    <row r="5" spans="1:34" customFormat="1" x14ac:dyDescent="0.15">
      <c r="A5" s="172" t="s">
        <v>195</v>
      </c>
      <c r="B5" s="136">
        <v>0</v>
      </c>
      <c r="C5" s="136">
        <v>0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</row>
    <row r="6" spans="1:34" customFormat="1" x14ac:dyDescent="0.15">
      <c r="A6" s="172" t="s">
        <v>196</v>
      </c>
      <c r="B6" s="136">
        <v>0</v>
      </c>
      <c r="C6" s="136">
        <v>0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1.8220836454295921E-2</v>
      </c>
      <c r="W6" s="136">
        <v>0</v>
      </c>
      <c r="X6" s="136">
        <v>0</v>
      </c>
      <c r="Y6" s="136">
        <v>0</v>
      </c>
      <c r="Z6" s="136">
        <v>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</row>
    <row r="7" spans="1:34" customFormat="1" x14ac:dyDescent="0.15">
      <c r="A7" s="172" t="s">
        <v>197</v>
      </c>
      <c r="B7" s="136">
        <v>0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>
        <v>0</v>
      </c>
      <c r="L7" s="136">
        <v>0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  <c r="V7" s="136">
        <v>1.0122686719028997E-2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</row>
    <row r="8" spans="1:34" customFormat="1" x14ac:dyDescent="0.15">
      <c r="A8" s="172" t="s">
        <v>198</v>
      </c>
      <c r="B8" s="136">
        <v>0</v>
      </c>
      <c r="C8" s="136">
        <v>0</v>
      </c>
      <c r="D8" s="136">
        <v>5.7000000000000002E-2</v>
      </c>
      <c r="E8" s="136">
        <v>0</v>
      </c>
      <c r="F8" s="136">
        <v>0</v>
      </c>
      <c r="G8" s="136">
        <v>0</v>
      </c>
      <c r="H8" s="136">
        <v>0</v>
      </c>
      <c r="I8" s="136">
        <v>0</v>
      </c>
      <c r="J8" s="136">
        <v>0</v>
      </c>
      <c r="K8" s="136">
        <v>0</v>
      </c>
      <c r="L8" s="136">
        <v>0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1.3159494044896816E-2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</row>
    <row r="9" spans="1:34" customFormat="1" x14ac:dyDescent="0.15">
      <c r="A9" s="172" t="s">
        <v>199</v>
      </c>
      <c r="B9" s="136">
        <v>0</v>
      </c>
      <c r="C9" s="136">
        <v>2.9200000000000004E-2</v>
      </c>
      <c r="D9" s="136">
        <v>0</v>
      </c>
      <c r="E9" s="136">
        <v>0</v>
      </c>
      <c r="F9" s="136">
        <v>0</v>
      </c>
      <c r="G9" s="136">
        <v>3.3500000000000002E-2</v>
      </c>
      <c r="H9" s="136">
        <v>0</v>
      </c>
      <c r="I9" s="136">
        <v>0</v>
      </c>
      <c r="J9" s="136">
        <v>0</v>
      </c>
      <c r="K9" s="136">
        <v>0</v>
      </c>
      <c r="L9" s="136">
        <v>0.1</v>
      </c>
      <c r="M9" s="136">
        <v>0.05</v>
      </c>
      <c r="N9" s="136">
        <v>0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9.8190065365090215E-2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</row>
    <row r="10" spans="1:34" customFormat="1" x14ac:dyDescent="0.15">
      <c r="A10" s="172" t="s">
        <v>200</v>
      </c>
      <c r="B10" s="136">
        <v>0</v>
      </c>
      <c r="C10" s="136">
        <v>0</v>
      </c>
      <c r="D10" s="136">
        <v>1E-3</v>
      </c>
      <c r="E10" s="136">
        <v>0</v>
      </c>
      <c r="F10" s="136">
        <v>0</v>
      </c>
      <c r="G10" s="136">
        <v>0.01</v>
      </c>
      <c r="H10" s="136">
        <v>0</v>
      </c>
      <c r="I10" s="136">
        <v>0</v>
      </c>
      <c r="J10" s="136">
        <v>0</v>
      </c>
      <c r="K10" s="136">
        <v>0</v>
      </c>
      <c r="L10" s="136">
        <v>0</v>
      </c>
      <c r="M10" s="136">
        <v>0.05</v>
      </c>
      <c r="N10" s="136">
        <v>0</v>
      </c>
      <c r="O10" s="136">
        <v>0</v>
      </c>
      <c r="P10" s="136">
        <v>0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  <c r="V10" s="136">
        <v>0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</row>
    <row r="11" spans="1:34" customFormat="1" x14ac:dyDescent="0.15">
      <c r="A11" s="172" t="s">
        <v>201</v>
      </c>
      <c r="B11" s="136">
        <v>0</v>
      </c>
      <c r="C11" s="136">
        <v>0</v>
      </c>
      <c r="D11" s="136">
        <v>4.0000000000000001E-3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6">
        <v>0</v>
      </c>
      <c r="M11" s="136">
        <v>0</v>
      </c>
      <c r="N11" s="136">
        <v>0</v>
      </c>
      <c r="O11" s="136">
        <v>0</v>
      </c>
      <c r="P11" s="136">
        <v>0</v>
      </c>
      <c r="Q11" s="136">
        <v>2.105263412042091E-3</v>
      </c>
      <c r="R11" s="136">
        <v>0</v>
      </c>
      <c r="S11" s="136">
        <v>0</v>
      </c>
      <c r="T11" s="136">
        <v>0</v>
      </c>
      <c r="U11" s="136">
        <v>0</v>
      </c>
      <c r="V11" s="136">
        <v>1.0122686719028997E-2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</row>
    <row r="12" spans="1:34" customFormat="1" x14ac:dyDescent="0.15">
      <c r="A12" s="172" t="s">
        <v>202</v>
      </c>
      <c r="B12" s="136">
        <v>0</v>
      </c>
      <c r="C12" s="136">
        <v>0</v>
      </c>
      <c r="D12" s="136">
        <v>0.127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</v>
      </c>
      <c r="K12" s="136">
        <v>0</v>
      </c>
      <c r="L12" s="136">
        <v>0</v>
      </c>
      <c r="M12" s="136">
        <v>0.1</v>
      </c>
      <c r="N12" s="136">
        <v>0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</row>
    <row r="13" spans="1:34" customFormat="1" x14ac:dyDescent="0.15">
      <c r="A13" s="172" t="s">
        <v>203</v>
      </c>
      <c r="B13" s="136">
        <v>0</v>
      </c>
      <c r="C13" s="136">
        <v>0</v>
      </c>
      <c r="D13" s="136">
        <v>0</v>
      </c>
      <c r="E13" s="136">
        <v>0</v>
      </c>
      <c r="F13" s="136">
        <v>0</v>
      </c>
      <c r="G13" s="136">
        <v>0</v>
      </c>
      <c r="H13" s="136">
        <v>0</v>
      </c>
      <c r="I13" s="136">
        <v>0</v>
      </c>
      <c r="J13" s="136">
        <v>0</v>
      </c>
      <c r="K13" s="136">
        <v>0</v>
      </c>
      <c r="L13" s="136">
        <v>0</v>
      </c>
      <c r="M13" s="136">
        <v>0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0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</row>
    <row r="14" spans="1:34" customFormat="1" x14ac:dyDescent="0.15">
      <c r="A14" s="172" t="s">
        <v>204</v>
      </c>
      <c r="B14" s="136">
        <v>0</v>
      </c>
      <c r="C14" s="136">
        <v>0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2.0000000049999994E-2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</row>
    <row r="15" spans="1:34" customFormat="1" x14ac:dyDescent="0.15">
      <c r="A15" s="172" t="s">
        <v>205</v>
      </c>
      <c r="B15" s="136">
        <v>0</v>
      </c>
      <c r="C15" s="136">
        <v>0</v>
      </c>
      <c r="D15" s="136">
        <v>0</v>
      </c>
      <c r="E15" s="136">
        <v>0</v>
      </c>
      <c r="F15" s="136">
        <v>0</v>
      </c>
      <c r="G15" s="136">
        <v>4.0000000000000001E-3</v>
      </c>
      <c r="H15" s="136">
        <v>0.01</v>
      </c>
      <c r="I15" s="136">
        <v>0</v>
      </c>
      <c r="J15" s="136">
        <v>0</v>
      </c>
      <c r="K15" s="136">
        <v>0</v>
      </c>
      <c r="L15" s="136">
        <v>0</v>
      </c>
      <c r="M15" s="136">
        <v>0</v>
      </c>
      <c r="N15" s="136">
        <v>0</v>
      </c>
      <c r="O15" s="136">
        <v>0</v>
      </c>
      <c r="P15" s="136">
        <v>0</v>
      </c>
      <c r="Q15" s="136">
        <v>1.0526315610210536E-2</v>
      </c>
      <c r="R15" s="136">
        <v>0</v>
      </c>
      <c r="S15" s="136">
        <v>0</v>
      </c>
      <c r="T15" s="136">
        <v>0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</row>
    <row r="16" spans="1:34" customFormat="1" x14ac:dyDescent="0.15">
      <c r="A16" s="172" t="s">
        <v>206</v>
      </c>
      <c r="B16" s="136">
        <v>0</v>
      </c>
      <c r="C16" s="136">
        <v>0</v>
      </c>
      <c r="D16" s="136">
        <v>1.4E-2</v>
      </c>
      <c r="E16" s="136">
        <v>0</v>
      </c>
      <c r="F16" s="136">
        <v>0</v>
      </c>
      <c r="G16" s="136">
        <v>5.3999999999999999E-2</v>
      </c>
      <c r="H16" s="136">
        <v>0</v>
      </c>
      <c r="I16" s="136">
        <v>0</v>
      </c>
      <c r="J16" s="136">
        <v>0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</row>
    <row r="17" spans="1:31" customFormat="1" x14ac:dyDescent="0.15">
      <c r="A17" s="172" t="s">
        <v>207</v>
      </c>
      <c r="B17" s="136">
        <v>0.12199999752224021</v>
      </c>
      <c r="C17" s="136">
        <v>3.3000000000000008E-2</v>
      </c>
      <c r="D17" s="136">
        <v>4.3999999999999997E-2</v>
      </c>
      <c r="E17" s="136">
        <v>0</v>
      </c>
      <c r="F17" s="136">
        <v>0</v>
      </c>
      <c r="G17" s="136">
        <v>2.0500000000000001E-2</v>
      </c>
      <c r="H17" s="136">
        <v>0</v>
      </c>
      <c r="I17" s="136">
        <v>0</v>
      </c>
      <c r="J17" s="136">
        <v>0</v>
      </c>
      <c r="K17" s="136">
        <v>0</v>
      </c>
      <c r="L17" s="136">
        <v>0</v>
      </c>
      <c r="M17" s="136">
        <v>0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9.9202328306297119E-2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</row>
    <row r="18" spans="1:31" customFormat="1" x14ac:dyDescent="0.15">
      <c r="A18" s="172" t="s">
        <v>208</v>
      </c>
      <c r="B18" s="136">
        <v>0.12199999752224021</v>
      </c>
      <c r="C18" s="136">
        <v>7.4800000000000019E-2</v>
      </c>
      <c r="D18" s="136">
        <v>0.193</v>
      </c>
      <c r="E18" s="136">
        <v>0.308</v>
      </c>
      <c r="F18" s="136">
        <v>0.06</v>
      </c>
      <c r="G18" s="136">
        <v>0.11550000000000001</v>
      </c>
      <c r="H18" s="136">
        <v>0.17</v>
      </c>
      <c r="I18" s="136">
        <v>0</v>
      </c>
      <c r="J18" s="136">
        <v>0</v>
      </c>
      <c r="K18" s="136">
        <v>0</v>
      </c>
      <c r="L18" s="136">
        <v>0.1</v>
      </c>
      <c r="M18" s="136">
        <v>0.27800000000000002</v>
      </c>
      <c r="N18" s="136">
        <v>0</v>
      </c>
      <c r="O18" s="136">
        <v>0.4</v>
      </c>
      <c r="P18" s="136">
        <v>1.2600000000000002E-2</v>
      </c>
      <c r="Q18" s="136">
        <v>0.36736840941634807</v>
      </c>
      <c r="R18" s="136">
        <v>1.4E-2</v>
      </c>
      <c r="S18" s="136">
        <v>0</v>
      </c>
      <c r="T18" s="136">
        <v>0</v>
      </c>
      <c r="U18" s="136">
        <v>0</v>
      </c>
      <c r="V18" s="136">
        <v>0.10426367501621853</v>
      </c>
      <c r="W18" s="136">
        <v>0.05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</row>
    <row r="19" spans="1:31" customFormat="1" x14ac:dyDescent="0.15">
      <c r="A19" s="172" t="s">
        <v>209</v>
      </c>
      <c r="B19" s="136">
        <v>0</v>
      </c>
      <c r="C19" s="136">
        <v>0</v>
      </c>
      <c r="D19" s="136">
        <v>1.4E-2</v>
      </c>
      <c r="E19" s="136">
        <v>0.15</v>
      </c>
      <c r="F19" s="136">
        <v>0</v>
      </c>
      <c r="G19" s="136">
        <v>0</v>
      </c>
      <c r="H19" s="136">
        <v>0.03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</v>
      </c>
      <c r="O19" s="136">
        <v>0</v>
      </c>
      <c r="P19" s="136">
        <v>0</v>
      </c>
      <c r="Q19" s="136">
        <v>3.263157817165268E-2</v>
      </c>
      <c r="R19" s="136">
        <v>0</v>
      </c>
      <c r="S19" s="136">
        <v>0</v>
      </c>
      <c r="T19" s="136">
        <v>0</v>
      </c>
      <c r="U19" s="136">
        <v>0</v>
      </c>
      <c r="V19" s="136">
        <v>4.6564359527608692E-2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</row>
    <row r="20" spans="1:31" customFormat="1" x14ac:dyDescent="0.15">
      <c r="A20" s="172" t="s">
        <v>210</v>
      </c>
      <c r="B20" s="136">
        <v>0</v>
      </c>
      <c r="C20" s="136">
        <v>0</v>
      </c>
      <c r="D20" s="136">
        <v>0.24399999999999999</v>
      </c>
      <c r="E20" s="136">
        <v>0.15</v>
      </c>
      <c r="F20" s="136">
        <v>0</v>
      </c>
      <c r="G20" s="136">
        <v>0.14449999999999999</v>
      </c>
      <c r="H20" s="136">
        <v>0.03</v>
      </c>
      <c r="I20" s="136">
        <v>0</v>
      </c>
      <c r="J20" s="136">
        <v>0</v>
      </c>
      <c r="K20" s="136">
        <v>0</v>
      </c>
      <c r="L20" s="136">
        <v>0</v>
      </c>
      <c r="M20" s="136">
        <v>0</v>
      </c>
      <c r="N20" s="136">
        <v>0</v>
      </c>
      <c r="O20" s="136">
        <v>0</v>
      </c>
      <c r="P20" s="136">
        <v>4.0600000000000004E-2</v>
      </c>
      <c r="Q20" s="136">
        <v>1.0526315610210536E-2</v>
      </c>
      <c r="R20" s="136">
        <v>0</v>
      </c>
      <c r="S20" s="136">
        <v>0</v>
      </c>
      <c r="T20" s="136">
        <v>0</v>
      </c>
      <c r="U20" s="136">
        <v>0</v>
      </c>
      <c r="V20" s="136">
        <v>1.0001214666023436E-2</v>
      </c>
      <c r="W20" s="136">
        <v>0</v>
      </c>
      <c r="X20" s="136">
        <v>0</v>
      </c>
      <c r="Y20" s="136">
        <v>0</v>
      </c>
      <c r="Z20" s="136">
        <v>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</row>
    <row r="21" spans="1:31" customFormat="1" x14ac:dyDescent="0.15">
      <c r="A21" s="172" t="s">
        <v>211</v>
      </c>
      <c r="B21" s="136">
        <v>0.26699999488064041</v>
      </c>
      <c r="C21" s="136">
        <v>0.59600000000000009</v>
      </c>
      <c r="D21" s="136">
        <v>8.4000000000000005E-2</v>
      </c>
      <c r="E21" s="136">
        <v>0.22</v>
      </c>
      <c r="F21" s="136">
        <v>0</v>
      </c>
      <c r="G21" s="136">
        <v>0.34599999999999997</v>
      </c>
      <c r="H21" s="136">
        <v>0</v>
      </c>
      <c r="I21" s="136">
        <v>0</v>
      </c>
      <c r="J21" s="136">
        <v>0</v>
      </c>
      <c r="K21" s="136">
        <v>0</v>
      </c>
      <c r="L21" s="136">
        <v>0.1</v>
      </c>
      <c r="M21" s="136">
        <v>0</v>
      </c>
      <c r="N21" s="136">
        <v>0</v>
      </c>
      <c r="O21" s="136">
        <v>0</v>
      </c>
      <c r="P21" s="136">
        <v>0</v>
      </c>
      <c r="Q21" s="136">
        <v>1.3684210533273684E-2</v>
      </c>
      <c r="R21" s="136">
        <v>0</v>
      </c>
      <c r="S21" s="136">
        <v>0</v>
      </c>
      <c r="T21" s="136">
        <v>0</v>
      </c>
      <c r="U21" s="136">
        <v>0</v>
      </c>
      <c r="V21" s="136">
        <v>0.14272989781013934</v>
      </c>
      <c r="W21" s="136">
        <v>0.05</v>
      </c>
      <c r="X21" s="136">
        <v>0</v>
      </c>
      <c r="Y21" s="136">
        <v>0</v>
      </c>
      <c r="Z21" s="136">
        <v>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</row>
    <row r="22" spans="1:31" customFormat="1" x14ac:dyDescent="0.15">
      <c r="A22" s="172" t="s">
        <v>212</v>
      </c>
      <c r="B22" s="136">
        <v>0</v>
      </c>
      <c r="C22" s="136">
        <v>0</v>
      </c>
      <c r="D22" s="136">
        <v>3.0000000000000001E-3</v>
      </c>
      <c r="E22" s="136">
        <v>0</v>
      </c>
      <c r="F22" s="136">
        <v>0</v>
      </c>
      <c r="G22" s="136">
        <v>0</v>
      </c>
      <c r="H22" s="136">
        <v>0</v>
      </c>
      <c r="I22" s="136">
        <v>0</v>
      </c>
      <c r="J22" s="136">
        <v>0</v>
      </c>
      <c r="K22" s="136">
        <v>0</v>
      </c>
      <c r="L22" s="136">
        <v>0</v>
      </c>
      <c r="M22" s="136">
        <v>0</v>
      </c>
      <c r="N22" s="136">
        <v>0</v>
      </c>
      <c r="O22" s="136">
        <v>0</v>
      </c>
      <c r="P22" s="136">
        <v>0</v>
      </c>
      <c r="Q22" s="136">
        <v>0</v>
      </c>
      <c r="R22" s="136">
        <v>0</v>
      </c>
      <c r="S22" s="136">
        <v>0</v>
      </c>
      <c r="T22" s="136">
        <v>0</v>
      </c>
      <c r="U22" s="136">
        <v>0</v>
      </c>
      <c r="V22" s="136">
        <v>0</v>
      </c>
      <c r="W22" s="136">
        <v>0</v>
      </c>
      <c r="X22" s="136">
        <v>0</v>
      </c>
      <c r="Y22" s="136">
        <v>0</v>
      </c>
      <c r="Z22" s="136">
        <v>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</row>
    <row r="23" spans="1:31" customFormat="1" x14ac:dyDescent="0.15">
      <c r="A23" s="172" t="s">
        <v>213</v>
      </c>
      <c r="B23" s="136">
        <v>0.2630000162569584</v>
      </c>
      <c r="C23" s="136">
        <v>9.2000000000000012E-2</v>
      </c>
      <c r="D23" s="136">
        <v>0.14799999999999999</v>
      </c>
      <c r="E23" s="136">
        <v>0.16800000000000001</v>
      </c>
      <c r="F23" s="136">
        <v>0</v>
      </c>
      <c r="G23" s="136">
        <v>0.251</v>
      </c>
      <c r="H23" s="136">
        <v>0.15</v>
      </c>
      <c r="I23" s="136">
        <v>0</v>
      </c>
      <c r="J23" s="136">
        <v>9.0000003924999739E-2</v>
      </c>
      <c r="K23" s="136">
        <v>0</v>
      </c>
      <c r="L23" s="136">
        <v>0</v>
      </c>
      <c r="M23" s="136">
        <v>0.51</v>
      </c>
      <c r="N23" s="136">
        <v>0</v>
      </c>
      <c r="O23" s="136">
        <v>0</v>
      </c>
      <c r="P23" s="136">
        <v>6.4000000000000012E-3</v>
      </c>
      <c r="Q23" s="136">
        <v>6.8421056166368233E-2</v>
      </c>
      <c r="R23" s="136">
        <v>0</v>
      </c>
      <c r="S23" s="136">
        <v>0</v>
      </c>
      <c r="T23" s="136">
        <v>0</v>
      </c>
      <c r="U23" s="136">
        <v>0</v>
      </c>
      <c r="V23" s="136">
        <v>0.42717738148325929</v>
      </c>
      <c r="W23" s="136">
        <v>0</v>
      </c>
      <c r="X23" s="136">
        <v>0</v>
      </c>
      <c r="Y23" s="136">
        <v>0</v>
      </c>
      <c r="Z23" s="136">
        <v>0</v>
      </c>
      <c r="AA23" s="136">
        <v>0</v>
      </c>
      <c r="AB23" s="136">
        <v>0</v>
      </c>
      <c r="AC23" s="136">
        <v>0</v>
      </c>
      <c r="AD23" s="136">
        <v>0</v>
      </c>
      <c r="AE23" s="136">
        <v>0</v>
      </c>
    </row>
    <row r="24" spans="1:31" customFormat="1" x14ac:dyDescent="0.15">
      <c r="A24" s="172" t="s">
        <v>214</v>
      </c>
      <c r="B24" s="136">
        <v>4.9999998796000098E-3</v>
      </c>
      <c r="C24" s="136">
        <v>0</v>
      </c>
      <c r="D24" s="136">
        <v>0</v>
      </c>
      <c r="E24" s="136">
        <v>0</v>
      </c>
      <c r="F24" s="136">
        <v>0</v>
      </c>
      <c r="G24" s="136">
        <v>0.01</v>
      </c>
      <c r="H24" s="136">
        <v>0.02</v>
      </c>
      <c r="I24" s="136">
        <v>0</v>
      </c>
      <c r="J24" s="136">
        <v>0</v>
      </c>
      <c r="K24" s="136">
        <v>0</v>
      </c>
      <c r="L24" s="136">
        <v>0</v>
      </c>
      <c r="M24" s="136">
        <v>1.2E-2</v>
      </c>
      <c r="N24" s="136">
        <v>0</v>
      </c>
      <c r="O24" s="136">
        <v>0</v>
      </c>
      <c r="P24" s="136">
        <v>0</v>
      </c>
      <c r="Q24" s="136">
        <v>0.12736842786354699</v>
      </c>
      <c r="R24" s="136">
        <v>0.13250000000000001</v>
      </c>
      <c r="S24" s="136">
        <v>0</v>
      </c>
      <c r="T24" s="136">
        <v>0</v>
      </c>
      <c r="U24" s="136">
        <v>0</v>
      </c>
      <c r="V24" s="136">
        <v>0</v>
      </c>
      <c r="W24" s="136">
        <v>0.05</v>
      </c>
      <c r="X24" s="136">
        <v>0</v>
      </c>
      <c r="Y24" s="136">
        <v>0.02</v>
      </c>
      <c r="Z24" s="136">
        <v>0</v>
      </c>
      <c r="AA24" s="136">
        <v>0</v>
      </c>
      <c r="AB24" s="136">
        <v>0</v>
      </c>
      <c r="AC24" s="136">
        <v>0</v>
      </c>
      <c r="AD24" s="136">
        <v>0</v>
      </c>
      <c r="AE24" s="136">
        <v>0</v>
      </c>
    </row>
    <row r="25" spans="1:31" customFormat="1" x14ac:dyDescent="0.15">
      <c r="A25" s="172" t="s">
        <v>215</v>
      </c>
      <c r="B25" s="136">
        <v>0</v>
      </c>
      <c r="C25" s="136">
        <v>0</v>
      </c>
      <c r="D25" s="136">
        <v>4.0000000000000001E-3</v>
      </c>
      <c r="E25" s="136">
        <v>0</v>
      </c>
      <c r="F25" s="136">
        <v>0.48</v>
      </c>
      <c r="G25" s="136">
        <v>1.0999999999999999E-2</v>
      </c>
      <c r="H25" s="136">
        <v>0.38</v>
      </c>
      <c r="I25" s="136">
        <v>0.11</v>
      </c>
      <c r="J25" s="136">
        <v>0.11999999690000021</v>
      </c>
      <c r="K25" s="136">
        <v>0</v>
      </c>
      <c r="L25" s="136">
        <v>0</v>
      </c>
      <c r="M25" s="136">
        <v>0</v>
      </c>
      <c r="N25" s="136">
        <v>0.57999999999999996</v>
      </c>
      <c r="O25" s="136">
        <v>0.06</v>
      </c>
      <c r="P25" s="136">
        <v>0.25840000000000007</v>
      </c>
      <c r="Q25" s="136">
        <v>0.20947368826318927</v>
      </c>
      <c r="R25" s="136">
        <v>0.1462</v>
      </c>
      <c r="S25" s="136">
        <v>0</v>
      </c>
      <c r="T25" s="136">
        <v>0</v>
      </c>
      <c r="U25" s="136">
        <v>0</v>
      </c>
      <c r="V25" s="136">
        <v>0</v>
      </c>
      <c r="W25" s="136">
        <v>0</v>
      </c>
      <c r="X25" s="136">
        <v>0</v>
      </c>
      <c r="Y25" s="136">
        <v>0</v>
      </c>
      <c r="Z25" s="136">
        <v>0</v>
      </c>
      <c r="AA25" s="136">
        <v>0</v>
      </c>
      <c r="AB25" s="136">
        <v>0</v>
      </c>
      <c r="AC25" s="136">
        <v>0</v>
      </c>
      <c r="AD25" s="136">
        <v>0</v>
      </c>
      <c r="AE25" s="136">
        <v>0</v>
      </c>
    </row>
    <row r="26" spans="1:31" customFormat="1" x14ac:dyDescent="0.15">
      <c r="A26" s="172" t="s">
        <v>216</v>
      </c>
      <c r="B26" s="136">
        <v>1.400000008287999E-2</v>
      </c>
      <c r="C26" s="136">
        <v>0</v>
      </c>
      <c r="D26" s="136">
        <v>6.3E-2</v>
      </c>
      <c r="E26" s="136">
        <v>0</v>
      </c>
      <c r="F26" s="136">
        <v>0.1467</v>
      </c>
      <c r="G26" s="136">
        <v>0</v>
      </c>
      <c r="H26" s="136">
        <v>0.12</v>
      </c>
      <c r="I26" s="136">
        <v>0.83</v>
      </c>
      <c r="J26" s="136">
        <v>0.70000000075000002</v>
      </c>
      <c r="K26" s="136">
        <v>3.0000000000000001E-3</v>
      </c>
      <c r="L26" s="136">
        <v>0</v>
      </c>
      <c r="M26" s="136">
        <v>0</v>
      </c>
      <c r="N26" s="136">
        <v>0.28000000000000003</v>
      </c>
      <c r="O26" s="136">
        <v>0.38</v>
      </c>
      <c r="P26" s="136">
        <v>0.46060000000000006</v>
      </c>
      <c r="Q26" s="136">
        <v>0.11999999827640011</v>
      </c>
      <c r="R26" s="136">
        <v>0.1847</v>
      </c>
      <c r="S26" s="136">
        <v>0.02</v>
      </c>
      <c r="T26" s="136">
        <v>0</v>
      </c>
      <c r="U26" s="136">
        <v>1.1988011141258746E-2</v>
      </c>
      <c r="V26" s="136">
        <v>2.0245374338167315E-3</v>
      </c>
      <c r="W26" s="136">
        <v>0</v>
      </c>
      <c r="X26" s="136">
        <v>0.03</v>
      </c>
      <c r="Y26" s="136">
        <v>0.85</v>
      </c>
      <c r="Z26" s="136">
        <v>0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</row>
    <row r="27" spans="1:31" customFormat="1" x14ac:dyDescent="0.15">
      <c r="A27" s="172" t="s">
        <v>217</v>
      </c>
      <c r="B27" s="136">
        <v>0.20499999371360056</v>
      </c>
      <c r="C27" s="136">
        <v>4.9800000000000004E-2</v>
      </c>
      <c r="D27" s="136">
        <v>0</v>
      </c>
      <c r="E27" s="136">
        <v>4.0000000000000001E-3</v>
      </c>
      <c r="F27" s="136">
        <v>2.3300000000000001E-2</v>
      </c>
      <c r="G27" s="136">
        <v>0</v>
      </c>
      <c r="H27" s="136">
        <v>0.08</v>
      </c>
      <c r="I27" s="136">
        <v>0</v>
      </c>
      <c r="J27" s="136">
        <v>1.0000000024999997E-2</v>
      </c>
      <c r="K27" s="136">
        <v>0.67700000000000005</v>
      </c>
      <c r="L27" s="136">
        <v>0.7</v>
      </c>
      <c r="M27" s="136">
        <v>0</v>
      </c>
      <c r="N27" s="136">
        <v>0.03</v>
      </c>
      <c r="O27" s="136">
        <v>0</v>
      </c>
      <c r="P27" s="136">
        <v>0.16160000000000002</v>
      </c>
      <c r="Q27" s="136">
        <v>2.4210526143484221E-2</v>
      </c>
      <c r="R27" s="136">
        <v>0.38</v>
      </c>
      <c r="S27" s="136">
        <v>0.18</v>
      </c>
      <c r="T27" s="136">
        <v>0.5</v>
      </c>
      <c r="U27" s="136">
        <v>0.57242759719510483</v>
      </c>
      <c r="V27" s="136">
        <v>1.8220836454295921E-2</v>
      </c>
      <c r="W27" s="136">
        <v>0.85</v>
      </c>
      <c r="X27" s="136">
        <v>0.12</v>
      </c>
      <c r="Y27" s="136">
        <v>0.02</v>
      </c>
      <c r="Z27" s="136">
        <v>0</v>
      </c>
      <c r="AA27" s="136">
        <v>0</v>
      </c>
      <c r="AB27" s="136">
        <v>0</v>
      </c>
      <c r="AC27" s="136">
        <v>0</v>
      </c>
      <c r="AD27" s="136">
        <v>0</v>
      </c>
      <c r="AE27" s="136">
        <v>0</v>
      </c>
    </row>
    <row r="28" spans="1:31" customFormat="1" x14ac:dyDescent="0.15">
      <c r="A28" s="172" t="s">
        <v>218</v>
      </c>
      <c r="B28" s="136">
        <v>2.0000001418399864E-3</v>
      </c>
      <c r="C28" s="136">
        <v>0.12520000000000003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>
        <v>0.32</v>
      </c>
      <c r="L28" s="136">
        <v>0</v>
      </c>
      <c r="M28" s="136">
        <v>0</v>
      </c>
      <c r="N28" s="136">
        <v>0</v>
      </c>
      <c r="O28" s="136">
        <v>0</v>
      </c>
      <c r="P28" s="136">
        <v>0</v>
      </c>
      <c r="Q28" s="136">
        <v>0</v>
      </c>
      <c r="R28" s="136">
        <v>8.3999999999999995E-3</v>
      </c>
      <c r="S28" s="136">
        <v>0.8</v>
      </c>
      <c r="T28" s="136">
        <v>0.5</v>
      </c>
      <c r="U28" s="136">
        <v>0.25274723676153854</v>
      </c>
      <c r="V28" s="136">
        <v>0</v>
      </c>
      <c r="W28" s="136">
        <v>0</v>
      </c>
      <c r="X28" s="136">
        <v>0.24</v>
      </c>
      <c r="Y28" s="136">
        <v>0.01</v>
      </c>
      <c r="Z28" s="136">
        <v>0</v>
      </c>
      <c r="AA28" s="136">
        <v>0.72</v>
      </c>
      <c r="AB28" s="136">
        <v>0</v>
      </c>
      <c r="AC28" s="136">
        <v>0</v>
      </c>
      <c r="AD28" s="136">
        <v>0</v>
      </c>
      <c r="AE28" s="136">
        <v>0</v>
      </c>
    </row>
    <row r="29" spans="1:31" customFormat="1" x14ac:dyDescent="0.15">
      <c r="A29" s="172" t="s">
        <v>219</v>
      </c>
      <c r="B29" s="136">
        <v>0</v>
      </c>
      <c r="C29" s="136">
        <v>0</v>
      </c>
      <c r="D29" s="136">
        <v>0</v>
      </c>
      <c r="E29" s="136">
        <v>0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>
        <v>0</v>
      </c>
      <c r="L29" s="136">
        <v>0</v>
      </c>
      <c r="M29" s="136">
        <v>0</v>
      </c>
      <c r="N29" s="136">
        <v>0</v>
      </c>
      <c r="O29" s="136">
        <v>0</v>
      </c>
      <c r="P29" s="136">
        <v>0</v>
      </c>
      <c r="Q29" s="136">
        <v>0</v>
      </c>
      <c r="R29" s="136">
        <v>0</v>
      </c>
      <c r="S29" s="136">
        <v>0</v>
      </c>
      <c r="T29" s="136">
        <v>0</v>
      </c>
      <c r="U29" s="136">
        <v>9.5904089530069958E-2</v>
      </c>
      <c r="V29" s="136">
        <v>0</v>
      </c>
      <c r="W29" s="136">
        <v>0</v>
      </c>
      <c r="X29" s="136">
        <v>0.09</v>
      </c>
      <c r="Y29" s="136">
        <v>0</v>
      </c>
      <c r="Z29" s="136">
        <v>0</v>
      </c>
      <c r="AA29" s="136">
        <v>0.28000000000000003</v>
      </c>
      <c r="AB29" s="136">
        <v>1</v>
      </c>
      <c r="AC29" s="136">
        <v>0</v>
      </c>
      <c r="AD29" s="136">
        <v>0</v>
      </c>
      <c r="AE29" s="136">
        <v>0</v>
      </c>
    </row>
    <row r="30" spans="1:31" customFormat="1" x14ac:dyDescent="0.15">
      <c r="A30" s="172" t="s">
        <v>220</v>
      </c>
      <c r="B30" s="136">
        <v>0</v>
      </c>
      <c r="C30" s="136">
        <v>0</v>
      </c>
      <c r="D30" s="136">
        <v>0</v>
      </c>
      <c r="E30" s="136">
        <v>0</v>
      </c>
      <c r="F30" s="136">
        <v>0.28999999999999998</v>
      </c>
      <c r="G30" s="136">
        <v>0</v>
      </c>
      <c r="H30" s="136">
        <v>0.01</v>
      </c>
      <c r="I30" s="136">
        <v>0.06</v>
      </c>
      <c r="J30" s="136">
        <v>5.9999998350000111E-2</v>
      </c>
      <c r="K30" s="136">
        <v>0</v>
      </c>
      <c r="L30" s="136">
        <v>0</v>
      </c>
      <c r="M30" s="136">
        <v>0</v>
      </c>
      <c r="N30" s="136">
        <v>0.11</v>
      </c>
      <c r="O30" s="136">
        <v>0.16</v>
      </c>
      <c r="P30" s="136">
        <v>5.9800000000000006E-2</v>
      </c>
      <c r="Q30" s="136">
        <v>1.3684210533273684E-2</v>
      </c>
      <c r="R30" s="136">
        <v>0.13420000000000001</v>
      </c>
      <c r="S30" s="136">
        <v>0</v>
      </c>
      <c r="T30" s="136">
        <v>0</v>
      </c>
      <c r="U30" s="136">
        <v>6.6933065372027978E-2</v>
      </c>
      <c r="V30" s="136">
        <v>0</v>
      </c>
      <c r="W30" s="136">
        <v>0</v>
      </c>
      <c r="X30" s="136">
        <v>0.52</v>
      </c>
      <c r="Y30" s="136">
        <v>0.1</v>
      </c>
      <c r="Z30" s="136">
        <v>1</v>
      </c>
      <c r="AA30" s="136">
        <v>0</v>
      </c>
      <c r="AB30" s="136">
        <v>0</v>
      </c>
      <c r="AC30" s="136">
        <v>0</v>
      </c>
      <c r="AD30" s="136">
        <v>0</v>
      </c>
      <c r="AE30" s="136">
        <v>0</v>
      </c>
    </row>
    <row r="31" spans="1:31" customFormat="1" x14ac:dyDescent="0.15">
      <c r="A31" s="172" t="s">
        <v>221</v>
      </c>
      <c r="B31" s="136">
        <v>0</v>
      </c>
      <c r="C31" s="136">
        <v>0</v>
      </c>
      <c r="D31" s="136">
        <v>0</v>
      </c>
      <c r="E31" s="136">
        <v>0</v>
      </c>
      <c r="F31" s="136">
        <v>0</v>
      </c>
      <c r="G31" s="136">
        <v>0</v>
      </c>
      <c r="H31" s="136">
        <v>0</v>
      </c>
      <c r="I31" s="136">
        <v>0</v>
      </c>
      <c r="J31" s="136">
        <v>0</v>
      </c>
      <c r="K31" s="136">
        <v>0</v>
      </c>
      <c r="L31" s="136">
        <v>0</v>
      </c>
      <c r="M31" s="136">
        <v>0</v>
      </c>
      <c r="N31" s="136">
        <v>0</v>
      </c>
      <c r="O31" s="136">
        <v>0</v>
      </c>
      <c r="P31" s="136">
        <v>0</v>
      </c>
      <c r="Q31" s="136">
        <v>0</v>
      </c>
      <c r="R31" s="136">
        <v>0</v>
      </c>
      <c r="S31" s="136">
        <v>0</v>
      </c>
      <c r="T31" s="136">
        <v>0</v>
      </c>
      <c r="U31" s="136">
        <v>0</v>
      </c>
      <c r="V31" s="136">
        <v>0</v>
      </c>
      <c r="W31" s="136">
        <v>0</v>
      </c>
      <c r="X31" s="136">
        <v>0</v>
      </c>
      <c r="Y31" s="136">
        <v>0</v>
      </c>
      <c r="Z31" s="136">
        <v>0</v>
      </c>
      <c r="AA31" s="136">
        <v>0</v>
      </c>
      <c r="AB31" s="136">
        <v>0</v>
      </c>
      <c r="AC31" s="136">
        <v>0</v>
      </c>
      <c r="AD31" s="136">
        <v>0</v>
      </c>
      <c r="AE31" s="136">
        <v>0</v>
      </c>
    </row>
    <row r="32" spans="1:31" customFormat="1" x14ac:dyDescent="0.15">
      <c r="A32" s="172" t="s">
        <v>233</v>
      </c>
      <c r="B32" s="136">
        <v>0</v>
      </c>
      <c r="C32" s="136">
        <v>0</v>
      </c>
      <c r="D32" s="136">
        <v>0</v>
      </c>
      <c r="E32" s="136">
        <v>0</v>
      </c>
      <c r="F32" s="136">
        <v>0</v>
      </c>
      <c r="G32" s="136">
        <v>0</v>
      </c>
      <c r="H32" s="136">
        <v>0</v>
      </c>
      <c r="I32" s="136">
        <v>0</v>
      </c>
      <c r="J32" s="136">
        <v>0</v>
      </c>
      <c r="K32" s="136">
        <v>0</v>
      </c>
      <c r="L32" s="136">
        <v>0</v>
      </c>
      <c r="M32" s="136">
        <v>0</v>
      </c>
      <c r="N32" s="136">
        <v>0</v>
      </c>
      <c r="O32" s="136">
        <v>0</v>
      </c>
      <c r="P32" s="136">
        <v>0</v>
      </c>
      <c r="Q32" s="136">
        <v>0</v>
      </c>
      <c r="R32" s="136">
        <v>0</v>
      </c>
      <c r="S32" s="136">
        <v>0</v>
      </c>
      <c r="T32" s="136">
        <v>0</v>
      </c>
      <c r="U32" s="136">
        <v>0</v>
      </c>
      <c r="V32" s="136">
        <v>0</v>
      </c>
      <c r="W32" s="136">
        <v>0</v>
      </c>
      <c r="X32" s="136">
        <v>0</v>
      </c>
      <c r="Y32" s="136">
        <v>0</v>
      </c>
      <c r="Z32" s="136">
        <v>0</v>
      </c>
      <c r="AA32" s="136">
        <v>0</v>
      </c>
      <c r="AB32" s="136">
        <v>0</v>
      </c>
      <c r="AC32" s="136">
        <v>0</v>
      </c>
      <c r="AD32" s="136">
        <v>1</v>
      </c>
      <c r="AE32" s="136">
        <v>0</v>
      </c>
    </row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H45" sqref="H4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7" style="104" customWidth="1"/>
    <col min="5" max="6" width="17" style="103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75" t="s">
        <v>220</v>
      </c>
      <c r="D1" s="175" t="s">
        <v>221</v>
      </c>
      <c r="E1" s="175" t="s">
        <v>234</v>
      </c>
      <c r="F1" s="175" t="s">
        <v>235</v>
      </c>
      <c r="G1"/>
      <c r="H1"/>
    </row>
    <row r="2" spans="1:8" x14ac:dyDescent="0.15">
      <c r="A2">
        <v>1</v>
      </c>
      <c r="B2" s="174" t="s">
        <v>192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74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74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74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74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74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74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74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74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74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74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74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74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74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74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74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74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74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74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74" t="s">
        <v>211</v>
      </c>
      <c r="C21" s="104">
        <v>1</v>
      </c>
      <c r="D21" s="104">
        <v>0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74" t="s">
        <v>212</v>
      </c>
      <c r="C22" s="104">
        <v>1</v>
      </c>
      <c r="D22" s="104">
        <v>0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74" t="s">
        <v>213</v>
      </c>
      <c r="C23" s="104">
        <v>1</v>
      </c>
      <c r="D23" s="104">
        <v>0</v>
      </c>
      <c r="E23" s="103">
        <v>0</v>
      </c>
      <c r="F23" s="103">
        <v>1</v>
      </c>
      <c r="G23"/>
      <c r="H23"/>
    </row>
    <row r="24" spans="1:8" ht="15" customHeight="1" x14ac:dyDescent="0.15">
      <c r="A24">
        <v>23</v>
      </c>
      <c r="B24" s="174" t="s">
        <v>214</v>
      </c>
      <c r="C24" s="104">
        <v>1</v>
      </c>
      <c r="D24" s="104">
        <v>0</v>
      </c>
      <c r="E24" s="103">
        <v>0</v>
      </c>
      <c r="F24" s="103">
        <v>1</v>
      </c>
      <c r="G24"/>
      <c r="H24"/>
    </row>
    <row r="25" spans="1:8" ht="15" customHeight="1" x14ac:dyDescent="0.15">
      <c r="A25">
        <v>24</v>
      </c>
      <c r="B25" s="174" t="s">
        <v>215</v>
      </c>
      <c r="C25" s="104">
        <v>1</v>
      </c>
      <c r="D25" s="104">
        <v>0</v>
      </c>
      <c r="E25" s="103">
        <v>0</v>
      </c>
      <c r="F25" s="103">
        <v>1</v>
      </c>
      <c r="G25"/>
      <c r="H25"/>
    </row>
    <row r="26" spans="1:8" ht="15" customHeight="1" x14ac:dyDescent="0.15">
      <c r="A26">
        <v>25</v>
      </c>
      <c r="B26" s="174" t="s">
        <v>216</v>
      </c>
      <c r="C26" s="104">
        <v>1</v>
      </c>
      <c r="D26" s="104">
        <v>0</v>
      </c>
      <c r="E26" s="103">
        <v>0</v>
      </c>
      <c r="F26" s="103">
        <v>1</v>
      </c>
      <c r="G26"/>
      <c r="H26"/>
    </row>
    <row r="27" spans="1:8" ht="15" customHeight="1" x14ac:dyDescent="0.15">
      <c r="A27">
        <v>26</v>
      </c>
      <c r="B27" s="174" t="s">
        <v>217</v>
      </c>
      <c r="C27" s="104">
        <v>1</v>
      </c>
      <c r="D27" s="104">
        <v>0</v>
      </c>
      <c r="E27" s="103">
        <v>0</v>
      </c>
      <c r="F27" s="103">
        <v>1</v>
      </c>
      <c r="G27"/>
      <c r="H27"/>
    </row>
    <row r="28" spans="1:8" ht="15" customHeight="1" x14ac:dyDescent="0.15">
      <c r="A28">
        <v>27</v>
      </c>
      <c r="B28" s="174" t="s">
        <v>218</v>
      </c>
      <c r="C28" s="104">
        <v>1</v>
      </c>
      <c r="D28" s="104">
        <v>0</v>
      </c>
      <c r="E28" s="103">
        <v>0</v>
      </c>
      <c r="F28" s="103">
        <v>1</v>
      </c>
      <c r="G28"/>
      <c r="H28"/>
    </row>
    <row r="29" spans="1:8" ht="15" customHeight="1" x14ac:dyDescent="0.15">
      <c r="A29">
        <v>28</v>
      </c>
      <c r="B29" s="174" t="s">
        <v>219</v>
      </c>
      <c r="C29" s="104">
        <v>0.98499999999999999</v>
      </c>
      <c r="D29" s="104">
        <v>0</v>
      </c>
      <c r="E29" s="103">
        <v>1.5000000000000013E-2</v>
      </c>
      <c r="F29" s="103">
        <v>1</v>
      </c>
      <c r="G29"/>
      <c r="H29"/>
    </row>
    <row r="30" spans="1:8" ht="15" customHeight="1" x14ac:dyDescent="0.15">
      <c r="A30">
        <v>29</v>
      </c>
      <c r="B30" s="174" t="s">
        <v>220</v>
      </c>
      <c r="C30" s="104">
        <v>0</v>
      </c>
      <c r="D30" s="104">
        <v>1</v>
      </c>
      <c r="E30" s="103">
        <v>0</v>
      </c>
      <c r="F30" s="103">
        <v>1</v>
      </c>
      <c r="G30"/>
      <c r="H30"/>
    </row>
    <row r="31" spans="1:8" ht="15" customHeight="1" x14ac:dyDescent="0.15">
      <c r="A31">
        <v>30</v>
      </c>
      <c r="B31" s="174" t="s">
        <v>221</v>
      </c>
      <c r="C31" s="104">
        <v>0</v>
      </c>
      <c r="D31" s="104">
        <v>0</v>
      </c>
      <c r="E31" s="103">
        <v>1</v>
      </c>
      <c r="F31" s="103">
        <v>1</v>
      </c>
      <c r="G31"/>
      <c r="H31"/>
    </row>
    <row r="32" spans="1:8" ht="15" customHeight="1" x14ac:dyDescent="0.15">
      <c r="A32">
        <v>31</v>
      </c>
      <c r="B32" s="174" t="s">
        <v>222</v>
      </c>
      <c r="C32" s="104">
        <v>0</v>
      </c>
      <c r="D32" s="104">
        <v>1</v>
      </c>
      <c r="E32" s="103">
        <v>0</v>
      </c>
      <c r="F32" s="103">
        <v>1</v>
      </c>
    </row>
    <row r="33" spans="1:8" ht="15" customHeight="1" x14ac:dyDescent="0.15">
      <c r="A33">
        <v>32</v>
      </c>
      <c r="B33" s="174" t="s">
        <v>223</v>
      </c>
      <c r="C33" s="104">
        <v>0</v>
      </c>
      <c r="D33" s="104">
        <v>1</v>
      </c>
      <c r="E33" s="103">
        <v>0</v>
      </c>
      <c r="F33" s="103">
        <v>1</v>
      </c>
    </row>
    <row r="34" spans="1:8" ht="15" customHeight="1" x14ac:dyDescent="0.15">
      <c r="A34">
        <v>33</v>
      </c>
      <c r="B34" s="174" t="s">
        <v>224</v>
      </c>
      <c r="C34" s="104">
        <v>0</v>
      </c>
      <c r="D34" s="104">
        <v>1</v>
      </c>
      <c r="E34" s="103">
        <v>0</v>
      </c>
      <c r="F34" s="103">
        <v>1</v>
      </c>
    </row>
    <row r="35" spans="1:8" ht="15" customHeight="1" x14ac:dyDescent="0.15">
      <c r="A35">
        <v>34</v>
      </c>
      <c r="B35" s="174" t="s">
        <v>225</v>
      </c>
      <c r="C35" s="104">
        <v>0</v>
      </c>
      <c r="D35" s="104">
        <v>1</v>
      </c>
      <c r="E35" s="103">
        <v>0</v>
      </c>
      <c r="F35" s="103">
        <v>1</v>
      </c>
    </row>
    <row r="36" spans="1:8" ht="15" customHeight="1" x14ac:dyDescent="0.15">
      <c r="A36">
        <v>35</v>
      </c>
      <c r="B36" s="174" t="s">
        <v>226</v>
      </c>
      <c r="C36" s="104">
        <v>0</v>
      </c>
      <c r="D36" s="104">
        <v>1</v>
      </c>
      <c r="E36" s="104">
        <v>0</v>
      </c>
      <c r="F36" s="104">
        <v>1</v>
      </c>
      <c r="G36"/>
      <c r="H36"/>
    </row>
    <row r="37" spans="1:8" ht="15" customHeight="1" x14ac:dyDescent="0.15">
      <c r="A37">
        <v>36</v>
      </c>
      <c r="B37" s="174" t="s">
        <v>227</v>
      </c>
      <c r="C37" s="104">
        <v>0</v>
      </c>
      <c r="D37" s="104">
        <v>1</v>
      </c>
      <c r="E37" s="104">
        <v>0</v>
      </c>
      <c r="F37" s="104">
        <v>1</v>
      </c>
      <c r="G37"/>
      <c r="H37"/>
    </row>
    <row r="38" spans="1:8" ht="15" customHeight="1" x14ac:dyDescent="0.15">
      <c r="A38">
        <v>37</v>
      </c>
      <c r="B38" s="174" t="s">
        <v>228</v>
      </c>
      <c r="C38" s="104">
        <v>0</v>
      </c>
      <c r="D38" s="104">
        <v>1</v>
      </c>
      <c r="E38" s="104">
        <v>0</v>
      </c>
      <c r="F38" s="104">
        <v>1</v>
      </c>
      <c r="G38"/>
      <c r="H38"/>
    </row>
    <row r="39" spans="1:8" ht="15" customHeight="1" x14ac:dyDescent="0.15">
      <c r="A39">
        <v>38</v>
      </c>
      <c r="B39" s="174" t="s">
        <v>229</v>
      </c>
      <c r="C39" s="104">
        <v>0</v>
      </c>
      <c r="D39" s="104">
        <v>1</v>
      </c>
      <c r="E39" s="104">
        <v>0</v>
      </c>
      <c r="F39" s="104">
        <v>1</v>
      </c>
      <c r="G39"/>
      <c r="H39"/>
    </row>
    <row r="40" spans="1:8" ht="15" customHeight="1" x14ac:dyDescent="0.15">
      <c r="A40">
        <v>39</v>
      </c>
      <c r="B40" s="174" t="s">
        <v>230</v>
      </c>
      <c r="C40" s="104">
        <v>0</v>
      </c>
      <c r="D40" s="104">
        <v>1</v>
      </c>
      <c r="E40" s="104">
        <v>0</v>
      </c>
      <c r="F40" s="104">
        <v>1</v>
      </c>
      <c r="G40"/>
      <c r="H40"/>
    </row>
    <row r="41" spans="1:8" ht="15" customHeight="1" x14ac:dyDescent="0.15">
      <c r="A41">
        <v>40</v>
      </c>
      <c r="B41" s="174" t="s">
        <v>231</v>
      </c>
      <c r="C41" s="104">
        <v>0</v>
      </c>
      <c r="D41" s="104">
        <v>1</v>
      </c>
      <c r="E41" s="104">
        <v>0</v>
      </c>
      <c r="F41" s="104">
        <v>1</v>
      </c>
      <c r="G41"/>
      <c r="H41"/>
    </row>
    <row r="42" spans="1:8" ht="15" customHeight="1" x14ac:dyDescent="0.15">
      <c r="A42">
        <v>41</v>
      </c>
      <c r="B42" s="174" t="s">
        <v>232</v>
      </c>
      <c r="C42" s="104">
        <v>0</v>
      </c>
      <c r="D42" s="104">
        <v>1</v>
      </c>
      <c r="E42" s="104">
        <v>0</v>
      </c>
      <c r="F42" s="104">
        <v>1</v>
      </c>
      <c r="G42"/>
      <c r="H42"/>
    </row>
    <row r="43" spans="1:8" ht="15" customHeight="1" x14ac:dyDescent="0.15">
      <c r="C43"/>
      <c r="D43"/>
      <c r="E43" s="104"/>
      <c r="F43" s="104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4"/>
      <c r="F46" s="10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N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bestFit="1" customWidth="1"/>
    <col min="3" max="3" width="8.83203125" bestFit="1" customWidth="1"/>
    <col min="4" max="4" width="11.83203125" bestFit="1" customWidth="1"/>
    <col min="5" max="5" width="8.83203125" bestFit="1" customWidth="1"/>
    <col min="6" max="13" width="8.83203125" customWidth="1"/>
    <col min="14" max="14" width="11.83203125" customWidth="1"/>
  </cols>
  <sheetData>
    <row r="1" spans="1:14" s="105" customFormat="1" ht="112" x14ac:dyDescent="0.15">
      <c r="A1" s="5" t="s">
        <v>21</v>
      </c>
      <c r="B1" s="3" t="s">
        <v>0</v>
      </c>
      <c r="C1" s="177" t="s">
        <v>222</v>
      </c>
      <c r="D1" s="177" t="s">
        <v>223</v>
      </c>
      <c r="E1" s="177" t="s">
        <v>224</v>
      </c>
      <c r="F1" s="177" t="s">
        <v>225</v>
      </c>
      <c r="G1" s="177" t="s">
        <v>226</v>
      </c>
      <c r="H1" s="177" t="s">
        <v>227</v>
      </c>
      <c r="I1" s="177" t="s">
        <v>228</v>
      </c>
      <c r="J1" s="177" t="s">
        <v>229</v>
      </c>
      <c r="K1" s="177" t="s">
        <v>230</v>
      </c>
      <c r="L1" s="177" t="s">
        <v>231</v>
      </c>
      <c r="M1" s="177" t="s">
        <v>232</v>
      </c>
      <c r="N1" s="177" t="s">
        <v>236</v>
      </c>
    </row>
    <row r="2" spans="1:14" ht="15" customHeight="1" x14ac:dyDescent="0.15">
      <c r="A2">
        <v>1</v>
      </c>
      <c r="B2" s="17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ht="15" customHeight="1" x14ac:dyDescent="0.15">
      <c r="A3">
        <v>2</v>
      </c>
      <c r="B3" s="17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ht="15" customHeight="1" x14ac:dyDescent="0.15">
      <c r="A4">
        <v>3</v>
      </c>
      <c r="B4" s="17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ht="15" customHeight="1" x14ac:dyDescent="0.15">
      <c r="A5">
        <v>4</v>
      </c>
      <c r="B5" s="176" t="s">
        <v>195</v>
      </c>
      <c r="C5">
        <v>1.9999999999999999E-6</v>
      </c>
      <c r="D5">
        <v>1.31037E-4</v>
      </c>
      <c r="E5">
        <v>2.8249999999999998E-3</v>
      </c>
      <c r="F5">
        <v>0</v>
      </c>
      <c r="G5">
        <v>9.9999999999999995E-7</v>
      </c>
      <c r="H5">
        <v>0</v>
      </c>
      <c r="I5">
        <v>8.1400000000000005E-4</v>
      </c>
      <c r="J5">
        <v>2.4849999999999998E-3</v>
      </c>
      <c r="K5">
        <v>0</v>
      </c>
      <c r="L5">
        <v>0</v>
      </c>
      <c r="M5">
        <v>0</v>
      </c>
      <c r="N5">
        <v>6.2580369999999993E-3</v>
      </c>
    </row>
    <row r="6" spans="1:14" ht="15" customHeight="1" x14ac:dyDescent="0.15">
      <c r="A6">
        <v>5</v>
      </c>
      <c r="B6" s="176" t="s">
        <v>196</v>
      </c>
      <c r="C6">
        <v>2.1779999999999998E-3</v>
      </c>
      <c r="D6">
        <v>1.5999999999999999E-5</v>
      </c>
      <c r="E6">
        <v>1.06E-4</v>
      </c>
      <c r="F6">
        <v>3.9999999999999998E-6</v>
      </c>
      <c r="G6">
        <v>0</v>
      </c>
      <c r="H6">
        <v>2.3E-5</v>
      </c>
      <c r="I6">
        <v>0</v>
      </c>
      <c r="J6">
        <v>0</v>
      </c>
      <c r="K6">
        <v>1.5899999999999999E-4</v>
      </c>
      <c r="L6">
        <v>0</v>
      </c>
      <c r="M6">
        <v>0</v>
      </c>
      <c r="N6">
        <v>2.4859999999999999E-3</v>
      </c>
    </row>
    <row r="7" spans="1:14" ht="15" customHeight="1" x14ac:dyDescent="0.15">
      <c r="A7">
        <v>6</v>
      </c>
      <c r="B7" s="176" t="s">
        <v>197</v>
      </c>
      <c r="C7">
        <v>6.9999999999999994E-5</v>
      </c>
      <c r="D7">
        <v>1.5070999999999999E-2</v>
      </c>
      <c r="E7">
        <v>6.6100000000000002E-4</v>
      </c>
      <c r="F7">
        <v>0</v>
      </c>
      <c r="G7">
        <v>1.12E-4</v>
      </c>
      <c r="H7">
        <v>0</v>
      </c>
      <c r="I7">
        <v>0</v>
      </c>
      <c r="J7">
        <v>8.7999999999999998E-5</v>
      </c>
      <c r="K7">
        <v>7.0200000000000004E-4</v>
      </c>
      <c r="L7">
        <v>3.1000000000000001E-5</v>
      </c>
      <c r="M7">
        <v>0</v>
      </c>
      <c r="N7">
        <v>1.6735000000000003E-2</v>
      </c>
    </row>
    <row r="8" spans="1:14" ht="15" customHeight="1" x14ac:dyDescent="0.15">
      <c r="A8">
        <v>7</v>
      </c>
      <c r="B8" s="176" t="s">
        <v>198</v>
      </c>
      <c r="C8">
        <v>0.17795800000000001</v>
      </c>
      <c r="D8">
        <v>1.8360000000000001E-2</v>
      </c>
      <c r="E8">
        <v>1.0260999999999999E-2</v>
      </c>
      <c r="F8">
        <v>1.54E-4</v>
      </c>
      <c r="G8">
        <v>3.9999999999999998E-6</v>
      </c>
      <c r="H8">
        <v>6.5499999999999998E-4</v>
      </c>
      <c r="I8">
        <v>9.9999999999999995E-7</v>
      </c>
      <c r="J8">
        <v>6.9999999999999999E-6</v>
      </c>
      <c r="K8">
        <v>3.5706000000000002E-2</v>
      </c>
      <c r="L8">
        <v>8.3999999999999995E-5</v>
      </c>
      <c r="M8">
        <v>3.0000000000000001E-6</v>
      </c>
      <c r="N8">
        <v>0.24319299999999999</v>
      </c>
    </row>
    <row r="9" spans="1:14" ht="15" customHeight="1" x14ac:dyDescent="0.15">
      <c r="A9">
        <v>8</v>
      </c>
      <c r="B9" s="17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ht="15" customHeight="1" x14ac:dyDescent="0.15">
      <c r="A10">
        <v>9</v>
      </c>
      <c r="B10" s="176" t="s">
        <v>200</v>
      </c>
      <c r="C10">
        <v>9.1500999999999999E-2</v>
      </c>
      <c r="D10">
        <v>7.3999999999999996E-5</v>
      </c>
      <c r="E10">
        <v>7.76E-4</v>
      </c>
      <c r="F10">
        <v>5.3999999999999998E-5</v>
      </c>
      <c r="G10">
        <v>0</v>
      </c>
      <c r="H10">
        <v>1.5899999999999999E-4</v>
      </c>
      <c r="I10">
        <v>0</v>
      </c>
      <c r="J10">
        <v>0</v>
      </c>
      <c r="K10">
        <v>5.8690000000000001E-3</v>
      </c>
      <c r="L10">
        <v>3.9999999999999998E-6</v>
      </c>
      <c r="M10">
        <v>5.0000000000000004E-6</v>
      </c>
      <c r="N10">
        <v>9.8442000000000016E-2</v>
      </c>
    </row>
    <row r="11" spans="1:14" ht="15" customHeight="1" x14ac:dyDescent="0.15">
      <c r="A11">
        <v>10</v>
      </c>
      <c r="B11" s="176" t="s">
        <v>201</v>
      </c>
      <c r="C11">
        <v>6.2468999999999997E-2</v>
      </c>
      <c r="D11">
        <v>1.2E-5</v>
      </c>
      <c r="E11">
        <v>6.0000000000000002E-6</v>
      </c>
      <c r="F11">
        <v>0</v>
      </c>
      <c r="G11">
        <v>0</v>
      </c>
      <c r="H11">
        <v>1.4E-5</v>
      </c>
      <c r="I11">
        <v>0</v>
      </c>
      <c r="J11">
        <v>0</v>
      </c>
      <c r="K11">
        <v>2.5799999999999998E-4</v>
      </c>
      <c r="L11">
        <v>2.1999999999999999E-5</v>
      </c>
      <c r="M11">
        <v>0</v>
      </c>
      <c r="N11">
        <v>6.2780999999999976E-2</v>
      </c>
    </row>
    <row r="12" spans="1:14" ht="15" customHeight="1" x14ac:dyDescent="0.15">
      <c r="A12">
        <v>11</v>
      </c>
      <c r="B12" s="176" t="s">
        <v>202</v>
      </c>
      <c r="C12">
        <v>7.4676999999999993E-2</v>
      </c>
      <c r="D12">
        <v>1.1119999999999999E-3</v>
      </c>
      <c r="E12">
        <v>3.0899999999999999E-3</v>
      </c>
      <c r="F12">
        <v>6.6100000000000002E-4</v>
      </c>
      <c r="G12">
        <v>3.2499999999999999E-4</v>
      </c>
      <c r="H12">
        <v>3.1500000000000001E-4</v>
      </c>
      <c r="I12">
        <v>5.0000000000000004E-6</v>
      </c>
      <c r="J12">
        <v>1.7E-5</v>
      </c>
      <c r="K12">
        <v>2.7108E-2</v>
      </c>
      <c r="L12">
        <v>1.1E-5</v>
      </c>
      <c r="M12">
        <v>0</v>
      </c>
      <c r="N12">
        <v>0.10732099999999999</v>
      </c>
    </row>
    <row r="13" spans="1:14" ht="15" customHeight="1" x14ac:dyDescent="0.15">
      <c r="A13">
        <v>12</v>
      </c>
      <c r="B13" s="176" t="s">
        <v>203</v>
      </c>
      <c r="C13">
        <v>1.4189999999999999E-3</v>
      </c>
      <c r="D13">
        <v>6.5300000000000004E-4</v>
      </c>
      <c r="E13">
        <v>5.1999999999999997E-5</v>
      </c>
      <c r="F13">
        <v>1.4E-5</v>
      </c>
      <c r="G13">
        <v>1.5999999999999999E-5</v>
      </c>
      <c r="H13">
        <v>0</v>
      </c>
      <c r="I13">
        <v>0</v>
      </c>
      <c r="J13">
        <v>2.3E-5</v>
      </c>
      <c r="K13">
        <v>9.9999999999999995E-7</v>
      </c>
      <c r="L13">
        <v>3.0000000000000001E-6</v>
      </c>
      <c r="M13">
        <v>0</v>
      </c>
      <c r="N13">
        <v>2.1810000000000002E-3</v>
      </c>
    </row>
    <row r="14" spans="1:14" ht="15" customHeight="1" x14ac:dyDescent="0.15">
      <c r="A14">
        <v>13</v>
      </c>
      <c r="B14" s="176" t="s">
        <v>204</v>
      </c>
      <c r="C14">
        <v>8.0610000000000001E-2</v>
      </c>
      <c r="D14">
        <v>0</v>
      </c>
      <c r="E14">
        <v>1.2999999999999999E-5</v>
      </c>
      <c r="F14">
        <v>1.1709999999999999E-3</v>
      </c>
      <c r="G14">
        <v>9.9999999999999995E-7</v>
      </c>
      <c r="H14">
        <v>9.1799999999999998E-4</v>
      </c>
      <c r="I14">
        <v>0</v>
      </c>
      <c r="J14">
        <v>0</v>
      </c>
      <c r="K14">
        <v>1.2799999999999999E-4</v>
      </c>
      <c r="L14">
        <v>9.9999999999999995E-7</v>
      </c>
      <c r="M14">
        <v>0</v>
      </c>
      <c r="N14">
        <v>8.2842000000000013E-2</v>
      </c>
    </row>
    <row r="15" spans="1:14" ht="15" customHeight="1" x14ac:dyDescent="0.15">
      <c r="A15">
        <v>14</v>
      </c>
      <c r="B15" s="176" t="s">
        <v>205</v>
      </c>
      <c r="C15">
        <v>6.8737000000000006E-2</v>
      </c>
      <c r="D15">
        <v>0</v>
      </c>
      <c r="E15">
        <v>4.3999999999999999E-5</v>
      </c>
      <c r="F15">
        <v>2.5999999999999998E-5</v>
      </c>
      <c r="G15">
        <v>1.9999999999999999E-6</v>
      </c>
      <c r="H15">
        <v>6.4199999999999999E-4</v>
      </c>
      <c r="I15">
        <v>9.9999999999999995E-7</v>
      </c>
      <c r="J15">
        <v>0</v>
      </c>
      <c r="K15">
        <v>3.8900000000000002E-4</v>
      </c>
      <c r="L15">
        <v>9.9999999999999995E-7</v>
      </c>
      <c r="M15">
        <v>9.9999999999999995E-7</v>
      </c>
      <c r="N15">
        <v>6.9843000000000016E-2</v>
      </c>
    </row>
    <row r="16" spans="1:14" ht="15" customHeight="1" x14ac:dyDescent="0.15">
      <c r="A16">
        <v>15</v>
      </c>
      <c r="B16" s="176" t="s">
        <v>206</v>
      </c>
      <c r="C16">
        <v>8.1467999999999999E-2</v>
      </c>
      <c r="D16">
        <v>2.3440000000000002E-3</v>
      </c>
      <c r="E16">
        <v>2.5900000000000001E-4</v>
      </c>
      <c r="F16">
        <v>3.7300000000000001E-4</v>
      </c>
      <c r="G16">
        <v>6.9999999999999999E-6</v>
      </c>
      <c r="H16">
        <v>1.021E-3</v>
      </c>
      <c r="I16">
        <v>0</v>
      </c>
      <c r="J16">
        <v>5.0000000000000004E-6</v>
      </c>
      <c r="K16">
        <v>8.2100000000000001E-4</v>
      </c>
      <c r="L16">
        <v>6.0000000000000002E-6</v>
      </c>
      <c r="M16">
        <v>0</v>
      </c>
      <c r="N16">
        <v>8.6303999999999992E-2</v>
      </c>
    </row>
    <row r="17" spans="1:14" ht="15" customHeight="1" x14ac:dyDescent="0.15">
      <c r="A17">
        <v>16</v>
      </c>
      <c r="B17" s="176" t="s">
        <v>207</v>
      </c>
      <c r="C17">
        <v>7.4676999999999993E-2</v>
      </c>
      <c r="D17">
        <v>2.088E-3</v>
      </c>
      <c r="E17">
        <v>3.0899999999999999E-3</v>
      </c>
      <c r="F17">
        <v>6.6100000000000002E-4</v>
      </c>
      <c r="G17">
        <v>3.2499999999999999E-4</v>
      </c>
      <c r="H17">
        <v>3.1500000000000001E-4</v>
      </c>
      <c r="I17">
        <v>5.0000000000000004E-6</v>
      </c>
      <c r="J17">
        <v>1.7E-5</v>
      </c>
      <c r="K17">
        <v>2.7108E-2</v>
      </c>
      <c r="L17">
        <v>1.1E-5</v>
      </c>
      <c r="M17">
        <v>0</v>
      </c>
      <c r="N17">
        <v>0.10829699999999999</v>
      </c>
    </row>
    <row r="18" spans="1:14" ht="15" customHeight="1" x14ac:dyDescent="0.15">
      <c r="A18">
        <v>17</v>
      </c>
      <c r="B18" s="176" t="s">
        <v>208</v>
      </c>
      <c r="C18">
        <v>1.054E-3</v>
      </c>
      <c r="D18">
        <v>7.5600000000000005E-4</v>
      </c>
      <c r="E18">
        <v>2.6899999999999998E-4</v>
      </c>
      <c r="F18">
        <v>0</v>
      </c>
      <c r="G18">
        <v>8.9700000000000001E-4</v>
      </c>
      <c r="H18">
        <v>6.9999999999999994E-5</v>
      </c>
      <c r="I18">
        <v>0</v>
      </c>
      <c r="J18">
        <v>0</v>
      </c>
      <c r="K18">
        <v>1.9999999999999999E-6</v>
      </c>
      <c r="L18">
        <v>3.6999999999999999E-4</v>
      </c>
      <c r="M18">
        <v>0</v>
      </c>
      <c r="N18">
        <v>3.4180000000000005E-3</v>
      </c>
    </row>
    <row r="19" spans="1:14" ht="15" customHeight="1" x14ac:dyDescent="0.15">
      <c r="A19">
        <v>18</v>
      </c>
      <c r="B19" s="176" t="s">
        <v>209</v>
      </c>
      <c r="C19">
        <v>7.0699999999999995E-4</v>
      </c>
      <c r="D19">
        <v>3.529E-3</v>
      </c>
      <c r="E19">
        <v>8.3999999999999995E-5</v>
      </c>
      <c r="F19">
        <v>0</v>
      </c>
      <c r="G19">
        <v>1.6329999999999999E-3</v>
      </c>
      <c r="H19">
        <v>1.2799999999999999E-4</v>
      </c>
      <c r="I19">
        <v>0</v>
      </c>
      <c r="J19">
        <v>1.255E-3</v>
      </c>
      <c r="K19">
        <v>7.9699999999999997E-4</v>
      </c>
      <c r="L19">
        <v>1.5E-5</v>
      </c>
      <c r="M19">
        <v>0</v>
      </c>
      <c r="N19">
        <v>8.147999999999999E-3</v>
      </c>
    </row>
    <row r="20" spans="1:14" ht="15" customHeight="1" x14ac:dyDescent="0.15">
      <c r="A20">
        <v>19</v>
      </c>
      <c r="B20" s="176" t="s">
        <v>210</v>
      </c>
      <c r="C20">
        <v>3.0509999999999999E-3</v>
      </c>
      <c r="D20">
        <v>9.9999999999999995E-7</v>
      </c>
      <c r="E20">
        <v>0</v>
      </c>
      <c r="F20">
        <v>0</v>
      </c>
      <c r="G20">
        <v>2.6776999999999999E-2</v>
      </c>
      <c r="H20">
        <v>9.4049999999999995E-2</v>
      </c>
      <c r="I20">
        <v>0</v>
      </c>
      <c r="J20">
        <v>0.16267100000000001</v>
      </c>
      <c r="K20">
        <v>1.0000000000000001E-5</v>
      </c>
      <c r="L20">
        <v>2.9207E-2</v>
      </c>
      <c r="M20">
        <v>0</v>
      </c>
      <c r="N20">
        <v>0.31576699999999996</v>
      </c>
    </row>
    <row r="21" spans="1:14" ht="15" customHeight="1" x14ac:dyDescent="0.15">
      <c r="A21">
        <v>20</v>
      </c>
      <c r="B21" s="176" t="s">
        <v>211</v>
      </c>
      <c r="C21">
        <v>1.34E-4</v>
      </c>
      <c r="D21">
        <v>6.9999999999999994E-5</v>
      </c>
      <c r="E21">
        <v>6.8999999999999997E-5</v>
      </c>
      <c r="F21">
        <v>5.5000000000000003E-4</v>
      </c>
      <c r="G21">
        <v>1.1400000000000001E-4</v>
      </c>
      <c r="H21">
        <v>0</v>
      </c>
      <c r="I21">
        <v>0</v>
      </c>
      <c r="J21">
        <v>0.120425</v>
      </c>
      <c r="K21">
        <v>0</v>
      </c>
      <c r="L21">
        <v>0</v>
      </c>
      <c r="M21">
        <v>0</v>
      </c>
      <c r="N21">
        <v>0.121362</v>
      </c>
    </row>
    <row r="22" spans="1:14" ht="15" customHeight="1" x14ac:dyDescent="0.15">
      <c r="A22">
        <v>21</v>
      </c>
      <c r="B22" s="176" t="s">
        <v>212</v>
      </c>
      <c r="C22">
        <v>2.3040000000000001E-3</v>
      </c>
      <c r="D22">
        <v>5.4500000000000002E-4</v>
      </c>
      <c r="E22">
        <v>7.2269999999999999E-3</v>
      </c>
      <c r="F22">
        <v>9.9999999999999995E-7</v>
      </c>
      <c r="G22">
        <v>6.5690000000000002E-3</v>
      </c>
      <c r="H22">
        <v>1.1900000000000001E-4</v>
      </c>
      <c r="I22">
        <v>1.1999999999999999E-3</v>
      </c>
      <c r="J22">
        <v>1.8910000000000001E-3</v>
      </c>
      <c r="K22">
        <v>4.1269999999999996E-3</v>
      </c>
      <c r="L22">
        <v>1.5E-5</v>
      </c>
      <c r="M22">
        <v>0</v>
      </c>
      <c r="N22">
        <v>2.3998000000000002E-2</v>
      </c>
    </row>
    <row r="23" spans="1:14" ht="15" customHeight="1" x14ac:dyDescent="0.15">
      <c r="A23">
        <v>22</v>
      </c>
      <c r="B23" s="176" t="s">
        <v>213</v>
      </c>
      <c r="C23">
        <v>1.5543E-2</v>
      </c>
      <c r="D23">
        <v>0</v>
      </c>
      <c r="E23">
        <v>3.9999999999999998E-6</v>
      </c>
      <c r="F23">
        <v>1.5E-5</v>
      </c>
      <c r="G23">
        <v>3.3960000000000001E-3</v>
      </c>
      <c r="H23">
        <v>2.1000000000000001E-4</v>
      </c>
      <c r="I23">
        <v>0</v>
      </c>
      <c r="J23">
        <v>0</v>
      </c>
      <c r="K23">
        <v>7.9999999999999996E-6</v>
      </c>
      <c r="L23">
        <v>5.0000000000000004E-6</v>
      </c>
      <c r="M23">
        <v>0</v>
      </c>
      <c r="N23">
        <v>1.9181E-2</v>
      </c>
    </row>
    <row r="24" spans="1:14" ht="15" customHeight="1" x14ac:dyDescent="0.15">
      <c r="A24">
        <v>23</v>
      </c>
      <c r="B24" s="176" t="s">
        <v>214</v>
      </c>
      <c r="C24">
        <v>1.1927999999999999E-2</v>
      </c>
      <c r="D24">
        <v>0</v>
      </c>
      <c r="E24">
        <v>0</v>
      </c>
      <c r="F24">
        <v>3.9999999999999998E-6</v>
      </c>
      <c r="G24">
        <v>1.6492E-2</v>
      </c>
      <c r="H24">
        <v>9.9999999999999995E-7</v>
      </c>
      <c r="I24">
        <v>0</v>
      </c>
      <c r="J24">
        <v>0</v>
      </c>
      <c r="K24">
        <v>9.9999999999999995E-7</v>
      </c>
      <c r="L24">
        <v>0</v>
      </c>
      <c r="M24">
        <v>9.9999999999999995E-7</v>
      </c>
      <c r="N24">
        <v>2.8427000000000001E-2</v>
      </c>
    </row>
    <row r="25" spans="1:14" ht="15" customHeight="1" x14ac:dyDescent="0.15">
      <c r="A25">
        <v>24</v>
      </c>
      <c r="B25" s="176" t="s">
        <v>215</v>
      </c>
      <c r="C25">
        <v>1.678E-3</v>
      </c>
      <c r="D25">
        <v>0</v>
      </c>
      <c r="E25">
        <v>9.9999999999999995E-7</v>
      </c>
      <c r="F25">
        <v>2.0999999999999999E-5</v>
      </c>
      <c r="G25">
        <v>9.9832000000000004E-2</v>
      </c>
      <c r="H25">
        <v>0</v>
      </c>
      <c r="I25">
        <v>0</v>
      </c>
      <c r="J25">
        <v>0</v>
      </c>
      <c r="K25">
        <v>0</v>
      </c>
      <c r="L25">
        <v>0</v>
      </c>
      <c r="M25">
        <v>7.0699999999999995E-4</v>
      </c>
      <c r="N25">
        <v>0.102239</v>
      </c>
    </row>
    <row r="26" spans="1:14" ht="15" customHeight="1" x14ac:dyDescent="0.15">
      <c r="A26">
        <v>25</v>
      </c>
      <c r="B26" s="176" t="s">
        <v>216</v>
      </c>
      <c r="C26">
        <v>4.4200000000000001E-4</v>
      </c>
      <c r="D26">
        <v>0</v>
      </c>
      <c r="E26">
        <v>0</v>
      </c>
      <c r="F26">
        <v>3.3224999999999998E-2</v>
      </c>
      <c r="G26">
        <v>7.6099999999999996E-4</v>
      </c>
      <c r="H26">
        <v>0</v>
      </c>
      <c r="I26">
        <v>0</v>
      </c>
      <c r="J26">
        <v>6.0000000000000002E-6</v>
      </c>
      <c r="K26">
        <v>5.8999999999999998E-5</v>
      </c>
      <c r="L26">
        <v>0</v>
      </c>
      <c r="M26">
        <v>3.6152999999999998E-2</v>
      </c>
      <c r="N26">
        <v>7.0645999999999987E-2</v>
      </c>
    </row>
    <row r="27" spans="1:14" ht="15" customHeight="1" x14ac:dyDescent="0.15">
      <c r="A27">
        <v>26</v>
      </c>
      <c r="B27" s="17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ht="15" customHeight="1" x14ac:dyDescent="0.15">
      <c r="A28">
        <v>27</v>
      </c>
      <c r="B28" s="17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ht="15" customHeight="1" x14ac:dyDescent="0.15">
      <c r="A29">
        <v>28</v>
      </c>
      <c r="B29" s="17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ht="15" customHeight="1" x14ac:dyDescent="0.15">
      <c r="A30">
        <v>29</v>
      </c>
      <c r="B30" s="17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ht="15" customHeight="1" x14ac:dyDescent="0.15">
      <c r="A31">
        <v>30</v>
      </c>
      <c r="B31" s="17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N3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bestFit="1" customWidth="1"/>
    <col min="3" max="3" width="8.83203125" bestFit="1" customWidth="1"/>
    <col min="4" max="5" width="2.33203125" bestFit="1" customWidth="1"/>
    <col min="6" max="10" width="2.33203125" customWidth="1"/>
    <col min="11" max="11" width="8.83203125" customWidth="1"/>
    <col min="12" max="13" width="2.33203125" customWidth="1"/>
    <col min="14" max="14" width="8.83203125" customWidth="1"/>
  </cols>
  <sheetData>
    <row r="1" spans="1:14" s="105" customFormat="1" ht="112" x14ac:dyDescent="0.15">
      <c r="A1" s="5" t="s">
        <v>22</v>
      </c>
      <c r="B1" s="3" t="s">
        <v>0</v>
      </c>
      <c r="C1" s="179" t="s">
        <v>222</v>
      </c>
      <c r="D1" s="179" t="s">
        <v>223</v>
      </c>
      <c r="E1" s="179" t="s">
        <v>224</v>
      </c>
      <c r="F1" s="179" t="s">
        <v>225</v>
      </c>
      <c r="G1" s="179" t="s">
        <v>226</v>
      </c>
      <c r="H1" s="179" t="s">
        <v>227</v>
      </c>
      <c r="I1" s="179" t="s">
        <v>228</v>
      </c>
      <c r="J1" s="179" t="s">
        <v>229</v>
      </c>
      <c r="K1" s="179" t="s">
        <v>230</v>
      </c>
      <c r="L1" s="179" t="s">
        <v>231</v>
      </c>
      <c r="M1" s="179" t="s">
        <v>232</v>
      </c>
      <c r="N1" s="179" t="s">
        <v>236</v>
      </c>
    </row>
    <row r="2" spans="1:14" x14ac:dyDescent="0.15">
      <c r="A2">
        <v>1</v>
      </c>
      <c r="B2" s="17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7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3</v>
      </c>
      <c r="B4" s="17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7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15">
      <c r="A6">
        <v>5</v>
      </c>
      <c r="B6" s="17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7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7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7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7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10</v>
      </c>
      <c r="B11" s="17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11</v>
      </c>
      <c r="B12" s="17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12</v>
      </c>
      <c r="B13" s="17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15">
      <c r="A14">
        <v>13</v>
      </c>
      <c r="B14" s="17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78" t="s">
        <v>205</v>
      </c>
      <c r="C15">
        <v>2.0621E-2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2.0621E-2</v>
      </c>
    </row>
    <row r="16" spans="1:14" x14ac:dyDescent="0.15">
      <c r="A16">
        <v>15</v>
      </c>
      <c r="B16" s="17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16</v>
      </c>
      <c r="B17" s="178" t="s">
        <v>207</v>
      </c>
      <c r="C17">
        <v>3.0967000000000001E-2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3.0967000000000001E-2</v>
      </c>
    </row>
    <row r="18" spans="1:14" x14ac:dyDescent="0.15">
      <c r="A18">
        <v>17</v>
      </c>
      <c r="B18" s="17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7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7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7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15">
      <c r="A22">
        <v>21</v>
      </c>
      <c r="B22" s="178" t="s">
        <v>212</v>
      </c>
      <c r="C22">
        <v>5.8381000000000002E-2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2.8138E-2</v>
      </c>
      <c r="L22">
        <v>0</v>
      </c>
      <c r="M22">
        <v>0</v>
      </c>
      <c r="N22">
        <v>8.6518999999999999E-2</v>
      </c>
    </row>
    <row r="23" spans="1:14" x14ac:dyDescent="0.15">
      <c r="A23">
        <v>22</v>
      </c>
      <c r="B23" s="17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23</v>
      </c>
      <c r="B24" s="17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7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25</v>
      </c>
      <c r="B26" s="17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7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15">
      <c r="A28">
        <v>27</v>
      </c>
      <c r="B28" s="17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7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29</v>
      </c>
      <c r="B30" s="17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7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66406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80" t="s">
        <v>192</v>
      </c>
      <c r="F2">
        <v>0.98</v>
      </c>
      <c r="G2">
        <v>0.8</v>
      </c>
      <c r="H2">
        <v>0.8</v>
      </c>
      <c r="I2">
        <v>0.8</v>
      </c>
      <c r="J2" s="104">
        <v>0.25</v>
      </c>
      <c r="K2" s="104">
        <v>0.05</v>
      </c>
    </row>
    <row r="3" spans="1:42" x14ac:dyDescent="0.15">
      <c r="A3" s="113" t="s">
        <v>75</v>
      </c>
      <c r="B3" s="115">
        <v>1</v>
      </c>
      <c r="D3">
        <v>2</v>
      </c>
      <c r="E3" s="180" t="s">
        <v>193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80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80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80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80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80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6" t="s">
        <v>150</v>
      </c>
      <c r="D9">
        <v>8</v>
      </c>
      <c r="E9" s="180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6" t="s">
        <v>150</v>
      </c>
      <c r="D10">
        <v>9</v>
      </c>
      <c r="E10" s="180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80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80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80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80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80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80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80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80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80" t="s">
        <v>209</v>
      </c>
      <c r="F19">
        <v>0.98</v>
      </c>
      <c r="G19">
        <v>0.8</v>
      </c>
      <c r="H19">
        <v>0.8</v>
      </c>
      <c r="I19">
        <v>0.8</v>
      </c>
      <c r="J19" s="104">
        <v>0.25</v>
      </c>
      <c r="K19" s="104">
        <v>0.05</v>
      </c>
    </row>
    <row r="20" spans="4:33" ht="15" customHeight="1" x14ac:dyDescent="0.15">
      <c r="D20">
        <v>19</v>
      </c>
      <c r="E20" s="180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80" t="s">
        <v>211</v>
      </c>
      <c r="F21">
        <v>0.98</v>
      </c>
      <c r="G21">
        <v>0.8</v>
      </c>
      <c r="H21">
        <v>0.8</v>
      </c>
      <c r="I21">
        <v>0.8</v>
      </c>
      <c r="J21" s="104">
        <v>0.25</v>
      </c>
      <c r="K21" s="104">
        <v>0.05</v>
      </c>
    </row>
    <row r="22" spans="4:33" ht="15" customHeight="1" x14ac:dyDescent="0.15">
      <c r="D22">
        <v>21</v>
      </c>
      <c r="E22" s="180" t="s">
        <v>212</v>
      </c>
      <c r="F22">
        <v>0.98</v>
      </c>
      <c r="G22">
        <v>0.8</v>
      </c>
      <c r="H22">
        <v>0.8</v>
      </c>
      <c r="I22">
        <v>0.8</v>
      </c>
      <c r="J22" s="104">
        <v>0.25</v>
      </c>
      <c r="K22" s="104">
        <v>0.05</v>
      </c>
    </row>
    <row r="23" spans="4:33" ht="15" customHeight="1" x14ac:dyDescent="0.15">
      <c r="D23">
        <v>22</v>
      </c>
      <c r="E23" s="180" t="s">
        <v>213</v>
      </c>
      <c r="F23">
        <v>0.98</v>
      </c>
      <c r="G23">
        <v>0.8</v>
      </c>
      <c r="H23">
        <v>0.8</v>
      </c>
      <c r="I23">
        <v>0.8</v>
      </c>
      <c r="J23" s="104">
        <v>0.25</v>
      </c>
      <c r="K23" s="104">
        <v>0.05</v>
      </c>
    </row>
    <row r="24" spans="4:33" ht="15" customHeight="1" x14ac:dyDescent="0.15">
      <c r="D24">
        <v>23</v>
      </c>
      <c r="E24" s="180" t="s">
        <v>214</v>
      </c>
      <c r="F24">
        <v>0.98</v>
      </c>
      <c r="G24">
        <v>0.8</v>
      </c>
      <c r="H24">
        <v>0.8</v>
      </c>
      <c r="I24">
        <v>0.8</v>
      </c>
      <c r="J24" s="104">
        <v>0.25</v>
      </c>
      <c r="K24" s="104">
        <v>0.05</v>
      </c>
    </row>
    <row r="25" spans="4:33" ht="15" customHeight="1" x14ac:dyDescent="0.15">
      <c r="D25">
        <v>24</v>
      </c>
      <c r="E25" s="180" t="s">
        <v>215</v>
      </c>
      <c r="F25">
        <v>0.98</v>
      </c>
      <c r="G25">
        <v>0.8</v>
      </c>
      <c r="H25">
        <v>0.8</v>
      </c>
      <c r="I25">
        <v>0.8</v>
      </c>
      <c r="J25" s="104">
        <v>0.25</v>
      </c>
      <c r="K25" s="104">
        <v>0.05</v>
      </c>
    </row>
    <row r="26" spans="4:33" ht="15" customHeight="1" x14ac:dyDescent="0.15">
      <c r="D26">
        <v>25</v>
      </c>
      <c r="E26" s="180" t="s">
        <v>216</v>
      </c>
      <c r="F26">
        <v>0.98</v>
      </c>
      <c r="G26">
        <v>0.8</v>
      </c>
      <c r="H26">
        <v>0.8</v>
      </c>
      <c r="I26">
        <v>0.8</v>
      </c>
      <c r="J26" s="104">
        <v>0.25</v>
      </c>
      <c r="K26" s="104">
        <v>0.05</v>
      </c>
    </row>
    <row r="27" spans="4:33" ht="15" customHeight="1" x14ac:dyDescent="0.15">
      <c r="D27">
        <v>26</v>
      </c>
      <c r="E27" s="180" t="s">
        <v>217</v>
      </c>
      <c r="F27">
        <v>0.98</v>
      </c>
      <c r="G27">
        <v>0.8</v>
      </c>
      <c r="H27">
        <v>0.8</v>
      </c>
      <c r="I27">
        <v>0.8</v>
      </c>
      <c r="J27" s="104">
        <v>0.25</v>
      </c>
      <c r="K27" s="104">
        <v>0.05</v>
      </c>
    </row>
    <row r="28" spans="4:33" ht="15" customHeight="1" x14ac:dyDescent="0.15">
      <c r="D28">
        <v>27</v>
      </c>
      <c r="E28" s="180" t="s">
        <v>218</v>
      </c>
      <c r="F28">
        <v>0.98</v>
      </c>
      <c r="G28">
        <v>0.8</v>
      </c>
      <c r="H28">
        <v>0.8</v>
      </c>
      <c r="I28">
        <v>0.8</v>
      </c>
      <c r="J28" s="104">
        <v>0.25</v>
      </c>
      <c r="K28" s="104">
        <v>0.05</v>
      </c>
    </row>
    <row r="29" spans="4:33" ht="15" customHeight="1" x14ac:dyDescent="0.15">
      <c r="D29">
        <v>28</v>
      </c>
      <c r="E29" s="180" t="s">
        <v>219</v>
      </c>
      <c r="F29">
        <v>0.98</v>
      </c>
      <c r="G29">
        <v>0.8</v>
      </c>
      <c r="H29">
        <v>0.8</v>
      </c>
      <c r="I29">
        <v>0</v>
      </c>
      <c r="J29" s="104">
        <v>0</v>
      </c>
      <c r="K29" s="104">
        <v>0</v>
      </c>
      <c r="Y29"/>
      <c r="AC29"/>
      <c r="AG29"/>
    </row>
    <row r="30" spans="4:33" ht="15" customHeight="1" x14ac:dyDescent="0.15">
      <c r="D30">
        <v>29</v>
      </c>
      <c r="E30" s="180" t="s">
        <v>220</v>
      </c>
      <c r="F30">
        <v>0.98</v>
      </c>
      <c r="G30">
        <v>0.8</v>
      </c>
      <c r="H30">
        <v>0</v>
      </c>
      <c r="I30">
        <v>0</v>
      </c>
      <c r="J30" s="104">
        <v>0</v>
      </c>
      <c r="K30" s="104">
        <v>0</v>
      </c>
      <c r="Y30"/>
      <c r="AC30"/>
      <c r="AG30"/>
    </row>
    <row r="31" spans="4:33" ht="15" customHeight="1" x14ac:dyDescent="0.15">
      <c r="D31">
        <v>30</v>
      </c>
      <c r="E31" s="180" t="s">
        <v>221</v>
      </c>
      <c r="F31">
        <v>0.98</v>
      </c>
      <c r="G31">
        <v>0.8</v>
      </c>
      <c r="H31">
        <v>0</v>
      </c>
      <c r="I31">
        <v>0</v>
      </c>
      <c r="J31" s="104">
        <v>0</v>
      </c>
      <c r="K31" s="104">
        <v>0</v>
      </c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8" width="3.83203125" style="102" customWidth="1"/>
    <col min="29" max="31" width="2.33203125" style="102" customWidth="1"/>
    <col min="32" max="16384" width="10.83203125" style="102"/>
  </cols>
  <sheetData>
    <row r="1" spans="1:31" x14ac:dyDescent="0.15">
      <c r="A1" s="58" t="s">
        <v>118</v>
      </c>
      <c r="B1" s="182" t="s">
        <v>192</v>
      </c>
      <c r="C1" s="182" t="s">
        <v>193</v>
      </c>
      <c r="D1" s="182" t="s">
        <v>194</v>
      </c>
      <c r="E1" s="182" t="s">
        <v>195</v>
      </c>
      <c r="F1" s="182" t="s">
        <v>196</v>
      </c>
      <c r="G1" s="182" t="s">
        <v>197</v>
      </c>
      <c r="H1" s="182" t="s">
        <v>198</v>
      </c>
      <c r="I1" s="182" t="s">
        <v>199</v>
      </c>
      <c r="J1" s="182" t="s">
        <v>200</v>
      </c>
      <c r="K1" s="182" t="s">
        <v>201</v>
      </c>
      <c r="L1" s="182" t="s">
        <v>202</v>
      </c>
      <c r="M1" s="182" t="s">
        <v>203</v>
      </c>
      <c r="N1" s="182" t="s">
        <v>204</v>
      </c>
      <c r="O1" s="182" t="s">
        <v>205</v>
      </c>
      <c r="P1" s="182" t="s">
        <v>206</v>
      </c>
      <c r="Q1" s="182" t="s">
        <v>207</v>
      </c>
      <c r="R1" s="182" t="s">
        <v>208</v>
      </c>
      <c r="S1" s="182" t="s">
        <v>209</v>
      </c>
      <c r="T1" s="182" t="s">
        <v>210</v>
      </c>
      <c r="U1" s="182" t="s">
        <v>211</v>
      </c>
      <c r="V1" s="182" t="s">
        <v>212</v>
      </c>
      <c r="W1" s="182" t="s">
        <v>213</v>
      </c>
      <c r="X1" s="182" t="s">
        <v>214</v>
      </c>
      <c r="Y1" s="182" t="s">
        <v>215</v>
      </c>
      <c r="Z1" s="182" t="s">
        <v>216</v>
      </c>
      <c r="AA1" s="182" t="s">
        <v>217</v>
      </c>
      <c r="AB1" s="182" t="s">
        <v>218</v>
      </c>
      <c r="AC1" s="182" t="s">
        <v>219</v>
      </c>
      <c r="AD1" s="182" t="s">
        <v>220</v>
      </c>
      <c r="AE1" s="182" t="s">
        <v>221</v>
      </c>
    </row>
    <row r="2" spans="1:31" customFormat="1" x14ac:dyDescent="0.15">
      <c r="A2" s="181" t="s">
        <v>192</v>
      </c>
      <c r="B2" s="102">
        <v>0</v>
      </c>
      <c r="C2" s="102">
        <v>0</v>
      </c>
      <c r="D2" s="102">
        <v>0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  <c r="AD2" s="102">
        <v>0</v>
      </c>
      <c r="AE2" s="102">
        <v>0</v>
      </c>
    </row>
    <row r="3" spans="1:31" customFormat="1" x14ac:dyDescent="0.15">
      <c r="A3" s="181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  <c r="AD3" s="102">
        <v>0</v>
      </c>
      <c r="AE3" s="102">
        <v>0</v>
      </c>
    </row>
    <row r="4" spans="1:31" customFormat="1" x14ac:dyDescent="0.15">
      <c r="A4" s="181" t="s">
        <v>194</v>
      </c>
      <c r="B4" s="102">
        <v>0</v>
      </c>
      <c r="C4" s="102">
        <v>0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0</v>
      </c>
      <c r="AE4" s="102">
        <v>0</v>
      </c>
    </row>
    <row r="5" spans="1:31" customFormat="1" x14ac:dyDescent="0.15">
      <c r="A5" s="181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  <c r="AD5" s="102">
        <v>0</v>
      </c>
      <c r="AE5" s="102">
        <v>0</v>
      </c>
    </row>
    <row r="6" spans="1:31" customFormat="1" x14ac:dyDescent="0.15">
      <c r="A6" s="181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0.8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</row>
    <row r="7" spans="1:31" customFormat="1" x14ac:dyDescent="0.15">
      <c r="A7" s="181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0.8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</row>
    <row r="8" spans="1:31" customFormat="1" x14ac:dyDescent="0.15">
      <c r="A8" s="181" t="s">
        <v>198</v>
      </c>
      <c r="B8" s="102">
        <v>0</v>
      </c>
      <c r="C8" s="102">
        <v>0</v>
      </c>
      <c r="D8" s="102">
        <v>0.8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0.8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  <c r="AD8" s="102">
        <v>0</v>
      </c>
      <c r="AE8" s="102">
        <v>0</v>
      </c>
    </row>
    <row r="9" spans="1:31" customFormat="1" x14ac:dyDescent="0.15">
      <c r="A9" s="181" t="s">
        <v>199</v>
      </c>
      <c r="B9" s="102">
        <v>0</v>
      </c>
      <c r="C9" s="102">
        <v>0.8</v>
      </c>
      <c r="D9" s="102">
        <v>0</v>
      </c>
      <c r="E9" s="102">
        <v>0</v>
      </c>
      <c r="F9" s="102">
        <v>0</v>
      </c>
      <c r="G9" s="102">
        <v>0.8</v>
      </c>
      <c r="H9" s="102">
        <v>0</v>
      </c>
      <c r="I9" s="102">
        <v>0</v>
      </c>
      <c r="J9" s="102">
        <v>0</v>
      </c>
      <c r="K9" s="102">
        <v>0</v>
      </c>
      <c r="L9" s="102">
        <v>0.8</v>
      </c>
      <c r="M9" s="102">
        <v>0.8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0.8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  <c r="AD9" s="102">
        <v>0</v>
      </c>
      <c r="AE9" s="102">
        <v>0</v>
      </c>
    </row>
    <row r="10" spans="1:31" customFormat="1" x14ac:dyDescent="0.15">
      <c r="A10" s="181" t="s">
        <v>200</v>
      </c>
      <c r="B10" s="102">
        <v>0</v>
      </c>
      <c r="C10" s="102">
        <v>0</v>
      </c>
      <c r="D10" s="102">
        <v>0.8</v>
      </c>
      <c r="E10" s="102">
        <v>0</v>
      </c>
      <c r="F10" s="102">
        <v>0</v>
      </c>
      <c r="G10" s="102">
        <v>0.8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0.8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  <c r="AD10" s="102">
        <v>0</v>
      </c>
      <c r="AE10" s="102">
        <v>0</v>
      </c>
    </row>
    <row r="11" spans="1:31" customFormat="1" x14ac:dyDescent="0.15">
      <c r="A11" s="181" t="s">
        <v>201</v>
      </c>
      <c r="B11" s="102">
        <v>0</v>
      </c>
      <c r="C11" s="102">
        <v>0</v>
      </c>
      <c r="D11" s="102">
        <v>0.8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0.8</v>
      </c>
      <c r="R11" s="102">
        <v>0</v>
      </c>
      <c r="S11" s="102">
        <v>0</v>
      </c>
      <c r="T11" s="102">
        <v>0</v>
      </c>
      <c r="U11" s="102">
        <v>0</v>
      </c>
      <c r="V11" s="102">
        <v>0.8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</row>
    <row r="12" spans="1:31" customFormat="1" x14ac:dyDescent="0.15">
      <c r="A12" s="181" t="s">
        <v>202</v>
      </c>
      <c r="B12" s="102">
        <v>0</v>
      </c>
      <c r="C12" s="102">
        <v>0</v>
      </c>
      <c r="D12" s="102">
        <v>0.8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0.8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0</v>
      </c>
      <c r="AE12" s="102">
        <v>0</v>
      </c>
    </row>
    <row r="13" spans="1:31" customFormat="1" x14ac:dyDescent="0.15">
      <c r="A13" s="181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  <c r="AD13" s="102">
        <v>0</v>
      </c>
      <c r="AE13" s="102">
        <v>0</v>
      </c>
    </row>
    <row r="14" spans="1:31" customFormat="1" x14ac:dyDescent="0.15">
      <c r="A14" s="181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0.8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  <c r="AD14" s="102">
        <v>0</v>
      </c>
      <c r="AE14" s="102">
        <v>0</v>
      </c>
    </row>
    <row r="15" spans="1:31" customFormat="1" x14ac:dyDescent="0.15">
      <c r="A15" s="181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0.8</v>
      </c>
      <c r="H15" s="102">
        <v>0.8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0.8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0</v>
      </c>
      <c r="AE15" s="102">
        <v>0</v>
      </c>
    </row>
    <row r="16" spans="1:31" customFormat="1" x14ac:dyDescent="0.15">
      <c r="A16" s="181" t="s">
        <v>206</v>
      </c>
      <c r="B16" s="102">
        <v>0</v>
      </c>
      <c r="C16" s="102">
        <v>0</v>
      </c>
      <c r="D16" s="102">
        <v>0.8</v>
      </c>
      <c r="E16" s="102">
        <v>0</v>
      </c>
      <c r="F16" s="102">
        <v>0</v>
      </c>
      <c r="G16" s="102">
        <v>0.8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</row>
    <row r="17" spans="1:31" customFormat="1" x14ac:dyDescent="0.15">
      <c r="A17" s="181" t="s">
        <v>207</v>
      </c>
      <c r="B17" s="102">
        <v>0.8</v>
      </c>
      <c r="C17" s="102">
        <v>0.8</v>
      </c>
      <c r="D17" s="102">
        <v>0.8</v>
      </c>
      <c r="E17" s="102">
        <v>0</v>
      </c>
      <c r="F17" s="102">
        <v>0</v>
      </c>
      <c r="G17" s="102">
        <v>0.8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0.8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>
        <v>0</v>
      </c>
      <c r="AD17" s="102">
        <v>0</v>
      </c>
      <c r="AE17" s="102">
        <v>0</v>
      </c>
    </row>
    <row r="18" spans="1:31" customFormat="1" x14ac:dyDescent="0.15">
      <c r="A18" s="181" t="s">
        <v>208</v>
      </c>
      <c r="B18" s="102">
        <v>0.8</v>
      </c>
      <c r="C18" s="102">
        <v>0.8</v>
      </c>
      <c r="D18" s="102">
        <v>0.8</v>
      </c>
      <c r="E18" s="102">
        <v>0.8</v>
      </c>
      <c r="F18" s="102">
        <v>0.8</v>
      </c>
      <c r="G18" s="102">
        <v>0.8</v>
      </c>
      <c r="H18" s="102">
        <v>0.8</v>
      </c>
      <c r="I18" s="102">
        <v>0</v>
      </c>
      <c r="J18" s="102">
        <v>0</v>
      </c>
      <c r="K18" s="102">
        <v>0</v>
      </c>
      <c r="L18" s="102">
        <v>0.8</v>
      </c>
      <c r="M18" s="102">
        <v>0.8</v>
      </c>
      <c r="N18" s="102">
        <v>0</v>
      </c>
      <c r="O18" s="102">
        <v>0.8</v>
      </c>
      <c r="P18" s="102">
        <v>0.8</v>
      </c>
      <c r="Q18" s="102">
        <v>0.8</v>
      </c>
      <c r="R18" s="102">
        <v>0.8</v>
      </c>
      <c r="S18" s="102">
        <v>0</v>
      </c>
      <c r="T18" s="102">
        <v>0</v>
      </c>
      <c r="U18" s="102">
        <v>0</v>
      </c>
      <c r="V18" s="102">
        <v>0.8</v>
      </c>
      <c r="W18" s="102">
        <v>0.8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</row>
    <row r="19" spans="1:31" customFormat="1" x14ac:dyDescent="0.15">
      <c r="A19" s="181" t="s">
        <v>209</v>
      </c>
      <c r="B19" s="102">
        <v>0</v>
      </c>
      <c r="C19" s="102">
        <v>0</v>
      </c>
      <c r="D19" s="102">
        <v>0.8</v>
      </c>
      <c r="E19" s="102">
        <v>0.8</v>
      </c>
      <c r="F19" s="102">
        <v>0</v>
      </c>
      <c r="G19" s="102">
        <v>0</v>
      </c>
      <c r="H19" s="102">
        <v>0.8</v>
      </c>
      <c r="I19" s="102">
        <v>0</v>
      </c>
      <c r="J19" s="102">
        <v>0</v>
      </c>
      <c r="K19" s="102">
        <v>0</v>
      </c>
      <c r="L19" s="102">
        <v>0</v>
      </c>
      <c r="M19" s="102">
        <v>0</v>
      </c>
      <c r="N19" s="102">
        <v>0</v>
      </c>
      <c r="O19" s="102">
        <v>0</v>
      </c>
      <c r="P19" s="102">
        <v>0</v>
      </c>
      <c r="Q19" s="102">
        <v>0.8</v>
      </c>
      <c r="R19" s="102">
        <v>0</v>
      </c>
      <c r="S19" s="102">
        <v>0</v>
      </c>
      <c r="T19" s="102">
        <v>0</v>
      </c>
      <c r="U19" s="102">
        <v>0</v>
      </c>
      <c r="V19" s="102">
        <v>0.8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>
        <v>0</v>
      </c>
      <c r="AD19" s="102">
        <v>0</v>
      </c>
      <c r="AE19" s="102">
        <v>0</v>
      </c>
    </row>
    <row r="20" spans="1:31" customFormat="1" x14ac:dyDescent="0.15">
      <c r="A20" s="181" t="s">
        <v>210</v>
      </c>
      <c r="B20" s="102">
        <v>0</v>
      </c>
      <c r="C20" s="102">
        <v>0</v>
      </c>
      <c r="D20" s="102">
        <v>0.8</v>
      </c>
      <c r="E20" s="102">
        <v>0.8</v>
      </c>
      <c r="F20" s="102">
        <v>0</v>
      </c>
      <c r="G20" s="102">
        <v>0.8</v>
      </c>
      <c r="H20" s="102">
        <v>0.8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0.8</v>
      </c>
      <c r="Q20" s="102">
        <v>0.8</v>
      </c>
      <c r="R20" s="102">
        <v>0</v>
      </c>
      <c r="S20" s="102">
        <v>0</v>
      </c>
      <c r="T20" s="102">
        <v>0</v>
      </c>
      <c r="U20" s="102">
        <v>0</v>
      </c>
      <c r="V20" s="102">
        <v>0.8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0</v>
      </c>
      <c r="AE20" s="102">
        <v>0</v>
      </c>
    </row>
    <row r="21" spans="1:31" customFormat="1" x14ac:dyDescent="0.15">
      <c r="A21" s="181" t="s">
        <v>211</v>
      </c>
      <c r="B21" s="102">
        <v>0.8</v>
      </c>
      <c r="C21" s="102">
        <v>0.8</v>
      </c>
      <c r="D21" s="102">
        <v>0.8</v>
      </c>
      <c r="E21" s="102">
        <v>0.8</v>
      </c>
      <c r="F21" s="102">
        <v>0</v>
      </c>
      <c r="G21" s="102">
        <v>0.8</v>
      </c>
      <c r="H21" s="102">
        <v>0</v>
      </c>
      <c r="I21" s="102">
        <v>0</v>
      </c>
      <c r="J21" s="102">
        <v>0</v>
      </c>
      <c r="K21" s="102">
        <v>0</v>
      </c>
      <c r="L21" s="102">
        <v>0.8</v>
      </c>
      <c r="M21" s="102">
        <v>0</v>
      </c>
      <c r="N21" s="102">
        <v>0</v>
      </c>
      <c r="O21" s="102">
        <v>0</v>
      </c>
      <c r="P21" s="102">
        <v>0</v>
      </c>
      <c r="Q21" s="102">
        <v>0.8</v>
      </c>
      <c r="R21" s="102">
        <v>0</v>
      </c>
      <c r="S21" s="102">
        <v>0</v>
      </c>
      <c r="T21" s="102">
        <v>0</v>
      </c>
      <c r="U21" s="102">
        <v>0</v>
      </c>
      <c r="V21" s="102">
        <v>0.8</v>
      </c>
      <c r="W21" s="102">
        <v>0.8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</row>
    <row r="22" spans="1:31" customFormat="1" x14ac:dyDescent="0.15">
      <c r="A22" s="181" t="s">
        <v>212</v>
      </c>
      <c r="B22" s="102">
        <v>0</v>
      </c>
      <c r="C22" s="102">
        <v>0</v>
      </c>
      <c r="D22" s="102">
        <v>0.8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>
        <v>0</v>
      </c>
      <c r="AD22" s="102">
        <v>0</v>
      </c>
      <c r="AE22" s="102">
        <v>0</v>
      </c>
    </row>
    <row r="23" spans="1:31" customFormat="1" x14ac:dyDescent="0.15">
      <c r="A23" s="181" t="s">
        <v>213</v>
      </c>
      <c r="B23" s="102">
        <v>0.8</v>
      </c>
      <c r="C23" s="102">
        <v>0.8</v>
      </c>
      <c r="D23" s="102">
        <v>0.8</v>
      </c>
      <c r="E23" s="102">
        <v>0.8</v>
      </c>
      <c r="F23" s="102">
        <v>0</v>
      </c>
      <c r="G23" s="102">
        <v>0.8</v>
      </c>
      <c r="H23" s="102">
        <v>0.8</v>
      </c>
      <c r="I23" s="102">
        <v>0</v>
      </c>
      <c r="J23" s="102">
        <v>0.8</v>
      </c>
      <c r="K23" s="102">
        <v>0</v>
      </c>
      <c r="L23" s="102">
        <v>0</v>
      </c>
      <c r="M23" s="102">
        <v>0.8</v>
      </c>
      <c r="N23" s="102">
        <v>0</v>
      </c>
      <c r="O23" s="102">
        <v>0</v>
      </c>
      <c r="P23" s="102">
        <v>0.8</v>
      </c>
      <c r="Q23" s="102">
        <v>0.8</v>
      </c>
      <c r="R23" s="102">
        <v>0</v>
      </c>
      <c r="S23" s="102">
        <v>0</v>
      </c>
      <c r="T23" s="102">
        <v>0</v>
      </c>
      <c r="U23" s="102">
        <v>0</v>
      </c>
      <c r="V23" s="102">
        <v>0.8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>
        <v>0</v>
      </c>
      <c r="AD23" s="102">
        <v>0</v>
      </c>
      <c r="AE23" s="102">
        <v>0</v>
      </c>
    </row>
    <row r="24" spans="1:31" customFormat="1" x14ac:dyDescent="0.15">
      <c r="A24" s="181" t="s">
        <v>214</v>
      </c>
      <c r="B24" s="102">
        <v>0.8</v>
      </c>
      <c r="C24" s="102">
        <v>0</v>
      </c>
      <c r="D24" s="102">
        <v>0</v>
      </c>
      <c r="E24" s="102">
        <v>0</v>
      </c>
      <c r="F24" s="102">
        <v>0</v>
      </c>
      <c r="G24" s="102">
        <v>0.8</v>
      </c>
      <c r="H24" s="102">
        <v>0.8</v>
      </c>
      <c r="I24" s="102">
        <v>0</v>
      </c>
      <c r="J24" s="102">
        <v>0</v>
      </c>
      <c r="K24" s="102">
        <v>0</v>
      </c>
      <c r="L24" s="102">
        <v>0</v>
      </c>
      <c r="M24" s="102">
        <v>0.8</v>
      </c>
      <c r="N24" s="102">
        <v>0</v>
      </c>
      <c r="O24" s="102">
        <v>0</v>
      </c>
      <c r="P24" s="102">
        <v>0</v>
      </c>
      <c r="Q24" s="102">
        <v>0.8</v>
      </c>
      <c r="R24" s="102">
        <v>0.8</v>
      </c>
      <c r="S24" s="102">
        <v>0</v>
      </c>
      <c r="T24" s="102">
        <v>0</v>
      </c>
      <c r="U24" s="102">
        <v>0</v>
      </c>
      <c r="V24" s="102">
        <v>0</v>
      </c>
      <c r="W24" s="102">
        <v>0.8</v>
      </c>
      <c r="X24" s="102">
        <v>0</v>
      </c>
      <c r="Y24" s="102">
        <v>0.8</v>
      </c>
      <c r="Z24" s="102">
        <v>0</v>
      </c>
      <c r="AA24" s="102">
        <v>0</v>
      </c>
      <c r="AB24" s="102">
        <v>0</v>
      </c>
      <c r="AC24" s="102">
        <v>0</v>
      </c>
      <c r="AD24" s="102">
        <v>0</v>
      </c>
      <c r="AE24" s="102">
        <v>0</v>
      </c>
    </row>
    <row r="25" spans="1:31" customFormat="1" x14ac:dyDescent="0.15">
      <c r="A25" s="181" t="s">
        <v>215</v>
      </c>
      <c r="B25" s="102">
        <v>0</v>
      </c>
      <c r="C25" s="102">
        <v>0</v>
      </c>
      <c r="D25" s="102">
        <v>0.8</v>
      </c>
      <c r="E25" s="102">
        <v>0</v>
      </c>
      <c r="F25" s="102">
        <v>0.8</v>
      </c>
      <c r="G25" s="102">
        <v>0.8</v>
      </c>
      <c r="H25" s="102">
        <v>0.8</v>
      </c>
      <c r="I25" s="102">
        <v>0.8</v>
      </c>
      <c r="J25" s="102">
        <v>0.8</v>
      </c>
      <c r="K25" s="102">
        <v>0</v>
      </c>
      <c r="L25" s="102">
        <v>0</v>
      </c>
      <c r="M25" s="102">
        <v>0</v>
      </c>
      <c r="N25" s="102">
        <v>0.8</v>
      </c>
      <c r="O25" s="102">
        <v>0.8</v>
      </c>
      <c r="P25" s="102">
        <v>0.8</v>
      </c>
      <c r="Q25" s="102">
        <v>0.8</v>
      </c>
      <c r="R25" s="102">
        <v>0.8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0</v>
      </c>
      <c r="AD25" s="102">
        <v>0</v>
      </c>
      <c r="AE25" s="102">
        <v>0</v>
      </c>
    </row>
    <row r="26" spans="1:31" customFormat="1" x14ac:dyDescent="0.15">
      <c r="A26" s="181" t="s">
        <v>216</v>
      </c>
      <c r="B26" s="102">
        <v>0.8</v>
      </c>
      <c r="C26" s="102">
        <v>0</v>
      </c>
      <c r="D26" s="102">
        <v>0.8</v>
      </c>
      <c r="E26" s="102">
        <v>0</v>
      </c>
      <c r="F26" s="102">
        <v>0.8</v>
      </c>
      <c r="G26" s="102">
        <v>0</v>
      </c>
      <c r="H26" s="102">
        <v>0.8</v>
      </c>
      <c r="I26" s="102">
        <v>0.8</v>
      </c>
      <c r="J26" s="102">
        <v>0.8</v>
      </c>
      <c r="K26" s="102">
        <v>0.8</v>
      </c>
      <c r="L26" s="102">
        <v>0</v>
      </c>
      <c r="M26" s="102">
        <v>0</v>
      </c>
      <c r="N26" s="102">
        <v>0.8</v>
      </c>
      <c r="O26" s="102">
        <v>0.8</v>
      </c>
      <c r="P26" s="102">
        <v>0.8</v>
      </c>
      <c r="Q26" s="102">
        <v>0.8</v>
      </c>
      <c r="R26" s="102">
        <v>0.8</v>
      </c>
      <c r="S26" s="102">
        <v>0.8</v>
      </c>
      <c r="T26" s="102">
        <v>0</v>
      </c>
      <c r="U26" s="102">
        <v>0.8</v>
      </c>
      <c r="V26" s="102">
        <v>0.8</v>
      </c>
      <c r="W26" s="102">
        <v>0</v>
      </c>
      <c r="X26" s="102">
        <v>0.8</v>
      </c>
      <c r="Y26" s="102">
        <v>0.8</v>
      </c>
      <c r="Z26" s="102">
        <v>0</v>
      </c>
      <c r="AA26" s="102">
        <v>0</v>
      </c>
      <c r="AB26" s="102">
        <v>0</v>
      </c>
      <c r="AC26" s="102">
        <v>0</v>
      </c>
      <c r="AD26" s="102">
        <v>0</v>
      </c>
      <c r="AE26" s="102">
        <v>0</v>
      </c>
    </row>
    <row r="27" spans="1:31" customFormat="1" x14ac:dyDescent="0.15">
      <c r="A27" s="181" t="s">
        <v>217</v>
      </c>
      <c r="B27" s="102">
        <v>0.8</v>
      </c>
      <c r="C27" s="102">
        <v>0.8</v>
      </c>
      <c r="D27" s="102">
        <v>0</v>
      </c>
      <c r="E27" s="102">
        <v>0.8</v>
      </c>
      <c r="F27" s="102">
        <v>0.8</v>
      </c>
      <c r="G27" s="102">
        <v>0</v>
      </c>
      <c r="H27" s="102">
        <v>0.8</v>
      </c>
      <c r="I27" s="102">
        <v>0</v>
      </c>
      <c r="J27" s="102">
        <v>0.8</v>
      </c>
      <c r="K27" s="102">
        <v>0.8</v>
      </c>
      <c r="L27" s="102">
        <v>0.8</v>
      </c>
      <c r="M27" s="102">
        <v>0</v>
      </c>
      <c r="N27" s="102">
        <v>0.8</v>
      </c>
      <c r="O27" s="102">
        <v>0</v>
      </c>
      <c r="P27" s="102">
        <v>0.8</v>
      </c>
      <c r="Q27" s="102">
        <v>0.8</v>
      </c>
      <c r="R27" s="102">
        <v>0.8</v>
      </c>
      <c r="S27" s="102">
        <v>0.8</v>
      </c>
      <c r="T27" s="102">
        <v>0.8</v>
      </c>
      <c r="U27" s="102">
        <v>0.8</v>
      </c>
      <c r="V27" s="102">
        <v>0.8</v>
      </c>
      <c r="W27" s="102">
        <v>0.8</v>
      </c>
      <c r="X27" s="102">
        <v>0.8</v>
      </c>
      <c r="Y27" s="102">
        <v>0.8</v>
      </c>
      <c r="Z27" s="102">
        <v>0</v>
      </c>
      <c r="AA27" s="102">
        <v>0</v>
      </c>
      <c r="AB27" s="102">
        <v>0</v>
      </c>
      <c r="AC27" s="102">
        <v>0</v>
      </c>
      <c r="AD27" s="102">
        <v>0</v>
      </c>
      <c r="AE27" s="102">
        <v>0</v>
      </c>
    </row>
    <row r="28" spans="1:31" customFormat="1" x14ac:dyDescent="0.15">
      <c r="A28" s="181" t="s">
        <v>218</v>
      </c>
      <c r="B28" s="102">
        <v>0.8</v>
      </c>
      <c r="C28" s="102">
        <v>0.8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0.8</v>
      </c>
      <c r="L28" s="102">
        <v>0</v>
      </c>
      <c r="M28" s="102">
        <v>0</v>
      </c>
      <c r="N28" s="102">
        <v>0</v>
      </c>
      <c r="O28" s="102">
        <v>0</v>
      </c>
      <c r="P28" s="102">
        <v>0</v>
      </c>
      <c r="Q28" s="102">
        <v>0</v>
      </c>
      <c r="R28" s="102">
        <v>0.8</v>
      </c>
      <c r="S28" s="102">
        <v>0.8</v>
      </c>
      <c r="T28" s="102">
        <v>0.8</v>
      </c>
      <c r="U28" s="102">
        <v>0.8</v>
      </c>
      <c r="V28" s="102">
        <v>0</v>
      </c>
      <c r="W28" s="102">
        <v>0</v>
      </c>
      <c r="X28" s="102">
        <v>0.8</v>
      </c>
      <c r="Y28" s="102">
        <v>0.8</v>
      </c>
      <c r="Z28" s="102">
        <v>0</v>
      </c>
      <c r="AA28" s="102">
        <v>0.8</v>
      </c>
      <c r="AB28" s="102">
        <v>0</v>
      </c>
      <c r="AC28" s="102">
        <v>0</v>
      </c>
      <c r="AD28" s="102">
        <v>0</v>
      </c>
      <c r="AE28" s="102">
        <v>0</v>
      </c>
    </row>
    <row r="29" spans="1:31" customFormat="1" x14ac:dyDescent="0.15">
      <c r="A29" s="181" t="s">
        <v>219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0.8</v>
      </c>
      <c r="V29" s="102">
        <v>0</v>
      </c>
      <c r="W29" s="102">
        <v>0</v>
      </c>
      <c r="X29" s="102">
        <v>0.8</v>
      </c>
      <c r="Y29" s="102">
        <v>0</v>
      </c>
      <c r="Z29" s="102">
        <v>0</v>
      </c>
      <c r="AA29" s="102">
        <v>0.8</v>
      </c>
      <c r="AB29" s="102">
        <v>0.8</v>
      </c>
      <c r="AC29" s="102">
        <v>0</v>
      </c>
      <c r="AD29" s="102">
        <v>0</v>
      </c>
      <c r="AE29" s="102">
        <v>0</v>
      </c>
    </row>
    <row r="30" spans="1:31" customFormat="1" x14ac:dyDescent="0.15">
      <c r="A30" s="181" t="s">
        <v>220</v>
      </c>
      <c r="B30" s="102">
        <v>0</v>
      </c>
      <c r="C30" s="102">
        <v>0</v>
      </c>
      <c r="D30" s="102">
        <v>0</v>
      </c>
      <c r="E30" s="102">
        <v>0</v>
      </c>
      <c r="F30" s="102">
        <v>0.8</v>
      </c>
      <c r="G30" s="102">
        <v>0</v>
      </c>
      <c r="H30" s="102">
        <v>0.8</v>
      </c>
      <c r="I30" s="102">
        <v>0.8</v>
      </c>
      <c r="J30" s="102">
        <v>0.8</v>
      </c>
      <c r="K30" s="102">
        <v>0</v>
      </c>
      <c r="L30" s="102">
        <v>0</v>
      </c>
      <c r="M30" s="102">
        <v>0</v>
      </c>
      <c r="N30" s="102">
        <v>0.8</v>
      </c>
      <c r="O30" s="102">
        <v>0.8</v>
      </c>
      <c r="P30" s="102">
        <v>0.8</v>
      </c>
      <c r="Q30" s="102">
        <v>0.8</v>
      </c>
      <c r="R30" s="102">
        <v>0.8</v>
      </c>
      <c r="S30" s="102">
        <v>0</v>
      </c>
      <c r="T30" s="102">
        <v>0</v>
      </c>
      <c r="U30" s="102">
        <v>0.8</v>
      </c>
      <c r="V30" s="102">
        <v>0</v>
      </c>
      <c r="W30" s="102">
        <v>0</v>
      </c>
      <c r="X30" s="102">
        <v>0.8</v>
      </c>
      <c r="Y30" s="102">
        <v>0.8</v>
      </c>
      <c r="Z30" s="102">
        <v>0.8</v>
      </c>
      <c r="AA30" s="102">
        <v>0</v>
      </c>
      <c r="AB30" s="102">
        <v>0</v>
      </c>
      <c r="AC30" s="102">
        <v>0</v>
      </c>
      <c r="AD30" s="102">
        <v>0</v>
      </c>
      <c r="AE30" s="102">
        <v>0</v>
      </c>
    </row>
    <row r="31" spans="1:31" customFormat="1" x14ac:dyDescent="0.15">
      <c r="A31" s="181" t="s">
        <v>221</v>
      </c>
      <c r="B31" s="102">
        <v>0</v>
      </c>
      <c r="C31" s="102">
        <v>0</v>
      </c>
      <c r="D31" s="102">
        <v>0</v>
      </c>
      <c r="E31" s="102">
        <v>0</v>
      </c>
      <c r="F31" s="102">
        <v>0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0</v>
      </c>
      <c r="O31" s="102">
        <v>0</v>
      </c>
      <c r="P31" s="102">
        <v>0</v>
      </c>
      <c r="Q31" s="102">
        <v>0</v>
      </c>
      <c r="R31" s="102">
        <v>0</v>
      </c>
      <c r="S31" s="102">
        <v>0</v>
      </c>
      <c r="T31" s="102">
        <v>0</v>
      </c>
      <c r="U31" s="102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</row>
    <row r="32" spans="1:31" customFormat="1" x14ac:dyDescent="0.15">
      <c r="A32" s="181" t="s">
        <v>233</v>
      </c>
      <c r="B32" s="102">
        <v>0</v>
      </c>
      <c r="C32" s="102">
        <v>0</v>
      </c>
      <c r="D32" s="102">
        <v>0</v>
      </c>
      <c r="E32" s="102">
        <v>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</v>
      </c>
      <c r="X32" s="102">
        <v>0</v>
      </c>
      <c r="Y32" s="102">
        <v>0</v>
      </c>
      <c r="Z32" s="102">
        <v>0</v>
      </c>
      <c r="AA32" s="102">
        <v>0</v>
      </c>
      <c r="AB32" s="102">
        <v>0</v>
      </c>
      <c r="AC32" s="102">
        <v>0</v>
      </c>
      <c r="AD32" s="102">
        <v>0.8</v>
      </c>
      <c r="AE32" s="10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31" width="2.33203125" style="102" customWidth="1"/>
    <col min="32" max="16384" width="10.83203125" style="102"/>
  </cols>
  <sheetData>
    <row r="1" spans="1:31" x14ac:dyDescent="0.15">
      <c r="A1" s="58" t="s">
        <v>139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</row>
    <row r="2" spans="1:31" customFormat="1" x14ac:dyDescent="0.15">
      <c r="A2" s="183" t="s">
        <v>192</v>
      </c>
      <c r="B2" s="102">
        <v>0</v>
      </c>
      <c r="C2" s="102">
        <v>0</v>
      </c>
      <c r="D2" s="102">
        <v>0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  <c r="AD2" s="102">
        <v>0</v>
      </c>
      <c r="AE2" s="102">
        <v>0</v>
      </c>
    </row>
    <row r="3" spans="1:31" customFormat="1" x14ac:dyDescent="0.15">
      <c r="A3" s="183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  <c r="AD3" s="102">
        <v>0</v>
      </c>
      <c r="AE3" s="102">
        <v>0</v>
      </c>
    </row>
    <row r="4" spans="1:31" customFormat="1" x14ac:dyDescent="0.15">
      <c r="A4" s="183" t="s">
        <v>194</v>
      </c>
      <c r="B4" s="102">
        <v>0</v>
      </c>
      <c r="C4" s="102">
        <v>0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0</v>
      </c>
      <c r="AE4" s="102">
        <v>0</v>
      </c>
    </row>
    <row r="5" spans="1:31" customFormat="1" x14ac:dyDescent="0.15">
      <c r="A5" s="183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  <c r="AD5" s="102">
        <v>0</v>
      </c>
      <c r="AE5" s="102">
        <v>0</v>
      </c>
    </row>
    <row r="6" spans="1:31" customFormat="1" x14ac:dyDescent="0.15">
      <c r="A6" s="183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1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</row>
    <row r="7" spans="1:31" customFormat="1" x14ac:dyDescent="0.15">
      <c r="A7" s="183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1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  <c r="AD7" s="102">
        <v>0</v>
      </c>
      <c r="AE7" s="102">
        <v>0</v>
      </c>
    </row>
    <row r="8" spans="1:31" customFormat="1" x14ac:dyDescent="0.15">
      <c r="A8" s="183" t="s">
        <v>198</v>
      </c>
      <c r="B8" s="102">
        <v>0</v>
      </c>
      <c r="C8" s="102">
        <v>0</v>
      </c>
      <c r="D8" s="102">
        <v>1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1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  <c r="AD8" s="102">
        <v>0</v>
      </c>
      <c r="AE8" s="102">
        <v>0</v>
      </c>
    </row>
    <row r="9" spans="1:31" customFormat="1" x14ac:dyDescent="0.15">
      <c r="A9" s="183" t="s">
        <v>199</v>
      </c>
      <c r="B9" s="102">
        <v>0</v>
      </c>
      <c r="C9" s="102">
        <v>1</v>
      </c>
      <c r="D9" s="102">
        <v>0</v>
      </c>
      <c r="E9" s="102">
        <v>0</v>
      </c>
      <c r="F9" s="102">
        <v>0</v>
      </c>
      <c r="G9" s="102">
        <v>1</v>
      </c>
      <c r="H9" s="102">
        <v>0</v>
      </c>
      <c r="I9" s="102">
        <v>0</v>
      </c>
      <c r="J9" s="102">
        <v>0</v>
      </c>
      <c r="K9" s="102">
        <v>0</v>
      </c>
      <c r="L9" s="102">
        <v>1</v>
      </c>
      <c r="M9" s="102">
        <v>1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1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  <c r="AD9" s="102">
        <v>0</v>
      </c>
      <c r="AE9" s="102">
        <v>0</v>
      </c>
    </row>
    <row r="10" spans="1:31" customFormat="1" x14ac:dyDescent="0.15">
      <c r="A10" s="183" t="s">
        <v>200</v>
      </c>
      <c r="B10" s="102">
        <v>0</v>
      </c>
      <c r="C10" s="102">
        <v>0</v>
      </c>
      <c r="D10" s="102">
        <v>1</v>
      </c>
      <c r="E10" s="102">
        <v>0</v>
      </c>
      <c r="F10" s="102">
        <v>0</v>
      </c>
      <c r="G10" s="102">
        <v>1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1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  <c r="AD10" s="102">
        <v>0</v>
      </c>
      <c r="AE10" s="102">
        <v>0</v>
      </c>
    </row>
    <row r="11" spans="1:31" customFormat="1" x14ac:dyDescent="0.15">
      <c r="A11" s="183" t="s">
        <v>201</v>
      </c>
      <c r="B11" s="102">
        <v>0</v>
      </c>
      <c r="C11" s="102">
        <v>0</v>
      </c>
      <c r="D11" s="102">
        <v>1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1</v>
      </c>
      <c r="R11" s="102">
        <v>0</v>
      </c>
      <c r="S11" s="102">
        <v>0</v>
      </c>
      <c r="T11" s="102">
        <v>0</v>
      </c>
      <c r="U11" s="102">
        <v>0</v>
      </c>
      <c r="V11" s="102">
        <v>1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  <c r="AD11" s="102">
        <v>0</v>
      </c>
      <c r="AE11" s="102">
        <v>0</v>
      </c>
    </row>
    <row r="12" spans="1:31" customFormat="1" x14ac:dyDescent="0.15">
      <c r="A12" s="183" t="s">
        <v>202</v>
      </c>
      <c r="B12" s="102">
        <v>0</v>
      </c>
      <c r="C12" s="102">
        <v>0</v>
      </c>
      <c r="D12" s="102">
        <v>1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1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  <c r="AD12" s="102">
        <v>0</v>
      </c>
      <c r="AE12" s="102">
        <v>0</v>
      </c>
    </row>
    <row r="13" spans="1:31" customFormat="1" x14ac:dyDescent="0.15">
      <c r="A13" s="183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  <c r="AD13" s="102">
        <v>0</v>
      </c>
      <c r="AE13" s="102">
        <v>0</v>
      </c>
    </row>
    <row r="14" spans="1:31" customFormat="1" x14ac:dyDescent="0.15">
      <c r="A14" s="183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1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  <c r="AD14" s="102">
        <v>0</v>
      </c>
      <c r="AE14" s="102">
        <v>0</v>
      </c>
    </row>
    <row r="15" spans="1:31" customFormat="1" x14ac:dyDescent="0.15">
      <c r="A15" s="183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1</v>
      </c>
      <c r="H15" s="102">
        <v>1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1</v>
      </c>
      <c r="R15" s="102">
        <v>0</v>
      </c>
      <c r="S15" s="102">
        <v>0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>
        <v>0</v>
      </c>
      <c r="AD15" s="102">
        <v>0</v>
      </c>
      <c r="AE15" s="102">
        <v>0</v>
      </c>
    </row>
    <row r="16" spans="1:31" customFormat="1" x14ac:dyDescent="0.15">
      <c r="A16" s="183" t="s">
        <v>206</v>
      </c>
      <c r="B16" s="102">
        <v>0</v>
      </c>
      <c r="C16" s="102">
        <v>0</v>
      </c>
      <c r="D16" s="102">
        <v>1</v>
      </c>
      <c r="E16" s="102">
        <v>0</v>
      </c>
      <c r="F16" s="102">
        <v>0</v>
      </c>
      <c r="G16" s="102">
        <v>1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>
        <v>0</v>
      </c>
      <c r="AD16" s="102">
        <v>0</v>
      </c>
      <c r="AE16" s="102">
        <v>0</v>
      </c>
    </row>
    <row r="17" spans="1:31" customFormat="1" x14ac:dyDescent="0.15">
      <c r="A17" s="183" t="s">
        <v>207</v>
      </c>
      <c r="B17" s="102">
        <v>1</v>
      </c>
      <c r="C17" s="102">
        <v>1</v>
      </c>
      <c r="D17" s="102">
        <v>1</v>
      </c>
      <c r="E17" s="102">
        <v>0</v>
      </c>
      <c r="F17" s="102">
        <v>0</v>
      </c>
      <c r="G17" s="102">
        <v>1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1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>
        <v>0</v>
      </c>
      <c r="AD17" s="102">
        <v>0</v>
      </c>
      <c r="AE17" s="102">
        <v>0</v>
      </c>
    </row>
    <row r="18" spans="1:31" customFormat="1" x14ac:dyDescent="0.15">
      <c r="A18" s="183" t="s">
        <v>208</v>
      </c>
      <c r="B18" s="102">
        <v>1</v>
      </c>
      <c r="C18" s="102">
        <v>1</v>
      </c>
      <c r="D18" s="102">
        <v>1</v>
      </c>
      <c r="E18" s="102">
        <v>1</v>
      </c>
      <c r="F18" s="102">
        <v>1</v>
      </c>
      <c r="G18" s="102">
        <v>1</v>
      </c>
      <c r="H18" s="102">
        <v>1</v>
      </c>
      <c r="I18" s="102">
        <v>0</v>
      </c>
      <c r="J18" s="102">
        <v>0</v>
      </c>
      <c r="K18" s="102">
        <v>0</v>
      </c>
      <c r="L18" s="102">
        <v>1</v>
      </c>
      <c r="M18" s="102">
        <v>1</v>
      </c>
      <c r="N18" s="102">
        <v>0</v>
      </c>
      <c r="O18" s="102">
        <v>1</v>
      </c>
      <c r="P18" s="102">
        <v>1</v>
      </c>
      <c r="Q18" s="102">
        <v>1</v>
      </c>
      <c r="R18" s="102">
        <v>1</v>
      </c>
      <c r="S18" s="102">
        <v>0</v>
      </c>
      <c r="T18" s="102">
        <v>0</v>
      </c>
      <c r="U18" s="102">
        <v>0</v>
      </c>
      <c r="V18" s="102">
        <v>1</v>
      </c>
      <c r="W18" s="102">
        <v>1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  <c r="AD18" s="102">
        <v>0</v>
      </c>
      <c r="AE18" s="102">
        <v>0</v>
      </c>
    </row>
    <row r="19" spans="1:31" customFormat="1" x14ac:dyDescent="0.15">
      <c r="A19" s="183" t="s">
        <v>209</v>
      </c>
      <c r="B19" s="102">
        <v>0</v>
      </c>
      <c r="C19" s="102">
        <v>0</v>
      </c>
      <c r="D19" s="102">
        <v>1</v>
      </c>
      <c r="E19" s="102">
        <v>1</v>
      </c>
      <c r="F19" s="102">
        <v>0</v>
      </c>
      <c r="G19" s="102">
        <v>0</v>
      </c>
      <c r="H19" s="102">
        <v>1</v>
      </c>
      <c r="I19" s="102">
        <v>0</v>
      </c>
      <c r="J19" s="102">
        <v>0</v>
      </c>
      <c r="K19" s="102">
        <v>0</v>
      </c>
      <c r="L19" s="102">
        <v>0</v>
      </c>
      <c r="M19" s="102">
        <v>0</v>
      </c>
      <c r="N19" s="102">
        <v>0</v>
      </c>
      <c r="O19" s="102">
        <v>0</v>
      </c>
      <c r="P19" s="102">
        <v>0</v>
      </c>
      <c r="Q19" s="102">
        <v>1</v>
      </c>
      <c r="R19" s="102">
        <v>0</v>
      </c>
      <c r="S19" s="102">
        <v>0</v>
      </c>
      <c r="T19" s="102">
        <v>0</v>
      </c>
      <c r="U19" s="102">
        <v>0</v>
      </c>
      <c r="V19" s="102">
        <v>1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>
        <v>0</v>
      </c>
      <c r="AD19" s="102">
        <v>0</v>
      </c>
      <c r="AE19" s="102">
        <v>0</v>
      </c>
    </row>
    <row r="20" spans="1:31" customFormat="1" x14ac:dyDescent="0.15">
      <c r="A20" s="183" t="s">
        <v>210</v>
      </c>
      <c r="B20" s="102">
        <v>0</v>
      </c>
      <c r="C20" s="102">
        <v>0</v>
      </c>
      <c r="D20" s="102">
        <v>1</v>
      </c>
      <c r="E20" s="102">
        <v>1</v>
      </c>
      <c r="F20" s="102">
        <v>0</v>
      </c>
      <c r="G20" s="102">
        <v>1</v>
      </c>
      <c r="H20" s="102">
        <v>1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1</v>
      </c>
      <c r="Q20" s="102">
        <v>1</v>
      </c>
      <c r="R20" s="102">
        <v>0</v>
      </c>
      <c r="S20" s="102">
        <v>0</v>
      </c>
      <c r="T20" s="102">
        <v>0</v>
      </c>
      <c r="U20" s="102">
        <v>0</v>
      </c>
      <c r="V20" s="102">
        <v>1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>
        <v>0</v>
      </c>
      <c r="AD20" s="102">
        <v>0</v>
      </c>
      <c r="AE20" s="102">
        <v>0</v>
      </c>
    </row>
    <row r="21" spans="1:31" customFormat="1" x14ac:dyDescent="0.15">
      <c r="A21" s="183" t="s">
        <v>211</v>
      </c>
      <c r="B21" s="102">
        <v>1</v>
      </c>
      <c r="C21" s="102">
        <v>1</v>
      </c>
      <c r="D21" s="102">
        <v>1</v>
      </c>
      <c r="E21" s="102">
        <v>1</v>
      </c>
      <c r="F21" s="102">
        <v>0</v>
      </c>
      <c r="G21" s="102">
        <v>1</v>
      </c>
      <c r="H21" s="102">
        <v>0</v>
      </c>
      <c r="I21" s="102">
        <v>0</v>
      </c>
      <c r="J21" s="102">
        <v>0</v>
      </c>
      <c r="K21" s="102">
        <v>0</v>
      </c>
      <c r="L21" s="102">
        <v>1</v>
      </c>
      <c r="M21" s="102">
        <v>0</v>
      </c>
      <c r="N21" s="102">
        <v>0</v>
      </c>
      <c r="O21" s="102">
        <v>0</v>
      </c>
      <c r="P21" s="102">
        <v>0</v>
      </c>
      <c r="Q21" s="102">
        <v>1</v>
      </c>
      <c r="R21" s="102">
        <v>0</v>
      </c>
      <c r="S21" s="102">
        <v>0</v>
      </c>
      <c r="T21" s="102">
        <v>0</v>
      </c>
      <c r="U21" s="102">
        <v>0</v>
      </c>
      <c r="V21" s="102">
        <v>1</v>
      </c>
      <c r="W21" s="102">
        <v>1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>
        <v>0</v>
      </c>
      <c r="AD21" s="102">
        <v>0</v>
      </c>
      <c r="AE21" s="102">
        <v>0</v>
      </c>
    </row>
    <row r="22" spans="1:31" customFormat="1" x14ac:dyDescent="0.15">
      <c r="A22" s="183" t="s">
        <v>212</v>
      </c>
      <c r="B22" s="102">
        <v>0</v>
      </c>
      <c r="C22" s="102">
        <v>0</v>
      </c>
      <c r="D22" s="102">
        <v>1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>
        <v>0</v>
      </c>
      <c r="AD22" s="102">
        <v>0</v>
      </c>
      <c r="AE22" s="102">
        <v>0</v>
      </c>
    </row>
    <row r="23" spans="1:31" customFormat="1" x14ac:dyDescent="0.15">
      <c r="A23" s="183" t="s">
        <v>213</v>
      </c>
      <c r="B23" s="102">
        <v>1</v>
      </c>
      <c r="C23" s="102">
        <v>1</v>
      </c>
      <c r="D23" s="102">
        <v>1</v>
      </c>
      <c r="E23" s="102">
        <v>1</v>
      </c>
      <c r="F23" s="102">
        <v>0</v>
      </c>
      <c r="G23" s="102">
        <v>1</v>
      </c>
      <c r="H23" s="102">
        <v>1</v>
      </c>
      <c r="I23" s="102">
        <v>0</v>
      </c>
      <c r="J23" s="102">
        <v>1</v>
      </c>
      <c r="K23" s="102">
        <v>0</v>
      </c>
      <c r="L23" s="102">
        <v>0</v>
      </c>
      <c r="M23" s="102">
        <v>1</v>
      </c>
      <c r="N23" s="102">
        <v>0</v>
      </c>
      <c r="O23" s="102">
        <v>0</v>
      </c>
      <c r="P23" s="102">
        <v>1</v>
      </c>
      <c r="Q23" s="102">
        <v>1</v>
      </c>
      <c r="R23" s="102">
        <v>0</v>
      </c>
      <c r="S23" s="102">
        <v>0</v>
      </c>
      <c r="T23" s="102">
        <v>0</v>
      </c>
      <c r="U23" s="102">
        <v>0</v>
      </c>
      <c r="V23" s="102">
        <v>1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>
        <v>0</v>
      </c>
      <c r="AD23" s="102">
        <v>0</v>
      </c>
      <c r="AE23" s="102">
        <v>0</v>
      </c>
    </row>
    <row r="24" spans="1:31" customFormat="1" x14ac:dyDescent="0.15">
      <c r="A24" s="183" t="s">
        <v>214</v>
      </c>
      <c r="B24" s="102">
        <v>1</v>
      </c>
      <c r="C24" s="102">
        <v>0</v>
      </c>
      <c r="D24" s="102">
        <v>0</v>
      </c>
      <c r="E24" s="102">
        <v>0</v>
      </c>
      <c r="F24" s="102">
        <v>0</v>
      </c>
      <c r="G24" s="102">
        <v>1</v>
      </c>
      <c r="H24" s="102">
        <v>1</v>
      </c>
      <c r="I24" s="102">
        <v>0</v>
      </c>
      <c r="J24" s="102">
        <v>0</v>
      </c>
      <c r="K24" s="102">
        <v>0</v>
      </c>
      <c r="L24" s="102">
        <v>0</v>
      </c>
      <c r="M24" s="102">
        <v>1</v>
      </c>
      <c r="N24" s="102">
        <v>0</v>
      </c>
      <c r="O24" s="102">
        <v>0</v>
      </c>
      <c r="P24" s="102">
        <v>0</v>
      </c>
      <c r="Q24" s="102">
        <v>1</v>
      </c>
      <c r="R24" s="102">
        <v>1</v>
      </c>
      <c r="S24" s="102">
        <v>0</v>
      </c>
      <c r="T24" s="102">
        <v>0</v>
      </c>
      <c r="U24" s="102">
        <v>0</v>
      </c>
      <c r="V24" s="102">
        <v>0</v>
      </c>
      <c r="W24" s="102">
        <v>1</v>
      </c>
      <c r="X24" s="102">
        <v>0</v>
      </c>
      <c r="Y24" s="102">
        <v>1</v>
      </c>
      <c r="Z24" s="102">
        <v>0</v>
      </c>
      <c r="AA24" s="102">
        <v>0</v>
      </c>
      <c r="AB24" s="102">
        <v>0</v>
      </c>
      <c r="AC24" s="102">
        <v>0</v>
      </c>
      <c r="AD24" s="102">
        <v>0</v>
      </c>
      <c r="AE24" s="102">
        <v>0</v>
      </c>
    </row>
    <row r="25" spans="1:31" customFormat="1" x14ac:dyDescent="0.15">
      <c r="A25" s="183" t="s">
        <v>215</v>
      </c>
      <c r="B25" s="102">
        <v>0</v>
      </c>
      <c r="C25" s="102">
        <v>0</v>
      </c>
      <c r="D25" s="102">
        <v>1</v>
      </c>
      <c r="E25" s="102">
        <v>0</v>
      </c>
      <c r="F25" s="102">
        <v>1</v>
      </c>
      <c r="G25" s="102">
        <v>1</v>
      </c>
      <c r="H25" s="102">
        <v>1</v>
      </c>
      <c r="I25" s="102">
        <v>1</v>
      </c>
      <c r="J25" s="102">
        <v>1</v>
      </c>
      <c r="K25" s="102">
        <v>0</v>
      </c>
      <c r="L25" s="102">
        <v>0</v>
      </c>
      <c r="M25" s="102">
        <v>0</v>
      </c>
      <c r="N25" s="102">
        <v>1</v>
      </c>
      <c r="O25" s="102">
        <v>1</v>
      </c>
      <c r="P25" s="102">
        <v>1</v>
      </c>
      <c r="Q25" s="102">
        <v>1</v>
      </c>
      <c r="R25" s="102">
        <v>1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>
        <v>0</v>
      </c>
      <c r="AD25" s="102">
        <v>0</v>
      </c>
      <c r="AE25" s="102">
        <v>0</v>
      </c>
    </row>
    <row r="26" spans="1:31" customFormat="1" x14ac:dyDescent="0.15">
      <c r="A26" s="183" t="s">
        <v>216</v>
      </c>
      <c r="B26" s="102">
        <v>1</v>
      </c>
      <c r="C26" s="102">
        <v>0</v>
      </c>
      <c r="D26" s="102">
        <v>1</v>
      </c>
      <c r="E26" s="102">
        <v>0</v>
      </c>
      <c r="F26" s="102">
        <v>1</v>
      </c>
      <c r="G26" s="102">
        <v>0</v>
      </c>
      <c r="H26" s="102">
        <v>1</v>
      </c>
      <c r="I26" s="102">
        <v>1</v>
      </c>
      <c r="J26" s="102">
        <v>1</v>
      </c>
      <c r="K26" s="102">
        <v>1</v>
      </c>
      <c r="L26" s="102">
        <v>0</v>
      </c>
      <c r="M26" s="102">
        <v>0</v>
      </c>
      <c r="N26" s="102">
        <v>1</v>
      </c>
      <c r="O26" s="102">
        <v>1</v>
      </c>
      <c r="P26" s="102">
        <v>1</v>
      </c>
      <c r="Q26" s="102">
        <v>1</v>
      </c>
      <c r="R26" s="102">
        <v>1</v>
      </c>
      <c r="S26" s="102">
        <v>1</v>
      </c>
      <c r="T26" s="102">
        <v>0</v>
      </c>
      <c r="U26" s="102">
        <v>1</v>
      </c>
      <c r="V26" s="102">
        <v>1</v>
      </c>
      <c r="W26" s="102">
        <v>0</v>
      </c>
      <c r="X26" s="102">
        <v>1</v>
      </c>
      <c r="Y26" s="102">
        <v>1</v>
      </c>
      <c r="Z26" s="102">
        <v>0</v>
      </c>
      <c r="AA26" s="102">
        <v>0</v>
      </c>
      <c r="AB26" s="102">
        <v>0</v>
      </c>
      <c r="AC26" s="102">
        <v>0</v>
      </c>
      <c r="AD26" s="102">
        <v>0</v>
      </c>
      <c r="AE26" s="102">
        <v>0</v>
      </c>
    </row>
    <row r="27" spans="1:31" customFormat="1" x14ac:dyDescent="0.15">
      <c r="A27" s="183" t="s">
        <v>217</v>
      </c>
      <c r="B27" s="102">
        <v>1</v>
      </c>
      <c r="C27" s="102">
        <v>1</v>
      </c>
      <c r="D27" s="102">
        <v>0</v>
      </c>
      <c r="E27" s="102">
        <v>1</v>
      </c>
      <c r="F27" s="102">
        <v>1</v>
      </c>
      <c r="G27" s="102">
        <v>0</v>
      </c>
      <c r="H27" s="102">
        <v>1</v>
      </c>
      <c r="I27" s="102">
        <v>0</v>
      </c>
      <c r="J27" s="102">
        <v>1</v>
      </c>
      <c r="K27" s="102">
        <v>1</v>
      </c>
      <c r="L27" s="102">
        <v>1</v>
      </c>
      <c r="M27" s="102">
        <v>0</v>
      </c>
      <c r="N27" s="102">
        <v>1</v>
      </c>
      <c r="O27" s="102">
        <v>0</v>
      </c>
      <c r="P27" s="102">
        <v>1</v>
      </c>
      <c r="Q27" s="102">
        <v>1</v>
      </c>
      <c r="R27" s="102">
        <v>1</v>
      </c>
      <c r="S27" s="102">
        <v>1</v>
      </c>
      <c r="T27" s="102">
        <v>1</v>
      </c>
      <c r="U27" s="102">
        <v>1</v>
      </c>
      <c r="V27" s="102">
        <v>1</v>
      </c>
      <c r="W27" s="102">
        <v>1</v>
      </c>
      <c r="X27" s="102">
        <v>1</v>
      </c>
      <c r="Y27" s="102">
        <v>1</v>
      </c>
      <c r="Z27" s="102">
        <v>0</v>
      </c>
      <c r="AA27" s="102">
        <v>0</v>
      </c>
      <c r="AB27" s="102">
        <v>0</v>
      </c>
      <c r="AC27" s="102">
        <v>0</v>
      </c>
      <c r="AD27" s="102">
        <v>0</v>
      </c>
      <c r="AE27" s="102">
        <v>0</v>
      </c>
    </row>
    <row r="28" spans="1:31" customFormat="1" x14ac:dyDescent="0.15">
      <c r="A28" s="183" t="s">
        <v>218</v>
      </c>
      <c r="B28" s="102">
        <v>1</v>
      </c>
      <c r="C28" s="102">
        <v>1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1</v>
      </c>
      <c r="L28" s="102">
        <v>0</v>
      </c>
      <c r="M28" s="102">
        <v>0</v>
      </c>
      <c r="N28" s="102">
        <v>0</v>
      </c>
      <c r="O28" s="102">
        <v>0</v>
      </c>
      <c r="P28" s="102">
        <v>0</v>
      </c>
      <c r="Q28" s="102">
        <v>0</v>
      </c>
      <c r="R28" s="102">
        <v>1</v>
      </c>
      <c r="S28" s="102">
        <v>1</v>
      </c>
      <c r="T28" s="102">
        <v>1</v>
      </c>
      <c r="U28" s="102">
        <v>1</v>
      </c>
      <c r="V28" s="102">
        <v>0</v>
      </c>
      <c r="W28" s="102">
        <v>0</v>
      </c>
      <c r="X28" s="102">
        <v>1</v>
      </c>
      <c r="Y28" s="102">
        <v>1</v>
      </c>
      <c r="Z28" s="102">
        <v>0</v>
      </c>
      <c r="AA28" s="102">
        <v>1</v>
      </c>
      <c r="AB28" s="102">
        <v>0</v>
      </c>
      <c r="AC28" s="102">
        <v>0</v>
      </c>
      <c r="AD28" s="102">
        <v>0</v>
      </c>
      <c r="AE28" s="102">
        <v>0</v>
      </c>
    </row>
    <row r="29" spans="1:31" customFormat="1" x14ac:dyDescent="0.15">
      <c r="A29" s="183" t="s">
        <v>219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1</v>
      </c>
      <c r="V29" s="102">
        <v>0</v>
      </c>
      <c r="W29" s="102">
        <v>0</v>
      </c>
      <c r="X29" s="102">
        <v>1</v>
      </c>
      <c r="Y29" s="102">
        <v>0</v>
      </c>
      <c r="Z29" s="102">
        <v>0</v>
      </c>
      <c r="AA29" s="102">
        <v>1</v>
      </c>
      <c r="AB29" s="102">
        <v>1</v>
      </c>
      <c r="AC29" s="102">
        <v>0</v>
      </c>
      <c r="AD29" s="102">
        <v>0</v>
      </c>
      <c r="AE29" s="102">
        <v>0</v>
      </c>
    </row>
    <row r="30" spans="1:31" customFormat="1" x14ac:dyDescent="0.15">
      <c r="A30" s="183" t="s">
        <v>220</v>
      </c>
      <c r="B30" s="102">
        <v>0</v>
      </c>
      <c r="C30" s="102">
        <v>0</v>
      </c>
      <c r="D30" s="102">
        <v>0</v>
      </c>
      <c r="E30" s="102">
        <v>0</v>
      </c>
      <c r="F30" s="102">
        <v>1</v>
      </c>
      <c r="G30" s="102">
        <v>0</v>
      </c>
      <c r="H30" s="102">
        <v>1</v>
      </c>
      <c r="I30" s="102">
        <v>1</v>
      </c>
      <c r="J30" s="102">
        <v>1</v>
      </c>
      <c r="K30" s="102">
        <v>0</v>
      </c>
      <c r="L30" s="102">
        <v>0</v>
      </c>
      <c r="M30" s="102">
        <v>0</v>
      </c>
      <c r="N30" s="102">
        <v>1</v>
      </c>
      <c r="O30" s="102">
        <v>1</v>
      </c>
      <c r="P30" s="102">
        <v>1</v>
      </c>
      <c r="Q30" s="102">
        <v>1</v>
      </c>
      <c r="R30" s="102">
        <v>1</v>
      </c>
      <c r="S30" s="102">
        <v>0</v>
      </c>
      <c r="T30" s="102">
        <v>0</v>
      </c>
      <c r="U30" s="102">
        <v>1</v>
      </c>
      <c r="V30" s="102">
        <v>0</v>
      </c>
      <c r="W30" s="102">
        <v>0</v>
      </c>
      <c r="X30" s="102">
        <v>1</v>
      </c>
      <c r="Y30" s="102">
        <v>1</v>
      </c>
      <c r="Z30" s="102">
        <v>1</v>
      </c>
      <c r="AA30" s="102">
        <v>0</v>
      </c>
      <c r="AB30" s="102">
        <v>0</v>
      </c>
      <c r="AC30" s="102">
        <v>0</v>
      </c>
      <c r="AD30" s="102">
        <v>0</v>
      </c>
      <c r="AE30" s="102">
        <v>0</v>
      </c>
    </row>
    <row r="31" spans="1:31" customFormat="1" x14ac:dyDescent="0.15">
      <c r="A31" s="183" t="s">
        <v>221</v>
      </c>
      <c r="B31" s="102">
        <v>0</v>
      </c>
      <c r="C31" s="102">
        <v>0</v>
      </c>
      <c r="D31" s="102">
        <v>0</v>
      </c>
      <c r="E31" s="102">
        <v>0</v>
      </c>
      <c r="F31" s="102">
        <v>0</v>
      </c>
      <c r="G31" s="102">
        <v>0</v>
      </c>
      <c r="H31" s="102">
        <v>0</v>
      </c>
      <c r="I31" s="102">
        <v>0</v>
      </c>
      <c r="J31" s="102">
        <v>0</v>
      </c>
      <c r="K31" s="102">
        <v>0</v>
      </c>
      <c r="L31" s="102">
        <v>0</v>
      </c>
      <c r="M31" s="102">
        <v>0</v>
      </c>
      <c r="N31" s="102">
        <v>0</v>
      </c>
      <c r="O31" s="102">
        <v>0</v>
      </c>
      <c r="P31" s="102">
        <v>0</v>
      </c>
      <c r="Q31" s="102">
        <v>0</v>
      </c>
      <c r="R31" s="102">
        <v>0</v>
      </c>
      <c r="S31" s="102">
        <v>0</v>
      </c>
      <c r="T31" s="102">
        <v>0</v>
      </c>
      <c r="U31" s="102">
        <v>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0</v>
      </c>
    </row>
    <row r="32" spans="1:31" x14ac:dyDescent="0.15">
      <c r="A32" s="183" t="s">
        <v>233</v>
      </c>
      <c r="B32" s="102">
        <v>0</v>
      </c>
      <c r="C32" s="102">
        <v>0</v>
      </c>
      <c r="D32" s="102">
        <v>0</v>
      </c>
      <c r="E32" s="102">
        <v>0</v>
      </c>
      <c r="F32" s="102">
        <v>0</v>
      </c>
      <c r="G32" s="102">
        <v>0</v>
      </c>
      <c r="H32" s="102">
        <v>0</v>
      </c>
      <c r="I32" s="102">
        <v>0</v>
      </c>
      <c r="J32" s="102">
        <v>0</v>
      </c>
      <c r="K32" s="102">
        <v>0</v>
      </c>
      <c r="L32" s="102">
        <v>0</v>
      </c>
      <c r="M32" s="102">
        <v>0</v>
      </c>
      <c r="N32" s="102">
        <v>0</v>
      </c>
      <c r="O32" s="102">
        <v>0</v>
      </c>
      <c r="P32" s="102">
        <v>0</v>
      </c>
      <c r="Q32" s="102">
        <v>0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</v>
      </c>
      <c r="X32" s="102">
        <v>0</v>
      </c>
      <c r="Y32" s="102">
        <v>0</v>
      </c>
      <c r="Z32" s="102">
        <v>0</v>
      </c>
      <c r="AA32" s="102">
        <v>0</v>
      </c>
      <c r="AB32" s="102">
        <v>0</v>
      </c>
      <c r="AC32" s="102">
        <v>0</v>
      </c>
      <c r="AD32" s="102">
        <v>1</v>
      </c>
      <c r="AE32" s="10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M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6640625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83</v>
      </c>
      <c r="B1" s="3" t="s">
        <v>0</v>
      </c>
      <c r="C1" s="186" t="s">
        <v>222</v>
      </c>
      <c r="D1" s="186" t="s">
        <v>223</v>
      </c>
      <c r="E1" s="186" t="s">
        <v>224</v>
      </c>
      <c r="F1" s="186" t="s">
        <v>225</v>
      </c>
      <c r="G1" s="186" t="s">
        <v>226</v>
      </c>
      <c r="H1" s="186" t="s">
        <v>227</v>
      </c>
      <c r="I1" s="186" t="s">
        <v>228</v>
      </c>
      <c r="J1" s="186" t="s">
        <v>229</v>
      </c>
      <c r="K1" s="186" t="s">
        <v>230</v>
      </c>
      <c r="L1" s="186" t="s">
        <v>231</v>
      </c>
      <c r="M1" s="186" t="s">
        <v>232</v>
      </c>
    </row>
    <row r="2" spans="1:13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85" t="s">
        <v>195</v>
      </c>
      <c r="C5">
        <v>0.8</v>
      </c>
      <c r="D5">
        <v>0.8</v>
      </c>
      <c r="E5">
        <v>0.8</v>
      </c>
      <c r="F5">
        <v>0</v>
      </c>
      <c r="G5">
        <v>0.8</v>
      </c>
      <c r="H5">
        <v>0</v>
      </c>
      <c r="I5">
        <v>0.8</v>
      </c>
      <c r="J5">
        <v>0.8</v>
      </c>
      <c r="K5">
        <v>0</v>
      </c>
      <c r="L5">
        <v>0</v>
      </c>
      <c r="M5">
        <v>0</v>
      </c>
    </row>
    <row r="6" spans="1:13" x14ac:dyDescent="0.15">
      <c r="A6">
        <v>5</v>
      </c>
      <c r="B6" s="185" t="s">
        <v>196</v>
      </c>
      <c r="C6">
        <v>0.8</v>
      </c>
      <c r="D6">
        <v>0.8</v>
      </c>
      <c r="E6">
        <v>0.8</v>
      </c>
      <c r="F6">
        <v>0.8</v>
      </c>
      <c r="G6">
        <v>0</v>
      </c>
      <c r="H6">
        <v>0.8</v>
      </c>
      <c r="I6">
        <v>0</v>
      </c>
      <c r="J6">
        <v>0</v>
      </c>
      <c r="K6">
        <v>0.8</v>
      </c>
      <c r="L6">
        <v>0</v>
      </c>
      <c r="M6">
        <v>0</v>
      </c>
    </row>
    <row r="7" spans="1:13" x14ac:dyDescent="0.15">
      <c r="A7">
        <v>6</v>
      </c>
      <c r="B7" s="185" t="s">
        <v>197</v>
      </c>
      <c r="C7">
        <v>0.8</v>
      </c>
      <c r="D7">
        <v>0.8</v>
      </c>
      <c r="E7">
        <v>0.8</v>
      </c>
      <c r="F7">
        <v>0</v>
      </c>
      <c r="G7">
        <v>0.8</v>
      </c>
      <c r="H7">
        <v>0</v>
      </c>
      <c r="I7">
        <v>0</v>
      </c>
      <c r="J7">
        <v>0.8</v>
      </c>
      <c r="K7">
        <v>0.8</v>
      </c>
      <c r="L7">
        <v>0.8</v>
      </c>
      <c r="M7">
        <v>0</v>
      </c>
    </row>
    <row r="8" spans="1:13" x14ac:dyDescent="0.15">
      <c r="A8">
        <v>7</v>
      </c>
      <c r="B8" s="185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</row>
    <row r="9" spans="1:13" x14ac:dyDescent="0.15">
      <c r="A9">
        <v>8</v>
      </c>
      <c r="B9" s="185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85" t="s">
        <v>200</v>
      </c>
      <c r="C10">
        <v>0.8</v>
      </c>
      <c r="D10">
        <v>0.8</v>
      </c>
      <c r="E10">
        <v>0.8</v>
      </c>
      <c r="F10">
        <v>0.8</v>
      </c>
      <c r="G10">
        <v>0</v>
      </c>
      <c r="H10">
        <v>0.8</v>
      </c>
      <c r="I10">
        <v>0</v>
      </c>
      <c r="J10">
        <v>0</v>
      </c>
      <c r="K10">
        <v>0.8</v>
      </c>
      <c r="L10">
        <v>0.8</v>
      </c>
      <c r="M10">
        <v>0.8</v>
      </c>
    </row>
    <row r="11" spans="1:13" x14ac:dyDescent="0.15">
      <c r="A11">
        <v>10</v>
      </c>
      <c r="B11" s="185" t="s">
        <v>201</v>
      </c>
      <c r="C11">
        <v>0.8</v>
      </c>
      <c r="D11">
        <v>0.8</v>
      </c>
      <c r="E11">
        <v>0.8</v>
      </c>
      <c r="F11">
        <v>0</v>
      </c>
      <c r="G11">
        <v>0</v>
      </c>
      <c r="H11">
        <v>0.8</v>
      </c>
      <c r="I11">
        <v>0</v>
      </c>
      <c r="J11">
        <v>0</v>
      </c>
      <c r="K11">
        <v>0.8</v>
      </c>
      <c r="L11">
        <v>0.8</v>
      </c>
      <c r="M11">
        <v>0</v>
      </c>
    </row>
    <row r="12" spans="1:13" x14ac:dyDescent="0.15">
      <c r="A12">
        <v>11</v>
      </c>
      <c r="B12" s="185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  <c r="L12">
        <v>0.8</v>
      </c>
      <c r="M12">
        <v>0</v>
      </c>
    </row>
    <row r="13" spans="1:13" x14ac:dyDescent="0.15">
      <c r="A13">
        <v>12</v>
      </c>
      <c r="B13" s="185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</v>
      </c>
      <c r="I13">
        <v>0</v>
      </c>
      <c r="J13">
        <v>0.8</v>
      </c>
      <c r="K13">
        <v>0.8</v>
      </c>
      <c r="L13">
        <v>0.8</v>
      </c>
      <c r="M13">
        <v>0</v>
      </c>
    </row>
    <row r="14" spans="1:13" x14ac:dyDescent="0.15">
      <c r="A14">
        <v>13</v>
      </c>
      <c r="B14" s="185" t="s">
        <v>204</v>
      </c>
      <c r="C14">
        <v>0.8</v>
      </c>
      <c r="D14">
        <v>0</v>
      </c>
      <c r="E14">
        <v>0.8</v>
      </c>
      <c r="F14">
        <v>0.8</v>
      </c>
      <c r="G14">
        <v>0.8</v>
      </c>
      <c r="H14">
        <v>0.8</v>
      </c>
      <c r="I14">
        <v>0</v>
      </c>
      <c r="J14">
        <v>0</v>
      </c>
      <c r="K14">
        <v>0.8</v>
      </c>
      <c r="L14">
        <v>0.8</v>
      </c>
      <c r="M14">
        <v>0</v>
      </c>
    </row>
    <row r="15" spans="1:13" x14ac:dyDescent="0.15">
      <c r="A15">
        <v>14</v>
      </c>
      <c r="B15" s="185" t="s">
        <v>205</v>
      </c>
      <c r="C15">
        <v>0.8</v>
      </c>
      <c r="D15">
        <v>0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</v>
      </c>
      <c r="K15">
        <v>0.8</v>
      </c>
      <c r="L15">
        <v>0.8</v>
      </c>
      <c r="M15">
        <v>0.8</v>
      </c>
    </row>
    <row r="16" spans="1:13" x14ac:dyDescent="0.15">
      <c r="A16">
        <v>15</v>
      </c>
      <c r="B16" s="185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</v>
      </c>
      <c r="J16">
        <v>0.8</v>
      </c>
      <c r="K16">
        <v>0.8</v>
      </c>
      <c r="L16">
        <v>0.8</v>
      </c>
      <c r="M16">
        <v>0</v>
      </c>
    </row>
    <row r="17" spans="1:13" x14ac:dyDescent="0.15">
      <c r="A17">
        <v>16</v>
      </c>
      <c r="B17" s="185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</v>
      </c>
    </row>
    <row r="18" spans="1:13" x14ac:dyDescent="0.15">
      <c r="A18">
        <v>17</v>
      </c>
      <c r="B18" s="185" t="s">
        <v>208</v>
      </c>
      <c r="C18">
        <v>0.8</v>
      </c>
      <c r="D18">
        <v>0.8</v>
      </c>
      <c r="E18">
        <v>0.8</v>
      </c>
      <c r="F18">
        <v>0</v>
      </c>
      <c r="G18">
        <v>0.8</v>
      </c>
      <c r="H18">
        <v>0.8</v>
      </c>
      <c r="I18">
        <v>0</v>
      </c>
      <c r="J18">
        <v>0</v>
      </c>
      <c r="K18">
        <v>0.8</v>
      </c>
      <c r="L18">
        <v>0.8</v>
      </c>
      <c r="M18">
        <v>0</v>
      </c>
    </row>
    <row r="19" spans="1:13" x14ac:dyDescent="0.15">
      <c r="A19">
        <v>18</v>
      </c>
      <c r="B19" s="185" t="s">
        <v>209</v>
      </c>
      <c r="C19">
        <v>0.8</v>
      </c>
      <c r="D19">
        <v>0.8</v>
      </c>
      <c r="E19">
        <v>0.8</v>
      </c>
      <c r="F19">
        <v>0</v>
      </c>
      <c r="G19">
        <v>0.8</v>
      </c>
      <c r="H19">
        <v>0.8</v>
      </c>
      <c r="I19">
        <v>0</v>
      </c>
      <c r="J19">
        <v>0.8</v>
      </c>
      <c r="K19">
        <v>0.8</v>
      </c>
      <c r="L19">
        <v>0.8</v>
      </c>
      <c r="M19">
        <v>0</v>
      </c>
    </row>
    <row r="20" spans="1:13" x14ac:dyDescent="0.15">
      <c r="A20">
        <v>19</v>
      </c>
      <c r="B20" s="185" t="s">
        <v>210</v>
      </c>
      <c r="C20">
        <v>0.8</v>
      </c>
      <c r="D20">
        <v>0.8</v>
      </c>
      <c r="E20">
        <v>0</v>
      </c>
      <c r="F20">
        <v>0</v>
      </c>
      <c r="G20">
        <v>0.8</v>
      </c>
      <c r="H20">
        <v>0.8</v>
      </c>
      <c r="I20">
        <v>0</v>
      </c>
      <c r="J20">
        <v>0.8</v>
      </c>
      <c r="K20">
        <v>0.8</v>
      </c>
      <c r="L20">
        <v>0.8</v>
      </c>
      <c r="M20">
        <v>0</v>
      </c>
    </row>
    <row r="21" spans="1:13" x14ac:dyDescent="0.15">
      <c r="A21">
        <v>20</v>
      </c>
      <c r="B21" s="185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  <c r="H21">
        <v>0</v>
      </c>
      <c r="I21">
        <v>0</v>
      </c>
      <c r="J21">
        <v>0.8</v>
      </c>
      <c r="K21">
        <v>0</v>
      </c>
      <c r="L21">
        <v>0</v>
      </c>
      <c r="M21">
        <v>0</v>
      </c>
    </row>
    <row r="22" spans="1:13" x14ac:dyDescent="0.15">
      <c r="A22">
        <v>21</v>
      </c>
      <c r="B22" s="185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0.8</v>
      </c>
      <c r="L22">
        <v>0.8</v>
      </c>
      <c r="M22">
        <v>0</v>
      </c>
    </row>
    <row r="23" spans="1:13" x14ac:dyDescent="0.15">
      <c r="A23">
        <v>22</v>
      </c>
      <c r="B23" s="185" t="s">
        <v>213</v>
      </c>
      <c r="C23">
        <v>0.8</v>
      </c>
      <c r="D23">
        <v>0</v>
      </c>
      <c r="E23">
        <v>0.8</v>
      </c>
      <c r="F23">
        <v>0.8</v>
      </c>
      <c r="G23">
        <v>0.8</v>
      </c>
      <c r="H23">
        <v>0.8</v>
      </c>
      <c r="I23">
        <v>0</v>
      </c>
      <c r="J23">
        <v>0</v>
      </c>
      <c r="K23">
        <v>0.8</v>
      </c>
      <c r="L23">
        <v>0.8</v>
      </c>
      <c r="M23">
        <v>0</v>
      </c>
    </row>
    <row r="24" spans="1:13" x14ac:dyDescent="0.15">
      <c r="A24">
        <v>23</v>
      </c>
      <c r="B24" s="185" t="s">
        <v>214</v>
      </c>
      <c r="C24">
        <v>0.8</v>
      </c>
      <c r="D24">
        <v>0</v>
      </c>
      <c r="E24">
        <v>0</v>
      </c>
      <c r="F24">
        <v>0.8</v>
      </c>
      <c r="G24">
        <v>0.8</v>
      </c>
      <c r="H24">
        <v>0.8</v>
      </c>
      <c r="I24">
        <v>0</v>
      </c>
      <c r="J24">
        <v>0</v>
      </c>
      <c r="K24">
        <v>0.8</v>
      </c>
      <c r="L24">
        <v>0</v>
      </c>
      <c r="M24">
        <v>0.8</v>
      </c>
    </row>
    <row r="25" spans="1:13" x14ac:dyDescent="0.15">
      <c r="A25">
        <v>24</v>
      </c>
      <c r="B25" s="185" t="s">
        <v>215</v>
      </c>
      <c r="C25">
        <v>0.8</v>
      </c>
      <c r="D25">
        <v>0</v>
      </c>
      <c r="E25">
        <v>0.8</v>
      </c>
      <c r="F25">
        <v>0.8</v>
      </c>
      <c r="G25">
        <v>0.8</v>
      </c>
      <c r="H25">
        <v>0</v>
      </c>
      <c r="I25">
        <v>0</v>
      </c>
      <c r="J25">
        <v>0</v>
      </c>
      <c r="K25">
        <v>0</v>
      </c>
      <c r="L25">
        <v>0</v>
      </c>
      <c r="M25">
        <v>0.8</v>
      </c>
    </row>
    <row r="26" spans="1:13" x14ac:dyDescent="0.15">
      <c r="A26">
        <v>25</v>
      </c>
      <c r="B26" s="185" t="s">
        <v>216</v>
      </c>
      <c r="C26">
        <v>0.8</v>
      </c>
      <c r="D26">
        <v>0</v>
      </c>
      <c r="E26">
        <v>0</v>
      </c>
      <c r="F26">
        <v>0.8</v>
      </c>
      <c r="G26">
        <v>0.8</v>
      </c>
      <c r="H26">
        <v>0</v>
      </c>
      <c r="I26">
        <v>0</v>
      </c>
      <c r="J26">
        <v>0.8</v>
      </c>
      <c r="K26">
        <v>0.8</v>
      </c>
      <c r="L26">
        <v>0</v>
      </c>
      <c r="M26">
        <v>0.8</v>
      </c>
    </row>
    <row r="27" spans="1:13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8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M3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6640625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82</v>
      </c>
      <c r="B1" s="3" t="s">
        <v>0</v>
      </c>
      <c r="C1" s="188" t="s">
        <v>222</v>
      </c>
      <c r="D1" s="188" t="s">
        <v>223</v>
      </c>
      <c r="E1" s="188" t="s">
        <v>224</v>
      </c>
      <c r="F1" s="188" t="s">
        <v>225</v>
      </c>
      <c r="G1" s="188" t="s">
        <v>226</v>
      </c>
      <c r="H1" s="188" t="s">
        <v>227</v>
      </c>
      <c r="I1" s="188" t="s">
        <v>228</v>
      </c>
      <c r="J1" s="188" t="s">
        <v>229</v>
      </c>
      <c r="K1" s="188" t="s">
        <v>230</v>
      </c>
      <c r="L1" s="188" t="s">
        <v>231</v>
      </c>
      <c r="M1" s="188" t="s">
        <v>232</v>
      </c>
    </row>
    <row r="2" spans="1:13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8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87" t="s">
        <v>195</v>
      </c>
      <c r="C5">
        <v>0.8</v>
      </c>
      <c r="D5">
        <v>0.8</v>
      </c>
      <c r="E5">
        <v>0.8</v>
      </c>
      <c r="F5">
        <v>0</v>
      </c>
      <c r="G5">
        <v>0.8</v>
      </c>
      <c r="H5">
        <v>0</v>
      </c>
      <c r="I5">
        <v>0.8</v>
      </c>
      <c r="J5">
        <v>0.8</v>
      </c>
      <c r="K5">
        <v>0</v>
      </c>
      <c r="L5">
        <v>0</v>
      </c>
      <c r="M5">
        <v>0</v>
      </c>
    </row>
    <row r="6" spans="1:13" x14ac:dyDescent="0.15">
      <c r="A6">
        <v>5</v>
      </c>
      <c r="B6" s="187" t="s">
        <v>196</v>
      </c>
      <c r="C6">
        <v>0.8</v>
      </c>
      <c r="D6">
        <v>0.8</v>
      </c>
      <c r="E6">
        <v>0.8</v>
      </c>
      <c r="F6">
        <v>0.8</v>
      </c>
      <c r="G6">
        <v>0</v>
      </c>
      <c r="H6">
        <v>0.8</v>
      </c>
      <c r="I6">
        <v>0</v>
      </c>
      <c r="J6">
        <v>0</v>
      </c>
      <c r="K6">
        <v>0.8</v>
      </c>
      <c r="L6">
        <v>0</v>
      </c>
      <c r="M6">
        <v>0</v>
      </c>
    </row>
    <row r="7" spans="1:13" x14ac:dyDescent="0.15">
      <c r="A7">
        <v>6</v>
      </c>
      <c r="B7" s="187" t="s">
        <v>197</v>
      </c>
      <c r="C7">
        <v>0.8</v>
      </c>
      <c r="D7">
        <v>0.8</v>
      </c>
      <c r="E7">
        <v>0.8</v>
      </c>
      <c r="F7">
        <v>0</v>
      </c>
      <c r="G7">
        <v>0.8</v>
      </c>
      <c r="H7">
        <v>0</v>
      </c>
      <c r="I7">
        <v>0</v>
      </c>
      <c r="J7">
        <v>0.8</v>
      </c>
      <c r="K7">
        <v>0.8</v>
      </c>
      <c r="L7">
        <v>0.8</v>
      </c>
      <c r="M7">
        <v>0</v>
      </c>
    </row>
    <row r="8" spans="1:13" x14ac:dyDescent="0.15">
      <c r="A8">
        <v>7</v>
      </c>
      <c r="B8" s="187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</row>
    <row r="9" spans="1:13" x14ac:dyDescent="0.15">
      <c r="A9">
        <v>8</v>
      </c>
      <c r="B9" s="187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87" t="s">
        <v>200</v>
      </c>
      <c r="C10">
        <v>0.8</v>
      </c>
      <c r="D10">
        <v>0.8</v>
      </c>
      <c r="E10">
        <v>0.8</v>
      </c>
      <c r="F10">
        <v>0.8</v>
      </c>
      <c r="G10">
        <v>0</v>
      </c>
      <c r="H10">
        <v>0.8</v>
      </c>
      <c r="I10">
        <v>0</v>
      </c>
      <c r="J10">
        <v>0</v>
      </c>
      <c r="K10">
        <v>0.8</v>
      </c>
      <c r="L10">
        <v>0.8</v>
      </c>
      <c r="M10">
        <v>0.8</v>
      </c>
    </row>
    <row r="11" spans="1:13" x14ac:dyDescent="0.15">
      <c r="A11">
        <v>10</v>
      </c>
      <c r="B11" s="187" t="s">
        <v>201</v>
      </c>
      <c r="C11">
        <v>0.8</v>
      </c>
      <c r="D11">
        <v>0.8</v>
      </c>
      <c r="E11">
        <v>0.8</v>
      </c>
      <c r="F11">
        <v>0</v>
      </c>
      <c r="G11">
        <v>0</v>
      </c>
      <c r="H11">
        <v>0.8</v>
      </c>
      <c r="I11">
        <v>0</v>
      </c>
      <c r="J11">
        <v>0</v>
      </c>
      <c r="K11">
        <v>0.8</v>
      </c>
      <c r="L11">
        <v>0.8</v>
      </c>
      <c r="M11">
        <v>0</v>
      </c>
    </row>
    <row r="12" spans="1:13" x14ac:dyDescent="0.15">
      <c r="A12">
        <v>11</v>
      </c>
      <c r="B12" s="187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  <c r="L12">
        <v>0.8</v>
      </c>
      <c r="M12">
        <v>0</v>
      </c>
    </row>
    <row r="13" spans="1:13" x14ac:dyDescent="0.15">
      <c r="A13">
        <v>12</v>
      </c>
      <c r="B13" s="187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</v>
      </c>
      <c r="I13">
        <v>0</v>
      </c>
      <c r="J13">
        <v>0.8</v>
      </c>
      <c r="K13">
        <v>0.8</v>
      </c>
      <c r="L13">
        <v>0.8</v>
      </c>
      <c r="M13">
        <v>0</v>
      </c>
    </row>
    <row r="14" spans="1:13" x14ac:dyDescent="0.15">
      <c r="A14">
        <v>13</v>
      </c>
      <c r="B14" s="187" t="s">
        <v>204</v>
      </c>
      <c r="C14">
        <v>0.8</v>
      </c>
      <c r="D14">
        <v>0</v>
      </c>
      <c r="E14">
        <v>0.8</v>
      </c>
      <c r="F14">
        <v>0.8</v>
      </c>
      <c r="G14">
        <v>0.8</v>
      </c>
      <c r="H14">
        <v>0.8</v>
      </c>
      <c r="I14">
        <v>0</v>
      </c>
      <c r="J14">
        <v>0</v>
      </c>
      <c r="K14">
        <v>0.8</v>
      </c>
      <c r="L14">
        <v>0.8</v>
      </c>
      <c r="M14">
        <v>0</v>
      </c>
    </row>
    <row r="15" spans="1:13" x14ac:dyDescent="0.15">
      <c r="A15">
        <v>14</v>
      </c>
      <c r="B15" s="187" t="s">
        <v>205</v>
      </c>
      <c r="C15">
        <v>0.8</v>
      </c>
      <c r="D15">
        <v>0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</v>
      </c>
      <c r="K15">
        <v>0.8</v>
      </c>
      <c r="L15">
        <v>0.8</v>
      </c>
      <c r="M15">
        <v>0.8</v>
      </c>
    </row>
    <row r="16" spans="1:13" x14ac:dyDescent="0.15">
      <c r="A16">
        <v>15</v>
      </c>
      <c r="B16" s="187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</v>
      </c>
      <c r="J16">
        <v>0.8</v>
      </c>
      <c r="K16">
        <v>0.8</v>
      </c>
      <c r="L16">
        <v>0.8</v>
      </c>
      <c r="M16">
        <v>0</v>
      </c>
    </row>
    <row r="17" spans="1:13" x14ac:dyDescent="0.15">
      <c r="A17">
        <v>16</v>
      </c>
      <c r="B17" s="187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</v>
      </c>
    </row>
    <row r="18" spans="1:13" x14ac:dyDescent="0.15">
      <c r="A18">
        <v>17</v>
      </c>
      <c r="B18" s="187" t="s">
        <v>208</v>
      </c>
      <c r="C18">
        <v>0.8</v>
      </c>
      <c r="D18">
        <v>0.8</v>
      </c>
      <c r="E18">
        <v>0.8</v>
      </c>
      <c r="F18">
        <v>0</v>
      </c>
      <c r="G18">
        <v>0.8</v>
      </c>
      <c r="H18">
        <v>0.8</v>
      </c>
      <c r="I18">
        <v>0</v>
      </c>
      <c r="J18">
        <v>0</v>
      </c>
      <c r="K18">
        <v>0.8</v>
      </c>
      <c r="L18">
        <v>0.8</v>
      </c>
      <c r="M18">
        <v>0</v>
      </c>
    </row>
    <row r="19" spans="1:13" x14ac:dyDescent="0.15">
      <c r="A19">
        <v>18</v>
      </c>
      <c r="B19" s="187" t="s">
        <v>209</v>
      </c>
      <c r="C19">
        <v>0.8</v>
      </c>
      <c r="D19">
        <v>0.8</v>
      </c>
      <c r="E19">
        <v>0.8</v>
      </c>
      <c r="F19">
        <v>0</v>
      </c>
      <c r="G19">
        <v>0.8</v>
      </c>
      <c r="H19">
        <v>0.8</v>
      </c>
      <c r="I19">
        <v>0</v>
      </c>
      <c r="J19">
        <v>0.8</v>
      </c>
      <c r="K19">
        <v>0.8</v>
      </c>
      <c r="L19">
        <v>0.8</v>
      </c>
      <c r="M19">
        <v>0</v>
      </c>
    </row>
    <row r="20" spans="1:13" x14ac:dyDescent="0.15">
      <c r="A20">
        <v>19</v>
      </c>
      <c r="B20" s="187" t="s">
        <v>210</v>
      </c>
      <c r="C20">
        <v>0.8</v>
      </c>
      <c r="D20">
        <v>0.8</v>
      </c>
      <c r="E20">
        <v>0</v>
      </c>
      <c r="F20">
        <v>0</v>
      </c>
      <c r="G20">
        <v>0.8</v>
      </c>
      <c r="H20">
        <v>0.8</v>
      </c>
      <c r="I20">
        <v>0</v>
      </c>
      <c r="J20">
        <v>0.8</v>
      </c>
      <c r="K20">
        <v>0.8</v>
      </c>
      <c r="L20">
        <v>0.8</v>
      </c>
      <c r="M20">
        <v>0</v>
      </c>
    </row>
    <row r="21" spans="1:13" x14ac:dyDescent="0.15">
      <c r="A21">
        <v>20</v>
      </c>
      <c r="B21" s="187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  <c r="H21">
        <v>0</v>
      </c>
      <c r="I21">
        <v>0</v>
      </c>
      <c r="J21">
        <v>0.8</v>
      </c>
      <c r="K21">
        <v>0</v>
      </c>
      <c r="L21">
        <v>0</v>
      </c>
      <c r="M21">
        <v>0</v>
      </c>
    </row>
    <row r="22" spans="1:13" x14ac:dyDescent="0.15">
      <c r="A22">
        <v>21</v>
      </c>
      <c r="B22" s="187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0.8</v>
      </c>
      <c r="L22">
        <v>0.8</v>
      </c>
      <c r="M22">
        <v>0</v>
      </c>
    </row>
    <row r="23" spans="1:13" x14ac:dyDescent="0.15">
      <c r="A23">
        <v>22</v>
      </c>
      <c r="B23" s="187" t="s">
        <v>213</v>
      </c>
      <c r="C23">
        <v>0.8</v>
      </c>
      <c r="D23">
        <v>0</v>
      </c>
      <c r="E23">
        <v>0.8</v>
      </c>
      <c r="F23">
        <v>0.8</v>
      </c>
      <c r="G23">
        <v>0.8</v>
      </c>
      <c r="H23">
        <v>0.8</v>
      </c>
      <c r="I23">
        <v>0</v>
      </c>
      <c r="J23">
        <v>0</v>
      </c>
      <c r="K23">
        <v>0.8</v>
      </c>
      <c r="L23">
        <v>0.8</v>
      </c>
      <c r="M23">
        <v>0</v>
      </c>
    </row>
    <row r="24" spans="1:13" x14ac:dyDescent="0.15">
      <c r="A24">
        <v>23</v>
      </c>
      <c r="B24" s="187" t="s">
        <v>214</v>
      </c>
      <c r="C24">
        <v>0.8</v>
      </c>
      <c r="D24">
        <v>0</v>
      </c>
      <c r="E24">
        <v>0</v>
      </c>
      <c r="F24">
        <v>0.8</v>
      </c>
      <c r="G24">
        <v>0.8</v>
      </c>
      <c r="H24">
        <v>0.8</v>
      </c>
      <c r="I24">
        <v>0</v>
      </c>
      <c r="J24">
        <v>0</v>
      </c>
      <c r="K24">
        <v>0.8</v>
      </c>
      <c r="L24">
        <v>0</v>
      </c>
      <c r="M24">
        <v>0.8</v>
      </c>
    </row>
    <row r="25" spans="1:13" x14ac:dyDescent="0.15">
      <c r="A25">
        <v>24</v>
      </c>
      <c r="B25" s="187" t="s">
        <v>215</v>
      </c>
      <c r="C25">
        <v>0.8</v>
      </c>
      <c r="D25">
        <v>0</v>
      </c>
      <c r="E25">
        <v>0.8</v>
      </c>
      <c r="F25">
        <v>0.8</v>
      </c>
      <c r="G25">
        <v>0.8</v>
      </c>
      <c r="H25">
        <v>0</v>
      </c>
      <c r="I25">
        <v>0</v>
      </c>
      <c r="J25">
        <v>0</v>
      </c>
      <c r="K25">
        <v>0</v>
      </c>
      <c r="L25">
        <v>0</v>
      </c>
      <c r="M25">
        <v>0.8</v>
      </c>
    </row>
    <row r="26" spans="1:13" x14ac:dyDescent="0.15">
      <c r="A26">
        <v>25</v>
      </c>
      <c r="B26" s="187" t="s">
        <v>216</v>
      </c>
      <c r="C26">
        <v>0.8</v>
      </c>
      <c r="D26">
        <v>0</v>
      </c>
      <c r="E26">
        <v>0</v>
      </c>
      <c r="F26">
        <v>0.8</v>
      </c>
      <c r="G26">
        <v>0.8</v>
      </c>
      <c r="H26">
        <v>0</v>
      </c>
      <c r="I26">
        <v>0</v>
      </c>
      <c r="J26">
        <v>0.8</v>
      </c>
      <c r="K26">
        <v>0.8</v>
      </c>
      <c r="L26">
        <v>0</v>
      </c>
      <c r="M26">
        <v>0.8</v>
      </c>
    </row>
    <row r="27" spans="1:13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40">
        <v>1</v>
      </c>
      <c r="B2" s="140" t="s">
        <v>192</v>
      </c>
      <c r="C2" s="8">
        <v>4.353114128112793</v>
      </c>
      <c r="D2" s="9">
        <v>2.0999999716877937E-2</v>
      </c>
      <c r="E2" s="9">
        <v>0.5</v>
      </c>
      <c r="F2" s="9">
        <v>76.182998657226562</v>
      </c>
      <c r="G2" s="7">
        <v>0</v>
      </c>
      <c r="H2" s="9">
        <v>6.5631442703306675E-3</v>
      </c>
      <c r="I2">
        <v>0</v>
      </c>
      <c r="J2"/>
    </row>
    <row r="3" spans="1:10" ht="15" customHeight="1" x14ac:dyDescent="0.15">
      <c r="A3" s="141">
        <v>2</v>
      </c>
      <c r="B3" s="141" t="s">
        <v>193</v>
      </c>
      <c r="C3" s="8">
        <v>4.1396188735961914</v>
      </c>
      <c r="D3" s="9">
        <v>0.91900002956390381</v>
      </c>
      <c r="E3" s="9">
        <v>1.4769599437713623</v>
      </c>
      <c r="F3" s="9">
        <v>9.2309999465942383</v>
      </c>
      <c r="G3" s="7">
        <v>0</v>
      </c>
      <c r="H3" s="9">
        <v>0.15999999642372131</v>
      </c>
      <c r="I3">
        <v>0</v>
      </c>
      <c r="J3"/>
    </row>
    <row r="4" spans="1:10" ht="15" customHeight="1" x14ac:dyDescent="0.15">
      <c r="A4" s="142">
        <v>3</v>
      </c>
      <c r="B4" s="142" t="s">
        <v>194</v>
      </c>
      <c r="C4" s="8">
        <v>4.4509439468383789</v>
      </c>
      <c r="D4" s="9">
        <v>1.500000013038516E-3</v>
      </c>
      <c r="E4" s="9">
        <v>0.24699999392032623</v>
      </c>
      <c r="F4" s="9">
        <v>3.0999999046325684</v>
      </c>
      <c r="G4" s="7">
        <v>0</v>
      </c>
      <c r="H4" s="9">
        <v>7.9677417874336243E-2</v>
      </c>
      <c r="I4">
        <v>0</v>
      </c>
      <c r="J4"/>
    </row>
    <row r="5" spans="1:10" ht="15" customHeight="1" x14ac:dyDescent="0.15">
      <c r="A5" s="143">
        <v>4</v>
      </c>
      <c r="B5" s="143" t="s">
        <v>195</v>
      </c>
      <c r="C5" s="8">
        <v>4.3657064437866211</v>
      </c>
      <c r="D5" s="9">
        <v>5.0999999046325684E-2</v>
      </c>
      <c r="E5" s="9">
        <v>0.40000000596046448</v>
      </c>
      <c r="F5" s="9">
        <v>4.6020002365112305</v>
      </c>
      <c r="G5" s="9">
        <v>0.30676653981208801</v>
      </c>
      <c r="H5" s="9">
        <v>8.6918726563453674E-2</v>
      </c>
      <c r="I5">
        <v>6.258037406951189E-3</v>
      </c>
      <c r="J5"/>
    </row>
    <row r="6" spans="1:10" ht="15" customHeight="1" x14ac:dyDescent="0.15">
      <c r="A6" s="144">
        <v>5</v>
      </c>
      <c r="B6" s="144" t="s">
        <v>196</v>
      </c>
      <c r="C6" s="8">
        <v>3.2516570091247559</v>
      </c>
      <c r="D6" s="9">
        <v>0.29199999570846558</v>
      </c>
      <c r="E6" s="9">
        <v>0.4699999988079071</v>
      </c>
      <c r="F6" s="9">
        <v>3.1749999523162842</v>
      </c>
      <c r="G6" s="9">
        <v>0.74327379465103149</v>
      </c>
      <c r="H6" s="9">
        <v>0.14803150296211243</v>
      </c>
      <c r="I6">
        <v>2.486000070348382E-3</v>
      </c>
      <c r="J6"/>
    </row>
    <row r="7" spans="1:10" ht="15" customHeight="1" x14ac:dyDescent="0.15">
      <c r="A7" s="145">
        <v>6</v>
      </c>
      <c r="B7" s="145" t="s">
        <v>197</v>
      </c>
      <c r="C7" s="8">
        <v>4.4115142822265625</v>
      </c>
      <c r="D7" s="9">
        <v>0.13917900621891022</v>
      </c>
      <c r="E7" s="9">
        <v>0.61000001430511475</v>
      </c>
      <c r="F7" s="9">
        <v>4.5999999046325684</v>
      </c>
      <c r="G7" s="9">
        <v>0.84835177659988403</v>
      </c>
      <c r="H7" s="9">
        <v>0.13260869681835175</v>
      </c>
      <c r="I7">
        <v>1.6735000535845757E-2</v>
      </c>
      <c r="J7"/>
    </row>
    <row r="8" spans="1:10" ht="15" customHeight="1" x14ac:dyDescent="0.15">
      <c r="A8" s="146">
        <v>7</v>
      </c>
      <c r="B8" s="146" t="s">
        <v>198</v>
      </c>
      <c r="C8" s="8">
        <v>3.9928274154663086</v>
      </c>
      <c r="D8" s="9">
        <v>0.75214600563049316</v>
      </c>
      <c r="E8" s="9">
        <v>0.60399997234344482</v>
      </c>
      <c r="F8" s="9">
        <v>2.5799999237060547</v>
      </c>
      <c r="G8" s="9">
        <v>0.69411599636077881</v>
      </c>
      <c r="H8" s="9">
        <v>0.23410852253437042</v>
      </c>
      <c r="I8">
        <v>0.24319298565387726</v>
      </c>
      <c r="J8"/>
    </row>
    <row r="9" spans="1:10" ht="15" customHeight="1" x14ac:dyDescent="0.15">
      <c r="A9" s="147">
        <v>8</v>
      </c>
      <c r="B9" s="147" t="s">
        <v>199</v>
      </c>
      <c r="C9" s="8">
        <v>3.0416319370269775</v>
      </c>
      <c r="D9" s="9">
        <v>1.4327884912490845</v>
      </c>
      <c r="E9" s="9">
        <v>0.86000001430511475</v>
      </c>
      <c r="F9" s="9">
        <v>4.0666670799255371</v>
      </c>
      <c r="G9" s="9">
        <v>0.99005281925201416</v>
      </c>
      <c r="H9" s="9">
        <v>0.21147538721561432</v>
      </c>
      <c r="I9">
        <v>0</v>
      </c>
      <c r="J9"/>
    </row>
    <row r="10" spans="1:10" ht="15" customHeight="1" x14ac:dyDescent="0.15">
      <c r="A10" s="148">
        <v>9</v>
      </c>
      <c r="B10" s="148" t="s">
        <v>200</v>
      </c>
      <c r="C10" s="8">
        <v>3.2459712028503418</v>
      </c>
      <c r="D10" s="9">
        <v>0.30542001128196716</v>
      </c>
      <c r="E10" s="9">
        <v>0.37999999523162842</v>
      </c>
      <c r="F10" s="9">
        <v>2.75</v>
      </c>
      <c r="G10" s="9">
        <v>0.99694287776947021</v>
      </c>
      <c r="H10" s="9">
        <v>0.13818182051181793</v>
      </c>
      <c r="I10">
        <v>9.8442003130912781E-2</v>
      </c>
      <c r="J10"/>
    </row>
    <row r="11" spans="1:10" ht="15" customHeight="1" x14ac:dyDescent="0.15">
      <c r="A11" s="149">
        <v>10</v>
      </c>
      <c r="B11" s="149" t="s">
        <v>201</v>
      </c>
      <c r="C11" s="8">
        <v>3.4874401092529297</v>
      </c>
      <c r="D11" s="9">
        <v>0.4699999988079071</v>
      </c>
      <c r="E11" s="9">
        <v>0.30497035384178162</v>
      </c>
      <c r="F11" s="9">
        <v>3</v>
      </c>
      <c r="G11" s="9">
        <v>0.9500468373298645</v>
      </c>
      <c r="H11" s="9">
        <v>0.10165678709745407</v>
      </c>
      <c r="I11">
        <v>6.2781006097793579E-2</v>
      </c>
      <c r="J11"/>
    </row>
    <row r="12" spans="1:10" ht="15" customHeight="1" x14ac:dyDescent="0.15">
      <c r="A12" s="150">
        <v>11</v>
      </c>
      <c r="B12" s="150" t="s">
        <v>202</v>
      </c>
      <c r="C12" s="8">
        <v>3.8687534332275391</v>
      </c>
      <c r="D12" s="9">
        <v>1.0090470314025879</v>
      </c>
      <c r="E12" s="9">
        <v>0.41999998688697815</v>
      </c>
      <c r="F12" s="9">
        <v>4</v>
      </c>
      <c r="G12" s="9">
        <v>0.30585995316505432</v>
      </c>
      <c r="H12" s="9">
        <v>0.10499999672174454</v>
      </c>
      <c r="I12">
        <v>0.10732100158929825</v>
      </c>
      <c r="J12"/>
    </row>
    <row r="13" spans="1:10" ht="15" customHeight="1" x14ac:dyDescent="0.15">
      <c r="A13" s="151">
        <v>12</v>
      </c>
      <c r="B13" s="151" t="s">
        <v>203</v>
      </c>
      <c r="C13" s="8">
        <v>4.5848240852355957</v>
      </c>
      <c r="D13" s="9">
        <v>8.3507001399993896E-2</v>
      </c>
      <c r="E13" s="9">
        <v>0.46000000834465027</v>
      </c>
      <c r="F13" s="9">
        <v>2.5999999046325684</v>
      </c>
      <c r="G13" s="9">
        <v>5.6777320802211761E-2</v>
      </c>
      <c r="H13" s="9">
        <v>0.17692308127880096</v>
      </c>
      <c r="I13">
        <v>2.180999843403697E-3</v>
      </c>
      <c r="J13"/>
    </row>
    <row r="14" spans="1:10" ht="15" customHeight="1" x14ac:dyDescent="0.15">
      <c r="A14" s="152">
        <v>13</v>
      </c>
      <c r="B14" s="152" t="s">
        <v>204</v>
      </c>
      <c r="C14" s="8">
        <v>3.4474780559539795</v>
      </c>
      <c r="D14" s="9">
        <v>0.23999999463558197</v>
      </c>
      <c r="E14" s="9">
        <v>0.62999999523162842</v>
      </c>
      <c r="F14" s="9">
        <v>3.2714290618896484</v>
      </c>
      <c r="G14" s="9">
        <v>0.65899538993835449</v>
      </c>
      <c r="H14" s="9">
        <v>0.19257639348506927</v>
      </c>
      <c r="I14">
        <v>8.284199982881546E-2</v>
      </c>
      <c r="J14"/>
    </row>
    <row r="15" spans="1:10" ht="15" customHeight="1" x14ac:dyDescent="0.15">
      <c r="A15" s="153">
        <v>14</v>
      </c>
      <c r="B15" s="153" t="s">
        <v>205</v>
      </c>
      <c r="C15" s="8">
        <v>3.4380731582641602</v>
      </c>
      <c r="D15" s="9">
        <v>0.41999998688697815</v>
      </c>
      <c r="E15" s="9">
        <v>0.60000002384185791</v>
      </c>
      <c r="F15" s="9">
        <v>4.1999998092651367</v>
      </c>
      <c r="G15" s="9">
        <v>0.80502039194107056</v>
      </c>
      <c r="H15" s="9">
        <v>0.1428571492433548</v>
      </c>
      <c r="I15">
        <v>9.0464003384113312E-2</v>
      </c>
      <c r="J15"/>
    </row>
    <row r="16" spans="1:10" ht="15" customHeight="1" x14ac:dyDescent="0.15">
      <c r="A16" s="154">
        <v>15</v>
      </c>
      <c r="B16" s="154" t="s">
        <v>206</v>
      </c>
      <c r="C16" s="8">
        <v>3.3789069652557373</v>
      </c>
      <c r="D16" s="9">
        <v>0.26557126641273499</v>
      </c>
      <c r="E16" s="9">
        <v>0.46000000834465027</v>
      </c>
      <c r="F16" s="9">
        <v>4.0999999046325684</v>
      </c>
      <c r="G16" s="9">
        <v>0.99000000953674316</v>
      </c>
      <c r="H16" s="9">
        <v>0.11219512671232224</v>
      </c>
      <c r="I16">
        <v>8.6303994059562683E-2</v>
      </c>
      <c r="J16"/>
    </row>
    <row r="17" spans="1:10" ht="15" customHeight="1" x14ac:dyDescent="0.15">
      <c r="A17" s="155">
        <v>16</v>
      </c>
      <c r="B17" s="155" t="s">
        <v>207</v>
      </c>
      <c r="C17" s="8">
        <v>3.9637143611907959</v>
      </c>
      <c r="D17" s="9">
        <v>2.1478285789489746</v>
      </c>
      <c r="E17" s="9">
        <v>0.55000001192092896</v>
      </c>
      <c r="F17" s="9">
        <v>4</v>
      </c>
      <c r="G17" s="9">
        <v>0.99005573987960815</v>
      </c>
      <c r="H17" s="9">
        <v>0.13750000298023224</v>
      </c>
      <c r="I17">
        <v>0.13926401734352112</v>
      </c>
      <c r="J17"/>
    </row>
    <row r="18" spans="1:10" ht="15" customHeight="1" x14ac:dyDescent="0.15">
      <c r="A18" s="156">
        <v>17</v>
      </c>
      <c r="B18" s="156" t="s">
        <v>208</v>
      </c>
      <c r="C18" s="8">
        <v>3.3565936088562012</v>
      </c>
      <c r="D18" s="9">
        <v>10.797276496887207</v>
      </c>
      <c r="E18" s="9">
        <v>0.76444399356842041</v>
      </c>
      <c r="F18" s="9">
        <v>5.0222220420837402</v>
      </c>
      <c r="G18" s="9">
        <v>0.99000835418701172</v>
      </c>
      <c r="H18" s="9">
        <v>0.15221230685710907</v>
      </c>
      <c r="I18">
        <v>3.4180001821368933E-3</v>
      </c>
      <c r="J18"/>
    </row>
    <row r="19" spans="1:10" ht="15" customHeight="1" x14ac:dyDescent="0.15">
      <c r="A19" s="157">
        <v>18</v>
      </c>
      <c r="B19" s="157" t="s">
        <v>209</v>
      </c>
      <c r="C19" s="8">
        <v>3.1296000480651855</v>
      </c>
      <c r="D19" s="9">
        <v>3.47947096824646</v>
      </c>
      <c r="E19" s="9">
        <v>0.34000000357627869</v>
      </c>
      <c r="F19" s="9">
        <v>4.3000001907348633</v>
      </c>
      <c r="G19" s="9">
        <v>0.53787237405776978</v>
      </c>
      <c r="H19" s="9">
        <v>7.9069763422012329E-2</v>
      </c>
      <c r="I19">
        <v>8.1480005756020546E-3</v>
      </c>
      <c r="J19"/>
    </row>
    <row r="20" spans="1:10" ht="15" customHeight="1" x14ac:dyDescent="0.15">
      <c r="A20" s="158">
        <v>19</v>
      </c>
      <c r="B20" s="158" t="s">
        <v>210</v>
      </c>
      <c r="C20" s="8">
        <v>3.3600001335144043</v>
      </c>
      <c r="D20" s="9">
        <v>1.3999999761581421</v>
      </c>
      <c r="E20" s="9">
        <v>0.52037328481674194</v>
      </c>
      <c r="F20" s="9">
        <v>4.5999999046325684</v>
      </c>
      <c r="G20" s="9">
        <v>0.9500090479850769</v>
      </c>
      <c r="H20" s="9">
        <v>0.11312463134527206</v>
      </c>
      <c r="I20">
        <v>0.31576699018478394</v>
      </c>
      <c r="J20"/>
    </row>
    <row r="21" spans="1:10" ht="15" customHeight="1" x14ac:dyDescent="0.15">
      <c r="A21" s="159">
        <v>20</v>
      </c>
      <c r="B21" s="159" t="s">
        <v>211</v>
      </c>
      <c r="C21" s="8">
        <v>3.2493104934692383</v>
      </c>
      <c r="D21" s="9">
        <v>8.4002981185913086</v>
      </c>
      <c r="E21" s="9">
        <v>1</v>
      </c>
      <c r="F21" s="9">
        <v>5</v>
      </c>
      <c r="G21" s="9">
        <v>0.99001121520996094</v>
      </c>
      <c r="H21" s="9">
        <v>0.20000000298023224</v>
      </c>
      <c r="I21">
        <v>0.12136200070381165</v>
      </c>
      <c r="J21"/>
    </row>
    <row r="22" spans="1:10" ht="15" customHeight="1" x14ac:dyDescent="0.15">
      <c r="A22" s="160">
        <v>21</v>
      </c>
      <c r="B22" s="160" t="s">
        <v>212</v>
      </c>
      <c r="C22" s="8">
        <v>4.5391030311584473</v>
      </c>
      <c r="D22" s="9">
        <v>1.365481972694397</v>
      </c>
      <c r="E22" s="9">
        <v>0.40000000596046448</v>
      </c>
      <c r="F22" s="9">
        <v>4</v>
      </c>
      <c r="G22" s="9">
        <v>0.20236615836620331</v>
      </c>
      <c r="H22" s="9">
        <v>0.10000000149011612</v>
      </c>
      <c r="I22">
        <v>0.1105169877409935</v>
      </c>
      <c r="J22"/>
    </row>
    <row r="23" spans="1:10" ht="15" customHeight="1" x14ac:dyDescent="0.15">
      <c r="A23" s="161">
        <v>22</v>
      </c>
      <c r="B23" s="161" t="s">
        <v>213</v>
      </c>
      <c r="C23" s="8">
        <v>3.7661151885986328</v>
      </c>
      <c r="D23" s="9">
        <v>3.2500627040863037</v>
      </c>
      <c r="E23" s="9">
        <v>1.5</v>
      </c>
      <c r="F23" s="9">
        <v>7</v>
      </c>
      <c r="G23" s="9">
        <v>0.99005806446075439</v>
      </c>
      <c r="H23" s="9">
        <v>0.2142857164144516</v>
      </c>
      <c r="I23">
        <v>1.918100006878376E-2</v>
      </c>
      <c r="J23"/>
    </row>
    <row r="24" spans="1:10" ht="15" customHeight="1" x14ac:dyDescent="0.15">
      <c r="A24" s="162">
        <v>23</v>
      </c>
      <c r="B24" s="162" t="s">
        <v>214</v>
      </c>
      <c r="C24" s="8">
        <v>2.4763998985290527</v>
      </c>
      <c r="D24" s="9">
        <v>7.0668864250183105</v>
      </c>
      <c r="E24" s="9">
        <v>1.4500000476837158</v>
      </c>
      <c r="F24" s="9">
        <v>9.6669998168945312</v>
      </c>
      <c r="G24" s="9">
        <v>0.99000000953674316</v>
      </c>
      <c r="H24" s="9">
        <v>0.14999483525753021</v>
      </c>
      <c r="I24">
        <v>2.8426999226212502E-2</v>
      </c>
      <c r="J24"/>
    </row>
    <row r="25" spans="1:10" ht="15" customHeight="1" x14ac:dyDescent="0.15">
      <c r="A25" s="163">
        <v>24</v>
      </c>
      <c r="B25" s="163" t="s">
        <v>215</v>
      </c>
      <c r="C25" s="8">
        <v>2.9239280223846436</v>
      </c>
      <c r="D25" s="9">
        <v>5.5</v>
      </c>
      <c r="E25" s="9">
        <v>3.5</v>
      </c>
      <c r="F25" s="9">
        <v>5.8499999046325684</v>
      </c>
      <c r="G25" s="9">
        <v>0.65473026037216187</v>
      </c>
      <c r="H25" s="9">
        <v>0.59829062223434448</v>
      </c>
      <c r="I25">
        <v>0.10223899781703949</v>
      </c>
      <c r="J25"/>
    </row>
    <row r="26" spans="1:10" ht="15" customHeight="1" x14ac:dyDescent="0.15">
      <c r="A26" s="164">
        <v>25</v>
      </c>
      <c r="B26" s="164" t="s">
        <v>216</v>
      </c>
      <c r="C26" s="8">
        <v>2</v>
      </c>
      <c r="D26" s="9">
        <v>118.86000061035156</v>
      </c>
      <c r="E26" s="9">
        <v>1.0249999761581421</v>
      </c>
      <c r="F26" s="9">
        <v>1.7083332538604736</v>
      </c>
      <c r="G26" s="9">
        <v>0.39842548966407776</v>
      </c>
      <c r="H26" s="9">
        <v>0.60000002384185791</v>
      </c>
      <c r="I26">
        <v>7.0646002888679504E-2</v>
      </c>
      <c r="J26"/>
    </row>
    <row r="27" spans="1:10" ht="15" customHeight="1" x14ac:dyDescent="0.15">
      <c r="A27" s="165">
        <v>26</v>
      </c>
      <c r="B27" s="165" t="s">
        <v>217</v>
      </c>
      <c r="C27" s="8">
        <v>2.7200000286102295</v>
      </c>
      <c r="D27" s="9">
        <v>51.689998626708984</v>
      </c>
      <c r="E27" s="9">
        <v>7</v>
      </c>
      <c r="F27" s="9">
        <v>21.875</v>
      </c>
      <c r="G27" s="9">
        <v>0.23205572366714478</v>
      </c>
      <c r="H27" s="9">
        <v>0.31999999284744263</v>
      </c>
      <c r="I27">
        <v>0</v>
      </c>
      <c r="J27"/>
    </row>
    <row r="28" spans="1:10" ht="15" customHeight="1" x14ac:dyDescent="0.15">
      <c r="A28" s="166">
        <v>27</v>
      </c>
      <c r="B28" s="166" t="s">
        <v>218</v>
      </c>
      <c r="C28" s="8">
        <v>2</v>
      </c>
      <c r="D28" s="9">
        <v>22.226999282836914</v>
      </c>
      <c r="E28" s="9">
        <v>40</v>
      </c>
      <c r="F28" s="9">
        <v>125</v>
      </c>
      <c r="G28" s="9">
        <v>0.96573102474212646</v>
      </c>
      <c r="H28" s="9">
        <v>0.31999999284744263</v>
      </c>
      <c r="I28">
        <v>0</v>
      </c>
      <c r="J28"/>
    </row>
    <row r="29" spans="1:10" ht="15" customHeight="1" x14ac:dyDescent="0.15">
      <c r="A29" s="167">
        <v>28</v>
      </c>
      <c r="B29" s="167" t="s">
        <v>219</v>
      </c>
      <c r="C29" s="8">
        <v>1</v>
      </c>
      <c r="D29" s="9">
        <v>107.31099700927734</v>
      </c>
      <c r="E29" s="9">
        <v>88.147499084472656</v>
      </c>
      <c r="F29" s="10"/>
      <c r="G29" s="9">
        <v>0.3282681405544281</v>
      </c>
      <c r="H29" s="10"/>
      <c r="I29">
        <v>0</v>
      </c>
      <c r="J29"/>
    </row>
    <row r="30" spans="1:10" ht="15" customHeight="1" x14ac:dyDescent="0.15">
      <c r="A30" s="168">
        <v>29</v>
      </c>
      <c r="B30" s="168" t="s">
        <v>220</v>
      </c>
      <c r="C30" s="8">
        <v>1</v>
      </c>
      <c r="D30" s="9">
        <v>155.69999694824219</v>
      </c>
      <c r="E30" s="10"/>
      <c r="F30" s="10"/>
      <c r="G30" s="7">
        <v>3.1392708420753479E-2</v>
      </c>
      <c r="H30" s="10"/>
      <c r="I30">
        <v>0</v>
      </c>
      <c r="J30"/>
    </row>
    <row r="31" spans="1:10" ht="15" customHeight="1" x14ac:dyDescent="0.15">
      <c r="A31" s="169">
        <v>30</v>
      </c>
      <c r="B31" s="169" t="s">
        <v>221</v>
      </c>
      <c r="C31" s="8">
        <v>1</v>
      </c>
      <c r="D31" s="9">
        <v>5</v>
      </c>
      <c r="E31" s="10"/>
      <c r="F31" s="10"/>
      <c r="G31" s="7">
        <v>0</v>
      </c>
      <c r="H31" s="10"/>
      <c r="I31">
        <v>0</v>
      </c>
      <c r="J31"/>
    </row>
    <row r="32" spans="1:10" ht="15" customHeight="1" x14ac:dyDescent="0.15">
      <c r="A32" s="197">
        <v>31</v>
      </c>
      <c r="B32" s="197" t="s">
        <v>222</v>
      </c>
      <c r="C32" s="8">
        <v>4.7018527984619141</v>
      </c>
      <c r="D32" s="10"/>
      <c r="E32" s="10"/>
      <c r="F32" s="10"/>
      <c r="G32" s="10"/>
      <c r="H32" s="10"/>
      <c r="I32">
        <v>0.86257588863372803</v>
      </c>
      <c r="J32"/>
    </row>
    <row r="33" spans="1:10" ht="15" customHeight="1" x14ac:dyDescent="0.15">
      <c r="A33" s="198">
        <v>32</v>
      </c>
      <c r="B33" s="198" t="s">
        <v>223</v>
      </c>
      <c r="C33" s="8">
        <v>5.0319719314575195</v>
      </c>
      <c r="D33" s="10"/>
      <c r="E33" s="10"/>
      <c r="F33" s="10"/>
      <c r="G33" s="10"/>
      <c r="H33" s="10"/>
      <c r="I33">
        <v>4.4762030243873596E-2</v>
      </c>
      <c r="J33"/>
    </row>
    <row r="34" spans="1:10" ht="15" customHeight="1" x14ac:dyDescent="0.15">
      <c r="A34" s="199">
        <v>33</v>
      </c>
      <c r="B34" s="199" t="s">
        <v>224</v>
      </c>
      <c r="C34" s="8">
        <v>5.1206812858581543</v>
      </c>
      <c r="D34" s="10"/>
      <c r="E34" s="10"/>
      <c r="F34" s="10"/>
      <c r="G34" s="10"/>
      <c r="H34" s="10"/>
      <c r="I34">
        <v>2.8836997225880623E-2</v>
      </c>
      <c r="J34"/>
    </row>
    <row r="35" spans="1:10" ht="15" customHeight="1" x14ac:dyDescent="0.15">
      <c r="A35" s="200">
        <v>34</v>
      </c>
      <c r="B35" s="200" t="s">
        <v>225</v>
      </c>
      <c r="C35" s="8">
        <v>3.1606333255767822</v>
      </c>
      <c r="D35" s="10"/>
      <c r="E35" s="10"/>
      <c r="F35" s="10"/>
      <c r="G35" s="10"/>
      <c r="H35" s="10"/>
      <c r="I35">
        <v>3.6933999508619308E-2</v>
      </c>
      <c r="J35"/>
    </row>
    <row r="36" spans="1:10" ht="15" customHeight="1" x14ac:dyDescent="0.15">
      <c r="A36" s="201">
        <v>35</v>
      </c>
      <c r="B36" s="201" t="s">
        <v>226</v>
      </c>
      <c r="C36" s="8">
        <v>4.0426630973815918</v>
      </c>
      <c r="D36" s="10"/>
      <c r="E36" s="10"/>
      <c r="F36" s="10"/>
      <c r="G36" s="10"/>
      <c r="H36" s="10"/>
      <c r="I36">
        <v>0.15726399421691895</v>
      </c>
      <c r="J36"/>
    </row>
    <row r="37" spans="1:10" ht="15" customHeight="1" x14ac:dyDescent="0.15">
      <c r="A37" s="202">
        <v>36</v>
      </c>
      <c r="B37" s="202" t="s">
        <v>227</v>
      </c>
      <c r="C37" s="8">
        <v>4.3710589408874512</v>
      </c>
      <c r="D37" s="10"/>
      <c r="E37" s="10"/>
      <c r="F37" s="10"/>
      <c r="G37" s="10"/>
      <c r="H37" s="10"/>
      <c r="I37">
        <v>9.8639994859695435E-2</v>
      </c>
      <c r="J37"/>
    </row>
    <row r="38" spans="1:10" ht="15" customHeight="1" x14ac:dyDescent="0.15">
      <c r="A38" s="203">
        <v>37</v>
      </c>
      <c r="B38" s="203" t="s">
        <v>228</v>
      </c>
      <c r="C38" s="8">
        <v>5.4655494689941406</v>
      </c>
      <c r="D38" s="10"/>
      <c r="E38" s="10"/>
      <c r="F38" s="10"/>
      <c r="G38" s="10"/>
      <c r="H38" s="10"/>
      <c r="I38">
        <v>2.0260000601410866E-3</v>
      </c>
      <c r="J38"/>
    </row>
    <row r="39" spans="1:10" ht="15" customHeight="1" x14ac:dyDescent="0.15">
      <c r="A39" s="204">
        <v>38</v>
      </c>
      <c r="B39" s="204" t="s">
        <v>229</v>
      </c>
      <c r="C39" s="8">
        <v>4.3296971321105957</v>
      </c>
      <c r="D39" s="10"/>
      <c r="E39" s="10"/>
      <c r="F39" s="10"/>
      <c r="G39" s="10"/>
      <c r="H39" s="10"/>
      <c r="I39">
        <v>0.28888997435569763</v>
      </c>
      <c r="J39"/>
    </row>
    <row r="40" spans="1:10" ht="15" customHeight="1" x14ac:dyDescent="0.15">
      <c r="A40" s="205">
        <v>39</v>
      </c>
      <c r="B40" s="205" t="s">
        <v>230</v>
      </c>
      <c r="C40" s="8">
        <v>5.0501360893249512</v>
      </c>
      <c r="D40" s="10"/>
      <c r="E40" s="10"/>
      <c r="F40" s="10"/>
      <c r="G40" s="10"/>
      <c r="H40" s="10"/>
      <c r="I40">
        <v>0.1313910037279129</v>
      </c>
      <c r="J40"/>
    </row>
    <row r="41" spans="1:10" ht="15" customHeight="1" x14ac:dyDescent="0.15">
      <c r="A41" s="206">
        <v>40</v>
      </c>
      <c r="B41" s="206" t="s">
        <v>231</v>
      </c>
      <c r="C41" s="8">
        <v>4.3640050888061523</v>
      </c>
      <c r="D41" s="10"/>
      <c r="E41" s="10"/>
      <c r="F41" s="10"/>
      <c r="G41" s="10"/>
      <c r="H41" s="10"/>
      <c r="I41">
        <v>2.9786000028252602E-2</v>
      </c>
      <c r="J41"/>
    </row>
    <row r="42" spans="1:10" ht="15" customHeight="1" x14ac:dyDescent="0.15">
      <c r="A42" s="207">
        <v>41</v>
      </c>
      <c r="B42" s="207" t="s">
        <v>232</v>
      </c>
      <c r="C42" s="8">
        <v>3.0180997848510742</v>
      </c>
      <c r="D42" s="10"/>
      <c r="E42" s="10"/>
      <c r="F42" s="10"/>
      <c r="G42" s="10"/>
      <c r="H42" s="10"/>
      <c r="I42">
        <v>3.6869999021291733E-2</v>
      </c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242</v>
      </c>
      <c r="J1" t="s">
        <v>243</v>
      </c>
      <c r="K1" t="s">
        <v>244</v>
      </c>
      <c r="L1" t="s">
        <v>245</v>
      </c>
      <c r="M1" t="s">
        <v>246</v>
      </c>
      <c r="N1" t="s">
        <v>247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0.5</v>
      </c>
      <c r="C2">
        <v>0.5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1.4769599437713623</v>
      </c>
      <c r="C3">
        <v>1.4769599437713623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0.24699999392032623</v>
      </c>
      <c r="C4">
        <v>0.24699999392032623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0.40000000596046448</v>
      </c>
      <c r="C5">
        <v>0.27729338407516479</v>
      </c>
      <c r="D5" s="11">
        <v>3.9215687138494104E-5</v>
      </c>
      <c r="E5" s="22">
        <v>2.56935297511518E-3</v>
      </c>
      <c r="F5" s="218">
        <v>5.5392161011695862E-2</v>
      </c>
      <c r="G5"/>
      <c r="H5" s="11">
        <v>1.9607843569247052E-5</v>
      </c>
      <c r="I5"/>
      <c r="J5" s="220">
        <v>1.5960784628987312E-2</v>
      </c>
      <c r="K5" s="221">
        <v>4.8725493252277374E-2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0.4699999988079071</v>
      </c>
      <c r="C6">
        <v>0.12066131830215454</v>
      </c>
      <c r="D6" s="16">
        <v>7.458904292434454E-3</v>
      </c>
      <c r="E6" s="11">
        <v>5.4794520110590383E-5</v>
      </c>
      <c r="F6" s="11">
        <v>3.6301370710134506E-4</v>
      </c>
      <c r="G6" s="11">
        <v>1.3698630027647596E-5</v>
      </c>
      <c r="H6"/>
      <c r="I6" s="11">
        <v>7.8767123341094702E-5</v>
      </c>
      <c r="J6"/>
      <c r="K6"/>
      <c r="L6" s="14">
        <v>5.4452056065201759E-4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39">
        <v>0.34082499146461487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0.61000001430511475</v>
      </c>
      <c r="C7">
        <v>9.2505417764186859E-2</v>
      </c>
      <c r="D7" s="11">
        <v>5.0294940592721105E-4</v>
      </c>
      <c r="E7" s="217">
        <v>0.10828500986099243</v>
      </c>
      <c r="F7" s="21">
        <v>4.7492794692516327E-3</v>
      </c>
      <c r="G7"/>
      <c r="H7" s="14">
        <v>8.0471904948353767E-4</v>
      </c>
      <c r="I7"/>
      <c r="J7"/>
      <c r="K7" s="14">
        <v>6.3227926148101687E-4</v>
      </c>
      <c r="L7" s="21">
        <v>5.0438642501831055E-3</v>
      </c>
      <c r="M7" s="11">
        <v>2.2273474314715713E-4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227">
        <v>0.39725375175476074</v>
      </c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0.60399997234344482</v>
      </c>
      <c r="C8">
        <v>0.18475392460823059</v>
      </c>
      <c r="D8" s="208">
        <v>0.23660033941268921</v>
      </c>
      <c r="E8" s="60">
        <v>2.4410154670476913E-2</v>
      </c>
      <c r="F8" s="219">
        <v>1.3642298057675362E-2</v>
      </c>
      <c r="G8" s="11">
        <v>2.0474746997933835E-4</v>
      </c>
      <c r="H8" s="11">
        <v>5.3181165640125982E-6</v>
      </c>
      <c r="I8" s="14">
        <v>8.7084155529737473E-4</v>
      </c>
      <c r="J8" s="11">
        <v>1.3295291410031496E-6</v>
      </c>
      <c r="K8" s="11">
        <v>9.3067037596483715E-6</v>
      </c>
      <c r="L8" s="69">
        <v>4.7472164034843445E-2</v>
      </c>
      <c r="M8" s="11">
        <v>1.1168044147780165E-4</v>
      </c>
      <c r="N8" s="11">
        <v>3.9885876503831241E-6</v>
      </c>
      <c r="O8"/>
      <c r="P8"/>
      <c r="Q8" s="11">
        <v>3.5239165299572051E-4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230">
        <v>9.5561504364013672E-2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0.86000001430511475</v>
      </c>
      <c r="C9">
        <v>8.5545759648084641E-3</v>
      </c>
      <c r="D9"/>
      <c r="E9"/>
      <c r="F9"/>
      <c r="G9"/>
      <c r="H9"/>
      <c r="I9"/>
      <c r="J9"/>
      <c r="K9"/>
      <c r="L9"/>
      <c r="M9"/>
      <c r="N9"/>
      <c r="O9"/>
      <c r="P9" s="235">
        <v>0.17288807034492493</v>
      </c>
      <c r="Q9"/>
      <c r="R9"/>
      <c r="S9"/>
      <c r="T9" s="19">
        <v>1.4969051815569401E-2</v>
      </c>
      <c r="U9"/>
      <c r="V9"/>
      <c r="W9"/>
      <c r="X9"/>
      <c r="Y9" s="237">
        <v>0.28170159459114075</v>
      </c>
      <c r="Z9" s="21">
        <v>7.576771080493927E-3</v>
      </c>
      <c r="AA9"/>
      <c r="AB9"/>
      <c r="AC9"/>
      <c r="AD9"/>
      <c r="AE9"/>
      <c r="AF9"/>
      <c r="AG9"/>
      <c r="AH9"/>
      <c r="AI9" s="210">
        <v>0.37430998682975769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0.37999999523162842</v>
      </c>
      <c r="C10">
        <v>1.1617064010351896E-3</v>
      </c>
      <c r="D10" s="209">
        <v>0.29959070682525635</v>
      </c>
      <c r="E10" s="11">
        <v>2.4228930124081671E-4</v>
      </c>
      <c r="F10" s="22">
        <v>2.5407634675502777E-3</v>
      </c>
      <c r="G10" s="11">
        <v>1.7680569726508111E-4</v>
      </c>
      <c r="H10"/>
      <c r="I10" s="14">
        <v>5.2059459267184138E-4</v>
      </c>
      <c r="J10"/>
      <c r="K10"/>
      <c r="L10" s="64">
        <v>1.9216161221265793E-2</v>
      </c>
      <c r="M10" s="11">
        <v>1.3096719158056658E-5</v>
      </c>
      <c r="N10" s="11">
        <v>1.6370897355955094E-5</v>
      </c>
      <c r="O10"/>
      <c r="P10"/>
      <c r="Q10" s="11">
        <v>1.5224934941215906E-5</v>
      </c>
      <c r="R10"/>
      <c r="S10"/>
      <c r="T10" s="59">
        <v>2.09620650857687E-2</v>
      </c>
      <c r="U10"/>
      <c r="V10"/>
      <c r="W10"/>
      <c r="X10"/>
      <c r="Y10"/>
      <c r="Z10" s="68">
        <v>3.5544201731681824E-2</v>
      </c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0.30497035384178162</v>
      </c>
      <c r="C11">
        <v>1.5234233811497688E-2</v>
      </c>
      <c r="D11" s="210">
        <v>0.1329127699136734</v>
      </c>
      <c r="E11" s="11">
        <v>2.5531915525789373E-5</v>
      </c>
      <c r="F11" s="11">
        <v>1.2765957762894686E-5</v>
      </c>
      <c r="G11"/>
      <c r="H11"/>
      <c r="I11" s="11">
        <v>2.97872338705929E-5</v>
      </c>
      <c r="J11"/>
      <c r="K11"/>
      <c r="L11" s="14">
        <v>5.4893613560125232E-4</v>
      </c>
      <c r="M11" s="11">
        <v>4.6808512706775218E-5</v>
      </c>
      <c r="N11"/>
      <c r="O11"/>
      <c r="P11"/>
      <c r="Q11" s="11">
        <v>3.9574468246428296E-5</v>
      </c>
      <c r="R11"/>
      <c r="S11"/>
      <c r="T11"/>
      <c r="U11"/>
      <c r="V11"/>
      <c r="W11"/>
      <c r="X11"/>
      <c r="Y11"/>
      <c r="Z11"/>
      <c r="AA11"/>
      <c r="AB11"/>
      <c r="AC11"/>
      <c r="AD11" s="223">
        <v>3.8482937961816788E-2</v>
      </c>
      <c r="AE11"/>
      <c r="AF11"/>
      <c r="AG11"/>
      <c r="AH11"/>
      <c r="AI11" s="228">
        <v>0.11763698607683182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0.41999998688697815</v>
      </c>
      <c r="C12">
        <v>0.29153880476951599</v>
      </c>
      <c r="D12" s="211">
        <v>7.400745153427124E-2</v>
      </c>
      <c r="E12" s="14">
        <v>1.1020299280062318E-3</v>
      </c>
      <c r="F12" s="21">
        <v>3.0622952617704868E-3</v>
      </c>
      <c r="G12" s="14">
        <v>6.5507355611771345E-4</v>
      </c>
      <c r="H12" s="11">
        <v>3.2208606717176735E-4</v>
      </c>
      <c r="I12" s="11">
        <v>3.1217574723996222E-4</v>
      </c>
      <c r="J12" s="11">
        <v>4.9551704250916373E-6</v>
      </c>
      <c r="K12" s="11">
        <v>1.6847579900058918E-5</v>
      </c>
      <c r="L12" s="71">
        <v>2.6864953339099884E-2</v>
      </c>
      <c r="M12" s="11">
        <v>1.0901375389948953E-5</v>
      </c>
      <c r="N12"/>
      <c r="O12"/>
      <c r="P12"/>
      <c r="Q12" s="14">
        <v>5.852552130818367E-4</v>
      </c>
      <c r="R12"/>
      <c r="S12"/>
      <c r="T12"/>
      <c r="U12"/>
      <c r="V12"/>
      <c r="W12"/>
      <c r="X12"/>
      <c r="Y12"/>
      <c r="Z12" s="64">
        <v>2.1517153829336166E-2</v>
      </c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0.46000000834465027</v>
      </c>
      <c r="C13">
        <v>0.4338824450969696</v>
      </c>
      <c r="D13" s="13">
        <v>1.6992587596178055E-2</v>
      </c>
      <c r="E13" s="19">
        <v>7.8197037801146507E-3</v>
      </c>
      <c r="F13" s="14">
        <v>6.2270229682326317E-4</v>
      </c>
      <c r="G13" s="11">
        <v>1.6765062173362821E-4</v>
      </c>
      <c r="H13" s="11">
        <v>1.9160070223733783E-4</v>
      </c>
      <c r="I13"/>
      <c r="J13"/>
      <c r="K13" s="11">
        <v>2.7542602038010955E-4</v>
      </c>
      <c r="L13" s="11">
        <v>1.1975043889833614E-5</v>
      </c>
      <c r="M13" s="11">
        <v>3.5925131669500843E-5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0.62999999523162842</v>
      </c>
      <c r="C14">
        <v>0.21483290195465088</v>
      </c>
      <c r="D14" s="212">
        <v>0.335875004529953</v>
      </c>
      <c r="E14"/>
      <c r="F14" s="11">
        <v>5.4166666814126074E-5</v>
      </c>
      <c r="G14" s="21">
        <v>4.8791663721203804E-3</v>
      </c>
      <c r="H14" s="11">
        <v>4.1666667129902635E-6</v>
      </c>
      <c r="I14" s="22">
        <v>3.8250000216066837E-3</v>
      </c>
      <c r="J14"/>
      <c r="K14"/>
      <c r="L14" s="11">
        <v>5.3333333926275373E-4</v>
      </c>
      <c r="M14" s="11">
        <v>4.1666667129902635E-6</v>
      </c>
      <c r="N14"/>
      <c r="O14"/>
      <c r="P14"/>
      <c r="Q14"/>
      <c r="R14"/>
      <c r="S14"/>
      <c r="T14"/>
      <c r="U14"/>
      <c r="V14"/>
      <c r="W14" s="216">
        <v>6.9992087781429291E-2</v>
      </c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0.60000002384185791</v>
      </c>
      <c r="C15">
        <v>0.11698777228593826</v>
      </c>
      <c r="D15" s="213">
        <v>0.21275715529918671</v>
      </c>
      <c r="E15"/>
      <c r="F15" s="11">
        <v>1.0476190800545737E-4</v>
      </c>
      <c r="G15" s="11">
        <v>6.1904764152131975E-5</v>
      </c>
      <c r="H15" s="11">
        <v>4.7619050747016445E-6</v>
      </c>
      <c r="I15" s="14">
        <v>1.5285714762285352E-3</v>
      </c>
      <c r="J15" s="11">
        <v>2.3809525373508222E-6</v>
      </c>
      <c r="K15"/>
      <c r="L15" s="14">
        <v>9.2619046336039901E-4</v>
      </c>
      <c r="M15" s="11">
        <v>2.3809525373508222E-6</v>
      </c>
      <c r="N15" s="11">
        <v>2.3809525373508222E-6</v>
      </c>
      <c r="O15"/>
      <c r="P15"/>
      <c r="Q15"/>
      <c r="R15"/>
      <c r="S15"/>
      <c r="T15" s="15">
        <v>6.097366102039814E-3</v>
      </c>
      <c r="U15" s="24">
        <v>4.6203255653381348E-2</v>
      </c>
      <c r="V15"/>
      <c r="W15"/>
      <c r="X15"/>
      <c r="Y15"/>
      <c r="Z15"/>
      <c r="AA15"/>
      <c r="AB15"/>
      <c r="AC15"/>
      <c r="AD15" s="231">
        <v>0.21532116830348969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0.46000000834465027</v>
      </c>
      <c r="C16">
        <v>4.5999959111213684E-3</v>
      </c>
      <c r="D16" s="214">
        <v>0.3067651093006134</v>
      </c>
      <c r="E16" s="20">
        <v>8.8262557983398438E-3</v>
      </c>
      <c r="F16" s="14">
        <v>9.7525608725845814E-4</v>
      </c>
      <c r="G16" s="12">
        <v>1.4045194257050753E-3</v>
      </c>
      <c r="H16" s="11">
        <v>2.6358273316873237E-5</v>
      </c>
      <c r="I16" s="21">
        <v>3.8445424288511276E-3</v>
      </c>
      <c r="J16"/>
      <c r="K16" s="11">
        <v>1.8827337044058368E-5</v>
      </c>
      <c r="L16" s="22">
        <v>3.0914489179849625E-3</v>
      </c>
      <c r="M16" s="11">
        <v>2.2592806999455206E-5</v>
      </c>
      <c r="N16"/>
      <c r="O16"/>
      <c r="P16"/>
      <c r="Q16" s="11">
        <v>2.4513193056918681E-4</v>
      </c>
      <c r="R16"/>
      <c r="S16"/>
      <c r="T16" s="224">
        <v>0.1301799863576889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0.55000001192092896</v>
      </c>
      <c r="C17">
        <v>5.4693431593477726E-3</v>
      </c>
      <c r="D17" s="215">
        <v>4.9186419695615768E-2</v>
      </c>
      <c r="E17" s="14">
        <v>9.7214465495198965E-4</v>
      </c>
      <c r="F17" s="14">
        <v>1.4386622933670878E-3</v>
      </c>
      <c r="G17" s="11">
        <v>3.0775269260630012E-4</v>
      </c>
      <c r="H17" s="11">
        <v>1.5131561667658389E-4</v>
      </c>
      <c r="I17" s="11">
        <v>1.4665976050309837E-4</v>
      </c>
      <c r="J17" s="11">
        <v>2.3279324068425922E-6</v>
      </c>
      <c r="K17" s="11">
        <v>7.9149704106384888E-6</v>
      </c>
      <c r="L17" s="219">
        <v>1.2621119618415833E-2</v>
      </c>
      <c r="M17" s="11">
        <v>5.1214515224273782E-6</v>
      </c>
      <c r="N17"/>
      <c r="O17" s="234">
        <v>9.0873569250106812E-2</v>
      </c>
      <c r="P17" s="236">
        <v>0.13034026324748993</v>
      </c>
      <c r="Q17" s="11">
        <v>9.5258998044300824E-5</v>
      </c>
      <c r="R17"/>
      <c r="S17"/>
      <c r="T17" s="18">
        <v>6.1106276698410511E-3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239">
        <v>0.25227150321006775</v>
      </c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0.76444399356842041</v>
      </c>
      <c r="C18">
        <v>7.6380535028874874E-3</v>
      </c>
      <c r="D18" s="11">
        <v>9.7617208666633815E-5</v>
      </c>
      <c r="E18" s="11">
        <v>7.0017653342802078E-5</v>
      </c>
      <c r="F18" s="11">
        <v>2.4913691959227435E-5</v>
      </c>
      <c r="G18"/>
      <c r="H18" s="11">
        <v>8.3076505688950419E-5</v>
      </c>
      <c r="I18" s="11">
        <v>6.483116521849297E-6</v>
      </c>
      <c r="J18"/>
      <c r="K18"/>
      <c r="L18" s="11">
        <v>1.8523189737607026E-7</v>
      </c>
      <c r="M18" s="11">
        <v>3.4267901355633512E-5</v>
      </c>
      <c r="N18"/>
      <c r="O18" s="219">
        <v>1.8076859414577484E-2</v>
      </c>
      <c r="P18" s="24">
        <v>5.8769453316926956E-2</v>
      </c>
      <c r="Q18" s="11">
        <v>8.3118182374164462E-5</v>
      </c>
      <c r="R18" s="21">
        <v>6.6950414329767227E-3</v>
      </c>
      <c r="S18" s="22">
        <v>5.1518543623387814E-3</v>
      </c>
      <c r="T18" s="15">
        <v>6.8485611118376255E-3</v>
      </c>
      <c r="U18" s="220">
        <v>3.0553190037608147E-2</v>
      </c>
      <c r="V18"/>
      <c r="W18"/>
      <c r="X18"/>
      <c r="Y18" s="225">
        <v>3.7381537258625031E-2</v>
      </c>
      <c r="Z18" s="21">
        <v>5.590192973613739E-3</v>
      </c>
      <c r="AA18"/>
      <c r="AB18" s="238">
        <v>6.534980982542038E-2</v>
      </c>
      <c r="AC18" s="14">
        <v>1.2706363340839744E-3</v>
      </c>
      <c r="AD18" s="246">
        <v>0.29231235384941101</v>
      </c>
      <c r="AE18" s="63">
        <v>7.0311114192008972E-2</v>
      </c>
      <c r="AF18"/>
      <c r="AG18"/>
      <c r="AH18"/>
      <c r="AI18" s="240">
        <v>5.2742995321750641E-2</v>
      </c>
      <c r="AJ18" s="243">
        <v>0.10535267740488052</v>
      </c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0.34000000357627869</v>
      </c>
      <c r="C19">
        <v>0.15712340176105499</v>
      </c>
      <c r="D19" s="11">
        <v>2.0319181203376502E-4</v>
      </c>
      <c r="E19" s="12">
        <v>1.0142346145585179E-3</v>
      </c>
      <c r="F19" s="11">
        <v>2.4141600079019554E-5</v>
      </c>
      <c r="G19"/>
      <c r="H19" s="14">
        <v>4.6932420809753239E-4</v>
      </c>
      <c r="I19" s="11">
        <v>3.6787201679544523E-5</v>
      </c>
      <c r="J19"/>
      <c r="K19" s="14">
        <v>3.6068703047931194E-4</v>
      </c>
      <c r="L19" s="11">
        <v>2.2905781224835664E-4</v>
      </c>
      <c r="M19" s="11">
        <v>4.3109998841828201E-6</v>
      </c>
      <c r="N19"/>
      <c r="O19"/>
      <c r="P19"/>
      <c r="Q19" s="11">
        <v>1.8709741198108532E-5</v>
      </c>
      <c r="R19" s="137">
        <v>1.0118003934621811E-2</v>
      </c>
      <c r="S19"/>
      <c r="T19"/>
      <c r="U19" s="225">
        <v>1.6731306910514832E-2</v>
      </c>
      <c r="V19"/>
      <c r="W19"/>
      <c r="X19"/>
      <c r="Y19"/>
      <c r="Z19"/>
      <c r="AA19"/>
      <c r="AB19"/>
      <c r="AC19"/>
      <c r="AD19" s="236">
        <v>8.0572061240673065E-2</v>
      </c>
      <c r="AE19"/>
      <c r="AF19"/>
      <c r="AG19"/>
      <c r="AH19"/>
      <c r="AI19" s="134">
        <v>7.3094785213470459E-2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0.52037328481674194</v>
      </c>
      <c r="C20">
        <v>2.6013955473899841E-2</v>
      </c>
      <c r="D20" s="12">
        <v>2.1792857442051172E-3</v>
      </c>
      <c r="E20" s="11">
        <v>7.1428570436182781E-7</v>
      </c>
      <c r="F20"/>
      <c r="G20"/>
      <c r="H20" s="13">
        <v>1.9126428291201591E-2</v>
      </c>
      <c r="I20" s="132">
        <v>6.7178569734096527E-2</v>
      </c>
      <c r="J20"/>
      <c r="K20" s="222">
        <v>0.11619357019662857</v>
      </c>
      <c r="L20" s="11">
        <v>7.1428571573051158E-6</v>
      </c>
      <c r="M20" s="220">
        <v>2.0862143486738205E-2</v>
      </c>
      <c r="N20"/>
      <c r="O20"/>
      <c r="P20"/>
      <c r="Q20" s="14">
        <v>8.1042858073487878E-4</v>
      </c>
      <c r="R20" s="225">
        <v>2.5146644562482834E-2</v>
      </c>
      <c r="S20"/>
      <c r="T20" s="232">
        <v>6.6080205142498016E-2</v>
      </c>
      <c r="U20" s="229">
        <v>4.1582927107810974E-2</v>
      </c>
      <c r="V20"/>
      <c r="W20"/>
      <c r="X20"/>
      <c r="Y20"/>
      <c r="Z20"/>
      <c r="AA20"/>
      <c r="AB20"/>
      <c r="AC20" s="138">
        <v>3.1576424837112427E-2</v>
      </c>
      <c r="AD20" s="100">
        <v>6.4596347510814667E-2</v>
      </c>
      <c r="AE20"/>
      <c r="AF20"/>
      <c r="AG20"/>
      <c r="AH20"/>
      <c r="AI20" s="226">
        <v>3.9018508046865463E-2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</v>
      </c>
      <c r="C21">
        <v>9.9887847900390625E-3</v>
      </c>
      <c r="D21" s="11">
        <v>1.5951814930303954E-5</v>
      </c>
      <c r="E21" s="11">
        <v>8.3330378402024508E-6</v>
      </c>
      <c r="F21" s="11">
        <v>8.2139940786873922E-6</v>
      </c>
      <c r="G21" s="11">
        <v>6.5473868744447827E-5</v>
      </c>
      <c r="H21" s="11">
        <v>1.3570946975960396E-5</v>
      </c>
      <c r="I21"/>
      <c r="J21"/>
      <c r="K21" s="17">
        <v>1.4335800893604755E-2</v>
      </c>
      <c r="L21"/>
      <c r="M21"/>
      <c r="N21"/>
      <c r="O21" s="64">
        <v>5.085035040974617E-2</v>
      </c>
      <c r="P21" s="247">
        <v>0.60188817977905273</v>
      </c>
      <c r="Q21" s="11">
        <v>4.6498345909640193E-5</v>
      </c>
      <c r="R21" s="22">
        <v>6.146739237010479E-3</v>
      </c>
      <c r="S21"/>
      <c r="T21" s="23">
        <v>2.6370171457529068E-2</v>
      </c>
      <c r="U21"/>
      <c r="V21"/>
      <c r="W21"/>
      <c r="X21"/>
      <c r="Y21" s="225">
        <v>4.8048153519630432E-2</v>
      </c>
      <c r="Z21"/>
      <c r="AA21"/>
      <c r="AB21"/>
      <c r="AC21"/>
      <c r="AD21" s="17">
        <v>1.3995378278195858E-2</v>
      </c>
      <c r="AE21"/>
      <c r="AF21"/>
      <c r="AG21"/>
      <c r="AH21"/>
      <c r="AI21" s="63">
        <v>9.2803895473480225E-2</v>
      </c>
      <c r="AJ21" s="244">
        <v>0.1354144811630249</v>
      </c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0.40000000596046448</v>
      </c>
      <c r="C22">
        <v>0.3190535306930542</v>
      </c>
      <c r="D22" s="216">
        <v>4.4442180544137955E-2</v>
      </c>
      <c r="E22" s="14">
        <v>3.9912649663165212E-4</v>
      </c>
      <c r="F22" s="17">
        <v>5.2926368080079556E-3</v>
      </c>
      <c r="G22" s="11">
        <v>7.323421300498012E-7</v>
      </c>
      <c r="H22" s="18">
        <v>4.8107556067407131E-3</v>
      </c>
      <c r="I22" s="11">
        <v>8.7148713646456599E-5</v>
      </c>
      <c r="J22" s="14">
        <v>8.7881059153005481E-4</v>
      </c>
      <c r="K22" s="12">
        <v>1.3848589733242989E-3</v>
      </c>
      <c r="L22" s="61">
        <v>2.3629019036889076E-2</v>
      </c>
      <c r="M22" s="11">
        <v>1.0985131666529924E-5</v>
      </c>
      <c r="N22"/>
      <c r="O22"/>
      <c r="P22"/>
      <c r="Q22" s="11">
        <v>1.021617299556965E-5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1.5</v>
      </c>
      <c r="C23">
        <v>1.4912903308868408E-2</v>
      </c>
      <c r="D23" s="12">
        <v>4.7823693603277206E-3</v>
      </c>
      <c r="E23"/>
      <c r="F23" s="11">
        <v>1.2307455108384602E-6</v>
      </c>
      <c r="G23" s="11">
        <v>4.6152954382705502E-6</v>
      </c>
      <c r="H23" s="11">
        <v>1.0449029505252838E-3</v>
      </c>
      <c r="I23" s="11">
        <v>6.46141343167983E-5</v>
      </c>
      <c r="J23"/>
      <c r="K23"/>
      <c r="L23" s="11">
        <v>2.4614910216769204E-6</v>
      </c>
      <c r="M23" s="11">
        <v>1.5384317748612375E-6</v>
      </c>
      <c r="N23"/>
      <c r="O23" s="238">
        <v>0.12946173548698425</v>
      </c>
      <c r="P23" s="241">
        <v>0.24013771116733551</v>
      </c>
      <c r="Q23" s="11">
        <v>2.1174976427573711E-4</v>
      </c>
      <c r="R23" s="21">
        <v>1.2132054194808006E-2</v>
      </c>
      <c r="S23"/>
      <c r="T23" s="233">
        <v>4.9443993717432022E-2</v>
      </c>
      <c r="U23" s="61">
        <v>8.9561507105827332E-2</v>
      </c>
      <c r="V23"/>
      <c r="W23" s="16">
        <v>2.325846254825592E-2</v>
      </c>
      <c r="X23"/>
      <c r="Y23"/>
      <c r="Z23" s="219">
        <v>3.4070197492837906E-2</v>
      </c>
      <c r="AA23"/>
      <c r="AB23"/>
      <c r="AC23" s="14">
        <v>2.1441399585455656E-3</v>
      </c>
      <c r="AD23" s="133">
        <v>0.18086628615856171</v>
      </c>
      <c r="AE23"/>
      <c r="AF23"/>
      <c r="AG23"/>
      <c r="AH23"/>
      <c r="AI23" s="245">
        <v>0.71789747476577759</v>
      </c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1.4500000476837158</v>
      </c>
      <c r="C24">
        <v>1.4499986544251442E-2</v>
      </c>
      <c r="D24" s="14">
        <v>1.6878719907253981E-3</v>
      </c>
      <c r="E24"/>
      <c r="F24"/>
      <c r="G24" s="11">
        <v>5.6602010545248049E-7</v>
      </c>
      <c r="H24" s="14">
        <v>2.3337008897215128E-3</v>
      </c>
      <c r="I24" s="11">
        <v>1.4150502636312012E-7</v>
      </c>
      <c r="J24"/>
      <c r="K24"/>
      <c r="L24" s="11">
        <v>1.4150502636312012E-7</v>
      </c>
      <c r="M24"/>
      <c r="N24" s="11">
        <v>1.4150502636312012E-7</v>
      </c>
      <c r="O24" s="11">
        <v>1.1319292243570089E-3</v>
      </c>
      <c r="P24"/>
      <c r="Q24"/>
      <c r="R24"/>
      <c r="S24"/>
      <c r="T24" s="11">
        <v>9.0594834182411432E-4</v>
      </c>
      <c r="U24" s="12">
        <v>5.491914227604866E-3</v>
      </c>
      <c r="V24"/>
      <c r="W24"/>
      <c r="X24"/>
      <c r="Y24"/>
      <c r="Z24" s="11">
        <v>3.6867981543764472E-4</v>
      </c>
      <c r="AA24"/>
      <c r="AB24"/>
      <c r="AC24"/>
      <c r="AD24" s="242">
        <v>0.15484361350536346</v>
      </c>
      <c r="AE24" s="248">
        <v>1.0167118310928345</v>
      </c>
      <c r="AF24"/>
      <c r="AG24"/>
      <c r="AH24"/>
      <c r="AI24"/>
      <c r="AJ24" s="216">
        <v>0.16096508502960205</v>
      </c>
      <c r="AK24"/>
      <c r="AL24" s="62">
        <v>9.1058485209941864E-2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3.5</v>
      </c>
      <c r="C25">
        <v>1.2084441184997559</v>
      </c>
      <c r="D25" s="11">
        <v>3.0509091448038816E-4</v>
      </c>
      <c r="E25"/>
      <c r="F25" s="11">
        <v>1.8181818006723915E-7</v>
      </c>
      <c r="G25" s="11">
        <v>3.818181994574843E-6</v>
      </c>
      <c r="H25" s="22">
        <v>1.8151272088289261E-2</v>
      </c>
      <c r="I25"/>
      <c r="J25"/>
      <c r="K25"/>
      <c r="L25"/>
      <c r="M25"/>
      <c r="N25" s="11">
        <v>1.2854546366725117E-4</v>
      </c>
      <c r="O25"/>
      <c r="P25"/>
      <c r="Q25" s="11">
        <v>3.3818180327216396E-6</v>
      </c>
      <c r="R25"/>
      <c r="S25" s="219">
        <v>8.0910541117191315E-2</v>
      </c>
      <c r="T25" s="11">
        <v>1.280446769669652E-3</v>
      </c>
      <c r="U25" s="220">
        <v>0.13407343626022339</v>
      </c>
      <c r="V25" s="233">
        <v>0.11653347313404083</v>
      </c>
      <c r="W25" s="22">
        <v>1.8325202167034149E-2</v>
      </c>
      <c r="X25"/>
      <c r="Y25"/>
      <c r="Z25"/>
      <c r="AA25" s="219">
        <v>8.2796894013881683E-2</v>
      </c>
      <c r="AB25" s="22">
        <v>1.9243635237216949E-2</v>
      </c>
      <c r="AC25" s="17">
        <v>5.1155783236026764E-2</v>
      </c>
      <c r="AD25" s="68">
        <v>0.32720986008644104</v>
      </c>
      <c r="AE25" s="249">
        <v>1.4414341449737549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1.0249999761581421</v>
      </c>
      <c r="C26">
        <v>0.61661386489868164</v>
      </c>
      <c r="D26" s="11">
        <v>3.7186605368333403E-6</v>
      </c>
      <c r="E26"/>
      <c r="F26"/>
      <c r="G26" s="11">
        <v>2.795305335894227E-4</v>
      </c>
      <c r="H26" s="11">
        <v>6.4024902712844778E-6</v>
      </c>
      <c r="I26"/>
      <c r="J26"/>
      <c r="K26" s="11">
        <v>5.0479556534810399E-8</v>
      </c>
      <c r="L26" s="11">
        <v>4.9638231303106295E-7</v>
      </c>
      <c r="M26"/>
      <c r="N26" s="11">
        <v>3.0416456866078079E-4</v>
      </c>
      <c r="O26" s="11">
        <v>1.8843852740246803E-4</v>
      </c>
      <c r="P26"/>
      <c r="Q26" s="11">
        <v>2.4646642486914061E-6</v>
      </c>
      <c r="R26"/>
      <c r="S26" s="14">
        <v>1.1442500399425626E-3</v>
      </c>
      <c r="T26"/>
      <c r="U26" s="14">
        <v>1.9591485615819693E-3</v>
      </c>
      <c r="V26" s="220">
        <v>4.0687691420316696E-2</v>
      </c>
      <c r="W26" s="12">
        <v>4.9464371986687183E-3</v>
      </c>
      <c r="X26" s="11">
        <v>3.5588087484939024E-5</v>
      </c>
      <c r="Y26"/>
      <c r="Z26"/>
      <c r="AA26" s="14">
        <v>1.8495712429285049E-3</v>
      </c>
      <c r="AB26" s="22">
        <v>5.6395754218101501E-3</v>
      </c>
      <c r="AC26" s="12">
        <v>4.2194235138595104E-3</v>
      </c>
      <c r="AD26" s="21">
        <v>8.6737144738435745E-3</v>
      </c>
      <c r="AE26" s="250">
        <v>8.4263846278190613E-2</v>
      </c>
      <c r="AF26" s="14">
        <v>2.5175374466925859E-3</v>
      </c>
      <c r="AG26"/>
      <c r="AH26" s="12">
        <v>4.2361966334283352E-3</v>
      </c>
      <c r="AI26" s="11">
        <v>9.303278784500435E-5</v>
      </c>
      <c r="AJ26"/>
      <c r="AK26" s="19">
        <v>1.7242701724171638E-2</v>
      </c>
      <c r="AL26" s="222">
        <v>0.23009213805198669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7</v>
      </c>
      <c r="C27">
        <v>5.3756098747253418</v>
      </c>
      <c r="D27"/>
      <c r="E27"/>
      <c r="F27"/>
      <c r="G27"/>
      <c r="H27"/>
      <c r="I27"/>
      <c r="J27"/>
      <c r="K27"/>
      <c r="L27"/>
      <c r="M27"/>
      <c r="N27"/>
      <c r="O27" s="11">
        <v>6.3448990695178509E-3</v>
      </c>
      <c r="P27" s="14">
        <v>8.1731053069233894E-3</v>
      </c>
      <c r="Q27"/>
      <c r="R27" s="11">
        <v>1.8162276319344528E-5</v>
      </c>
      <c r="S27" s="11">
        <v>4.1790347313508391E-4</v>
      </c>
      <c r="T27"/>
      <c r="U27" s="11">
        <v>3.0033458024263382E-3</v>
      </c>
      <c r="V27"/>
      <c r="W27" s="11">
        <v>1.6248889733105898E-4</v>
      </c>
      <c r="X27" s="14">
        <v>1.8467208370566368E-2</v>
      </c>
      <c r="Y27" s="21">
        <v>5.4659154266119003E-2</v>
      </c>
      <c r="Z27"/>
      <c r="AA27" s="11">
        <v>4.556836502160877E-4</v>
      </c>
      <c r="AB27"/>
      <c r="AC27" s="11">
        <v>3.4040799364447594E-3</v>
      </c>
      <c r="AD27" s="11">
        <v>4.0239938534796238E-3</v>
      </c>
      <c r="AE27" s="252">
        <v>0.3986457884311676</v>
      </c>
      <c r="AF27" s="21">
        <v>5.2101194858551025E-2</v>
      </c>
      <c r="AG27" s="15">
        <v>6.2294445931911469E-2</v>
      </c>
      <c r="AH27" s="101">
        <v>0.46513468027114868</v>
      </c>
      <c r="AI27" s="11">
        <v>1.9253413192927837E-3</v>
      </c>
      <c r="AJ27" s="251">
        <v>0.37411248683929443</v>
      </c>
      <c r="AK27" s="219">
        <v>0.15859684348106384</v>
      </c>
      <c r="AL27" s="14">
        <v>1.2449216097593307E-2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40</v>
      </c>
      <c r="C28">
        <v>1.3707590103149414</v>
      </c>
      <c r="D28"/>
      <c r="E28"/>
      <c r="F28"/>
      <c r="G28"/>
      <c r="H28"/>
      <c r="I28"/>
      <c r="J28"/>
      <c r="K28"/>
      <c r="L28"/>
      <c r="M28"/>
      <c r="N28"/>
      <c r="O28" s="11">
        <v>1.4395495236385614E-4</v>
      </c>
      <c r="P28" s="14">
        <v>4.7784578055143356E-2</v>
      </c>
      <c r="Q28"/>
      <c r="R28"/>
      <c r="S28"/>
      <c r="T28"/>
      <c r="U28"/>
      <c r="V28"/>
      <c r="W28"/>
      <c r="X28" s="11">
        <v>2.0299635827541351E-2</v>
      </c>
      <c r="Y28"/>
      <c r="Z28"/>
      <c r="AA28"/>
      <c r="AB28"/>
      <c r="AC28"/>
      <c r="AD28"/>
      <c r="AE28" s="11">
        <v>2.0493142306804657E-2</v>
      </c>
      <c r="AF28" s="17">
        <v>0.53850632905960083</v>
      </c>
      <c r="AG28" s="12">
        <v>0.14486885070800781</v>
      </c>
      <c r="AH28" s="18">
        <v>0.47760656476020813</v>
      </c>
      <c r="AI28"/>
      <c r="AJ28"/>
      <c r="AK28" s="19">
        <v>0.73764973878860474</v>
      </c>
      <c r="AL28" s="11">
        <v>1.447563711553812E-2</v>
      </c>
      <c r="AM28"/>
      <c r="AN28" s="253">
        <v>36.627414703369141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88.147499084472656</v>
      </c>
      <c r="C29">
        <v>59.211483001708984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 s="11">
        <v>3.7536829710006714E-2</v>
      </c>
      <c r="AI29"/>
      <c r="AJ29"/>
      <c r="AK29" s="11">
        <v>5.7295180857181549E-2</v>
      </c>
      <c r="AL29"/>
      <c r="AM29"/>
      <c r="AN29" s="233">
        <v>2.9503152370452881</v>
      </c>
      <c r="AO29" s="254">
        <v>25.890869140625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/>
      <c r="C30">
        <v>3.1392708420753479E-2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9">
        <v>0.26885899901390076</v>
      </c>
      <c r="T30"/>
      <c r="U30" s="9">
        <v>1.9405366852879524E-2</v>
      </c>
      <c r="V30" s="9">
        <v>0.34960043430328369</v>
      </c>
      <c r="W30" s="9">
        <v>5.0394304096698761E-2</v>
      </c>
      <c r="X30"/>
      <c r="Y30"/>
      <c r="Z30"/>
      <c r="AA30" s="9">
        <v>8.6365722119808197E-2</v>
      </c>
      <c r="AB30" s="9">
        <v>0.28223997354507446</v>
      </c>
      <c r="AC30" s="9">
        <v>6.5112762153148651E-2</v>
      </c>
      <c r="AD30" s="9">
        <v>0.1175653487443924</v>
      </c>
      <c r="AE30" s="9">
        <v>7.2771725654602051</v>
      </c>
      <c r="AF30"/>
      <c r="AG30"/>
      <c r="AH30" s="9">
        <v>2.811288595199585</v>
      </c>
      <c r="AI30"/>
      <c r="AJ30"/>
      <c r="AK30" s="9">
        <v>35.524105072021484</v>
      </c>
      <c r="AL30" s="9">
        <v>3.2174999713897705</v>
      </c>
      <c r="AM30" s="9">
        <v>203.052490234375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166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167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89" t="s">
        <v>192</v>
      </c>
      <c r="E5">
        <v>4</v>
      </c>
      <c r="F5">
        <v>3.13</v>
      </c>
      <c r="G5">
        <v>4</v>
      </c>
      <c r="H5" s="190" t="s">
        <v>192</v>
      </c>
      <c r="J5" s="52"/>
      <c r="K5" s="53"/>
    </row>
    <row r="6" spans="1:12" ht="14" thickBot="1" x14ac:dyDescent="0.2">
      <c r="A6" s="36" t="s">
        <v>121</v>
      </c>
      <c r="D6" s="189" t="s">
        <v>193</v>
      </c>
      <c r="E6">
        <v>5</v>
      </c>
      <c r="F6">
        <v>3.13</v>
      </c>
      <c r="G6">
        <v>5</v>
      </c>
      <c r="H6" s="190" t="s">
        <v>193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89" t="s">
        <v>194</v>
      </c>
      <c r="E7">
        <v>6</v>
      </c>
      <c r="F7">
        <v>3.13</v>
      </c>
      <c r="G7">
        <v>6</v>
      </c>
      <c r="H7" s="190" t="s">
        <v>194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89" t="s">
        <v>195</v>
      </c>
      <c r="E8">
        <v>7</v>
      </c>
      <c r="F8">
        <v>3.12</v>
      </c>
      <c r="G8">
        <v>7</v>
      </c>
      <c r="H8" s="190" t="s">
        <v>195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89" t="s">
        <v>196</v>
      </c>
      <c r="E9">
        <v>8</v>
      </c>
      <c r="F9">
        <v>3.22</v>
      </c>
      <c r="G9">
        <v>8</v>
      </c>
      <c r="H9" s="190" t="s">
        <v>196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89" t="s">
        <v>197</v>
      </c>
      <c r="E10">
        <v>9</v>
      </c>
      <c r="F10">
        <v>3.12</v>
      </c>
      <c r="G10">
        <v>9</v>
      </c>
      <c r="H10" s="190" t="s">
        <v>197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89" t="s">
        <v>198</v>
      </c>
      <c r="E11">
        <v>10</v>
      </c>
      <c r="F11">
        <v>3.22</v>
      </c>
      <c r="G11">
        <v>10</v>
      </c>
      <c r="H11" s="190" t="s">
        <v>198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89" t="s">
        <v>199</v>
      </c>
      <c r="E12">
        <v>11</v>
      </c>
      <c r="F12">
        <v>3.22</v>
      </c>
      <c r="G12">
        <v>11</v>
      </c>
      <c r="H12" s="190" t="s">
        <v>199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89" t="s">
        <v>200</v>
      </c>
      <c r="E13">
        <v>12</v>
      </c>
      <c r="F13">
        <v>3.22</v>
      </c>
      <c r="G13">
        <v>12</v>
      </c>
      <c r="H13" s="190" t="s">
        <v>200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89" t="s">
        <v>201</v>
      </c>
      <c r="E14">
        <v>13</v>
      </c>
      <c r="F14">
        <v>3</v>
      </c>
      <c r="G14">
        <v>13</v>
      </c>
      <c r="H14" s="190" t="s">
        <v>201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89" t="s">
        <v>202</v>
      </c>
      <c r="E15">
        <v>14</v>
      </c>
      <c r="F15">
        <v>3.22</v>
      </c>
      <c r="G15">
        <v>14</v>
      </c>
      <c r="H15" s="190" t="s">
        <v>202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89" t="s">
        <v>203</v>
      </c>
      <c r="E16">
        <v>15</v>
      </c>
      <c r="F16">
        <v>3.22</v>
      </c>
      <c r="G16">
        <v>15</v>
      </c>
      <c r="H16" s="190" t="s">
        <v>203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89" t="s">
        <v>204</v>
      </c>
      <c r="E17">
        <v>16</v>
      </c>
      <c r="F17">
        <v>3.22</v>
      </c>
      <c r="G17">
        <v>16</v>
      </c>
      <c r="H17" s="190" t="s">
        <v>204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89" t="s">
        <v>205</v>
      </c>
      <c r="E18">
        <v>17</v>
      </c>
      <c r="F18">
        <v>3.22</v>
      </c>
      <c r="G18">
        <v>17</v>
      </c>
      <c r="H18" s="190" t="s">
        <v>205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89" t="s">
        <v>206</v>
      </c>
      <c r="E19">
        <v>18</v>
      </c>
      <c r="F19">
        <v>3.22</v>
      </c>
      <c r="G19">
        <v>18</v>
      </c>
      <c r="H19" s="190" t="s">
        <v>206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89" t="s">
        <v>207</v>
      </c>
      <c r="E20">
        <v>19</v>
      </c>
      <c r="F20">
        <v>3.2</v>
      </c>
      <c r="G20">
        <v>19</v>
      </c>
      <c r="H20" s="190" t="s">
        <v>207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89" t="s">
        <v>208</v>
      </c>
      <c r="E21">
        <v>20</v>
      </c>
      <c r="F21">
        <v>3.2</v>
      </c>
      <c r="G21">
        <v>20</v>
      </c>
      <c r="H21" s="190" t="s">
        <v>208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89" t="s">
        <v>209</v>
      </c>
      <c r="E22">
        <v>21</v>
      </c>
      <c r="F22">
        <v>3.12</v>
      </c>
      <c r="G22">
        <v>21</v>
      </c>
      <c r="H22" s="190" t="s">
        <v>209</v>
      </c>
    </row>
    <row r="23" spans="1:12" x14ac:dyDescent="0.15">
      <c r="A23" s="31" t="s">
        <v>129</v>
      </c>
      <c r="B23" s="39">
        <v>4</v>
      </c>
      <c r="C23" s="33"/>
      <c r="D23" s="189" t="s">
        <v>210</v>
      </c>
      <c r="E23">
        <v>22</v>
      </c>
      <c r="F23">
        <v>3.12</v>
      </c>
      <c r="G23">
        <v>22</v>
      </c>
      <c r="H23" s="190" t="s">
        <v>210</v>
      </c>
    </row>
    <row r="24" spans="1:12" x14ac:dyDescent="0.15">
      <c r="A24" s="31" t="s">
        <v>122</v>
      </c>
      <c r="B24" s="39">
        <v>4.0999999999999996</v>
      </c>
      <c r="C24" s="33"/>
      <c r="D24" s="189" t="s">
        <v>211</v>
      </c>
      <c r="E24">
        <v>23</v>
      </c>
      <c r="F24">
        <v>3.1</v>
      </c>
      <c r="G24">
        <v>23</v>
      </c>
      <c r="H24" s="190" t="s">
        <v>211</v>
      </c>
    </row>
    <row r="25" spans="1:12" x14ac:dyDescent="0.15">
      <c r="A25" s="31" t="s">
        <v>70</v>
      </c>
      <c r="B25" s="39">
        <v>4.2</v>
      </c>
      <c r="C25" s="33"/>
      <c r="D25" s="189" t="s">
        <v>212</v>
      </c>
      <c r="E25">
        <v>24</v>
      </c>
      <c r="F25">
        <v>3.1</v>
      </c>
      <c r="G25">
        <v>24</v>
      </c>
      <c r="H25" s="190" t="s">
        <v>212</v>
      </c>
    </row>
    <row r="26" spans="1:12" x14ac:dyDescent="0.15">
      <c r="A26" s="31" t="s">
        <v>123</v>
      </c>
      <c r="B26" s="39">
        <v>4.3</v>
      </c>
      <c r="C26" s="33"/>
      <c r="D26" s="189" t="s">
        <v>213</v>
      </c>
      <c r="E26">
        <v>25</v>
      </c>
      <c r="F26">
        <v>3.12</v>
      </c>
      <c r="G26">
        <v>25</v>
      </c>
      <c r="H26" s="190" t="s">
        <v>213</v>
      </c>
    </row>
    <row r="27" spans="1:12" x14ac:dyDescent="0.15">
      <c r="A27" s="31" t="s">
        <v>125</v>
      </c>
      <c r="B27" s="39">
        <v>6.1</v>
      </c>
      <c r="D27" s="189" t="s">
        <v>214</v>
      </c>
      <c r="E27">
        <v>26</v>
      </c>
      <c r="F27">
        <v>3</v>
      </c>
      <c r="G27">
        <v>26</v>
      </c>
      <c r="H27" s="190" t="s">
        <v>214</v>
      </c>
    </row>
    <row r="28" spans="1:12" x14ac:dyDescent="0.15">
      <c r="A28" s="31" t="s">
        <v>124</v>
      </c>
      <c r="B28" s="39">
        <v>6.2</v>
      </c>
      <c r="D28" s="189" t="s">
        <v>215</v>
      </c>
      <c r="E28">
        <v>27</v>
      </c>
      <c r="F28">
        <v>3</v>
      </c>
      <c r="G28">
        <v>27</v>
      </c>
      <c r="H28" s="190" t="s">
        <v>215</v>
      </c>
    </row>
    <row r="29" spans="1:12" x14ac:dyDescent="0.15">
      <c r="A29" s="31" t="s">
        <v>44</v>
      </c>
      <c r="B29" s="39">
        <v>5</v>
      </c>
      <c r="D29" s="189" t="s">
        <v>216</v>
      </c>
      <c r="E29">
        <v>28</v>
      </c>
      <c r="F29">
        <v>3.21</v>
      </c>
      <c r="G29">
        <v>28</v>
      </c>
      <c r="H29" s="190" t="s">
        <v>216</v>
      </c>
    </row>
    <row r="30" spans="1:12" x14ac:dyDescent="0.15">
      <c r="A30" s="31" t="s">
        <v>73</v>
      </c>
      <c r="B30" s="39">
        <v>7</v>
      </c>
      <c r="D30" s="189" t="s">
        <v>217</v>
      </c>
      <c r="E30">
        <v>29</v>
      </c>
      <c r="F30">
        <v>3.11</v>
      </c>
      <c r="G30">
        <v>29</v>
      </c>
      <c r="H30" s="190" t="s">
        <v>217</v>
      </c>
    </row>
    <row r="31" spans="1:12" x14ac:dyDescent="0.15">
      <c r="A31" s="31" t="s">
        <v>169</v>
      </c>
      <c r="B31" s="39">
        <v>3.14</v>
      </c>
      <c r="D31" s="189" t="s">
        <v>218</v>
      </c>
      <c r="E31">
        <v>30</v>
      </c>
      <c r="F31">
        <v>3.14</v>
      </c>
      <c r="G31">
        <v>30</v>
      </c>
      <c r="H31" s="190" t="s">
        <v>218</v>
      </c>
    </row>
    <row r="32" spans="1:12" ht="12" customHeight="1" thickBot="1" x14ac:dyDescent="0.2">
      <c r="A32" s="37" t="s">
        <v>170</v>
      </c>
      <c r="B32" s="40">
        <v>9</v>
      </c>
      <c r="D32" s="189" t="s">
        <v>219</v>
      </c>
      <c r="E32">
        <v>31</v>
      </c>
      <c r="F32">
        <v>2</v>
      </c>
      <c r="G32">
        <v>31</v>
      </c>
      <c r="H32" s="190" t="s">
        <v>219</v>
      </c>
    </row>
    <row r="33" spans="4:8" customFormat="1" ht="12" customHeight="1" x14ac:dyDescent="0.15">
      <c r="D33" s="189" t="s">
        <v>220</v>
      </c>
      <c r="E33">
        <v>32</v>
      </c>
      <c r="F33">
        <v>4.0999999999999996</v>
      </c>
      <c r="G33">
        <v>32</v>
      </c>
      <c r="H33" s="190" t="s">
        <v>220</v>
      </c>
    </row>
    <row r="34" spans="4:8" customFormat="1" ht="12" customHeight="1" x14ac:dyDescent="0.15">
      <c r="D34" s="189" t="s">
        <v>221</v>
      </c>
      <c r="E34">
        <v>33</v>
      </c>
      <c r="F34">
        <v>4.3</v>
      </c>
      <c r="G34">
        <v>33</v>
      </c>
      <c r="H34" s="190" t="s">
        <v>221</v>
      </c>
    </row>
    <row r="35" spans="4:8" customFormat="1" x14ac:dyDescent="0.15">
      <c r="D35" s="189" t="s">
        <v>222</v>
      </c>
      <c r="E35">
        <v>34</v>
      </c>
      <c r="F35">
        <v>5</v>
      </c>
      <c r="G35">
        <v>34</v>
      </c>
      <c r="H35" s="190" t="s">
        <v>222</v>
      </c>
    </row>
    <row r="36" spans="4:8" customFormat="1" x14ac:dyDescent="0.15">
      <c r="D36" s="189" t="s">
        <v>223</v>
      </c>
      <c r="E36">
        <v>35</v>
      </c>
      <c r="F36">
        <v>5</v>
      </c>
      <c r="G36">
        <v>35</v>
      </c>
      <c r="H36" s="190" t="s">
        <v>223</v>
      </c>
    </row>
    <row r="37" spans="4:8" customFormat="1" ht="12" customHeight="1" x14ac:dyDescent="0.15">
      <c r="D37" s="189" t="s">
        <v>224</v>
      </c>
      <c r="E37">
        <v>36</v>
      </c>
      <c r="F37">
        <v>5</v>
      </c>
      <c r="G37">
        <v>36</v>
      </c>
      <c r="H37" s="190" t="s">
        <v>224</v>
      </c>
    </row>
    <row r="38" spans="4:8" customFormat="1" x14ac:dyDescent="0.15">
      <c r="D38" s="189" t="s">
        <v>225</v>
      </c>
      <c r="E38">
        <v>37</v>
      </c>
      <c r="F38">
        <v>5</v>
      </c>
      <c r="G38">
        <v>37</v>
      </c>
      <c r="H38" s="190" t="s">
        <v>225</v>
      </c>
    </row>
    <row r="39" spans="4:8" customFormat="1" x14ac:dyDescent="0.15">
      <c r="D39" s="189" t="s">
        <v>226</v>
      </c>
      <c r="E39">
        <v>38</v>
      </c>
      <c r="F39">
        <v>5</v>
      </c>
      <c r="G39">
        <v>38</v>
      </c>
      <c r="H39" s="190" t="s">
        <v>226</v>
      </c>
    </row>
    <row r="40" spans="4:8" customFormat="1" x14ac:dyDescent="0.15">
      <c r="D40" s="189" t="s">
        <v>227</v>
      </c>
      <c r="E40">
        <v>39</v>
      </c>
      <c r="F40">
        <v>5</v>
      </c>
      <c r="G40">
        <v>39</v>
      </c>
      <c r="H40" s="190" t="s">
        <v>227</v>
      </c>
    </row>
    <row r="41" spans="4:8" customFormat="1" x14ac:dyDescent="0.15">
      <c r="D41" s="189" t="s">
        <v>228</v>
      </c>
      <c r="E41">
        <v>40</v>
      </c>
      <c r="F41">
        <v>5</v>
      </c>
      <c r="G41">
        <v>40</v>
      </c>
      <c r="H41" s="190" t="s">
        <v>228</v>
      </c>
    </row>
    <row r="42" spans="4:8" customFormat="1" x14ac:dyDescent="0.15">
      <c r="D42" s="189" t="s">
        <v>229</v>
      </c>
      <c r="E42">
        <v>41</v>
      </c>
      <c r="F42">
        <v>5</v>
      </c>
      <c r="G42">
        <v>41</v>
      </c>
      <c r="H42" s="190" t="s">
        <v>229</v>
      </c>
    </row>
    <row r="43" spans="4:8" customFormat="1" x14ac:dyDescent="0.15">
      <c r="D43" s="189" t="s">
        <v>230</v>
      </c>
      <c r="E43">
        <v>42</v>
      </c>
      <c r="F43">
        <v>5</v>
      </c>
      <c r="G43">
        <v>42</v>
      </c>
      <c r="H43" s="190" t="s">
        <v>230</v>
      </c>
    </row>
    <row r="44" spans="4:8" customFormat="1" x14ac:dyDescent="0.15">
      <c r="D44" s="189" t="s">
        <v>231</v>
      </c>
      <c r="E44">
        <v>43</v>
      </c>
      <c r="F44">
        <v>5</v>
      </c>
      <c r="G44">
        <v>43</v>
      </c>
      <c r="H44" s="190" t="s">
        <v>231</v>
      </c>
    </row>
    <row r="45" spans="4:8" customFormat="1" x14ac:dyDescent="0.15">
      <c r="D45" s="189" t="s">
        <v>232</v>
      </c>
      <c r="E45">
        <v>44</v>
      </c>
      <c r="F45">
        <v>5</v>
      </c>
      <c r="G45">
        <v>44</v>
      </c>
      <c r="H45" s="190" t="s">
        <v>232</v>
      </c>
    </row>
    <row r="46" spans="4:8" customFormat="1" x14ac:dyDescent="0.15">
      <c r="D46" s="189" t="s">
        <v>138</v>
      </c>
      <c r="E46">
        <v>45</v>
      </c>
      <c r="F46">
        <v>6.1</v>
      </c>
      <c r="G46">
        <v>45</v>
      </c>
      <c r="H46" s="190" t="s">
        <v>138</v>
      </c>
    </row>
    <row r="47" spans="4:8" customFormat="1" x14ac:dyDescent="0.15">
      <c r="D47" s="189" t="s">
        <v>45</v>
      </c>
      <c r="E47">
        <v>46</v>
      </c>
      <c r="F47">
        <v>6.2</v>
      </c>
      <c r="G47">
        <v>46</v>
      </c>
      <c r="H47" s="190" t="s">
        <v>45</v>
      </c>
    </row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7" bestFit="1" customWidth="1"/>
    <col min="2" max="2" width="7.83203125" style="76" customWidth="1"/>
    <col min="3" max="3" width="13.1640625" style="76" customWidth="1"/>
    <col min="4" max="4" width="39.6640625" style="76" customWidth="1"/>
    <col min="5" max="5" width="8.1640625" style="76" customWidth="1"/>
    <col min="6" max="6" width="21.6640625" style="76" bestFit="1" customWidth="1"/>
    <col min="7" max="9" width="2.33203125" style="76" customWidth="1"/>
    <col min="10" max="10" width="2.33203125" style="76" bestFit="1" customWidth="1"/>
    <col min="11" max="12" width="2.33203125" style="76" customWidth="1"/>
    <col min="13" max="14" width="5.83203125" style="76" customWidth="1"/>
    <col min="15" max="15" width="2.33203125" style="76" customWidth="1"/>
    <col min="16" max="16" width="2.33203125" style="66" customWidth="1"/>
    <col min="17" max="17" width="2.33203125" style="76" customWidth="1"/>
    <col min="18" max="18" width="2.33203125" style="67" customWidth="1"/>
    <col min="19" max="16384" width="11.5" style="76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8" t="s">
        <v>48</v>
      </c>
      <c r="L1" s="67"/>
      <c r="M1" s="78" t="s">
        <v>119</v>
      </c>
      <c r="N1" s="67"/>
      <c r="O1" s="78" t="s">
        <v>49</v>
      </c>
      <c r="P1" s="70"/>
      <c r="Q1" s="78" t="s">
        <v>50</v>
      </c>
      <c r="R1" s="65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3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3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91" t="s">
        <v>192</v>
      </c>
      <c r="G6" s="76">
        <v>0</v>
      </c>
      <c r="H6" s="76">
        <v>0</v>
      </c>
      <c r="I6" s="76">
        <v>0</v>
      </c>
      <c r="J6" s="76">
        <v>0</v>
      </c>
      <c r="K6" s="76">
        <v>1</v>
      </c>
      <c r="L6" s="76">
        <v>0</v>
      </c>
      <c r="M6" s="76">
        <v>1</v>
      </c>
      <c r="N6" s="76">
        <v>0</v>
      </c>
      <c r="O6" s="76">
        <v>1</v>
      </c>
      <c r="P6" s="66">
        <v>0</v>
      </c>
      <c r="Q6" s="76">
        <v>0</v>
      </c>
      <c r="R6" s="67">
        <v>1</v>
      </c>
      <c r="S6"/>
      <c r="T6"/>
    </row>
    <row r="7" spans="1:23" ht="15" customHeight="1" thickBot="1" x14ac:dyDescent="0.2">
      <c r="F7" s="191" t="s">
        <v>193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6">
        <v>0</v>
      </c>
      <c r="Q7" s="76">
        <v>0</v>
      </c>
      <c r="R7" s="67">
        <v>1</v>
      </c>
      <c r="S7"/>
      <c r="T7"/>
    </row>
    <row r="8" spans="1:23" ht="15" customHeight="1" x14ac:dyDescent="0.15">
      <c r="A8" s="78" t="s">
        <v>56</v>
      </c>
      <c r="B8" s="85">
        <v>1</v>
      </c>
      <c r="C8" s="192" t="s">
        <v>219</v>
      </c>
      <c r="D8" s="80" t="s">
        <v>160</v>
      </c>
      <c r="F8" s="191" t="s">
        <v>194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6">
        <v>0</v>
      </c>
      <c r="Q8" s="76">
        <v>0</v>
      </c>
      <c r="R8" s="67">
        <v>1</v>
      </c>
      <c r="S8"/>
      <c r="T8"/>
      <c r="W8"/>
    </row>
    <row r="9" spans="1:23" ht="15" customHeight="1" x14ac:dyDescent="0.15">
      <c r="A9" s="117" t="s">
        <v>168</v>
      </c>
      <c r="B9" s="87"/>
      <c r="C9" s="75"/>
      <c r="D9" s="80" t="s">
        <v>160</v>
      </c>
      <c r="F9" s="191" t="s">
        <v>195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6">
        <v>0</v>
      </c>
      <c r="Q9" s="76">
        <v>0</v>
      </c>
      <c r="R9" s="67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91" t="s">
        <v>196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6">
        <v>0</v>
      </c>
      <c r="Q10" s="76">
        <v>0</v>
      </c>
      <c r="R10" s="67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91" t="s">
        <v>197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6">
        <v>0</v>
      </c>
      <c r="Q11" s="76">
        <v>0</v>
      </c>
      <c r="R11" s="67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91" t="s">
        <v>198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6">
        <v>0</v>
      </c>
      <c r="Q12" s="76">
        <v>0</v>
      </c>
      <c r="R12" s="67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91" t="s">
        <v>199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6">
        <v>0</v>
      </c>
      <c r="Q13" s="76">
        <v>0</v>
      </c>
      <c r="R13" s="67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91" t="s">
        <v>200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6">
        <v>0</v>
      </c>
      <c r="Q14" s="76">
        <v>0</v>
      </c>
      <c r="R14" s="67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91" t="s">
        <v>201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6">
        <v>0</v>
      </c>
      <c r="Q15" s="76">
        <v>0</v>
      </c>
      <c r="R15" s="67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91" t="s">
        <v>202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6">
        <v>0</v>
      </c>
      <c r="Q16" s="76">
        <v>0</v>
      </c>
      <c r="R16" s="67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91" t="s">
        <v>203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6">
        <v>0</v>
      </c>
      <c r="Q17" s="76">
        <v>0</v>
      </c>
      <c r="R17" s="67">
        <v>1</v>
      </c>
      <c r="S17"/>
      <c r="T17"/>
    </row>
    <row r="18" spans="1:20" ht="15" customHeight="1" thickBot="1" x14ac:dyDescent="0.2">
      <c r="B18" s="88"/>
      <c r="F18" s="191" t="s">
        <v>204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6">
        <v>0</v>
      </c>
      <c r="Q18" s="76">
        <v>0</v>
      </c>
      <c r="R18" s="67">
        <v>1</v>
      </c>
      <c r="S18"/>
      <c r="T18"/>
    </row>
    <row r="19" spans="1:20" ht="15" customHeight="1" x14ac:dyDescent="0.15">
      <c r="A19" s="78" t="s">
        <v>57</v>
      </c>
      <c r="B19" s="85">
        <v>1</v>
      </c>
      <c r="C19" s="193" t="s">
        <v>219</v>
      </c>
      <c r="D19" s="80" t="s">
        <v>160</v>
      </c>
      <c r="F19" s="191" t="s">
        <v>205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6">
        <v>0</v>
      </c>
      <c r="Q19" s="76">
        <v>0</v>
      </c>
      <c r="R19" s="67">
        <v>1</v>
      </c>
      <c r="S19"/>
      <c r="T19"/>
    </row>
    <row r="20" spans="1:20" ht="15" customHeight="1" x14ac:dyDescent="0.15">
      <c r="A20" s="117" t="s">
        <v>168</v>
      </c>
      <c r="B20" s="87"/>
      <c r="C20" s="75"/>
      <c r="D20" s="80" t="s">
        <v>160</v>
      </c>
      <c r="F20" s="191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6">
        <v>0</v>
      </c>
      <c r="Q20" s="76">
        <v>0</v>
      </c>
      <c r="R20" s="67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91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6">
        <v>0</v>
      </c>
      <c r="Q21" s="76">
        <v>0</v>
      </c>
      <c r="R21" s="67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91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1</v>
      </c>
      <c r="L22" s="76">
        <v>0</v>
      </c>
      <c r="M22" s="76">
        <v>1</v>
      </c>
      <c r="N22" s="76">
        <v>0</v>
      </c>
      <c r="O22" s="76">
        <v>1</v>
      </c>
      <c r="P22" s="66">
        <v>0</v>
      </c>
      <c r="Q22" s="76">
        <v>0</v>
      </c>
      <c r="R22" s="67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91" t="s">
        <v>209</v>
      </c>
      <c r="G23" s="76">
        <v>0</v>
      </c>
      <c r="H23" s="76">
        <v>0</v>
      </c>
      <c r="I23" s="76">
        <v>0</v>
      </c>
      <c r="J23" s="76">
        <v>0</v>
      </c>
      <c r="K23" s="76">
        <v>1</v>
      </c>
      <c r="L23" s="76">
        <v>0</v>
      </c>
      <c r="M23" s="76">
        <v>1</v>
      </c>
      <c r="N23" s="76">
        <v>0</v>
      </c>
      <c r="O23" s="76">
        <v>1</v>
      </c>
      <c r="P23" s="66">
        <v>0</v>
      </c>
      <c r="Q23" s="76">
        <v>0</v>
      </c>
      <c r="R23" s="67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91" t="s">
        <v>210</v>
      </c>
      <c r="G24" s="76">
        <v>0</v>
      </c>
      <c r="H24" s="76">
        <v>0</v>
      </c>
      <c r="I24" s="76">
        <v>0</v>
      </c>
      <c r="J24" s="76">
        <v>0</v>
      </c>
      <c r="K24" s="76">
        <v>1</v>
      </c>
      <c r="L24" s="76">
        <v>0</v>
      </c>
      <c r="M24" s="76">
        <v>1</v>
      </c>
      <c r="N24" s="76">
        <v>0</v>
      </c>
      <c r="O24" s="76">
        <v>1</v>
      </c>
      <c r="P24" s="66">
        <v>0</v>
      </c>
      <c r="Q24" s="76">
        <v>0</v>
      </c>
      <c r="R24" s="67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91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1</v>
      </c>
      <c r="L25" s="76">
        <v>0</v>
      </c>
      <c r="M25" s="76">
        <v>1</v>
      </c>
      <c r="N25" s="76">
        <v>0</v>
      </c>
      <c r="O25" s="76">
        <v>1</v>
      </c>
      <c r="P25" s="66">
        <v>0</v>
      </c>
      <c r="Q25" s="76">
        <v>0</v>
      </c>
      <c r="R25" s="67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91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1</v>
      </c>
      <c r="L26" s="76">
        <v>0</v>
      </c>
      <c r="M26" s="76">
        <v>1</v>
      </c>
      <c r="N26" s="76">
        <v>0</v>
      </c>
      <c r="O26" s="76">
        <v>1</v>
      </c>
      <c r="P26" s="66">
        <v>0</v>
      </c>
      <c r="Q26" s="76">
        <v>0</v>
      </c>
      <c r="R26" s="67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91" t="s">
        <v>213</v>
      </c>
      <c r="G27" s="76">
        <v>0</v>
      </c>
      <c r="H27" s="76">
        <v>0</v>
      </c>
      <c r="I27" s="76">
        <v>0</v>
      </c>
      <c r="J27" s="76">
        <v>0</v>
      </c>
      <c r="K27" s="76">
        <v>1</v>
      </c>
      <c r="L27" s="76">
        <v>0</v>
      </c>
      <c r="M27" s="76">
        <v>1</v>
      </c>
      <c r="N27" s="76">
        <v>0</v>
      </c>
      <c r="O27" s="76">
        <v>1</v>
      </c>
      <c r="P27" s="66">
        <v>0</v>
      </c>
      <c r="Q27" s="76">
        <v>0</v>
      </c>
      <c r="R27" s="67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 s="191" t="s">
        <v>214</v>
      </c>
      <c r="G28" s="76">
        <v>0</v>
      </c>
      <c r="H28" s="76">
        <v>0</v>
      </c>
      <c r="I28" s="76">
        <v>0</v>
      </c>
      <c r="J28" s="76">
        <v>0</v>
      </c>
      <c r="K28" s="76">
        <v>1</v>
      </c>
      <c r="L28" s="76">
        <v>0</v>
      </c>
      <c r="M28" s="76">
        <v>1</v>
      </c>
      <c r="N28" s="76">
        <v>0</v>
      </c>
      <c r="O28" s="76">
        <v>1</v>
      </c>
      <c r="P28" s="66">
        <v>0</v>
      </c>
      <c r="Q28" s="76">
        <v>0</v>
      </c>
      <c r="R28" s="67">
        <v>1</v>
      </c>
      <c r="S28"/>
      <c r="T28"/>
    </row>
    <row r="29" spans="1:20" ht="15" customHeight="1" x14ac:dyDescent="0.15">
      <c r="F29" s="191" t="s">
        <v>215</v>
      </c>
      <c r="G29" s="76">
        <v>0</v>
      </c>
      <c r="H29" s="76">
        <v>0</v>
      </c>
      <c r="I29" s="76">
        <v>0</v>
      </c>
      <c r="J29" s="76">
        <v>0</v>
      </c>
      <c r="K29" s="76">
        <v>1</v>
      </c>
      <c r="L29" s="76">
        <v>0</v>
      </c>
      <c r="M29" s="76">
        <v>1</v>
      </c>
      <c r="N29" s="76">
        <v>0</v>
      </c>
      <c r="O29" s="76">
        <v>1</v>
      </c>
      <c r="P29" s="66">
        <v>0</v>
      </c>
      <c r="Q29" s="76">
        <v>0</v>
      </c>
      <c r="R29" s="67">
        <v>1</v>
      </c>
      <c r="S29"/>
      <c r="T29"/>
    </row>
    <row r="30" spans="1:20" ht="15" customHeight="1" x14ac:dyDescent="0.15">
      <c r="F30" s="191" t="s">
        <v>216</v>
      </c>
      <c r="G30" s="76">
        <v>0</v>
      </c>
      <c r="H30" s="76">
        <v>0</v>
      </c>
      <c r="I30" s="76">
        <v>0</v>
      </c>
      <c r="J30" s="76">
        <v>0</v>
      </c>
      <c r="K30" s="76">
        <v>1</v>
      </c>
      <c r="L30" s="76">
        <v>0</v>
      </c>
      <c r="M30" s="76">
        <v>1</v>
      </c>
      <c r="N30" s="76">
        <v>0</v>
      </c>
      <c r="O30" s="76">
        <v>1</v>
      </c>
      <c r="P30" s="66">
        <v>0</v>
      </c>
      <c r="Q30" s="76">
        <v>0</v>
      </c>
      <c r="R30" s="67">
        <v>1</v>
      </c>
      <c r="S30"/>
      <c r="T30"/>
    </row>
    <row r="31" spans="1:20" ht="15" customHeight="1" x14ac:dyDescent="0.15">
      <c r="A31" s="118"/>
      <c r="B31" s="129" t="s">
        <v>17</v>
      </c>
      <c r="C31" s="129" t="s">
        <v>1</v>
      </c>
      <c r="D31" s="129" t="s">
        <v>161</v>
      </c>
      <c r="E31" s="130" t="s">
        <v>163</v>
      </c>
      <c r="F31" s="191" t="s">
        <v>217</v>
      </c>
      <c r="G31" s="76">
        <v>0</v>
      </c>
      <c r="H31" s="76">
        <v>0</v>
      </c>
      <c r="I31" s="76">
        <v>0</v>
      </c>
      <c r="J31" s="76">
        <v>0</v>
      </c>
      <c r="K31" s="76">
        <v>1</v>
      </c>
      <c r="L31" s="76">
        <v>0</v>
      </c>
      <c r="M31" s="76">
        <v>1</v>
      </c>
      <c r="N31" s="76">
        <v>0</v>
      </c>
      <c r="O31" s="76">
        <v>1</v>
      </c>
      <c r="P31" s="66">
        <v>0</v>
      </c>
      <c r="Q31" s="76">
        <v>0</v>
      </c>
      <c r="R31" s="67">
        <v>1</v>
      </c>
      <c r="S31"/>
      <c r="T31"/>
    </row>
    <row r="32" spans="1:20" ht="15" customHeight="1" x14ac:dyDescent="0.15">
      <c r="A32" s="194" t="s">
        <v>219</v>
      </c>
      <c r="B32" s="88">
        <v>107.31100000000001</v>
      </c>
      <c r="C32" s="88">
        <v>88.147499999999994</v>
      </c>
      <c r="D32" s="88">
        <v>9459.1963725000005</v>
      </c>
      <c r="E32" s="120">
        <v>1</v>
      </c>
      <c r="F32" s="191" t="s">
        <v>218</v>
      </c>
      <c r="G32" s="76">
        <v>0</v>
      </c>
      <c r="H32" s="76">
        <v>0</v>
      </c>
      <c r="I32" s="76">
        <v>0</v>
      </c>
      <c r="J32" s="76">
        <v>0</v>
      </c>
      <c r="K32" s="76">
        <v>1</v>
      </c>
      <c r="L32" s="76">
        <v>0</v>
      </c>
      <c r="M32" s="76">
        <v>1</v>
      </c>
      <c r="N32" s="76">
        <v>0</v>
      </c>
      <c r="O32" s="76">
        <v>1</v>
      </c>
      <c r="P32" s="66">
        <v>0</v>
      </c>
      <c r="Q32" s="76">
        <v>0</v>
      </c>
      <c r="R32" s="67">
        <v>1</v>
      </c>
      <c r="S32"/>
      <c r="T32"/>
    </row>
    <row r="33" spans="1:20" ht="15" customHeight="1" x14ac:dyDescent="0.15">
      <c r="A33" s="119"/>
      <c r="B33" s="88"/>
      <c r="C33" s="88"/>
      <c r="D33" s="88"/>
      <c r="E33" s="120"/>
      <c r="F33" s="191" t="s">
        <v>219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0.98499999999999999</v>
      </c>
      <c r="N33" s="76">
        <v>1.5000000000000013E-2</v>
      </c>
      <c r="O33" s="76">
        <v>0</v>
      </c>
      <c r="P33" s="66">
        <v>0</v>
      </c>
      <c r="Q33" s="76">
        <v>0</v>
      </c>
      <c r="R33" s="67">
        <v>1</v>
      </c>
      <c r="S33"/>
      <c r="T33"/>
    </row>
    <row r="34" spans="1:20" ht="15" customHeight="1" x14ac:dyDescent="0.15">
      <c r="A34" s="121"/>
      <c r="B34" s="88"/>
      <c r="C34" s="88"/>
      <c r="D34" s="88"/>
      <c r="E34" s="120"/>
      <c r="F34" s="191" t="s">
        <v>220</v>
      </c>
      <c r="G34" s="76">
        <v>0</v>
      </c>
      <c r="H34" s="76">
        <v>0</v>
      </c>
      <c r="I34" s="76">
        <v>0</v>
      </c>
      <c r="J34" s="76">
        <v>0</v>
      </c>
      <c r="K34" s="76">
        <v>0</v>
      </c>
      <c r="L34" s="76">
        <v>1</v>
      </c>
      <c r="M34" s="76">
        <v>0</v>
      </c>
      <c r="N34" s="76">
        <v>1</v>
      </c>
      <c r="O34" s="76">
        <v>0</v>
      </c>
      <c r="P34" s="66">
        <v>1</v>
      </c>
      <c r="Q34" s="76">
        <v>0</v>
      </c>
      <c r="R34" s="67">
        <v>1</v>
      </c>
      <c r="S34"/>
      <c r="T34"/>
    </row>
    <row r="35" spans="1:20" ht="15" customHeight="1" x14ac:dyDescent="0.15">
      <c r="A35" s="122"/>
      <c r="B35" s="88"/>
      <c r="C35" s="88"/>
      <c r="D35" s="88"/>
      <c r="E35" s="120"/>
      <c r="F35" s="191" t="s">
        <v>221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1</v>
      </c>
      <c r="M35" s="76">
        <v>0</v>
      </c>
      <c r="N35" s="76">
        <v>1</v>
      </c>
      <c r="O35" s="76">
        <v>0</v>
      </c>
      <c r="P35" s="66">
        <v>1</v>
      </c>
      <c r="Q35" s="76">
        <v>0</v>
      </c>
      <c r="R35" s="67">
        <v>1</v>
      </c>
      <c r="S35"/>
      <c r="T35"/>
    </row>
    <row r="36" spans="1:20" ht="15" customHeight="1" x14ac:dyDescent="0.15">
      <c r="A36" s="123"/>
      <c r="B36" s="88"/>
      <c r="C36" s="88"/>
      <c r="D36" s="88"/>
      <c r="E36" s="120"/>
      <c r="F36" s="191" t="s">
        <v>222</v>
      </c>
      <c r="G36" s="76">
        <v>0</v>
      </c>
      <c r="H36" s="76">
        <v>0</v>
      </c>
      <c r="I36" s="76">
        <v>0</v>
      </c>
      <c r="J36" s="76">
        <v>0</v>
      </c>
      <c r="K36" s="76">
        <v>0</v>
      </c>
      <c r="L36" s="76">
        <v>1</v>
      </c>
      <c r="M36" s="76">
        <v>0</v>
      </c>
      <c r="N36" s="76">
        <v>0</v>
      </c>
      <c r="O36" s="76">
        <v>0</v>
      </c>
      <c r="P36" s="66">
        <v>0</v>
      </c>
      <c r="Q36" s="76">
        <v>0</v>
      </c>
      <c r="R36" s="67">
        <v>1</v>
      </c>
      <c r="S36"/>
      <c r="T36"/>
    </row>
    <row r="37" spans="1:20" ht="15" customHeight="1" x14ac:dyDescent="0.15">
      <c r="A37" s="123"/>
      <c r="B37" s="88"/>
      <c r="C37" s="88"/>
      <c r="D37" s="88"/>
      <c r="E37" s="120"/>
      <c r="F37" s="191" t="s">
        <v>223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1</v>
      </c>
      <c r="M37" s="76">
        <v>0</v>
      </c>
      <c r="N37" s="76">
        <v>0</v>
      </c>
      <c r="O37" s="76">
        <v>0</v>
      </c>
      <c r="P37" s="66">
        <v>0</v>
      </c>
      <c r="Q37" s="76">
        <v>0</v>
      </c>
      <c r="R37" s="67">
        <v>1</v>
      </c>
      <c r="S37"/>
      <c r="T37"/>
    </row>
    <row r="38" spans="1:20" ht="15" customHeight="1" x14ac:dyDescent="0.15">
      <c r="A38" s="124"/>
      <c r="B38" s="88"/>
      <c r="C38" s="88"/>
      <c r="D38" s="88"/>
      <c r="E38" s="120"/>
      <c r="F38" s="191" t="s">
        <v>224</v>
      </c>
      <c r="G38" s="76">
        <v>0</v>
      </c>
      <c r="H38" s="76">
        <v>0</v>
      </c>
      <c r="I38" s="76">
        <v>0</v>
      </c>
      <c r="J38" s="76">
        <v>0</v>
      </c>
      <c r="K38" s="76">
        <v>0</v>
      </c>
      <c r="L38" s="76">
        <v>1</v>
      </c>
      <c r="M38" s="76">
        <v>0</v>
      </c>
      <c r="N38" s="76">
        <v>0</v>
      </c>
      <c r="O38" s="76">
        <v>0</v>
      </c>
      <c r="P38" s="66">
        <v>0</v>
      </c>
      <c r="Q38" s="76">
        <v>0</v>
      </c>
      <c r="R38" s="67">
        <v>1</v>
      </c>
      <c r="S38"/>
      <c r="T38"/>
    </row>
    <row r="39" spans="1:20" ht="15" customHeight="1" x14ac:dyDescent="0.15">
      <c r="A39" s="124"/>
      <c r="B39" s="88"/>
      <c r="C39" s="88"/>
      <c r="D39" s="88"/>
      <c r="E39" s="120"/>
      <c r="F39" s="191" t="s">
        <v>225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1</v>
      </c>
      <c r="M39" s="76">
        <v>0</v>
      </c>
      <c r="N39" s="76">
        <v>0</v>
      </c>
      <c r="O39" s="76">
        <v>0</v>
      </c>
      <c r="P39" s="66">
        <v>0</v>
      </c>
      <c r="Q39" s="76">
        <v>0</v>
      </c>
      <c r="R39" s="67">
        <v>1</v>
      </c>
      <c r="S39"/>
      <c r="T39"/>
    </row>
    <row r="40" spans="1:20" ht="15" customHeight="1" x14ac:dyDescent="0.15">
      <c r="A40" s="124"/>
      <c r="B40" s="88"/>
      <c r="C40" s="88"/>
      <c r="D40" s="88"/>
      <c r="E40" s="120"/>
      <c r="F40" s="191" t="s">
        <v>226</v>
      </c>
      <c r="G40" s="76">
        <v>0</v>
      </c>
      <c r="H40" s="76">
        <v>0</v>
      </c>
      <c r="I40" s="76">
        <v>0</v>
      </c>
      <c r="J40" s="76">
        <v>0</v>
      </c>
      <c r="K40" s="76">
        <v>0</v>
      </c>
      <c r="L40" s="76">
        <v>1</v>
      </c>
      <c r="M40" s="76">
        <v>0</v>
      </c>
      <c r="N40" s="76">
        <v>0</v>
      </c>
      <c r="O40" s="76">
        <v>0</v>
      </c>
      <c r="P40" s="66">
        <v>0</v>
      </c>
      <c r="Q40" s="76">
        <v>0</v>
      </c>
      <c r="R40" s="67">
        <v>1</v>
      </c>
      <c r="S40"/>
      <c r="T40"/>
    </row>
    <row r="41" spans="1:20" ht="15" customHeight="1" thickBot="1" x14ac:dyDescent="0.2">
      <c r="A41" s="124"/>
      <c r="B41" s="88"/>
      <c r="C41" s="88"/>
      <c r="D41" s="89"/>
      <c r="E41" s="125"/>
      <c r="F41" s="191" t="s">
        <v>227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1</v>
      </c>
      <c r="M41" s="76">
        <v>0</v>
      </c>
      <c r="N41" s="76">
        <v>0</v>
      </c>
      <c r="O41" s="76">
        <v>0</v>
      </c>
      <c r="P41" s="66">
        <v>0</v>
      </c>
      <c r="Q41" s="76">
        <v>0</v>
      </c>
      <c r="R41" s="67">
        <v>1</v>
      </c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9459.1963725000005</v>
      </c>
      <c r="E42" s="128">
        <f>SUM(E32:E41)</f>
        <v>1</v>
      </c>
      <c r="F42" s="191" t="s">
        <v>228</v>
      </c>
      <c r="G42" s="76">
        <v>0</v>
      </c>
      <c r="H42" s="76">
        <v>0</v>
      </c>
      <c r="I42" s="76">
        <v>0</v>
      </c>
      <c r="J42" s="76">
        <v>0</v>
      </c>
      <c r="K42" s="76">
        <v>0</v>
      </c>
      <c r="L42" s="76">
        <v>1</v>
      </c>
      <c r="M42" s="76">
        <v>0</v>
      </c>
      <c r="N42" s="76">
        <v>0</v>
      </c>
      <c r="O42" s="76">
        <v>0</v>
      </c>
      <c r="P42" s="66">
        <v>0</v>
      </c>
      <c r="Q42" s="76">
        <v>0</v>
      </c>
      <c r="R42" s="67">
        <v>1</v>
      </c>
      <c r="S42"/>
      <c r="T42"/>
    </row>
    <row r="43" spans="1:20" ht="15" customHeight="1" x14ac:dyDescent="0.15">
      <c r="A43" s="76"/>
      <c r="F43" s="191" t="s">
        <v>229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1</v>
      </c>
      <c r="M43" s="76">
        <v>0</v>
      </c>
      <c r="N43" s="76">
        <v>0</v>
      </c>
      <c r="O43" s="76">
        <v>0</v>
      </c>
      <c r="P43" s="66">
        <v>0</v>
      </c>
      <c r="Q43" s="76">
        <v>0</v>
      </c>
      <c r="R43" s="67">
        <v>1</v>
      </c>
      <c r="S43"/>
      <c r="T43"/>
    </row>
    <row r="44" spans="1:20" ht="15" customHeight="1" x14ac:dyDescent="0.15">
      <c r="A44" s="76"/>
      <c r="F44" s="191" t="s">
        <v>230</v>
      </c>
      <c r="G44" s="76">
        <v>0</v>
      </c>
      <c r="H44" s="76">
        <v>0</v>
      </c>
      <c r="I44" s="76">
        <v>0</v>
      </c>
      <c r="J44" s="76">
        <v>0</v>
      </c>
      <c r="K44" s="76">
        <v>0</v>
      </c>
      <c r="L44" s="76">
        <v>1</v>
      </c>
      <c r="M44" s="76">
        <v>0</v>
      </c>
      <c r="N44" s="76">
        <v>0</v>
      </c>
      <c r="O44" s="76">
        <v>0</v>
      </c>
      <c r="P44" s="66">
        <v>0</v>
      </c>
      <c r="Q44" s="76">
        <v>0</v>
      </c>
      <c r="R44" s="67">
        <v>1</v>
      </c>
    </row>
    <row r="45" spans="1:20" ht="15" customHeight="1" x14ac:dyDescent="0.15">
      <c r="A45" s="76"/>
      <c r="F45" s="191" t="s">
        <v>231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1</v>
      </c>
      <c r="M45" s="76">
        <v>0</v>
      </c>
      <c r="N45" s="76">
        <v>0</v>
      </c>
      <c r="O45" s="76">
        <v>0</v>
      </c>
      <c r="P45" s="66">
        <v>0</v>
      </c>
      <c r="Q45" s="76">
        <v>0</v>
      </c>
      <c r="R45" s="67">
        <v>1</v>
      </c>
    </row>
    <row r="46" spans="1:20" ht="15" customHeight="1" x14ac:dyDescent="0.15">
      <c r="A46" s="76"/>
      <c r="F46" s="191" t="s">
        <v>232</v>
      </c>
      <c r="G46" s="76">
        <v>0</v>
      </c>
      <c r="H46" s="76">
        <v>0</v>
      </c>
      <c r="I46" s="76">
        <v>0</v>
      </c>
      <c r="J46" s="76">
        <v>0</v>
      </c>
      <c r="K46" s="76">
        <v>0</v>
      </c>
      <c r="L46" s="76">
        <v>1</v>
      </c>
      <c r="M46" s="76">
        <v>0</v>
      </c>
      <c r="N46" s="76">
        <v>0</v>
      </c>
      <c r="O46" s="76">
        <v>0</v>
      </c>
      <c r="P46" s="66">
        <v>0</v>
      </c>
      <c r="Q46" s="76">
        <v>0</v>
      </c>
      <c r="R46" s="67">
        <v>1</v>
      </c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8.5" style="6" customWidth="1"/>
    <col min="10" max="10" width="10.1640625" style="6" customWidth="1"/>
    <col min="11" max="11" width="11.6640625" style="6" customWidth="1"/>
    <col min="12" max="12" width="11.5" style="6" customWidth="1"/>
    <col min="13" max="13" width="7.1640625" style="6" customWidth="1"/>
    <col min="14" max="14" width="7.83203125" style="6" customWidth="1"/>
    <col min="15" max="15" width="4.5" style="6" customWidth="1"/>
    <col min="16" max="16" width="13.6640625" style="6" customWidth="1"/>
    <col min="17" max="17" width="8.5" style="6" customWidth="1"/>
    <col min="18" max="19" width="7.5" style="6" customWidth="1"/>
    <col min="20" max="20" width="15.33203125" style="6" customWidth="1"/>
    <col min="21" max="21" width="16.83203125" style="6" customWidth="1"/>
    <col min="22" max="22" width="14.83203125" style="6" customWidth="1"/>
    <col min="23" max="23" width="13.83203125" style="6" customWidth="1"/>
    <col min="24" max="24" width="20.83203125" style="6" customWidth="1"/>
    <col min="25" max="25" width="21.6640625" style="6" customWidth="1"/>
    <col min="26" max="26" width="8.83203125" style="6" customWidth="1"/>
    <col min="27" max="27" width="7.1640625" style="6" customWidth="1"/>
    <col min="28" max="28" width="19.33203125" style="6" customWidth="1"/>
    <col min="29" max="29" width="18.83203125" style="6" customWidth="1"/>
    <col min="30" max="30" width="6" style="6" customWidth="1"/>
    <col min="31" max="31" width="7.1640625" style="6" customWidth="1"/>
    <col min="32" max="32" width="16.83203125" style="6" customWidth="1"/>
    <col min="33" max="33" width="8.1640625" style="6" customWidth="1"/>
    <col min="34" max="34" width="16.5" style="6" customWidth="1"/>
    <col min="35" max="35" width="15.83203125" style="6" customWidth="1"/>
    <col min="36" max="36" width="13.1640625" style="6" customWidth="1"/>
    <col min="37" max="37" width="7.6640625" style="6" customWidth="1"/>
    <col min="38" max="38" width="21.6640625" style="6" customWidth="1"/>
    <col min="39" max="39" width="13.1640625" customWidth="1"/>
    <col min="40" max="40" width="17.5" customWidth="1"/>
    <col min="41" max="41" width="13.6640625" customWidth="1"/>
    <col min="42" max="42" width="8.1640625" customWidth="1"/>
    <col min="43" max="43" width="16" customWidth="1"/>
    <col min="44" max="44" width="11.5" customWidth="1"/>
    <col min="45" max="45" width="18.5" customWidth="1"/>
    <col min="46" max="46" width="13.1640625" customWidth="1"/>
    <col min="47" max="47" width="19.33203125" customWidth="1"/>
    <col min="48" max="48" width="14.5" customWidth="1"/>
    <col min="49" max="49" width="5.83203125" customWidth="1"/>
    <col min="81" max="81" width="22.1640625" bestFit="1" customWidth="1"/>
  </cols>
  <sheetData>
    <row r="1" spans="1:49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 t="s">
        <v>38</v>
      </c>
      <c r="G1" t="s">
        <v>40</v>
      </c>
      <c r="H1" t="s">
        <v>41</v>
      </c>
      <c r="I1" s="196" t="s">
        <v>192</v>
      </c>
      <c r="J1" s="196" t="s">
        <v>193</v>
      </c>
      <c r="K1" s="196" t="s">
        <v>194</v>
      </c>
      <c r="L1" s="196" t="s">
        <v>195</v>
      </c>
      <c r="M1" s="196" t="s">
        <v>196</v>
      </c>
      <c r="N1" s="196" t="s">
        <v>197</v>
      </c>
      <c r="O1" s="196" t="s">
        <v>198</v>
      </c>
      <c r="P1" s="196" t="s">
        <v>199</v>
      </c>
      <c r="Q1" s="196" t="s">
        <v>200</v>
      </c>
      <c r="R1" s="196" t="s">
        <v>201</v>
      </c>
      <c r="S1" s="196" t="s">
        <v>202</v>
      </c>
      <c r="T1" s="196" t="s">
        <v>203</v>
      </c>
      <c r="U1" s="196" t="s">
        <v>204</v>
      </c>
      <c r="V1" s="196" t="s">
        <v>205</v>
      </c>
      <c r="W1" s="196" t="s">
        <v>206</v>
      </c>
      <c r="X1" s="196" t="s">
        <v>207</v>
      </c>
      <c r="Y1" s="196" t="s">
        <v>208</v>
      </c>
      <c r="Z1" s="196" t="s">
        <v>209</v>
      </c>
      <c r="AA1" s="196" t="s">
        <v>210</v>
      </c>
      <c r="AB1" s="196" t="s">
        <v>211</v>
      </c>
      <c r="AC1" s="196" t="s">
        <v>212</v>
      </c>
      <c r="AD1" s="196" t="s">
        <v>213</v>
      </c>
      <c r="AE1" s="196" t="s">
        <v>214</v>
      </c>
      <c r="AF1" s="196" t="s">
        <v>215</v>
      </c>
      <c r="AG1" s="196" t="s">
        <v>216</v>
      </c>
      <c r="AH1" s="196" t="s">
        <v>217</v>
      </c>
      <c r="AI1" s="196" t="s">
        <v>218</v>
      </c>
      <c r="AJ1" s="196" t="s">
        <v>219</v>
      </c>
      <c r="AK1" s="196" t="s">
        <v>220</v>
      </c>
      <c r="AL1" s="196" t="s">
        <v>221</v>
      </c>
      <c r="AM1" s="196" t="s">
        <v>222</v>
      </c>
      <c r="AN1" s="196" t="s">
        <v>223</v>
      </c>
      <c r="AO1" s="196" t="s">
        <v>224</v>
      </c>
      <c r="AP1" s="196" t="s">
        <v>225</v>
      </c>
      <c r="AQ1" s="196" t="s">
        <v>226</v>
      </c>
      <c r="AR1" s="196" t="s">
        <v>227</v>
      </c>
      <c r="AS1" s="196" t="s">
        <v>228</v>
      </c>
      <c r="AT1" s="196" t="s">
        <v>229</v>
      </c>
      <c r="AU1" s="196" t="s">
        <v>230</v>
      </c>
      <c r="AV1" s="196" t="s">
        <v>231</v>
      </c>
      <c r="AW1" s="196" t="s">
        <v>232</v>
      </c>
    </row>
    <row r="2" spans="1:49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9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9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9" x14ac:dyDescent="0.15">
      <c r="A5" s="195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9" x14ac:dyDescent="0.15">
      <c r="A6" s="195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9" x14ac:dyDescent="0.15">
      <c r="A7" s="195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9" x14ac:dyDescent="0.15">
      <c r="A8" s="195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9" x14ac:dyDescent="0.15">
      <c r="A9" s="195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9" x14ac:dyDescent="0.15">
      <c r="A10" s="195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9" x14ac:dyDescent="0.15">
      <c r="A11" s="195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9" x14ac:dyDescent="0.15">
      <c r="A12" s="195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9" x14ac:dyDescent="0.15">
      <c r="A13" s="195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9" x14ac:dyDescent="0.15">
      <c r="A14" s="195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9" x14ac:dyDescent="0.15">
      <c r="A15" s="195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9" x14ac:dyDescent="0.15">
      <c r="A16" s="195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5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5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5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5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5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5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5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5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5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5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5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5" t="s">
        <v>215</v>
      </c>
      <c r="B28" s="10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5" t="s">
        <v>216</v>
      </c>
      <c r="B29" s="10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5" t="s">
        <v>217</v>
      </c>
      <c r="B30" s="10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5" t="s">
        <v>218</v>
      </c>
      <c r="B31" s="10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5" t="s">
        <v>219</v>
      </c>
      <c r="B32" s="10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5" t="s">
        <v>220</v>
      </c>
      <c r="B33" s="10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5" t="s">
        <v>221</v>
      </c>
      <c r="B34" s="10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5" t="s">
        <v>222</v>
      </c>
      <c r="B35" s="10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5" t="s">
        <v>223</v>
      </c>
      <c r="B36" s="103">
        <v>0</v>
      </c>
      <c r="C36"/>
      <c r="D36"/>
    </row>
    <row r="37" spans="1:38" ht="15" customHeight="1" x14ac:dyDescent="0.15">
      <c r="A37" s="195" t="s">
        <v>224</v>
      </c>
      <c r="B37" s="103">
        <v>0</v>
      </c>
      <c r="C37"/>
      <c r="D37"/>
    </row>
    <row r="38" spans="1:38" ht="15" customHeight="1" x14ac:dyDescent="0.15">
      <c r="A38" s="195" t="s">
        <v>225</v>
      </c>
      <c r="B38" s="10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5" t="s">
        <v>226</v>
      </c>
      <c r="B39" s="103">
        <v>0</v>
      </c>
      <c r="C39"/>
      <c r="D39"/>
    </row>
    <row r="40" spans="1:38" ht="15" customHeight="1" x14ac:dyDescent="0.15">
      <c r="A40" s="195" t="s">
        <v>227</v>
      </c>
      <c r="B40" s="103">
        <v>0</v>
      </c>
      <c r="C40"/>
      <c r="D40"/>
    </row>
    <row r="41" spans="1:38" ht="15" customHeight="1" x14ac:dyDescent="0.15">
      <c r="A41" s="195" t="s">
        <v>228</v>
      </c>
      <c r="B41" s="103">
        <v>0</v>
      </c>
      <c r="C41"/>
      <c r="D41"/>
    </row>
    <row r="42" spans="1:38" ht="15" customHeight="1" x14ac:dyDescent="0.15">
      <c r="A42" s="195" t="s">
        <v>229</v>
      </c>
      <c r="B42" s="103">
        <v>0</v>
      </c>
    </row>
    <row r="43" spans="1:38" ht="15" customHeight="1" x14ac:dyDescent="0.15">
      <c r="A43" s="195" t="s">
        <v>230</v>
      </c>
      <c r="B43" s="103">
        <v>0</v>
      </c>
    </row>
    <row r="44" spans="1:38" ht="15" customHeight="1" x14ac:dyDescent="0.15">
      <c r="A44" s="195" t="s">
        <v>231</v>
      </c>
      <c r="B44" s="103">
        <v>0</v>
      </c>
    </row>
    <row r="45" spans="1:38" ht="15" customHeight="1" x14ac:dyDescent="0.15">
      <c r="A45" s="195" t="s">
        <v>232</v>
      </c>
      <c r="B45" s="103">
        <v>0</v>
      </c>
    </row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2022-10-24T04:28:43Z</dcterms:modified>
</cp:coreProperties>
</file>